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drawings/drawing1.xml" ContentType="application/vnd.openxmlformats-officedocument.drawing+xml"/>
  <Override PartName="/xl/comments9.xml" ContentType="application/vnd.openxmlformats-officedocument.spreadsheetml.comments+xml"/>
  <Override PartName="/xl/drawings/drawing2.xml" ContentType="application/vnd.openxmlformats-officedocument.drawing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11"/>
  <workbookPr codeName="Denne_projektmappe"/>
  <mc:AlternateContent xmlns:mc="http://schemas.openxmlformats.org/markup-compatibility/2006">
    <mc:Choice Requires="x15">
      <x15ac:absPath xmlns:x15ac="http://schemas.microsoft.com/office/spreadsheetml/2010/11/ac" url="D:\working\waccache\MI2PEPF0000028D\EXCELCNV\c47e2cb1-7dd0-48a4-925e-f47c92a5da1e\"/>
    </mc:Choice>
  </mc:AlternateContent>
  <xr:revisionPtr revIDLastSave="0" documentId="8_{878BCF3D-8DAA-4B96-8CA4-7788E14A3CB0}" xr6:coauthVersionLast="47" xr6:coauthVersionMax="47" xr10:uidLastSave="{00000000-0000-0000-0000-000000000000}"/>
  <workbookProtection workbookAlgorithmName="SHA-512" workbookHashValue="HKMMjMlIwUYqFMLCUmmsEFnkwuHb49hSyOWgquCCRFsU43rKuldkCQOnMA19EoSDVneLugmOhr8iSyiiWb2ppA==" workbookSaltValue="8UlzHtj3jEedf1pCamNVHw==" workbookSpinCount="100000" lockStructure="1"/>
  <bookViews>
    <workbookView xWindow="-60" yWindow="-60" windowWidth="15480" windowHeight="11640" tabRatio="728" firstSheet="13" activeTab="13" xr2:uid="{00000000-000D-0000-FFFF-FFFF00000000}"/>
  </bookViews>
  <sheets>
    <sheet name="Ark8" sheetId="141" state="hidden" r:id="rId1"/>
    <sheet name="Ark9" sheetId="142" state="hidden" r:id="rId2"/>
    <sheet name="Ark4" sheetId="137" state="hidden" r:id="rId3"/>
    <sheet name="Maj 2025" sheetId="195" r:id="rId4"/>
    <sheet name="Juni 2025" sheetId="203" r:id="rId5"/>
    <sheet name="Juli 2025" sheetId="204" r:id="rId6"/>
    <sheet name="August 2025" sheetId="205" r:id="rId7"/>
    <sheet name="September 2025" sheetId="206" r:id="rId8"/>
    <sheet name="Oktober 2025" sheetId="199" r:id="rId9"/>
    <sheet name="November 2025" sheetId="200" r:id="rId10"/>
    <sheet name="December 2025" sheetId="201" r:id="rId11"/>
    <sheet name="Januar 2026" sheetId="202" r:id="rId12"/>
    <sheet name="Februar 2026" sheetId="197" r:id="rId13"/>
    <sheet name="Marts 2026" sheetId="198" r:id="rId14"/>
    <sheet name="April 2026" sheetId="196" r:id="rId15"/>
    <sheet name="Maj 2026" sheetId="212" r:id="rId16"/>
    <sheet name="Juni 2026" sheetId="210" r:id="rId17"/>
    <sheet name="Juli 2026" sheetId="211" r:id="rId18"/>
    <sheet name="August 2026" sheetId="209" r:id="rId19"/>
    <sheet name="September 2026" sheetId="208" r:id="rId20"/>
    <sheet name="Prisliste 2024" sheetId="162" r:id="rId21"/>
    <sheet name="Prisliste 2025(kostægte)" sheetId="187" r:id="rId22"/>
    <sheet name="GRUSMUS 2025" sheetId="17" r:id="rId23"/>
    <sheet name="Nøgler GL" sheetId="1" r:id="rId24"/>
    <sheet name="Nøgler januar 2000" sheetId="3" r:id="rId25"/>
    <sheet name="Nøgler m. lønkode" sheetId="2" r:id="rId26"/>
    <sheet name="Balanced 2010" sheetId="22" r:id="rId27"/>
    <sheet name="_56F9DC9755BA473782653E2940F9" sheetId="122" state="veryHidden" r:id="rId28"/>
  </sheets>
  <definedNames>
    <definedName name="NormTid">'Maj 2025'!#REF!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M72" i="195" l="1"/>
  <c r="AM73" i="195"/>
  <c r="AM74" i="195"/>
  <c r="AM75" i="195"/>
  <c r="AM76" i="195"/>
  <c r="AI72" i="195"/>
  <c r="AK72" i="195" s="1"/>
  <c r="AI73" i="195"/>
  <c r="AK73" i="195" s="1"/>
  <c r="AI74" i="195"/>
  <c r="AK74" i="195" s="1"/>
  <c r="AI75" i="195"/>
  <c r="AK75" i="195" s="1"/>
  <c r="AI76" i="195"/>
  <c r="AK76" i="195" s="1"/>
  <c r="AM64" i="195"/>
  <c r="AM65" i="195"/>
  <c r="AM66" i="195"/>
  <c r="AM67" i="195"/>
  <c r="AM68" i="195"/>
  <c r="AM69" i="195"/>
  <c r="AM70" i="195"/>
  <c r="AM71" i="195"/>
  <c r="AM81" i="195"/>
  <c r="AM82" i="195"/>
  <c r="AM83" i="195"/>
  <c r="AM84" i="195"/>
  <c r="AM85" i="195"/>
  <c r="AM63" i="195"/>
  <c r="AI85" i="195"/>
  <c r="AK85" i="195" s="1"/>
  <c r="AI84" i="195"/>
  <c r="AK84" i="195" s="1"/>
  <c r="AI83" i="195"/>
  <c r="AK83" i="195" s="1"/>
  <c r="AI82" i="195"/>
  <c r="AI81" i="195"/>
  <c r="AK81" i="195" s="1"/>
  <c r="AI71" i="195"/>
  <c r="AK71" i="195" s="1"/>
  <c r="AI70" i="195"/>
  <c r="AK70" i="195" s="1"/>
  <c r="AI69" i="195"/>
  <c r="AI68" i="195"/>
  <c r="AK68" i="195" s="1"/>
  <c r="AI67" i="195"/>
  <c r="AK67" i="195" s="1"/>
  <c r="AI66" i="195"/>
  <c r="AK66" i="195" s="1"/>
  <c r="AI65" i="195"/>
  <c r="AI64" i="195"/>
  <c r="AK64" i="195" s="1"/>
  <c r="AI63" i="195"/>
  <c r="I293" i="2"/>
  <c r="I292" i="2"/>
  <c r="I294" i="2" s="1"/>
  <c r="I291" i="2"/>
  <c r="G287" i="2"/>
  <c r="G288" i="2" s="1"/>
  <c r="H277" i="2"/>
  <c r="G277" i="2"/>
  <c r="F277" i="2"/>
  <c r="E277" i="2"/>
  <c r="D277" i="2"/>
  <c r="C277" i="2"/>
  <c r="B277" i="2"/>
  <c r="I275" i="2"/>
  <c r="I272" i="2"/>
  <c r="I269" i="2"/>
  <c r="I266" i="2"/>
  <c r="I263" i="2"/>
  <c r="I260" i="2"/>
  <c r="I257" i="2"/>
  <c r="I249" i="2"/>
  <c r="G249" i="2"/>
  <c r="H249" i="2" s="1"/>
  <c r="H247" i="2"/>
  <c r="G247" i="2"/>
  <c r="F247" i="2"/>
  <c r="E247" i="2"/>
  <c r="D247" i="2"/>
  <c r="C247" i="2"/>
  <c r="B247" i="2"/>
  <c r="H238" i="2"/>
  <c r="G238" i="2"/>
  <c r="F238" i="2"/>
  <c r="E238" i="2"/>
  <c r="D238" i="2"/>
  <c r="C238" i="2"/>
  <c r="B238" i="2"/>
  <c r="I236" i="2"/>
  <c r="I233" i="2"/>
  <c r="I230" i="2"/>
  <c r="I227" i="2"/>
  <c r="I224" i="2"/>
  <c r="I221" i="2"/>
  <c r="H204" i="2"/>
  <c r="G204" i="2"/>
  <c r="F204" i="2"/>
  <c r="E204" i="2"/>
  <c r="D204" i="2"/>
  <c r="C204" i="2"/>
  <c r="B204" i="2"/>
  <c r="I202" i="2"/>
  <c r="I204" i="2" s="1"/>
  <c r="G206" i="2" s="1"/>
  <c r="H206" i="2" s="1"/>
  <c r="I206" i="2" s="1"/>
  <c r="I199" i="2"/>
  <c r="I196" i="2"/>
  <c r="I189" i="2"/>
  <c r="G191" i="2" s="1"/>
  <c r="H191" i="2" s="1"/>
  <c r="I191" i="2" s="1"/>
  <c r="H189" i="2"/>
  <c r="G189" i="2"/>
  <c r="F189" i="2"/>
  <c r="E189" i="2"/>
  <c r="E287" i="2" s="1"/>
  <c r="E288" i="2" s="1"/>
  <c r="D189" i="2"/>
  <c r="C189" i="2"/>
  <c r="B189" i="2"/>
  <c r="I187" i="2"/>
  <c r="I184" i="2"/>
  <c r="G172" i="2"/>
  <c r="H172" i="2" s="1"/>
  <c r="I172" i="2" s="1"/>
  <c r="I169" i="2"/>
  <c r="F163" i="2"/>
  <c r="E163" i="2"/>
  <c r="D163" i="2"/>
  <c r="C163" i="2"/>
  <c r="B163" i="2"/>
  <c r="I163" i="2" s="1"/>
  <c r="G165" i="2" s="1"/>
  <c r="H165" i="2" s="1"/>
  <c r="I165" i="2" s="1"/>
  <c r="I162" i="2"/>
  <c r="I157" i="2"/>
  <c r="H116" i="2"/>
  <c r="G116" i="2"/>
  <c r="F116" i="2"/>
  <c r="E116" i="2"/>
  <c r="D116" i="2"/>
  <c r="C116" i="2"/>
  <c r="B116" i="2"/>
  <c r="I115" i="2"/>
  <c r="I112" i="2"/>
  <c r="I109" i="2"/>
  <c r="I106" i="2"/>
  <c r="I103" i="2"/>
  <c r="I100" i="2"/>
  <c r="I97" i="2"/>
  <c r="I94" i="2"/>
  <c r="I91" i="2"/>
  <c r="I88" i="2"/>
  <c r="I85" i="2"/>
  <c r="I82" i="2"/>
  <c r="I79" i="2"/>
  <c r="I76" i="2"/>
  <c r="I73" i="2"/>
  <c r="H65" i="2"/>
  <c r="G65" i="2"/>
  <c r="F65" i="2"/>
  <c r="E65" i="2"/>
  <c r="D65" i="2"/>
  <c r="C65" i="2"/>
  <c r="B65" i="2"/>
  <c r="I63" i="2"/>
  <c r="I60" i="2"/>
  <c r="I57" i="2"/>
  <c r="H53" i="2"/>
  <c r="G53" i="2"/>
  <c r="F53" i="2"/>
  <c r="E53" i="2"/>
  <c r="D53" i="2"/>
  <c r="D287" i="2" s="1"/>
  <c r="D288" i="2" s="1"/>
  <c r="C53" i="2"/>
  <c r="B53" i="2"/>
  <c r="B287" i="2" s="1"/>
  <c r="B288" i="2" s="1"/>
  <c r="I51" i="2"/>
  <c r="I48" i="2"/>
  <c r="I45" i="2"/>
  <c r="I42" i="2"/>
  <c r="I39" i="2"/>
  <c r="I36" i="2"/>
  <c r="I11" i="2"/>
  <c r="G14" i="2" s="1"/>
  <c r="H14" i="2" s="1"/>
  <c r="I14" i="2" s="1"/>
  <c r="I4" i="2"/>
  <c r="G7" i="2" s="1"/>
  <c r="H7" i="2" s="1"/>
  <c r="I7" i="2" s="1"/>
  <c r="H265" i="3"/>
  <c r="G265" i="3"/>
  <c r="F265" i="3"/>
  <c r="E265" i="3"/>
  <c r="D265" i="3"/>
  <c r="C265" i="3"/>
  <c r="B265" i="3"/>
  <c r="I264" i="3"/>
  <c r="I262" i="3"/>
  <c r="I260" i="3"/>
  <c r="I258" i="3"/>
  <c r="I256" i="3"/>
  <c r="I254" i="3"/>
  <c r="I252" i="3"/>
  <c r="I250" i="3"/>
  <c r="I248" i="3"/>
  <c r="I246" i="3"/>
  <c r="I244" i="3"/>
  <c r="I242" i="3"/>
  <c r="I240" i="3"/>
  <c r="I238" i="3"/>
  <c r="I236" i="3"/>
  <c r="I265" i="3" s="1"/>
  <c r="G267" i="3" s="1"/>
  <c r="H267" i="3" s="1"/>
  <c r="I267" i="3" s="1"/>
  <c r="I226" i="3"/>
  <c r="I225" i="3"/>
  <c r="I224" i="3"/>
  <c r="I223" i="3"/>
  <c r="I214" i="3"/>
  <c r="G216" i="3" s="1"/>
  <c r="H216" i="3" s="1"/>
  <c r="I216" i="3" s="1"/>
  <c r="H214" i="3"/>
  <c r="G214" i="3"/>
  <c r="F214" i="3"/>
  <c r="E214" i="3"/>
  <c r="D214" i="3"/>
  <c r="C214" i="3"/>
  <c r="B214" i="3"/>
  <c r="I213" i="3"/>
  <c r="I211" i="3"/>
  <c r="I209" i="3"/>
  <c r="I203" i="3"/>
  <c r="G205" i="3" s="1"/>
  <c r="H205" i="3" s="1"/>
  <c r="I205" i="3" s="1"/>
  <c r="H203" i="3"/>
  <c r="G203" i="3"/>
  <c r="F203" i="3"/>
  <c r="E203" i="3"/>
  <c r="D203" i="3"/>
  <c r="C203" i="3"/>
  <c r="B203" i="3"/>
  <c r="I202" i="3"/>
  <c r="I200" i="3"/>
  <c r="I198" i="3"/>
  <c r="I196" i="3"/>
  <c r="N195" i="3"/>
  <c r="Q189" i="3" s="1"/>
  <c r="O191" i="3" s="1"/>
  <c r="Q191" i="3" s="1"/>
  <c r="O193" i="3" s="1"/>
  <c r="I194" i="3"/>
  <c r="S193" i="3"/>
  <c r="N192" i="3"/>
  <c r="I192" i="3"/>
  <c r="N191" i="3"/>
  <c r="I190" i="3"/>
  <c r="N190" i="3" s="1"/>
  <c r="S187" i="3"/>
  <c r="H182" i="3"/>
  <c r="G182" i="3"/>
  <c r="F182" i="3"/>
  <c r="E182" i="3"/>
  <c r="D182" i="3"/>
  <c r="C182" i="3"/>
  <c r="B182" i="3"/>
  <c r="I181" i="3"/>
  <c r="N173" i="3"/>
  <c r="I173" i="3"/>
  <c r="N171" i="3"/>
  <c r="I171" i="3"/>
  <c r="I182" i="3" s="1"/>
  <c r="S166" i="3"/>
  <c r="H162" i="3"/>
  <c r="G162" i="3"/>
  <c r="F162" i="3"/>
  <c r="E162" i="3"/>
  <c r="D162" i="3"/>
  <c r="C162" i="3"/>
  <c r="B162" i="3"/>
  <c r="I161" i="3"/>
  <c r="I159" i="3"/>
  <c r="I157" i="3"/>
  <c r="I155" i="3"/>
  <c r="I153" i="3"/>
  <c r="I151" i="3"/>
  <c r="I144" i="3"/>
  <c r="G146" i="3" s="1"/>
  <c r="H146" i="3" s="1"/>
  <c r="I146" i="3" s="1"/>
  <c r="H144" i="3"/>
  <c r="G144" i="3"/>
  <c r="F144" i="3"/>
  <c r="E144" i="3"/>
  <c r="D144" i="3"/>
  <c r="C144" i="3"/>
  <c r="B144" i="3"/>
  <c r="I143" i="3"/>
  <c r="N142" i="3"/>
  <c r="I141" i="3"/>
  <c r="I139" i="3"/>
  <c r="H132" i="3"/>
  <c r="G132" i="3"/>
  <c r="F132" i="3"/>
  <c r="E132" i="3"/>
  <c r="D132" i="3"/>
  <c r="C132" i="3"/>
  <c r="B132" i="3"/>
  <c r="O131" i="3"/>
  <c r="Q131" i="3" s="1"/>
  <c r="I131" i="3"/>
  <c r="N130" i="3"/>
  <c r="Q129" i="3"/>
  <c r="I129" i="3"/>
  <c r="I132" i="3" s="1"/>
  <c r="G134" i="3" s="1"/>
  <c r="H134" i="3" s="1"/>
  <c r="I134" i="3" s="1"/>
  <c r="S127" i="3"/>
  <c r="G125" i="3"/>
  <c r="H125" i="3" s="1"/>
  <c r="I125" i="3" s="1"/>
  <c r="I123" i="3"/>
  <c r="H119" i="3"/>
  <c r="I119" i="3" s="1"/>
  <c r="I117" i="3"/>
  <c r="I114" i="3"/>
  <c r="G119" i="3" s="1"/>
  <c r="H107" i="3"/>
  <c r="G107" i="3"/>
  <c r="F107" i="3"/>
  <c r="E107" i="3"/>
  <c r="D107" i="3"/>
  <c r="C107" i="3"/>
  <c r="B107" i="3"/>
  <c r="I106" i="3"/>
  <c r="I104" i="3"/>
  <c r="I102" i="3"/>
  <c r="I100" i="3"/>
  <c r="I98" i="3"/>
  <c r="I96" i="3"/>
  <c r="I94" i="3"/>
  <c r="I92" i="3"/>
  <c r="I90" i="3"/>
  <c r="I88" i="3"/>
  <c r="I86" i="3"/>
  <c r="I84" i="3"/>
  <c r="I82" i="3"/>
  <c r="I80" i="3"/>
  <c r="I78" i="3"/>
  <c r="H70" i="3"/>
  <c r="G70" i="3"/>
  <c r="F70" i="3"/>
  <c r="E70" i="3"/>
  <c r="D70" i="3"/>
  <c r="C70" i="3"/>
  <c r="B70" i="3"/>
  <c r="I69" i="3"/>
  <c r="M66" i="3"/>
  <c r="I65" i="3"/>
  <c r="I63" i="3"/>
  <c r="I61" i="3"/>
  <c r="N49" i="3" s="1"/>
  <c r="I59" i="3"/>
  <c r="N44" i="3" s="1"/>
  <c r="I57" i="3"/>
  <c r="I55" i="3"/>
  <c r="N54" i="3"/>
  <c r="N53" i="3"/>
  <c r="I53" i="3"/>
  <c r="N43" i="3" s="1"/>
  <c r="N51" i="3"/>
  <c r="I51" i="3"/>
  <c r="N52" i="3" s="1"/>
  <c r="I49" i="3"/>
  <c r="N48" i="3"/>
  <c r="N47" i="3"/>
  <c r="I47" i="3"/>
  <c r="I45" i="3"/>
  <c r="I43" i="3"/>
  <c r="N46" i="3" s="1"/>
  <c r="N42" i="3"/>
  <c r="I41" i="3"/>
  <c r="H34" i="3"/>
  <c r="H220" i="3" s="1"/>
  <c r="H221" i="3" s="1"/>
  <c r="G34" i="3"/>
  <c r="F34" i="3"/>
  <c r="E34" i="3"/>
  <c r="E220" i="3" s="1"/>
  <c r="E221" i="3" s="1"/>
  <c r="D34" i="3"/>
  <c r="C34" i="3"/>
  <c r="B34" i="3"/>
  <c r="B220" i="3" s="1"/>
  <c r="B221" i="3" s="1"/>
  <c r="M33" i="3"/>
  <c r="I33" i="3"/>
  <c r="I31" i="3"/>
  <c r="I29" i="3"/>
  <c r="H25" i="3"/>
  <c r="G25" i="3"/>
  <c r="F25" i="3"/>
  <c r="E25" i="3"/>
  <c r="D25" i="3"/>
  <c r="C25" i="3"/>
  <c r="C220" i="3" s="1"/>
  <c r="C221" i="3" s="1"/>
  <c r="B25" i="3"/>
  <c r="I24" i="3"/>
  <c r="I25" i="3" s="1"/>
  <c r="I22" i="3"/>
  <c r="I20" i="3"/>
  <c r="N18" i="3"/>
  <c r="N21" i="3" s="1"/>
  <c r="I18" i="3"/>
  <c r="N16" i="3"/>
  <c r="I16" i="3"/>
  <c r="I14" i="3"/>
  <c r="N15" i="3" s="1"/>
  <c r="I8" i="3"/>
  <c r="I4" i="3"/>
  <c r="I156" i="1"/>
  <c r="I155" i="1"/>
  <c r="I154" i="1"/>
  <c r="I153" i="1"/>
  <c r="H148" i="1"/>
  <c r="E148" i="1"/>
  <c r="H144" i="1"/>
  <c r="G144" i="1"/>
  <c r="F144" i="1"/>
  <c r="E144" i="1"/>
  <c r="D144" i="1"/>
  <c r="C144" i="1"/>
  <c r="B144" i="1"/>
  <c r="I143" i="1"/>
  <c r="I141" i="1"/>
  <c r="I139" i="1"/>
  <c r="I137" i="1"/>
  <c r="I135" i="1"/>
  <c r="I144" i="1" s="1"/>
  <c r="I127" i="1"/>
  <c r="I122" i="1"/>
  <c r="H117" i="1"/>
  <c r="G117" i="1"/>
  <c r="F117" i="1"/>
  <c r="E117" i="1"/>
  <c r="D117" i="1"/>
  <c r="C117" i="1"/>
  <c r="B117" i="1"/>
  <c r="I116" i="1"/>
  <c r="I114" i="1"/>
  <c r="I112" i="1"/>
  <c r="I117" i="1" s="1"/>
  <c r="I107" i="1"/>
  <c r="I102" i="1"/>
  <c r="H98" i="1"/>
  <c r="G98" i="1"/>
  <c r="F98" i="1"/>
  <c r="E98" i="1"/>
  <c r="D98" i="1"/>
  <c r="C98" i="1"/>
  <c r="B98" i="1"/>
  <c r="I97" i="1"/>
  <c r="I95" i="1"/>
  <c r="I93" i="1"/>
  <c r="I98" i="1" s="1"/>
  <c r="H89" i="1"/>
  <c r="G89" i="1"/>
  <c r="F89" i="1"/>
  <c r="E89" i="1"/>
  <c r="D89" i="1"/>
  <c r="C89" i="1"/>
  <c r="B89" i="1"/>
  <c r="I88" i="1"/>
  <c r="I86" i="1"/>
  <c r="I84" i="1"/>
  <c r="I82" i="1"/>
  <c r="I80" i="1"/>
  <c r="I78" i="1"/>
  <c r="H74" i="1"/>
  <c r="G74" i="1"/>
  <c r="F74" i="1"/>
  <c r="E74" i="1"/>
  <c r="D74" i="1"/>
  <c r="C74" i="1"/>
  <c r="B74" i="1"/>
  <c r="I73" i="1"/>
  <c r="I71" i="1"/>
  <c r="I74" i="1" s="1"/>
  <c r="I69" i="1"/>
  <c r="H65" i="1"/>
  <c r="G65" i="1"/>
  <c r="F65" i="1"/>
  <c r="E65" i="1"/>
  <c r="D65" i="1"/>
  <c r="C65" i="1"/>
  <c r="B65" i="1"/>
  <c r="I64" i="1"/>
  <c r="I62" i="1"/>
  <c r="I60" i="1"/>
  <c r="I58" i="1"/>
  <c r="I56" i="1"/>
  <c r="I54" i="1"/>
  <c r="I52" i="1"/>
  <c r="I50" i="1"/>
  <c r="I48" i="1"/>
  <c r="I46" i="1"/>
  <c r="I44" i="1"/>
  <c r="I42" i="1"/>
  <c r="I40" i="1"/>
  <c r="I38" i="1"/>
  <c r="I36" i="1"/>
  <c r="H30" i="1"/>
  <c r="G30" i="1"/>
  <c r="F30" i="1"/>
  <c r="E30" i="1"/>
  <c r="D30" i="1"/>
  <c r="D148" i="1" s="1"/>
  <c r="C30" i="1"/>
  <c r="B30" i="1"/>
  <c r="I29" i="1"/>
  <c r="I27" i="1"/>
  <c r="I25" i="1"/>
  <c r="I30" i="1" s="1"/>
  <c r="H20" i="1"/>
  <c r="G20" i="1"/>
  <c r="G148" i="1" s="1"/>
  <c r="F20" i="1"/>
  <c r="E20" i="1"/>
  <c r="D20" i="1"/>
  <c r="C20" i="1"/>
  <c r="C148" i="1" s="1"/>
  <c r="B20" i="1"/>
  <c r="B148" i="1" s="1"/>
  <c r="I19" i="1"/>
  <c r="I17" i="1"/>
  <c r="I15" i="1"/>
  <c r="I13" i="1"/>
  <c r="I11" i="1"/>
  <c r="I20" i="1" s="1"/>
  <c r="I9" i="1"/>
  <c r="I4" i="1"/>
  <c r="C20" i="187"/>
  <c r="C19" i="187"/>
  <c r="C15" i="187"/>
  <c r="C14" i="187"/>
  <c r="F10" i="187"/>
  <c r="E10" i="187"/>
  <c r="D10" i="187"/>
  <c r="C10" i="187"/>
  <c r="F9" i="187"/>
  <c r="E9" i="187"/>
  <c r="D9" i="187"/>
  <c r="C9" i="187"/>
  <c r="F8" i="187"/>
  <c r="E8" i="187"/>
  <c r="D8" i="187"/>
  <c r="C8" i="187"/>
  <c r="AK63" i="195" l="1"/>
  <c r="AK65" i="195"/>
  <c r="AK69" i="195"/>
  <c r="AK82" i="195"/>
  <c r="G36" i="3"/>
  <c r="H36" i="3" s="1"/>
  <c r="I36" i="3" s="1"/>
  <c r="M35" i="3"/>
  <c r="O25" i="3"/>
  <c r="M27" i="3" s="1"/>
  <c r="P27" i="3"/>
  <c r="I107" i="3"/>
  <c r="G109" i="3" s="1"/>
  <c r="H109" i="3" s="1"/>
  <c r="I109" i="3" s="1"/>
  <c r="B149" i="1"/>
  <c r="I149" i="1" s="1"/>
  <c r="H149" i="1"/>
  <c r="H150" i="1" s="1"/>
  <c r="G149" i="1"/>
  <c r="G150" i="1" s="1"/>
  <c r="F149" i="1"/>
  <c r="E149" i="1"/>
  <c r="D149" i="1"/>
  <c r="I34" i="3"/>
  <c r="I220" i="3" s="1"/>
  <c r="I221" i="3" s="1"/>
  <c r="I70" i="3"/>
  <c r="G72" i="3" s="1"/>
  <c r="H72" i="3" s="1"/>
  <c r="I72" i="3" s="1"/>
  <c r="N41" i="3"/>
  <c r="N56" i="3" s="1"/>
  <c r="O60" i="3" s="1"/>
  <c r="M62" i="3" s="1"/>
  <c r="P62" i="3" s="1"/>
  <c r="D150" i="1"/>
  <c r="G10" i="3"/>
  <c r="H10" i="3" s="1"/>
  <c r="I10" i="3" s="1"/>
  <c r="C287" i="2"/>
  <c r="C288" i="2" s="1"/>
  <c r="E150" i="1"/>
  <c r="P182" i="3"/>
  <c r="G184" i="3"/>
  <c r="H184" i="3" s="1"/>
  <c r="I184" i="3" s="1"/>
  <c r="I65" i="1"/>
  <c r="I148" i="1" s="1"/>
  <c r="C149" i="1"/>
  <c r="C150" i="1" s="1"/>
  <c r="F220" i="3"/>
  <c r="F221" i="3" s="1"/>
  <c r="I65" i="2"/>
  <c r="S195" i="3"/>
  <c r="S203" i="3" s="1"/>
  <c r="D220" i="3"/>
  <c r="D221" i="3" s="1"/>
  <c r="N174" i="3"/>
  <c r="Q168" i="3" s="1"/>
  <c r="O170" i="3" s="1"/>
  <c r="Q170" i="3" s="1"/>
  <c r="O172" i="3" s="1"/>
  <c r="S172" i="3" s="1"/>
  <c r="S174" i="3" s="1"/>
  <c r="S182" i="3" s="1"/>
  <c r="I53" i="2"/>
  <c r="H287" i="2"/>
  <c r="H288" i="2" s="1"/>
  <c r="I116" i="2"/>
  <c r="G118" i="2" s="1"/>
  <c r="H118" i="2" s="1"/>
  <c r="I118" i="2" s="1"/>
  <c r="I162" i="3"/>
  <c r="G164" i="3" s="1"/>
  <c r="H164" i="3" s="1"/>
  <c r="I164" i="3" s="1"/>
  <c r="F287" i="2"/>
  <c r="F288" i="2" s="1"/>
  <c r="F148" i="1"/>
  <c r="F150" i="1" s="1"/>
  <c r="I89" i="1"/>
  <c r="G220" i="3"/>
  <c r="G221" i="3" s="1"/>
  <c r="I238" i="2"/>
  <c r="G240" i="2" s="1"/>
  <c r="H240" i="2" s="1"/>
  <c r="I240" i="2" s="1"/>
  <c r="I277" i="2"/>
  <c r="G279" i="2" s="1"/>
  <c r="H279" i="2" s="1"/>
  <c r="I279" i="2" s="1"/>
  <c r="P203" i="3"/>
  <c r="U203" i="3" s="1"/>
  <c r="I229" i="3" l="1"/>
  <c r="J222" i="3"/>
  <c r="B150" i="1"/>
  <c r="I150" i="1" s="1"/>
  <c r="I159" i="1" s="1"/>
  <c r="U182" i="3"/>
  <c r="M29" i="3"/>
  <c r="P29" i="3"/>
  <c r="P33" i="3" s="1"/>
  <c r="R33" i="3" s="1"/>
  <c r="O35" i="3" s="1"/>
  <c r="P35" i="3"/>
  <c r="G67" i="2"/>
  <c r="H67" i="2" s="1"/>
  <c r="I67" i="2" s="1"/>
  <c r="I287" i="2"/>
  <c r="I288" i="2" s="1"/>
  <c r="I297" i="2" s="1"/>
  <c r="P64" i="3"/>
  <c r="P66" i="3" s="1"/>
  <c r="R66" i="3" s="1"/>
  <c r="O68" i="3" s="1"/>
  <c r="P68" i="3" s="1"/>
  <c r="M64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Thomas Holm</author>
    <author>Gunner Lindskov Grell</author>
    <author>Kim Holm Aabroe</author>
    <author>Lasse Aae-Hartwig</author>
    <author>Mathias Søndergaard</author>
    <author>Mathias Nielsen</author>
    <author>Nick Lorentzen</author>
    <author>Kim BT. Pedersen</author>
    <author>Rasmus Sørensen</author>
    <author>Henrik Wolffbrandt Hansen</author>
  </authors>
  <commentList>
    <comment ref="K15" authorId="0" shapeId="0" xr:uid="{B85817EF-EB73-42A1-9039-F718B21AA927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V1</t>
        </r>
      </text>
    </comment>
    <comment ref="K16" authorId="1" shapeId="0" xr:uid="{79C29EC9-441D-4EA2-8408-F2258A92A1AC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Reffen 17:30 - 20:30 OA
</t>
        </r>
      </text>
    </comment>
    <comment ref="J18" authorId="2" shapeId="0" xr:uid="{88B67102-F40E-4B34-B972-043FDAF1210D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omlagt tjeneste V4
brikker</t>
        </r>
      </text>
    </comment>
    <comment ref="AD20" authorId="3" shapeId="0" xr:uid="{90A6186D-5830-4ECD-A213-4425DD3DDDA9}">
      <text>
        <r>
          <rPr>
            <b/>
            <sz val="9"/>
            <color indexed="81"/>
            <rFont val="Tahoma"/>
            <family val="2"/>
          </rPr>
          <t>Lasse Aae-Hartwig:</t>
        </r>
        <r>
          <rPr>
            <sz val="9"/>
            <color indexed="81"/>
            <rFont val="Tahoma"/>
            <family val="2"/>
          </rPr>
          <t xml:space="preserve">
Skal gå 13.00 thomas Holm dækker ind</t>
        </r>
      </text>
    </comment>
    <comment ref="AD21" authorId="1" shapeId="0" xr:uid="{1508F659-52FA-41DF-B6E8-A72A2380B1B6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møder kl. ca. 16:00</t>
        </r>
      </text>
    </comment>
    <comment ref="H23" authorId="0" shapeId="0" xr:uid="{6F9EE44F-3ED1-4E90-99B7-BCFFD9C15CC0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Kagens dag</t>
        </r>
      </text>
    </comment>
    <comment ref="I23" authorId="4" shapeId="0" xr:uid="{5120A3F2-F50E-4F2E-83D5-60344117C426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Center-MED</t>
        </r>
      </text>
    </comment>
    <comment ref="J23" authorId="5" shapeId="0" xr:uid="{0C04BC48-DDF4-4462-B8C7-833ADF3E6E55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Rentemestervej fra 14.30 opsætning</t>
        </r>
      </text>
    </comment>
    <comment ref="H27" authorId="1" shapeId="0" xr:uid="{8737538C-17EF-4D4E-BCF8-038C32AE4BC3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møder kl. 12:00</t>
        </r>
      </text>
    </comment>
    <comment ref="J27" authorId="1" shapeId="0" xr:uid="{F0A3C7B1-817B-4EA3-BFD4-8D788D99D00D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afløser på Mattheusgade kl. 12:30
</t>
        </r>
      </text>
    </comment>
    <comment ref="O27" authorId="1" shapeId="0" xr:uid="{D621016A-651C-426F-9DFC-A0166EB48614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er på fuglebakken hele dagen </t>
        </r>
      </text>
    </comment>
    <comment ref="P27" authorId="1" shapeId="0" xr:uid="{084B17A5-825B-4AA7-955C-4BC1AE79264D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skal gå kl. 11:30
</t>
        </r>
      </text>
    </comment>
    <comment ref="Q27" authorId="1" shapeId="0" xr:uid="{4B7B6D33-AABE-4919-9CA5-FF60AFCFC990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gl. køge landevej kommer kl. 11:00</t>
        </r>
      </text>
    </comment>
    <comment ref="T27" authorId="6" shapeId="0" xr:uid="{C2160244-FAAD-4750-9122-164707CDC8B9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Rentemestervej nedtagning 10 -14 OA
</t>
        </r>
      </text>
    </comment>
    <comment ref="X27" authorId="6" shapeId="0" xr:uid="{C7BEC23F-7140-4CA6-9BE2-9428AB88D675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Ude af huset ml. 12-15</t>
        </r>
      </text>
    </comment>
    <comment ref="Y27" authorId="1" shapeId="0" xr:uid="{EEDDB015-84E2-469B-9AF3-722B68AFE677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skal gå kl. 14:00
</t>
        </r>
      </text>
    </comment>
    <comment ref="J28" authorId="5" shapeId="0" xr:uid="{3D771967-AA93-4D4D-B987-49603AD13F4F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Rentemestervej fra 14.30 opsætning</t>
        </r>
      </text>
    </comment>
    <comment ref="N28" authorId="0" shapeId="0" xr:uid="{E20D9868-805D-4FE9-A6EE-45988250DD7A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Kl. 10.00-12.00 Hjælpe arr. service i hallen. </t>
        </r>
      </text>
    </comment>
    <comment ref="Y28" authorId="0" shapeId="0" xr:uid="{4526B10B-5A3D-4174-85A1-FD1AC9B3B9AE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Løser anden opgave.</t>
        </r>
      </text>
    </comment>
    <comment ref="R29" authorId="7" shapeId="0" xr:uid="{96F5033C-87B8-44A3-B555-BA3E41733C90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Mangler 4-vagt fra 16:30</t>
        </r>
      </text>
    </comment>
    <comment ref="R30" authorId="2" shapeId="0" xr:uid="{96DF5B7E-30EE-4EA3-9DCF-2B61FCB386FB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thorvaldsens 20.00</t>
        </r>
      </text>
    </comment>
    <comment ref="W30" authorId="2" shapeId="0" xr:uid="{1DAC7DC1-53D6-4EC0-8E56-E29CB6EF51A4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rentemestervej til 21.15</t>
        </r>
      </text>
    </comment>
    <comment ref="X30" authorId="2" shapeId="0" xr:uid="{F37569F5-7EEB-494E-BBC4-1968FD9AF0BC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rentemestervej til 20.45</t>
        </r>
      </text>
    </comment>
    <comment ref="AD30" authorId="6" shapeId="0" xr:uid="{0357159B-0AE7-4DB2-BD42-2B8C6EB171B0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Rentemestervej til kl. 21:30</t>
        </r>
      </text>
    </comment>
    <comment ref="F43" authorId="2" shapeId="0" xr:uid="{CBE6A659-E37C-4414-B2DE-0B061C73209A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afspadsering 4 timer</t>
        </r>
      </text>
    </comment>
    <comment ref="V45" authorId="7" shapeId="0" xr:uid="{D3557900-7E6A-4573-9357-D0D662673C64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Afsp. 1 time</t>
        </r>
      </text>
    </comment>
    <comment ref="W45" authorId="7" shapeId="0" xr:uid="{B3F664DC-889D-45B9-B208-CE89253D8DD6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Afsp. 1 time</t>
        </r>
      </text>
    </comment>
    <comment ref="X45" authorId="7" shapeId="0" xr:uid="{9C0A0B7B-5099-440A-8D0A-C66AEC1E3662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Afsp. 1 time</t>
        </r>
      </text>
    </comment>
    <comment ref="D47" authorId="4" shapeId="0" xr:uid="{693A0D18-DED3-4DBC-BFEE-666087810165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11-vagt OA</t>
        </r>
      </text>
    </comment>
    <comment ref="P47" authorId="1" shapeId="0" xr:uid="{618F3548-48DC-4C84-98B8-B5EFBC0A51BE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V3 OA</t>
        </r>
      </text>
    </comment>
    <comment ref="I48" authorId="8" shapeId="0" xr:uid="{BBC0E6A5-962E-48F8-ADD3-2835EA11C02C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O-vagt på oa</t>
        </r>
      </text>
    </comment>
    <comment ref="K48" authorId="8" shapeId="0" xr:uid="{C53F4E0F-BD4B-4845-8BF1-71B7E08789CF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O-vagt på 
</t>
        </r>
      </text>
    </comment>
    <comment ref="AF48" authorId="6" shapeId="0" xr:uid="{757C3F67-270A-450E-B2E7-CE1F1B8DD532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6-vagt OA</t>
        </r>
      </text>
    </comment>
    <comment ref="C49" authorId="3" shapeId="0" xr:uid="{31F517D1-E046-42F8-B85F-0409301D2406}">
      <text>
        <r>
          <rPr>
            <b/>
            <sz val="9"/>
            <color indexed="81"/>
            <rFont val="Tahoma"/>
            <family val="2"/>
          </rPr>
          <t>Lasse Aae-Hartwig:</t>
        </r>
        <r>
          <rPr>
            <sz val="9"/>
            <color indexed="81"/>
            <rFont val="Tahoma"/>
            <family val="2"/>
          </rPr>
          <t xml:space="preserve">
OA 7`er vagt</t>
        </r>
      </text>
    </comment>
    <comment ref="D49" authorId="3" shapeId="0" xr:uid="{19AFE956-B4E3-4424-B10A-FED7970BB86A}">
      <text>
        <r>
          <rPr>
            <b/>
            <sz val="9"/>
            <color indexed="81"/>
            <rFont val="Tahoma"/>
            <family val="2"/>
          </rPr>
          <t>Lasse Aae-Hartwig:</t>
        </r>
        <r>
          <rPr>
            <sz val="9"/>
            <color indexed="81"/>
            <rFont val="Tahoma"/>
            <family val="2"/>
          </rPr>
          <t xml:space="preserve">
OA 7`er vagt</t>
        </r>
      </text>
    </comment>
    <comment ref="L51" authorId="6" shapeId="0" xr:uid="{94839C18-9E05-456E-9D15-31CD2C2BC631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20.30 - 09:00 OA SP1</t>
        </r>
      </text>
    </comment>
    <comment ref="M51" authorId="9" shapeId="0" xr:uid="{F6A9EB82-B40F-4BD1-AFCF-AB5FA1353AAB}">
      <text>
        <r>
          <rPr>
            <sz val="9"/>
            <rFont val="Arial"/>
            <family val="2"/>
          </rPr>
          <t>Henrik Wolffbrandt Hansen:
OA</t>
        </r>
      </text>
    </comment>
    <comment ref="AC51" authorId="0" shapeId="0" xr:uid="{DC84BC10-0389-4A75-84D3-EF4FA9B1B792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Omlagt TJ Møder kl. 11.00</t>
        </r>
      </text>
    </comment>
    <comment ref="H63" authorId="1" shapeId="0" xr:uid="{EBE0E2DB-BB59-4C29-A629-E49E9951890E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Arbejder hjemmefra 
</t>
        </r>
      </text>
    </comment>
    <comment ref="AB64" authorId="0" shapeId="0" xr:uid="{54EBD449-6F82-44DB-8EAA-6CDB3B6BA77D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Arrangement 1900-2030</t>
        </r>
      </text>
    </comment>
    <comment ref="D66" authorId="1" shapeId="0" xr:uid="{500B96EF-79F8-4204-B62A-B765A8E213C6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afs kl. 12:30
</t>
        </r>
      </text>
    </comment>
    <comment ref="F67" authorId="6" shapeId="0" xr:uid="{95A9466A-1548-4E63-888B-11DBD247DC8A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OA 1 time</t>
        </r>
      </text>
    </comment>
    <comment ref="K67" authorId="1" shapeId="0" xr:uid="{47311410-B10D-45EC-BEE0-D9E104E7DA41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O vagt på AO</t>
        </r>
      </text>
    </comment>
    <comment ref="O67" authorId="2" shapeId="0" xr:uid="{30942A86-D1C8-4241-A00D-7DF129E4CB6E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11-vagt oa</t>
        </r>
      </text>
    </comment>
    <comment ref="D68" authorId="1" shapeId="0" xr:uid="{165090E2-432E-42F3-83F4-6D30674477B0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tager vagt 5 efter "S" vagten op overarbejde </t>
        </r>
      </text>
    </comment>
    <comment ref="AB68" authorId="0" shapeId="0" xr:uid="{038DF44B-29A0-4870-BBF2-2B137949645D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Arrangement 1900-2030</t>
        </r>
      </text>
    </comment>
    <comment ref="D69" authorId="4" shapeId="0" xr:uid="{DC65E3BA-3A78-4F75-95B2-D0426820C51E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Beholde F-dag</t>
        </r>
      </text>
    </comment>
    <comment ref="V69" authorId="0" shapeId="0" xr:uid="{B68EBCD1-ABB7-4E70-A441-49071E85572E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Arrangement 16.30</t>
        </r>
      </text>
    </comment>
    <comment ref="AC70" authorId="0" shapeId="0" xr:uid="{EC2D0C15-76EF-4DEC-960F-1B1B6990D561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Møder 09.00-16.45
Dækker 69-vagten indtil
arrangement</t>
        </r>
      </text>
    </comment>
    <comment ref="O71" authorId="1" shapeId="0" xr:uid="{5056D8CB-64C1-4622-807D-F8BC81394D1F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RF1 OA</t>
        </r>
      </text>
    </comment>
    <comment ref="T72" authorId="6" shapeId="0" xr:uid="{C3524E75-4A47-4144-8D09-AC90C86A6059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Rentemestervej OA ½ time</t>
        </r>
      </text>
    </comment>
    <comment ref="D74" authorId="1" shapeId="0" xr:uid="{76809174-86B7-4BCE-94AB-F8AF7123A5AC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vagt 13:00 - 20:30
</t>
        </r>
      </text>
    </comment>
    <comment ref="I74" authorId="2" shapeId="0" xr:uid="{4D1F25B0-06C5-480D-ACF1-544685658492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89-vagt 2 timers OA</t>
        </r>
      </text>
    </comment>
    <comment ref="T75" authorId="6" shapeId="0" xr:uid="{4C235436-C33F-4852-9702-536DB48B9DA8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Rentemestervej nedtagning 10 -14 OA
</t>
        </r>
      </text>
    </comment>
    <comment ref="E76" authorId="1" shapeId="0" xr:uid="{1653A524-984A-4DB0-9100-53BF8F1A0974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Vagt bellahøj halen 15:00 - 22:30
 </t>
        </r>
      </text>
    </comment>
    <comment ref="F76" authorId="1" shapeId="0" xr:uid="{1D9A39AA-B92C-4C40-BFA2-FD19AC8B45CD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vagt Bellahøj halen 15:00 - 22:30</t>
        </r>
      </text>
    </comment>
    <comment ref="D77" authorId="8" shapeId="0" xr:uid="{D51D0889-DA6F-4F91-BBE3-A3CFD1036AD3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rundvisningen </t>
        </r>
      </text>
    </comment>
    <comment ref="H77" authorId="0" shapeId="0" xr:uid="{77CBEF0A-9115-4DC1-8530-F185607EFB6A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Kagens dag</t>
        </r>
      </text>
    </comment>
    <comment ref="Q78" authorId="1" shapeId="0" xr:uid="{CF410EFB-13FA-486A-AAEC-2BA76EC2907A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dækker 4 vagten OA</t>
        </r>
      </text>
    </comment>
    <comment ref="H82" authorId="1" shapeId="0" xr:uid="{2A2489F2-76F8-4634-AF31-DC51A051FE85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Brandvagt Bellahøj Svømmestadion fra kl. 22:30 - 06:00 </t>
        </r>
      </text>
    </comment>
    <comment ref="J82" authorId="8" shapeId="0" xr:uid="{C6E3AAF3-BB03-4996-9F5B-0ABC5B8FA74A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o-vagt på oa
slut kl. 20:30
</t>
        </r>
      </text>
    </comment>
    <comment ref="D86" authorId="4" shapeId="0" xr:uid="{CE3FBDA2-EE09-4FF9-B168-4DF0D0834BB7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G86" authorId="4" shapeId="0" xr:uid="{7A810EA0-8DE4-4560-9C88-E37914AE4CD2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H86" authorId="4" shapeId="0" xr:uid="{2F60BE03-A694-48E1-BF9C-29F3CD8E970F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I86" authorId="4" shapeId="0" xr:uid="{EF5A2FBE-C5DA-45A1-8DF1-EDCEC9113EDF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J86" authorId="4" shapeId="0" xr:uid="{B4E592BF-6A3D-47DD-AF26-41A4EA15AB0D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K86" authorId="4" shapeId="0" xr:uid="{92EF501E-5B54-4FE9-AE98-6C9FB99CCDD8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slut på skole</t>
        </r>
      </text>
    </comment>
    <comment ref="G87" authorId="1" shapeId="0" xr:uid="{86968AA6-8651-4438-B512-5EAD30CE87D8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skole
</t>
        </r>
      </text>
    </comment>
    <comment ref="H87" authorId="1" shapeId="0" xr:uid="{171CA8D1-19E4-4BB4-9893-9FC0289B53E9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skole
</t>
        </r>
      </text>
    </comment>
    <comment ref="I87" authorId="1" shapeId="0" xr:uid="{C2017E88-5E6F-475A-9745-328481B0D2D6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skole
</t>
        </r>
      </text>
    </comment>
    <comment ref="J87" authorId="1" shapeId="0" xr:uid="{71C0F013-E211-48AE-8E6E-E49BA6C1F491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skole
</t>
        </r>
      </text>
    </comment>
    <comment ref="K87" authorId="1" shapeId="0" xr:uid="{7766E8D0-28F4-445D-805E-935EFF4FD7D5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skole
</t>
        </r>
      </text>
    </comment>
    <comment ref="N87" authorId="1" shapeId="0" xr:uid="{1E6F37A9-25A2-4C2E-9704-CC2BB7CB258D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skole
</t>
        </r>
      </text>
    </comment>
    <comment ref="O87" authorId="1" shapeId="0" xr:uid="{00DAA3B2-7463-46D6-A54C-4F260F5DEDEF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skole
</t>
        </r>
      </text>
    </comment>
    <comment ref="P87" authorId="1" shapeId="0" xr:uid="{377B4390-7F79-43A4-BB99-F91FD1772846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skole
</t>
        </r>
      </text>
    </comment>
    <comment ref="Q87" authorId="1" shapeId="0" xr:uid="{7E0393BA-B0C4-4F5D-A753-342255C069FE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skole
</t>
        </r>
      </text>
    </comment>
    <comment ref="R87" authorId="1" shapeId="0" xr:uid="{2802B0E0-2D9A-4C9B-8C5A-89A53B14A495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skole
</t>
        </r>
      </text>
    </comment>
    <comment ref="U87" authorId="0" shapeId="0" xr:uid="{E265154C-766B-46B7-AF3B-EBA94E75B2F5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3-vagt fra kl. 12.30</t>
        </r>
      </text>
    </comment>
    <comment ref="W87" authorId="9" shapeId="0" xr:uid="{3F9AC831-9A39-4D8F-996E-90AB26CC2154}">
      <text>
        <r>
          <rPr>
            <sz val="9"/>
            <rFont val="Arial"/>
            <family val="2"/>
          </rPr>
          <t>Henrik Wolffbrandt Hansen:
Regner med at kunne møde omkring 14 tiden - plus minus</t>
        </r>
      </text>
    </comment>
    <comment ref="AB87" authorId="0" shapeId="0" xr:uid="{63E18815-03AF-4705-98BF-48AB6D0A44AB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C87" authorId="0" shapeId="0" xr:uid="{FF6D27BB-B1C7-4E31-AEDB-5644747F7ECD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Møder 09:00-16:45
Skal til møde fra kl. 10.00-11.00
Arrangement</t>
        </r>
      </text>
    </comment>
    <comment ref="R102" authorId="3" shapeId="0" xr:uid="{70D12581-A90E-4039-8C54-693548937349}">
      <text>
        <r>
          <rPr>
            <b/>
            <sz val="9"/>
            <color indexed="81"/>
            <rFont val="Tahoma"/>
            <family val="2"/>
          </rPr>
          <t>Lasse Aae-Hartwig:</t>
        </r>
        <r>
          <rPr>
            <sz val="9"/>
            <color indexed="81"/>
            <rFont val="Tahoma"/>
            <family val="2"/>
          </rPr>
          <t xml:space="preserve">
Afspadsering fra 22.30 - 23.45</t>
        </r>
      </text>
    </comment>
    <comment ref="Y102" authorId="7" shapeId="0" xr:uid="{08280362-230E-4987-B876-04D9026546D8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Afsp. 1 time</t>
        </r>
      </text>
    </comment>
    <comment ref="D103" authorId="4" shapeId="0" xr:uid="{92BA6B1F-62F7-4556-9A38-F8E915B55102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Afspadsering fra 22:45</t>
        </r>
      </text>
    </comment>
    <comment ref="F103" authorId="6" shapeId="0" xr:uid="{31627073-58F8-4A33-8CFC-8FE6266153C8}">
      <text>
        <r>
          <rPr>
            <sz val="9"/>
            <rFont val="Arial"/>
            <family val="2"/>
          </rPr>
          <t xml:space="preserve">Nick Lorentzen:
OA ½ time </t>
        </r>
      </text>
    </comment>
    <comment ref="J103" authorId="6" shapeId="0" xr:uid="{442F1289-4B6C-4D89-A3BA-5836AC817027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Afspadserer fra kl 22:00</t>
        </r>
      </text>
    </comment>
    <comment ref="K103" authorId="6" shapeId="0" xr:uid="{1CAE87F9-89DF-4D87-B49D-A97FF75A2E8F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Afspadserer fra kl 22:00</t>
        </r>
      </text>
    </comment>
    <comment ref="D158" authorId="3" shapeId="0" xr:uid="{5C2979EA-EA7B-4E6F-96A3-5F10DE58D818}">
      <text>
        <r>
          <rPr>
            <b/>
            <sz val="9"/>
            <color indexed="81"/>
            <rFont val="Tahoma"/>
            <family val="2"/>
          </rPr>
          <t>Lasse Aae-Hartwig:</t>
        </r>
        <r>
          <rPr>
            <sz val="9"/>
            <color indexed="81"/>
            <rFont val="Tahoma"/>
            <family val="2"/>
          </rPr>
          <t xml:space="preserve">
Afspadsering sidste 30 min af vagten</t>
        </r>
      </text>
    </comment>
    <comment ref="H159" authorId="0" shapeId="0" xr:uid="{54D33922-9A5F-44AE-A135-B4E869C260C8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Kagens dag</t>
        </r>
      </text>
    </comment>
    <comment ref="AC159" authorId="0" shapeId="0" xr:uid="{D3FB2CA6-6AA4-4831-90DC-D74E427AEDE2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Øvelse</t>
        </r>
      </text>
    </comment>
    <comment ref="V161" authorId="0" shapeId="0" xr:uid="{09085BC4-275B-4F8A-8D31-1CAE598AB251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Arrangement 16.30</t>
        </r>
      </text>
    </comment>
    <comment ref="W161" authorId="0" shapeId="0" xr:uid="{AC42BE23-1F07-4DEF-B371-54A0939BFA82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Arrangement 15.30</t>
        </r>
      </text>
    </comment>
    <comment ref="AB161" authorId="0" shapeId="0" xr:uid="{3D9B717A-941A-4AA0-BCFD-ED2802DB91A1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Arrangement 1900-2030</t>
        </r>
      </text>
    </comment>
    <comment ref="H162" authorId="4" shapeId="0" xr:uid="{A9213401-EB21-4642-9B0A-309C43396A8B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AMR 09.00-11.30 fuglebakken</t>
        </r>
      </text>
    </comment>
    <comment ref="K162" authorId="0" shapeId="0" xr:uid="{1CCAE123-54F6-43DF-B610-7022B40C62E5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Møde 11.30-12.45</t>
        </r>
      </text>
    </comment>
    <comment ref="O162" authorId="1" shapeId="0" xr:uid="{B8E4EFD5-F45D-4D94-BC1A-12876E789B8E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til møde ang. TU25 fra kl. 08:00 - 09:50
</t>
        </r>
      </text>
    </comment>
    <comment ref="V162" authorId="0" shapeId="0" xr:uid="{52FC8223-7B73-4391-B641-DC83806A4578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Arrangement 16.30</t>
        </r>
      </text>
    </comment>
    <comment ref="W162" authorId="0" shapeId="0" xr:uid="{C685BA24-0F2F-42AE-98CE-596FCE386422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Arrangement 15.30</t>
        </r>
      </text>
    </comment>
    <comment ref="AB162" authorId="0" shapeId="0" xr:uid="{36740EE5-6C30-4061-9016-BB44373BD5E5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Arrangement 1900-2030</t>
        </r>
      </text>
    </comment>
    <comment ref="AC162" authorId="0" shapeId="0" xr:uid="{12EF8F3B-DB63-43C5-8669-3577B20A01C9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Arr. 1500-16.30</t>
        </r>
      </text>
    </comment>
    <comment ref="T179" authorId="7" shapeId="0" xr:uid="{D12F41B8-EE8F-41A7-965C-4FB3E811F98E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Afsp fra kl. 5:00</t>
        </r>
      </text>
    </comment>
    <comment ref="AE179" authorId="2" shapeId="0" xr:uid="{3A3070F7-A2E6-48F0-8205-B7AAAC65745E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afsp. Fra kl. 05.00</t>
        </r>
      </text>
    </comment>
    <comment ref="E180" authorId="4" shapeId="0" xr:uid="{FEB463CB-80C0-4B39-9B45-5100B08530C1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Møder som S1
Mødte kl 19:00 lødag
OA for timer udover normal arbejdstid</t>
        </r>
      </text>
    </comment>
    <comment ref="F180" authorId="4" shapeId="0" xr:uid="{AAF2E8AF-1D1C-4CE6-978F-85C4DE816184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Møder som S1
OA for timer udover normal arbejdstid</t>
        </r>
      </text>
    </comment>
    <comment ref="AF180" authorId="2" shapeId="0" xr:uid="{238CF67B-CF1F-4B83-9283-292079974B72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afsp. Fra 05.00</t>
        </r>
      </text>
    </comment>
    <comment ref="AG180" authorId="7" shapeId="0" xr:uid="{D1499356-C787-4BC5-BD40-BF7983D3F9E1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Afsp fra kl. 5:00</t>
        </r>
      </text>
    </comment>
    <comment ref="P222" authorId="7" shapeId="0" xr:uid="{F793578F-9016-4FDE-905A-A6184F7BB987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OA til 16:30 pga møde
</t>
        </r>
      </text>
    </comment>
    <comment ref="N224" authorId="1" shapeId="0" xr:uid="{4F1E6E6B-B48D-464B-AF87-2BB5C65B102F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møder først kl. 11:00</t>
        </r>
      </text>
    </comment>
    <comment ref="J225" authorId="1" shapeId="0" xr:uid="{600E891D-CA4B-4636-AC21-B70E73A0AD12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går kl. 12:30
skal til læge
</t>
        </r>
      </text>
    </comment>
    <comment ref="I226" authorId="1" shapeId="0" xr:uid="{C928AE94-8E89-4FF2-A3CD-769EA0BD6405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introforløb FOA </t>
        </r>
      </text>
    </comment>
    <comment ref="J226" authorId="1" shapeId="0" xr:uid="{67D14A68-5F69-4A23-9F62-B3505613AE52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Introforløb FOA</t>
        </r>
      </text>
    </comment>
    <comment ref="K226" authorId="1" shapeId="0" xr:uid="{534EDB1B-FB77-4449-B27D-CD1FC10DE520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introforløb FOA</t>
        </r>
      </text>
    </comment>
    <comment ref="AF229" authorId="4" shapeId="0" xr:uid="{91550EAB-6500-4114-A158-2957830EF1B4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Ingen afløser</t>
        </r>
      </text>
    </comment>
    <comment ref="N272" authorId="1" shapeId="0" xr:uid="{61B095A9-3AF5-42BD-89F5-422D6D49934F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AFS fra kl. 12:50
</t>
        </r>
      </text>
    </comment>
    <comment ref="D277" authorId="4" shapeId="0" xr:uid="{A44A6ED6-4125-4D4F-B3EC-EDDC22B6FC1C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Dækker 89-vagten</t>
        </r>
      </text>
    </comment>
    <comment ref="G277" authorId="4" shapeId="0" xr:uid="{A9F0D8D7-CFD6-4446-BE27-A9FD025BC128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Dækker 3-vagten</t>
        </r>
      </text>
    </comment>
    <comment ref="H277" authorId="4" shapeId="0" xr:uid="{DF068F5E-683C-4CC9-A8C9-D458FA68C66A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Dækker 3-vagten</t>
        </r>
      </text>
    </comment>
    <comment ref="I277" authorId="4" shapeId="0" xr:uid="{7875FDDD-2EC8-42CA-85C2-7A199A9341BA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Dækker 3-vagten</t>
        </r>
      </text>
    </comment>
    <comment ref="J277" authorId="4" shapeId="0" xr:uid="{B089F031-08F9-4137-A94B-E47E3C9EAD95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Dækker 3-vagten</t>
        </r>
      </text>
    </comment>
    <comment ref="K277" authorId="4" shapeId="0" xr:uid="{E67AB02A-2380-4BEE-ABA8-5F7A022A46FB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Dækker 3-vagten</t>
        </r>
      </text>
    </comment>
    <comment ref="N277" authorId="0" shapeId="0" xr:uid="{773D8E3F-4F74-4000-A74D-AA4B84022F68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4-vagt</t>
        </r>
      </text>
    </comment>
    <comment ref="O277" authorId="0" shapeId="0" xr:uid="{A37CCCCF-D9D1-419F-8651-51465F4E27DA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4-vagt</t>
        </r>
      </text>
    </comment>
    <comment ref="P277" authorId="0" shapeId="0" xr:uid="{6FC56899-D118-4CCA-8309-C30305DA55D2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4-vagt</t>
        </r>
      </text>
    </comment>
    <comment ref="R277" authorId="0" shapeId="0" xr:uid="{CFD1838B-EDA5-400C-8419-50C16D3EBE84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4-vagt</t>
        </r>
      </text>
    </comment>
    <comment ref="U277" authorId="4" shapeId="0" xr:uid="{2C05CDB9-CA03-4521-94EF-7FD98082A6F3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Dækker 3-vagten
Rentemestervej fra kl. ca. 13.00</t>
        </r>
      </text>
    </comment>
    <comment ref="V277" authorId="4" shapeId="0" xr:uid="{7BB4BEDC-BFF8-4111-91CB-FB9368132EB2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Arbejde med Rentemestervej</t>
        </r>
      </text>
    </comment>
    <comment ref="AB277" authorId="4" shapeId="0" xr:uid="{34286459-5D95-47EB-B079-1CA0811B4B5B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Dækker I1-vagten</t>
        </r>
      </text>
    </comment>
    <comment ref="AC277" authorId="4" shapeId="0" xr:uid="{568DEFB4-C89B-47F1-BC61-8308C7A03369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Dækker I1-vagten</t>
        </r>
      </text>
    </comment>
    <comment ref="AD277" authorId="4" shapeId="0" xr:uid="{61AA1534-19F4-4B25-B6F8-1C4445E1E667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Dækker I1-vagten, Ude af huset fra 10 - 11.20</t>
        </r>
      </text>
    </comment>
    <comment ref="AF277" authorId="4" shapeId="0" xr:uid="{47442D72-BD90-4833-B6FE-9900571704C1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Dækker I1-vagten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Gunner Lindskov Grell</author>
    <author>Michael Fabæch Knudsen</author>
    <author>Mathias Søndergaard</author>
    <author>Steen Hertin-Sandkær</author>
    <author>Thomas Holm</author>
    <author>Kim BT. Pedersen</author>
    <author>Lars Emil Hartvig Sørensen</author>
    <author>Nick Lorentzen</author>
    <author>Henrik Wolffbrandt Hansen</author>
    <author>Lasse Aae-Hartwig</author>
    <author>Rasmus Sørensen</author>
    <author>Peter Werner Madsen</author>
    <author>Kim Holm Aabroe</author>
  </authors>
  <commentList>
    <comment ref="R16" authorId="0" shapeId="0" xr:uid="{1A4762F7-F6A2-4062-BD31-66E5F0642F5C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Ekstra vagt på reffen fra kl. 17:30 til 20:30
</t>
        </r>
      </text>
    </comment>
    <comment ref="S16" authorId="0" shapeId="0" xr:uid="{6932CAF2-242A-4C35-82C4-C2F34CD0D275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Ekstra vagt på reffen fra kl. 17:30 til 20:30
</t>
        </r>
      </text>
    </comment>
    <comment ref="O18" authorId="0" shapeId="0" xr:uid="{72D3E26D-55A1-4B91-A0FF-C7D1B27236D9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Formandsmøde 
</t>
        </r>
      </text>
    </comment>
    <comment ref="O19" authorId="0" shapeId="0" xr:uid="{9A910BB0-6407-4EF9-B319-6ECC3FF5773C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Formandsmøde </t>
        </r>
      </text>
    </comment>
    <comment ref="U19" authorId="1" shapeId="0" xr:uid="{1CCE9618-C372-4B47-86C4-E9A8625C81C7}">
      <text>
        <r>
          <rPr>
            <sz val="9"/>
            <rFont val="Arial"/>
            <family val="2"/>
          </rPr>
          <t>Michael Fabæch Knudsen:
OA V1</t>
        </r>
      </text>
    </comment>
    <comment ref="V19" authorId="1" shapeId="0" xr:uid="{3F1C339B-5E0C-49BD-8119-14A26EDC669C}">
      <text>
        <r>
          <rPr>
            <sz val="9"/>
            <rFont val="Arial"/>
            <family val="2"/>
          </rPr>
          <t>Michael Fabæch Knudsen:
OA v1</t>
        </r>
      </text>
    </comment>
    <comment ref="AF19" authorId="1" shapeId="0" xr:uid="{F8B1A6D5-DD0F-40E2-BC34-3E4E052479D1}">
      <text>
        <r>
          <rPr>
            <sz val="9"/>
            <rFont val="Arial"/>
            <family val="2"/>
          </rPr>
          <t>Michael Fabæch Knudsen:
OA V3</t>
        </r>
      </text>
    </comment>
    <comment ref="O20" authorId="0" shapeId="0" xr:uid="{1D3785E5-6459-448E-A259-C1DB482E59CE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Formandsmøde </t>
        </r>
      </text>
    </comment>
    <comment ref="N21" authorId="0" shapeId="0" xr:uid="{BA49D373-6E77-4581-AF3D-46C93B524C5C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Formands møde </t>
        </r>
      </text>
    </comment>
    <comment ref="O21" authorId="0" shapeId="0" xr:uid="{9122936A-A68A-45B0-B284-BA0274BDF450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Formandsmøde </t>
        </r>
      </text>
    </comment>
    <comment ref="O22" authorId="0" shapeId="0" xr:uid="{72061CB4-B98E-4072-8E83-EE8FAF309753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Formandsmøde </t>
        </r>
      </text>
    </comment>
    <comment ref="O23" authorId="0" shapeId="0" xr:uid="{546CB280-9D96-47B3-A484-B2DB3080ACDD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Formandsmøde 
</t>
        </r>
      </text>
    </comment>
    <comment ref="U23" authorId="2" shapeId="0" xr:uid="{7810280E-5859-4B4D-ABAD-0F64E8066F8F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Temadag TR i køge</t>
        </r>
      </text>
    </comment>
    <comment ref="AA25" authorId="3" shapeId="0" xr:uid="{38B60B18-EF87-4701-92A1-957D10EBDE6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AC25" authorId="3" shapeId="0" xr:uid="{989B71D4-1CA9-44EE-B746-58D95890521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Ikke tilstede</t>
        </r>
      </text>
    </comment>
    <comment ref="O26" authorId="0" shapeId="0" xr:uid="{19F23331-8FCA-4EDA-BF44-8D7A016C843D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Formandsmøde </t>
        </r>
      </text>
    </comment>
    <comment ref="D28" authorId="0" shapeId="0" xr:uid="{87BBE027-23D6-414B-84D3-7ACCAD67CAC0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møder kl. 06:00 skal på rentemestervej kl. 10:00</t>
        </r>
      </text>
    </comment>
    <comment ref="E28" authorId="4" shapeId="0" xr:uid="{F7D206B3-7C2C-4B3B-BEBB-A376CC036F4D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Arrangementservice
9.30-12.30</t>
        </r>
      </text>
    </comment>
    <comment ref="F28" authorId="0" shapeId="0" xr:uid="{353AFC0D-220C-4B91-82B9-5F241AE6A778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møder kl. 06:00 på rentemestervej køre derefter til læge 
</t>
        </r>
      </text>
    </comment>
    <comment ref="Z28" authorId="0" shapeId="0" xr:uid="{CAE67673-5B6F-4C17-8309-22B509D8F641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møder tidligere og går tidligere </t>
        </r>
      </text>
    </comment>
    <comment ref="E30" authorId="5" shapeId="0" xr:uid="{AA9C7ADF-2120-49CA-918C-86B9EE2DFE00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Rentemestervej til 21:15</t>
        </r>
      </text>
    </comment>
    <comment ref="AC43" authorId="6" shapeId="0" xr:uid="{6B5C1F03-448E-4279-8E2B-49FB7A412CA8}">
      <text>
        <r>
          <rPr>
            <sz val="9"/>
            <rFont val="Arial"/>
            <family val="2"/>
          </rPr>
          <t xml:space="preserve">Lars Emil Hartvig Sørensen:
Afspadsering D.27-06-25
Bo Michelsen 
Kl. 12:00 14:00 
</t>
        </r>
      </text>
    </comment>
    <comment ref="C45" authorId="5" shapeId="0" xr:uid="{2F690B19-EC7D-458D-A153-9F831F370174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Afsp 2 timer</t>
        </r>
      </text>
    </comment>
    <comment ref="U45" authorId="0" shapeId="0" xr:uid="{5E0D726A-AEE1-4FA8-A473-0DA805B8078C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2,5 time OA har været på Reffen</t>
        </r>
      </text>
    </comment>
    <comment ref="Y45" authorId="6" shapeId="0" xr:uid="{05FAD243-C80A-47B3-8242-027959E3C12E}">
      <text>
        <r>
          <rPr>
            <sz val="9"/>
            <rFont val="Arial"/>
            <family val="2"/>
          </rPr>
          <t>Lars Emil Hartvig Sørensen:
Afspadsering
Thomas Bay  
Fra 08:30 - 15:30</t>
        </r>
      </text>
    </comment>
    <comment ref="Z45" authorId="6" shapeId="0" xr:uid="{F60DE350-2580-4BFE-8205-0CC374C327FA}">
      <text>
        <r>
          <rPr>
            <sz val="9"/>
            <rFont val="Arial"/>
            <family val="2"/>
          </rPr>
          <t>Lars Emil Hartvig Sørensen:
Afspadsering
Thomas Bay  
Fra 08:30 - 15:30</t>
        </r>
      </text>
    </comment>
    <comment ref="AA45" authorId="6" shapeId="0" xr:uid="{08799500-1A86-4929-A109-8E43F1E1717A}">
      <text>
        <r>
          <rPr>
            <sz val="9"/>
            <rFont val="Arial"/>
            <family val="2"/>
          </rPr>
          <t>Lars Emil Hartvig Sørensen:
Afspadsering
Thomas Bay  
Fra 08:30 - 15:30</t>
        </r>
      </text>
    </comment>
    <comment ref="L48" authorId="4" shapeId="0" xr:uid="{33707EC7-3052-46CA-A2EF-EC0B1E36D169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Øvelse</t>
        </r>
      </text>
    </comment>
    <comment ref="D49" authorId="7" shapeId="0" xr:uid="{B19BEA8B-523C-4E9C-8AF2-CC41F16751D5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9-vagt OA</t>
        </r>
      </text>
    </comment>
    <comment ref="G49" authorId="8" shapeId="0" xr:uid="{DF023804-E6E4-445C-A021-190AC633A1E5}">
      <text>
        <r>
          <rPr>
            <sz val="9"/>
            <rFont val="Arial"/>
            <family val="2"/>
          </rPr>
          <t>Henrik Wolffbrandt Hansen:
OA 23 Kødbyen kl. 21 - 07</t>
        </r>
      </text>
    </comment>
    <comment ref="O50" authorId="8" shapeId="0" xr:uid="{7DF7700C-52C6-43E2-9EBF-D4043A034243}">
      <text>
        <r>
          <rPr>
            <sz val="9"/>
            <rFont val="Arial"/>
            <family val="2"/>
          </rPr>
          <t>Henrik Wolffbrandt Hansen:
Møder ca. 16:30</t>
        </r>
      </text>
    </comment>
    <comment ref="E51" authorId="4" shapeId="0" xr:uid="{12AA5AFF-61DB-44DE-A00C-FA37CCF947CD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Øvelse det Kgl. Bibliotek</t>
        </r>
      </text>
    </comment>
    <comment ref="L51" authorId="4" shapeId="0" xr:uid="{C90B9639-A973-4932-B65E-505555942D40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Øvelse</t>
        </r>
      </text>
    </comment>
    <comment ref="E55" authorId="4" shapeId="0" xr:uid="{84207955-34CD-4CEC-A7D0-65A52735B657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Dagvagt 9-16</t>
        </r>
      </text>
    </comment>
    <comment ref="F55" authorId="4" shapeId="0" xr:uid="{F3C09648-A10B-4F36-A6D9-C189F9A52910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Dagvagt 9-16</t>
        </r>
      </text>
    </comment>
    <comment ref="G55" authorId="4" shapeId="0" xr:uid="{E5081F71-E36B-436D-B3DC-636792B2B476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Dagvagt 9-16</t>
        </r>
      </text>
    </comment>
    <comment ref="H55" authorId="4" shapeId="0" xr:uid="{A2117CA2-F06F-40EB-9518-BCF01A389A37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Dagvagt 9-16</t>
        </r>
      </text>
    </comment>
    <comment ref="G56" authorId="9" shapeId="0" xr:uid="{7B9FD57E-C98E-450C-B878-400E0813BD6F}">
      <text>
        <r>
          <rPr>
            <b/>
            <sz val="9"/>
            <color indexed="81"/>
            <rFont val="Tahoma"/>
            <family val="2"/>
          </rPr>
          <t>Lasse Aae-Hartwig:</t>
        </r>
        <r>
          <rPr>
            <sz val="9"/>
            <color indexed="81"/>
            <rFont val="Tahoma"/>
            <family val="2"/>
          </rPr>
          <t xml:space="preserve">
OA fra 19-23</t>
        </r>
      </text>
    </comment>
    <comment ref="T56" authorId="9" shapeId="0" xr:uid="{194DB2B3-BA0A-406D-AD3C-A9A37D7060E8}">
      <text>
        <r>
          <rPr>
            <b/>
            <sz val="9"/>
            <color indexed="81"/>
            <rFont val="Tahoma"/>
            <family val="2"/>
          </rPr>
          <t>Lasse Aae-Hartwig:</t>
        </r>
        <r>
          <rPr>
            <sz val="9"/>
            <color indexed="81"/>
            <rFont val="Tahoma"/>
            <family val="2"/>
          </rPr>
          <t xml:space="preserve">
Bytter med elias</t>
        </r>
      </text>
    </comment>
    <comment ref="U56" authorId="9" shapeId="0" xr:uid="{D2090D39-6AA0-492C-B94B-F11528CCF30C}">
      <text>
        <r>
          <rPr>
            <b/>
            <sz val="9"/>
            <color indexed="81"/>
            <rFont val="Tahoma"/>
            <family val="2"/>
          </rPr>
          <t>Lasse Aae-Hartwig:</t>
        </r>
        <r>
          <rPr>
            <sz val="9"/>
            <color indexed="81"/>
            <rFont val="Tahoma"/>
            <family val="2"/>
          </rPr>
          <t xml:space="preserve">
Bytter med elias</t>
        </r>
      </text>
    </comment>
    <comment ref="C64" authorId="8" shapeId="0" xr:uid="{59B01F80-A977-4B80-ABB5-7F93C437030F}">
      <text>
        <r>
          <rPr>
            <sz val="9"/>
            <rFont val="Arial"/>
            <family val="2"/>
          </rPr>
          <t>Henrik Wolffbrandt Hansen:
OA Ukraine lokationer.
05:30  -  14:30
Reffen + Lygten</t>
        </r>
      </text>
    </comment>
    <comment ref="V65" authorId="9" shapeId="0" xr:uid="{F4B99A66-9E87-4F95-A922-C6FCE768CF8C}">
      <text>
        <r>
          <rPr>
            <b/>
            <sz val="9"/>
            <color indexed="81"/>
            <rFont val="Tahoma"/>
            <family val="2"/>
          </rPr>
          <t>Lasse Aae-Hartwig:</t>
        </r>
        <r>
          <rPr>
            <sz val="9"/>
            <color indexed="81"/>
            <rFont val="Tahoma"/>
            <family val="2"/>
          </rPr>
          <t xml:space="preserve">
OA fra 00.30 - 01.30</t>
        </r>
      </text>
    </comment>
    <comment ref="W65" authorId="1" shapeId="0" xr:uid="{CA59857C-CB2C-405A-AE68-61F21EF3E63B}">
      <text>
        <r>
          <rPr>
            <sz val="9"/>
            <rFont val="Arial"/>
            <family val="2"/>
          </rPr>
          <t>Michael Fabæch Knudsen:
overarbejde grundet lukkede veje , da der er cykelløb.00.00 -  01.30</t>
        </r>
      </text>
    </comment>
    <comment ref="D66" authorId="9" shapeId="0" xr:uid="{626C3460-6221-4B83-BE46-DCD328E04570}">
      <text>
        <r>
          <rPr>
            <b/>
            <sz val="9"/>
            <color indexed="81"/>
            <rFont val="Tahoma"/>
            <family val="2"/>
          </rPr>
          <t>Lasse Aae-Hartwig:</t>
        </r>
        <r>
          <rPr>
            <sz val="9"/>
            <color indexed="81"/>
            <rFont val="Tahoma"/>
            <family val="2"/>
          </rPr>
          <t xml:space="preserve">
Afspadsere fra 15-16</t>
        </r>
      </text>
    </comment>
    <comment ref="T66" authorId="0" shapeId="0" xr:uid="{35D03C27-050C-4336-8522-D7C4116FDF6F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skal være til møde kl.
</t>
        </r>
      </text>
    </comment>
    <comment ref="J67" authorId="8" shapeId="0" xr:uid="{FB03317E-7F63-4BEE-9B09-3455DB63D5FC}">
      <text>
        <r>
          <rPr>
            <sz val="9"/>
            <rFont val="Arial"/>
            <family val="2"/>
          </rPr>
          <t>Henrik Wolffbrandt Hansen:
Afsp 2 timer</t>
        </r>
      </text>
    </comment>
    <comment ref="N68" authorId="6" shapeId="0" xr:uid="{E86C86B4-C88B-41DC-8870-31E719DCB41A}">
      <text>
        <r>
          <rPr>
            <sz val="9"/>
            <rFont val="Arial"/>
            <family val="2"/>
          </rPr>
          <t xml:space="preserve">Lars Emil Hartvig Sørensen:
Afspadsering: Dimitrios 
Fra 12:00-17:30 
d. 12-06-2025
</t>
        </r>
      </text>
    </comment>
    <comment ref="O68" authorId="10" shapeId="0" xr:uid="{9591CB6B-399C-4F0F-91E6-2F518933DC1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SP1 oa</t>
        </r>
      </text>
    </comment>
    <comment ref="P68" authorId="10" shapeId="0" xr:uid="{007D184F-F3D9-4A5B-87F2-56A6BF212D7A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SP1</t>
        </r>
      </text>
    </comment>
    <comment ref="Q68" authorId="10" shapeId="0" xr:uid="{75132B62-8F24-4A03-A767-459CD26CD1C4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SP1</t>
        </r>
      </text>
    </comment>
    <comment ref="Z68" authorId="6" shapeId="0" xr:uid="{1460BF12-44F3-4D94-A822-5F420FEBBA99}">
      <text>
        <r>
          <rPr>
            <sz val="9"/>
            <rFont val="Arial"/>
            <family val="2"/>
          </rPr>
          <t xml:space="preserve">Lars Emil Hartvig Sørensen:
Dimitrios tilgår 3.Vagten
  </t>
        </r>
      </text>
    </comment>
    <comment ref="AA68" authorId="5" shapeId="0" xr:uid="{89EB41C7-2F8A-4095-BA30-CD97D0C0CFF6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Afspadserer 1 time</t>
        </r>
      </text>
    </comment>
    <comment ref="AB68" authorId="4" shapeId="0" xr:uid="{77632363-4496-4F12-9382-A5B37D5A27DB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Borgermøde kl. 16:00-23:00</t>
        </r>
      </text>
    </comment>
    <comment ref="AD68" authorId="1" shapeId="0" xr:uid="{FCDAD96E-C9E8-4EF8-8BA0-5323487F7230}">
      <text>
        <r>
          <rPr>
            <sz val="9"/>
            <rFont val="Arial"/>
            <family val="2"/>
          </rPr>
          <t xml:space="preserve">Michael Fabæch Knudsen:
OA. </t>
        </r>
      </text>
    </comment>
    <comment ref="AE68" authorId="1" shapeId="0" xr:uid="{8FC8FDA7-5152-4A9D-A577-42708F0DBFF2}">
      <text>
        <r>
          <rPr>
            <sz val="9"/>
            <rFont val="Arial"/>
            <family val="2"/>
          </rPr>
          <t>Michael Fabæch Knudsen:
OA</t>
        </r>
      </text>
    </comment>
    <comment ref="AF68" authorId="9" shapeId="0" xr:uid="{881BB8E2-D3DC-45C5-B193-961F97EB2780}">
      <text>
        <r>
          <rPr>
            <b/>
            <sz val="9"/>
            <color indexed="81"/>
            <rFont val="Tahoma"/>
            <family val="2"/>
          </rPr>
          <t>Lasse Aae-Hartwig:</t>
        </r>
        <r>
          <rPr>
            <sz val="9"/>
            <color indexed="81"/>
            <rFont val="Tahoma"/>
            <family val="2"/>
          </rPr>
          <t xml:space="preserve">
Det er aftalt han møder 17.30 </t>
        </r>
      </text>
    </comment>
    <comment ref="AF70" authorId="9" shapeId="0" xr:uid="{40254391-2470-4481-B039-5BD00891E56D}">
      <text>
        <r>
          <rPr>
            <b/>
            <sz val="9"/>
            <color indexed="81"/>
            <rFont val="Tahoma"/>
            <family val="2"/>
          </rPr>
          <t>Lasse Aae-Hartwig:</t>
        </r>
        <r>
          <rPr>
            <sz val="9"/>
            <color indexed="81"/>
            <rFont val="Tahoma"/>
            <family val="2"/>
          </rPr>
          <t xml:space="preserve">
OA</t>
        </r>
      </text>
    </comment>
    <comment ref="T71" authorId="5" shapeId="0" xr:uid="{C45C2D20-3B11-44E4-B51C-F36EC817E274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OA 1515-1630</t>
        </r>
      </text>
    </comment>
    <comment ref="U71" authorId="5" shapeId="0" xr:uid="{0A729258-FC66-4784-872E-CE961DAEBAB8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OA 1515-1630</t>
        </r>
      </text>
    </comment>
    <comment ref="Y72" authorId="6" shapeId="0" xr:uid="{8DC3C2D2-2927-45E6-AF63-A3BE6F06A3E6}">
      <text>
        <r>
          <rPr>
            <sz val="9"/>
            <rFont val="Arial"/>
            <family val="2"/>
          </rPr>
          <t>Lars Emil Hartvig Sørensen:
Lasse Martinussen 
Tilgår vagtpost 3.
Fra 08:30 - 15:30</t>
        </r>
      </text>
    </comment>
    <comment ref="AB72" authorId="4" shapeId="0" xr:uid="{F19E5968-4A70-4164-AA38-D547C938517C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BR-Møde 16:00-23:00</t>
        </r>
      </text>
    </comment>
    <comment ref="O73" authorId="8" shapeId="0" xr:uid="{F33DCD3B-CC91-4F1B-A022-84D8E48C03D4}">
      <text>
        <r>
          <rPr>
            <sz val="9"/>
            <rFont val="Arial"/>
            <family val="2"/>
          </rPr>
          <t>Henrik Wolffbrandt Hansen:
OA 30 min. grundet ekstra tid på Gl. Køgelandevej</t>
        </r>
      </text>
    </comment>
    <comment ref="U74" authorId="11" shapeId="0" xr:uid="{C509C5C4-4F18-4424-8D6F-C897A72741CD}">
      <text>
        <r>
          <rPr>
            <b/>
            <sz val="9"/>
            <color indexed="81"/>
            <rFont val="Tahoma"/>
            <family val="2"/>
          </rPr>
          <t>Peter Werner Madsen:</t>
        </r>
        <r>
          <rPr>
            <sz val="9"/>
            <color indexed="81"/>
            <rFont val="Tahoma"/>
            <family val="2"/>
          </rPr>
          <t xml:space="preserve">
Reffen: OA 16.00-20.30</t>
        </r>
      </text>
    </comment>
    <comment ref="AC74" authorId="0" shapeId="0" xr:uid="{A7662D0F-E1B4-485A-BBF0-D811C36B97BF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OA fra 14:15 til 16:30
tager 89
</t>
        </r>
      </text>
    </comment>
    <comment ref="F75" authorId="4" shapeId="0" xr:uid="{BECB72E7-168A-401E-89A5-AF97B3CEFCA2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Ekstravagt på huset ØKF-dag</t>
        </r>
      </text>
    </comment>
    <comment ref="N75" authorId="6" shapeId="0" xr:uid="{4D082E55-7AF8-4AC1-B7E5-4E772D52BBF2}">
      <text>
        <r>
          <rPr>
            <sz val="9"/>
            <rFont val="Arial"/>
            <family val="2"/>
          </rPr>
          <t>Lars Emil Hartvig Sørensen:
Andreas Hansen Midlertidig 
Vagtopgave, Refshalevej 
kl. 08:30 - 16:30</t>
        </r>
      </text>
    </comment>
    <comment ref="O75" authorId="6" shapeId="0" xr:uid="{0AD5C89C-8068-49B2-8C2E-76E043189C6B}">
      <text>
        <r>
          <rPr>
            <sz val="9"/>
            <rFont val="Arial"/>
            <family val="2"/>
          </rPr>
          <t>Lars Emil Hartvig Sørensen:
Andreas Hansen Midlertidig 
Vagtopgave, Refshalevej 
kl. 08:30 - 16:30</t>
        </r>
      </text>
    </comment>
    <comment ref="AB75" authorId="0" shapeId="0" xr:uid="{65DB5D0B-0CC2-4D7A-98BD-E2A5BCB73CDE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OA til 17:30</t>
        </r>
      </text>
    </comment>
    <comment ref="H77" authorId="5" shapeId="0" xr:uid="{E89BE4C3-81E7-4972-87B5-177CDF1FE156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Refshalevej og Lygten
5:15-14:45</t>
        </r>
      </text>
    </comment>
    <comment ref="I77" authorId="5" shapeId="0" xr:uid="{5F5E8554-D46E-4F40-B93B-E0B9E071B45F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Refshalevej og Lygten
5:15-14:45</t>
        </r>
      </text>
    </comment>
    <comment ref="J77" authorId="5" shapeId="0" xr:uid="{C3C29F0C-11A5-4383-AE7E-A68D7F927F6B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Refshalevej og Lygten
5:15-14:45</t>
        </r>
      </text>
    </comment>
    <comment ref="K77" authorId="5" shapeId="0" xr:uid="{64AA4141-BCA8-40B7-A0E0-14A9FC78E9F8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Refshalevej og Lygten
5:15-14:45</t>
        </r>
      </text>
    </comment>
    <comment ref="R77" authorId="5" shapeId="0" xr:uid="{BC05A7B4-379E-42D9-8A4F-D1C9C8D6EB58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2,25 time OA fra 15:15-17:30</t>
        </r>
      </text>
    </comment>
    <comment ref="S77" authorId="5" shapeId="0" xr:uid="{3657A8A7-F520-4735-A852-6786DB8BC885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2,25 time OA fra 15:15-17:30</t>
        </r>
      </text>
    </comment>
    <comment ref="T77" authorId="5" shapeId="0" xr:uid="{E68BFA98-F933-4C12-99F5-0F114B3868ED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2,25 time OA fra 15:15-17:30</t>
        </r>
      </text>
    </comment>
    <comment ref="V77" authorId="0" shapeId="0" xr:uid="{1CD30EF7-C63A-41F4-80BC-AE28B61AC2CB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Fuglebakken 14:30 - 17:30
</t>
        </r>
      </text>
    </comment>
    <comment ref="V79" authorId="0" shapeId="0" xr:uid="{485E3DB7-E386-4535-BC72-CAE6DAA3A189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RF1 på OA 17:30 til 05:30</t>
        </r>
      </text>
    </comment>
    <comment ref="W79" authorId="0" shapeId="0" xr:uid="{CCCDF387-B5A3-428F-8C5D-AAB7012A90BD}">
      <text>
        <r>
          <rPr>
            <sz val="9"/>
            <rFont val="Arial"/>
            <family val="2"/>
          </rPr>
          <t>Gunner Lindskov Grell:
RF1 på OA 17:30 til 05:30</t>
        </r>
      </text>
    </comment>
    <comment ref="L84" authorId="4" shapeId="0" xr:uid="{5169A0FE-CAA4-438F-80AC-F2306FEFC578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Møde kl. 12.00</t>
        </r>
      </text>
    </comment>
    <comment ref="O85" authorId="0" shapeId="0" xr:uid="{57F3F934-1D6E-4061-98CF-AB1696BB11D4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skal gå kl. 16:00 </t>
        </r>
      </text>
    </comment>
    <comment ref="G87" authorId="12" shapeId="0" xr:uid="{B1D194D4-4981-495B-8441-B7C17CDCF7C1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har byttet med simon</t>
        </r>
      </text>
    </comment>
    <comment ref="D88" authorId="4" shapeId="0" xr:uid="{18AA03C0-20EE-4250-B5CF-24D9344B8F2D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
</t>
        </r>
      </text>
    </comment>
    <comment ref="L88" authorId="4" shapeId="0" xr:uid="{61CA901B-A5F1-44D0-B07C-62875898FB1B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Til møde kl. 1300-14.00</t>
        </r>
      </text>
    </comment>
    <comment ref="R88" authorId="4" shapeId="0" xr:uid="{8FEE1A69-8D2A-45F4-9FA3-6D79BCC15EF5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S88" authorId="6" shapeId="0" xr:uid="{EF70E394-8E98-4C29-8422-4A0A67B55C84}">
      <text>
        <r>
          <rPr>
            <sz val="9"/>
            <rFont val="Arial"/>
            <family val="2"/>
          </rPr>
          <t xml:space="preserve">Lars Emil Hartvig Sørensen:
Ferietimer: Yusef
Antal timer på Vagt 
08:15 - 09:45
Ferietimer Afholdes
09:45 - 16:00
</t>
        </r>
      </text>
    </comment>
    <comment ref="T88" authorId="4" shapeId="0" xr:uid="{7B27CA35-B840-4A36-A7C3-71C7E61C02DB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Arrangement 14.00-16.30</t>
        </r>
      </text>
    </comment>
    <comment ref="Y88" authorId="4" shapeId="0" xr:uid="{DCE7BAD8-64CA-4581-BBF7-277091DA617B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Møde med vejleder 10.30</t>
        </r>
      </text>
    </comment>
    <comment ref="AA88" authorId="4" shapeId="0" xr:uid="{A0684A4F-F101-4698-9D47-578E1CC93096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H106" authorId="1" shapeId="0" xr:uid="{C523E39C-B8C7-4F99-AA83-0818D26313E1}">
      <text>
        <r>
          <rPr>
            <sz val="9"/>
            <rFont val="Arial"/>
            <family val="2"/>
          </rPr>
          <t>Michael Fabæch Knudsen:
Kim BT. Pedersen:
Refshalevej og Lygten
5:15-14:45</t>
        </r>
      </text>
    </comment>
    <comment ref="I106" authorId="1" shapeId="0" xr:uid="{66164EC3-CBA1-48E2-ACEC-EFE3ABE350EE}">
      <text>
        <r>
          <rPr>
            <sz val="9"/>
            <rFont val="Arial"/>
            <family val="2"/>
          </rPr>
          <t>Michael Fabæch Knudsen:
Kim BT. Pedersen:
Refshalevej og Lygten
5:15-14:45</t>
        </r>
      </text>
    </comment>
    <comment ref="J106" authorId="1" shapeId="0" xr:uid="{C1509AC1-F36A-4874-AC60-1AA3C7DADC78}">
      <text>
        <r>
          <rPr>
            <sz val="9"/>
            <rFont val="Arial"/>
            <family val="2"/>
          </rPr>
          <t>Michael Fabæch Knudsen:
Kim BT. Pedersen:
Refshalevej og Lygten
5:15-14:45</t>
        </r>
      </text>
    </comment>
    <comment ref="K106" authorId="1" shapeId="0" xr:uid="{3B6F7B8F-74E6-4758-BEA9-80A21184F1F1}">
      <text>
        <r>
          <rPr>
            <sz val="9"/>
            <rFont val="Arial"/>
            <family val="2"/>
          </rPr>
          <t>Michael Fabæch Knudsen:
Kim BT. Pedersen:
Refshalevej og Lygten
5:15-14:45</t>
        </r>
      </text>
    </comment>
    <comment ref="R106" authorId="1" shapeId="0" xr:uid="{07323D76-1BBD-4D1D-B060-E7FF4436CE23}">
      <text>
        <r>
          <rPr>
            <sz val="9"/>
            <rFont val="Arial"/>
            <family val="2"/>
          </rPr>
          <t>Michael Fabæch Knudsen:
Kim BT. Pedersen:
2,25 time OA fra 15:15-17:30</t>
        </r>
      </text>
    </comment>
    <comment ref="S106" authorId="1" shapeId="0" xr:uid="{FC934D90-FD5C-4432-8E64-9281857460F1}">
      <text>
        <r>
          <rPr>
            <sz val="9"/>
            <rFont val="Arial"/>
            <family val="2"/>
          </rPr>
          <t>Michael Fabæch Knudsen:
Kim BT. Pedersen:
2,25 time OA fra 15:15-17:30</t>
        </r>
      </text>
    </comment>
    <comment ref="T106" authorId="1" shapeId="0" xr:uid="{32ABF98E-237E-4097-98BF-1444159858E2}">
      <text>
        <r>
          <rPr>
            <sz val="9"/>
            <rFont val="Arial"/>
            <family val="2"/>
          </rPr>
          <t>Michael Fabæch Knudsen:
Kim BT. Pedersen:
2,25 time OA fra 15:15-17:30</t>
        </r>
      </text>
    </comment>
    <comment ref="V106" authorId="0" shapeId="0" xr:uid="{6FE468CB-C6EF-499D-A5C4-2EBACB449D5A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Fuglebarken 14:30 - 17:30
OA</t>
        </r>
      </text>
    </comment>
    <comment ref="T140" authorId="0" shapeId="0" xr:uid="{36F25BF4-4BB5-47DC-89D1-2E85CAF721BA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15 min OA afløst forsent</t>
        </r>
      </text>
    </comment>
    <comment ref="O147" authorId="10" shapeId="0" xr:uid="{06740E0F-B954-419C-B1A9-6B47546CF63A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W147" authorId="0" shapeId="0" xr:uid="{F35860BA-4B59-4776-901D-01DE5A23751E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vagt på reffen fra kl. 05:30 til 14:30</t>
        </r>
      </text>
    </comment>
    <comment ref="X147" authorId="0" shapeId="0" xr:uid="{ECFA98BA-95C9-4196-B2C6-5C105CF24442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vagt på reffen fra kl. 05:30 til 14:30</t>
        </r>
      </text>
    </comment>
    <comment ref="Z147" authorId="0" shapeId="0" xr:uid="{9EDE7343-E170-4BF2-B218-FD527CA46227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møder 17:30 til 05:30 
det er aftalt den 18.06</t>
        </r>
      </text>
    </comment>
    <comment ref="AA147" authorId="0" shapeId="0" xr:uid="{EE7629F2-2E8B-44D5-B5BF-F75BCB498329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møder 17:30 til 05:30 
det er aftalt den 18.06</t>
        </r>
      </text>
    </comment>
    <comment ref="AB147" authorId="0" shapeId="0" xr:uid="{C01916FD-9035-4559-94A4-135A769EB268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møder 17:30 til 05:30 
det er aftalt den 18.06
5:30-8:30 på OA</t>
        </r>
      </text>
    </comment>
    <comment ref="AC147" authorId="0" shapeId="0" xr:uid="{12CFB330-693A-4AF9-A981-41FFCEC1445F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møder 17:30 til 05:30 
det er aftalt den 18.06
5:30-8:30 på OA</t>
        </r>
      </text>
    </comment>
    <comment ref="AD147" authorId="0" shapeId="0" xr:uid="{67BC5C46-ED69-4A29-9303-5F9ABB3D8EB6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møder 17:30 til 05:30 
det er aftalt den 18.06
5:30-8:30 på OA
</t>
        </r>
      </text>
    </comment>
    <comment ref="AE147" authorId="0" shapeId="0" xr:uid="{E04366C8-07EE-441B-90A7-D3693B00E0D4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møder 17:30 til 05:30 
det er aftalt den 18.06</t>
        </r>
      </text>
    </comment>
    <comment ref="E168" authorId="4" shapeId="0" xr:uid="{5AF2E459-9852-4687-86FE-028578897998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Øvelse det Kgl. Bibliotek</t>
        </r>
      </text>
    </comment>
    <comment ref="L168" authorId="4" shapeId="0" xr:uid="{5AA02D41-A807-4392-B391-6CD84893D67B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Øvelse</t>
        </r>
      </text>
    </comment>
    <comment ref="I169" authorId="4" shapeId="0" xr:uid="{C4B30CB4-D3BC-4AC6-A63E-44F530CDCB91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OA Hovedporten til klokken 15.00.</t>
        </r>
      </text>
    </comment>
    <comment ref="AF169" authorId="4" shapeId="0" xr:uid="{867A0836-2FF4-4634-BFA7-1EACA91E4274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Rundvisningsenheden</t>
        </r>
      </text>
    </comment>
    <comment ref="H171" authorId="3" shapeId="0" xr:uid="{0E645B2E-4A5C-41D4-BAA0-53829299391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Bellahøjhallen kl. 15.30 - 23.30</t>
        </r>
      </text>
    </comment>
    <comment ref="Q187" authorId="11" shapeId="0" xr:uid="{B99C29D6-AECA-4F2B-BB20-9F58F24685E7}">
      <text>
        <r>
          <rPr>
            <b/>
            <sz val="9"/>
            <color indexed="81"/>
            <rFont val="Tahoma"/>
            <family val="2"/>
          </rPr>
          <t>Peter Werner Madsen:</t>
        </r>
        <r>
          <rPr>
            <sz val="9"/>
            <color indexed="81"/>
            <rFont val="Tahoma"/>
            <family val="2"/>
          </rPr>
          <t xml:space="preserve">
Afspadsering fra kl. 04:00</t>
        </r>
      </text>
    </comment>
    <comment ref="U188" authorId="6" shapeId="0" xr:uid="{8E5E143A-CA50-48AD-9CC3-373954A8D08B}">
      <text>
        <r>
          <rPr>
            <sz val="9"/>
            <rFont val="Arial"/>
            <family val="2"/>
          </rPr>
          <t xml:space="preserve">Lars Emil Hartvig Sørensen:
Fra 17:30 - 08:30 </t>
        </r>
      </text>
    </comment>
    <comment ref="W188" authorId="6" shapeId="0" xr:uid="{A4D0EBDA-4F5D-4E4E-A4C9-06F6CB1BCA43}">
      <text>
        <r>
          <rPr>
            <sz val="9"/>
            <rFont val="Arial"/>
            <family val="2"/>
          </rPr>
          <t xml:space="preserve">Lars Emil Hartvig Sørensen:
Overarbejde Lygten
Kl.05:30-14:30 </t>
        </r>
      </text>
    </comment>
    <comment ref="X188" authorId="6" shapeId="0" xr:uid="{E6E95C3B-E998-4BC1-954F-5FD463785B68}">
      <text>
        <r>
          <rPr>
            <sz val="9"/>
            <rFont val="Arial"/>
            <family val="2"/>
          </rPr>
          <t xml:space="preserve">Lars Emil Hartvig Sørensen:
Fra 17:30 til 08:30
RF1+RF2
</t>
        </r>
      </text>
    </comment>
    <comment ref="AE188" authorId="6" shapeId="0" xr:uid="{344A3FC6-4703-48F1-AC81-27F133E1128D}">
      <text>
        <r>
          <rPr>
            <sz val="9"/>
            <rFont val="Arial"/>
            <family val="2"/>
          </rPr>
          <t xml:space="preserve">Lars Emil Hartvig Sørensen:
Afspadsering
Per Kristensen
d.30-06-2025
Fra Kl. 05:00 Til Kl. 07:00  </t>
        </r>
      </text>
    </comment>
    <comment ref="C189" authorId="5" shapeId="0" xr:uid="{4A1A1CF5-E394-4B8A-834E-8F55E77207DF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Gået syg hjem</t>
        </r>
      </text>
    </comment>
    <comment ref="Y232" authorId="0" shapeId="0" xr:uid="{1D56E9F4-D2DA-4B92-A679-CFCD8152D1C7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til møde med Foa og thomas, Gunner 
</t>
        </r>
      </text>
    </comment>
    <comment ref="H236" authorId="2" shapeId="0" xr:uid="{0A3E6AD0-B276-4C00-91A4-F86E3F383429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Ingen afløser</t>
        </r>
      </text>
    </comment>
    <comment ref="Y281" authorId="0" shapeId="0" xr:uid="{5F6059C1-A12D-4ED5-9EF4-32A58F181EA1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går kl. 13:20 skal til tandlæge </t>
        </r>
      </text>
    </comment>
    <comment ref="AB281" authorId="0" shapeId="0" xr:uid="{D6B51FAF-90D5-423E-A37E-848AA916D840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afs fra kl. 14:00
</t>
        </r>
      </text>
    </comment>
    <comment ref="D284" authorId="0" shapeId="0" xr:uid="{C16C52B4-29C6-47B4-930A-C5B0E7F4103C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skal gå kl. 11:00 skal på sygehus 
</t>
        </r>
      </text>
    </comment>
    <comment ref="R285" authorId="0" shapeId="0" xr:uid="{35831F83-7FA5-49F6-A047-DD2E0449BDD4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møder kl. 07:00
</t>
        </r>
      </text>
    </comment>
    <comment ref="S285" authorId="0" shapeId="0" xr:uid="{E993C75F-2587-4B0B-98F1-E648F11DC85C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Møder kl. 07:00</t>
        </r>
      </text>
    </comment>
    <comment ref="V286" authorId="5" shapeId="0" xr:uid="{95DCBCE1-0C8D-4250-BB82-55D556F0A328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1-vagt</t>
        </r>
      </text>
    </comment>
    <comment ref="Z286" authorId="6" shapeId="0" xr:uid="{04C58439-BBEC-43BE-9BCC-E8CC30111219}">
      <text>
        <r>
          <rPr>
            <sz val="9"/>
            <rFont val="Arial"/>
            <family val="2"/>
          </rPr>
          <t xml:space="preserve">Lars Emil Hartvig Sørensen:
OA.
Holse
arrangement.
Official Modtagelse FCK
kl. 16.15 - 17.15. 
</t>
        </r>
      </text>
    </comment>
    <comment ref="AC286" authorId="6" shapeId="0" xr:uid="{8F54A122-A72F-45A1-8C67-D518232D4116}">
      <text>
        <r>
          <rPr>
            <sz val="9"/>
            <rFont val="Arial"/>
            <family val="2"/>
          </rPr>
          <t xml:space="preserve">Lars Emil Hartvig Sørensen:
Martin Holse 
tiltrådt Vagt 1
Kl. 12:00 14:00   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Thomas Holm</author>
    <author>Gunner Lindskov Grell</author>
    <author>Michael Fabæch Knudsen</author>
    <author>Peter W. Madsen</author>
    <author>Steen Hertin-Sandkær</author>
    <author>Lasse Aae-Hartwig</author>
    <author>Nick Lorentzen</author>
    <author>Henrik Wolffbrandt Hansen</author>
    <author>Kim BT. Pedersen</author>
    <author>Lars Emil Hartvig Sørensen</author>
  </authors>
  <commentList>
    <comment ref="L15" authorId="0" shapeId="0" xr:uid="{70387AB2-294E-4759-827A-27820BBAF2AF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AD16" authorId="1" shapeId="0" xr:uid="{CFF2F446-EBC9-46FF-881C-3BA6FA1BE4F8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RF2 på OA</t>
        </r>
      </text>
    </comment>
    <comment ref="C19" authorId="2" shapeId="0" xr:uid="{50C36FA9-D27E-496F-8C06-250407D88815}">
      <text>
        <r>
          <rPr>
            <sz val="9"/>
            <rFont val="Arial"/>
            <family val="2"/>
          </rPr>
          <t>Michael Fabæch Knudsen:
OA  vagt v3</t>
        </r>
      </text>
    </comment>
    <comment ref="D19" authorId="2" shapeId="0" xr:uid="{972D1B90-F7D7-4DCE-8119-6BB5B3DCDA00}">
      <text>
        <r>
          <rPr>
            <sz val="9"/>
            <rFont val="Arial"/>
            <family val="2"/>
          </rPr>
          <t>Michael Fabæch Knudsen:
OA  vagt v3</t>
        </r>
      </text>
    </comment>
    <comment ref="G19" authorId="2" shapeId="0" xr:uid="{850E49F3-D3E3-484F-9B7F-CF146C3B64F1}">
      <text>
        <r>
          <rPr>
            <sz val="9"/>
            <rFont val="Arial"/>
            <family val="2"/>
          </rPr>
          <t>Michael Fabæch Knudsen:
OA  A vagt</t>
        </r>
      </text>
    </comment>
    <comment ref="H19" authorId="2" shapeId="0" xr:uid="{5DA48C60-106C-49C4-8590-9830B42D0E41}">
      <text>
        <r>
          <rPr>
            <sz val="9"/>
            <rFont val="Arial"/>
            <family val="2"/>
          </rPr>
          <t>Michael Fabæch Knudsen:
OA    A vagt</t>
        </r>
      </text>
    </comment>
    <comment ref="N25" authorId="1" shapeId="0" xr:uid="{8A8EF0B9-BF87-4B10-8A8B-7B20FE4D5C88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A vagt på OA
</t>
        </r>
      </text>
    </comment>
    <comment ref="O25" authorId="1" shapeId="0" xr:uid="{1FC70D0B-BCB0-468E-8601-222ED1BCC624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A vagt på OA
</t>
        </r>
      </text>
    </comment>
    <comment ref="N26" authorId="1" shapeId="0" xr:uid="{45A7BE79-8CCA-48F7-93F3-A5ED0DA36DE4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Tager B vagten </t>
        </r>
      </text>
    </comment>
    <comment ref="O26" authorId="1" shapeId="0" xr:uid="{864AC3DB-5086-4D0A-AD8A-7BFE73B4FBC0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Tager B vagten </t>
        </r>
      </text>
    </comment>
    <comment ref="L28" authorId="3" shapeId="0" xr:uid="{44E046E7-D39F-46B6-A789-07174ACB63E3}">
      <text>
        <r>
          <rPr>
            <b/>
            <sz val="9"/>
            <color indexed="81"/>
            <rFont val="Tahoma"/>
            <family val="2"/>
          </rPr>
          <t>Peter W. Madsen:</t>
        </r>
        <r>
          <rPr>
            <sz val="9"/>
            <color indexed="81"/>
            <rFont val="Tahoma"/>
            <family val="2"/>
          </rPr>
          <t xml:space="preserve">
Ringede syg d.d. 00:01</t>
        </r>
      </text>
    </comment>
    <comment ref="Y28" authorId="1" shapeId="0" xr:uid="{A45438C1-00C0-41BC-A84C-9245D3F66111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Johnny dækker vagt 79 til kl. 14:00</t>
        </r>
      </text>
    </comment>
    <comment ref="P29" authorId="4" shapeId="0" xr:uid="{C9CD3F5D-C357-4CF7-B347-6A3088FD97A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RF2</t>
        </r>
      </text>
    </comment>
    <comment ref="P31" authorId="0" shapeId="0" xr:uid="{1EF72F29-BFE7-4D74-B9DD-0475EE16A0AA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Mangler vagt til kl. 11.00
(Kan dækkes af huset)
Henrik W hansen tager vagten </t>
        </r>
      </text>
    </comment>
    <comment ref="I43" authorId="0" shapeId="0" xr:uid="{0A5A108E-6F42-4E42-AC16-7B8B622AE71A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10-vagt OA</t>
        </r>
      </text>
    </comment>
    <comment ref="J43" authorId="0" shapeId="0" xr:uid="{666EFA00-FD4F-4382-BA98-0452C9212BE0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10-vagt OA</t>
        </r>
      </text>
    </comment>
    <comment ref="N43" authorId="4" shapeId="0" xr:uid="{54026959-1CEB-4DB7-B2C9-FD3E4C3AD0E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OA fra kl. 17.45 for at dække Thomas Bay.</t>
        </r>
      </text>
    </comment>
    <comment ref="W43" authorId="5" shapeId="0" xr:uid="{E3E7F2A3-91A1-44FC-B79A-20C90BFB944E}">
      <text>
        <r>
          <rPr>
            <b/>
            <sz val="9"/>
            <color indexed="81"/>
            <rFont val="Tahoma"/>
            <family val="2"/>
          </rPr>
          <t>Lasse Aae-Hartwig:</t>
        </r>
        <r>
          <rPr>
            <sz val="9"/>
            <color indexed="81"/>
            <rFont val="Tahoma"/>
            <family val="2"/>
          </rPr>
          <t xml:space="preserve">
OA 08 - 16 79 vagt</t>
        </r>
      </text>
    </comment>
    <comment ref="X43" authorId="1" shapeId="0" xr:uid="{0D988063-7696-4F1C-934E-6CC5115BDA13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OA 08:00 - 16:00
Borups alle </t>
        </r>
      </text>
    </comment>
    <comment ref="Y43" authorId="1" shapeId="0" xr:uid="{C81CDB1F-595C-42BF-9ED1-145490009D75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OA 08:00 - 16:00
Borups alle </t>
        </r>
      </text>
    </comment>
    <comment ref="Z43" authorId="5" shapeId="0" xr:uid="{C296E6E0-CBAB-4C90-ABED-28943FB46B74}">
      <text>
        <r>
          <rPr>
            <b/>
            <sz val="9"/>
            <color indexed="81"/>
            <rFont val="Tahoma"/>
            <family val="2"/>
          </rPr>
          <t>Lasse Aae-Hartwig:</t>
        </r>
        <r>
          <rPr>
            <sz val="9"/>
            <color indexed="81"/>
            <rFont val="Tahoma"/>
            <family val="2"/>
          </rPr>
          <t xml:space="preserve">
OA 08 - 16 79 vagt</t>
        </r>
      </text>
    </comment>
    <comment ref="AA43" authorId="1" shapeId="0" xr:uid="{8AAA4841-0955-4C93-8985-C16DDC8128D2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OA på vagt 7</t>
        </r>
      </text>
    </comment>
    <comment ref="N45" authorId="4" shapeId="0" xr:uid="{CDD481D5-B62E-4BCF-8E2E-B22441F3B1B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Gået syg hjem kl. 14.00</t>
        </r>
      </text>
    </comment>
    <comment ref="O45" authorId="4" shapeId="0" xr:uid="{9F5B7158-E661-47AB-8FB7-D06972ACE02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Dækker Refshalevej 05.30 - 14.30 oa til kl. 07.00</t>
        </r>
      </text>
    </comment>
    <comment ref="AD45" authorId="6" shapeId="0" xr:uid="{B837F283-2EAD-4C90-96AF-C193F5A14F72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Afspadserer fra kl 10:00</t>
        </r>
      </text>
    </comment>
    <comment ref="AE45" authorId="6" shapeId="0" xr:uid="{7D0C09E4-9F74-446B-8ACB-BE6AF9628898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Afspadserer fra kl. 09:00</t>
        </r>
      </text>
    </comment>
    <comment ref="AG45" authorId="6" shapeId="0" xr:uid="{3DA37848-881D-40A1-A6FA-422D1980FF2A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Afspadserer fra kl. 09:00</t>
        </r>
      </text>
    </comment>
    <comment ref="AF48" authorId="6" shapeId="0" xr:uid="{6E5A32BB-D8B8-4752-816D-E964A6303231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OA fra 06 - 08</t>
        </r>
      </text>
    </comment>
    <comment ref="V54" authorId="5" shapeId="0" xr:uid="{EEF277EA-9DF0-4B25-8BA4-5A2B408175D8}">
      <text>
        <r>
          <rPr>
            <b/>
            <sz val="9"/>
            <color indexed="81"/>
            <rFont val="Tahoma"/>
            <family val="2"/>
          </rPr>
          <t>Lasse Aae-Hartwig:</t>
        </r>
        <r>
          <rPr>
            <sz val="9"/>
            <color indexed="81"/>
            <rFont val="Tahoma"/>
            <family val="2"/>
          </rPr>
          <t xml:space="preserve">
Dækker RF2 vagt mandag - OA fra 6-8.30</t>
        </r>
      </text>
    </comment>
    <comment ref="I55" authorId="0" shapeId="0" xr:uid="{C4E0B818-37B7-4F65-BD02-F0F4AAF9D773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Omlagt TJ
I-vagt</t>
        </r>
      </text>
    </comment>
    <comment ref="J55" authorId="0" shapeId="0" xr:uid="{282B3A9D-4D5A-4A4C-AEC3-2DE1DF121E14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Omlagt TJ
I-vagt</t>
        </r>
      </text>
    </comment>
    <comment ref="K55" authorId="0" shapeId="0" xr:uid="{2B38F622-8AD0-4998-8E85-C1A231374431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Omlagt TJ
I-vagt</t>
        </r>
      </text>
    </comment>
    <comment ref="L55" authorId="0" shapeId="0" xr:uid="{7E901329-D772-4D6C-8D57-F9C3CDE3978F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Omlagt TJ
I-vagt</t>
        </r>
      </text>
    </comment>
    <comment ref="M55" authorId="0" shapeId="0" xr:uid="{C4617DB3-A804-4A00-A9CE-3F0B41CE8C68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Omlagt TJ
I-vagt</t>
        </r>
      </text>
    </comment>
    <comment ref="N64" authorId="2" shapeId="0" xr:uid="{E391FD37-2836-4F35-873A-56DBB9CF41BE}">
      <text>
        <r>
          <rPr>
            <sz val="9"/>
            <rFont val="Arial"/>
            <family val="2"/>
          </rPr>
          <t>Michael RF5 OA 05,30 - 14,30</t>
        </r>
      </text>
    </comment>
    <comment ref="P64" authorId="4" shapeId="0" xr:uid="{E1AAC2FF-CD9E-407D-9298-16152A0C588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Arbejdsbeskrivelser</t>
        </r>
      </text>
    </comment>
    <comment ref="Q64" authorId="4" shapeId="0" xr:uid="{214E5302-53B2-4675-9550-D21952DE44E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Arbejdsbeskrivelser</t>
        </r>
      </text>
    </comment>
    <comment ref="R64" authorId="4" shapeId="0" xr:uid="{ACB824D5-628F-44CE-B18D-C50E04EDD092}">
      <text>
        <r>
          <rPr>
            <sz val="9"/>
            <rFont val="Arial"/>
            <family val="2"/>
          </rPr>
          <t>Steen Hertin-Sandkær:
AHF  -  Arbejdsbeskrivelser</t>
        </r>
      </text>
    </comment>
    <comment ref="S64" authorId="4" shapeId="0" xr:uid="{93C57EA1-081A-48D4-8E8D-6AFD62A6D65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Arbejdsbeskrivelser</t>
        </r>
      </text>
    </comment>
    <comment ref="T64" authorId="4" shapeId="0" xr:uid="{1DA0985D-E55D-43AA-907B-ECF0BFD1AD1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Arbejdsbeskrivelser</t>
        </r>
      </text>
    </comment>
    <comment ref="W64" authorId="4" shapeId="0" xr:uid="{08DEEA19-3AD3-4B43-9409-9C2DB822898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Arbejdsbeskrivelser</t>
        </r>
      </text>
    </comment>
    <comment ref="X64" authorId="4" shapeId="0" xr:uid="{664213C9-D7C1-4C01-ABEF-66B7FF9C8A9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Arbejdsbeskrivelser</t>
        </r>
      </text>
    </comment>
    <comment ref="Y64" authorId="1" shapeId="0" xr:uid="{63130AB1-8A0C-413C-A4E6-733F490E46C9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køre på brønshøjvej fra 12:00 til 16:00 </t>
        </r>
      </text>
    </comment>
    <comment ref="Z64" authorId="4" shapeId="0" xr:uid="{AF30F98C-7A04-4C7B-B638-805DA798BFF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Arbejdsbeskrivelser</t>
        </r>
      </text>
    </comment>
    <comment ref="AA64" authorId="4" shapeId="0" xr:uid="{F12CBA57-EC72-4467-A3FA-38346F3CB336}">
      <text>
        <r>
          <rPr>
            <sz val="9"/>
            <rFont val="Arial"/>
            <family val="2"/>
          </rPr>
          <t>Steen Hertin-Sandkær:
Arbejdsbeskrivelser
AHF 09:00 - 11:30</t>
        </r>
      </text>
    </comment>
    <comment ref="AD64" authorId="7" shapeId="0" xr:uid="{2E63DE4B-2018-4265-B8E6-28D6CB5FDEE7}">
      <text>
        <r>
          <rPr>
            <sz val="9"/>
            <rFont val="Arial"/>
            <family val="2"/>
          </rPr>
          <t>Henrik Wolffbrandt Hansen:
TVO</t>
        </r>
      </text>
    </comment>
    <comment ref="C66" authorId="8" shapeId="0" xr:uid="{050C4C08-BFEF-4A01-913E-98FD9F6D9A5C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Mødte 10.40
</t>
        </r>
      </text>
    </comment>
    <comment ref="D66" authorId="5" shapeId="0" xr:uid="{F3DF75D9-08C2-48EF-9CA4-1770A8055063}">
      <text>
        <r>
          <rPr>
            <b/>
            <sz val="9"/>
            <color indexed="81"/>
            <rFont val="Tahoma"/>
            <family val="2"/>
          </rPr>
          <t>Lasse Aae-Hartwig:</t>
        </r>
        <r>
          <rPr>
            <sz val="9"/>
            <color indexed="81"/>
            <rFont val="Tahoma"/>
            <family val="2"/>
          </rPr>
          <t xml:space="preserve">
30 min OA møder på gl køge landevej </t>
        </r>
      </text>
    </comment>
    <comment ref="E67" authorId="9" shapeId="0" xr:uid="{2ABF505F-AD71-4A89-B658-3266FA386705}">
      <text>
        <r>
          <rPr>
            <sz val="9"/>
            <rFont val="Arial"/>
            <family val="2"/>
          </rPr>
          <t>Lars Emil Hartvig Sørensen:
Afspadsering
22:30 - 23:30
1 time.</t>
        </r>
      </text>
    </comment>
    <comment ref="X71" authorId="5" shapeId="0" xr:uid="{1ABF2207-4126-423E-ACF9-F0F924470CC6}">
      <text>
        <r>
          <rPr>
            <b/>
            <sz val="9"/>
            <color indexed="81"/>
            <rFont val="Tahoma"/>
            <family val="2"/>
          </rPr>
          <t>Lasse Aae-Hartwig:</t>
        </r>
        <r>
          <rPr>
            <sz val="9"/>
            <color indexed="81"/>
            <rFont val="Tahoma"/>
            <family val="2"/>
          </rPr>
          <t xml:space="preserve">
Afspadsere fra 23 - 23.30</t>
        </r>
      </text>
    </comment>
    <comment ref="C72" authorId="0" shapeId="0" xr:uid="{47BF511E-CFE2-4CE8-8BE5-F68D7D21250C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Mødt 08.00- 09.30. Sendt hjem da han lige har haft nattevagter.</t>
        </r>
      </text>
    </comment>
    <comment ref="P72" authorId="0" shapeId="0" xr:uid="{329E4E95-0358-43BB-AB4D-5CF02F5B76E4}">
      <text>
        <r>
          <rPr>
            <sz val="9"/>
            <rFont val="Arial"/>
            <family val="2"/>
          </rPr>
          <t xml:space="preserve">Thomas Holm:
Lægen til kl. 10.00 </t>
        </r>
      </text>
    </comment>
    <comment ref="G75" authorId="0" shapeId="0" xr:uid="{B8550834-8E8C-47F9-A9F6-2A1CA8270D5B}">
      <text>
        <r>
          <rPr>
            <b/>
            <sz val="9"/>
            <color indexed="81"/>
            <rFont val="Tahoma"/>
            <family val="2"/>
          </rPr>
          <t>Thomas Holm:
Refshalevej og Lygten
5:30-14:30</t>
        </r>
      </text>
    </comment>
    <comment ref="H75" authorId="0" shapeId="0" xr:uid="{767426DC-44D9-44A8-BB54-3BF0F879F58C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Refshalevej og Lygten
5:30-14:30</t>
        </r>
      </text>
    </comment>
    <comment ref="I75" authorId="2" shapeId="0" xr:uid="{14411EB7-35D0-49BE-BDE6-4AA481679AAF}">
      <text>
        <r>
          <rPr>
            <sz val="9"/>
            <rFont val="Arial"/>
            <family val="2"/>
          </rPr>
          <t>Michael Fabæch Knudsen:
oa 1730 - 0530 (PWM) refhalevej</t>
        </r>
      </text>
    </comment>
    <comment ref="J75" authorId="2" shapeId="0" xr:uid="{AF6B567A-F549-47CE-8A4F-78D7D15DB049}">
      <text>
        <r>
          <rPr>
            <sz val="9"/>
            <rFont val="Arial"/>
            <family val="2"/>
          </rPr>
          <t xml:space="preserve">Michael Fabæch Knudsen:
 Gorm tager OA vagten også 17,30-20,30
</t>
        </r>
      </text>
    </comment>
    <comment ref="W75" authorId="5" shapeId="0" xr:uid="{3A702B22-94B8-496B-8B9A-332C6CEE00A0}">
      <text>
        <r>
          <rPr>
            <b/>
            <sz val="9"/>
            <color indexed="81"/>
            <rFont val="Tahoma"/>
            <family val="2"/>
          </rPr>
          <t>Lasse Aae-Hartwig:</t>
        </r>
        <r>
          <rPr>
            <sz val="9"/>
            <color indexed="81"/>
            <rFont val="Tahoma"/>
            <family val="2"/>
          </rPr>
          <t xml:space="preserve">
Gorm har tidligere lavet en aftale med Gunnar om at han holdt fri denne uge han er rejst sydpå</t>
        </r>
      </text>
    </comment>
    <comment ref="X75" authorId="5" shapeId="0" xr:uid="{78E08F2A-5AD3-45E4-B37D-0CEC80F5B30C}">
      <text>
        <r>
          <rPr>
            <b/>
            <sz val="9"/>
            <color indexed="81"/>
            <rFont val="Tahoma"/>
            <family val="2"/>
          </rPr>
          <t>Lasse Aae-Hartwig:</t>
        </r>
        <r>
          <rPr>
            <sz val="9"/>
            <color indexed="81"/>
            <rFont val="Tahoma"/>
            <family val="2"/>
          </rPr>
          <t xml:space="preserve">
Gorm har tidligere lavet en aftale med Gunnar om at han holdt fri denne uge han er rejst sydpå</t>
        </r>
      </text>
    </comment>
    <comment ref="Y75" authorId="5" shapeId="0" xr:uid="{5D7245A5-7F0C-4006-AD91-419D67131F61}">
      <text>
        <r>
          <rPr>
            <b/>
            <sz val="9"/>
            <color indexed="81"/>
            <rFont val="Tahoma"/>
            <family val="2"/>
          </rPr>
          <t>Lasse Aae-Hartwig:</t>
        </r>
        <r>
          <rPr>
            <sz val="9"/>
            <color indexed="81"/>
            <rFont val="Tahoma"/>
            <family val="2"/>
          </rPr>
          <t xml:space="preserve">
Gorm har tidligere lavet en aftale med Gunnar om at han holdt fri denne uge han er rejst sydpå</t>
        </r>
      </text>
    </comment>
    <comment ref="Z75" authorId="5" shapeId="0" xr:uid="{5E400382-37B4-45BE-9A0E-633793F1E4DB}">
      <text>
        <r>
          <rPr>
            <b/>
            <sz val="9"/>
            <color indexed="81"/>
            <rFont val="Tahoma"/>
            <family val="2"/>
          </rPr>
          <t>Lasse Aae-Hartwig:</t>
        </r>
        <r>
          <rPr>
            <sz val="9"/>
            <color indexed="81"/>
            <rFont val="Tahoma"/>
            <family val="2"/>
          </rPr>
          <t xml:space="preserve">
Gorm har tidligere lavet en aftale med Gunnar om at han holdt fri denne uge han er rejst sydpå</t>
        </r>
      </text>
    </comment>
    <comment ref="AA75" authorId="5" shapeId="0" xr:uid="{61E33206-227E-4A2A-BEA1-B25126941D87}">
      <text>
        <r>
          <rPr>
            <b/>
            <sz val="9"/>
            <color indexed="81"/>
            <rFont val="Tahoma"/>
            <family val="2"/>
          </rPr>
          <t>Lasse Aae-Hartwig:</t>
        </r>
        <r>
          <rPr>
            <sz val="9"/>
            <color indexed="81"/>
            <rFont val="Tahoma"/>
            <family val="2"/>
          </rPr>
          <t xml:space="preserve">
Gorm har tidligere lavet en aftale med Gunnar om at han holdt fri denne uge han er rejst sydpå</t>
        </r>
      </text>
    </comment>
    <comment ref="P79" authorId="9" shapeId="0" xr:uid="{2C0E7F67-3A9C-4DB7-A321-E284CF35AD1E}">
      <text>
        <r>
          <rPr>
            <sz val="9"/>
            <rFont val="Arial"/>
            <family val="2"/>
          </rPr>
          <t xml:space="preserve">Lars Emil Hartvig Sørensen:
OA.
Lukas Rasmusen tilgår 
RF2-Vagten 05:30 - 08:30
 </t>
        </r>
      </text>
    </comment>
    <comment ref="Q79" authorId="1" shapeId="0" xr:uid="{A09DE0EC-5573-4ADE-BE87-C75279889A39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tager 23 vagten op OA
</t>
        </r>
      </text>
    </comment>
    <comment ref="R79" authorId="1" shapeId="0" xr:uid="{04959E8A-0F66-4AD9-B47F-DF3AC295B140}">
      <text>
        <r>
          <rPr>
            <sz val="9"/>
            <rFont val="Arial"/>
            <family val="2"/>
          </rPr>
          <t xml:space="preserve">Gunner Lindskov Grell:
Michael retter. Lukas møder på Sjællandsgade fra 20,30-8,30
</t>
        </r>
      </text>
    </comment>
    <comment ref="H84" authorId="2" shapeId="0" xr:uid="{C7530BA4-0D9D-4756-AFFF-93DE9B790FB0}">
      <text>
        <r>
          <rPr>
            <sz val="9"/>
            <rFont val="Arial"/>
            <family val="2"/>
          </rPr>
          <t>Michael Fabæch Knudsen:
oa 26 vagt</t>
        </r>
      </text>
    </comment>
    <comment ref="S84" authorId="1" shapeId="0" xr:uid="{36F190BD-3034-4B65-ACC4-62883CE73C91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afspaser fra kl. 12:00
</t>
        </r>
      </text>
    </comment>
    <comment ref="AD88" authorId="2" shapeId="0" xr:uid="{341F706B-9A63-4025-BE12-9283DB8A0CAB}">
      <text>
        <r>
          <rPr>
            <sz val="9"/>
            <rFont val="Arial"/>
            <family val="2"/>
          </rPr>
          <t>Michael Fabæch Knudsen:
Yusef møder først ind på tirsdag, da hans bil er brudt sammen på vejen hjem fra ferie.</t>
        </r>
      </text>
    </comment>
    <comment ref="AG88" authorId="6" shapeId="0" xr:uid="{2FC0A2DB-4403-48EB-8FB7-766027999171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Overarbejde 21 vagt
OA 14:14 - 07:00</t>
        </r>
      </text>
    </comment>
    <comment ref="T116" authorId="9" shapeId="0" xr:uid="{7BD7EBC7-EB53-4EE7-A7F4-10EBD740F2C7}">
      <text>
        <r>
          <rPr>
            <b/>
            <sz val="9"/>
            <color indexed="81"/>
            <rFont val="Tahoma"/>
            <family val="2"/>
          </rPr>
          <t>Lars Emil Hartvig Sørensen:</t>
        </r>
        <r>
          <rPr>
            <sz val="9"/>
            <color indexed="81"/>
            <rFont val="Tahoma"/>
            <family val="2"/>
          </rPr>
          <t xml:space="preserve">
Raskmeldt: Jess 
tilgår sin Vagt S1 i dag
D. 18-07-2025
Kl. 20:30-08:30 </t>
        </r>
      </text>
    </comment>
    <comment ref="Q131" authorId="3" shapeId="0" xr:uid="{6C1D0B57-6E83-45DE-BA1F-8B334F8A9177}">
      <text>
        <r>
          <rPr>
            <b/>
            <sz val="9"/>
            <color indexed="81"/>
            <rFont val="Tahoma"/>
            <family val="2"/>
          </rPr>
          <t>Peter W. Madsen:</t>
        </r>
        <r>
          <rPr>
            <sz val="9"/>
            <color indexed="81"/>
            <rFont val="Tahoma"/>
            <family val="2"/>
          </rPr>
          <t xml:space="preserve">
Byttes til d 09-07</t>
        </r>
      </text>
    </comment>
    <comment ref="K132" authorId="3" shapeId="0" xr:uid="{EFE3E3C9-D3E6-42F2-98C9-50BCFCB8C742}">
      <text>
        <r>
          <rPr>
            <b/>
            <sz val="9"/>
            <color indexed="81"/>
            <rFont val="Tahoma"/>
            <family val="2"/>
          </rPr>
          <t>Peter W. Madsen:</t>
        </r>
        <r>
          <rPr>
            <sz val="9"/>
            <color indexed="81"/>
            <rFont val="Tahoma"/>
            <family val="2"/>
          </rPr>
          <t xml:space="preserve">
Byttes til d 15-07</t>
        </r>
      </text>
    </comment>
    <comment ref="S140" authorId="1" shapeId="0" xr:uid="{CB4E1941-BF03-485E-A396-F7818BE14321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Tager vagten på S1 på OA</t>
        </r>
      </text>
    </comment>
    <comment ref="C169" authorId="0" shapeId="0" xr:uid="{CD141B5A-B7AF-4363-A925-328B2C0ECEED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Rundvisningsenheden</t>
        </r>
      </text>
    </comment>
    <comment ref="D169" authorId="0" shapeId="0" xr:uid="{829BCA16-9943-41CE-9C49-C09043151766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Rundvisningsenheden</t>
        </r>
      </text>
    </comment>
    <comment ref="E169" authorId="0" shapeId="0" xr:uid="{5B134E57-B704-4264-8C5B-E100B5AC043A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Rundvisningsenheden</t>
        </r>
      </text>
    </comment>
    <comment ref="F169" authorId="0" shapeId="0" xr:uid="{C0004365-015E-4E4E-8701-C7ECA013B6BA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Rundvisningsenheden</t>
        </r>
      </text>
    </comment>
    <comment ref="J230" authorId="5" shapeId="0" xr:uid="{9DA2723C-D3FA-47A7-9063-87DA878811E5}">
      <text>
        <r>
          <rPr>
            <b/>
            <sz val="9"/>
            <color indexed="81"/>
            <rFont val="Tahoma"/>
            <family val="2"/>
          </rPr>
          <t>Lasse Aae-Hartwig:</t>
        </r>
        <r>
          <rPr>
            <sz val="9"/>
            <color indexed="81"/>
            <rFont val="Tahoma"/>
            <family val="2"/>
          </rPr>
          <t xml:space="preserve">
20 min OA</t>
        </r>
      </text>
    </comment>
    <comment ref="D234" authorId="0" shapeId="0" xr:uid="{45174D53-BB39-4E15-917D-9894E78734E1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FOA 9-11</t>
        </r>
      </text>
    </comment>
    <comment ref="AB234" authorId="6" shapeId="0" xr:uid="{2A4BF1A5-4F4B-4A2D-8378-85049F696CD3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OA refshalevej + Lygten</t>
        </r>
      </text>
    </comment>
    <comment ref="E284" authorId="1" shapeId="0" xr:uid="{3CF4DEE5-E69A-41BE-8C15-1004B0F2A970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skal på hospital kl. 11:00</t>
        </r>
      </text>
    </comment>
    <comment ref="M286" authorId="0" shapeId="0" xr:uid="{072280A2-C996-4D1A-AE8D-C2EF368AE894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69-vagt</t>
        </r>
      </text>
    </comment>
    <comment ref="W286" authorId="0" shapeId="0" xr:uid="{D5D5409B-4715-4586-852B-DC254CF6D471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3-vagt</t>
        </r>
      </text>
    </comment>
    <comment ref="X286" authorId="0" shapeId="0" xr:uid="{C3AAB99D-7EEB-4F90-BD0B-0D982DEE8C49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3-vagt</t>
        </r>
      </text>
    </comment>
    <comment ref="Y286" authorId="0" shapeId="0" xr:uid="{F7D3727F-29AC-42CB-BF29-407859605DA0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3-vagt</t>
        </r>
      </text>
    </comment>
    <comment ref="Z286" authorId="0" shapeId="0" xr:uid="{0DCE1313-7FA9-48A7-A09E-48CB55AA7742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3-vagt</t>
        </r>
      </text>
    </comment>
    <comment ref="AA286" authorId="0" shapeId="0" xr:uid="{838CC1A1-DDBF-4C5D-A687-CBF84C4DBB06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3-vagt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Thomas Holm</author>
    <author>Lars Emil Hartvig Sørensen</author>
    <author>Michael Fabæch Knudsen</author>
    <author>Nick Lorentzen</author>
    <author>Steen Hertin-Sandkær</author>
    <author>Henrik Wolffbrandt Hansen</author>
    <author>Gunner Lindskov Grell</author>
    <author>Henriette Dedichen</author>
    <author>Lasse Aae-Hartwig</author>
    <author>Rasmus Sørensen</author>
  </authors>
  <commentList>
    <comment ref="J15" authorId="0" shapeId="0" xr:uid="{4B530150-601A-46F0-B0BC-005FC69602A6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V4</t>
        </r>
      </text>
    </comment>
    <comment ref="P15" authorId="0" shapeId="0" xr:uid="{166E80A0-EC6D-49B0-935D-873BA717F3D6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V3 til kl. 20.00</t>
        </r>
      </text>
    </comment>
    <comment ref="Q15" authorId="0" shapeId="0" xr:uid="{B0AB92C6-01C4-494A-9E15-A56CB35A3F0D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V3 til kl. 20.30</t>
        </r>
      </text>
    </comment>
    <comment ref="F16" authorId="1" shapeId="0" xr:uid="{701F966F-63D7-42AC-8FDE-6CA00240D241}">
      <text>
        <r>
          <rPr>
            <sz val="9"/>
            <color indexed="81"/>
            <rFont val="Tahoma"/>
            <family val="2"/>
          </rPr>
          <t xml:space="preserve">Tilgår RF2-Vagten
</t>
        </r>
      </text>
    </comment>
    <comment ref="G19" authorId="2" shapeId="0" xr:uid="{7E0E9D35-AFAB-4D55-B0B4-DD7401DD7991}">
      <text>
        <r>
          <rPr>
            <sz val="9"/>
            <rFont val="Arial"/>
            <family val="2"/>
          </rPr>
          <t>Michael Fabæch Knudsen:
OA Vagt v4</t>
        </r>
      </text>
    </comment>
    <comment ref="H19" authorId="2" shapeId="0" xr:uid="{6E62187F-ED04-40C8-9622-1D38EF9BDC58}">
      <text>
        <r>
          <rPr>
            <sz val="9"/>
            <rFont val="Arial"/>
            <family val="2"/>
          </rPr>
          <t>Michael Fabæch Knudsen:
OA vagt v4</t>
        </r>
      </text>
    </comment>
    <comment ref="I19" authorId="2" shapeId="0" xr:uid="{7C5A7493-301C-4FC3-965D-7B22FB6AD24E}">
      <text>
        <r>
          <rPr>
            <sz val="9"/>
            <rFont val="Arial"/>
            <family val="2"/>
          </rPr>
          <t>Michael Fabæch Knudsen:
OA vagt v4</t>
        </r>
      </text>
    </comment>
    <comment ref="M21" authorId="3" shapeId="0" xr:uid="{4BF7F93E-6787-49B5-95DE-783A742DA75B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OA V3</t>
        </r>
      </text>
    </comment>
    <comment ref="N21" authorId="3" shapeId="0" xr:uid="{80A32BDC-7536-4944-B629-FB9587DDD836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OA V3</t>
        </r>
      </text>
    </comment>
    <comment ref="O21" authorId="3" shapeId="0" xr:uid="{C196995A-77F4-42A0-8CD4-EA6C969E90C6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OA V3</t>
        </r>
      </text>
    </comment>
    <comment ref="AA22" authorId="0" shapeId="0" xr:uid="{ABDB9E1F-050C-4372-A6D1-54BCCE9AD562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Møder kl. 09.00</t>
        </r>
      </text>
    </comment>
    <comment ref="AC22" authorId="4" shapeId="0" xr:uid="{6168E199-E3B8-42A1-ACFE-68997A5EF28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Gasværksvej 07.30 - 09.30</t>
        </r>
      </text>
    </comment>
    <comment ref="AD22" authorId="0" shapeId="0" xr:uid="{D517756A-B0E0-432A-9CA0-2BCCEA210BD5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Rundviser mm.</t>
        </r>
      </text>
    </comment>
    <comment ref="AE22" authorId="4" shapeId="0" xr:uid="{658E781A-9E03-46D2-8660-68678561434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Gasværksvej 07.30 - 09.30</t>
        </r>
      </text>
    </comment>
    <comment ref="J24" authorId="4" shapeId="0" xr:uid="{C6CF3215-CE91-4A48-8D01-FE10513769E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W24" authorId="4" shapeId="0" xr:uid="{7E3F6EA9-8A26-4410-B52B-5CF86A73DDF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Opstart Gasværksvej kl. 14.30 - 17.30</t>
        </r>
      </text>
    </comment>
    <comment ref="AB24" authorId="4" shapeId="0" xr:uid="{025AF811-6095-4B57-B7B2-3612249E680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Gasværksvej skole 14.30 - 17.30</t>
        </r>
      </text>
    </comment>
    <comment ref="AC24" authorId="4" shapeId="0" xr:uid="{736906BC-60AC-4BA6-9A20-75FBD817D93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Gasværksvej skole 07.30 - 09.30 og 14.30 - 17.30</t>
        </r>
      </text>
    </comment>
    <comment ref="F25" authorId="1" shapeId="0" xr:uid="{D6BEE4AE-C975-459E-8E3F-0AB4735D116B}">
      <text>
        <r>
          <rPr>
            <sz val="9"/>
            <color indexed="81"/>
            <rFont val="Tahoma"/>
            <family val="2"/>
          </rPr>
          <t xml:space="preserve">OA. 
Fra 06:30-08:30
Ikke Afløst Til Planlagt Vagtskifte.
</t>
        </r>
      </text>
    </comment>
    <comment ref="P25" authorId="0" shapeId="0" xr:uid="{8B5523F7-3BBB-4960-AB6E-2B347563AC4E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V3 fra kl. 20.00</t>
        </r>
      </text>
    </comment>
    <comment ref="Q25" authorId="0" shapeId="0" xr:uid="{D2A43275-9CD6-439C-A853-44163315E1BE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V3 fra kl. 20.30</t>
        </r>
      </text>
    </comment>
    <comment ref="M27" authorId="0" shapeId="0" xr:uid="{6B19616C-76C3-48A9-9D44-757FBC449B8D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Rentemestervej Kl. 11.00</t>
        </r>
      </text>
    </comment>
    <comment ref="N27" authorId="0" shapeId="0" xr:uid="{CB430440-3E70-4178-8727-FB97A48C479B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Rentemestervej Kl. 11.00</t>
        </r>
      </text>
    </comment>
    <comment ref="T27" authorId="0" shapeId="0" xr:uid="{93FAC3D7-03DC-4947-8848-034F2A54112F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Rentemestervej Kl. 10.00</t>
        </r>
      </text>
    </comment>
    <comment ref="U27" authorId="5" shapeId="0" xr:uid="{C595EC83-5AD4-44B4-B67F-3E59A2D35632}">
      <text>
        <r>
          <rPr>
            <sz val="9"/>
            <rFont val="Arial"/>
            <family val="2"/>
          </rPr>
          <t>Henrik Wolffbrandt Hansen:
Rentemestervej fra kl.14</t>
        </r>
      </text>
    </comment>
    <comment ref="AA27" authorId="0" shapeId="0" xr:uid="{33E854A2-DFCA-4426-85F9-9EB1EB236C5F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Carsten Dahl dækker</t>
        </r>
      </text>
    </comment>
    <comment ref="AB27" authorId="0" shapeId="0" xr:uid="{3AA0ABEE-F30E-4ADC-84DC-D74EEB0002F8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Carsten Dahl dækker</t>
        </r>
      </text>
    </comment>
    <comment ref="AD27" authorId="0" shapeId="0" xr:uid="{94FEA662-4492-444D-9ADB-FB1055CD33E6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Carsten Dahl dækker</t>
        </r>
      </text>
    </comment>
    <comment ref="AE27" authorId="0" shapeId="0" xr:uid="{4766DD89-3A92-4407-8872-A17B60CB989A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Carsten Dahl dækker</t>
        </r>
      </text>
    </comment>
    <comment ref="X28" authorId="0" shapeId="0" xr:uid="{E846DB1A-E63A-4BC6-B3E3-CF0D0EA0569D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69-vagt fra 12.45-16.00
</t>
        </r>
      </text>
    </comment>
    <comment ref="N30" authorId="0" shapeId="0" xr:uid="{D55B60F3-1736-431D-8BE4-3E163773ACC2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09.30-11.00</t>
        </r>
      </text>
    </comment>
    <comment ref="X33" authorId="3" shapeId="0" xr:uid="{19D09EDE-24DE-440D-8D4C-CBB28D343D23}">
      <text>
        <r>
          <rPr>
            <sz val="9"/>
            <rFont val="Arial"/>
            <family val="2"/>
          </rPr>
          <t>Nick Lorentzen:
Rentemestervej 76
Vagt til arrangement til kl. 23.15</t>
        </r>
      </text>
    </comment>
    <comment ref="Y33" authorId="3" shapeId="0" xr:uid="{95A287B6-257F-4D1E-82A0-704A81977390}">
      <text>
        <r>
          <rPr>
            <sz val="9"/>
            <rFont val="Arial"/>
            <family val="2"/>
          </rPr>
          <t>Nick Lorentzen:
Rentemestervej 76
musikarrangement i SALEN lørdag d. 23. august, som slutter omkring kl. 01:00 natten til søndag.
Tjekke huset og tilkoble alarmen efter arrangementet kl. 01.00</t>
        </r>
      </text>
    </comment>
    <comment ref="AB33" authorId="3" shapeId="0" xr:uid="{2621C1A1-64E9-4D55-B904-D9BAAB4FE9FA}">
      <text>
        <r>
          <rPr>
            <sz val="9"/>
            <rFont val="Arial"/>
            <family val="2"/>
          </rPr>
          <t>Nick Lorentzen:
Rentemestervej 76
Vagt til arrangement til kl. 22.00.</t>
        </r>
      </text>
    </comment>
    <comment ref="Z42" authorId="1" shapeId="0" xr:uid="{373C5EE4-1F17-4F61-9E65-BCA460E98AEB}">
      <text>
        <r>
          <rPr>
            <sz val="9"/>
            <rFont val="Arial"/>
            <family val="2"/>
          </rPr>
          <t>Lars Emil Hartvig Sørensen:
OA
A2-Vagt 
07:00 - 19:00</t>
        </r>
      </text>
    </comment>
    <comment ref="Z43" authorId="5" shapeId="0" xr:uid="{3DDC21E4-8185-4B97-8FD8-0E528BB1282D}">
      <text>
        <r>
          <rPr>
            <b/>
            <sz val="9"/>
            <color indexed="81"/>
            <rFont val="Tahoma"/>
            <family val="2"/>
          </rPr>
          <t>Henrik Wolffbrandt Hansen:</t>
        </r>
        <r>
          <rPr>
            <sz val="9"/>
            <color indexed="81"/>
            <rFont val="Tahoma"/>
            <family val="2"/>
          </rPr>
          <t xml:space="preserve">
OA Rentemestervej fra 11</t>
        </r>
      </text>
    </comment>
    <comment ref="C44" authorId="3" shapeId="0" xr:uid="{AA6CB545-08EA-4DD3-9082-CB90A848E449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Afspadserer fra kl 09</t>
        </r>
      </text>
    </comment>
    <comment ref="AD45" authorId="6" shapeId="0" xr:uid="{A377780C-7500-439A-918E-246A85EBE0AE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er på sydbanestien 
</t>
        </r>
      </text>
    </comment>
    <comment ref="I47" authorId="3" shapeId="0" xr:uid="{ED708EA7-3A2B-4DA5-89E9-3D598A8F3015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OA Griffenfeldsgade</t>
        </r>
      </text>
    </comment>
    <comment ref="J47" authorId="3" shapeId="0" xr:uid="{7CF8ED88-ADBA-4785-BA9F-70263E88E5B4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OA 79 vagt</t>
        </r>
      </text>
    </comment>
    <comment ref="R47" authorId="0" shapeId="0" xr:uid="{F97E2A24-8000-45E9-99EF-D49C60CB27DB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RF4</t>
        </r>
      </text>
    </comment>
    <comment ref="S47" authorId="0" shapeId="0" xr:uid="{EEAFAACA-8C4E-4463-84C4-0E4E60E7D17A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OA RF4+RF2</t>
        </r>
      </text>
    </comment>
    <comment ref="N48" authorId="3" shapeId="0" xr:uid="{FF21148A-0DA9-41FA-A333-9BCB85B952BD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OA refshalevej 17:30 -20:30</t>
        </r>
      </text>
    </comment>
    <comment ref="P48" authorId="3" shapeId="0" xr:uid="{46884858-5095-43B8-8F04-162DA36216DB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OA refshalevej 17:30 -20:30</t>
        </r>
      </text>
    </comment>
    <comment ref="Q48" authorId="3" shapeId="0" xr:uid="{574BF868-4D34-43D7-95A9-E181CBD68228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OA refshalevej 17:30 -20:30</t>
        </r>
      </text>
    </comment>
    <comment ref="T48" authorId="3" shapeId="0" xr:uid="{FC9F5DA5-31CA-446F-8E24-FF1AFF23699A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OA 6 vagt</t>
        </r>
      </text>
    </comment>
    <comment ref="G50" authorId="3" shapeId="0" xr:uid="{02EAC584-AB8E-4986-B6AF-23FC692F5CB5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OA 79 vagt</t>
        </r>
      </text>
    </comment>
    <comment ref="AA50" authorId="0" shapeId="0" xr:uid="{6175408D-5FD3-45B1-89A0-CC19884AF740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Grundlæggende vagt</t>
        </r>
      </text>
    </comment>
    <comment ref="U52" authorId="0" shapeId="0" xr:uid="{A5F64882-C994-4E59-842C-90EE7EA8862E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V4
OA fra 22 - 23</t>
        </r>
      </text>
    </comment>
    <comment ref="V52" authorId="0" shapeId="0" xr:uid="{054DB983-3ED5-4913-B88F-3EDEEB47B6B9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V4
OA fra 22 - 23</t>
        </r>
      </text>
    </comment>
    <comment ref="M54" authorId="0" shapeId="0" xr:uid="{4E4A66EA-7F8F-4177-B269-87557E1D9E53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Omlagt TJ - 99-vagt</t>
        </r>
      </text>
    </comment>
    <comment ref="N54" authorId="0" shapeId="0" xr:uid="{886F8C47-DFCC-436D-9A79-2F1BAA72F4F4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Omlagt TJ - 99-vagt</t>
        </r>
      </text>
    </comment>
    <comment ref="O54" authorId="0" shapeId="0" xr:uid="{B2208A8F-379D-4180-BDF8-F9DD9757A441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Omlagt TJ - 99-vagt</t>
        </r>
      </text>
    </comment>
    <comment ref="P54" authorId="0" shapeId="0" xr:uid="{290F950A-DA29-435A-951D-D27AA0C9E9D1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Omlagt TJ - 99-vagt</t>
        </r>
      </text>
    </comment>
    <comment ref="Q54" authorId="0" shapeId="0" xr:uid="{34799FBC-B56A-4617-8235-070B02A4895B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Omlagt TJ
08.00-16.00</t>
        </r>
      </text>
    </comment>
    <comment ref="AA54" authorId="0" shapeId="0" xr:uid="{464F89EF-9C04-4C28-849A-9B4AC3FD43BE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I-vagt</t>
        </r>
      </text>
    </comment>
    <comment ref="AB54" authorId="0" shapeId="0" xr:uid="{3255BA14-EC46-4169-8365-EFACBC1CA20F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I-vagt</t>
        </r>
      </text>
    </comment>
    <comment ref="AC54" authorId="0" shapeId="0" xr:uid="{21465056-14A3-432D-B8D7-4BB6C386C657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I-vagt</t>
        </r>
      </text>
    </comment>
    <comment ref="AD54" authorId="0" shapeId="0" xr:uid="{1B59998F-8E79-4068-B552-2570D7799005}">
      <text>
        <r>
          <rPr>
            <b/>
            <sz val="9"/>
            <color indexed="81"/>
            <rFont val="Tahoma"/>
            <family val="2"/>
          </rPr>
          <t xml:space="preserve">Thomas Holm:
3 Vagten 
</t>
        </r>
      </text>
    </comment>
    <comment ref="AE54" authorId="0" shapeId="0" xr:uid="{5DE56C08-A975-499F-A4FC-D0358EDB5CA6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I-vagt</t>
        </r>
      </text>
    </comment>
    <comment ref="O56" authorId="7" shapeId="0" xr:uid="{AC132C1E-9875-4ABD-9888-A59568D1E8B3}">
      <text>
        <r>
          <rPr>
            <b/>
            <sz val="9"/>
            <color indexed="81"/>
            <rFont val="Tahoma"/>
            <family val="2"/>
          </rPr>
          <t>Henriette Dedichen:</t>
        </r>
        <r>
          <rPr>
            <sz val="9"/>
            <color indexed="81"/>
            <rFont val="Tahoma"/>
            <family val="2"/>
          </rPr>
          <t xml:space="preserve">
SIDSTE ARBEJDSDAG</t>
        </r>
      </text>
    </comment>
    <comment ref="F62" authorId="5" shapeId="0" xr:uid="{2B62EB7B-E6B9-4CB1-9C52-D328BA9C106C}">
      <text>
        <r>
          <rPr>
            <sz val="9"/>
            <rFont val="Arial"/>
            <family val="2"/>
          </rPr>
          <t>Henrik Wolffbrandt Hansen:
OA V4</t>
        </r>
      </text>
    </comment>
    <comment ref="P62" authorId="0" shapeId="0" xr:uid="{2D342BAA-5E18-4B4D-8080-816F6C9BA839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62" authorId="5" shapeId="0" xr:uid="{3C69D0F9-E828-487A-9979-28950C2EE58A}">
      <text>
        <r>
          <rPr>
            <sz val="9"/>
            <rFont val="Arial"/>
            <family val="2"/>
          </rPr>
          <t>Henrik Wolffbrandt Hansen:
OA Rentemestervej fra 14</t>
        </r>
      </text>
    </comment>
    <comment ref="V62" authorId="0" shapeId="0" xr:uid="{1E039E27-4CDB-4F25-993F-9ECCFE7EF4C3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Arbejdsbeskrivelser</t>
        </r>
      </text>
    </comment>
    <comment ref="W62" authorId="0" shapeId="0" xr:uid="{4247A229-7DA4-4F2A-954E-8E5EC34E83A4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Arbejdsbeskrivelser</t>
        </r>
      </text>
    </comment>
    <comment ref="X62" authorId="0" shapeId="0" xr:uid="{F738DC44-3DC1-4FB8-8797-9E8895D8C52B}">
      <text>
        <r>
          <rPr>
            <sz val="9"/>
            <rFont val="Arial"/>
            <family val="2"/>
          </rPr>
          <t>Thomas Holm:
Arbejdsbeskrivelser
Gasværksvej skole 07.30 - 10.00 og 14.30 - 17.30</t>
        </r>
      </text>
    </comment>
    <comment ref="Z62" authorId="5" shapeId="0" xr:uid="{F1DDF589-2E07-43AB-944D-0D8FC20F8A71}">
      <text>
        <r>
          <rPr>
            <b/>
            <sz val="9"/>
            <color indexed="81"/>
            <rFont val="Tahoma"/>
            <family val="2"/>
          </rPr>
          <t>Henrik Wolffbrandt Hansen:</t>
        </r>
        <r>
          <rPr>
            <sz val="9"/>
            <color indexed="81"/>
            <rFont val="Tahoma"/>
            <family val="2"/>
          </rPr>
          <t xml:space="preserve">
OA Rentemestervej fra 11</t>
        </r>
      </text>
    </comment>
    <comment ref="AA62" authorId="4" shapeId="0" xr:uid="{DB5AACD2-C564-49E4-A297-B83D38F2193C}">
      <text>
        <r>
          <rPr>
            <sz val="9"/>
            <rFont val="Arial"/>
            <family val="2"/>
          </rPr>
          <t>Steen Hertin-Sandkær:
Gasværksvej skole 07.30 - 09.30</t>
        </r>
      </text>
    </comment>
    <comment ref="AB62" authorId="4" shapeId="0" xr:uid="{97794034-7105-4A73-B97D-4B431F90CD10}">
      <text>
        <r>
          <rPr>
            <sz val="9"/>
            <rFont val="Arial"/>
            <family val="2"/>
          </rPr>
          <t>Steen Hertin-Sandkær:
Til kl. 13:00
Gasværksvej skole 07.30 - 09.30</t>
        </r>
      </text>
    </comment>
    <comment ref="AC62" authorId="0" shapeId="0" xr:uid="{2DADC13E-623C-4F8B-B519-C0071A4EE8CD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Arbejdsbeskrivelser</t>
        </r>
      </text>
    </comment>
    <comment ref="AD62" authorId="0" shapeId="0" xr:uid="{0C8E8622-1C3D-4F7C-8AD6-19CD5D88052D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Arbejdsbeskrivelser</t>
        </r>
      </text>
    </comment>
    <comment ref="AE62" authorId="0" shapeId="0" xr:uid="{38A5B534-2E94-4F99-9B28-6DBEF9A81653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Gasværksvej 14.30 - 17.30</t>
        </r>
      </text>
    </comment>
    <comment ref="H63" authorId="2" shapeId="0" xr:uid="{D0B61D69-9F40-4233-BE33-9AAF258AC461}">
      <text>
        <r>
          <rPr>
            <sz val="9"/>
            <rFont val="Arial"/>
            <family val="2"/>
          </rPr>
          <t>Michael Fabæch Knudsen:
Salih skal til scanning kl. 13, Salih går kl.12</t>
        </r>
      </text>
    </comment>
    <comment ref="M63" authorId="0" shapeId="0" xr:uid="{58293FF9-4A96-4DD6-A249-CD3A28BB7D09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Møder 13.00-20.30
Refshale 17.30-2030</t>
        </r>
      </text>
    </comment>
    <comment ref="N63" authorId="6" shapeId="0" xr:uid="{FDE3223E-80FD-4DC4-AAE6-DA883D620ED6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Vagt på Endrupvej 72
fra 13:00 - 20:30
</t>
        </r>
      </text>
    </comment>
    <comment ref="O63" authorId="0" shapeId="0" xr:uid="{ADE9A722-12CC-41E4-BA9F-AEF4957779E6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Mødetid 13.00-20.30
C-vagt 13.30-15.45
Refshale 17.30-2030</t>
        </r>
      </text>
    </comment>
    <comment ref="P63" authorId="6" shapeId="0" xr:uid="{70E9A9BB-FB43-4588-A1A6-FF2DF2E2BCFB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Vagt på Endrupvej 72
fra 13:00 - 20:30
</t>
        </r>
      </text>
    </comment>
    <comment ref="T63" authorId="0" shapeId="0" xr:uid="{8EFE6138-2C54-4703-B63A-005F1514E7B3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Skal gå 15.00</t>
        </r>
      </text>
    </comment>
    <comment ref="U63" authorId="6" shapeId="0" xr:uid="{9407F94C-CD64-48B8-9231-04093D2E3A6A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Vagt på Endrupvej 72
fra 13:00 - 20:30
</t>
        </r>
      </text>
    </comment>
    <comment ref="W63" authorId="6" shapeId="0" xr:uid="{91D306D4-F653-4CDF-9080-89C91A99A341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Vagt på Endrupvej 72
fra 13:00 - 20:30
</t>
        </r>
      </text>
    </comment>
    <comment ref="X63" authorId="0" shapeId="0" xr:uid="{B7107B8A-0FAB-4D69-A554-397D96FB5275}">
      <text>
        <r>
          <rPr>
            <b/>
            <sz val="9"/>
            <color indexed="81"/>
            <rFont val="Tahoma"/>
            <family val="2"/>
          </rPr>
          <t>Thomas Holm:
V</t>
        </r>
        <r>
          <rPr>
            <sz val="9"/>
            <color indexed="81"/>
            <rFont val="Tahoma"/>
            <family val="2"/>
          </rPr>
          <t>agt Thorvaldsens Museum. 13.00-19.00</t>
        </r>
      </text>
    </comment>
    <comment ref="AB63" authorId="6" shapeId="0" xr:uid="{CDAAD100-56E6-46B3-A727-4718AA63BCCB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Vagt på Endrupvej 72
fra 13:00 - 20:30
</t>
        </r>
      </text>
    </comment>
    <comment ref="AC63" authorId="0" shapeId="0" xr:uid="{EB30E519-EE2D-4326-B197-A6426A4F2074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Afsp. fra kl. 12.00</t>
        </r>
      </text>
    </comment>
    <comment ref="AD63" authorId="6" shapeId="0" xr:uid="{7E8DB24B-9CAD-4A5E-B633-FBD782A75314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Vagt på Endrupvej 72
fra 13:00 - 20:30
</t>
        </r>
      </text>
    </comment>
    <comment ref="AA66" authorId="8" shapeId="0" xr:uid="{4DE1D12A-7182-45D2-BA8A-02B3EA63CF9A}">
      <text>
        <r>
          <rPr>
            <b/>
            <sz val="9"/>
            <color indexed="81"/>
            <rFont val="Tahoma"/>
            <family val="2"/>
          </rPr>
          <t>Lasse Aae-Hartwig:</t>
        </r>
        <r>
          <rPr>
            <sz val="9"/>
            <color indexed="81"/>
            <rFont val="Tahoma"/>
            <family val="2"/>
          </rPr>
          <t xml:space="preserve">
OA RF2 5.30 - 8.30</t>
        </r>
      </text>
    </comment>
    <comment ref="AC66" authorId="6" shapeId="0" xr:uid="{75C5FAAF-0F85-4D61-93D1-0FF8DFB161D7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TR Kursus
</t>
        </r>
      </text>
    </comment>
    <comment ref="AD66" authorId="6" shapeId="0" xr:uid="{469BE624-35E3-4893-B753-BD163A1E65A7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TR Kursus</t>
        </r>
      </text>
    </comment>
    <comment ref="AE66" authorId="6" shapeId="0" xr:uid="{1F712907-CAD7-4005-9C50-AF3945C3E2A6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TR Kursus</t>
        </r>
      </text>
    </comment>
    <comment ref="W68" authorId="0" shapeId="0" xr:uid="{A9BF6B11-D488-415D-83CE-4E61D1B3CE83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Refshale 17.30-2030</t>
        </r>
      </text>
    </comment>
    <comment ref="X68" authorId="0" shapeId="0" xr:uid="{71A0492E-DD2A-4B13-BF1D-C97A4F150D00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Refshale 17.30-2030</t>
        </r>
      </text>
    </comment>
    <comment ref="AA70" authorId="6" shapeId="0" xr:uid="{ADCBEB62-FFD1-4AB1-94D8-60A3FB34D343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skal til lægen </t>
        </r>
      </text>
    </comment>
    <comment ref="Q72" authorId="3" shapeId="0" xr:uid="{F86F3311-DBD1-4FB2-BB2D-8BF03E2DDF1A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25 vagt på OA</t>
        </r>
      </text>
    </comment>
    <comment ref="M81" authorId="0" shapeId="0" xr:uid="{C132321E-19A8-41B7-B9C0-33477658F05A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RF1 OA</t>
        </r>
      </text>
    </comment>
    <comment ref="N81" authorId="0" shapeId="0" xr:uid="{E5ED56F4-AE1D-4F06-BE23-0DC961FB8D5C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RF1 OA</t>
        </r>
      </text>
    </comment>
    <comment ref="F84" authorId="6" shapeId="0" xr:uid="{AC41CF90-D296-4D7E-829A-D5557368DA58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OA fra 06:30 til 10:00
skal sætte Kasper i gang </t>
        </r>
      </text>
    </comment>
    <comment ref="I84" authorId="6" shapeId="0" xr:uid="{EAB58C78-C184-4EE0-92A5-80073C953263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Griffensfeldt gade </t>
        </r>
      </text>
    </comment>
    <comment ref="J84" authorId="0" shapeId="0" xr:uid="{A9C037D9-2796-4265-AB09-834031524867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Kun dagvagt</t>
        </r>
      </text>
    </comment>
    <comment ref="AC84" authorId="0" shapeId="0" xr:uid="{3AF741BC-8BFF-4698-A6AD-32838A3C39B0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Kun aftenvagt</t>
        </r>
      </text>
    </comment>
    <comment ref="F85" authorId="6" shapeId="0" xr:uid="{51A5135B-9DC6-45A6-9110-DA4FB16FCCB0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Skole
</t>
        </r>
      </text>
    </comment>
    <comment ref="G85" authorId="6" shapeId="0" xr:uid="{7D0A060F-07D5-43C0-8D2C-6B94E365FCA2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Skole
</t>
        </r>
      </text>
    </comment>
    <comment ref="H85" authorId="6" shapeId="0" xr:uid="{9E9C4D73-326F-482C-8E26-E5C0BDAC55D2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Skole
</t>
        </r>
      </text>
    </comment>
    <comment ref="I85" authorId="6" shapeId="0" xr:uid="{1D174FAF-380D-4BB3-B468-6191B8C5C82C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Skole
</t>
        </r>
      </text>
    </comment>
    <comment ref="J85" authorId="6" shapeId="0" xr:uid="{C60CB1A6-B9DE-43FE-ADED-C8E442EE4EC2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Skole
</t>
        </r>
      </text>
    </comment>
    <comment ref="M85" authorId="6" shapeId="0" xr:uid="{356AA141-1F07-4527-84F1-16F3BA3E0904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Skole
</t>
        </r>
      </text>
    </comment>
    <comment ref="N85" authorId="6" shapeId="0" xr:uid="{522D362F-A522-4592-8910-4EEED0847908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Skole
</t>
        </r>
      </text>
    </comment>
    <comment ref="O85" authorId="6" shapeId="0" xr:uid="{B183013C-A646-413C-B748-EC00C8E31172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Skole
</t>
        </r>
      </text>
    </comment>
    <comment ref="P85" authorId="6" shapeId="0" xr:uid="{0DA72799-EB7A-4001-B88B-CE02B7348AE3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Skole
</t>
        </r>
      </text>
    </comment>
    <comment ref="Q85" authorId="6" shapeId="0" xr:uid="{E737564B-4A35-4176-A0C0-A725BA9B812C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Skole
</t>
        </r>
      </text>
    </comment>
    <comment ref="T85" authorId="6" shapeId="0" xr:uid="{D6FB269A-DBDA-4028-86C3-A91EAFA62764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Skole
</t>
        </r>
      </text>
    </comment>
    <comment ref="U85" authorId="6" shapeId="0" xr:uid="{110E6059-8629-47EA-9BA0-DFFF32BEEC84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Skole
</t>
        </r>
      </text>
    </comment>
    <comment ref="V85" authorId="6" shapeId="0" xr:uid="{25990EA2-368E-4728-B3E7-9F4CD0615439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Skole
</t>
        </r>
      </text>
    </comment>
    <comment ref="W85" authorId="6" shapeId="0" xr:uid="{ECF9489C-6B9C-4302-809D-769029EBB57E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Skole
</t>
        </r>
      </text>
    </comment>
    <comment ref="X85" authorId="6" shapeId="0" xr:uid="{03A77172-FE05-459D-8668-528D6D765D91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Skole
</t>
        </r>
      </text>
    </comment>
    <comment ref="AA85" authorId="6" shapeId="0" xr:uid="{7D24F912-C804-4C65-8BE8-CCD6BF8A762E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Skole
</t>
        </r>
      </text>
    </comment>
    <comment ref="AB85" authorId="6" shapeId="0" xr:uid="{51CFC7BE-EFF1-4CEE-B75B-959697F49B2D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Skole
</t>
        </r>
      </text>
    </comment>
    <comment ref="AC85" authorId="6" shapeId="0" xr:uid="{28304323-40A9-4158-8F63-16C58635D69E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Skole
</t>
        </r>
      </text>
    </comment>
    <comment ref="AD85" authorId="6" shapeId="0" xr:uid="{C2E07B02-6BB3-4F1D-AA74-16AA6910AAC2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Skole
</t>
        </r>
      </text>
    </comment>
    <comment ref="AE85" authorId="6" shapeId="0" xr:uid="{92DFCE2A-67EF-4786-B187-792D773493C4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Skole
</t>
        </r>
      </text>
    </comment>
    <comment ref="C87" authorId="1" shapeId="0" xr:uid="{1664A310-05D3-4527-8247-6A55CE06EB06}">
      <text>
        <r>
          <rPr>
            <b/>
            <sz val="9"/>
            <color indexed="81"/>
            <rFont val="Tahoma"/>
            <family val="2"/>
          </rPr>
          <t>Lars Emil Hartvig Sørensen:</t>
        </r>
        <r>
          <rPr>
            <sz val="9"/>
            <color indexed="81"/>
            <rFont val="Tahoma"/>
            <family val="2"/>
          </rPr>
          <t xml:space="preserve">
På I-Vagt 
08:15-14:00
OA- 22-Vagten 
23:00-07:00 </t>
        </r>
      </text>
    </comment>
    <comment ref="G87" authorId="0" shapeId="0" xr:uid="{8C31DE78-4C8A-4176-B394-56E9B83CF339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N87" authorId="0" shapeId="0" xr:uid="{2AC8CEDB-83F6-4A80-B604-C1089A8B6D34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U87" authorId="0" shapeId="0" xr:uid="{ADB1215A-A8C0-4F70-9164-87A1BE86B8CA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X87" authorId="0" shapeId="0" xr:uid="{C5B28963-1B7A-4684-A5BF-D05720750B05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Vagt Thorvaldsens Museum. 13.00-19.00</t>
        </r>
      </text>
    </comment>
    <comment ref="AB87" authorId="0" shapeId="0" xr:uid="{63058B5D-92E0-43E0-BA59-FCB7C94BC64A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X102" authorId="0" shapeId="0" xr:uid="{CA4980C2-0349-47EE-BEE4-C2E6CD479D76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25 vagt</t>
        </r>
      </text>
    </comment>
    <comment ref="AA114" authorId="4" shapeId="0" xr:uid="{7F72416B-896D-470A-B3ED-6F322DA98B5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Gasværksvej skole 14.00 - 18.00 oa.</t>
        </r>
      </text>
    </comment>
    <comment ref="AD114" authorId="4" shapeId="0" xr:uid="{6F29C84D-6F10-4F1D-93CD-6BF0ED11273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Gasværksvej skole kl. 07.30 - 09.30 og kl. 14.30 - 17.30. På Rådhuset kl. 09.45 - 14.15</t>
        </r>
      </text>
    </comment>
    <comment ref="T130" authorId="0" shapeId="0" xr:uid="{F76A8914-41A3-47CB-BBF1-45C28A9B0C09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Møder 17.30-08.30</t>
        </r>
      </text>
    </comment>
    <comment ref="U130" authorId="0" shapeId="0" xr:uid="{A7E777BC-6E8D-48B4-AAAB-CBEB3AE7714A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Møder 17.30-08.30</t>
        </r>
      </text>
    </comment>
    <comment ref="V130" authorId="0" shapeId="0" xr:uid="{16637ED1-389A-4F5B-8095-106480B096DE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Møder 17.30-08.30</t>
        </r>
      </text>
    </comment>
    <comment ref="F139" authorId="3" shapeId="0" xr:uid="{DFE3CD2E-2B02-4446-9EF9-17528A6D6295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OA Refshalevej 17:30 - 20:30</t>
        </r>
      </text>
    </comment>
    <comment ref="G146" authorId="3" shapeId="0" xr:uid="{58A3F53C-044D-4AAC-9B9F-199AE3F82044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OA Refshalevej 17:30 - 20:30</t>
        </r>
      </text>
    </comment>
    <comment ref="H146" authorId="3" shapeId="0" xr:uid="{50D09E2D-9133-4E39-8CAD-E2BD27CE777B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OA Refshalevej 17:30 - 20:30</t>
        </r>
      </text>
    </comment>
    <comment ref="I146" authorId="3" shapeId="0" xr:uid="{5A2DC1A3-69B2-4F6B-AA73-8DBB350F38BE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OA Refshalevej 17:30 - 20:30</t>
        </r>
      </text>
    </comment>
    <comment ref="J146" authorId="3" shapeId="0" xr:uid="{D0FCA8D9-3C53-4795-AD01-0CAC45276212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OA Refshalevej 17:30 - 20:30</t>
        </r>
      </text>
    </comment>
    <comment ref="M146" authorId="1" shapeId="0" xr:uid="{F066508B-76E6-4485-AE08-547F112C5A9B}">
      <text>
        <r>
          <rPr>
            <b/>
            <sz val="9"/>
            <color indexed="81"/>
            <rFont val="Tahoma"/>
            <family val="2"/>
          </rPr>
          <t>Lars Emil Hartvig Sørensen:</t>
        </r>
        <r>
          <rPr>
            <sz val="9"/>
            <color indexed="81"/>
            <rFont val="Tahoma"/>
            <family val="2"/>
          </rPr>
          <t xml:space="preserve">
OA.
RF-2 05:30 - 08:30</t>
        </r>
      </text>
    </comment>
    <comment ref="AE146" authorId="3" shapeId="0" xr:uid="{A5206611-0674-4AED-87F3-9015764F251F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OA 17:30 - 08:30</t>
        </r>
      </text>
    </comment>
    <comment ref="F166" authorId="1" shapeId="0" xr:uid="{7C8D618D-3762-4C69-A4F6-6B53C37E9A44}">
      <text>
        <r>
          <rPr>
            <b/>
            <sz val="9"/>
            <color indexed="81"/>
            <rFont val="Tahoma"/>
            <family val="2"/>
          </rPr>
          <t>Lars Emil Hartvig Sørensen:</t>
        </r>
        <r>
          <rPr>
            <sz val="9"/>
            <color indexed="81"/>
            <rFont val="Tahoma"/>
            <family val="2"/>
          </rPr>
          <t xml:space="preserve">
Sygemeldt.
D.03-08-2025</t>
        </r>
      </text>
    </comment>
    <comment ref="AC166" authorId="0" shapeId="0" xr:uid="{EB2635A1-D5C3-4AF6-86A1-513F36BAAE56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Kører 15.30.</t>
        </r>
      </text>
    </comment>
    <comment ref="U167" authorId="0" shapeId="0" xr:uid="{3F551DC6-5F95-43EB-891F-4630D6C196CE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Afsp. fra 08:30-09:30 </t>
        </r>
      </text>
    </comment>
    <comment ref="X168" authorId="0" shapeId="0" xr:uid="{B35DB20B-A544-4530-9E77-EC970979D585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Vagt Thorvaldsens Museum. 13.00-19.00</t>
        </r>
      </text>
    </comment>
    <comment ref="U169" authorId="1" shapeId="0" xr:uid="{DD272855-685D-4145-AA01-1AC7DB2582AB}">
      <text>
        <r>
          <rPr>
            <sz val="9"/>
            <rFont val="Arial"/>
            <family val="2"/>
          </rPr>
          <t>Lars Emil Hartvig Sørensen:
OA
6-Vagten
16:00 - 23:00</t>
        </r>
      </text>
    </comment>
    <comment ref="X170" authorId="0" shapeId="0" xr:uid="{88F7D64D-E331-4157-990D-D162441E7771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Vagt Thorvaldsens Museum. 13.00-19.00</t>
        </r>
      </text>
    </comment>
    <comment ref="AF170" authorId="9" shapeId="0" xr:uid="{CC51656A-D1F2-4D5D-87C3-A8143202FFF7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 bellahøj kl. 8-15 på OA</t>
        </r>
      </text>
    </comment>
    <comment ref="V184" authorId="3" shapeId="0" xr:uid="{9F4AD6F8-B48A-44C3-98FE-38CFC82BF50C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OA 21 vagt</t>
        </r>
      </text>
    </comment>
    <comment ref="G186" authorId="2" shapeId="0" xr:uid="{513CDE95-3287-4023-B25C-FB91E94345D4}">
      <text>
        <r>
          <rPr>
            <sz val="9"/>
            <rFont val="Arial"/>
            <family val="2"/>
          </rPr>
          <t>Michael Fabæch Knudsen:
Volkan er gået hjem kl. 22 med meget ondt i foden</t>
        </r>
      </text>
    </comment>
    <comment ref="L186" authorId="1" shapeId="0" xr:uid="{217CD5E8-5439-4A9B-AF1B-97E9CF8B5B68}">
      <text>
        <r>
          <rPr>
            <b/>
            <sz val="9"/>
            <color indexed="81"/>
            <rFont val="Tahoma"/>
            <family val="2"/>
          </rPr>
          <t>Lars Emil Hartvig Sørensen:</t>
        </r>
        <r>
          <rPr>
            <sz val="9"/>
            <color indexed="81"/>
            <rFont val="Tahoma"/>
            <family val="2"/>
          </rPr>
          <t xml:space="preserve">
Afspasering 
04:00 - 05:30</t>
        </r>
      </text>
    </comment>
    <comment ref="W188" authorId="0" shapeId="0" xr:uid="{DD17EB49-E7AB-4BF4-8717-27C21BC2A4B2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Begravelse</t>
        </r>
      </text>
    </comment>
    <comment ref="O231" authorId="0" shapeId="0" xr:uid="{050C7A04-EF92-41F7-97FF-616AB82E0457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Skal afløses 13.45-15.45</t>
        </r>
      </text>
    </comment>
    <comment ref="N235" authorId="0" shapeId="0" xr:uid="{C3E629F3-9321-49F0-B1C5-662146A413A4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KEJD MED
09.30-11.00</t>
        </r>
      </text>
    </comment>
    <comment ref="O235" authorId="0" shapeId="0" xr:uid="{3986151F-7F52-4824-B459-CD868EDAE05E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FOA1</t>
        </r>
      </text>
    </comment>
    <comment ref="P235" authorId="0" shapeId="0" xr:uid="{CFD45797-90E7-4765-AB00-468AF8E629C8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Møder</t>
        </r>
      </text>
    </comment>
    <comment ref="T285" authorId="0" shapeId="0" xr:uid="{B6043444-5582-4AF9-9894-F7980B36D549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P1</t>
        </r>
      </text>
    </comment>
    <comment ref="U285" authorId="0" shapeId="0" xr:uid="{A0E97824-6982-44A3-9C91-FC4CFB848CA9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P1</t>
        </r>
      </text>
    </comment>
    <comment ref="V285" authorId="0" shapeId="0" xr:uid="{93091CE6-EFC1-417D-87B7-D3AB396A0E89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P1</t>
        </r>
      </text>
    </comment>
    <comment ref="W285" authorId="0" shapeId="0" xr:uid="{90F89D72-D876-41E9-8D7F-BA8778D3F462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P1</t>
        </r>
      </text>
    </comment>
    <comment ref="X285" authorId="0" shapeId="0" xr:uid="{91C6486D-F262-40A0-9559-95D8FE6CF3D0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P1</t>
        </r>
      </text>
    </comment>
    <comment ref="M287" authorId="0" shapeId="0" xr:uid="{F01E0350-D03E-47FA-865A-52D398F1160C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89-vagt</t>
        </r>
      </text>
    </comment>
    <comment ref="N287" authorId="0" shapeId="0" xr:uid="{1C0350A9-935E-477F-B299-D23C8F9A0B69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89-vagt</t>
        </r>
      </text>
    </comment>
    <comment ref="O287" authorId="0" shapeId="0" xr:uid="{0A32763C-5731-4688-BBB5-1CFCD721385E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O-vagt</t>
        </r>
      </text>
    </comment>
    <comment ref="P287" authorId="0" shapeId="0" xr:uid="{463930F3-B41F-40F6-A7E5-2EFB04DC2D77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O-vagt</t>
        </r>
      </text>
    </comment>
    <comment ref="Q287" authorId="0" shapeId="0" xr:uid="{3EFF4881-5BCE-47BE-99A5-1A989DCAC583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T-vagt</t>
        </r>
      </text>
    </comment>
    <comment ref="T287" authorId="0" shapeId="0" xr:uid="{B409B3D9-F0EF-46D1-B7D2-C1FB0C804837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O-vagt</t>
        </r>
      </text>
    </comment>
    <comment ref="U287" authorId="0" shapeId="0" xr:uid="{34841CAA-A1BC-4983-A660-C788FBB9B6A9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O-vagt</t>
        </r>
      </text>
    </comment>
    <comment ref="V287" authorId="0" shapeId="0" xr:uid="{37FB5817-1222-4E13-8032-50789EB1ECC7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O-vagt</t>
        </r>
      </text>
    </comment>
    <comment ref="W287" authorId="0" shapeId="0" xr:uid="{D49027D2-A4D1-4240-BB94-2C9E23B38A90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O-vagt</t>
        </r>
      </text>
    </comment>
    <comment ref="X287" authorId="0" shapeId="0" xr:uid="{AC82DAFC-5FF1-48E8-8FA0-82BC0D9D4E7A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O-vagt</t>
        </r>
      </text>
    </comment>
    <comment ref="AA287" authorId="0" shapeId="0" xr:uid="{C484C6D8-89D1-4F6C-BDCD-9E4DC98B2214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O-vagt</t>
        </r>
      </text>
    </comment>
    <comment ref="AB287" authorId="0" shapeId="0" xr:uid="{B8CC6DE9-4993-4536-89F5-6C4DAB68A1FA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O-vagt</t>
        </r>
      </text>
    </comment>
    <comment ref="AC287" authorId="0" shapeId="0" xr:uid="{725F5985-B061-46BB-BE6C-818AFAEAFE87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O-vagt</t>
        </r>
      </text>
    </comment>
    <comment ref="AD287" authorId="0" shapeId="0" xr:uid="{1C4C9C0C-5237-4593-B7A9-7F1CEF56FF6D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O-vagt</t>
        </r>
      </text>
    </comment>
    <comment ref="AE287" authorId="0" shapeId="0" xr:uid="{9DAC3CA5-FD35-422B-BAE0-3ED9CF1A3E0C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O-vagt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Henrik Wolffbrandt Hansen</author>
    <author>Michael Fabæch Knudsen</author>
    <author>Steen Hertin-Sandkær</author>
    <author>Thomas Holm</author>
    <author>Lars Emil Hartvig Sørensen</author>
    <author>Gunner Lindskov Grell</author>
    <author>Lasse Aae-Hartwig</author>
    <author>Nick Lorentzen</author>
  </authors>
  <commentList>
    <comment ref="J19" authorId="0" shapeId="0" xr:uid="{2ABCD8DB-02A6-46FE-9007-FAFA4C23F860}">
      <text>
        <r>
          <rPr>
            <sz val="9"/>
            <rFont val="Arial"/>
            <family val="2"/>
          </rPr>
          <t>Henrik Wolffbrandt Hansen:
OA V4</t>
        </r>
      </text>
    </comment>
    <comment ref="K19" authorId="1" shapeId="0" xr:uid="{AB861F75-5E91-49B4-997D-74490B4D1C02}">
      <text>
        <r>
          <rPr>
            <sz val="9"/>
            <rFont val="Arial"/>
            <family val="2"/>
          </rPr>
          <t>Michael Fabæch Knudsen:
OA V4</t>
        </r>
      </text>
    </comment>
    <comment ref="L19" authorId="1" shapeId="0" xr:uid="{D61A9B69-D47A-4F48-8F10-EE44FBA7A10E}">
      <text>
        <r>
          <rPr>
            <sz val="9"/>
            <rFont val="Arial"/>
            <family val="2"/>
          </rPr>
          <t>Michael Fabæch Knudsen:
OA V4</t>
        </r>
      </text>
    </comment>
    <comment ref="M19" authorId="0" shapeId="0" xr:uid="{9D8C0301-493D-4114-B2A1-251B63C66DDB}">
      <text>
        <r>
          <rPr>
            <sz val="9"/>
            <rFont val="Arial"/>
            <family val="2"/>
          </rPr>
          <t>Henrik Wolffbrandt Hansen:
OA V4</t>
        </r>
      </text>
    </comment>
    <comment ref="N19" authorId="0" shapeId="0" xr:uid="{ACE0AC7B-DFC8-4F86-A5C1-B4D3CD7742FA}">
      <text>
        <r>
          <rPr>
            <sz val="9"/>
            <rFont val="Arial"/>
            <family val="2"/>
          </rPr>
          <t>Henrik Wolffbrandt Hansen:
OA V4</t>
        </r>
      </text>
    </comment>
    <comment ref="W19" authorId="1" shapeId="0" xr:uid="{1B958445-7A71-4C16-A4C3-CD6421351643}">
      <text>
        <r>
          <rPr>
            <sz val="9"/>
            <rFont val="Arial"/>
            <family val="2"/>
          </rPr>
          <t>Michael Fabæch Knudsen:
OA vagt. A</t>
        </r>
      </text>
    </comment>
    <comment ref="Q22" authorId="2" shapeId="0" xr:uid="{2BFC8C97-F869-45BA-9293-DC6F9A6EDB4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Gasværksvej 07.30 - 09.30</t>
        </r>
      </text>
    </comment>
    <comment ref="X22" authorId="3" shapeId="0" xr:uid="{0B441AEF-5557-4880-B314-5DA88122ACF1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Oplæring aftenvagt
16.00-23.00</t>
        </r>
      </text>
    </comment>
    <comment ref="Y22" authorId="3" shapeId="0" xr:uid="{91279877-0152-40CC-BE1B-894B519A26B3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Oplæring aftenvagt
16.00-23.00</t>
        </r>
      </text>
    </comment>
    <comment ref="Z22" authorId="3" shapeId="0" xr:uid="{B46F4BD5-8009-4EA6-B30C-34BCB4C997C5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Oplæring aftenvagt
16.00-23.00</t>
        </r>
      </text>
    </comment>
    <comment ref="AA22" authorId="3" shapeId="0" xr:uid="{B3331ADB-6E1D-4B13-8AF8-BE0FDA15BC47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Oplæring aftenvagt
16.00-23.00</t>
        </r>
      </text>
    </comment>
    <comment ref="AB22" authorId="3" shapeId="0" xr:uid="{A19FC8A5-8929-4025-BA72-B750769093A5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Oplæring aftenvagt
16.00-23.00</t>
        </r>
      </text>
    </comment>
    <comment ref="AC22" authorId="2" shapeId="0" xr:uid="{43F0103E-DA0C-4D4A-AD70-AE11E9D04AD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kl. 08.00 - 18.00</t>
        </r>
      </text>
    </comment>
    <comment ref="AD22" authorId="2" shapeId="0" xr:uid="{4923AE8F-0845-4858-8D42-FDB7F1152D2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kl. 07.00 - 17.00</t>
        </r>
      </text>
    </comment>
    <comment ref="D25" authorId="2" shapeId="0" xr:uid="{A5EAC928-A18F-4023-BBFE-F509D712CE3F}">
      <text>
        <r>
          <rPr>
            <b/>
            <sz val="9"/>
            <color indexed="81"/>
            <rFont val="Tahoma"/>
            <family val="2"/>
          </rPr>
          <t>Steen Hertin-Sandkær:
Gasværksvej skole 07.30 - 09.30 og 14.30 - 17.30</t>
        </r>
      </text>
    </comment>
    <comment ref="J25" authorId="0" shapeId="0" xr:uid="{2AE6E915-1795-4E05-8CD9-8EA201715A94}">
      <text>
        <r>
          <rPr>
            <sz val="9"/>
            <rFont val="Arial"/>
            <family val="2"/>
          </rPr>
          <t>Henrik Wolffbrandt Hansen:
Gasværksvej skole
07:30 - 09:30
14:30 - 17:30</t>
        </r>
      </text>
    </comment>
    <comment ref="C26" authorId="3" shapeId="0" xr:uid="{B287724D-6C18-4D9F-8C3A-C4B0EEB3B8F1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Hjælperøgdykker</t>
        </r>
      </text>
    </comment>
    <comment ref="G26" authorId="0" shapeId="0" xr:uid="{B9E4F5AA-1E2D-49AB-969F-F945BB8B1598}">
      <text>
        <r>
          <rPr>
            <sz val="9"/>
            <rFont val="Arial"/>
            <family val="2"/>
          </rPr>
          <t>Henrik Wolffbrandt Hansen:
OA 30 min</t>
        </r>
      </text>
    </comment>
    <comment ref="X26" authorId="2" shapeId="0" xr:uid="{6E7551D8-7DB2-4A8D-8C47-62282BE14DE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Grundlovscermoni kl. 08.45</t>
        </r>
      </text>
    </comment>
    <comment ref="X27" authorId="2" shapeId="0" xr:uid="{2A21667D-D0A3-4F1E-BA73-A207D074FD7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Starter på Rådhuset.</t>
        </r>
      </text>
    </comment>
    <comment ref="Z27" authorId="2" shapeId="0" xr:uid="{5DD5FE03-1DE6-4262-8FA1-28322B248AA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Går kl. 13.00</t>
        </r>
      </text>
    </comment>
    <comment ref="AB27" authorId="2" shapeId="0" xr:uid="{8C544FA8-C747-4091-81BE-364377C6223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Gl. køge landevej til 11.30</t>
        </r>
      </text>
    </comment>
    <comment ref="AE27" authorId="2" shapeId="0" xr:uid="{6A51AE00-02FD-4877-9CF4-CE0C5D358AA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AF27" authorId="2" shapeId="0" xr:uid="{2720EC55-90D5-4356-BA9E-E4AA3EB3AC5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C28" authorId="3" shapeId="0" xr:uid="{AE3AFCC5-CEEC-4A46-82A0-AEA367E44658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Carsten Dahl dækker</t>
        </r>
      </text>
    </comment>
    <comment ref="D28" authorId="3" shapeId="0" xr:uid="{B4EEDF62-7489-45A6-A5B7-4A9AD8C743A2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Carsten Dahl dækker</t>
        </r>
      </text>
    </comment>
    <comment ref="F28" authorId="3" shapeId="0" xr:uid="{97E6AD44-DD9D-47BA-8F82-CDB4AD4E1456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Carsten Dahl dækker</t>
        </r>
      </text>
    </comment>
    <comment ref="G28" authorId="3" shapeId="0" xr:uid="{C02D30BA-20B4-4998-99F7-30FC5FB2AA25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Carsten Dahl dækker</t>
        </r>
      </text>
    </comment>
    <comment ref="J28" authorId="3" shapeId="0" xr:uid="{6B2C1119-1BCB-4703-88C0-2308104970AF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Carsten Dahl dækker</t>
        </r>
      </text>
    </comment>
    <comment ref="K28" authorId="3" shapeId="0" xr:uid="{59329FBF-878C-44EA-ABF8-3B0FE5608122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Carsten Dahl dækker</t>
        </r>
      </text>
    </comment>
    <comment ref="M28" authorId="3" shapeId="0" xr:uid="{E501945E-4AF8-463F-A9CC-CD523002BC33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Carsten Dahl dækker</t>
        </r>
      </text>
    </comment>
    <comment ref="N28" authorId="3" shapeId="0" xr:uid="{70B5E037-C539-4822-B796-2A2B982B811C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28" authorId="0" shapeId="0" xr:uid="{14BADA18-FC78-4EE8-985A-A25C41D03610}">
      <text>
        <r>
          <rPr>
            <sz val="9"/>
            <rFont val="Arial"/>
            <family val="2"/>
          </rPr>
          <t>Henrik Wolffbrandt Hansen:
OA Rentemestervej</t>
        </r>
      </text>
    </comment>
    <comment ref="T28" authorId="0" shapeId="0" xr:uid="{1223C2F8-9915-46BA-91DA-7599922A6511}">
      <text>
        <r>
          <rPr>
            <sz val="9"/>
            <rFont val="Arial"/>
            <family val="2"/>
          </rPr>
          <t>Henrik Wolffbrandt Hansen:
Afspadsering fra 09:45</t>
        </r>
      </text>
    </comment>
    <comment ref="AB28" authorId="0" shapeId="0" xr:uid="{76799F0A-D69F-4855-9E0F-3633075E237F}">
      <text>
        <r>
          <rPr>
            <sz val="9"/>
            <rFont val="Arial"/>
            <family val="2"/>
          </rPr>
          <t>Henrik Wolffbrandt Hansen:
OA Rentemestervej 22:00 - 03:00</t>
        </r>
      </text>
    </comment>
    <comment ref="AF28" authorId="0" shapeId="0" xr:uid="{9C55C01D-956F-4C3F-AE47-21EA0CC6570E}">
      <text>
        <r>
          <rPr>
            <sz val="9"/>
            <rFont val="Arial"/>
            <family val="2"/>
          </rPr>
          <t>Henrik Wolffbrandt Hansen:
OA Rentemestervej fra 17:30</t>
        </r>
      </text>
    </comment>
    <comment ref="AC31" authorId="2" shapeId="0" xr:uid="{3218A587-8123-45BB-B56F-FE5B71AF5F5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Dækkes af vagthavende + christoffer.</t>
        </r>
      </text>
    </comment>
    <comment ref="AD31" authorId="2" shapeId="0" xr:uid="{EA906AE7-4836-45ED-A8A9-7BCF29F2B60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Dækkes af vagthavende + christoffer.</t>
        </r>
      </text>
    </comment>
    <comment ref="Q44" authorId="4" shapeId="0" xr:uid="{92A60B89-B235-4658-80C2-B4B5C1E1EA49}">
      <text>
        <r>
          <rPr>
            <b/>
            <sz val="9"/>
            <color indexed="81"/>
            <rFont val="Tahoma"/>
            <family val="2"/>
          </rPr>
          <t>Lars Emil Hartvig Sørensen:</t>
        </r>
        <r>
          <rPr>
            <sz val="9"/>
            <color indexed="81"/>
            <rFont val="Tahoma"/>
            <family val="2"/>
          </rPr>
          <t xml:space="preserve">
OA 1time &amp; 30min
Grundet manglende 
9-Vagt</t>
        </r>
      </text>
    </comment>
    <comment ref="S44" authorId="4" shapeId="0" xr:uid="{ECDDEFC8-2250-400D-B885-A55C9E3E4A25}">
      <text>
        <r>
          <rPr>
            <b/>
            <sz val="9"/>
            <color indexed="81"/>
            <rFont val="Tahoma"/>
            <family val="2"/>
          </rPr>
          <t>Lars Emil Hartvig Sørensen:</t>
        </r>
        <r>
          <rPr>
            <sz val="9"/>
            <color indexed="81"/>
            <rFont val="Tahoma"/>
            <family val="2"/>
          </rPr>
          <t xml:space="preserve">
OA 1. Time
Grundet Strømsvigt 
Frederiksborgvej 77</t>
        </r>
      </text>
    </comment>
    <comment ref="D46" authorId="0" shapeId="0" xr:uid="{E5BD4E3B-EBDE-49C6-B73F-00A98E81663C}">
      <text>
        <r>
          <rPr>
            <sz val="9"/>
            <rFont val="Arial"/>
            <family val="2"/>
          </rPr>
          <t>Henrik Wolffbrandt Hansen:
OA 07:00 til 09:30
Gasværkvej skole</t>
        </r>
      </text>
    </comment>
    <comment ref="E46" authorId="0" shapeId="0" xr:uid="{E208160C-9D69-42D2-B8C1-788C690B357C}">
      <text>
        <r>
          <rPr>
            <sz val="9"/>
            <rFont val="Arial"/>
            <family val="2"/>
          </rPr>
          <t>Henrik Wolffbrandt Hansen:
OA 07:00 til 09:30
Gasværkvej skole</t>
        </r>
      </text>
    </comment>
    <comment ref="G46" authorId="2" shapeId="0" xr:uid="{8976759D-227C-4861-A18D-B0DD3D44C7B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Fugkebakken fredagsbar kl. 15.00 - 22.00</t>
        </r>
      </text>
    </comment>
    <comment ref="Q46" authorId="4" shapeId="0" xr:uid="{CE4F0F54-A489-4276-96B3-CA64E221DB4E}">
      <text>
        <r>
          <rPr>
            <b/>
            <sz val="9"/>
            <color indexed="81"/>
            <rFont val="Tahoma"/>
            <family val="2"/>
          </rPr>
          <t>Lars Emil Hartvig Sørensen:</t>
        </r>
        <r>
          <rPr>
            <sz val="9"/>
            <color indexed="81"/>
            <rFont val="Tahoma"/>
            <family val="2"/>
          </rPr>
          <t xml:space="preserve">
OA 1time &amp; 30min
Grundet manglende 
9-Vagt</t>
        </r>
      </text>
    </comment>
    <comment ref="R46" authorId="1" shapeId="0" xr:uid="{DC54C679-4FEF-4FAE-B938-FB9BA3A67BB2}">
      <text>
        <r>
          <rPr>
            <sz val="9"/>
            <rFont val="Arial"/>
            <family val="2"/>
          </rPr>
          <t>Michael Fabæch Knudsen:
Simon møder kl. 12 -15,15 på Borups alle. Simon møder på vagt 7 efterfølgende</t>
        </r>
      </text>
    </comment>
    <comment ref="S46" authorId="4" shapeId="0" xr:uid="{F797EBB0-6C42-471A-89FF-0FEC9B9AF219}">
      <text>
        <r>
          <rPr>
            <b/>
            <sz val="9"/>
            <color indexed="81"/>
            <rFont val="Tahoma"/>
            <family val="2"/>
          </rPr>
          <t>Lars Emil Hartvig Sørensen:</t>
        </r>
        <r>
          <rPr>
            <sz val="9"/>
            <color indexed="81"/>
            <rFont val="Tahoma"/>
            <family val="2"/>
          </rPr>
          <t xml:space="preserve">
OA 1. Time
Grundet Strømsvigt 
Frederiksborgvej 77</t>
        </r>
      </text>
    </comment>
    <comment ref="U46" authorId="2" shapeId="0" xr:uid="{E2228B50-005C-48FB-86A9-0DABCD32BBD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Simon dækker 26-vagten</t>
        </r>
      </text>
    </comment>
    <comment ref="C47" authorId="2" shapeId="0" xr:uid="{382FF5AF-6723-48AA-9885-B53EEFE2FDC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9-vagt på OA</t>
        </r>
      </text>
    </comment>
    <comment ref="D47" authorId="2" shapeId="0" xr:uid="{2A564B8E-D618-4BD3-9AB2-1A294077C60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9-vagt på OA</t>
        </r>
      </text>
    </comment>
    <comment ref="E47" authorId="2" shapeId="0" xr:uid="{BF55EF9A-4126-4AA4-A729-3BE9E7C7E1B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9-vagt på OA</t>
        </r>
      </text>
    </comment>
    <comment ref="X47" authorId="1" shapeId="0" xr:uid="{16E2AC93-3155-4032-8DA8-15F8D6B16969}">
      <text>
        <r>
          <rPr>
            <sz val="9"/>
            <rFont val="Arial"/>
            <family val="2"/>
          </rPr>
          <t>Michael Fabæch Knudsen:
Michael møder på griffen 8,15 - 15.45. Andreas er syg.
OA 45 min.</t>
        </r>
      </text>
    </comment>
    <comment ref="Y47" authorId="1" shapeId="0" xr:uid="{0D7A89D6-4C8D-49DC-9C29-1F94A7522013}">
      <text>
        <r>
          <rPr>
            <sz val="9"/>
            <rFont val="Arial"/>
            <family val="2"/>
          </rPr>
          <t>Michael Fabæch Knudsen:
Michael Steemann fortsætter på griffen</t>
        </r>
      </text>
    </comment>
    <comment ref="D52" authorId="2" shapeId="0" xr:uid="{7E758841-D815-4DAE-8F8D-812FED1CB2C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69-vagt på oa.</t>
        </r>
      </text>
    </comment>
    <comment ref="U52" authorId="2" shapeId="0" xr:uid="{5BA3497E-31A4-4DAA-BF0B-768DBE10324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 7-vagt på oa Kristian dækker 3-vagten</t>
        </r>
      </text>
    </comment>
    <comment ref="AC52" authorId="2" shapeId="0" xr:uid="{F7A4C59F-109B-494E-8F1E-29D87688469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Fejer til kl. 09.00 på OA</t>
        </r>
      </text>
    </comment>
    <comment ref="D60" authorId="0" shapeId="0" xr:uid="{F1FCFE7C-4A49-4222-A5FB-86AC26D8CDBB}">
      <text>
        <r>
          <rPr>
            <sz val="9"/>
            <rFont val="Arial"/>
            <family val="2"/>
          </rPr>
          <t>Henrik Wolffbrandt Hansen:
V3 fra ca. 16:15</t>
        </r>
      </text>
    </comment>
    <comment ref="E60" authorId="0" shapeId="0" xr:uid="{ACEB3089-A54B-46BA-964B-84A714CCE8EF}">
      <text>
        <r>
          <rPr>
            <sz val="9"/>
            <rFont val="Arial"/>
            <family val="2"/>
          </rPr>
          <t>Henrik Wolffbrandt Hansen:
V3 fra ca. 15</t>
        </r>
      </text>
    </comment>
    <comment ref="F60" authorId="0" shapeId="0" xr:uid="{8F71BE6C-F6F1-4DC3-B1E4-19BDD1493A63}">
      <text>
        <r>
          <rPr>
            <sz val="9"/>
            <rFont val="Arial"/>
            <family val="2"/>
          </rPr>
          <t>Henrik Wolffbrandt Hansen:
Gasværkvej skole 
07:30 - 09:30
Rådhuset til kl.13:45</t>
        </r>
      </text>
    </comment>
    <comment ref="G60" authorId="0" shapeId="0" xr:uid="{D92D1509-8044-499C-88BE-D82C75A06C72}">
      <text>
        <r>
          <rPr>
            <sz val="9"/>
            <rFont val="Arial"/>
            <family val="2"/>
          </rPr>
          <t>Henrik Wolffbrandt Hansen:
Gasværkvej skole 
07:30 - 09:30</t>
        </r>
      </text>
    </comment>
    <comment ref="K60" authorId="0" shapeId="0" xr:uid="{EFD3642E-C141-41E7-963F-810EB2A1159B}">
      <text>
        <r>
          <rPr>
            <sz val="9"/>
            <rFont val="Arial"/>
            <family val="2"/>
          </rPr>
          <t>Henrik Wolffbrandt Hansen:
07:30 - 09:30 Gasværksvej
Rådhuset til kl. 12</t>
        </r>
      </text>
    </comment>
    <comment ref="L60" authorId="0" shapeId="0" xr:uid="{22F6DDE8-2464-4D48-8930-951AFCF59230}">
      <text>
        <r>
          <rPr>
            <sz val="9"/>
            <rFont val="Arial"/>
            <family val="2"/>
          </rPr>
          <t>Henrik Wolffbrandt Hansen:
AHF</t>
        </r>
      </text>
    </comment>
    <comment ref="M60" authorId="0" shapeId="0" xr:uid="{607E922F-BA3D-4295-8D80-DAFCDD652004}">
      <text>
        <r>
          <rPr>
            <sz val="9"/>
            <rFont val="Arial"/>
            <family val="2"/>
          </rPr>
          <t xml:space="preserve">Henrik Wolffbrandt Hansen:
07:30 - 09:30 Gasværksvej
</t>
        </r>
      </text>
    </comment>
    <comment ref="N60" authorId="0" shapeId="0" xr:uid="{38172857-F7B7-453D-9DDC-2C49E2AB0909}">
      <text>
        <r>
          <rPr>
            <sz val="9"/>
            <rFont val="Arial"/>
            <family val="2"/>
          </rPr>
          <t xml:space="preserve">Henrik Wolffbrandt Hansen:
07:30 - 09:30 Gasværksvej
</t>
        </r>
      </text>
    </comment>
    <comment ref="R60" authorId="0" shapeId="0" xr:uid="{0C214B3C-6A0E-458A-858E-9745CF77075F}">
      <text>
        <r>
          <rPr>
            <sz val="9"/>
            <rFont val="Arial"/>
            <family val="2"/>
          </rPr>
          <t>Henrik Wolffbrandt Hansen:
07:30 - 09:30 Gasværkvej
10:00 TVO Ellebjerg Skole
P. Knudsens Gade 37 
OA Rentemestervej tribune kl.?</t>
        </r>
      </text>
    </comment>
    <comment ref="S60" authorId="0" shapeId="0" xr:uid="{FC24FF59-C313-437C-B36F-8FC9A066AC9F}">
      <text>
        <r>
          <rPr>
            <sz val="9"/>
            <rFont val="Arial"/>
            <family val="2"/>
          </rPr>
          <t>Henrik Wolffbrandt Hansen:
AHF</t>
        </r>
      </text>
    </comment>
    <comment ref="U60" authorId="2" shapeId="0" xr:uid="{627FEAB1-1C91-4B2D-8275-FA13E24ED28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V3 på OA</t>
        </r>
      </text>
    </comment>
    <comment ref="AB60" authorId="0" shapeId="0" xr:uid="{65216C55-F728-4C0E-8E9F-821CAF5863EB}">
      <text>
        <r>
          <rPr>
            <sz val="9"/>
            <rFont val="Arial"/>
            <family val="2"/>
          </rPr>
          <t>Henrik Wolffbrandt Hansen:
Rådhuset til kl. 12
OA Rentemestervej 22:00 - 03:00</t>
        </r>
      </text>
    </comment>
    <comment ref="AF60" authorId="0" shapeId="0" xr:uid="{74081F6A-5F81-4CD4-A1AB-846611B4EA35}">
      <text>
        <r>
          <rPr>
            <sz val="9"/>
            <rFont val="Arial"/>
            <family val="2"/>
          </rPr>
          <t>Henrik Wolffbrandt Hansen:
OA Rentemestervej fra 17:30</t>
        </r>
      </text>
    </comment>
    <comment ref="C61" authorId="0" shapeId="0" xr:uid="{68EE4E2D-2D6A-4B9A-9E78-F893C3FF5374}">
      <text>
        <r>
          <rPr>
            <sz val="9"/>
            <rFont val="Arial"/>
            <family val="2"/>
          </rPr>
          <t>Henrik Wolffbrandt Hansen:
Gasværksvej skole 07:30 - 09:30 
OA til 09:00</t>
        </r>
      </text>
    </comment>
    <comment ref="D61" authorId="5" shapeId="0" xr:uid="{6D8347D2-4899-457F-ABDD-32043AEE72CD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Vagt på Endrupvej 72
fra 13:00 - 20:30
</t>
        </r>
      </text>
    </comment>
    <comment ref="N61" authorId="3" shapeId="0" xr:uid="{83678524-1071-45B8-8E6A-9CED972EDA58}">
      <text>
        <r>
          <rPr>
            <sz val="9"/>
            <rFont val="Arial"/>
            <family val="2"/>
          </rPr>
          <t>OA Rentemestervej 20-02</t>
        </r>
      </text>
    </comment>
    <comment ref="W61" authorId="1" shapeId="0" xr:uid="{C7C262ED-FC0E-4C5A-B32B-BBE798F107AE}">
      <text>
        <r>
          <rPr>
            <sz val="9"/>
            <rFont val="Arial"/>
            <family val="2"/>
          </rPr>
          <t>Michael Fabæch Knudsen:
Salih OA 20.30-8.30
Ray ønsker en vagt på Amager Strandvej 3, grundet der har  voldsomt slåskamp i Nat. Beboerne er meget udtrykke</t>
        </r>
      </text>
    </comment>
    <comment ref="AB61" authorId="0" shapeId="0" xr:uid="{F1BB58BD-47AA-48A1-AA25-A9A47E5CB8C3}">
      <text>
        <r>
          <rPr>
            <sz val="9"/>
            <rFont val="Arial"/>
            <family val="2"/>
          </rPr>
          <t>Henrik Wolffbrandt Hansen:
Stod som streg, så er klar til at dække vagten om nødvendig.
Ring til ham i så god tid som muligt.</t>
        </r>
      </text>
    </comment>
    <comment ref="F62" authorId="0" shapeId="0" xr:uid="{905DAD64-7E36-46B4-870F-C612F80034ED}">
      <text>
        <r>
          <rPr>
            <sz val="9"/>
            <rFont val="Arial"/>
            <family val="2"/>
          </rPr>
          <t>Henrik Wolffbrandt Hansen:
Vagt på Endrupvej 72
fra 13:00 - 20:30</t>
        </r>
      </text>
    </comment>
    <comment ref="J62" authorId="0" shapeId="0" xr:uid="{DA90451A-BAEC-49FE-98E9-427071E76728}">
      <text>
        <r>
          <rPr>
            <sz val="9"/>
            <rFont val="Arial"/>
            <family val="2"/>
          </rPr>
          <t>Henrik Wolffbrandt Hansen:
Møder ca.11</t>
        </r>
      </text>
    </comment>
    <comment ref="T62" authorId="2" shapeId="0" xr:uid="{024EB67E-DEB2-49F3-804C-D1C1AF69D14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kl. 09.00 - 12.30 på OA</t>
        </r>
      </text>
    </comment>
    <comment ref="P63" authorId="4" shapeId="0" xr:uid="{5EE021BD-1014-4263-96F4-9CAD360E023B}">
      <text>
        <r>
          <rPr>
            <b/>
            <sz val="9"/>
            <color indexed="81"/>
            <rFont val="Tahoma"/>
            <family val="2"/>
          </rPr>
          <t>Lars Emil Hartvig Sørensen:</t>
        </r>
        <r>
          <rPr>
            <sz val="9"/>
            <color indexed="81"/>
            <rFont val="Tahoma"/>
            <family val="2"/>
          </rPr>
          <t xml:space="preserve">
Afgår Fra 21-Vagten      Kl. 04:00
Grundet 11-timers reglen
skal møde senere på      6-Vagten
</t>
        </r>
      </text>
    </comment>
    <comment ref="D64" authorId="5" shapeId="0" xr:uid="{13878769-6BE4-43F3-94DB-68F8E0A60DEC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TR Møde </t>
        </r>
      </text>
    </comment>
    <comment ref="F64" authorId="5" shapeId="0" xr:uid="{0B59BCF4-2A0A-4764-9F88-A11D1ABB36ED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Møde FOA</t>
        </r>
      </text>
    </comment>
    <comment ref="G64" authorId="5" shapeId="0" xr:uid="{0981B561-5017-4972-8DE4-42F00694992A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Møde FOA</t>
        </r>
      </text>
    </comment>
    <comment ref="U64" authorId="3" shapeId="0" xr:uid="{B0EF1CC6-90DE-4451-A8F8-CD82BBF3CF7A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AE64" authorId="5" shapeId="0" xr:uid="{B8DE1812-5E46-4C7A-A6CB-BC7058498914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Foa møde</t>
        </r>
      </text>
    </comment>
    <comment ref="AF64" authorId="4" shapeId="0" xr:uid="{18512501-37C9-48D9-B6C5-0304ACDA915C}">
      <text>
        <r>
          <rPr>
            <b/>
            <sz val="9"/>
            <color indexed="81"/>
            <rFont val="Tahoma"/>
            <family val="2"/>
          </rPr>
          <t>Lars Emil Hartvig Sørensen:</t>
        </r>
        <r>
          <rPr>
            <sz val="9"/>
            <color indexed="81"/>
            <rFont val="Tahoma"/>
            <family val="2"/>
          </rPr>
          <t xml:space="preserve">
D. 30-09-2025
Overarbejde 
Dimitrios
16:00 - 17:00
1 Time.</t>
        </r>
      </text>
    </comment>
    <comment ref="U66" authorId="4" shapeId="0" xr:uid="{1F9D75C7-AAF1-42A6-BFD8-0394E4B1A775}">
      <text>
        <r>
          <rPr>
            <b/>
            <sz val="9"/>
            <color indexed="81"/>
            <rFont val="Tahoma"/>
            <family val="2"/>
          </rPr>
          <t>Lars Emil Hartvig Sørensen:</t>
        </r>
        <r>
          <rPr>
            <sz val="9"/>
            <color indexed="81"/>
            <rFont val="Tahoma"/>
            <family val="2"/>
          </rPr>
          <t xml:space="preserve">
Afspadsering. 
04:45 – 06:00
1. Time &amp; 15. min.
</t>
        </r>
      </text>
    </comment>
    <comment ref="R67" authorId="0" shapeId="0" xr:uid="{8E93C6B6-CDAD-4F36-B6F7-98A5EB34E43F}">
      <text>
        <r>
          <rPr>
            <sz val="9"/>
            <rFont val="Arial"/>
            <family val="2"/>
          </rPr>
          <t>Henrik Wolffbrandt Hansen:
S vagt på OA</t>
        </r>
      </text>
    </comment>
    <comment ref="T67" authorId="0" shapeId="0" xr:uid="{1234A528-C940-43C5-98F4-5E85D1168F91}">
      <text>
        <r>
          <rPr>
            <sz val="9"/>
            <rFont val="Arial"/>
            <family val="2"/>
          </rPr>
          <t>Henrik Wolffbrandt Hansen:
S vagt på OA</t>
        </r>
      </text>
    </comment>
    <comment ref="U69" authorId="1" shapeId="0" xr:uid="{13218B16-E0EB-4AAB-B501-8F9C72113CAD}">
      <text>
        <r>
          <rPr>
            <sz val="9"/>
            <rFont val="Arial"/>
            <family val="2"/>
          </rPr>
          <t>Michael Fabæch Knudsen:
Brian holder ferie, vi skal have en anden til at tage vagten</t>
        </r>
      </text>
    </comment>
    <comment ref="X69" authorId="2" shapeId="0" xr:uid="{C89EC221-777C-461B-A04C-05F722DD859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Grundlovscermoni kl. 08.45</t>
        </r>
      </text>
    </comment>
    <comment ref="C72" authorId="3" shapeId="0" xr:uid="{7B39BED0-1D0E-4E7C-874B-CCF34C80A5D5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Hjælperøgdykker</t>
        </r>
      </text>
    </comment>
    <comment ref="Q74" authorId="3" shapeId="0" xr:uid="{6FC47C26-953C-4525-8AD3-537A63DFBD9D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Møder kl. 09.00</t>
        </r>
      </text>
    </comment>
    <comment ref="AD74" authorId="6" shapeId="0" xr:uid="{810F1BE7-C3C0-412C-B290-B01F5AFD053A}">
      <text>
        <r>
          <rPr>
            <b/>
            <sz val="9"/>
            <color indexed="81"/>
            <rFont val="Tahoma"/>
            <family val="2"/>
          </rPr>
          <t>Lasse Aae-Hartwig:</t>
        </r>
        <r>
          <rPr>
            <sz val="9"/>
            <color indexed="81"/>
            <rFont val="Tahoma"/>
            <family val="2"/>
          </rPr>
          <t xml:space="preserve">
Ifgl aftale med vagthavende 1,5 T OA grundet brandvagt</t>
        </r>
      </text>
    </comment>
    <comment ref="Q75" authorId="3" shapeId="0" xr:uid="{DD060E1E-9271-4BB8-9651-1F91291D1012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Møder kl. 09.00</t>
        </r>
      </text>
    </comment>
    <comment ref="E83" authorId="1" shapeId="0" xr:uid="{CDF52983-F894-42CA-9C7D-8A2E10223184}">
      <text>
        <r>
          <rPr>
            <sz val="9"/>
            <rFont val="Arial"/>
            <family val="2"/>
          </rPr>
          <t>Michael Fabæch Knudsen:
oa. 1 time</t>
        </r>
      </text>
    </comment>
    <comment ref="G83" authorId="0" shapeId="0" xr:uid="{86BB39C4-5BCA-4ADF-B9C8-68F9F779689A}">
      <text>
        <r>
          <rPr>
            <sz val="9"/>
            <rFont val="Arial"/>
            <family val="2"/>
          </rPr>
          <t>Henrik Wolffbrandt Hansen:
OA kødbyen fra 23:30</t>
        </r>
      </text>
    </comment>
    <comment ref="M83" authorId="0" shapeId="0" xr:uid="{923FAD73-339F-43A3-8AD7-13788C93AA92}">
      <text>
        <r>
          <rPr>
            <sz val="9"/>
            <rFont val="Arial"/>
            <family val="2"/>
          </rPr>
          <t>Henrik Wolffbrandt Hansen:
Går kl. 15:00</t>
        </r>
      </text>
    </comment>
    <comment ref="S83" authorId="6" shapeId="0" xr:uid="{4A7F8A6E-B2CE-4DCC-9051-77E1FF7AABD3}">
      <text>
        <r>
          <rPr>
            <b/>
            <sz val="9"/>
            <color indexed="81"/>
            <rFont val="Tahoma"/>
            <family val="2"/>
          </rPr>
          <t>Lasse Aae-Hartwig:</t>
        </r>
        <r>
          <rPr>
            <sz val="9"/>
            <color indexed="81"/>
            <rFont val="Tahoma"/>
            <family val="2"/>
          </rPr>
          <t xml:space="preserve">
Afspadsere fra 15-16</t>
        </r>
      </text>
    </comment>
    <comment ref="U83" authorId="2" shapeId="0" xr:uid="{D4B7ACC0-85C5-4C86-A46B-83CDD039746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Kun dagvagt</t>
        </r>
      </text>
    </comment>
    <comment ref="C84" authorId="3" shapeId="0" xr:uid="{34537DEA-A6EB-4981-9B9C-FCE902B1374A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D84" authorId="3" shapeId="0" xr:uid="{03A8FD34-0B20-4AD1-A7C0-A91A31018C6E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E84" authorId="3" shapeId="0" xr:uid="{0660AD0D-09B6-4307-90DA-42BA4DC11C6A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F84" authorId="3" shapeId="0" xr:uid="{0C9E9A00-E150-48EB-9ADA-A70F8358BA9F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G84" authorId="3" shapeId="0" xr:uid="{8E243BBE-B1B1-47A1-AE75-60294D7D803C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J84" authorId="3" shapeId="0" xr:uid="{9019F524-FB86-460C-94C5-756EF7E16EAF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K84" authorId="3" shapeId="0" xr:uid="{0473F294-7A38-4448-8DC2-9D2BFFA6131D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L84" authorId="3" shapeId="0" xr:uid="{4F1813ED-4F17-4CC3-9E5E-B222FED32253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M84" authorId="3" shapeId="0" xr:uid="{3D8B0ED7-A16F-408E-A65E-D3F353C6F22A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N84" authorId="3" shapeId="0" xr:uid="{DB3EF60D-772D-4869-9D4F-7D501708BE43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Q84" authorId="3" shapeId="0" xr:uid="{9418EF19-4400-4DEA-AE2A-4E9BCF505A03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R84" authorId="3" shapeId="0" xr:uid="{8B7008C4-E3A6-4E70-82BC-E7B5FDAD20FA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S84" authorId="3" shapeId="0" xr:uid="{2DCDA693-400D-497A-9646-8B55ADBC20C9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T84" authorId="3" shapeId="0" xr:uid="{70207381-0D31-4A0D-A5A1-05775E516723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U84" authorId="3" shapeId="0" xr:uid="{16B94B53-3FC8-4A97-B50C-23BAB21B9679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X84" authorId="3" shapeId="0" xr:uid="{7766E157-05B9-4B12-8045-9AB79910CFEC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Y84" authorId="3" shapeId="0" xr:uid="{D5CADF8D-8CDF-4C62-BCEF-F0D0694E1FEC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Z84" authorId="3" shapeId="0" xr:uid="{BC48F861-1829-40EE-8189-A3E919D2E159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A84" authorId="3" shapeId="0" xr:uid="{1DC9D8A0-712D-4DD9-BE44-73A6C073E4F4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B84" authorId="3" shapeId="0" xr:uid="{AEA834A6-E09A-4C24-B9DF-3D0321CD56DF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E84" authorId="2" shapeId="0" xr:uid="{60221A4B-8EBB-406C-AC10-BF47490081D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Starter på Rådhuset</t>
        </r>
      </text>
    </comment>
    <comment ref="C85" authorId="3" shapeId="0" xr:uid="{77A64727-AB18-4097-8615-CDE4953905C1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D85" authorId="3" shapeId="0" xr:uid="{2B1F83D6-576B-4A7E-9472-CF1CE1E3AAC3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E85" authorId="3" shapeId="0" xr:uid="{0CF54A16-FAB8-4957-8826-11A33A6F52B0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F85" authorId="3" shapeId="0" xr:uid="{6A4C01C4-16AC-426E-85CE-600D882E1E2F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G85" authorId="3" shapeId="0" xr:uid="{BC242BC5-79A2-4386-BD4B-75FBC149B55D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J85" authorId="3" shapeId="0" xr:uid="{2521E099-DFDA-473E-976D-D1E2958385AC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K85" authorId="3" shapeId="0" xr:uid="{E288AEA4-F984-4799-BE5C-B720F4C37384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L85" authorId="3" shapeId="0" xr:uid="{CD1E0D72-D75A-4E65-B1C4-A96EC2A9D24B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M85" authorId="3" shapeId="0" xr:uid="{228C5053-DEFA-4079-A3BF-13CA49CBA34E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N85" authorId="3" shapeId="0" xr:uid="{94ED6DCA-F96E-43E3-9454-69507F95521F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Q85" authorId="3" shapeId="0" xr:uid="{663C554D-EAB5-4376-9D02-0FB452EFEB35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R85" authorId="3" shapeId="0" xr:uid="{4460EF91-0514-419E-AA22-0E3AEBA7028A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S85" authorId="3" shapeId="0" xr:uid="{70FE6592-2B35-4D23-9590-C8AFF9FAEC5F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T85" authorId="3" shapeId="0" xr:uid="{3BC2DE83-5FAB-4314-93DC-8E9C1BA24BC7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U85" authorId="3" shapeId="0" xr:uid="{EDF54E31-66CE-4EA2-AE03-CFE1A1C774B2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X85" authorId="3" shapeId="0" xr:uid="{EEB592A3-DAC1-454B-AF45-997C825782C7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Y85" authorId="3" shapeId="0" xr:uid="{C5772A43-FB9B-41C5-A445-1ADAAB32C16A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Z85" authorId="3" shapeId="0" xr:uid="{C8ADB426-C275-4160-BCA5-D00A1A29C0AB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A85" authorId="3" shapeId="0" xr:uid="{85A4EF75-9068-4A9D-BA82-0A67A0D8BA8D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B85" authorId="3" shapeId="0" xr:uid="{FB32ED60-F9C0-48E8-A781-D79F7B21E2C3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F85" authorId="3" shapeId="0" xr:uid="{76F93D44-864B-41D7-BDD9-8EE622837359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Første dag</t>
        </r>
      </text>
    </comment>
    <comment ref="C86" authorId="2" shapeId="0" xr:uid="{F081D04E-A6F5-4B99-9EEF-0FB7D69142FD}">
      <text>
        <r>
          <rPr>
            <sz val="9"/>
            <rFont val="Arial"/>
            <family val="2"/>
          </rPr>
          <t>Steen Hertin-Sandkær:
Møder først kl. 12.00
Gasværkvej skole 14:30 -18:00</t>
        </r>
      </text>
    </comment>
    <comment ref="D86" authorId="3" shapeId="0" xr:uid="{552AE90D-D98B-46BA-AF34-7239CB52E1F9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K86" authorId="3" shapeId="0" xr:uid="{532F6F60-18F9-4913-A62B-994C6FF5CC9C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L86" authorId="2" shapeId="0" xr:uid="{7D8F1809-2BDE-4D76-A59D-9ABBACA4919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Gasværksvej 07.30 - 09.30</t>
        </r>
      </text>
    </comment>
    <comment ref="R86" authorId="3" shapeId="0" xr:uid="{2343D7A8-27BC-4BC6-A43A-1280830479F5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S86" authorId="2" shapeId="0" xr:uid="{6AA0AF8A-A29E-4464-9C87-7C8574E831F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Gasværksvej 07.30 - 09.30</t>
        </r>
      </text>
    </comment>
    <comment ref="T86" authorId="2" shapeId="0" xr:uid="{46D7554B-2FC4-4AB1-983D-7811CB072C7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Gasværksvej 07.30 - 09.30</t>
        </r>
      </text>
    </comment>
    <comment ref="U86" authorId="2" shapeId="0" xr:uid="{00F9DBC2-490B-4235-837E-BFF922E7099A}">
      <text>
        <r>
          <rPr>
            <sz val="9"/>
            <rFont val="Arial"/>
            <family val="2"/>
          </rPr>
          <t>Steen Hertin-Sandkær:
Gasværksvej 07.30 - 09.30
OA Gasværksvej 14.30 - 17.30</t>
        </r>
      </text>
    </comment>
    <comment ref="X86" authorId="2" shapeId="0" xr:uid="{FA3C48D5-D614-433C-8EE9-BC86C280362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Grundlovscermoni kl. 08.45 + Gasværksvej 14.30 - 17.30</t>
        </r>
      </text>
    </comment>
    <comment ref="Y86" authorId="3" shapeId="0" xr:uid="{DBA6D4E8-E6CE-436F-8E75-5E9C6FFB0C41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Z86" authorId="2" shapeId="0" xr:uid="{8B1F555F-0F87-4E3E-A518-B005773311F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12.00 - 17.30 Dækker Gasværksvej 14.30 - 17.30</t>
        </r>
      </text>
    </comment>
    <comment ref="AA86" authorId="2" shapeId="0" xr:uid="{765D60C6-E2E4-492A-A4AB-20EDBF52845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12.00 - 17.30 Dækker Gasværksvej 14.30 - 17.30</t>
        </r>
      </text>
    </comment>
    <comment ref="AB86" authorId="2" shapeId="0" xr:uid="{2B235310-D3EE-45B6-A691-15FD6187830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12.00 - 17.30 Dækker Gasværksvej 14.30 - 17.30</t>
        </r>
      </text>
    </comment>
    <comment ref="AE86" authorId="3" shapeId="0" xr:uid="{0C30304A-FF8A-445E-A61E-AF65B2FF1A5A}">
      <text>
        <r>
          <rPr>
            <b/>
            <sz val="9"/>
            <color indexed="81"/>
            <rFont val="Tahoma"/>
            <family val="2"/>
          </rPr>
          <t xml:space="preserve">Thomas Holm:
</t>
        </r>
        <r>
          <rPr>
            <sz val="9"/>
            <color indexed="81"/>
            <rFont val="Tahoma"/>
            <family val="2"/>
          </rPr>
          <t>Til møde kl. 15.00
Har fået fri fra i tjenesten LAH</t>
        </r>
      </text>
    </comment>
    <comment ref="AF86" authorId="3" shapeId="0" xr:uid="{EA893D45-B50A-432D-8D27-2521E0B85790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D106" authorId="0" shapeId="0" xr:uid="{6297AC72-C4EA-4605-9E37-FC3D1F67FAD4}">
      <text>
        <r>
          <rPr>
            <sz val="9"/>
            <rFont val="Arial"/>
            <family val="2"/>
          </rPr>
          <t>Henrik Wolffbrandt Hansen:
Gasværksvej skole 
OA 14:00 - 17:30</t>
        </r>
      </text>
    </comment>
    <comment ref="E106" authorId="0" shapeId="0" xr:uid="{B22FA3DE-D9F5-4408-96A8-6753F6AD02ED}">
      <text>
        <r>
          <rPr>
            <sz val="9"/>
            <rFont val="Arial"/>
            <family val="2"/>
          </rPr>
          <t>Henrik Wolffbrandt Hansen:
Gasværksvej skole 
OA 14:00 - 17:30</t>
        </r>
      </text>
    </comment>
    <comment ref="F106" authorId="0" shapeId="0" xr:uid="{17E3B097-54CA-47C2-BED9-FC83392DCA0F}">
      <text>
        <r>
          <rPr>
            <sz val="9"/>
            <rFont val="Arial"/>
            <family val="2"/>
          </rPr>
          <t>Henrik Wolffbrandt Hansen:
Gasværksvej skole 
OA 14:00 - 17:30</t>
        </r>
      </text>
    </comment>
    <comment ref="G106" authorId="0" shapeId="0" xr:uid="{24318027-28CB-49FC-852B-FA5EECF591BA}">
      <text>
        <r>
          <rPr>
            <sz val="9"/>
            <rFont val="Arial"/>
            <family val="2"/>
          </rPr>
          <t>Henrik Wolffbrandt Hansen:
Gasværksvej skole 
OA 14:00 - 17:30</t>
        </r>
      </text>
    </comment>
    <comment ref="X107" authorId="0" shapeId="0" xr:uid="{2E58BC51-215B-45AA-A1E4-782A9E9B930B}">
      <text>
        <r>
          <rPr>
            <sz val="9"/>
            <rFont val="Arial"/>
            <family val="2"/>
          </rPr>
          <t>Henrik Wolffbrandt Hansen:
Rentemestervej til 21:15</t>
        </r>
      </text>
    </comment>
    <comment ref="AA107" authorId="0" shapeId="0" xr:uid="{8BEB175A-381B-47E4-B9A2-E1E2814F926F}">
      <text>
        <r>
          <rPr>
            <sz val="9"/>
            <rFont val="Arial"/>
            <family val="2"/>
          </rPr>
          <t>Henrik Wolffbrandt Hansen:
Rentemestervej vagten skal blive til kl.21.</t>
        </r>
      </text>
    </comment>
    <comment ref="P108" authorId="2" shapeId="0" xr:uid="{6A4174E0-AB5B-4083-BEA4-7BC8DAC1F2A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Måtte blive til 16.30 på biblioteket. OA fra kl. 16.00</t>
        </r>
      </text>
    </comment>
    <comment ref="Q108" authorId="0" shapeId="0" xr:uid="{BA1D2768-0865-4B3C-AD88-6F3C8211C8A2}">
      <text>
        <r>
          <rPr>
            <sz val="9"/>
            <rFont val="Arial"/>
            <family val="2"/>
          </rPr>
          <t>Henrik Wolffbrandt Hansen:
Gasværksvej skole 
OA 14:00 - 17:30</t>
        </r>
      </text>
    </comment>
    <comment ref="R108" authorId="0" shapeId="0" xr:uid="{9F4FC6E6-6461-4E9D-8C53-31A535F7EBDA}">
      <text>
        <r>
          <rPr>
            <sz val="9"/>
            <rFont val="Arial"/>
            <family val="2"/>
          </rPr>
          <t>Henrik Wolffbrandt Hansen:
Gasværksvej skole 
OA 14:00 - 17:30</t>
        </r>
      </text>
    </comment>
    <comment ref="S108" authorId="0" shapeId="0" xr:uid="{484B55A6-AC19-4571-82DD-2CE026D6A553}">
      <text>
        <r>
          <rPr>
            <sz val="9"/>
            <rFont val="Arial"/>
            <family val="2"/>
          </rPr>
          <t>Henrik Wolffbrandt Hansen:
Gasværksvej skole 
OA 14:00 - 17:30</t>
        </r>
      </text>
    </comment>
    <comment ref="T108" authorId="0" shapeId="0" xr:uid="{32D2C53C-E9BE-42D3-BC81-84F9470B8EBE}">
      <text>
        <r>
          <rPr>
            <sz val="9"/>
            <rFont val="Arial"/>
            <family val="2"/>
          </rPr>
          <t>Henrik Wolffbrandt Hansen:
Gasværksvej skole 
OA 14:00 - 17:30</t>
        </r>
      </text>
    </comment>
    <comment ref="Y108" authorId="0" shapeId="0" xr:uid="{D530796F-3542-4F7B-BE18-A7E698846815}">
      <text>
        <r>
          <rPr>
            <sz val="9"/>
            <rFont val="Arial"/>
            <family val="2"/>
          </rPr>
          <t>Henrik Wolffbrandt Hansen:
Gasværksvej skole 
OA 14:00 - 17:30</t>
        </r>
      </text>
    </comment>
    <comment ref="K109" authorId="0" shapeId="0" xr:uid="{78608CBF-7AC5-42A6-A563-18896960CF8F}">
      <text>
        <r>
          <rPr>
            <sz val="9"/>
            <rFont val="Arial"/>
            <family val="2"/>
          </rPr>
          <t>Henrik Wolffbrandt Hansen:
Gasværksvej skole 
OA 14:00 - 17:30</t>
        </r>
      </text>
    </comment>
    <comment ref="L109" authorId="0" shapeId="0" xr:uid="{09C67AC0-330E-4B58-B4E6-2F53239D43F3}">
      <text>
        <r>
          <rPr>
            <sz val="9"/>
            <rFont val="Arial"/>
            <family val="2"/>
          </rPr>
          <t>Henrik Wolffbrandt Hansen:
Gasværksvej skole 
OA 14:00 - 17:30</t>
        </r>
      </text>
    </comment>
    <comment ref="M109" authorId="0" shapeId="0" xr:uid="{A7DBC3BC-7F91-4E73-9112-FC8B0BCF3100}">
      <text>
        <r>
          <rPr>
            <sz val="9"/>
            <rFont val="Arial"/>
            <family val="2"/>
          </rPr>
          <t>Henrik Wolffbrandt Hansen:
Gasværksvej skole 
OA 14:00 - 17:30</t>
        </r>
      </text>
    </comment>
    <comment ref="N109" authorId="0" shapeId="0" xr:uid="{2290D5DE-9B57-4B35-A095-1B70A28633A6}">
      <text>
        <r>
          <rPr>
            <sz val="9"/>
            <rFont val="Arial"/>
            <family val="2"/>
          </rPr>
          <t>Henrik Wolffbrandt Hansen:
Gasværksvej skole 
OA 14:00 - 17:30</t>
        </r>
      </text>
    </comment>
    <comment ref="G119" authorId="2" shapeId="0" xr:uid="{84F2CFB8-31D3-407C-B911-D8D43B474F4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Ikke mødt stod ikke i vagtplan.</t>
        </r>
      </text>
    </comment>
    <comment ref="C134" authorId="7" shapeId="0" xr:uid="{F9D16A00-CE5A-4D5B-BE72-5F1FC3E965C9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OA O-vagt </t>
        </r>
      </text>
    </comment>
    <comment ref="AE179" authorId="3" shapeId="0" xr:uid="{DC7BA2AE-82D0-4435-BF10-1CF56A32D970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afsp. 09.30</t>
        </r>
      </text>
    </comment>
    <comment ref="J180" authorId="2" shapeId="0" xr:uid="{2F00F1AB-1BE8-466A-8A9B-7399DDC1189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som I1</t>
        </r>
      </text>
    </comment>
    <comment ref="K180" authorId="2" shapeId="0" xr:uid="{C6CF7815-07E9-43B0-8278-EED014BEB0D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som I1</t>
        </r>
      </text>
    </comment>
    <comment ref="L180" authorId="2" shapeId="0" xr:uid="{74308073-0AFA-49BC-9F81-046868F9ECD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som I1</t>
        </r>
      </text>
    </comment>
    <comment ref="M180" authorId="2" shapeId="0" xr:uid="{C018408C-5DA0-4D0E-B939-722AE563FCF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som I1</t>
        </r>
      </text>
    </comment>
    <comment ref="N180" authorId="2" shapeId="0" xr:uid="{8B9A9762-87CE-4213-BCB0-59436457F1A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som I1</t>
        </r>
      </text>
    </comment>
    <comment ref="X180" authorId="3" shapeId="0" xr:uid="{E2FD0283-DD37-499C-9B7B-E273E7F5FF1D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HJRD Vedligehold</t>
        </r>
      </text>
    </comment>
    <comment ref="AC180" authorId="2" shapeId="0" xr:uid="{FCF3C7AF-8A41-4BA4-B4FA-1C8D533D25C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OA fra kl. 14.00 - 22.00</t>
        </r>
      </text>
    </comment>
    <comment ref="AD180" authorId="2" shapeId="0" xr:uid="{98B640AB-4866-44B2-9A1B-A9B99223CF6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OA fra kl. 11.00 - 22.00</t>
        </r>
      </text>
    </comment>
    <comment ref="C181" authorId="3" shapeId="0" xr:uid="{3CEEAFEA-C623-44E2-AED7-7B5106130C42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Hjælperøgdykker</t>
        </r>
      </text>
    </comment>
    <comment ref="X181" authorId="2" shapeId="0" xr:uid="{0CE12701-565C-47D6-91AE-7F2D6C7C36C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Grundlovscermoni kl. 09.00 - 13.00</t>
        </r>
      </text>
    </comment>
    <comment ref="X182" authorId="2" shapeId="0" xr:uid="{CCE7D3C6-F965-49B0-8CC6-98C93281AFD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Grundlovscermoni kl. 09.00 - 13.00</t>
        </r>
      </text>
    </comment>
    <comment ref="AC182" authorId="2" shapeId="0" xr:uid="{BD838B4D-A43E-46B7-A011-FE1FF26904F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OA fra kl. 09.00 - 22.00</t>
        </r>
      </text>
    </comment>
    <comment ref="I183" authorId="2" shapeId="0" xr:uid="{FE7077DA-AC23-4B9C-9B2F-0F8D25B4B7A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Bellahøjhallen kl. 15.00 - 22:30</t>
        </r>
      </text>
    </comment>
    <comment ref="K183" authorId="3" shapeId="0" xr:uid="{77AF9E41-1C7C-42B3-837C-46EA33036F77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12.00-14.30 AMR
Afspadserer fra kl. 14:30</t>
        </r>
      </text>
    </comment>
    <comment ref="L183" authorId="5" shapeId="0" xr:uid="{1A1221D5-ED15-47F6-9474-3E6379B8A120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Kursus FOA</t>
        </r>
      </text>
    </comment>
    <comment ref="M183" authorId="3" shapeId="0" xr:uid="{C96D7DE3-5BF9-44E9-8CD5-7D8202B06527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Kursus FOA + Bellahøjhallen kl. 15.00 - 23.30</t>
        </r>
      </text>
    </comment>
    <comment ref="N183" authorId="2" shapeId="0" xr:uid="{80A45369-DEF1-4954-9EF5-36CC9A28128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Bellahøjhallen 15.00 - 23.30</t>
        </r>
      </text>
    </comment>
    <comment ref="X183" authorId="2" shapeId="0" xr:uid="{F2488DC3-54D7-43B5-A0D0-E6552A2A330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Grundlovscermoni kl. 09.00 - 13.00</t>
        </r>
      </text>
    </comment>
    <comment ref="AD183" authorId="2" shapeId="0" xr:uid="{CF733D91-2EC6-4790-A8DD-F7AB9BC0753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OA fra kl. 09.00 - 22.00</t>
        </r>
      </text>
    </comment>
    <comment ref="AE183" authorId="4" shapeId="0" xr:uid="{5F376C81-62B3-4F7D-BDCD-C2D9C3B1A882}">
      <text>
        <r>
          <rPr>
            <b/>
            <sz val="9"/>
            <color indexed="81"/>
            <rFont val="Tahoma"/>
            <family val="2"/>
          </rPr>
          <t>Lars Emil Hartvig Sørensen:</t>
        </r>
        <r>
          <rPr>
            <sz val="9"/>
            <color indexed="81"/>
            <rFont val="Tahoma"/>
            <family val="2"/>
          </rPr>
          <t xml:space="preserve">
Afspadsering 
29-09-2025
kl. 15:15 - 16:00
45 min.
</t>
        </r>
      </text>
    </comment>
    <comment ref="AF199" authorId="0" shapeId="0" xr:uid="{36F93380-DFAA-4AF7-96FD-F512C1ED3131}">
      <text>
        <r>
          <rPr>
            <sz val="9"/>
            <rFont val="Arial"/>
            <family val="2"/>
          </rPr>
          <t>Henrik Wolffbrandt Hansen:
OA Gasværksvej skole 07:30- 09:30</t>
        </r>
      </text>
    </comment>
    <comment ref="C200" authorId="4" shapeId="0" xr:uid="{BAD6F1B8-062C-465E-9CEA-00DFD606E411}">
      <text>
        <r>
          <rPr>
            <b/>
            <sz val="9"/>
            <color indexed="81"/>
            <rFont val="Tahoma"/>
            <family val="2"/>
          </rPr>
          <t>Lars Emil Hartvig Sørensen:</t>
        </r>
        <r>
          <rPr>
            <sz val="9"/>
            <color indexed="81"/>
            <rFont val="Tahoma"/>
            <family val="2"/>
          </rPr>
          <t xml:space="preserve">
OA
RF-2 Vagt
kl. 05:30-08:30</t>
        </r>
      </text>
    </comment>
    <comment ref="Q200" authorId="2" shapeId="0" xr:uid="{8E17A6CD-0798-4E94-AF40-434B58C6D94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Dækker O1</t>
        </r>
      </text>
    </comment>
    <comment ref="S200" authorId="4" shapeId="0" xr:uid="{3FE82B8B-76CA-494B-905C-455A8B9CD7C1}">
      <text>
        <r>
          <rPr>
            <b/>
            <sz val="9"/>
            <color indexed="81"/>
            <rFont val="Tahoma"/>
            <family val="2"/>
          </rPr>
          <t>Lars Emil Hartvig Sørensen:</t>
        </r>
        <r>
          <rPr>
            <sz val="9"/>
            <color indexed="81"/>
            <rFont val="Tahoma"/>
            <family val="2"/>
          </rPr>
          <t xml:space="preserve">
Afspadsering
Fra kl. 04:30 - 07:00
= 2. Timer &amp; 30. Min.  </t>
        </r>
      </text>
    </comment>
    <comment ref="V200" authorId="7" shapeId="0" xr:uid="{45D134F6-CA16-4418-81A3-733E2CB07F03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OA fra kl. 21:00</t>
        </r>
      </text>
    </comment>
    <comment ref="W200" authorId="7" shapeId="0" xr:uid="{529B4259-6379-4A24-AA98-C9DAB21D0EB3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OA fra kl. 19:00</t>
        </r>
      </text>
    </comment>
    <comment ref="AF200" authorId="6" shapeId="0" xr:uid="{B72012D8-6719-4C27-80DD-43B311524A19}">
      <text>
        <r>
          <rPr>
            <b/>
            <sz val="9"/>
            <color indexed="81"/>
            <rFont val="Tahoma"/>
            <family val="2"/>
          </rPr>
          <t>Lasse Aae-Hartwig:</t>
        </r>
        <r>
          <rPr>
            <sz val="9"/>
            <color indexed="81"/>
            <rFont val="Tahoma"/>
            <family val="2"/>
          </rPr>
          <t xml:space="preserve">
Afspadsere fra 5-7</t>
        </r>
      </text>
    </comment>
    <comment ref="G201" authorId="0" shapeId="0" xr:uid="{F4B6970D-AEC0-46F2-BA2E-3B4486FC8EF6}">
      <text>
        <r>
          <rPr>
            <sz val="9"/>
            <rFont val="Arial"/>
            <family val="2"/>
          </rPr>
          <t>Henrik Wolffbrandt Hansen:
OA Sjællandsgade
Fra 07:00 til 09:00</t>
        </r>
      </text>
    </comment>
    <comment ref="M246" authorId="2" shapeId="0" xr:uid="{9DED9F79-5CBF-4FB6-8ED0-C6B63EECA13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FOA. Møder ved 12.00 tiden</t>
        </r>
      </text>
    </comment>
    <comment ref="Q246" authorId="2" shapeId="0" xr:uid="{F5FE6860-B55A-4ABD-89D9-4C044392D53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R246" authorId="2" shapeId="0" xr:uid="{C01F49C1-4D57-4EE2-98B3-67172989475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S246" authorId="2" shapeId="0" xr:uid="{7D2BE505-51C8-436A-BA27-EC85FFD5AE9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X246" authorId="2" shapeId="0" xr:uid="{231BA4D3-16B6-4A51-AEF8-D7D07ED8787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Starter på Rådhuset</t>
        </r>
      </text>
    </comment>
    <comment ref="Y246" authorId="2" shapeId="0" xr:uid="{83463D98-AC4D-4C72-9BEF-92B7BC8C569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Martin Holse startet som O-vagt</t>
        </r>
      </text>
    </comment>
    <comment ref="K250" authorId="7" shapeId="0" xr:uid="{BADFF695-42A9-4BD1-96C2-FCCBCA924019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Skal afløses da Michael har fri</t>
        </r>
      </text>
    </comment>
    <comment ref="M250" authorId="7" shapeId="0" xr:uid="{98365232-ED71-4351-8673-777AEEC13A18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Skal afløses da Michael har fri</t>
        </r>
      </text>
    </comment>
    <comment ref="R250" authorId="7" shapeId="0" xr:uid="{1F8A383E-201D-42CC-8A24-8FB29F49F42A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Skal afløses da Michael har fri</t>
        </r>
      </text>
    </comment>
    <comment ref="T250" authorId="7" shapeId="0" xr:uid="{72E4FE07-52F1-441E-AEE9-E28E3F2FDAA6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Skal afløses da Michael har fri</t>
        </r>
      </text>
    </comment>
    <comment ref="Y250" authorId="7" shapeId="0" xr:uid="{74965C90-D9D1-4F6B-8A69-47DC0E7B7444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Skal afløses da Michael har fri</t>
        </r>
      </text>
    </comment>
    <comment ref="AA250" authorId="7" shapeId="0" xr:uid="{1BBE5453-C606-48A4-82AE-07CFAC1BBB01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Skal afløses da Michael har fri</t>
        </r>
      </text>
    </comment>
    <comment ref="AF250" authorId="7" shapeId="0" xr:uid="{62FB87D8-CBDA-494D-A96C-D362F1F4FA3A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Skal afløses da Michael har fri</t>
        </r>
      </text>
    </comment>
    <comment ref="K297" authorId="0" shapeId="0" xr:uid="{29895FC3-ADC7-4F49-AFE1-8C0FD162C372}">
      <text>
        <r>
          <rPr>
            <sz val="9"/>
            <rFont val="Arial"/>
            <family val="2"/>
          </rPr>
          <t>Henrik Wolffbrandt Hansen:
OA 07:00 - 08:00
Dækker ind for Martin</t>
        </r>
      </text>
    </comment>
    <comment ref="N297" authorId="0" shapeId="0" xr:uid="{5BA8BC56-E898-40A0-AD41-A237A0F13CF0}">
      <text>
        <r>
          <rPr>
            <sz val="9"/>
            <rFont val="Arial"/>
            <family val="2"/>
          </rPr>
          <t>Henrik Wolffbrandt Hansen:
OA 07:00 - 08:00
Dækker ind for Martin</t>
        </r>
      </text>
    </comment>
    <comment ref="C298" authorId="3" shapeId="0" xr:uid="{F459D0C9-5E23-403E-9069-AB7CF11105A2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O-vagt</t>
        </r>
      </text>
    </comment>
    <comment ref="D298" authorId="3" shapeId="0" xr:uid="{A07F7BF7-D027-4D82-9951-5FC0B555EAD5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O-vagt</t>
        </r>
      </text>
    </comment>
    <comment ref="E298" authorId="3" shapeId="0" xr:uid="{DA06CF25-660F-4414-B015-B175DA44BFE6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O-vagt</t>
        </r>
      </text>
    </comment>
    <comment ref="F298" authorId="3" shapeId="0" xr:uid="{4298C05D-3828-4C3E-926D-D259F2660D74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O-vagt</t>
        </r>
      </text>
    </comment>
    <comment ref="G298" authorId="3" shapeId="0" xr:uid="{0F455DA5-BF1F-4FA1-8929-A05E6085F67C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O-vagt</t>
        </r>
      </text>
    </comment>
    <comment ref="K298" authorId="2" shapeId="0" xr:uid="{7E17B982-3FEB-40DF-AE5C-74185C9D4A1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som O-vagt kl. 09.00 til Stig er tilbage.</t>
        </r>
      </text>
    </comment>
    <comment ref="M298" authorId="2" shapeId="0" xr:uid="{8B47FDFC-6134-4CFA-8A53-F4BE1A74960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O-vagt fra 10.45 til Stig møder.</t>
        </r>
      </text>
    </comment>
    <comment ref="N298" authorId="0" shapeId="0" xr:uid="{77ED0609-13A6-4750-A885-9FCFCE7D09BD}">
      <text>
        <r>
          <rPr>
            <sz val="9"/>
            <rFont val="Arial"/>
            <family val="2"/>
          </rPr>
          <t>Henrik Wolffbrandt Hansen:
O vagt 08:15-14:15</t>
        </r>
      </text>
    </comment>
    <comment ref="Q298" authorId="2" shapeId="0" xr:uid="{53A9DCF3-26A0-45A5-97D4-E0AC369FAAA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O-vagt</t>
        </r>
      </text>
    </comment>
    <comment ref="R298" authorId="2" shapeId="0" xr:uid="{DB88B7BF-868E-49EF-9F61-6E29337006E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O-vagt</t>
        </r>
      </text>
    </comment>
    <comment ref="S298" authorId="2" shapeId="0" xr:uid="{74D8F763-2A20-421D-965D-83BFB259837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O-vagt</t>
        </r>
      </text>
    </comment>
    <comment ref="T298" authorId="2" shapeId="0" xr:uid="{FE0E829C-EDB7-49F2-88D6-CC949371B91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O-vagt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Thomas Holm</author>
    <author>Michael Fabæch Knudsen</author>
    <author>Nick Lorentzen</author>
    <author>Steen Hertin-Sandkær</author>
    <author>Lars Emil Hartvig Sørensen</author>
    <author>Henrik Wolffbrandt Hansen</author>
    <author>Lasse Aae-Hartwig</author>
    <author>Sabina Taj</author>
    <author>Alexander Henriksen</author>
    <author>Frederik Jensen</author>
    <author>Nick Dahl-Lorentzen</author>
  </authors>
  <commentList>
    <comment ref="L15" authorId="0" shapeId="0" xr:uid="{4A62AA8E-89F5-486D-870C-FDE168657D05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L16" authorId="0" shapeId="0" xr:uid="{74A09959-C49D-42EB-BBA3-5A17DFF1FA3E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Z19" authorId="1" shapeId="0" xr:uid="{F43C46D7-11BD-4B0F-B3BB-056EE410E70B}">
      <text>
        <r>
          <rPr>
            <sz val="9"/>
            <rFont val="Arial"/>
            <family val="2"/>
          </rPr>
          <t>Michael Fabæch Knudsen:
OA 14-23 Arrangement på rådhuset.
Thomas Holm er tovholder på arrangementet</t>
        </r>
      </text>
    </comment>
    <comment ref="F21" authorId="2" shapeId="0" xr:uid="{F0BFD4B6-5069-40BD-AE30-58CEDCA625E1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Afspadserer fra kl. 14</t>
        </r>
      </text>
    </comment>
    <comment ref="L22" authorId="0" shapeId="0" xr:uid="{C20DEF41-1674-4B05-BAEE-5A91B20C0650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Kulturnat
Mødetid kl. 16.00</t>
        </r>
      </text>
    </comment>
    <comment ref="L23" authorId="0" shapeId="0" xr:uid="{8EF4FB9E-AE89-4FA2-8159-4F68EF8808FD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Kulturnat
Mødetid kl. 16.00</t>
        </r>
      </text>
    </comment>
    <comment ref="L25" authorId="0" shapeId="0" xr:uid="{CFA81931-96E0-458C-A45F-75A942201C08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Y25" authorId="3" shapeId="0" xr:uid="{53B86B9A-44EE-4EB6-95BF-1E9EE0AEC07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Sundholm</t>
        </r>
      </text>
    </comment>
    <comment ref="L26" authorId="0" shapeId="0" xr:uid="{DBF47E8F-4AFC-495B-A7CF-0E2CA26F02D1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Kulturnat
Mødetid kl. 16.00</t>
        </r>
      </text>
    </comment>
    <comment ref="X26" authorId="4" shapeId="0" xr:uid="{BBE62C1B-8D2E-494C-ADD0-4B82238438E8}">
      <text>
        <r>
          <rPr>
            <sz val="9"/>
            <rFont val="Arial"/>
            <family val="2"/>
          </rPr>
          <t>Lars Emil Hartvig Sørensen:
OA
S1-Vagten/Sjællandsgade
23-10-2025
07:00 - 08:30 Godkendt Lasse</t>
        </r>
      </text>
    </comment>
    <comment ref="AC26" authorId="3" shapeId="0" xr:uid="{47682BC6-AEA6-44C7-BE7C-594B3742742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RF1 OA
</t>
        </r>
      </text>
    </comment>
    <comment ref="AG26" authorId="3" shapeId="0" xr:uid="{4EA48948-D197-4C72-A077-6645DA54CE7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O1 på oa</t>
        </r>
      </text>
    </comment>
    <comment ref="C27" authorId="0" shapeId="0" xr:uid="{47271538-2FCD-4848-8A49-3771D5E588BF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Opstart
</t>
        </r>
      </text>
    </comment>
    <comment ref="L27" authorId="0" shapeId="0" xr:uid="{56AECED1-EE1D-4B8F-BF09-B33DDD9A9D6F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Kulturnat
Mødetid kl. 16.00</t>
        </r>
      </text>
    </comment>
    <comment ref="S27" authorId="0" shapeId="0" xr:uid="{486B8036-43CD-48D9-B8AE-9EBD31A180CD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Kun dagvagt</t>
        </r>
      </text>
    </comment>
    <comment ref="Y27" authorId="0" shapeId="0" xr:uid="{0AE4488D-A3E8-45F2-8B7B-36A444CCA445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OA fra kl. 11.00
Møde på Fuglebakken</t>
        </r>
      </text>
    </comment>
    <comment ref="AF27" authorId="5" shapeId="0" xr:uid="{EC655552-7FB2-4172-AA25-99D34B9F8313}">
      <text>
        <r>
          <rPr>
            <sz val="9"/>
            <rFont val="Arial"/>
            <family val="2"/>
          </rPr>
          <t xml:space="preserve">Henrik Wolffbrandt Hansen:
OA kl. 14:00-15:00 - Michael forskinket. </t>
        </r>
      </text>
    </comment>
    <comment ref="L28" authorId="0" shapeId="0" xr:uid="{AA7824FF-4811-43CC-AC1E-41B78136D878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Kulturnat
Mødetid kl. 16.00</t>
        </r>
      </text>
    </comment>
    <comment ref="P28" authorId="5" shapeId="0" xr:uid="{B7624EC7-8DFD-4345-9BE2-BFE922856E50}">
      <text>
        <r>
          <rPr>
            <sz val="9"/>
            <rFont val="Arial"/>
            <family val="2"/>
          </rPr>
          <t>Henrik Wolffbrandt Hansen:
OA 4 til 14:30</t>
        </r>
      </text>
    </comment>
    <comment ref="AG28" authorId="5" shapeId="0" xr:uid="{63E6D871-5D52-4A24-AC05-5988FF62BB22}">
      <text>
        <r>
          <rPr>
            <sz val="9"/>
            <rFont val="Arial"/>
            <family val="2"/>
          </rPr>
          <t>Henrik Wolffbrandt Hansen:
OA 10'er</t>
        </r>
      </text>
    </comment>
    <comment ref="C29" authorId="3" shapeId="0" xr:uid="{A03AEF75-CEE6-4FF3-A872-15D68719E46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D29" authorId="3" shapeId="0" xr:uid="{4824668C-5E35-49E4-AFCE-75A32592802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E29" authorId="3" shapeId="0" xr:uid="{C8E731F9-094B-487A-9EE3-6719B230F0A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H29" authorId="3" shapeId="0" xr:uid="{0AA6C45E-7246-46A9-9A08-EA2CD9FE1F2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skal hjælpe i posten</t>
        </r>
      </text>
    </comment>
    <comment ref="I29" authorId="3" shapeId="0" xr:uid="{9817A71F-98DA-4D1C-B4B1-14D57BB1E45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J29" authorId="3" shapeId="0" xr:uid="{41D56FA8-1121-41E8-ADF1-12090952763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K29" authorId="3" shapeId="0" xr:uid="{EC3B6102-FC38-4D85-A9C2-4966E2416C5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L29" authorId="3" shapeId="0" xr:uid="{CC70C76C-FB20-48D8-80B7-31910C8D50F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FOA
Kulturnat
Mødetid kl. 16.00</t>
        </r>
      </text>
    </comment>
    <comment ref="X29" authorId="5" shapeId="0" xr:uid="{26AF788D-84EC-4F55-8F03-47541CBD158A}">
      <text>
        <r>
          <rPr>
            <sz val="9"/>
            <rFont val="Arial"/>
            <family val="2"/>
          </rPr>
          <t xml:space="preserve">Henrik Wolffbrandt Hansen:
Møde på Fuglebakken kl. 9.00 - 11. kommer efter mødet </t>
        </r>
      </text>
    </comment>
    <comment ref="AE29" authorId="5" shapeId="0" xr:uid="{40848DAF-2862-4EDB-9A38-F34D8EDE2491}">
      <text>
        <r>
          <rPr>
            <sz val="9"/>
            <rFont val="Arial"/>
            <family val="2"/>
          </rPr>
          <t>Henrik Wolffbrandt Hansen:
FOA valby kl. 9 - ca 11. kommer efter mødet</t>
        </r>
      </text>
    </comment>
    <comment ref="AF29" authorId="5" shapeId="0" xr:uid="{882DCE91-9C5B-4E6D-B284-C1E2FCEA93B2}">
      <text>
        <r>
          <rPr>
            <sz val="9"/>
            <rFont val="Arial"/>
            <family val="2"/>
          </rPr>
          <t>Henrik Wolffbrandt Hansen:
fuglebakken kl. 9-11 kommer efter mødet er færdig</t>
        </r>
      </text>
    </comment>
    <comment ref="L30" authorId="0" shapeId="0" xr:uid="{0576673B-0B83-42E4-9E2D-2BBDC53E3D87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Q30" authorId="6" shapeId="0" xr:uid="{E9B700AC-5C3C-4CD8-8FA8-CAC1093C18D4}">
      <text>
        <r>
          <rPr>
            <sz val="9"/>
            <rFont val="Arial"/>
            <family val="2"/>
          </rPr>
          <t>Lasse Aae-Hartwig:
1.75 timers OA 3'er</t>
        </r>
      </text>
    </comment>
    <comment ref="R30" authorId="5" shapeId="0" xr:uid="{6AAA7856-E029-4A31-A080-82E6E012B39A}">
      <text>
        <r>
          <rPr>
            <sz val="9"/>
            <rFont val="Arial"/>
            <family val="2"/>
          </rPr>
          <t>Henrik Wolffbrandt Hansen:
1.75 timers OA 3'er</t>
        </r>
      </text>
    </comment>
    <comment ref="V32" authorId="5" shapeId="0" xr:uid="{570FF47B-82D0-4AD4-94F1-F697C62A4356}">
      <text>
        <r>
          <rPr>
            <sz val="9"/>
            <rFont val="Arial"/>
            <family val="2"/>
          </rPr>
          <t>Henrik Wolffbrandt Hansen:
Rentemestervej til 22:00</t>
        </r>
      </text>
    </comment>
    <comment ref="AE32" authorId="5" shapeId="0" xr:uid="{52A142CE-EC44-4C67-AA3D-CFA6C56AB06E}">
      <text>
        <r>
          <rPr>
            <sz val="9"/>
            <rFont val="Arial"/>
            <family val="2"/>
          </rPr>
          <t>Henrik Wolffbrandt Hansen:
Rentemestervej til 22:00</t>
        </r>
      </text>
    </comment>
    <comment ref="AF32" authorId="5" shapeId="0" xr:uid="{43906860-60D3-4505-8913-96041F2D2E1B}">
      <text>
        <r>
          <rPr>
            <sz val="9"/>
            <rFont val="Arial"/>
            <family val="2"/>
          </rPr>
          <t>Henrik Wolffbrandt Hansen:
Rentemestervej til 22:00. 
Sabina: Aflyst på dagen - vagt kun til kl. 20:00</t>
        </r>
      </text>
    </comment>
    <comment ref="D33" authorId="5" shapeId="0" xr:uid="{889197E2-24FB-44AA-B7E2-2B90014C5864}">
      <text>
        <r>
          <rPr>
            <sz val="9"/>
            <rFont val="Arial"/>
            <family val="2"/>
          </rPr>
          <t>Henrik Wolffbrandt Hansen:
Rentemestervej til 21:30</t>
        </r>
      </text>
    </comment>
    <comment ref="H45" authorId="2" shapeId="0" xr:uid="{23DBF0B4-ADF5-4BFF-9C7D-CDB32A336705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Svendborgade</t>
        </r>
      </text>
    </comment>
    <comment ref="I45" authorId="2" shapeId="0" xr:uid="{9FBAAE7E-46FF-4A15-821F-76C1398980D4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Svendborgade</t>
        </r>
      </text>
    </comment>
    <comment ref="J45" authorId="2" shapeId="0" xr:uid="{148CD5AA-19C2-441E-8CA0-A1D0B25AC56A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Svendborgade</t>
        </r>
      </text>
    </comment>
    <comment ref="K45" authorId="2" shapeId="0" xr:uid="{BC7C5AE2-DDFC-4C8E-BC3A-3E358C335CE6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Svendborgade</t>
        </r>
      </text>
    </comment>
    <comment ref="L45" authorId="2" shapeId="0" xr:uid="{03CDB913-DCC4-4808-AAD0-22B92B5C69E8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Svendborgade</t>
        </r>
      </text>
    </comment>
    <comment ref="T45" authorId="1" shapeId="0" xr:uid="{AC578AAB-1E64-41AD-9F43-F0D67AED6EE6}">
      <text>
        <r>
          <rPr>
            <sz val="9"/>
            <rFont val="Arial"/>
            <family val="2"/>
          </rPr>
          <t>Michael Fabæch Knudsen:
Bo gået hjem kl. 20,45</t>
        </r>
      </text>
    </comment>
    <comment ref="C46" authorId="3" shapeId="0" xr:uid="{CE16BEA6-9AA2-42B0-90A6-485A609ABB8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Starter i turnus</t>
        </r>
      </text>
    </comment>
    <comment ref="AC46" authorId="5" shapeId="0" xr:uid="{906EA952-A98B-40C5-BDF0-1EF0D3690D2E}">
      <text>
        <r>
          <rPr>
            <sz val="9"/>
            <rFont val="Arial"/>
            <family val="2"/>
          </rPr>
          <t>Henrik Wolffbrandt Hansen:
Dækker 5'er vagten</t>
        </r>
      </text>
    </comment>
    <comment ref="AF46" authorId="7" shapeId="0" xr:uid="{83711453-5D0E-4C8A-A156-5025FB8BA110}">
      <text>
        <r>
          <rPr>
            <b/>
            <sz val="9"/>
            <color indexed="81"/>
            <rFont val="Tahoma"/>
            <family val="2"/>
          </rPr>
          <t>Sabina Taj:</t>
        </r>
        <r>
          <rPr>
            <sz val="9"/>
            <color indexed="81"/>
            <rFont val="Tahoma"/>
            <family val="2"/>
          </rPr>
          <t xml:space="preserve">
OA Fuglebakken 14:00 - 15:15 - overtaget for Sabina. OA vagt pga. Michael forsinket
Afskedsreception i Loungen i stueetagen</t>
        </r>
      </text>
    </comment>
    <comment ref="C47" authorId="3" shapeId="0" xr:uid="{860267A6-1DAE-4AAF-B8FE-BBF557AA6CC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14:30-17:30 Gasværksvej</t>
        </r>
      </text>
    </comment>
    <comment ref="I47" authorId="3" shapeId="0" xr:uid="{40725070-60FA-42AA-BFBE-D9F5964D443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hjælper i posten</t>
        </r>
      </text>
    </comment>
    <comment ref="J47" authorId="3" shapeId="0" xr:uid="{909CD41A-E298-47EF-B4A6-6BE5EB7DF80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hjælper i posten</t>
        </r>
      </text>
    </comment>
    <comment ref="AB47" authorId="8" shapeId="0" xr:uid="{A3273156-1862-4457-BDD6-D208EEFCF9F0}">
      <text>
        <r>
          <rPr>
            <sz val="9"/>
            <rFont val="Arial"/>
            <family val="2"/>
          </rPr>
          <t>Alexander Henriksen:
Afsp. Fra kl. 17:30</t>
        </r>
      </text>
    </comment>
    <comment ref="D50" authorId="3" shapeId="0" xr:uid="{CF3697E6-8861-4EE8-9A96-E0F0A897C80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Dække S-vagten</t>
        </r>
      </text>
    </comment>
    <comment ref="X50" authorId="6" shapeId="0" xr:uid="{E7F2C5A6-647A-4051-93F4-7AA4658301FD}">
      <text>
        <r>
          <rPr>
            <b/>
            <sz val="9"/>
            <color indexed="81"/>
            <rFont val="Tahoma"/>
            <family val="2"/>
          </rPr>
          <t>Lasse Aae-Hartwig:</t>
        </r>
        <r>
          <rPr>
            <sz val="9"/>
            <color indexed="81"/>
            <rFont val="Tahoma"/>
            <family val="2"/>
          </rPr>
          <t xml:space="preserve">
OA fra 23 - 24</t>
        </r>
      </text>
    </comment>
    <comment ref="AD50" authorId="5" shapeId="0" xr:uid="{E6B47F54-9862-4FA2-838F-00E1CFB69BC3}">
      <text>
        <r>
          <rPr>
            <sz val="9"/>
            <rFont val="Arial"/>
            <family val="2"/>
          </rPr>
          <t>Henrik Wolffbrandt Hansen:
OA 5'er vagten</t>
        </r>
      </text>
    </comment>
    <comment ref="AE50" authorId="5" shapeId="0" xr:uid="{6284EF72-B49B-4751-84BE-E00F93FDA9DE}">
      <text>
        <r>
          <rPr>
            <sz val="9"/>
            <rFont val="Arial"/>
            <family val="2"/>
          </rPr>
          <t>Henrik Wolffbrandt Hansen:
OA 5'er vagten</t>
        </r>
      </text>
    </comment>
    <comment ref="AF50" authorId="5" shapeId="0" xr:uid="{7781DB7C-8632-43A4-AAEA-454692CD07F9}">
      <text>
        <r>
          <rPr>
            <sz val="9"/>
            <rFont val="Arial"/>
            <family val="2"/>
          </rPr>
          <t>Henrik Wolffbrandt Hansen:
OA 5'er vagten</t>
        </r>
      </text>
    </comment>
    <comment ref="AG50" authorId="5" shapeId="0" xr:uid="{876725D0-2E8D-4410-861F-87E829A71BFD}">
      <text>
        <r>
          <rPr>
            <sz val="9"/>
            <rFont val="Arial"/>
            <family val="2"/>
          </rPr>
          <t>Henrik Wolffbrandt Hansen:
OA 5'er vagten</t>
        </r>
      </text>
    </comment>
    <comment ref="W52" authorId="6" shapeId="0" xr:uid="{8E5DC44D-EF14-4E57-A5D8-DE9BEB510D58}">
      <text>
        <r>
          <rPr>
            <b/>
            <sz val="9"/>
            <color indexed="81"/>
            <rFont val="Tahoma"/>
            <family val="2"/>
          </rPr>
          <t>Lasse Aae-Hartwig:</t>
        </r>
        <r>
          <rPr>
            <sz val="9"/>
            <color indexed="81"/>
            <rFont val="Tahoma"/>
            <family val="2"/>
          </rPr>
          <t xml:space="preserve">
OA fra 17.30 - 19.45
</t>
        </r>
      </text>
    </comment>
    <comment ref="C53" authorId="3" shapeId="0" xr:uid="{4C5F4130-94B4-4336-90C2-76A941167FB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Starter i turnus</t>
        </r>
      </text>
    </comment>
    <comment ref="L54" authorId="0" shapeId="0" xr:uid="{211924C3-52D3-4752-A9C9-77B2DCD3E511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O54" authorId="3" shapeId="0" xr:uid="{C5521D3C-274E-4CD2-BD27-E8574380304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79 oa</t>
        </r>
      </text>
    </comment>
    <comment ref="P54" authorId="5" shapeId="0" xr:uid="{F0832186-2796-4284-A74D-A506B0DEF492}">
      <text>
        <r>
          <rPr>
            <sz val="9"/>
            <rFont val="Arial"/>
            <family val="2"/>
          </rPr>
          <t>Henrik Wolffbrandt Hansen:
OA 6</t>
        </r>
      </text>
    </comment>
    <comment ref="S54" authorId="5" shapeId="0" xr:uid="{71D25613-D7D1-440F-B181-24BEA9950E4B}">
      <text>
        <r>
          <rPr>
            <sz val="9"/>
            <rFont val="Arial"/>
            <family val="2"/>
          </rPr>
          <t xml:space="preserve">Henrik Wolffbrandt Hansen:
OA 4 </t>
        </r>
      </text>
    </comment>
    <comment ref="O56" authorId="3" shapeId="0" xr:uid="{E304CB08-8877-4A87-912B-42AB18250016}">
      <text>
        <r>
          <rPr>
            <sz val="9"/>
            <rFont val="Arial"/>
            <family val="2"/>
          </rPr>
          <t xml:space="preserve">Steen Hertin-Sandkær:
OA 99 + 6 </t>
        </r>
      </text>
    </comment>
    <comment ref="Q56" authorId="5" shapeId="0" xr:uid="{AE6BB6C9-CEBF-4238-A93A-C52E83DB7C7B}">
      <text>
        <r>
          <rPr>
            <sz val="9"/>
            <rFont val="Arial"/>
            <family val="2"/>
          </rPr>
          <t>Henrik Wolffbrandt Hansen:
OA 6</t>
        </r>
      </text>
    </comment>
    <comment ref="R56" authorId="5" shapeId="0" xr:uid="{617916A0-8D65-404E-AC3E-E65D04014533}">
      <text>
        <r>
          <rPr>
            <sz val="9"/>
            <rFont val="Arial"/>
            <family val="2"/>
          </rPr>
          <t>Henrik Wolffbrandt Hansen:
OA 6</t>
        </r>
      </text>
    </comment>
    <comment ref="S56" authorId="3" shapeId="0" xr:uid="{B63377DD-D097-4017-9211-1428B4FB1CC4}">
      <text>
        <r>
          <rPr>
            <sz val="9"/>
            <rFont val="Arial"/>
            <family val="2"/>
          </rPr>
          <t>Steen Hertin-Sandkær:
 1 + 6 oa</t>
        </r>
      </text>
    </comment>
    <comment ref="C57" authorId="3" shapeId="0" xr:uid="{FDA75BD1-31DD-4D85-B3B9-89059239AAE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Starter turnus</t>
        </r>
      </text>
    </comment>
    <comment ref="V57" authorId="3" shapeId="0" xr:uid="{E225B3A0-9B64-44DE-8B97-0FC737BA1BE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Oplæres som 9-vagt</t>
        </r>
      </text>
    </comment>
    <comment ref="L58" authorId="3" shapeId="0" xr:uid="{1752DF2B-112F-44BB-B50E-92AC74B506A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Q58" authorId="7" shapeId="0" xr:uid="{7A77084A-E289-4DC3-B865-142F445F648E}">
      <text>
        <r>
          <rPr>
            <sz val="9"/>
            <rFont val="Arial"/>
            <family val="2"/>
          </rPr>
          <t>Sabina Taj:
OA 45 min fra kl. 15:30-16:15 S-sydbanestien</t>
        </r>
      </text>
    </comment>
    <comment ref="C59" authorId="3" shapeId="0" xr:uid="{EAC6ECAE-355B-49D5-899D-882049E8F3F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Starter turnus</t>
        </r>
      </text>
    </comment>
    <comment ref="L59" authorId="0" shapeId="0" xr:uid="{F108CB4B-1366-43FB-9E20-4686CB3B199B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Kulturnat
Mødetid kl. 16.00</t>
        </r>
      </text>
    </comment>
    <comment ref="C70" authorId="5" shapeId="0" xr:uid="{BEA92FC3-F1A4-4B83-AD82-31C7A8A532D4}">
      <text>
        <r>
          <rPr>
            <sz val="9"/>
            <rFont val="Arial"/>
            <family val="2"/>
          </rPr>
          <t>Henrik Wolffbrandt Hansen:
TUA
06:15 - 13:00</t>
        </r>
      </text>
    </comment>
    <comment ref="D70" authorId="5" shapeId="0" xr:uid="{245649D4-91E4-472E-805D-52D90804FEDB}">
      <text>
        <r>
          <rPr>
            <sz val="9"/>
            <rFont val="Arial"/>
            <family val="2"/>
          </rPr>
          <t>Henrik Wolffbrandt Hansen:
TUA
10:00 - 17:30
19:15 - 23:30</t>
        </r>
      </text>
    </comment>
    <comment ref="E70" authorId="5" shapeId="0" xr:uid="{40CEEEA9-0BDE-4E04-9355-51B1DEA24052}">
      <text>
        <r>
          <rPr>
            <sz val="9"/>
            <rFont val="Arial"/>
            <family val="2"/>
          </rPr>
          <t>Henrik Wolffbrandt Hansen:
TUA
09:30 - 12:30</t>
        </r>
      </text>
    </comment>
    <comment ref="H70" authorId="5" shapeId="0" xr:uid="{93AA8BEE-298D-43CA-B5F8-4866FEF40D9D}">
      <text>
        <r>
          <rPr>
            <sz val="9"/>
            <rFont val="Arial"/>
            <family val="2"/>
          </rPr>
          <t>Henrik Wolffbrandt Hansen:
TUA
11:30 - 17:30</t>
        </r>
      </text>
    </comment>
    <comment ref="I70" authorId="5" shapeId="0" xr:uid="{A2E60079-6794-41BD-85C1-24E261D07C14}">
      <text>
        <r>
          <rPr>
            <sz val="9"/>
            <rFont val="Arial"/>
            <family val="2"/>
          </rPr>
          <t>Henrik Wolffbrandt Hansen:
TUA
06:00 - 14:00</t>
        </r>
      </text>
    </comment>
    <comment ref="J70" authorId="5" shapeId="0" xr:uid="{3E9CA83B-158A-4D96-8870-5477EEC71DBC}">
      <text>
        <r>
          <rPr>
            <sz val="9"/>
            <rFont val="Arial"/>
            <family val="2"/>
          </rPr>
          <t>Henrik Wolffbrandt Hansen:
TUA
06:15 - 16:00</t>
        </r>
      </text>
    </comment>
    <comment ref="K70" authorId="5" shapeId="0" xr:uid="{844FC339-07FD-4C2E-A996-76E4D20B209E}">
      <text>
        <r>
          <rPr>
            <sz val="9"/>
            <rFont val="Arial"/>
            <family val="2"/>
          </rPr>
          <t>Henrik Wolffbrandt Hansen:
TUA
06:15 - 17:00</t>
        </r>
      </text>
    </comment>
    <comment ref="L70" authorId="5" shapeId="0" xr:uid="{E5E9A41C-D2CD-44CD-BA4D-F7705038F158}">
      <text>
        <r>
          <rPr>
            <sz val="9"/>
            <rFont val="Arial"/>
            <family val="2"/>
          </rPr>
          <t>Henrik Wolffbrandt Hansen:
TUA
12:00 - 22:45</t>
        </r>
      </text>
    </comment>
    <comment ref="M70" authorId="5" shapeId="0" xr:uid="{C976641D-3143-4AF2-AEE0-B24FB1A205D8}">
      <text>
        <r>
          <rPr>
            <sz val="9"/>
            <rFont val="Arial"/>
            <family val="2"/>
          </rPr>
          <t>Henrik Wolffbrandt Hansen:
TUA
10:45 - 12:00</t>
        </r>
      </text>
    </comment>
    <comment ref="N70" authorId="5" shapeId="0" xr:uid="{63F4FEB9-DF67-400C-A256-0A4AF0EC6078}">
      <text>
        <r>
          <rPr>
            <sz val="9"/>
            <rFont val="Arial"/>
            <family val="2"/>
          </rPr>
          <t>Henrik Wolffbrandt Hansen:
TUA
12:15 - 14:15</t>
        </r>
      </text>
    </comment>
    <comment ref="O70" authorId="5" shapeId="0" xr:uid="{E609CF10-7E3E-4844-885E-005FF858B9EE}">
      <text>
        <r>
          <rPr>
            <sz val="9"/>
            <rFont val="Arial"/>
            <family val="2"/>
          </rPr>
          <t>Henrik Wolffbrandt Hansen:
TUA
06:45 - 20:00</t>
        </r>
      </text>
    </comment>
    <comment ref="P70" authorId="5" shapeId="0" xr:uid="{92AAE7F6-5F5D-42D8-8222-5ACCEB5A192C}">
      <text>
        <r>
          <rPr>
            <sz val="9"/>
            <rFont val="Arial"/>
            <family val="2"/>
          </rPr>
          <t>Henrik Wolffbrandt Hansen:
TUA
11:00 - 17:15</t>
        </r>
      </text>
    </comment>
    <comment ref="Q70" authorId="5" shapeId="0" xr:uid="{F83D80D7-9326-4D69-B482-6D6B4B07EDD2}">
      <text>
        <r>
          <rPr>
            <sz val="9"/>
            <rFont val="Arial"/>
            <family val="2"/>
          </rPr>
          <t>Henrik Wolffbrandt Hansen:
TUA
07:00 - 16:30</t>
        </r>
      </text>
    </comment>
    <comment ref="R70" authorId="5" shapeId="0" xr:uid="{55680D02-07D3-41C2-B806-D7D0C10303EA}">
      <text>
        <r>
          <rPr>
            <sz val="9"/>
            <rFont val="Arial"/>
            <family val="2"/>
          </rPr>
          <t>Henrik Wolffbrandt Hansen:
TUA
07:30 - 08:15
10:15 - 17:15</t>
        </r>
      </text>
    </comment>
    <comment ref="S70" authorId="5" shapeId="0" xr:uid="{B9D3C5AB-1ECD-46B8-8111-F82B60F52172}">
      <text>
        <r>
          <rPr>
            <sz val="9"/>
            <rFont val="Arial"/>
            <family val="2"/>
          </rPr>
          <t>Henrik Wolffbrandt Hansen:
TUA
10:00 - 16:00</t>
        </r>
      </text>
    </comment>
    <comment ref="U70" authorId="5" shapeId="0" xr:uid="{2BDDB4B7-1A46-4100-8E8E-EEFDD8126D6C}">
      <text>
        <r>
          <rPr>
            <sz val="9"/>
            <rFont val="Arial"/>
            <family val="2"/>
          </rPr>
          <t>Henrik Wolffbrandt Hansen:
OA Q+Rentemestervej 
17:00 - 23:00</t>
        </r>
      </text>
    </comment>
    <comment ref="V70" authorId="5" shapeId="0" xr:uid="{4962E3D2-774E-4669-AB53-60A802BFA0DD}">
      <text>
        <r>
          <rPr>
            <sz val="9"/>
            <rFont val="Arial"/>
            <family val="2"/>
          </rPr>
          <t>Henrik Wolffbrandt Hansen:
TUA
08:30 - 10:15
11:30 - 17:45</t>
        </r>
      </text>
    </comment>
    <comment ref="W70" authorId="5" shapeId="0" xr:uid="{A816D071-0A59-4ADD-AFCD-9A85F89538B8}">
      <text>
        <r>
          <rPr>
            <sz val="9"/>
            <rFont val="Arial"/>
            <family val="2"/>
          </rPr>
          <t>Henrik Wolffbrandt Hansen:
TUA
06:00 - 18:15</t>
        </r>
      </text>
    </comment>
    <comment ref="X70" authorId="5" shapeId="0" xr:uid="{467798A9-7A77-452F-A4DD-36415B9E3413}">
      <text>
        <r>
          <rPr>
            <sz val="9"/>
            <rFont val="Arial"/>
            <family val="2"/>
          </rPr>
          <t>Henrik Wolffbrandt Hansen:
TUA
10:00 - 13:00
19:15 - 20:00</t>
        </r>
      </text>
    </comment>
    <comment ref="Y70" authorId="5" shapeId="0" xr:uid="{CD269C60-9326-4CD0-A18B-FF074776E630}">
      <text>
        <r>
          <rPr>
            <sz val="9"/>
            <rFont val="Arial"/>
            <family val="2"/>
          </rPr>
          <t>Henrik Wolffbrandt Hansen:
TUA
04:30 - 12:00</t>
        </r>
      </text>
    </comment>
    <comment ref="Z70" authorId="5" shapeId="0" xr:uid="{AEB68658-F096-4043-8B03-5FC79601B469}">
      <text>
        <r>
          <rPr>
            <sz val="9"/>
            <rFont val="Arial"/>
            <family val="2"/>
          </rPr>
          <t>Henrik Wolffbrandt Hansen:
TUA
06:30 - 17:15</t>
        </r>
      </text>
    </comment>
    <comment ref="AG70" authorId="5" shapeId="0" xr:uid="{E16C9403-D48E-4C1D-B34A-580256199D9E}">
      <text>
        <r>
          <rPr>
            <sz val="9"/>
            <rFont val="Arial"/>
            <family val="2"/>
          </rPr>
          <t>Henrik Wolffbrandt Hansen:
OA Rentemestervej</t>
        </r>
      </text>
    </comment>
    <comment ref="Z71" authorId="5" shapeId="0" xr:uid="{E0DAD31F-2EF8-4F16-B222-F99A75E025C4}">
      <text>
        <r>
          <rPr>
            <sz val="9"/>
            <rFont val="Arial"/>
            <family val="2"/>
          </rPr>
          <t>Henrik Wolffbrandt Hansen:
OA 89</t>
        </r>
      </text>
    </comment>
    <comment ref="AA71" authorId="5" shapeId="0" xr:uid="{E5998803-E7E0-487F-AC91-33C84D80C670}">
      <text>
        <r>
          <rPr>
            <sz val="9"/>
            <rFont val="Arial"/>
            <family val="2"/>
          </rPr>
          <t>Henrik Wolffbrandt Hansen:
OA 89</t>
        </r>
      </text>
    </comment>
    <comment ref="AC72" authorId="7" shapeId="0" xr:uid="{1970191C-DF90-40BC-9832-D13F78288CFE}">
      <text>
        <r>
          <rPr>
            <b/>
            <sz val="9"/>
            <color indexed="81"/>
            <rFont val="Tahoma"/>
            <family val="2"/>
          </rPr>
          <t>Sabina Taj:</t>
        </r>
        <r>
          <rPr>
            <sz val="9"/>
            <color indexed="81"/>
            <rFont val="Tahoma"/>
            <family val="2"/>
          </rPr>
          <t xml:space="preserve">
Raskmeldt d. 27.10.2025</t>
        </r>
      </text>
    </comment>
    <comment ref="E73" authorId="4" shapeId="0" xr:uid="{86CD61BD-C180-4CCF-AA85-B8AB150CE347}">
      <text>
        <r>
          <rPr>
            <b/>
            <sz val="9"/>
            <color indexed="81"/>
            <rFont val="Tahoma"/>
            <family val="2"/>
          </rPr>
          <t>Lars Emil Hartvig Sørensen:</t>
        </r>
        <r>
          <rPr>
            <sz val="9"/>
            <color indexed="81"/>
            <rFont val="Tahoma"/>
            <family val="2"/>
          </rPr>
          <t xml:space="preserve">
Afspadsering
22:30 - 23:30</t>
        </r>
      </text>
    </comment>
    <comment ref="N73" authorId="4" shapeId="0" xr:uid="{2AA2E942-7F3F-4647-B9E0-77D49EBAC9D0}">
      <text>
        <r>
          <rPr>
            <b/>
            <sz val="9"/>
            <color indexed="81"/>
            <rFont val="Tahoma"/>
            <family val="2"/>
          </rPr>
          <t>Lars Emil Hartvig Sørensen:</t>
        </r>
        <r>
          <rPr>
            <sz val="9"/>
            <color indexed="81"/>
            <rFont val="Tahoma"/>
            <family val="2"/>
          </rPr>
          <t xml:space="preserve">
Afspadsering 
12-10-2025
Kennet Heildelbach
B2-Vagten.
Kl. 06:00 -07:00
1. Time</t>
        </r>
      </text>
    </comment>
    <comment ref="AG73" authorId="7" shapeId="0" xr:uid="{9DF618AB-C79E-4D04-95B1-58DF3B260FCA}">
      <text>
        <r>
          <rPr>
            <b/>
            <sz val="9"/>
            <color indexed="81"/>
            <rFont val="Tahoma"/>
            <family val="2"/>
          </rPr>
          <t>Sabina Taj:</t>
        </r>
        <r>
          <rPr>
            <sz val="9"/>
            <color indexed="81"/>
            <rFont val="Tahoma"/>
            <family val="2"/>
          </rPr>
          <t xml:space="preserve">
ASP kl. 14:30-17:30</t>
        </r>
      </text>
    </comment>
    <comment ref="K74" authorId="9" shapeId="0" xr:uid="{30AEB382-99DC-4B91-A2A5-A4A583107441}">
      <text>
        <r>
          <rPr>
            <b/>
            <sz val="9"/>
            <color indexed="81"/>
            <rFont val="Tahoma"/>
            <family val="2"/>
          </rPr>
          <t>Frederik Jensen:</t>
        </r>
        <r>
          <rPr>
            <sz val="9"/>
            <color indexed="81"/>
            <rFont val="Tahoma"/>
            <family val="2"/>
          </rPr>
          <t xml:space="preserve">
OA Sydbanestien
08:15-16:00</t>
        </r>
      </text>
    </comment>
    <comment ref="L74" authorId="9" shapeId="0" xr:uid="{8E96B826-BB04-408F-BD1B-2E9885B4A3F5}">
      <text>
        <r>
          <rPr>
            <b/>
            <sz val="9"/>
            <color indexed="81"/>
            <rFont val="Tahoma"/>
            <family val="2"/>
          </rPr>
          <t>Frederik Jensen:</t>
        </r>
        <r>
          <rPr>
            <sz val="9"/>
            <color indexed="81"/>
            <rFont val="Tahoma"/>
            <family val="2"/>
          </rPr>
          <t xml:space="preserve">
OA Sydbanestien
08:15-14:15</t>
        </r>
      </text>
    </comment>
    <comment ref="L75" authorId="0" shapeId="0" xr:uid="{864681F0-4F3B-4DFD-8168-CDD9989F59E7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Kulturnat
Mødetid kl. 16.00</t>
        </r>
      </text>
    </comment>
    <comment ref="P75" authorId="3" shapeId="0" xr:uid="{761948B8-6BCD-4CCD-AC00-60DDA056699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Kommer først kl. 11.00</t>
        </r>
      </text>
    </comment>
    <comment ref="AG75" authorId="3" shapeId="0" xr:uid="{3C166C51-0BC9-4210-8F41-E71E782677A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K2 på OA</t>
        </r>
      </text>
    </comment>
    <comment ref="L76" authorId="0" shapeId="0" xr:uid="{5FBEF1A8-ED8D-47AC-B64E-127A75B59B3C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Kulturnat
Mødetid kl. 16.00</t>
        </r>
      </text>
    </comment>
    <comment ref="P77" authorId="6" shapeId="0" xr:uid="{C2C8FD1D-786C-4EE0-BB6A-8688B4F9F269}">
      <text>
        <r>
          <rPr>
            <b/>
            <sz val="9"/>
            <color indexed="81"/>
            <rFont val="Tahoma"/>
            <family val="2"/>
          </rPr>
          <t>Lasse Aae-Hartwig:</t>
        </r>
        <r>
          <rPr>
            <sz val="9"/>
            <color indexed="81"/>
            <rFont val="Tahoma"/>
            <family val="2"/>
          </rPr>
          <t xml:space="preserve">
79 vagt OA</t>
        </r>
      </text>
    </comment>
    <comment ref="Q77" authorId="6" shapeId="0" xr:uid="{5500BD8F-4627-4660-8E20-B6705743E12C}">
      <text>
        <r>
          <rPr>
            <b/>
            <sz val="9"/>
            <color indexed="81"/>
            <rFont val="Tahoma"/>
            <family val="2"/>
          </rPr>
          <t>Lasse Aae-Hartwig:</t>
        </r>
        <r>
          <rPr>
            <sz val="9"/>
            <color indexed="81"/>
            <rFont val="Tahoma"/>
            <family val="2"/>
          </rPr>
          <t xml:space="preserve">
79 vagt OA</t>
        </r>
      </text>
    </comment>
    <comment ref="R77" authorId="6" shapeId="0" xr:uid="{A5C4526A-1E6E-444D-A080-2FD59170F63B}">
      <text>
        <r>
          <rPr>
            <b/>
            <sz val="9"/>
            <color indexed="81"/>
            <rFont val="Tahoma"/>
            <family val="2"/>
          </rPr>
          <t>Lasse Aae-Hartwig:</t>
        </r>
        <r>
          <rPr>
            <sz val="9"/>
            <color indexed="81"/>
            <rFont val="Tahoma"/>
            <family val="2"/>
          </rPr>
          <t xml:space="preserve">
79 vagt OA</t>
        </r>
      </text>
    </comment>
    <comment ref="S77" authorId="6" shapeId="0" xr:uid="{407E7F2A-C06A-40F4-ABC3-6A77907A22FD}">
      <text>
        <r>
          <rPr>
            <b/>
            <sz val="9"/>
            <color indexed="81"/>
            <rFont val="Tahoma"/>
            <family val="2"/>
          </rPr>
          <t>Lasse Aae-Hartwig:</t>
        </r>
        <r>
          <rPr>
            <sz val="9"/>
            <color indexed="81"/>
            <rFont val="Tahoma"/>
            <family val="2"/>
          </rPr>
          <t xml:space="preserve">
79 vagt OA</t>
        </r>
      </text>
    </comment>
    <comment ref="AF78" authorId="3" shapeId="0" xr:uid="{7D0375BE-4E3A-4E96-A6AE-70F15D4F64C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Anden tjeneste kl. 11.15 - 16.00. Rådhuset kl. 16.00 dækker hovedporten kl. 17.00 - 19.00</t>
        </r>
      </text>
    </comment>
    <comment ref="H79" authorId="3" shapeId="0" xr:uid="{6602D1A7-0E14-4251-8DC6-FD74BCAB842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Skal beholde fridag</t>
        </r>
      </text>
    </comment>
    <comment ref="L79" authorId="0" shapeId="0" xr:uid="{BC367E3E-E827-4CA7-89B3-077064BBCBE1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Kulturnat
Mødetid kl. 16.00</t>
        </r>
      </text>
    </comment>
    <comment ref="Z79" authorId="4" shapeId="0" xr:uid="{6D84E003-2E93-4DFD-9401-43FFE254617E}">
      <text>
        <r>
          <rPr>
            <b/>
            <sz val="9"/>
            <color indexed="81"/>
            <rFont val="Tahoma"/>
            <family val="2"/>
          </rPr>
          <t>Lars Emil Hartvig Sørensen:</t>
        </r>
        <r>
          <rPr>
            <sz val="9"/>
            <color indexed="81"/>
            <rFont val="Tahoma"/>
            <family val="2"/>
          </rPr>
          <t xml:space="preserve">
Sygemelding
Andreas Hansen 
24-10-2025</t>
        </r>
      </text>
    </comment>
    <comment ref="AC79" authorId="5" shapeId="0" xr:uid="{32D3962F-4DDA-407E-8274-97899BB86421}">
      <text>
        <r>
          <rPr>
            <sz val="9"/>
            <rFont val="Arial"/>
            <family val="2"/>
          </rPr>
          <t>Henrik Wolffbrandt Hansen:
Dækker 7'er vagten
OA: 15:15-16:00
    23:00-23:15</t>
        </r>
      </text>
    </comment>
    <comment ref="L80" authorId="0" shapeId="0" xr:uid="{23020D5F-16F1-4235-B017-3EDBE3BB9AA0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Kulturnat
Mødetid kl. 16.00</t>
        </r>
      </text>
    </comment>
    <comment ref="H81" authorId="0" shapeId="0" xr:uid="{DFD8443C-3BB9-4A7D-84C1-500E5EA4DC69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Opstart</t>
        </r>
      </text>
    </comment>
    <comment ref="AE81" authorId="1" shapeId="0" xr:uid="{C0D0F7E0-82F7-4D0B-8281-B59F2286F8A3}">
      <text>
        <r>
          <rPr>
            <sz val="9"/>
            <rFont val="Arial"/>
            <family val="2"/>
          </rPr>
          <t>Michael Fabæch Knudsen:
LYONGADE 9 - 15</t>
        </r>
      </text>
    </comment>
    <comment ref="AF81" authorId="1" shapeId="0" xr:uid="{03F04438-7CDB-4E92-8583-0E759C714069}">
      <text>
        <r>
          <rPr>
            <sz val="9"/>
            <rFont val="Arial"/>
            <family val="2"/>
          </rPr>
          <t>Michael Fabæch Knudsen:
Lyongade 12 - 18</t>
        </r>
      </text>
    </comment>
    <comment ref="AG81" authorId="1" shapeId="0" xr:uid="{00DBB902-C6C3-4E01-858B-C824D7597A1C}">
      <text>
        <r>
          <rPr>
            <sz val="9"/>
            <rFont val="Arial"/>
            <family val="2"/>
          </rPr>
          <t>Michael Fabæch Knudsen:
Thom tager sjællandsgade fra 20.30 - 08,30</t>
        </r>
      </text>
    </comment>
    <comment ref="H82" authorId="0" shapeId="0" xr:uid="{5BA7E0AE-A308-4389-8A21-9A5636E7D2E1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Opstart</t>
        </r>
      </text>
    </comment>
    <comment ref="U82" authorId="7" shapeId="0" xr:uid="{73869BC7-43E2-4EC0-903C-2D660D4B759B}">
      <text>
        <r>
          <rPr>
            <b/>
            <sz val="9"/>
            <color indexed="81"/>
            <rFont val="Tahoma"/>
            <family val="2"/>
          </rPr>
          <t>Sabina Taj:</t>
        </r>
        <r>
          <rPr>
            <sz val="9"/>
            <color indexed="81"/>
            <rFont val="Tahoma"/>
            <family val="2"/>
          </rPr>
          <t xml:space="preserve">
(raskmeldt pr. 20.10.2025)</t>
        </r>
      </text>
    </comment>
    <comment ref="H89" authorId="3" shapeId="0" xr:uid="{F988BF8A-0160-422E-BAF8-69E9310566C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Skal stå med streg.</t>
        </r>
      </text>
    </comment>
    <comment ref="I89" authorId="2" shapeId="0" xr:uid="{4B1A1B5B-F95E-4271-B589-429AEB6D11F4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Dækker 1-vagt</t>
        </r>
      </text>
    </comment>
    <comment ref="J89" authorId="2" shapeId="0" xr:uid="{1D42F4F3-E0E8-40DB-83B8-F0C919B59C4C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Dækker 1-vagt</t>
        </r>
      </text>
    </comment>
    <comment ref="X89" authorId="0" shapeId="0" xr:uid="{60CD561C-8094-4190-A0A0-CAE544CC2E6E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Rundvisning ZBC kl. 10.00</t>
        </r>
      </text>
    </comment>
    <comment ref="AC89" authorId="3" shapeId="0" xr:uid="{3BA598F0-60FD-467A-A82F-CCDA6D95853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D89" authorId="3" shapeId="0" xr:uid="{B9E8CC04-4EC2-47DE-B0D8-35548E0F61E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E89" authorId="3" shapeId="0" xr:uid="{B6EFBAC9-36AD-41CF-BD91-132E132BFBE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F89" authorId="3" shapeId="0" xr:uid="{6E9BD3EB-F412-4EF5-8CFE-C8478EEEF0D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G89" authorId="3" shapeId="0" xr:uid="{F07668BE-4035-4430-8829-B7C6EC0197C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L90" authorId="0" shapeId="0" xr:uid="{A7DCB135-02DD-4CAF-AA67-3C83F943230E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Kulturnat
Mødetid kl. 16.00</t>
        </r>
      </text>
    </comment>
    <comment ref="L91" authorId="0" shapeId="0" xr:uid="{BAA58C73-B9A0-44F0-835A-8660946DA94F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Kulturnat
Mødetid kl. 16.00</t>
        </r>
      </text>
    </comment>
    <comment ref="V112" authorId="2" shapeId="0" xr:uid="{8D8812E9-E1FB-4691-84A6-0A82F5E8C2F6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Fuglebakken, Birkemosesalen fra kl. 15:30 
- 15:45</t>
        </r>
      </text>
    </comment>
    <comment ref="W112" authorId="2" shapeId="0" xr:uid="{62A1BCD3-0C9C-4BA2-AEA3-FB4ED1D1B398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Fuglebakken, Birkemosesalen fra kl. 15:30 
- 15:45</t>
        </r>
      </text>
    </comment>
    <comment ref="C114" authorId="3" shapeId="0" xr:uid="{66DD1547-BC17-4DC6-BE43-1D343AF0674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26 på oa</t>
        </r>
      </text>
    </comment>
    <comment ref="D114" authorId="3" shapeId="0" xr:uid="{9A021290-97F1-4485-ABF8-977AD74CDA6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26 på oa</t>
        </r>
      </text>
    </comment>
    <comment ref="E114" authorId="3" shapeId="0" xr:uid="{FFE3BB12-94F5-4C84-AA45-C29F1D88D956}">
      <text>
        <r>
          <rPr>
            <sz val="9"/>
            <rFont val="Arial"/>
            <family val="2"/>
          </rPr>
          <t>Steen Hertin-Sandkær:
OA 26 + Gasværksvej fra 14:00</t>
        </r>
      </text>
    </comment>
    <comment ref="I114" authorId="2" shapeId="0" xr:uid="{60CAC38C-1DA2-4F60-B8AB-D24A05D97943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Fuglebakken, Birkemosesalen fra kl. 15:30 
- 15:45</t>
        </r>
      </text>
    </comment>
    <comment ref="K114" authorId="2" shapeId="0" xr:uid="{A345497C-D5CA-4070-91B6-C36D9F07EA5C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Fuglebakken, Birkemosesalen fra kl. 15:30 
- 15:45</t>
        </r>
      </text>
    </comment>
    <comment ref="X125" authorId="6" shapeId="0" xr:uid="{9E861C25-9C5A-4F14-A40C-2650A6885777}">
      <text>
        <r>
          <rPr>
            <b/>
            <sz val="9"/>
            <color indexed="81"/>
            <rFont val="Tahoma"/>
            <family val="2"/>
          </rPr>
          <t>Lasse Aae-Hartwig:</t>
        </r>
        <r>
          <rPr>
            <sz val="9"/>
            <color indexed="81"/>
            <rFont val="Tahoma"/>
            <family val="2"/>
          </rPr>
          <t xml:space="preserve">
Jess mødte ikke op efter aftale med VH</t>
        </r>
      </text>
    </comment>
    <comment ref="O140" authorId="9" shapeId="0" xr:uid="{089992C8-2F11-4A81-98FA-F635E986C7FA}">
      <text>
        <r>
          <rPr>
            <b/>
            <sz val="9"/>
            <color indexed="81"/>
            <rFont val="Tahoma"/>
            <family val="2"/>
          </rPr>
          <t>Frederik Jensen:</t>
        </r>
        <r>
          <rPr>
            <sz val="9"/>
            <color indexed="81"/>
            <rFont val="Tahoma"/>
            <family val="2"/>
          </rPr>
          <t xml:space="preserve">
OA fra 18:15-20:30
På Speditørvej</t>
        </r>
      </text>
    </comment>
    <comment ref="J149" authorId="10" shapeId="0" xr:uid="{014C1C37-32C1-4512-A587-3ABD41285076}">
      <text>
        <r>
          <rPr>
            <b/>
            <sz val="9"/>
            <color indexed="81"/>
            <rFont val="Tahoma"/>
            <family val="2"/>
          </rPr>
          <t>Nick Dahl-Lorentzen:</t>
        </r>
        <r>
          <rPr>
            <sz val="9"/>
            <color indexed="81"/>
            <rFont val="Tahoma"/>
            <family val="2"/>
          </rPr>
          <t xml:space="preserve">
OA RF3</t>
        </r>
      </text>
    </comment>
    <comment ref="K149" authorId="10" shapeId="0" xr:uid="{A3E0C595-6DAE-47FD-88F1-0BCA32DA139B}">
      <text>
        <r>
          <rPr>
            <b/>
            <sz val="9"/>
            <color indexed="81"/>
            <rFont val="Tahoma"/>
            <family val="2"/>
          </rPr>
          <t>Nick Dahl-Lorentzen:</t>
        </r>
        <r>
          <rPr>
            <sz val="9"/>
            <color indexed="81"/>
            <rFont val="Tahoma"/>
            <family val="2"/>
          </rPr>
          <t xml:space="preserve">
OA RF3</t>
        </r>
      </text>
    </comment>
    <comment ref="L149" authorId="10" shapeId="0" xr:uid="{A5AEEE52-B6AC-4F23-AB8D-8ECF1CAEF29C}">
      <text>
        <r>
          <rPr>
            <sz val="9"/>
            <rFont val="Arial"/>
            <family val="2"/>
          </rPr>
          <t>Nick Dahl-Lorentzen:
OA RF4</t>
        </r>
      </text>
    </comment>
    <comment ref="M149" authorId="3" shapeId="0" xr:uid="{A1BA3098-1CEF-4B19-B170-480164BBBFC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RF4 OA</t>
        </r>
      </text>
    </comment>
    <comment ref="AA149" authorId="8" shapeId="0" xr:uid="{F27D91C1-F2FA-4C56-955A-78C7555DF0AE}">
      <text>
        <r>
          <rPr>
            <sz val="9"/>
            <rFont val="Arial"/>
            <family val="2"/>
          </rPr>
          <t>Alexander Henriksen:
RF 4 - 02:30-14:30 
På OA.</t>
        </r>
      </text>
    </comment>
    <comment ref="P165" authorId="5" shapeId="0" xr:uid="{07DDF323-501A-460C-988B-C0E2EBABBC66}">
      <text>
        <r>
          <rPr>
            <sz val="9"/>
            <rFont val="Arial"/>
            <family val="2"/>
          </rPr>
          <t>Henrik Wolffbrandt Hansen:
Afspadsering fra 12:30</t>
        </r>
      </text>
    </comment>
    <comment ref="L178" authorId="3" shapeId="0" xr:uid="{F9E09991-C8F3-4AEB-A4EC-01B68913715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L179" authorId="3" shapeId="0" xr:uid="{F9C728C8-4594-44A6-A450-8F29E4A4206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L180" authorId="3" shapeId="0" xr:uid="{9E394E91-A73A-40D4-80C5-91192D705D1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L181" authorId="3" shapeId="0" xr:uid="{52B679C2-495F-4548-946A-DAC19123FBC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W181" authorId="3" shapeId="0" xr:uid="{F3C73BA6-B9E6-4716-B03E-5376CEF39C7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AA195" authorId="3" shapeId="0" xr:uid="{B1AE41C9-6C57-4552-B0AB-8797F82EFC0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kl.24</t>
        </r>
      </text>
    </comment>
    <comment ref="C197" authorId="5" shapeId="0" xr:uid="{B1B8047F-C67D-4C7A-A269-6FD3EB3E1DCC}">
      <text>
        <r>
          <rPr>
            <sz val="9"/>
            <rFont val="Arial"/>
            <family val="2"/>
          </rPr>
          <t>Henrik Wolffbrandt Hansen:
OA Gasværksvej skole 07:30- 09:30</t>
        </r>
      </text>
    </comment>
    <comment ref="D197" authorId="5" shapeId="0" xr:uid="{871160F5-BE95-4E75-A82C-64E8C852A535}">
      <text>
        <r>
          <rPr>
            <sz val="9"/>
            <rFont val="Arial"/>
            <family val="2"/>
          </rPr>
          <t>Henrik Wolffbrandt Hansen:
OA Gasværksvej skole 07:30- 09:30</t>
        </r>
      </text>
    </comment>
    <comment ref="E197" authorId="5" shapeId="0" xr:uid="{F08FE561-F21E-41EE-85D5-B4BF360C30B1}">
      <text>
        <r>
          <rPr>
            <sz val="9"/>
            <rFont val="Arial"/>
            <family val="2"/>
          </rPr>
          <t>Henrik Wolffbrandt Hansen:
OA Gasværksvej skole 07:30- 09:30</t>
        </r>
      </text>
    </comment>
    <comment ref="H197" authorId="5" shapeId="0" xr:uid="{A2737142-AB73-4064-B85F-32457B4465A7}">
      <text>
        <r>
          <rPr>
            <sz val="9"/>
            <rFont val="Arial"/>
            <family val="2"/>
          </rPr>
          <t>Henrik Wolffbrandt Hansen:
OA Gasværksvej skole
07:30 - 09:30</t>
        </r>
      </text>
    </comment>
    <comment ref="I197" authorId="5" shapeId="0" xr:uid="{FC637D72-04EC-4875-B304-CCB8019B6090}">
      <text>
        <r>
          <rPr>
            <sz val="9"/>
            <rFont val="Arial"/>
            <family val="2"/>
          </rPr>
          <t>Henrik Wolffbrandt Hansen:
OA Gasværksvej skole
07:30 - 09:30
OA Gasværksvej skole
14:30 - 17:30</t>
        </r>
      </text>
    </comment>
    <comment ref="J197" authorId="5" shapeId="0" xr:uid="{8EE58517-2093-4EFC-A72F-CBC5E4EB20D3}">
      <text>
        <r>
          <rPr>
            <sz val="9"/>
            <rFont val="Arial"/>
            <family val="2"/>
          </rPr>
          <t>Henrik Wolffbrandt Hansen:
OA Gasværksvej skole
07:30 - 09:30
OA Gasværksvej skole
14:30 - 17:30</t>
        </r>
      </text>
    </comment>
    <comment ref="K197" authorId="5" shapeId="0" xr:uid="{B8DE3AED-45FE-4A90-9BB3-1E29A821CF37}">
      <text>
        <r>
          <rPr>
            <sz val="9"/>
            <rFont val="Arial"/>
            <family val="2"/>
          </rPr>
          <t>Henrik Wolffbrandt Hansen:
OA Gasværksvej skole
07:30 - 09:30
OA Gasværksvej skole
14:30 - 17:30</t>
        </r>
      </text>
    </comment>
    <comment ref="L197" authorId="5" shapeId="0" xr:uid="{90AABCE4-5F94-4066-B31A-045CDBC232E0}">
      <text>
        <r>
          <rPr>
            <sz val="9"/>
            <rFont val="Arial"/>
            <family val="2"/>
          </rPr>
          <t>Henrik Wolffbrandt Hansen:
OA Gasværksvej skole
07:30 - 09:30
OA Gasværksvej skole
14:30 - 17:30</t>
        </r>
      </text>
    </comment>
    <comment ref="O197" authorId="5" shapeId="0" xr:uid="{6D6C9CA7-EFD0-4CE6-8033-49BE6F3AB097}">
      <text>
        <r>
          <rPr>
            <sz val="9"/>
            <rFont val="Arial"/>
            <family val="2"/>
          </rPr>
          <t>Henrik Wolffbrandt Hansen:
OA fra 21:00 til 23:00 i kødbyen</t>
        </r>
      </text>
    </comment>
    <comment ref="P197" authorId="5" shapeId="0" xr:uid="{A2BEFEA1-87C3-42D1-8527-7752A650D446}">
      <text>
        <r>
          <rPr>
            <sz val="9"/>
            <rFont val="Arial"/>
            <family val="2"/>
          </rPr>
          <t>Henrik Wolffbrandt Hansen:
OA fra 21:00 til 23:00 i kødbyen</t>
        </r>
      </text>
    </comment>
    <comment ref="Q197" authorId="5" shapeId="0" xr:uid="{66773CD4-BF06-46DD-B364-9CC17D965658}">
      <text>
        <r>
          <rPr>
            <sz val="9"/>
            <rFont val="Arial"/>
            <family val="2"/>
          </rPr>
          <t>Henrik Wolffbrandt Hansen:
OA fra 21:00 til 23:00 i kødbyen</t>
        </r>
      </text>
    </comment>
    <comment ref="V197" authorId="5" shapeId="0" xr:uid="{02287288-A977-4628-A5E7-C5C7CAD36EF6}">
      <text>
        <r>
          <rPr>
            <sz val="9"/>
            <rFont val="Arial"/>
            <family val="2"/>
          </rPr>
          <t xml:space="preserve">Henrik Wolffbrandt Hansen:
OA Gasværksvej skole
07:30 - 09:30
</t>
        </r>
      </text>
    </comment>
    <comment ref="W197" authorId="5" shapeId="0" xr:uid="{E9EEF677-1051-4BCE-9703-09679F6B2178}">
      <text>
        <r>
          <rPr>
            <sz val="9"/>
            <rFont val="Arial"/>
            <family val="2"/>
          </rPr>
          <t>Henrik Wolffbrandt Hansen:
OA Gasværksvej skole
07:30 - 09:30
OA Gasværksvej skole
14:30 - 17:30</t>
        </r>
      </text>
    </comment>
    <comment ref="X197" authorId="5" shapeId="0" xr:uid="{FB0119AA-642F-412E-A0A6-94E6FF104AA1}">
      <text>
        <r>
          <rPr>
            <sz val="9"/>
            <rFont val="Arial"/>
            <family val="2"/>
          </rPr>
          <t>Henrik Wolffbrandt Hansen:
OA Gasværksvej skole
07:30 - 09:30
OA Gasværksvej skole
14:30 - 17:30</t>
        </r>
      </text>
    </comment>
    <comment ref="Y197" authorId="5" shapeId="0" xr:uid="{5A7D643F-0F37-4495-8B46-A5D5D0483B41}">
      <text>
        <r>
          <rPr>
            <sz val="9"/>
            <rFont val="Arial"/>
            <family val="2"/>
          </rPr>
          <t>Henrik Wolffbrandt Hansen:
OA Gasværksvej skole
07:30 - 09:30
OA Gasværksvej skole
14:30 - 17:30</t>
        </r>
      </text>
    </comment>
    <comment ref="Z197" authorId="5" shapeId="0" xr:uid="{C6973460-17A7-44B3-A23E-DABD75841916}">
      <text>
        <r>
          <rPr>
            <sz val="9"/>
            <rFont val="Arial"/>
            <family val="2"/>
          </rPr>
          <t>Henrik Wolffbrandt Hansen:
OA Gasværksvej skole
07:30 - 09:30
OA Gasværksvej skole
14:30 - 17:30</t>
        </r>
      </text>
    </comment>
    <comment ref="AC197" authorId="5" shapeId="0" xr:uid="{35D61BC7-8CE4-400A-AAC3-26664F21E3B9}">
      <text>
        <r>
          <rPr>
            <sz val="9"/>
            <rFont val="Arial"/>
            <family val="2"/>
          </rPr>
          <t>Henrik Wolffbrandt Hansen:
OA Gasværksvej skole
07:30 - 09:30
OA Gasværksvej skole
14:30 - 17:30</t>
        </r>
      </text>
    </comment>
    <comment ref="AD197" authorId="5" shapeId="0" xr:uid="{93C2AEA3-5B30-4006-9852-30161F6238E4}">
      <text>
        <r>
          <rPr>
            <sz val="9"/>
            <rFont val="Arial"/>
            <family val="2"/>
          </rPr>
          <t>Henrik Wolffbrandt Hansen:
OA Gasværksvej skole
07:30 - 09:30</t>
        </r>
      </text>
    </comment>
    <comment ref="AE197" authorId="5" shapeId="0" xr:uid="{29825939-6AB3-41E1-9A8E-BCE8A662C538}">
      <text>
        <r>
          <rPr>
            <sz val="9"/>
            <rFont val="Arial"/>
            <family val="2"/>
          </rPr>
          <t>Henrik Wolffbrandt Hansen:
OA Gasværksvej skole
07:30 - 09:30</t>
        </r>
      </text>
    </comment>
    <comment ref="AF197" authorId="5" shapeId="0" xr:uid="{D5A14525-E946-4371-A2AF-B7790455DA07}">
      <text>
        <r>
          <rPr>
            <sz val="9"/>
            <rFont val="Arial"/>
            <family val="2"/>
          </rPr>
          <t>Henrik Wolffbrandt Hansen:
OA Gasværksvej skole
07:30 - 09:30</t>
        </r>
      </text>
    </comment>
    <comment ref="AG197" authorId="5" shapeId="0" xr:uid="{3DF12F77-EDBC-40B9-8A42-80B0FE0C7950}">
      <text>
        <r>
          <rPr>
            <sz val="9"/>
            <rFont val="Arial"/>
            <family val="2"/>
          </rPr>
          <t>Henrik Wolffbrandt Hansen:
OA Gasværksvej skole
07:30 - 09:30</t>
        </r>
      </text>
    </comment>
    <comment ref="I198" authorId="10" shapeId="0" xr:uid="{F257962A-BBE4-4936-AB77-7B2221C85CA7}">
      <text>
        <r>
          <rPr>
            <b/>
            <sz val="9"/>
            <color indexed="81"/>
            <rFont val="Tahoma"/>
            <family val="2"/>
          </rPr>
          <t>Nick Dahl-Lorentzen:</t>
        </r>
        <r>
          <rPr>
            <sz val="9"/>
            <color indexed="81"/>
            <rFont val="Tahoma"/>
            <family val="2"/>
          </rPr>
          <t xml:space="preserve">
RF3 OA</t>
        </r>
      </text>
    </comment>
    <comment ref="J198" authorId="10" shapeId="0" xr:uid="{7CD5B36C-5E81-49E9-AA7B-7F729A56A583}">
      <text>
        <r>
          <rPr>
            <b/>
            <sz val="9"/>
            <color indexed="81"/>
            <rFont val="Tahoma"/>
            <family val="2"/>
          </rPr>
          <t>Nick Dahl-Lorentzen:</t>
        </r>
        <r>
          <rPr>
            <sz val="9"/>
            <color indexed="81"/>
            <rFont val="Tahoma"/>
            <family val="2"/>
          </rPr>
          <t xml:space="preserve">
RF3 OA</t>
        </r>
      </text>
    </comment>
    <comment ref="M198" authorId="6" shapeId="0" xr:uid="{3DF558EE-99A4-446A-A277-939A1D0B27BB}">
      <text>
        <r>
          <rPr>
            <b/>
            <sz val="9"/>
            <color indexed="81"/>
            <rFont val="Tahoma"/>
            <family val="2"/>
          </rPr>
          <t>Lasse Aae-Hartwig:</t>
        </r>
        <r>
          <rPr>
            <sz val="9"/>
            <color indexed="81"/>
            <rFont val="Tahoma"/>
            <family val="2"/>
          </rPr>
          <t xml:space="preserve">
RF2 OA </t>
        </r>
      </text>
    </comment>
    <comment ref="N198" authorId="3" shapeId="0" xr:uid="{C98D8DFF-DCC0-4840-AD74-42810175B53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RF1 + RF3</t>
        </r>
      </text>
    </comment>
    <comment ref="AA198" authorId="5" shapeId="0" xr:uid="{54157792-10BD-44AF-8FA8-3036C08D64F8}">
      <text>
        <r>
          <rPr>
            <sz val="9"/>
            <rFont val="Arial"/>
            <family val="2"/>
          </rPr>
          <t>Henrik Wolffbrandt Hansen:
OA RF2</t>
        </r>
      </text>
    </comment>
    <comment ref="AB198" authorId="5" shapeId="0" xr:uid="{2940D2C0-2416-4CFA-8751-68AD8E46D8F0}">
      <text>
        <r>
          <rPr>
            <sz val="9"/>
            <rFont val="Arial"/>
            <family val="2"/>
          </rPr>
          <t>Henrik Wolffbrandt Hansen:
OA RF1 + RF3</t>
        </r>
      </text>
    </comment>
    <comment ref="AD198" authorId="5" shapeId="0" xr:uid="{FB1C47EF-D7E7-4977-B50A-3E83E533EBD4}">
      <text>
        <r>
          <rPr>
            <sz val="9"/>
            <rFont val="Arial"/>
            <family val="2"/>
          </rPr>
          <t>Henrik Wolffbrandt Hansen:
OA Gasværksvej skole 
14:30 - 17:30
Afspadserer fra 06:00 - 07:00</t>
        </r>
      </text>
    </comment>
    <comment ref="AE198" authorId="5" shapeId="0" xr:uid="{9FCFC2AD-BCA2-4CBA-8596-316830F7B759}">
      <text>
        <r>
          <rPr>
            <sz val="9"/>
            <rFont val="Arial"/>
            <family val="2"/>
          </rPr>
          <t>Henrik Wolffbrandt Hansen:
OA Gasværksvej skole 
14:30 - 17:30
Afspadserer fra 06:00 - 07:00</t>
        </r>
      </text>
    </comment>
    <comment ref="AF198" authorId="5" shapeId="0" xr:uid="{1C21C511-647C-4DE8-B134-71B9D7A2F88A}">
      <text>
        <r>
          <rPr>
            <sz val="9"/>
            <rFont val="Arial"/>
            <family val="2"/>
          </rPr>
          <t>Henrik Wolffbrandt Hansen:
OA Gasværksvej skole 
14:30 - 17:30
OA kl 21:00 - 23:00 da Jonas er på Sjællandsgade
Afspadserer fra 06:00 - 07:00</t>
        </r>
      </text>
    </comment>
    <comment ref="AG198" authorId="5" shapeId="0" xr:uid="{E117492C-CC9D-443F-B4FA-2EF935C9194A}">
      <text>
        <r>
          <rPr>
            <sz val="9"/>
            <rFont val="Arial"/>
            <family val="2"/>
          </rPr>
          <t>Henrik Wolffbrandt Hansen:
OA Gasværksvej skole 
14:30 - 19:00
Afspadserer fra 06:00 - 07:00</t>
        </r>
      </text>
    </comment>
    <comment ref="T199" authorId="1" shapeId="0" xr:uid="{7FE1C337-1B34-4D56-870C-AEDF967464FF}">
      <text>
        <r>
          <rPr>
            <sz val="9"/>
            <rFont val="Arial"/>
            <family val="2"/>
          </rPr>
          <t>Michael Fabæch Knudsen:
Jonas dækker B1 
OA 20-22</t>
        </r>
      </text>
    </comment>
    <comment ref="U199" authorId="1" shapeId="0" xr:uid="{202A11C2-CC37-4362-BBEE-08DFDE4A62A2}">
      <text>
        <r>
          <rPr>
            <sz val="9"/>
            <rFont val="Arial"/>
            <family val="2"/>
          </rPr>
          <t>Michael Fabæch Knudsen:
Jonas flyttet fra Kødbyen, dækker B1 
OA 19 - 22</t>
        </r>
      </text>
    </comment>
    <comment ref="AF199" authorId="1" shapeId="0" xr:uid="{8F7BC520-B607-409E-96D5-76FA0249D592}">
      <text>
        <r>
          <rPr>
            <sz val="9"/>
            <rFont val="Arial"/>
            <family val="2"/>
          </rPr>
          <t>Michael Fabæch Knudsen:
grundet sygdom på Sjællandsgade så tager Jonas
vagten, og det er ok med Per i kødbyen
OA 20:30 - 21:00
OA 07:00 - 08:30</t>
        </r>
      </text>
    </comment>
    <comment ref="L243" authorId="0" shapeId="0" xr:uid="{56C09773-275B-4D16-9FE2-1D999D0925AA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Kulturnat
Mødetid kl. 16.00</t>
        </r>
      </text>
    </comment>
    <comment ref="O243" authorId="2" shapeId="0" xr:uid="{1C8ECB37-92F3-465E-92D1-E95ECA2F8A40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OA fra kl 07:15 - 08:15
vaccine-vagt i Griffen</t>
        </r>
      </text>
    </comment>
    <comment ref="D250" authorId="2" shapeId="0" xr:uid="{1A68A2F2-649F-4A02-9DB0-22CAE427C2EF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Skal afløses da Michael har fri</t>
        </r>
      </text>
    </comment>
    <comment ref="J250" authorId="0" shapeId="0" xr:uid="{ECC22E17-BB09-42B6-B824-888F6784BE4B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Skal afløses</t>
        </r>
      </text>
    </comment>
    <comment ref="AE250" authorId="5" shapeId="0" xr:uid="{54E3748C-D337-4091-909C-B90CB3D88CCC}">
      <text>
        <r>
          <rPr>
            <sz val="9"/>
            <rFont val="Arial"/>
            <family val="2"/>
          </rPr>
          <t>Henrik Wolffbrandt Hansen:
Skal afløses</t>
        </r>
      </text>
    </comment>
    <comment ref="L296" authorId="0" shapeId="0" xr:uid="{D197225C-F8BF-4013-A3EB-4B5032404DDA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Steen Hertin-Sandkær</author>
    <author>Henriette Dedichen</author>
    <author>Sabina Taj</author>
    <author>Lars Emil Hartvig Sørensen</author>
    <author>Henrik Wolffbrandt Hansen</author>
    <author>Thomas Holm</author>
    <author>Michael Fabæch Knudsen</author>
    <author>Lasse Aae-Hartwig</author>
    <author>Nick Dahl-Lorentzen</author>
    <author>Frederik Jensen</author>
    <author>Rasmus Sørensen</author>
    <author>Gunner Lindskov Grell</author>
    <author>Alexander Henriksen</author>
    <author>Vanesa Alemany</author>
    <author>Nick Lorentzen</author>
  </authors>
  <commentList>
    <comment ref="K19" authorId="0" shapeId="0" xr:uid="{82E24FFE-0FB8-423D-833F-8146526B61B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Fri pga. kursus mandag</t>
        </r>
      </text>
    </comment>
    <comment ref="AD20" authorId="1" shapeId="0" xr:uid="{D8BED6BB-93F2-43D0-8C37-1B01FB7AD70E}">
      <text>
        <r>
          <rPr>
            <b/>
            <sz val="9"/>
            <color indexed="81"/>
            <rFont val="Tahoma"/>
            <family val="2"/>
          </rPr>
          <t>Henriette Dedichen:</t>
        </r>
        <r>
          <rPr>
            <sz val="9"/>
            <color indexed="81"/>
            <rFont val="Tahoma"/>
            <family val="2"/>
          </rPr>
          <t xml:space="preserve">
Omsorgsdag</t>
        </r>
      </text>
    </comment>
    <comment ref="Q21" authorId="2" shapeId="0" xr:uid="{EB2D59D6-ED0C-4EBC-A412-A1BE5D7F380A}">
      <text>
        <r>
          <rPr>
            <b/>
            <sz val="9"/>
            <color indexed="81"/>
            <rFont val="Tahoma"/>
            <family val="2"/>
          </rPr>
          <t>Sabina Taj:</t>
        </r>
        <r>
          <rPr>
            <sz val="9"/>
            <color indexed="81"/>
            <rFont val="Tahoma"/>
            <family val="2"/>
          </rPr>
          <t xml:space="preserve">
OA A-vagt</t>
        </r>
      </text>
    </comment>
    <comment ref="R22" authorId="2" shapeId="0" xr:uid="{AFDF255C-B53C-4970-91F0-39F9A6AE7C7E}">
      <text>
        <r>
          <rPr>
            <b/>
            <sz val="9"/>
            <color indexed="81"/>
            <rFont val="Tahoma"/>
            <family val="2"/>
          </rPr>
          <t>Sabina Taj:</t>
        </r>
        <r>
          <rPr>
            <sz val="9"/>
            <color indexed="81"/>
            <rFont val="Tahoma"/>
            <family val="2"/>
          </rPr>
          <t xml:space="preserve">
OA A-vagt</t>
        </r>
      </text>
    </comment>
    <comment ref="T23" authorId="0" shapeId="0" xr:uid="{FBFDF1B4-BA96-4FA2-AD8B-BC2DC0CA24B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Afløsninger + bagport kl. 20.00</t>
        </r>
      </text>
    </comment>
    <comment ref="J25" authorId="0" shapeId="0" xr:uid="{9969FEAE-F551-4172-8016-149624AEE6B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A-vagt på oa.</t>
        </r>
      </text>
    </comment>
    <comment ref="L25" authorId="0" shapeId="0" xr:uid="{8322766D-4F3B-4977-B898-37CE9EBDCA2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Vagthavende 06.00 - 22.30 Normal vagt 08.00 - 15.24</t>
        </r>
      </text>
    </comment>
    <comment ref="T25" authorId="0" shapeId="0" xr:uid="{73E5F294-3ACF-47FB-95C4-60A92D15808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05.00 på Rådhuset tjek tvo på valgsteder. </t>
        </r>
      </text>
    </comment>
    <comment ref="N26" authorId="3" shapeId="0" xr:uid="{740B1201-221A-495B-A3FE-E9B9824C56A7}">
      <text>
        <r>
          <rPr>
            <b/>
            <sz val="9"/>
            <color indexed="81"/>
            <rFont val="Tahoma"/>
            <family val="2"/>
          </rPr>
          <t xml:space="preserve">Lars Emil Hartvig Sørensen:
VAGT-ROKADE
D.12-11-2025
Lars Emil Hartvig Sørensen
"Planafvigelse: 23-Vagten"
"Tilgår: V4-Vagten"Vagthavende"
 22:30-06:45 </t>
        </r>
      </text>
    </comment>
    <comment ref="O26" authorId="3" shapeId="0" xr:uid="{790BDFCD-E625-4523-A461-4EDB3CA3BB9F}">
      <text>
        <r>
          <rPr>
            <b/>
            <sz val="9"/>
            <color indexed="81"/>
            <rFont val="Tahoma"/>
            <family val="2"/>
          </rPr>
          <t>Lars Emil Hartvig Sørensen:</t>
        </r>
        <r>
          <rPr>
            <sz val="9"/>
            <color indexed="81"/>
            <rFont val="Tahoma"/>
            <family val="2"/>
          </rPr>
          <t xml:space="preserve">
VAGT-ROKADE
D.13-11-2025
Lars Emil Hartvig Sørensen
"Planafvigelse: 23-Vagten"
"Tilgår: V4-Vagten"Vagthavende"
 22:30-06:45 </t>
        </r>
      </text>
    </comment>
    <comment ref="P26" authorId="3" shapeId="0" xr:uid="{F9548BA8-F297-4643-AC7B-37FEA03AE852}">
      <text>
        <r>
          <rPr>
            <b/>
            <sz val="9"/>
            <color indexed="81"/>
            <rFont val="Tahoma"/>
            <family val="2"/>
          </rPr>
          <t>Lars Emil Hartvig Sørensen:</t>
        </r>
        <r>
          <rPr>
            <sz val="9"/>
            <color indexed="81"/>
            <rFont val="Tahoma"/>
            <family val="2"/>
          </rPr>
          <t xml:space="preserve">
VAGT-ROKADE
D.14-11-2025
Lars Emil Hartvig Sørensen
"Planafvigelse: 23-Vagten"
"Tilgår: V4-Vagten"Vagthavende"
 22:30-06:45 </t>
        </r>
      </text>
    </comment>
    <comment ref="T26" authorId="3" shapeId="0" xr:uid="{7B1B700B-D1B9-4112-A20C-2FB159ACA1EB}">
      <text>
        <r>
          <rPr>
            <sz val="9"/>
            <rFont val="Arial"/>
            <family val="2"/>
          </rPr>
          <t xml:space="preserve">Lars Emil Hartvig Sørensen:
"Planafvigelse" OA.
Kommunal- og Regionalvalget 2025
Fintælling
Valbyhallen
"Mødetid Kl.19:00"
</t>
        </r>
      </text>
    </comment>
    <comment ref="U26" authorId="3" shapeId="0" xr:uid="{DEBC4B6B-435F-470E-8745-72E58BE9438D}">
      <text>
        <r>
          <rPr>
            <sz val="9"/>
            <rFont val="Arial"/>
            <family val="2"/>
          </rPr>
          <t xml:space="preserve">Lars Emil Hartvig Sørensen:
"Planafvigelse" OA.
Kommunal- og Regionalvalget 2025
Fintælling
Valbyhallen
"Tilstedeværende hele døgnet" </t>
        </r>
      </text>
    </comment>
    <comment ref="V26" authorId="3" shapeId="0" xr:uid="{7808C340-7276-4B56-BDC0-0533BD8AB63A}">
      <text>
        <r>
          <rPr>
            <sz val="9"/>
            <rFont val="Arial"/>
            <family val="2"/>
          </rPr>
          <t xml:space="preserve">Lars Emil Hartvig Sørensen:
"Planafvigelse" OA.
Kommunal- og Regionalvalget 2025
Fintælling
Valbyhallen
"Afsluttet Kl.02:30" </t>
        </r>
      </text>
    </comment>
    <comment ref="AE26" authorId="4" shapeId="0" xr:uid="{A8821E41-4AF1-44C1-9A98-72BDF553E736}">
      <text>
        <r>
          <rPr>
            <sz val="9"/>
            <rFont val="Arial"/>
            <family val="2"/>
          </rPr>
          <t>Henrik Wolffbrandt Hansen:
OA 18:45 - 19:45</t>
        </r>
      </text>
    </comment>
    <comment ref="O27" authorId="0" shapeId="0" xr:uid="{E308E524-EF45-4039-B965-8DA9F9EDCFF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Gasværksvej 14.30 - 17.30</t>
        </r>
      </text>
    </comment>
    <comment ref="U27" authorId="5" shapeId="0" xr:uid="{53C8C7C9-3250-43A0-A0FB-47B4EA87FE21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Fintælling</t>
        </r>
      </text>
    </comment>
    <comment ref="J28" authorId="0" shapeId="0" xr:uid="{0FA6E87E-CB89-48BA-B73A-E3C61B678BA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Dækker 10-vagt</t>
        </r>
      </text>
    </comment>
    <comment ref="R28" authorId="5" shapeId="0" xr:uid="{B0FCADCF-07AB-471F-BA13-08E77545A70C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Vagt i Valbyhallen
20.00-08.00</t>
        </r>
      </text>
    </comment>
    <comment ref="S28" authorId="5" shapeId="0" xr:uid="{FAA7585F-7A13-434C-BD36-1BFCBE84E3E7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Vagt Valbyhallen 
18.00-05.00</t>
        </r>
      </text>
    </comment>
    <comment ref="T28" authorId="5" shapeId="0" xr:uid="{9152874E-CB83-4869-BC38-BA327637B311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Valg 20.00-</t>
        </r>
      </text>
    </comment>
    <comment ref="U28" authorId="5" shapeId="0" xr:uid="{4594F913-BDCA-4059-A9ED-C43741DC0E39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Valg</t>
        </r>
      </text>
    </comment>
    <comment ref="E29" authorId="0" shapeId="0" xr:uid="{923173AF-E27A-4C9F-B10A-791B1E6D341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FOA kl. 13.00</t>
        </r>
      </text>
    </comment>
    <comment ref="F29" authorId="0" shapeId="0" xr:uid="{C7B7B9D5-117E-487D-9F01-A0976AEABA2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G29" authorId="0" shapeId="0" xr:uid="{3BE26401-88F7-4A0D-88AF-FF408FE4A44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L29" authorId="0" shapeId="0" xr:uid="{AAC7C717-B95B-4A19-A728-3DA7595FFF8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Gasværksvej 14.30 - 17.30</t>
        </r>
      </text>
    </comment>
    <comment ref="M29" authorId="4" shapeId="0" xr:uid="{993B7FD7-ED37-4C07-8707-B0A3E21EFCC8}">
      <text>
        <r>
          <rPr>
            <sz val="9"/>
            <rFont val="Arial"/>
            <family val="2"/>
          </rPr>
          <t>Henrik Wolffbrandt Hansen:
FOA 09.00 - 10.00 og 13.00 - 14.50</t>
        </r>
      </text>
    </comment>
    <comment ref="U29" authorId="0" shapeId="0" xr:uid="{81D753E4-C8AC-4C02-A5D2-7A0F4DA5346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Fuglebakke 09.00 - 10.30 + G-vagt kl. 12.00 - 15.40</t>
        </r>
      </text>
    </comment>
    <comment ref="V29" authorId="0" shapeId="0" xr:uid="{7792C832-F83B-49D7-97CA-D22FDDDAC90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Fuglebakke 09.00 - 11.00 Dækker O-vagt kl. 12.00 - 18.00 OA fra kl. 16.00</t>
        </r>
      </text>
    </comment>
    <comment ref="Z29" authorId="0" shapeId="0" xr:uid="{F15B839A-14C7-4674-BD42-6B9E7B1F6A8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Foa 09.00 - 10.00</t>
        </r>
      </text>
    </comment>
    <comment ref="AA29" authorId="4" shapeId="0" xr:uid="{4C038574-5448-4B70-8459-F652CC420B59}">
      <text>
        <r>
          <rPr>
            <sz val="9"/>
            <rFont val="Arial"/>
            <family val="2"/>
          </rPr>
          <t>Henrik Wolffbrandt Hansen:
FOA</t>
        </r>
      </text>
    </comment>
    <comment ref="AC29" authorId="6" shapeId="0" xr:uid="{6D7FFE87-773E-4CC1-AC37-AF7F7C5426B1}">
      <text>
        <r>
          <rPr>
            <sz val="9"/>
            <rFont val="Arial"/>
            <family val="2"/>
          </rPr>
          <t>Michael Fabæch Knudsen:
Stig hjælper i posten</t>
        </r>
      </text>
    </comment>
    <comment ref="AD29" authorId="0" shapeId="0" xr:uid="{43961BE8-C9BB-406B-B10F-4F89F66096E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T30" authorId="5" shapeId="0" xr:uid="{AED8FBAE-AD24-4DAE-A5AD-549D4096914E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Valg</t>
        </r>
      </text>
    </comment>
    <comment ref="U30" authorId="5" shapeId="0" xr:uid="{79D1787F-A14B-4AE7-864B-ECE5155225AE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Fintælling</t>
        </r>
      </text>
    </comment>
    <comment ref="V30" authorId="7" shapeId="0" xr:uid="{8A713053-405D-405D-BBDA-2BB87D3B71C5}">
      <text>
        <r>
          <rPr>
            <b/>
            <sz val="9"/>
            <color indexed="81"/>
            <rFont val="Tahoma"/>
            <family val="2"/>
          </rPr>
          <t>Lasse Aae-Hartwig:</t>
        </r>
        <r>
          <rPr>
            <sz val="9"/>
            <color indexed="81"/>
            <rFont val="Tahoma"/>
            <family val="2"/>
          </rPr>
          <t xml:space="preserve">
Afspadsering fra 12.15</t>
        </r>
      </text>
    </comment>
    <comment ref="W30" authorId="2" shapeId="0" xr:uid="{A866E34F-CD94-4121-B718-FC1098F72728}">
      <text>
        <r>
          <rPr>
            <b/>
            <sz val="9"/>
            <color indexed="81"/>
            <rFont val="Tahoma"/>
            <family val="2"/>
          </rPr>
          <t>Sabina Taj:</t>
        </r>
        <r>
          <rPr>
            <sz val="9"/>
            <color indexed="81"/>
            <rFont val="Tahoma"/>
            <family val="2"/>
          </rPr>
          <t xml:space="preserve">
OA (posten) kl. 12-13:30 </t>
        </r>
      </text>
    </comment>
    <comment ref="Z30" authorId="6" shapeId="0" xr:uid="{60A63654-8265-4A48-9D45-4141E2EA2A40}">
      <text>
        <r>
          <rPr>
            <sz val="9"/>
            <rFont val="Arial"/>
            <family val="2"/>
          </rPr>
          <t>Michael Fabæch Knudsen:
hjælper til i posten</t>
        </r>
      </text>
    </comment>
    <comment ref="AA30" authorId="6" shapeId="0" xr:uid="{6CE3A2C0-96A2-4BE6-AEC0-B1A13424E569}">
      <text>
        <r>
          <rPr>
            <sz val="9"/>
            <rFont val="Arial"/>
            <family val="2"/>
          </rPr>
          <t>Michael Fabæch Knudsen:
hjælper til i posten</t>
        </r>
      </text>
    </comment>
    <comment ref="AB30" authorId="4" shapeId="0" xr:uid="{D5C96C14-EC2C-496F-800B-CA4D688F16C6}">
      <text>
        <r>
          <rPr>
            <sz val="9"/>
            <rFont val="Arial"/>
            <family val="2"/>
          </rPr>
          <t>Henrik Wolffbrandt Hansen:
Hjælper i posten</t>
        </r>
      </text>
    </comment>
    <comment ref="AD30" authorId="6" shapeId="0" xr:uid="{D56B3148-3ACF-4C64-B8A0-55D4ED80A2BC}">
      <text>
        <r>
          <rPr>
            <sz val="9"/>
            <rFont val="Arial"/>
            <family val="2"/>
          </rPr>
          <t>Michael Fabæch Knudsen:
hjælper til i posten</t>
        </r>
      </text>
    </comment>
    <comment ref="V34" authorId="8" shapeId="0" xr:uid="{6C5C1BB0-B084-4A19-B859-3E2523546780}">
      <text>
        <r>
          <rPr>
            <b/>
            <sz val="9"/>
            <color indexed="81"/>
            <rFont val="Tahoma"/>
            <family val="2"/>
          </rPr>
          <t>Nick Dahl-Lorentzen:</t>
        </r>
        <r>
          <rPr>
            <sz val="9"/>
            <color indexed="81"/>
            <rFont val="Tahoma"/>
            <family val="2"/>
          </rPr>
          <t xml:space="preserve">
Rentemestervej 76, længere på BIBLIOTEKET:
• Torsdag d. 20. nov. til kl. 21.15</t>
        </r>
      </text>
    </comment>
    <comment ref="AB34" authorId="8" shapeId="0" xr:uid="{9C644ECA-F8EE-4755-867D-979CC8AD4E23}">
      <text>
        <r>
          <rPr>
            <b/>
            <sz val="9"/>
            <color indexed="81"/>
            <rFont val="Tahoma"/>
            <family val="2"/>
          </rPr>
          <t>Nick Dahl-Lorentzen:</t>
        </r>
        <r>
          <rPr>
            <sz val="9"/>
            <color indexed="81"/>
            <rFont val="Tahoma"/>
            <family val="2"/>
          </rPr>
          <t xml:space="preserve">
Rentemestervej 76, længere på BIBLIOTEKET:
• Torsdag d. 27. nov. til kl. 22.15</t>
        </r>
      </text>
    </comment>
    <comment ref="AC35" authorId="4" shapeId="0" xr:uid="{24BC564A-E5D4-4736-B3AB-39C3519E0188}">
      <text>
        <r>
          <rPr>
            <sz val="9"/>
            <rFont val="Arial"/>
            <family val="2"/>
          </rPr>
          <t xml:space="preserve">Henrik Wolffbrandt Hansen:
Henrik 08:30-11:30
Thomas Lindeskov 11:30-17:30
27/11 Seminarie 
Reffen dækkes fra 08:30 – 17:30
-Andre lokationer som normalt-
</t>
        </r>
      </text>
    </comment>
    <comment ref="AD35" authorId="4" shapeId="0" xr:uid="{E90397DA-414B-4FF1-8987-F34DF4A52DDF}">
      <text>
        <r>
          <rPr>
            <sz val="9"/>
            <rFont val="Arial"/>
            <family val="2"/>
          </rPr>
          <t xml:space="preserve">Henrik Wolffbrandt Hansen:
&gt;&gt;Henrik Dækker den&lt;&lt;
28/11 Julefrokost
Reffen dækkes fra 12:30 - 17:30
-Andre lokationer som normalt-
</t>
        </r>
      </text>
    </comment>
    <comment ref="T44" authorId="0" shapeId="0" xr:uid="{71B2F340-70CA-491F-8AC6-033ECFC6BDC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Søjlegang fra kl. 20.00</t>
        </r>
      </text>
    </comment>
    <comment ref="AF44" authorId="3" shapeId="0" xr:uid="{1CC081CD-AC5E-46E6-9B02-39A38A1C48B3}">
      <text>
        <r>
          <rPr>
            <b/>
            <sz val="9"/>
            <color indexed="81"/>
            <rFont val="Tahoma"/>
            <family val="2"/>
          </rPr>
          <t xml:space="preserve">Lars Emil Hartvig Sørensen:
</t>
        </r>
        <r>
          <rPr>
            <sz val="9"/>
            <color indexed="81"/>
            <rFont val="Tahoma"/>
            <family val="2"/>
          </rPr>
          <t>Afspadsering 
1. time 
møder kl. 08:00</t>
        </r>
      </text>
    </comment>
    <comment ref="T45" authorId="0" shapeId="0" xr:uid="{7186018C-AD2B-4D20-A1B9-E446FF4DEE0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Søjlegang fra kl. 20.00</t>
        </r>
      </text>
    </comment>
    <comment ref="M46" authorId="8" shapeId="0" xr:uid="{4938228C-25DE-4646-88C3-EEFE88D2C5F3}">
      <text>
        <r>
          <rPr>
            <b/>
            <sz val="9"/>
            <color indexed="81"/>
            <rFont val="Tahoma"/>
            <family val="2"/>
          </rPr>
          <t>Nick Dahl-Lorentzen:</t>
        </r>
        <r>
          <rPr>
            <sz val="9"/>
            <color indexed="81"/>
            <rFont val="Tahoma"/>
            <family val="2"/>
          </rPr>
          <t xml:space="preserve">
Afspadserer fra kl. 12:00</t>
        </r>
      </text>
    </comment>
    <comment ref="P46" authorId="2" shapeId="0" xr:uid="{CD9832E3-15D1-49D7-87D0-A1564A835D0D}">
      <text>
        <r>
          <rPr>
            <b/>
            <sz val="9"/>
            <color indexed="81"/>
            <rFont val="Tahoma"/>
            <family val="2"/>
          </rPr>
          <t>Sabina Taj:</t>
        </r>
        <r>
          <rPr>
            <sz val="9"/>
            <color indexed="81"/>
            <rFont val="Tahoma"/>
            <family val="2"/>
          </rPr>
          <t xml:space="preserve">
ASP fra kl. 11:00</t>
        </r>
      </text>
    </comment>
    <comment ref="T46" authorId="0" shapeId="0" xr:uid="{201E272A-B098-444B-8C39-38F86F16992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2 sal BR kl. 20.00</t>
        </r>
      </text>
    </comment>
    <comment ref="AF46" authorId="3" shapeId="0" xr:uid="{76089743-1789-4C52-BDB8-31F0FF6125D5}">
      <text>
        <r>
          <rPr>
            <b/>
            <sz val="9"/>
            <color indexed="81"/>
            <rFont val="Tahoma"/>
            <family val="2"/>
          </rPr>
          <t>Lars Emil Hartvig Sørensen:</t>
        </r>
        <r>
          <rPr>
            <sz val="9"/>
            <color indexed="81"/>
            <rFont val="Tahoma"/>
            <family val="2"/>
          </rPr>
          <t xml:space="preserve">
Afspadsering 
1. time.
Fra 18:00 - 19:00 </t>
        </r>
      </text>
    </comment>
    <comment ref="F47" authorId="7" shapeId="0" xr:uid="{9C272412-66B6-492E-A14E-8727CBAF8F9A}">
      <text>
        <r>
          <rPr>
            <b/>
            <sz val="9"/>
            <color indexed="81"/>
            <rFont val="Tahoma"/>
            <family val="2"/>
          </rPr>
          <t>Lasse Aae-Hartwig:</t>
        </r>
        <r>
          <rPr>
            <sz val="9"/>
            <color indexed="81"/>
            <rFont val="Tahoma"/>
            <family val="2"/>
          </rPr>
          <t xml:space="preserve">
Afspadsering fra 22.30 - 23.30</t>
        </r>
      </text>
    </comment>
    <comment ref="T48" authorId="0" shapeId="0" xr:uid="{84C57BB6-EFE6-4FE9-8BD0-6C6952C5FF4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1 sal kl. 20.00</t>
        </r>
      </text>
    </comment>
    <comment ref="E49" authorId="6" shapeId="0" xr:uid="{C9586ED5-D53A-4715-84E0-964DCD5F25F8}">
      <text>
        <r>
          <rPr>
            <sz val="9"/>
            <rFont val="Arial"/>
            <family val="2"/>
          </rPr>
          <t>Michael Fabæch Knudsen:
OA 14,30 - 18,30 Gasværk skolen</t>
        </r>
      </text>
    </comment>
    <comment ref="T49" authorId="5" shapeId="0" xr:uid="{D8711B74-7B36-4085-B023-A6DFA1C22545}">
      <text>
        <r>
          <rPr>
            <b/>
            <sz val="9"/>
            <color indexed="81"/>
            <rFont val="Tahoma"/>
            <family val="2"/>
          </rPr>
          <t xml:space="preserve">Thomas Holm:
</t>
        </r>
        <r>
          <rPr>
            <sz val="9"/>
            <color indexed="81"/>
            <rFont val="Tahoma"/>
            <family val="2"/>
          </rPr>
          <t>Fintælling</t>
        </r>
      </text>
    </comment>
    <comment ref="U49" authorId="5" shapeId="0" xr:uid="{61D1C5AF-6138-41EF-A242-FA18B715A0A7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Valg fintælling</t>
        </r>
      </text>
    </comment>
    <comment ref="Z49" authorId="4" shapeId="0" xr:uid="{1E478892-DEAD-4161-9160-33D2313B3A0C}">
      <text>
        <r>
          <rPr>
            <sz val="9"/>
            <rFont val="Arial"/>
            <family val="2"/>
          </rPr>
          <t>Henrik Wolffbrandt Hansen:
Møder 40 min senere</t>
        </r>
      </text>
    </comment>
    <comment ref="AB50" authorId="0" shapeId="0" xr:uid="{49CF519E-BE36-4175-A1D1-0760D38DD66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ikke.</t>
        </r>
      </text>
    </comment>
    <comment ref="T52" authorId="0" shapeId="0" xr:uid="{FC3D2C6F-488B-4956-8629-F396F9BC2FB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Bliver på natten hvis nødvendigt.</t>
        </r>
      </text>
    </comment>
    <comment ref="T53" authorId="8" shapeId="0" xr:uid="{67A4D800-39F6-45C2-8BEA-3CE2AB170D0B}">
      <text>
        <r>
          <rPr>
            <b/>
            <sz val="9"/>
            <color indexed="81"/>
            <rFont val="Tahoma"/>
            <family val="2"/>
          </rPr>
          <t>Nick Dahl-Lorentzen:</t>
        </r>
        <r>
          <rPr>
            <sz val="9"/>
            <color indexed="81"/>
            <rFont val="Tahoma"/>
            <family val="2"/>
          </rPr>
          <t xml:space="preserve">
valg Sundby Idrætspark
kl. 05:00</t>
        </r>
      </text>
    </comment>
    <comment ref="J56" authorId="0" shapeId="0" xr:uid="{1B26B155-0F6B-4EE6-A2BC-EC92C3050B1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S1 på oa.</t>
        </r>
      </text>
    </comment>
    <comment ref="K56" authorId="0" shapeId="0" xr:uid="{3B2BC518-F377-417C-B939-C64B90B5BAF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S1 på oa.</t>
        </r>
      </text>
    </comment>
    <comment ref="T57" authorId="0" shapeId="0" xr:uid="{0A3D3FB6-5414-473B-9544-B850127CEAA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Hovedporten kl. 05.00 - 14.00</t>
        </r>
      </text>
    </comment>
    <comment ref="W57" authorId="7" shapeId="0" xr:uid="{5D7CFACE-26E3-4BC6-BDCE-86F3F26A61A5}">
      <text>
        <r>
          <rPr>
            <b/>
            <sz val="9"/>
            <color indexed="81"/>
            <rFont val="Tahoma"/>
            <family val="2"/>
          </rPr>
          <t>Lasse Aae-Hartwig:</t>
        </r>
        <r>
          <rPr>
            <sz val="9"/>
            <color indexed="81"/>
            <rFont val="Tahoma"/>
            <family val="2"/>
          </rPr>
          <t xml:space="preserve">
OA fra 14 - 14.30</t>
        </r>
      </text>
    </comment>
    <comment ref="K63" authorId="0" shapeId="0" xr:uid="{2EE0E67D-D5C9-40DF-BEB2-F459B515905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B-vagt på OA</t>
        </r>
      </text>
    </comment>
    <comment ref="L63" authorId="0" shapeId="0" xr:uid="{1308741C-0FB6-4F0C-BD7B-1D92D5A8CD79}">
      <text>
        <r>
          <rPr>
            <sz val="9"/>
            <rFont val="Arial"/>
            <family val="2"/>
          </rPr>
          <t>Steen Hertin-Sandkær:
TUA 13:15 - 16:00</t>
        </r>
      </text>
    </comment>
    <comment ref="N63" authorId="0" shapeId="0" xr:uid="{59B7E9B8-1856-474C-8BF3-37E28049B9BD}">
      <text>
        <r>
          <rPr>
            <sz val="9"/>
            <rFont val="Arial"/>
            <family val="2"/>
          </rPr>
          <t>Steen Hertin-Sandkær:
TUA 
05:30 - 07:30
09:30 - 11:00
12:15 - 17:30</t>
        </r>
      </text>
    </comment>
    <comment ref="O63" authorId="4" shapeId="0" xr:uid="{556BF59E-27A4-477D-80E6-E4E6A3043A8C}">
      <text>
        <r>
          <rPr>
            <sz val="9"/>
            <rFont val="Arial"/>
            <family val="2"/>
          </rPr>
          <t>Henrik Wolffbrandt Hansen:
TUA
06:30 - 14:00
20:45 - 21:15</t>
        </r>
      </text>
    </comment>
    <comment ref="P63" authorId="4" shapeId="0" xr:uid="{FAAC0D56-5A14-4485-B633-82B9CCF2DEF1}">
      <text>
        <r>
          <rPr>
            <sz val="9"/>
            <rFont val="Arial"/>
            <family val="2"/>
          </rPr>
          <t>Henrik Wolffbrandt Hansen:
TUA
09.00 - 17.30
--------------
O1 20:30 - 23:59
OA fra kl. 17.30</t>
        </r>
      </text>
    </comment>
    <comment ref="S63" authorId="4" shapeId="0" xr:uid="{62D0A12A-A4FA-40E7-985A-536A9182B154}">
      <text>
        <r>
          <rPr>
            <sz val="9"/>
            <rFont val="Arial"/>
            <family val="2"/>
          </rPr>
          <t>Henrik Wolffbrandt Hansen:
TUA
07:00 - 09:15
10:30 - 14:15</t>
        </r>
      </text>
    </comment>
    <comment ref="T63" authorId="0" shapeId="0" xr:uid="{6B157AD1-6048-4B37-AC90-92F406585C77}">
      <text>
        <r>
          <rPr>
            <sz val="9"/>
            <rFont val="Arial"/>
            <family val="2"/>
          </rPr>
          <t>Steen Hertin-Sandkær:
TUA
17.30 - 00.30 
skal muligvis blive hele natten. Oa fra 00.30</t>
        </r>
      </text>
    </comment>
    <comment ref="U63" authorId="4" shapeId="0" xr:uid="{C64BCD65-8C0B-4055-8AA4-EB12A9C4B79F}">
      <text>
        <r>
          <rPr>
            <sz val="9"/>
            <rFont val="Arial"/>
            <family val="2"/>
          </rPr>
          <t>Henrik Wolffbrandt Hansen:
TUA
14:00 - 18:00</t>
        </r>
      </text>
    </comment>
    <comment ref="V63" authorId="4" shapeId="0" xr:uid="{1A5E82A4-3045-4CE1-95B6-55050300C76B}">
      <text>
        <r>
          <rPr>
            <sz val="9"/>
            <rFont val="Arial"/>
            <family val="2"/>
          </rPr>
          <t>Henrik Wolffbrandt Hansen:
TUA
09:00 - 20:15</t>
        </r>
      </text>
    </comment>
    <comment ref="W63" authorId="4" shapeId="0" xr:uid="{530411C4-E42D-4BA4-A3A9-68A0C5BD8CC7}">
      <text>
        <r>
          <rPr>
            <sz val="9"/>
            <rFont val="Arial"/>
            <family val="2"/>
          </rPr>
          <t>Henrik Wolffbrandt Hansen:
TUA
11:00 - 19:15</t>
        </r>
      </text>
    </comment>
    <comment ref="X63" authorId="4" shapeId="0" xr:uid="{5964EA6C-F696-40C7-947F-588DDF66F08C}">
      <text>
        <r>
          <rPr>
            <sz val="9"/>
            <rFont val="Arial"/>
            <family val="2"/>
          </rPr>
          <t>Henrik Wolffbrandt Hansen:
TUA
11:30 - 12:30</t>
        </r>
      </text>
    </comment>
    <comment ref="Z63" authorId="4" shapeId="0" xr:uid="{6B9FEBE1-00EE-467E-8BD8-C7F7B0863A45}">
      <text>
        <r>
          <rPr>
            <sz val="9"/>
            <rFont val="Arial"/>
            <family val="2"/>
          </rPr>
          <t>Henrik Wolffbrandt Hansen:
TUA
03:30 - 11:15</t>
        </r>
      </text>
    </comment>
    <comment ref="AA63" authorId="2" shapeId="0" xr:uid="{40946333-6DCC-4ABD-882A-515A9A5DB117}">
      <text>
        <r>
          <rPr>
            <sz val="9"/>
            <rFont val="Arial"/>
            <family val="2"/>
          </rPr>
          <t>Sabina Taj:
TUA
06:00 - 17:30
Dække Gasværksvej kl. 14.30 - 17.30</t>
        </r>
      </text>
    </comment>
    <comment ref="AB63" authorId="4" shapeId="0" xr:uid="{4CF5387C-CBB3-4536-87EF-CF99241D7978}">
      <text>
        <r>
          <rPr>
            <sz val="9"/>
            <rFont val="Arial"/>
            <family val="2"/>
          </rPr>
          <t>Henrik Wolffbrandt Hansen:
TUA
09:00 - 11:00</t>
        </r>
      </text>
    </comment>
    <comment ref="AC63" authorId="4" shapeId="0" xr:uid="{7313372A-60A9-4AAA-ADAE-EAAD9AD2E170}">
      <text>
        <r>
          <rPr>
            <sz val="9"/>
            <rFont val="Arial"/>
            <family val="2"/>
          </rPr>
          <t>Henrik Wolffbrandt Hansen:
TUA
04:30 - 11:30</t>
        </r>
      </text>
    </comment>
    <comment ref="AD63" authorId="4" shapeId="0" xr:uid="{4ACAFAF8-DC5F-4493-BFF8-D1C84764A2EE}">
      <text>
        <r>
          <rPr>
            <sz val="9"/>
            <rFont val="Arial"/>
            <family val="2"/>
          </rPr>
          <t xml:space="preserve">Henrik Wolffbrandt Hansen:
12:15 - 17:30
20:30 - 22:00 
</t>
        </r>
      </text>
    </comment>
    <comment ref="AE63" authorId="4" shapeId="0" xr:uid="{E12DF448-D31A-4670-B212-F96E0A2BC59E}">
      <text>
        <r>
          <rPr>
            <sz val="9"/>
            <rFont val="Arial"/>
            <family val="2"/>
          </rPr>
          <t>Henrik Wolffbrandt Hansen:
B OA 19:30 - 06:45</t>
        </r>
      </text>
    </comment>
    <comment ref="C64" authorId="6" shapeId="0" xr:uid="{C7946174-2C56-4F83-8370-336C7E795711}">
      <text>
        <r>
          <rPr>
            <sz val="9"/>
            <rFont val="Arial"/>
            <family val="2"/>
          </rPr>
          <t>Michael Fabæch Knudsen:
OA sjællandsgade 20,30 - 08,30</t>
        </r>
      </text>
    </comment>
    <comment ref="D64" authorId="6" shapeId="0" xr:uid="{4286323A-6F4E-4061-B084-D5E1A171D881}">
      <text>
        <r>
          <rPr>
            <sz val="9"/>
            <rFont val="Arial"/>
            <family val="2"/>
          </rPr>
          <t>Michael Fabæch Knudsen:
OA sjællandsgade 20.30 - 08,30</t>
        </r>
      </text>
    </comment>
    <comment ref="I64" authorId="4" shapeId="0" xr:uid="{591111E1-4FCE-4632-B2FC-75E7F9B003B9}">
      <text>
        <r>
          <rPr>
            <sz val="9"/>
            <rFont val="Arial"/>
            <family val="2"/>
          </rPr>
          <t>Henrik Wolffbrandt Hansen:
OA Fredagsbar Fuglebakken
15:00 - 22:00 Møder på Rådhuset bagefter og dækker enten kødby eller RH.</t>
        </r>
      </text>
    </comment>
    <comment ref="L64" authorId="0" shapeId="0" xr:uid="{C4757956-6DEB-4A79-B1AA-2ECAD0132A0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OA RF1</t>
        </r>
      </text>
    </comment>
    <comment ref="M64" authorId="0" shapeId="0" xr:uid="{0A4CFD19-81E9-4287-8684-FF85BDA5C05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OA RF1</t>
        </r>
      </text>
    </comment>
    <comment ref="N64" authorId="0" shapeId="0" xr:uid="{CA36CCFB-7D32-4E7F-B009-22B2F756F6E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OA RF1</t>
        </r>
      </text>
    </comment>
    <comment ref="O64" authorId="6" shapeId="0" xr:uid="{CA66F017-18E8-47CC-A052-A8E4AEF5AF7C}">
      <text>
        <r>
          <rPr>
            <sz val="9"/>
            <rFont val="Arial"/>
            <family val="2"/>
          </rPr>
          <t>Michael Fabæch Knudsen:
omsorgsdag</t>
        </r>
      </text>
    </comment>
    <comment ref="P64" authorId="6" shapeId="0" xr:uid="{49490789-1330-4024-A695-E95552B3DDEE}">
      <text>
        <r>
          <rPr>
            <sz val="9"/>
            <rFont val="Arial"/>
            <family val="2"/>
          </rPr>
          <t>Michael Fabæch Knudsen:
omsorgsdag</t>
        </r>
      </text>
    </comment>
    <comment ref="AB64" authorId="4" shapeId="0" xr:uid="{86A87EEB-FB63-48D9-BE2C-1942AEBF4E35}">
      <text>
        <r>
          <rPr>
            <sz val="9"/>
            <rFont val="Arial"/>
            <family val="2"/>
          </rPr>
          <t>Henrik Wolffbrandt Hansen:
OA Gasværksvej 14:00 - 17:30</t>
        </r>
      </text>
    </comment>
    <comment ref="AD64" authorId="4" shapeId="0" xr:uid="{868468F6-FBC4-42FB-BA66-C03F33575D5D}">
      <text>
        <r>
          <rPr>
            <sz val="9"/>
            <rFont val="Arial"/>
            <family val="2"/>
          </rPr>
          <t>Henrik Wolffbrandt Hansen:
OA Gasværksvej 14:00 - 17:30</t>
        </r>
      </text>
    </comment>
    <comment ref="N66" authorId="3" shapeId="0" xr:uid="{31D71743-F44E-4622-840B-0BB7F3ABDAAF}">
      <text>
        <r>
          <rPr>
            <b/>
            <sz val="9"/>
            <color indexed="81"/>
            <rFont val="Tahoma"/>
            <family val="2"/>
          </rPr>
          <t>Lars Emil Hartvig Sørensen:</t>
        </r>
        <r>
          <rPr>
            <sz val="9"/>
            <color indexed="81"/>
            <rFont val="Tahoma"/>
            <family val="2"/>
          </rPr>
          <t xml:space="preserve">
VAGT-ROKADE
D.12-11-2025
Kennet Heidelbach
"Planafvigelse: 11-Vagten"
"Tilgår 23-Vagten"Kødbyen"
 21:00-07:00</t>
        </r>
      </text>
    </comment>
    <comment ref="O66" authorId="3" shapeId="0" xr:uid="{EA234FC3-3FA9-46F3-B9EC-0BF9963FD7FC}">
      <text>
        <r>
          <rPr>
            <b/>
            <sz val="9"/>
            <color indexed="81"/>
            <rFont val="Tahoma"/>
            <family val="2"/>
          </rPr>
          <t>Lars Emil Hartvig Sørensen:</t>
        </r>
        <r>
          <rPr>
            <sz val="9"/>
            <color indexed="81"/>
            <rFont val="Tahoma"/>
            <family val="2"/>
          </rPr>
          <t xml:space="preserve">
VAGT-ROKADE
D.13-11-2025
Kennet Heidelbach
"Planafvigelse: 11-Vagten"
"Tilgår 23-Vagten"Kødbyen"
 21:00-07:00</t>
        </r>
      </text>
    </comment>
    <comment ref="P66" authorId="3" shapeId="0" xr:uid="{E8381EBE-88FA-4294-9407-36300A3E6EF2}">
      <text>
        <r>
          <rPr>
            <b/>
            <sz val="9"/>
            <color indexed="81"/>
            <rFont val="Tahoma"/>
            <family val="2"/>
          </rPr>
          <t>Lars Emil Hartvig Sørensen:</t>
        </r>
        <r>
          <rPr>
            <sz val="9"/>
            <color indexed="81"/>
            <rFont val="Tahoma"/>
            <family val="2"/>
          </rPr>
          <t xml:space="preserve">
VAGT-ROKADE
D.14-11-2025
Kennet Heidelbach
"Planafvigelse: 11-Vagten"
"Tilgår 23-Vagten"Kødbyen"
 21:00-07:00</t>
        </r>
      </text>
    </comment>
    <comment ref="AD66" authorId="9" shapeId="0" xr:uid="{048AA262-8376-4BB3-B678-4D27CF43EE1A}">
      <text>
        <r>
          <rPr>
            <b/>
            <sz val="9"/>
            <color indexed="81"/>
            <rFont val="Tahoma"/>
            <family val="2"/>
          </rPr>
          <t>Frederik Jensen:</t>
        </r>
        <r>
          <rPr>
            <sz val="9"/>
            <color indexed="81"/>
            <rFont val="Tahoma"/>
            <family val="2"/>
          </rPr>
          <t xml:space="preserve">
Mødt Kl. 15:25</t>
        </r>
      </text>
    </comment>
    <comment ref="M67" authorId="10" shapeId="0" xr:uid="{FED664C1-721C-48A9-9978-7B2FD75B1C36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møder kl. 9 på Fuglebakken
Går kl. 17</t>
        </r>
      </text>
    </comment>
    <comment ref="S67" authorId="0" shapeId="0" xr:uid="{430906AA-2197-4C32-8F70-97FE79A9B2E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Gasværksvej kl. 14.30 - 17.30 OA fra kl. 16.00
OA 6`er vagt 16.30-23</t>
        </r>
      </text>
    </comment>
    <comment ref="T67" authorId="0" shapeId="0" xr:uid="{3C48149D-E41F-40EC-90ED-71648959B22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Gasværksvej kl. 14.30 - 17.30 OA fra kl. 16.00</t>
        </r>
      </text>
    </comment>
    <comment ref="U67" authorId="4" shapeId="0" xr:uid="{26D89BA1-F013-43DB-85BE-5941E0BF426B}">
      <text>
        <r>
          <rPr>
            <sz val="9"/>
            <rFont val="Arial"/>
            <family val="2"/>
          </rPr>
          <t>Henrik Wolffbrandt Hansen:
Fintælling</t>
        </r>
      </text>
    </comment>
    <comment ref="AC67" authorId="0" shapeId="0" xr:uid="{398DE414-CAC0-44BF-818A-5B4154586D6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kl. 10.00 og dækker Gasværkevej kl. 14.30 - 17.30</t>
        </r>
      </text>
    </comment>
    <comment ref="AD67" authorId="11" shapeId="0" xr:uid="{D33882A7-E6FB-4AC0-91E0-6433268E38E0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TR møde</t>
        </r>
      </text>
    </comment>
    <comment ref="D68" authorId="7" shapeId="0" xr:uid="{DA160371-041C-4705-A8E2-F6A49B7A8924}">
      <text>
        <r>
          <rPr>
            <b/>
            <sz val="9"/>
            <color indexed="81"/>
            <rFont val="Tahoma"/>
            <family val="2"/>
          </rPr>
          <t>Lasse Aae-Hartwig:</t>
        </r>
        <r>
          <rPr>
            <sz val="9"/>
            <color indexed="81"/>
            <rFont val="Tahoma"/>
            <family val="2"/>
          </rPr>
          <t xml:space="preserve">
OA KA vagt 13.30 - 00.30</t>
        </r>
      </text>
    </comment>
    <comment ref="Q68" authorId="0" shapeId="0" xr:uid="{FD6AB081-58B9-488D-96BC-813899713AC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A1 på oa</t>
        </r>
      </text>
    </comment>
    <comment ref="R68" authorId="12" shapeId="0" xr:uid="{EFE2700E-5580-44EF-8C5F-3963D12DB976}">
      <text>
        <r>
          <rPr>
            <b/>
            <sz val="9"/>
            <color indexed="81"/>
            <rFont val="Tahoma"/>
            <family val="2"/>
          </rPr>
          <t>Alexander Henriksen:</t>
        </r>
        <r>
          <rPr>
            <sz val="9"/>
            <color indexed="81"/>
            <rFont val="Tahoma"/>
            <family val="2"/>
          </rPr>
          <t xml:space="preserve">
OA - A2
Møder 08:00-19:00 </t>
        </r>
      </text>
    </comment>
    <comment ref="AE68" authorId="4" shapeId="0" xr:uid="{404B9491-76CF-4048-A3C2-82AEBBF91D86}">
      <text>
        <r>
          <rPr>
            <sz val="9"/>
            <rFont val="Arial"/>
            <family val="2"/>
          </rPr>
          <t>Henrik Wolffbrandt Hansen:
OA A2</t>
        </r>
      </text>
    </comment>
    <comment ref="AF68" authorId="4" shapeId="0" xr:uid="{D365A3FE-4D64-4E52-A903-D4EBE86AF782}">
      <text>
        <r>
          <rPr>
            <sz val="9"/>
            <rFont val="Arial"/>
            <family val="2"/>
          </rPr>
          <t>Henrik Wolffbrandt Hansen:
OA A2</t>
        </r>
      </text>
    </comment>
    <comment ref="H70" authorId="9" shapeId="0" xr:uid="{E3867BBB-15C7-45F7-AEFF-DD56C7DC3A32}">
      <text>
        <r>
          <rPr>
            <b/>
            <sz val="9"/>
            <color indexed="81"/>
            <rFont val="Tahoma"/>
            <family val="2"/>
          </rPr>
          <t>Frederik Jensen:</t>
        </r>
        <r>
          <rPr>
            <sz val="9"/>
            <color indexed="81"/>
            <rFont val="Tahoma"/>
            <family val="2"/>
          </rPr>
          <t xml:space="preserve">
Går Kl 12:00</t>
        </r>
      </text>
    </comment>
    <comment ref="N70" authorId="9" shapeId="0" xr:uid="{24B4A113-2A13-4A7C-9F2C-ABF84A6FBBB8}">
      <text>
        <r>
          <rPr>
            <b/>
            <sz val="9"/>
            <color indexed="81"/>
            <rFont val="Tahoma"/>
            <family val="2"/>
          </rPr>
          <t>Frederik Jensen:</t>
        </r>
        <r>
          <rPr>
            <sz val="9"/>
            <color indexed="81"/>
            <rFont val="Tahoma"/>
            <family val="2"/>
          </rPr>
          <t xml:space="preserve">
Møder kl 12:00</t>
        </r>
      </text>
    </comment>
    <comment ref="P70" authorId="1" shapeId="0" xr:uid="{4B87BED2-4443-4CFC-AF97-4D70E9F1308C}">
      <text>
        <r>
          <rPr>
            <b/>
            <sz val="9"/>
            <color indexed="81"/>
            <rFont val="Tahoma"/>
            <family val="2"/>
          </rPr>
          <t>Henriette Dedichen:</t>
        </r>
        <r>
          <rPr>
            <sz val="9"/>
            <color indexed="81"/>
            <rFont val="Tahoma"/>
            <family val="2"/>
          </rPr>
          <t xml:space="preserve">
Sidste arb. dag?</t>
        </r>
      </text>
    </comment>
    <comment ref="T71" authorId="5" shapeId="0" xr:uid="{C4FD4E74-C999-4AC9-83D0-3BFB7A2F9962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Valg Fintælling
KL 19.00-</t>
        </r>
      </text>
    </comment>
    <comment ref="U71" authorId="5" shapeId="0" xr:uid="{7F6220B8-CF1C-446B-9E80-DF90526BE522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Fintælling</t>
        </r>
      </text>
    </comment>
    <comment ref="K72" authorId="0" shapeId="0" xr:uid="{2C170063-5F2B-4241-A137-A5DCD5AE135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B2 på OA</t>
        </r>
      </text>
    </comment>
    <comment ref="M72" authorId="0" shapeId="0" xr:uid="{4EDE06A5-BDAB-4104-94F2-BB3C329818F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Gasværksvej 14.30 - 17.30</t>
        </r>
      </text>
    </comment>
    <comment ref="AA72" authorId="0" shapeId="0" xr:uid="{A1997011-2D0D-483F-B83F-801438514D8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Dække Gasværksvej kl. 14.30 - 17.30.
Henrik overtager vagten. (skrevet af Sabina)</t>
        </r>
      </text>
    </comment>
    <comment ref="AD72" authorId="9" shapeId="0" xr:uid="{5052C2DD-CB74-47F3-942E-E7FCCE530369}">
      <text>
        <r>
          <rPr>
            <b/>
            <sz val="9"/>
            <color indexed="81"/>
            <rFont val="Tahoma"/>
            <family val="2"/>
          </rPr>
          <t>Frederik Jensen:</t>
        </r>
        <r>
          <rPr>
            <sz val="9"/>
            <color indexed="81"/>
            <rFont val="Tahoma"/>
            <family val="2"/>
          </rPr>
          <t xml:space="preserve">
Mødt Kl. 16:50</t>
        </r>
      </text>
    </comment>
    <comment ref="E73" authorId="5" shapeId="0" xr:uid="{4D843623-4898-489E-B211-EA7A303567C4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Kun dagvagt
Sabina Taj: 
Jeg kan ikke få fat i Pernille om vagtændringen - sms og opkald foretaget </t>
        </r>
      </text>
    </comment>
    <comment ref="E74" authorId="5" shapeId="0" xr:uid="{62E28EDF-3678-47E0-A0E7-EDBAB8D440F9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Opstart</t>
        </r>
      </text>
    </comment>
    <comment ref="O74" authorId="4" shapeId="0" xr:uid="{9D607F93-5CFE-4122-BF0C-8FE8A92FC911}">
      <text>
        <r>
          <rPr>
            <sz val="9"/>
            <rFont val="Arial"/>
            <family val="2"/>
          </rPr>
          <t>Henrik Wolffbrandt Hansen:
E (Brønshøjvej) et par timer.
i løbet af dagen, kør ud og se hvad det er.</t>
        </r>
      </text>
    </comment>
    <comment ref="S74" authorId="0" shapeId="0" xr:uid="{ED635617-4F5B-4FA0-AF46-571A976E232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Oplæres af 21 + 22 vagten</t>
        </r>
      </text>
    </comment>
    <comment ref="E75" authorId="5" shapeId="0" xr:uid="{D396C962-500F-43CB-9F9E-6AF2F1F8867D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Opstart</t>
        </r>
      </text>
    </comment>
    <comment ref="AD75" authorId="9" shapeId="0" xr:uid="{F0077C98-099A-4D61-A57F-1E6EE40A0147}">
      <text>
        <r>
          <rPr>
            <sz val="9"/>
            <rFont val="Arial"/>
            <family val="2"/>
          </rPr>
          <t>Frederik Jensen:
OA Refhalevej 07:00-14:30</t>
        </r>
      </text>
    </comment>
    <comment ref="AE75" authorId="9" shapeId="0" xr:uid="{EF63A028-7A21-4E9D-851D-4DAA615A50F0}">
      <text>
        <r>
          <rPr>
            <b/>
            <sz val="9"/>
            <color indexed="81"/>
            <rFont val="Tahoma"/>
            <family val="2"/>
          </rPr>
          <t>Frederik Jensen:</t>
        </r>
        <r>
          <rPr>
            <sz val="9"/>
            <color indexed="81"/>
            <rFont val="Tahoma"/>
            <family val="2"/>
          </rPr>
          <t xml:space="preserve">
OA RF4</t>
        </r>
      </text>
    </comment>
    <comment ref="AF75" authorId="9" shapeId="0" xr:uid="{C772C30B-B2BB-4FDB-AB96-EEC5F31E6359}">
      <text>
        <r>
          <rPr>
            <b/>
            <sz val="9"/>
            <color indexed="81"/>
            <rFont val="Tahoma"/>
            <family val="2"/>
          </rPr>
          <t>Frederik Jensen:</t>
        </r>
        <r>
          <rPr>
            <sz val="9"/>
            <color indexed="81"/>
            <rFont val="Tahoma"/>
            <family val="2"/>
          </rPr>
          <t xml:space="preserve">
OA RF3</t>
        </r>
      </text>
    </comment>
    <comment ref="U76" authorId="4" shapeId="0" xr:uid="{545C0A3B-1449-4B4A-884A-C0F3E41DBC90}">
      <text>
        <r>
          <rPr>
            <sz val="9"/>
            <rFont val="Arial"/>
            <family val="2"/>
          </rPr>
          <t>Henrik Wolffbrandt Hansen:
OA S-vagt</t>
        </r>
      </text>
    </comment>
    <comment ref="S77" authorId="7" shapeId="0" xr:uid="{92104020-90D3-407C-9C53-D87C6791E034}">
      <text>
        <r>
          <rPr>
            <b/>
            <sz val="9"/>
            <color indexed="81"/>
            <rFont val="Tahoma"/>
            <family val="2"/>
          </rPr>
          <t>Lasse Aae-Hartwig:</t>
        </r>
        <r>
          <rPr>
            <sz val="9"/>
            <color indexed="81"/>
            <rFont val="Tahoma"/>
            <family val="2"/>
          </rPr>
          <t xml:space="preserve">
Ikke mødt på tjeneste, misforstod "I" troede det betød fri</t>
        </r>
      </text>
    </comment>
    <comment ref="T78" authorId="0" shapeId="0" xr:uid="{DE9C7CC6-24CC-4B62-9639-5E966B0D106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9.00 - 16.30</t>
        </r>
      </text>
    </comment>
    <comment ref="E82" authorId="0" shapeId="0" xr:uid="{BA3B8717-5D1C-496B-8A6E-D958DCA2EB1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F82" authorId="0" shapeId="0" xr:uid="{3AA6DD67-EFB6-4BFB-9C71-F6AF74C2761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G82" authorId="0" shapeId="0" xr:uid="{7B964A16-ED37-4E2A-A51D-20D1E47E808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H82" authorId="0" shapeId="0" xr:uid="{68A1B6A1-2606-48E1-B659-E0E19E0C5C7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I82" authorId="0" shapeId="0" xr:uid="{AE1B638C-83CA-479E-AE04-902E8D67C11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L82" authorId="0" shapeId="0" xr:uid="{5280D9F1-0F84-4213-95D5-B9C33591598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M82" authorId="0" shapeId="0" xr:uid="{2BDFECE2-27D2-485F-AE86-51C1D11853C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N82" authorId="0" shapeId="0" xr:uid="{C202004F-4298-4D17-B640-0C8EB0EE89F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O82" authorId="0" shapeId="0" xr:uid="{3F5186D8-8F2D-484C-A86F-85BD0A35237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P82" authorId="0" shapeId="0" xr:uid="{3E965623-7B20-4583-935C-F61D9B1CB5A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S82" authorId="0" shapeId="0" xr:uid="{A91BB931-92D9-4BEA-BC44-C679BC03075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T82" authorId="0" shapeId="0" xr:uid="{4A9DE314-A9AD-4CC3-844D-288B991E48A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U82" authorId="0" shapeId="0" xr:uid="{F2755151-F1D0-4C7F-84C6-A576525CB7D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V82" authorId="0" shapeId="0" xr:uid="{995200D3-CF5A-498F-B4F4-A24D3841F21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W82" authorId="0" shapeId="0" xr:uid="{4ED32B5C-31F0-437A-930F-DE728AF3301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Z82" authorId="0" shapeId="0" xr:uid="{F50F5CD7-DBF4-41D9-8DB5-58E9FE16167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A82" authorId="0" shapeId="0" xr:uid="{3EA52A65-D58F-4B5B-B7E4-18A5027960F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B82" authorId="0" shapeId="0" xr:uid="{B66429CB-2ECE-4A67-B917-E7E4646D17A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C82" authorId="0" shapeId="0" xr:uid="{825E6B1B-BB67-45D4-B8B6-06AC9975736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D82" authorId="0" shapeId="0" xr:uid="{C5A4C6A6-2AF0-4DAC-824B-6C85AFB6228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H84" authorId="3" shapeId="0" xr:uid="{D1CEF902-2A14-49AE-8B37-BCA16F014415}">
      <text>
        <r>
          <rPr>
            <b/>
            <sz val="9"/>
            <color indexed="81"/>
            <rFont val="Tahoma"/>
            <family val="2"/>
          </rPr>
          <t>Lars Emil Hartvig Sørensen:</t>
        </r>
        <r>
          <rPr>
            <sz val="9"/>
            <color indexed="81"/>
            <rFont val="Tahoma"/>
            <family val="2"/>
          </rPr>
          <t xml:space="preserve">
Sygemeldt 
D.06-11-2025 
Nevil Nielsen
10-Vagt/B2-Vagt </t>
        </r>
      </text>
    </comment>
    <comment ref="I84" authorId="3" shapeId="0" xr:uid="{5C9FD902-86D4-4742-887C-E413B1135361}">
      <text>
        <r>
          <rPr>
            <b/>
            <sz val="9"/>
            <color indexed="81"/>
            <rFont val="Tahoma"/>
            <family val="2"/>
          </rPr>
          <t>Lars Emil Hartvig Sørensen:</t>
        </r>
        <r>
          <rPr>
            <sz val="9"/>
            <color indexed="81"/>
            <rFont val="Tahoma"/>
            <family val="2"/>
          </rPr>
          <t xml:space="preserve">
Sygemeldt 
D.06-11-2025 
Nevil Nielsen
10-Vagt/B2-Vagt 
</t>
        </r>
      </text>
    </comment>
    <comment ref="J84" authorId="3" shapeId="0" xr:uid="{48D09AF0-9F86-46C0-81CE-356B5A0A5754}">
      <text>
        <r>
          <rPr>
            <b/>
            <sz val="9"/>
            <color indexed="81"/>
            <rFont val="Tahoma"/>
            <family val="2"/>
          </rPr>
          <t>Lars Emil Hartvig Sørensen:</t>
        </r>
        <r>
          <rPr>
            <sz val="9"/>
            <color indexed="81"/>
            <rFont val="Tahoma"/>
            <family val="2"/>
          </rPr>
          <t xml:space="preserve">
Sygemeldt 
D.06-11-2025 
Nevil Nielsen
10-Vagt/B2-Vagt </t>
        </r>
      </text>
    </comment>
    <comment ref="K84" authorId="3" shapeId="0" xr:uid="{BDD859F8-7A5F-4B21-929A-0997E3309C5F}">
      <text>
        <r>
          <rPr>
            <b/>
            <sz val="9"/>
            <color indexed="81"/>
            <rFont val="Tahoma"/>
            <family val="2"/>
          </rPr>
          <t>Lars Emil Hartvig Sørensen:</t>
        </r>
        <r>
          <rPr>
            <sz val="9"/>
            <color indexed="81"/>
            <rFont val="Tahoma"/>
            <family val="2"/>
          </rPr>
          <t xml:space="preserve">
Sygemeldt 
D.06-11-2025 
Nevil Nielsen
10-Vagt/B2-Vagt </t>
        </r>
      </text>
    </comment>
    <comment ref="AC84" authorId="6" shapeId="0" xr:uid="{5D3696B4-7842-4EEE-A5A9-066BD57CE67F}">
      <text>
        <r>
          <rPr>
            <sz val="9"/>
            <rFont val="Arial"/>
            <family val="2"/>
          </rPr>
          <t>Michael Fabæch Knudsen:
Nevil er til lægen, og møder 
ca. imellem kl. 13.30 - 14</t>
        </r>
      </text>
    </comment>
    <comment ref="L91" authorId="0" shapeId="0" xr:uid="{1B9EF953-1DC2-4A38-A1F5-10AE2AE5AA1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Skal ikke længere besættes.</t>
        </r>
      </text>
    </comment>
    <comment ref="K106" authorId="4" shapeId="0" xr:uid="{1219BB14-B1D0-4F0B-8BE2-1EBF8CC99AB9}">
      <text>
        <r>
          <rPr>
            <sz val="9"/>
            <rFont val="Arial"/>
            <family val="2"/>
          </rPr>
          <t>Henrik Wolffbrandt Hansen:
OA 26</t>
        </r>
      </text>
    </comment>
    <comment ref="F116" authorId="3" shapeId="0" xr:uid="{C560770E-BB99-4307-AD5A-F9C0AE85DB16}">
      <text>
        <r>
          <rPr>
            <b/>
            <sz val="9"/>
            <color indexed="81"/>
            <rFont val="Tahoma"/>
            <family val="2"/>
          </rPr>
          <t>Lars Emil Hartvig Sørensen:</t>
        </r>
        <r>
          <rPr>
            <sz val="9"/>
            <color indexed="81"/>
            <rFont val="Tahoma"/>
            <family val="2"/>
          </rPr>
          <t xml:space="preserve">
OA S1-Vagten</t>
        </r>
      </text>
    </comment>
    <comment ref="G116" authorId="3" shapeId="0" xr:uid="{95E9A139-BC55-45CD-B3D9-2A327E5D0038}">
      <text>
        <r>
          <rPr>
            <b/>
            <sz val="9"/>
            <color indexed="81"/>
            <rFont val="Tahoma"/>
            <family val="2"/>
          </rPr>
          <t>Lars Emil Hartvig Sørensen:</t>
        </r>
        <r>
          <rPr>
            <sz val="9"/>
            <color indexed="81"/>
            <rFont val="Tahoma"/>
            <family val="2"/>
          </rPr>
          <t xml:space="preserve">
OA S1-Vagten</t>
        </r>
      </text>
    </comment>
    <comment ref="H116" authorId="3" shapeId="0" xr:uid="{F1D9467F-8AA5-43B8-98C7-23ADA9E5B1CA}">
      <text>
        <r>
          <rPr>
            <b/>
            <sz val="9"/>
            <color indexed="81"/>
            <rFont val="Tahoma"/>
            <family val="2"/>
          </rPr>
          <t>Lars Emil Hartvig Sørensen:</t>
        </r>
        <r>
          <rPr>
            <sz val="9"/>
            <color indexed="81"/>
            <rFont val="Tahoma"/>
            <family val="2"/>
          </rPr>
          <t xml:space="preserve">
OA S1-Vagten</t>
        </r>
      </text>
    </comment>
    <comment ref="J132" authorId="0" shapeId="0" xr:uid="{9EC8CDAA-68D5-4574-8D1D-6851B7BF0F2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23-vagt på OA</t>
        </r>
      </text>
    </comment>
    <comment ref="R132" authorId="4" shapeId="0" xr:uid="{B05F8A5C-BD1F-422F-A28C-45E231C16C1F}">
      <text>
        <r>
          <rPr>
            <sz val="9"/>
            <rFont val="Arial"/>
            <family val="2"/>
          </rPr>
          <t>Henrik Wolffbrandt Hansen:
OA O1</t>
        </r>
      </text>
    </comment>
    <comment ref="I133" authorId="0" shapeId="0" xr:uid="{A736220D-BE8A-4AF1-B9FC-B80387C26235}">
      <text>
        <r>
          <rPr>
            <b/>
            <sz val="9"/>
            <color indexed="81"/>
            <rFont val="Tahoma"/>
            <family val="2"/>
          </rPr>
          <t>Steen Hertin-Sandkær:S1 på oa.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133" authorId="4" shapeId="0" xr:uid="{4D71A19C-D29C-4357-A9AF-A330BC86AF5B}">
      <text>
        <r>
          <rPr>
            <sz val="9"/>
            <rFont val="Arial"/>
            <family val="2"/>
          </rPr>
          <t>Henrik Wolffbrandt Hansen:
OA O1</t>
        </r>
      </text>
    </comment>
    <comment ref="P133" authorId="4" shapeId="0" xr:uid="{689A1693-1E23-4859-94DD-0572D2FB3347}">
      <text>
        <r>
          <rPr>
            <sz val="9"/>
            <rFont val="Arial"/>
            <family val="2"/>
          </rPr>
          <t>Henrik Wolffbrandt Hansen:
O1 Fra kl.23:59</t>
        </r>
      </text>
    </comment>
    <comment ref="Q133" authorId="4" shapeId="0" xr:uid="{188975AF-37E5-4F49-939B-696C87AC3F5B}">
      <text>
        <r>
          <rPr>
            <sz val="9"/>
            <rFont val="Arial"/>
            <family val="2"/>
          </rPr>
          <t>Henrik Wolffbrandt Hansen:
OA O1</t>
        </r>
      </text>
    </comment>
    <comment ref="AC142" authorId="4" shapeId="0" xr:uid="{BC7D7130-3653-44A1-99D9-42A03B631B4F}">
      <text>
        <r>
          <rPr>
            <sz val="9"/>
            <rFont val="Arial"/>
            <family val="2"/>
          </rPr>
          <t>Henrik Wolffbrandt Hansen:
OA Reffen 11:30-17:30</t>
        </r>
      </text>
    </comment>
    <comment ref="X143" authorId="0" shapeId="0" xr:uid="{0535AA7E-F706-4362-A232-D6F2D886F66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RF4 på oa</t>
        </r>
      </text>
    </comment>
    <comment ref="Y143" authorId="0" shapeId="0" xr:uid="{72A15301-D58F-444F-BCF2-522B15FBFFF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RF3 på oa</t>
        </r>
      </text>
    </comment>
    <comment ref="AC160" authorId="0" shapeId="0" xr:uid="{C2AED4C6-8B86-46BB-B9AD-B6916D71AF8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Går kl. 13.00</t>
        </r>
      </text>
    </comment>
    <comment ref="E172" authorId="0" shapeId="0" xr:uid="{A1E6E0A9-C579-4707-879E-CABD6B6AC4D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Dække i1</t>
        </r>
      </text>
    </comment>
    <comment ref="F172" authorId="0" shapeId="0" xr:uid="{1F95F1FF-7C32-41AC-BD20-978A3304FB1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Dække i1</t>
        </r>
      </text>
    </comment>
    <comment ref="G172" authorId="0" shapeId="0" xr:uid="{476F495E-C552-43D4-BE92-6F525CB7E51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Dække i1</t>
        </r>
      </text>
    </comment>
    <comment ref="H172" authorId="0" shapeId="0" xr:uid="{E4375E41-9D74-49E9-A98D-5197864CD97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Dække i1</t>
        </r>
      </text>
    </comment>
    <comment ref="I172" authorId="0" shapeId="0" xr:uid="{70432FA0-7E37-4E7C-850A-3474C8D10BE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Dække i1</t>
        </r>
      </text>
    </comment>
    <comment ref="I173" authorId="13" shapeId="0" xr:uid="{178D039D-BEEF-44A7-BEDB-09297A2301E2}">
      <text>
        <r>
          <rPr>
            <sz val="9"/>
            <rFont val="Arial"/>
            <family val="2"/>
          </rPr>
          <t>Vanesa Alemany:
OA i1</t>
        </r>
      </text>
    </comment>
    <comment ref="P173" authorId="2" shapeId="0" xr:uid="{FCC5EB4C-07C2-4B65-B4E1-1E931BC30FE8}">
      <text>
        <r>
          <rPr>
            <b/>
            <sz val="9"/>
            <color indexed="81"/>
            <rFont val="Tahoma"/>
            <family val="2"/>
          </rPr>
          <t>Sabina Taj:</t>
        </r>
        <r>
          <rPr>
            <sz val="9"/>
            <color indexed="81"/>
            <rFont val="Tahoma"/>
            <family val="2"/>
          </rPr>
          <t xml:space="preserve">
ASP fra kl.13:00</t>
        </r>
      </text>
    </comment>
    <comment ref="T173" authorId="2" shapeId="0" xr:uid="{A3740603-6524-4A8C-9B42-344AAAD69F80}">
      <text>
        <r>
          <rPr>
            <b/>
            <sz val="9"/>
            <color indexed="81"/>
            <rFont val="Tahoma"/>
            <family val="2"/>
          </rPr>
          <t>Sabina Taj:</t>
        </r>
        <r>
          <rPr>
            <sz val="9"/>
            <color indexed="81"/>
            <rFont val="Tahoma"/>
            <family val="2"/>
          </rPr>
          <t xml:space="preserve">
OA - Valg fra kl. 16:00</t>
        </r>
      </text>
    </comment>
    <comment ref="U173" authorId="12" shapeId="0" xr:uid="{CA24FA00-519F-40E1-822C-20088D64334A}">
      <text>
        <r>
          <rPr>
            <b/>
            <sz val="9"/>
            <color indexed="81"/>
            <rFont val="Tahoma"/>
            <family val="2"/>
          </rPr>
          <t>Alexander Henriksen:</t>
        </r>
        <r>
          <rPr>
            <sz val="9"/>
            <color indexed="81"/>
            <rFont val="Tahoma"/>
            <family val="2"/>
          </rPr>
          <t xml:space="preserve">
Afspadsere 09:00-11:00</t>
        </r>
      </text>
    </comment>
    <comment ref="U174" authorId="7" shapeId="0" xr:uid="{2A431098-95E6-4567-BEE3-B95BB39E1AD9}">
      <text>
        <r>
          <rPr>
            <b/>
            <sz val="9"/>
            <color indexed="81"/>
            <rFont val="Tahoma"/>
            <family val="2"/>
          </rPr>
          <t>Lasse Aae-Hartwig:</t>
        </r>
        <r>
          <rPr>
            <sz val="9"/>
            <color indexed="81"/>
            <rFont val="Tahoma"/>
            <family val="2"/>
          </rPr>
          <t xml:space="preserve">
OA Fintælling fra 16.00</t>
        </r>
      </text>
    </comment>
    <comment ref="U175" authorId="7" shapeId="0" xr:uid="{65B14DB1-D607-49C5-AD10-943D85AADCCE}">
      <text>
        <r>
          <rPr>
            <b/>
            <sz val="9"/>
            <color indexed="81"/>
            <rFont val="Tahoma"/>
            <family val="2"/>
          </rPr>
          <t>Lasse Aae-Hartwig:</t>
        </r>
        <r>
          <rPr>
            <sz val="9"/>
            <color indexed="81"/>
            <rFont val="Tahoma"/>
            <family val="2"/>
          </rPr>
          <t xml:space="preserve">
OA Fintælling fra 16.00</t>
        </r>
      </text>
    </comment>
    <comment ref="J176" authorId="0" shapeId="0" xr:uid="{FFD6D06D-B6DC-459B-89E0-7835808D0CF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89-vagt på OA.</t>
        </r>
      </text>
    </comment>
    <comment ref="S176" authorId="7" shapeId="0" xr:uid="{6DDB463E-1C4A-47F6-BC8C-BCCBB2931181}">
      <text>
        <r>
          <rPr>
            <b/>
            <sz val="9"/>
            <color indexed="81"/>
            <rFont val="Tahoma"/>
            <family val="2"/>
          </rPr>
          <t>Lasse Aae-Hartwig:</t>
        </r>
        <r>
          <rPr>
            <sz val="9"/>
            <color indexed="81"/>
            <rFont val="Tahoma"/>
            <family val="2"/>
          </rPr>
          <t xml:space="preserve">
Afspadere fra 14.30 og frem</t>
        </r>
      </text>
    </comment>
    <comment ref="T176" authorId="0" shapeId="0" xr:uid="{B530C77C-A547-4534-8232-41DD28C708B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Hovedport fra kl. 17.30</t>
        </r>
      </text>
    </comment>
    <comment ref="S189" authorId="0" shapeId="0" xr:uid="{5BCBA3FE-8AE3-4374-82AD-CC78CA2FD4A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Oplære 23 vagten</t>
        </r>
      </text>
    </comment>
    <comment ref="L190" authorId="4" shapeId="0" xr:uid="{CAA08849-CCB1-4EBF-B9A1-6A577247B8FD}">
      <text>
        <r>
          <rPr>
            <sz val="9"/>
            <rFont val="Arial"/>
            <family val="2"/>
          </rPr>
          <t>Henrik Wolffbrandt Hansen:
OA 23</t>
        </r>
      </text>
    </comment>
    <comment ref="S191" authorId="0" shapeId="0" xr:uid="{5E045545-E399-4A3C-878C-50FFA4B6F2E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Oplære 23 vagten</t>
        </r>
      </text>
    </comment>
    <comment ref="E192" authorId="4" shapeId="0" xr:uid="{A19FD818-A2E8-4CC4-9462-C155E9BDED88}">
      <text>
        <r>
          <rPr>
            <sz val="9"/>
            <rFont val="Arial"/>
            <family val="2"/>
          </rPr>
          <t xml:space="preserve">Henrik Wolffbrandt Hansen:
OA Gasværksvej skole
07:30 - 09:30
</t>
        </r>
      </text>
    </comment>
    <comment ref="F192" authorId="4" shapeId="0" xr:uid="{BBC7E009-71F6-4898-9DF6-820537736E25}">
      <text>
        <r>
          <rPr>
            <sz val="9"/>
            <rFont val="Arial"/>
            <family val="2"/>
          </rPr>
          <t>Henrik Wolffbrandt Hansen:
OA Gasværksvej skole
07:30 - 09:30
OA Gasværksvej skole
14:30 - 17:30</t>
        </r>
      </text>
    </comment>
    <comment ref="G192" authorId="4" shapeId="0" xr:uid="{A18C26A1-A632-4ECC-8769-EEE42911AD15}">
      <text>
        <r>
          <rPr>
            <sz val="9"/>
            <rFont val="Arial"/>
            <family val="2"/>
          </rPr>
          <t>Henrik Wolffbrandt Hansen:
OA Gasværksvej skole
07:30 - 09:30
OA Gasværksvej skole
14:30 - 17:30</t>
        </r>
      </text>
    </comment>
    <comment ref="H192" authorId="4" shapeId="0" xr:uid="{C1A0D019-5163-474F-9E71-C3162539972E}">
      <text>
        <r>
          <rPr>
            <sz val="9"/>
            <rFont val="Arial"/>
            <family val="2"/>
          </rPr>
          <t>Henrik Wolffbrandt Hansen:
OA Gasværksvej skole
07:30 - 09:30
OA Gasværksvej skole
14:30 - 17:30</t>
        </r>
      </text>
    </comment>
    <comment ref="I192" authorId="4" shapeId="0" xr:uid="{E1A9B7E2-770D-4419-A61E-1EB286F97AAC}">
      <text>
        <r>
          <rPr>
            <sz val="9"/>
            <rFont val="Arial"/>
            <family val="2"/>
          </rPr>
          <t>Henrik Wolffbrandt Hansen:
OA Gasværksvej skole
07:30 - 09:30
OA Gasværksvej skole
14:30 - 17:30</t>
        </r>
      </text>
    </comment>
    <comment ref="AA192" authorId="0" shapeId="0" xr:uid="{F0F4779E-0543-4C9C-8935-BA0C786A889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Oplære 23 vagten</t>
        </r>
      </text>
    </comment>
    <comment ref="AF192" authorId="5" shapeId="0" xr:uid="{211391E8-9301-4D5B-B316-89A36491ED94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Afsp. Fra kl. 04.00</t>
        </r>
      </text>
    </comment>
    <comment ref="C193" authorId="14" shapeId="0" xr:uid="{C543F07C-623F-4106-9BF6-534EA0C6F25E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Afspadserer fra kl 06:00 - 07:00</t>
        </r>
      </text>
    </comment>
    <comment ref="F193" authorId="4" shapeId="0" xr:uid="{FD9E2982-2510-4AE4-8181-A7EBA95B4670}">
      <text>
        <r>
          <rPr>
            <sz val="9"/>
            <rFont val="Arial"/>
            <family val="2"/>
          </rPr>
          <t>Henrik Wolffbrandt Hansen:
OA S'vagt</t>
        </r>
      </text>
    </comment>
    <comment ref="G193" authorId="4" shapeId="0" xr:uid="{32DF8E45-A5C3-45E9-A5A8-2EB4B2AA38C1}">
      <text>
        <r>
          <rPr>
            <sz val="9"/>
            <rFont val="Arial"/>
            <family val="2"/>
          </rPr>
          <t>Henrik Wolffbrandt Hansen:
OA S'vagt</t>
        </r>
      </text>
    </comment>
    <comment ref="H193" authorId="4" shapeId="0" xr:uid="{176BA3CD-968D-400A-989B-06A69F17E96B}">
      <text>
        <r>
          <rPr>
            <sz val="9"/>
            <rFont val="Arial"/>
            <family val="2"/>
          </rPr>
          <t>Henrik Wolffbrandt Hansen:
OA S'vagt</t>
        </r>
      </text>
    </comment>
    <comment ref="K193" authorId="0" shapeId="0" xr:uid="{80B18968-F626-4071-81DC-A4D23728E634}">
      <text>
        <r>
          <rPr>
            <sz val="9"/>
            <rFont val="Arial"/>
            <family val="2"/>
          </rPr>
          <t>Steen Hertin-Sandkær:
OA RF1 + RF3</t>
        </r>
      </text>
    </comment>
    <comment ref="R193" authorId="12" shapeId="0" xr:uid="{53BE57C8-31AB-416A-8A07-7DF7EBD29172}">
      <text>
        <r>
          <rPr>
            <b/>
            <sz val="9"/>
            <color indexed="81"/>
            <rFont val="Tahoma"/>
            <family val="2"/>
          </rPr>
          <t>Alexander Henriksen:</t>
        </r>
        <r>
          <rPr>
            <sz val="9"/>
            <color indexed="81"/>
            <rFont val="Tahoma"/>
            <family val="2"/>
          </rPr>
          <t xml:space="preserve">
Afspadsere fra kl 05:00</t>
        </r>
      </text>
    </comment>
    <comment ref="S193" authorId="0" shapeId="0" xr:uid="{3D3864A9-61ED-4069-80FD-94D26BA7FC6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OA O1</t>
        </r>
      </text>
    </comment>
    <comment ref="L194" authorId="0" shapeId="0" xr:uid="{B7EA6704-AFF5-4DDF-86C2-55777C8C1B9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strater i turnus på huset</t>
        </r>
      </text>
    </comment>
    <comment ref="U240" authorId="0" shapeId="0" xr:uid="{3B65D0E3-C90A-40C3-810A-FF616B9CC95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Går kl. 12.00</t>
        </r>
      </text>
    </comment>
    <comment ref="AC242" authorId="6" shapeId="0" xr:uid="{8A9D8ECD-1338-4AD7-AAC3-C155E22E0101}">
      <text>
        <r>
          <rPr>
            <sz val="9"/>
            <rFont val="Arial"/>
            <family val="2"/>
          </rPr>
          <t xml:space="preserve">Michael Fabæch Knudsen:
Martin holder fri fra 8-10.30- og tager på Gl. Køgelandevej kl.11.00 </t>
        </r>
      </text>
    </comment>
    <comment ref="C243" authorId="0" shapeId="0" xr:uid="{4651FF80-2FC0-403D-9E71-A6DCEAEB4B7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KA.</t>
        </r>
      </text>
    </comment>
    <comment ref="N246" authorId="4" shapeId="0" xr:uid="{81D1DA38-65E4-4160-8588-7EB0EC6E8E3B}">
      <text>
        <r>
          <rPr>
            <sz val="9"/>
            <rFont val="Arial"/>
            <family val="2"/>
          </rPr>
          <t>Henrik Wolffbrandt Hansen:
Skal afløses</t>
        </r>
      </text>
    </comment>
    <comment ref="U246" authorId="4" shapeId="0" xr:uid="{40FA99A8-050E-4333-BC06-61F92F5FC37C}">
      <text>
        <r>
          <rPr>
            <sz val="9"/>
            <rFont val="Arial"/>
            <family val="2"/>
          </rPr>
          <t>Henrik Wolffbrandt Hansen:
Skal afløses</t>
        </r>
      </text>
    </comment>
    <comment ref="AB246" authorId="4" shapeId="0" xr:uid="{F8A86F55-A605-4C38-9A3C-EA0410AA2BAC}">
      <text>
        <r>
          <rPr>
            <sz val="9"/>
            <rFont val="Arial"/>
            <family val="2"/>
          </rPr>
          <t>Henrik Wolffbrandt Hansen:
Skal afløses</t>
        </r>
      </text>
    </comment>
    <comment ref="U292" authorId="7" shapeId="0" xr:uid="{285B08E4-54A3-4ACB-A04D-AE0E3EC9287A}">
      <text>
        <r>
          <rPr>
            <b/>
            <sz val="9"/>
            <color indexed="81"/>
            <rFont val="Tahoma"/>
            <family val="2"/>
          </rPr>
          <t>Lasse Aae-Hartwig:</t>
        </r>
        <r>
          <rPr>
            <sz val="9"/>
            <color indexed="81"/>
            <rFont val="Tahoma"/>
            <family val="2"/>
          </rPr>
          <t xml:space="preserve">
Er til fintælling ifgl aftale med THomas</t>
        </r>
      </text>
    </comment>
    <comment ref="U293" authorId="2" shapeId="0" xr:uid="{CE67B58D-9008-42D5-A573-14B9653195A1}">
      <text>
        <r>
          <rPr>
            <b/>
            <sz val="9"/>
            <color indexed="81"/>
            <rFont val="Tahoma"/>
            <family val="2"/>
          </rPr>
          <t>Sabina Taj:</t>
        </r>
        <r>
          <rPr>
            <sz val="9"/>
            <color indexed="81"/>
            <rFont val="Tahoma"/>
            <family val="2"/>
          </rPr>
          <t xml:space="preserve">
OA kl. 07:00-08:00</t>
        </r>
      </text>
    </comment>
    <comment ref="V293" authorId="2" shapeId="0" xr:uid="{CE53D15D-76ED-4616-8572-427B3DEA684D}">
      <text>
        <r>
          <rPr>
            <b/>
            <sz val="9"/>
            <color indexed="81"/>
            <rFont val="Tahoma"/>
            <family val="2"/>
          </rPr>
          <t>Sabina Taj:</t>
        </r>
        <r>
          <rPr>
            <sz val="9"/>
            <color indexed="81"/>
            <rFont val="Tahoma"/>
            <family val="2"/>
          </rPr>
          <t xml:space="preserve">
OA fra kl. 07:00-08:00</t>
        </r>
      </text>
    </comment>
    <comment ref="Z293" authorId="2" shapeId="0" xr:uid="{3F78EB55-38D7-4AFB-AC14-9ACEB06D540C}">
      <text>
        <r>
          <rPr>
            <b/>
            <sz val="9"/>
            <color indexed="81"/>
            <rFont val="Tahoma"/>
            <family val="2"/>
          </rPr>
          <t>Sabina Taj:</t>
        </r>
        <r>
          <rPr>
            <sz val="9"/>
            <color indexed="81"/>
            <rFont val="Tahoma"/>
            <family val="2"/>
          </rPr>
          <t xml:space="preserve">
OA til kl. 15:30</t>
        </r>
      </text>
    </comment>
    <comment ref="AA293" authorId="2" shapeId="0" xr:uid="{19B77CEC-5472-49CD-A1E6-AF20B06B912D}">
      <text>
        <r>
          <rPr>
            <b/>
            <sz val="9"/>
            <color indexed="81"/>
            <rFont val="Tahoma"/>
            <family val="2"/>
          </rPr>
          <t>Sabina Taj:</t>
        </r>
        <r>
          <rPr>
            <sz val="9"/>
            <color indexed="81"/>
            <rFont val="Tahoma"/>
            <family val="2"/>
          </rPr>
          <t xml:space="preserve">
OA til kl. 15:00</t>
        </r>
      </text>
    </comment>
    <comment ref="AB293" authorId="6" shapeId="0" xr:uid="{D0EDBA3B-B9F7-47F3-8811-92B917AB03F3}">
      <text>
        <r>
          <rPr>
            <sz val="9"/>
            <rFont val="Arial"/>
            <family val="2"/>
          </rPr>
          <t>Michael Fabæch Knudsen:
OA 14.30 - 15.30</t>
        </r>
      </text>
    </comment>
    <comment ref="AC293" authorId="6" shapeId="0" xr:uid="{E6F9E4A7-2D4C-49E1-8B0B-AA02B161BFD3}">
      <text>
        <r>
          <rPr>
            <sz val="9"/>
            <rFont val="Arial"/>
            <family val="2"/>
          </rPr>
          <t>Michael Fabæch Knudsen:
OA 14.30 - 15.30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Michael Fabæch Knudsen</author>
    <author>Steen Hertin-Sandkær</author>
    <author>Sabina Taj</author>
    <author>Alexander Henriksen</author>
    <author>Henrik Wolffbrandt Hansen</author>
    <author>Nikolaj Langtin Pamhede</author>
    <author>Nick Dahl-Lorentzen</author>
    <author>Lars Emil Hartvig Sørensen</author>
    <author>Thomas Holm</author>
    <author>Lasse Aae-Hartwig</author>
  </authors>
  <commentList>
    <comment ref="E17" authorId="0" shapeId="0" xr:uid="{28A176AA-459B-41C2-9663-E88EC152785E}">
      <text>
        <r>
          <rPr>
            <sz val="9"/>
            <rFont val="Arial"/>
            <family val="2"/>
          </rPr>
          <t>Michael Fabæch Knudsen:
OA 30 min. Lars Emil sov over sig</t>
        </r>
      </text>
    </comment>
    <comment ref="G17" authorId="0" shapeId="0" xr:uid="{E120A46E-755D-4B0C-98DB-7CC19A655A0D}">
      <text>
        <r>
          <rPr>
            <sz val="9"/>
            <rFont val="Arial"/>
            <family val="2"/>
          </rPr>
          <t>Michael Fabæch Knudsen:
OA 12.00 -14.00</t>
        </r>
      </text>
    </comment>
    <comment ref="I17" authorId="1" shapeId="0" xr:uid="{12C851D7-A01D-4B8E-B815-2259819D6BD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B-vagt på oa</t>
        </r>
      </text>
    </comment>
    <comment ref="AE17" authorId="2" shapeId="0" xr:uid="{8F19A466-78AD-4DDC-8618-ED6E7068D6A9}">
      <text>
        <r>
          <rPr>
            <sz val="9"/>
            <rFont val="Arial"/>
            <family val="2"/>
          </rPr>
          <t>Sabina Taj:
Michael er gået syg hjem 08.30</t>
        </r>
      </text>
    </comment>
    <comment ref="Q19" authorId="1" shapeId="0" xr:uid="{99B96C06-E43F-4D53-8C5D-10ADA769415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Lave runderings planen for julen med Steen</t>
        </r>
      </text>
    </comment>
    <comment ref="I20" authorId="1" shapeId="0" xr:uid="{486FCDEB-0EE4-4B2C-B7EC-708D30E8564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kl. 05.00 på oa før A-vagt</t>
        </r>
      </text>
    </comment>
    <comment ref="G21" authorId="3" shapeId="0" xr:uid="{9D5AAACE-A785-4003-B309-A83FE5B8DB71}">
      <text>
        <r>
          <rPr>
            <b/>
            <sz val="9"/>
            <color indexed="81"/>
            <rFont val="Tahoma"/>
            <family val="2"/>
          </rPr>
          <t>Alexander Henriksen:</t>
        </r>
        <r>
          <rPr>
            <sz val="9"/>
            <color indexed="81"/>
            <rFont val="Tahoma"/>
            <family val="2"/>
          </rPr>
          <t xml:space="preserve">
Gået fra V1-V4</t>
        </r>
      </text>
    </comment>
    <comment ref="K21" authorId="3" shapeId="0" xr:uid="{9CF7BCCC-A07B-46F0-8E23-4BE6712A1868}">
      <text>
        <r>
          <rPr>
            <b/>
            <sz val="9"/>
            <color indexed="81"/>
            <rFont val="Tahoma"/>
            <family val="2"/>
          </rPr>
          <t>Alexander Henriksen:</t>
        </r>
        <r>
          <rPr>
            <sz val="9"/>
            <color indexed="81"/>
            <rFont val="Tahoma"/>
            <family val="2"/>
          </rPr>
          <t xml:space="preserve">
Byttet til V4</t>
        </r>
      </text>
    </comment>
    <comment ref="G23" authorId="1" shapeId="0" xr:uid="{D9F80F56-A4E6-43D7-9AE4-E8542885051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Fuglebakken kl. 14.30</t>
        </r>
      </text>
    </comment>
    <comment ref="H23" authorId="1" shapeId="0" xr:uid="{C94A01D5-2CE7-4D25-815A-108F1EABDBE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B-vagt på oa</t>
        </r>
      </text>
    </comment>
    <comment ref="S23" authorId="1" shapeId="0" xr:uid="{49DF81AA-A79D-4756-B187-F8F022389A8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OA fra kl. 19.00 Vagtplan + RF1</t>
        </r>
      </text>
    </comment>
    <comment ref="AE23" authorId="1" shapeId="0" xr:uid="{FCF4C9F2-90E1-40A0-93FC-CAAF63107D7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AF23" authorId="1" shapeId="0" xr:uid="{52037C46-95B3-4A39-A869-510F975210C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kl. 11.30</t>
        </r>
      </text>
    </comment>
    <comment ref="AG23" authorId="1" shapeId="0" xr:uid="{6090024C-12AE-437A-9732-C89E5A1C337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kl. 13.30 - 04.00 som Ukraine vagt på oa.</t>
        </r>
      </text>
    </comment>
    <comment ref="C24" authorId="3" shapeId="0" xr:uid="{7A52ADB1-15AB-4D3A-BF72-BF468CE2221A}">
      <text>
        <r>
          <rPr>
            <b/>
            <sz val="9"/>
            <color indexed="81"/>
            <rFont val="Tahoma"/>
            <family val="2"/>
          </rPr>
          <t>Alexander Henriksen:</t>
        </r>
        <r>
          <rPr>
            <sz val="9"/>
            <color indexed="81"/>
            <rFont val="Tahoma"/>
            <family val="2"/>
          </rPr>
          <t xml:space="preserve">
Overarbejde 
06:45-08:30</t>
        </r>
      </text>
    </comment>
    <comment ref="K24" authorId="3" shapeId="0" xr:uid="{52BBC535-A9FA-42C8-A858-191EAF3AD130}">
      <text>
        <r>
          <rPr>
            <b/>
            <sz val="9"/>
            <color indexed="81"/>
            <rFont val="Tahoma"/>
            <family val="2"/>
          </rPr>
          <t>Alexander Henriksen:</t>
        </r>
        <r>
          <rPr>
            <sz val="9"/>
            <color indexed="81"/>
            <rFont val="Tahoma"/>
            <family val="2"/>
          </rPr>
          <t xml:space="preserve">
Byttet til V3</t>
        </r>
      </text>
    </comment>
    <comment ref="W26" authorId="0" shapeId="0" xr:uid="{8A1F2BE1-80E7-403D-9301-DF36D76A0B2C}">
      <text>
        <r>
          <rPr>
            <sz val="9"/>
            <rFont val="Arial"/>
            <family val="2"/>
          </rPr>
          <t>Michael Fabæch Knudsen:
Frederik Jensen Afspadser</t>
        </r>
      </text>
    </comment>
    <comment ref="AE26" authorId="2" shapeId="0" xr:uid="{EC11F799-3472-491E-AB4F-5780DF6B65FD}">
      <text>
        <r>
          <rPr>
            <b/>
            <sz val="9"/>
            <color indexed="81"/>
            <rFont val="Tahoma"/>
            <family val="2"/>
          </rPr>
          <t>Sabina Taj:</t>
        </r>
        <r>
          <rPr>
            <sz val="9"/>
            <color indexed="81"/>
            <rFont val="Tahoma"/>
            <family val="2"/>
          </rPr>
          <t xml:space="preserve">
Overtager Michaels vagt fra kl. 08:15 - 16:00</t>
        </r>
      </text>
    </comment>
    <comment ref="E27" authorId="4" shapeId="0" xr:uid="{D899F898-EAAC-47E2-A8D7-D98FAA4EFAEB}">
      <text>
        <r>
          <rPr>
            <sz val="9"/>
            <rFont val="Arial"/>
            <family val="2"/>
          </rPr>
          <t>Henrik Wolffbrandt Hansen:
FOA 
13.00 – 14.50 Fuglebakken</t>
        </r>
      </text>
    </comment>
    <comment ref="J27" authorId="1" shapeId="0" xr:uid="{7C69FCAD-90B4-4B9D-AEF5-9D23611F760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Teamsmøde kl. 13.00 - 14.00</t>
        </r>
      </text>
    </comment>
    <comment ref="K27" authorId="1" shapeId="0" xr:uid="{415F418B-9368-4965-A0A7-9EAE28E5F38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FOA hele dagen</t>
        </r>
      </text>
    </comment>
    <comment ref="L27" authorId="4" shapeId="0" xr:uid="{D1A23001-22DB-4919-961B-FF9A8C76F21D}">
      <text>
        <r>
          <rPr>
            <sz val="9"/>
            <rFont val="Arial"/>
            <family val="2"/>
          </rPr>
          <t>Henrik Wolffbrandt Hansen:
Brønshøjvej 12:00 - 15:45</t>
        </r>
      </text>
    </comment>
    <comment ref="M27" authorId="1" shapeId="0" xr:uid="{FBCD9CDB-3809-4F3E-9FBC-25D10E86DA2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Fuglebakken 09.00 - 11.00</t>
        </r>
      </text>
    </comment>
    <comment ref="Q27" authorId="1" shapeId="0" xr:uid="{95158745-1BCA-428A-819F-C0DDDDBC72A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Ansættels samtaler</t>
        </r>
      </text>
    </comment>
    <comment ref="S27" authorId="1" shapeId="0" xr:uid="{034E0200-1D36-4F72-8504-254213CD8A6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Ansættels samtaler</t>
        </r>
      </text>
    </comment>
    <comment ref="E28" authorId="4" shapeId="0" xr:uid="{1EFB233F-6E57-491B-9268-BD976810B113}">
      <text>
        <r>
          <rPr>
            <sz val="9"/>
            <rFont val="Arial"/>
            <family val="2"/>
          </rPr>
          <t>Henrik Wolffbrandt Hansen:
+ S vagt
OA fra 13:45 - 16:00</t>
        </r>
      </text>
    </comment>
    <comment ref="F28" authorId="5" shapeId="0" xr:uid="{867F639E-70B4-474B-97BC-19D1321637C1}">
      <text>
        <r>
          <rPr>
            <b/>
            <sz val="9"/>
            <color indexed="81"/>
            <rFont val="Tahoma"/>
            <family val="2"/>
          </rPr>
          <t xml:space="preserve">Steen Hertin-Sandkær:
</t>
        </r>
        <r>
          <rPr>
            <sz val="9"/>
            <color indexed="81"/>
            <rFont val="Tahoma"/>
            <family val="2"/>
          </rPr>
          <t>Hjælpe arragement service 9:30-11:30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28" authorId="1" shapeId="0" xr:uid="{97675D19-2F3B-43BF-965E-D5B12AF0236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Kørsel BM 07.00 - 08.30
+ standby 12.00 - 14.00 alt oa + kørsel kl. 16.00 - 19.00</t>
        </r>
      </text>
    </comment>
    <comment ref="I28" authorId="1" shapeId="0" xr:uid="{9C2988F8-17C1-44E7-B9F5-F5904FC7668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Køre forSUF  borgmester
6.30 - 11.00</t>
        </r>
      </text>
    </comment>
    <comment ref="K28" authorId="1" shapeId="0" xr:uid="{8CA2CD09-2729-44BC-BF8F-91062CB26E9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BM kørsel kl.13.34 - 17.45</t>
        </r>
      </text>
    </comment>
    <comment ref="M28" authorId="5" shapeId="0" xr:uid="{CC631FDD-A2AC-4297-A264-0C9912860E74}">
      <text>
        <r>
          <rPr>
            <b/>
            <sz val="9"/>
            <color indexed="81"/>
            <rFont val="Tahoma"/>
            <family val="2"/>
          </rPr>
          <t xml:space="preserve">Steen Hertin-Sandkær:
</t>
        </r>
        <r>
          <rPr>
            <sz val="9"/>
            <color indexed="81"/>
            <rFont val="Tahoma"/>
            <family val="2"/>
          </rPr>
          <t>Hjælpe arrangementservice 8:30-11:00</t>
        </r>
      </text>
    </comment>
    <comment ref="R28" authorId="6" shapeId="0" xr:uid="{0EA03ABA-F8F9-484F-8321-13BF056EA8AB}">
      <text>
        <r>
          <rPr>
            <b/>
            <sz val="9"/>
            <color indexed="81"/>
            <rFont val="Tahoma"/>
            <family val="2"/>
          </rPr>
          <t>Nick Dahl-Lorentzen:</t>
        </r>
        <r>
          <rPr>
            <sz val="9"/>
            <color indexed="81"/>
            <rFont val="Tahoma"/>
            <family val="2"/>
          </rPr>
          <t xml:space="preserve">
OA 3-vagt 13:45 - 15:30</t>
        </r>
      </text>
    </comment>
    <comment ref="S28" authorId="6" shapeId="0" xr:uid="{BCDCF514-3CEE-4D78-BE9C-9DDDE06CB773}">
      <text>
        <r>
          <rPr>
            <b/>
            <sz val="9"/>
            <color indexed="81"/>
            <rFont val="Tahoma"/>
            <family val="2"/>
          </rPr>
          <t>Nick Dahl-Lorentzen:</t>
        </r>
        <r>
          <rPr>
            <sz val="9"/>
            <color indexed="81"/>
            <rFont val="Tahoma"/>
            <family val="2"/>
          </rPr>
          <t xml:space="preserve">
OA 3-vagt 13:45 - 15:30
BM kørsel 08.00 -09.00</t>
        </r>
      </text>
    </comment>
    <comment ref="T28" authorId="1" shapeId="0" xr:uid="{EE757B4F-D560-4994-AA82-B7035FA3CC4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BM kørsel 21.30 - 22.45</t>
        </r>
      </text>
    </comment>
    <comment ref="AG28" authorId="1" shapeId="0" xr:uid="{937BE26B-4141-495C-AF1C-B8F2885080C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ikke 5 timer skal trækkes som ferie.</t>
        </r>
      </text>
    </comment>
    <comment ref="E45" authorId="1" shapeId="0" xr:uid="{AD1D2ACC-8C0A-4633-930A-760A214AEBF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Møser som 1-vagt på oa.</t>
        </r>
      </text>
    </comment>
    <comment ref="F45" authorId="7" shapeId="0" xr:uid="{606BFE8C-9AB7-47B3-A7E0-6114A902ADB5}">
      <text>
        <r>
          <rPr>
            <sz val="9"/>
            <rFont val="Arial"/>
            <family val="2"/>
          </rPr>
          <t xml:space="preserve">Lars Emil Hartvig Sørensen:
Bo Michelsen 
1-Vagt OA.
Tilgår sin planlagte 7-Vagt i forlængelse af 1-Vagt.  </t>
        </r>
      </text>
    </comment>
    <comment ref="G45" authorId="7" shapeId="0" xr:uid="{33AF3F6E-DC73-4DE7-9BD9-AE1883B3ECE4}">
      <text>
        <r>
          <rPr>
            <sz val="9"/>
            <rFont val="Arial"/>
            <family val="2"/>
          </rPr>
          <t xml:space="preserve">Lars Emil Hartvig Sørensen:
Bo Michelsen 
1-Vagt OA.
Tilgår sin planlagte 7-Vagt i forlængelse af 1-Vagt.   </t>
        </r>
      </text>
    </comment>
    <comment ref="O45" authorId="1" shapeId="0" xr:uid="{FFB18974-46C1-4747-B91E-4D592675C3F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21 på OA</t>
        </r>
      </text>
    </comment>
    <comment ref="P45" authorId="1" shapeId="0" xr:uid="{2A3A0864-1E9F-4B42-BB7C-082EE528BFC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21 på OA</t>
        </r>
      </text>
    </comment>
    <comment ref="Q45" authorId="4" shapeId="0" xr:uid="{5D97789E-6365-4CA6-B649-15991A437B0C}">
      <text>
        <r>
          <rPr>
            <sz val="9"/>
            <rFont val="Arial"/>
            <family val="2"/>
          </rPr>
          <t>Henrik Wolffbrandt Hansen:
Dækker O-vagten</t>
        </r>
      </text>
    </comment>
    <comment ref="R45" authorId="4" shapeId="0" xr:uid="{BA38A1F7-3B34-4778-A1A9-9D272B0C88B7}">
      <text>
        <r>
          <rPr>
            <sz val="9"/>
            <rFont val="Arial"/>
            <family val="2"/>
          </rPr>
          <t>Henrik Wolffbrandt Hansen:
Dækker O-vagten</t>
        </r>
      </text>
    </comment>
    <comment ref="S45" authorId="4" shapeId="0" xr:uid="{0A28D4FA-4491-4A9A-8A0B-42559930AFD5}">
      <text>
        <r>
          <rPr>
            <sz val="9"/>
            <rFont val="Arial"/>
            <family val="2"/>
          </rPr>
          <t>Henrik Wolffbrandt Hansen:
Dækker O-vagten</t>
        </r>
      </text>
    </comment>
    <comment ref="D47" authorId="0" shapeId="0" xr:uid="{8C98D29B-E8CF-49A0-BAE5-69E947C9185B}">
      <text>
        <r>
          <rPr>
            <sz val="9"/>
            <rFont val="Arial"/>
            <family val="2"/>
          </rPr>
          <t>Michael Fabæch Knudsen:
Thomas afspadser fra kl. 19.00 han er gået grundet er  syg.</t>
        </r>
      </text>
    </comment>
    <comment ref="J49" authorId="1" shapeId="0" xr:uid="{6F6E90FA-E3B2-4B15-BB7E-BCFC2AFB1A6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som O-vagt</t>
        </r>
      </text>
    </comment>
    <comment ref="L49" authorId="2" shapeId="0" xr:uid="{9CE8B8A4-FD9F-4141-9D93-27A7B4C4170E}">
      <text>
        <r>
          <rPr>
            <b/>
            <sz val="9"/>
            <color indexed="81"/>
            <rFont val="Tahoma"/>
            <family val="2"/>
          </rPr>
          <t>Sabina Taj:
Gammel køge landevej</t>
        </r>
        <r>
          <rPr>
            <sz val="9"/>
            <color indexed="81"/>
            <rFont val="Tahoma"/>
            <family val="2"/>
          </rPr>
          <t xml:space="preserve">
OA kl.14-15:30</t>
        </r>
      </text>
    </comment>
    <comment ref="M49" authorId="2" shapeId="0" xr:uid="{CB5FC25E-B945-4BC2-A854-00844AB0E035}">
      <text>
        <r>
          <rPr>
            <b/>
            <sz val="9"/>
            <color indexed="81"/>
            <rFont val="Tahoma"/>
            <family val="2"/>
          </rPr>
          <t>Sabina Taj:
Gammel køge landevej</t>
        </r>
        <r>
          <rPr>
            <sz val="9"/>
            <color indexed="81"/>
            <rFont val="Tahoma"/>
            <family val="2"/>
          </rPr>
          <t xml:space="preserve">
OA fra kl.14-18:00</t>
        </r>
      </text>
    </comment>
    <comment ref="N49" authorId="4" shapeId="0" xr:uid="{8DE3760B-67C8-4C55-9820-6D9BDDE92E72}">
      <text>
        <r>
          <rPr>
            <sz val="9"/>
            <rFont val="Arial"/>
            <family val="2"/>
          </rPr>
          <t>Henrik Wolffbrandt Hansen:
O-vagt 08.15 - 14.15</t>
        </r>
      </text>
    </comment>
    <comment ref="Q49" authorId="1" shapeId="0" xr:uid="{9515C641-BC07-422A-A8AA-21A65222C73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Jonas eller Kasper hjælper med at dække 23-vagten</t>
        </r>
      </text>
    </comment>
    <comment ref="R49" authorId="1" shapeId="0" xr:uid="{9E50EC9F-BE84-4EB1-B379-280975DABCC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Jonas eller Kasper hjælper med at dække 23-vagten</t>
        </r>
      </text>
    </comment>
    <comment ref="S49" authorId="1" shapeId="0" xr:uid="{3541A880-C3D6-4B8C-AD58-F46A54C31AF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Jonas eller Kasper hjælper med at dække 23-vagten</t>
        </r>
      </text>
    </comment>
    <comment ref="T49" authorId="1" shapeId="0" xr:uid="{0A83F3E7-636E-48C0-A5CA-400A30C4651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Jonas eller Kasper hjælper med at dække 23-vagten</t>
        </r>
      </text>
    </comment>
    <comment ref="U49" authorId="1" shapeId="0" xr:uid="{2DB005EE-A622-4488-B151-CF7012CD637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Jonas eller Kasper hjælper med at dække 23-vagten</t>
        </r>
      </text>
    </comment>
    <comment ref="D50" authorId="0" shapeId="0" xr:uid="{D901FD7E-DFEB-488F-B388-8A1544AE59E2}">
      <text>
        <r>
          <rPr>
            <sz val="9"/>
            <rFont val="Arial"/>
            <family val="2"/>
          </rPr>
          <t>Michael Fabæch Knudsen:
OA Vagt 8</t>
        </r>
      </text>
    </comment>
    <comment ref="E50" authorId="0" shapeId="0" xr:uid="{F7D6E0CA-6259-48A0-AB3D-08B6D3ACAB9C}">
      <text>
        <r>
          <rPr>
            <sz val="9"/>
            <rFont val="Arial"/>
            <family val="2"/>
          </rPr>
          <t>Michael Fabæch Knudsen:
OA vagt 5</t>
        </r>
      </text>
    </comment>
    <comment ref="K50" authorId="4" shapeId="0" xr:uid="{94A9923E-ABB0-4835-BC7A-6B743E3904BF}">
      <text>
        <r>
          <rPr>
            <sz val="9"/>
            <rFont val="Arial"/>
            <family val="2"/>
          </rPr>
          <t>Henrik Wolffbrandt Hansen:
OA Gassen 14:00-17:30</t>
        </r>
      </text>
    </comment>
    <comment ref="L50" authorId="4" shapeId="0" xr:uid="{51F7DE1C-1931-43AC-9DCC-98CDFD26EB3C}">
      <text>
        <r>
          <rPr>
            <sz val="9"/>
            <rFont val="Arial"/>
            <family val="2"/>
          </rPr>
          <t>Henrik Wolffbrandt Hansen:
OA Gassen 14:00-17:30</t>
        </r>
      </text>
    </comment>
    <comment ref="M50" authorId="4" shapeId="0" xr:uid="{40986AF5-1656-45B5-BA08-F0A77B232A50}">
      <text>
        <r>
          <rPr>
            <sz val="9"/>
            <rFont val="Arial"/>
            <family val="2"/>
          </rPr>
          <t>Henrik Wolffbrandt Hansen:
OA Gassen 14:00-17:30</t>
        </r>
      </text>
    </comment>
    <comment ref="N50" authorId="4" shapeId="0" xr:uid="{BE5AC9EE-CB82-484C-92F1-265C652A6F54}">
      <text>
        <r>
          <rPr>
            <sz val="9"/>
            <rFont val="Arial"/>
            <family val="2"/>
          </rPr>
          <t>Henrik Wolffbrandt Hansen:
OA Gassen 14:00-17:30</t>
        </r>
      </text>
    </comment>
    <comment ref="AD50" authorId="0" shapeId="0" xr:uid="{9B5BE164-84F4-4E3C-9E26-3D42E1305619}">
      <text>
        <r>
          <rPr>
            <sz val="9"/>
            <rFont val="Arial"/>
            <family val="2"/>
          </rPr>
          <t>Michael Fabæch Knudsen:
OA på KA. 19.00 - 00.30</t>
        </r>
      </text>
    </comment>
    <comment ref="D51" authorId="0" shapeId="0" xr:uid="{7F828349-3C9E-4013-8638-EC7D2059A646}">
      <text>
        <r>
          <rPr>
            <sz val="9"/>
            <rFont val="Arial"/>
            <family val="2"/>
          </rPr>
          <t>Michael Fabæch Knudsen:
Michael fri</t>
        </r>
      </text>
    </comment>
    <comment ref="E51" authorId="3" shapeId="0" xr:uid="{1AF6ED59-2A16-43CE-A13C-AF1C7FDB23B0}">
      <text>
        <r>
          <rPr>
            <b/>
            <sz val="9"/>
            <color indexed="81"/>
            <rFont val="Tahoma"/>
            <family val="2"/>
          </rPr>
          <t>Alexander Henriksen:</t>
        </r>
        <r>
          <rPr>
            <sz val="9"/>
            <color indexed="81"/>
            <rFont val="Tahoma"/>
            <family val="2"/>
          </rPr>
          <t xml:space="preserve">
Michael Går 14:30</t>
        </r>
      </text>
    </comment>
    <comment ref="G51" authorId="2" shapeId="0" xr:uid="{CCB1DD54-403F-442B-9C9C-24CBA15F9765}">
      <text>
        <r>
          <rPr>
            <b/>
            <sz val="9"/>
            <color indexed="81"/>
            <rFont val="Tahoma"/>
            <family val="2"/>
          </rPr>
          <t>Sabina Taj:</t>
        </r>
        <r>
          <rPr>
            <sz val="9"/>
            <color indexed="81"/>
            <rFont val="Tahoma"/>
            <family val="2"/>
          </rPr>
          <t xml:space="preserve">
OA fra kl. 16:00-16:30</t>
        </r>
      </text>
    </comment>
    <comment ref="U51" authorId="4" shapeId="0" xr:uid="{E1518366-611B-4C5B-B57B-168E303E8259}">
      <text>
        <r>
          <rPr>
            <sz val="9"/>
            <rFont val="Arial"/>
            <family val="2"/>
          </rPr>
          <t>Henrik Wolffbrandt Hansen:
OA 8-vagt</t>
        </r>
      </text>
    </comment>
    <comment ref="V51" authorId="1" shapeId="0" xr:uid="{6AF970C2-C008-4A75-8A3F-2E07ACABACFF}">
      <text>
        <r>
          <rPr>
            <sz val="9"/>
            <rFont val="Arial"/>
            <family val="2"/>
          </rPr>
          <t>Steen Hertin-Sandkær:
Dække 89-vagten
Går kl. 18:00</t>
        </r>
      </text>
    </comment>
    <comment ref="O54" authorId="1" shapeId="0" xr:uid="{2B84C752-604D-496E-B15E-1B3DA72E930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ikke</t>
        </r>
      </text>
    </comment>
    <comment ref="P54" authorId="1" shapeId="0" xr:uid="{5153B29C-CC6B-41F9-A01F-0DD74FE1F50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ikke</t>
        </r>
      </text>
    </comment>
    <comment ref="Q54" authorId="1" shapeId="0" xr:uid="{6E2C3BD8-A2FC-4DF0-B1C0-8A761291F4D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ikke</t>
        </r>
      </text>
    </comment>
    <comment ref="R54" authorId="1" shapeId="0" xr:uid="{0CDDFC96-FCB2-4178-ACB8-869133813E1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ikke</t>
        </r>
      </text>
    </comment>
    <comment ref="S54" authorId="1" shapeId="0" xr:uid="{8DCA549E-3795-4DAC-8DAE-6C39F66E3F0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ikke</t>
        </r>
      </text>
    </comment>
    <comment ref="T54" authorId="1" shapeId="0" xr:uid="{D7017324-F386-4853-BBA0-187F2CD8FA1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ikke</t>
        </r>
      </text>
    </comment>
    <comment ref="U54" authorId="1" shapeId="0" xr:uid="{9714DE58-19AE-4355-939A-DACEFB414AD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ikke</t>
        </r>
      </text>
    </comment>
    <comment ref="F56" authorId="0" shapeId="0" xr:uid="{602D7609-9433-4F26-B987-B252654007B7}">
      <text>
        <r>
          <rPr>
            <sz val="9"/>
            <rFont val="Arial"/>
            <family val="2"/>
          </rPr>
          <t>Michael Fabæch Knudsen:
OA 8 vagt</t>
        </r>
      </text>
    </comment>
    <comment ref="Z56" authorId="1" shapeId="0" xr:uid="{E2B3E0CE-5272-4C69-A885-B6339BA9375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som helligdag</t>
        </r>
      </text>
    </comment>
    <comment ref="AA56" authorId="1" shapeId="0" xr:uid="{66E8C686-8DB9-4104-B013-F0C8C41D3DD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som helligdag</t>
        </r>
      </text>
    </comment>
    <comment ref="AB56" authorId="1" shapeId="0" xr:uid="{C0EB7538-8A94-41D2-9AE8-31BC43163D7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som helligdag</t>
        </r>
      </text>
    </comment>
    <comment ref="C57" authorId="3" shapeId="0" xr:uid="{3092B49A-2263-4E6D-AFE2-69B1C7BDCF0C}">
      <text>
        <r>
          <rPr>
            <b/>
            <sz val="9"/>
            <color indexed="81"/>
            <rFont val="Tahoma"/>
            <family val="2"/>
          </rPr>
          <t>Alexander Henriksen:</t>
        </r>
        <r>
          <rPr>
            <sz val="9"/>
            <color indexed="81"/>
            <rFont val="Tahoma"/>
            <family val="2"/>
          </rPr>
          <t xml:space="preserve">
1´ Vagt på oa 
07:00-14:00</t>
        </r>
      </text>
    </comment>
    <comment ref="Q57" authorId="4" shapeId="0" xr:uid="{8A1A3034-A98C-4C32-86DD-9B8D6E57130B}">
      <text>
        <r>
          <rPr>
            <sz val="9"/>
            <rFont val="Arial"/>
            <family val="2"/>
          </rPr>
          <t>Henrik Wolffbrandt Hansen:
OA 8'er</t>
        </r>
      </text>
    </comment>
    <comment ref="R57" authorId="4" shapeId="0" xr:uid="{8B692D65-7319-4AEC-A489-E22A22D65FD4}">
      <text>
        <r>
          <rPr>
            <sz val="9"/>
            <rFont val="Arial"/>
            <family val="2"/>
          </rPr>
          <t>Henrik Wolffbrandt Hansen:
OA 8'er</t>
        </r>
      </text>
    </comment>
    <comment ref="S57" authorId="4" shapeId="0" xr:uid="{A23AC3A6-648B-4624-B712-28B9682982FF}">
      <text>
        <r>
          <rPr>
            <sz val="9"/>
            <rFont val="Arial"/>
            <family val="2"/>
          </rPr>
          <t>Henrik Wolffbrandt Hansen:
OA 8'er</t>
        </r>
      </text>
    </comment>
    <comment ref="T57" authorId="4" shapeId="0" xr:uid="{304088BE-2A74-423B-8856-EFD646982BF7}">
      <text>
        <r>
          <rPr>
            <sz val="9"/>
            <rFont val="Arial"/>
            <family val="2"/>
          </rPr>
          <t>Henrik Wolffbrandt Hansen:
OA 8'er</t>
        </r>
      </text>
    </comment>
    <comment ref="Z57" authorId="1" shapeId="0" xr:uid="{250AD1D9-663D-4EDE-A801-63628A4234E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som helligdag</t>
        </r>
      </text>
    </comment>
    <comment ref="AA57" authorId="1" shapeId="0" xr:uid="{05C09BB0-52D2-42B3-85F1-8BA705C6486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som helligdag</t>
        </r>
      </text>
    </comment>
    <comment ref="AB57" authorId="1" shapeId="0" xr:uid="{39477191-E23A-487F-9EA2-57CF4DE0F3E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som helligdag</t>
        </r>
      </text>
    </comment>
    <comment ref="AG57" authorId="0" shapeId="0" xr:uid="{EE0FDB5B-65D6-4CDE-A518-61E539276B02}">
      <text>
        <r>
          <rPr>
            <sz val="9"/>
            <rFont val="Arial"/>
            <family val="2"/>
          </rPr>
          <t>Michael Fabæch Knudsen:
OA 1 vagt . 1,5 time</t>
        </r>
      </text>
    </comment>
    <comment ref="U59" authorId="3" shapeId="0" xr:uid="{1538C522-B63A-4DA9-B1BE-7DA790D7F1F2}">
      <text>
        <r>
          <rPr>
            <b/>
            <sz val="9"/>
            <color indexed="81"/>
            <rFont val="Tahoma"/>
            <family val="2"/>
          </rPr>
          <t>Alexander Henriksen:</t>
        </r>
        <r>
          <rPr>
            <sz val="9"/>
            <color indexed="81"/>
            <rFont val="Tahoma"/>
            <family val="2"/>
          </rPr>
          <t xml:space="preserve">
Malik Møder som 4 vagt 
i stedet for Lasse</t>
        </r>
      </text>
    </comment>
    <comment ref="Z59" authorId="1" shapeId="0" xr:uid="{3163BEC9-187E-482D-A077-861166F6E5E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som helligdag</t>
        </r>
      </text>
    </comment>
    <comment ref="AA59" authorId="1" shapeId="0" xr:uid="{690C7FCB-68B5-4F82-88AD-47C2F46BDCB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som helligdag</t>
        </r>
      </text>
    </comment>
    <comment ref="AB59" authorId="1" shapeId="0" xr:uid="{60698E67-2A98-48A6-A6F0-91C60FCB32F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som helligdag</t>
        </r>
      </text>
    </comment>
    <comment ref="S63" authorId="1" shapeId="0" xr:uid="{BF33DFEC-A0AD-4998-B77B-D08180F787F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Ikke mødt</t>
        </r>
      </text>
    </comment>
    <comment ref="G64" authorId="1" shapeId="0" xr:uid="{200BAF1C-7C3C-471F-8E1B-5476520400B4}">
      <text>
        <r>
          <rPr>
            <sz val="9"/>
            <rFont val="Arial"/>
            <family val="2"/>
          </rPr>
          <t>Steen Hertin-Sandkær:
TUA 09:30 - 14:30
Fuglebakken kl. 14.30
OA fra kl. 14.30</t>
        </r>
      </text>
    </comment>
    <comment ref="I64" authorId="4" shapeId="0" xr:uid="{E37BD048-2D45-48C9-9929-61452D0F81D0}">
      <text>
        <r>
          <rPr>
            <sz val="9"/>
            <rFont val="Arial"/>
            <family val="2"/>
          </rPr>
          <t>Henrik Wolffbrandt Hansen:
TUA 12:40 - 13:40</t>
        </r>
      </text>
    </comment>
    <comment ref="J64" authorId="4" shapeId="0" xr:uid="{EB4A7E67-08BE-467B-8560-50DCDE6C1305}">
      <text>
        <r>
          <rPr>
            <sz val="9"/>
            <rFont val="Arial"/>
            <family val="2"/>
          </rPr>
          <t>Henrik Wolffbrandt Hansen:
TUA
11:00 - 12:30
14:15 - 02:40</t>
        </r>
      </text>
    </comment>
    <comment ref="K64" authorId="4" shapeId="0" xr:uid="{2625A96C-B9C5-43B6-9F09-968A755E7C50}">
      <text>
        <r>
          <rPr>
            <sz val="9"/>
            <rFont val="Arial"/>
            <family val="2"/>
          </rPr>
          <t>Henrik Wolffbrandt Hansen:
TUA
17:15 - 18:30</t>
        </r>
      </text>
    </comment>
    <comment ref="L64" authorId="4" shapeId="0" xr:uid="{9F26DF08-9AB4-47FB-926F-0CA19468F076}">
      <text>
        <r>
          <rPr>
            <sz val="9"/>
            <rFont val="Arial"/>
            <family val="2"/>
          </rPr>
          <t>Henrik Wolffbrandt Hansen:
TUA
06:00 - 14:15
OA Rentemestervej</t>
        </r>
      </text>
    </comment>
    <comment ref="M64" authorId="4" shapeId="0" xr:uid="{EC20FC6A-8AAD-449D-BF66-539042DF4136}">
      <text>
        <r>
          <rPr>
            <sz val="9"/>
            <rFont val="Arial"/>
            <family val="2"/>
          </rPr>
          <t>Henrik Wolffbrandt Hansen:
TUA
06:15 - 13:00</t>
        </r>
      </text>
    </comment>
    <comment ref="N64" authorId="4" shapeId="0" xr:uid="{1EB3C038-DE39-4FF0-86C5-B43CEF694BF5}">
      <text>
        <r>
          <rPr>
            <sz val="9"/>
            <rFont val="Arial"/>
            <family val="2"/>
          </rPr>
          <t>Henrik Wolffbrandt Hansen:
TUA
10:00 - 14:00</t>
        </r>
      </text>
    </comment>
    <comment ref="Q64" authorId="4" shapeId="0" xr:uid="{411584A7-05D3-467E-8B81-587975C9B309}">
      <text>
        <r>
          <rPr>
            <sz val="9"/>
            <rFont val="Arial"/>
            <family val="2"/>
          </rPr>
          <t>Henrik Wolffbrandt Hansen:
TUA
06:00 - 10:15
11:00 - 17:30</t>
        </r>
      </text>
    </comment>
    <comment ref="R64" authorId="4" shapeId="0" xr:uid="{1E48246B-F994-41A4-8E4A-AE3E66E9BC09}">
      <text>
        <r>
          <rPr>
            <sz val="9"/>
            <rFont val="Arial"/>
            <family val="2"/>
          </rPr>
          <t>Henrik Wolffbrandt Hansen:
TUA
06:00 - 17:30</t>
        </r>
      </text>
    </comment>
    <comment ref="S64" authorId="4" shapeId="0" xr:uid="{5829B8C4-07EA-43DD-85AA-07DCE4B56342}">
      <text>
        <r>
          <rPr>
            <sz val="9"/>
            <rFont val="Arial"/>
            <family val="2"/>
          </rPr>
          <t>Henrik Wolffbrandt Hansen:
TUA
08:15 - 10:00
11:15 - 17:00</t>
        </r>
      </text>
    </comment>
    <comment ref="T64" authorId="4" shapeId="0" xr:uid="{B8FFC414-A52C-4557-AD7E-8F42022E76C4}">
      <text>
        <r>
          <rPr>
            <sz val="9"/>
            <rFont val="Arial"/>
            <family val="2"/>
          </rPr>
          <t>Henrik Wolffbrandt Hansen:
06:00 - 08:30
10:00 - 18:30</t>
        </r>
      </text>
    </comment>
    <comment ref="U64" authorId="4" shapeId="0" xr:uid="{A424A7F8-274F-44A1-9B54-90CA080855C7}">
      <text>
        <r>
          <rPr>
            <sz val="9"/>
            <rFont val="Arial"/>
            <family val="2"/>
          </rPr>
          <t>Henrik Wolffbrandt Hansen:
TUA
06:45 - 17:30</t>
        </r>
      </text>
    </comment>
    <comment ref="X64" authorId="4" shapeId="0" xr:uid="{73607DE1-B411-4898-8C70-2DAF21E5AA0A}">
      <text>
        <r>
          <rPr>
            <sz val="9"/>
            <rFont val="Arial"/>
            <family val="2"/>
          </rPr>
          <t>Henrik Wolffbrandt Hansen:
TUA
09:00 - 13:15</t>
        </r>
      </text>
    </comment>
    <comment ref="Y64" authorId="4" shapeId="0" xr:uid="{AD177894-3E00-4221-AB60-2A7B8B2BC642}">
      <text>
        <r>
          <rPr>
            <sz val="9"/>
            <rFont val="Arial"/>
            <family val="2"/>
          </rPr>
          <t>Henrik Wolffbrandt Hansen:
TUA
12:30 - 17:30</t>
        </r>
      </text>
    </comment>
    <comment ref="Z64" authorId="4" shapeId="0" xr:uid="{1A02E7C3-451C-4863-84F3-892F9668BCCE}">
      <text>
        <r>
          <rPr>
            <sz val="9"/>
            <rFont val="Arial"/>
            <family val="2"/>
          </rPr>
          <t>Henrik Wolffbrandt Hansen:
TUA
11:30 - 12:30</t>
        </r>
      </text>
    </comment>
    <comment ref="AE64" authorId="4" shapeId="0" xr:uid="{8BE534F9-52AB-4E99-9222-4B7BE3574017}">
      <text>
        <r>
          <rPr>
            <sz val="9"/>
            <rFont val="Arial"/>
            <family val="2"/>
          </rPr>
          <t>Henrik Wolffbrandt Hansen:
TUA
06:00 - 15:30
20:15 - 21_30</t>
        </r>
      </text>
    </comment>
    <comment ref="AF64" authorId="4" shapeId="0" xr:uid="{179F991B-AE8F-4096-9133-0F0C6EB7410C}">
      <text>
        <r>
          <rPr>
            <sz val="9"/>
            <rFont val="Arial"/>
            <family val="2"/>
          </rPr>
          <t>Henrik Wolffbrandt Hansen:
TUA
12:00 - 17:00</t>
        </r>
      </text>
    </comment>
    <comment ref="AG64" authorId="1" shapeId="0" xr:uid="{2B89964F-99C7-4B65-900D-576FCC428F00}">
      <text>
        <r>
          <rPr>
            <sz val="9"/>
            <rFont val="Arial"/>
            <family val="2"/>
          </rPr>
          <t>Steen Hertin-Sandkær:
TUA
Afspadsering 5 timer
Ukraine vagt på oa.
15:00 - 04:30</t>
        </r>
      </text>
    </comment>
    <comment ref="E65" authorId="1" shapeId="0" xr:uid="{4EC6FE83-7CC6-4A20-AA1B-6A433B377FB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Brønshøjvej 1200-15.45
OA fra 15:30
+ 6 vagt på OA 16-23</t>
        </r>
      </text>
    </comment>
    <comment ref="F65" authorId="3" shapeId="0" xr:uid="{955ECDB3-9219-4A6E-9AAD-814D4D063173}">
      <text>
        <r>
          <rPr>
            <b/>
            <sz val="9"/>
            <color indexed="81"/>
            <rFont val="Tahoma"/>
            <family val="2"/>
          </rPr>
          <t>Alexander Henriksen:</t>
        </r>
        <r>
          <rPr>
            <sz val="9"/>
            <color indexed="81"/>
            <rFont val="Tahoma"/>
            <family val="2"/>
          </rPr>
          <t xml:space="preserve">
6 vagt på OA</t>
        </r>
      </text>
    </comment>
    <comment ref="G65" authorId="3" shapeId="0" xr:uid="{1E603E54-E801-4E5B-BB4C-F005A09FC6E8}">
      <text>
        <r>
          <rPr>
            <sz val="9"/>
            <rFont val="Arial"/>
            <family val="2"/>
          </rPr>
          <t>Alexander Henriksen:
fra kl. 14.00
5 vagt  OA</t>
        </r>
      </text>
    </comment>
    <comment ref="N67" authorId="7" shapeId="0" xr:uid="{D852ABE4-81EC-4768-896A-6F4FDD7BA35B}">
      <text>
        <r>
          <rPr>
            <b/>
            <sz val="9"/>
            <color indexed="81"/>
            <rFont val="Tahoma"/>
            <family val="2"/>
          </rPr>
          <t>Lars Emil Hartvig Sørensen:</t>
        </r>
        <r>
          <rPr>
            <sz val="9"/>
            <color indexed="81"/>
            <rFont val="Tahoma"/>
            <family val="2"/>
          </rPr>
          <t xml:space="preserve">
Afspadsering
05:00 - 06:00</t>
        </r>
      </text>
    </comment>
    <comment ref="R67" authorId="0" shapeId="0" xr:uid="{23F0392B-500D-46F1-A00B-AF90704D6A3A}">
      <text>
        <r>
          <rPr>
            <sz val="9"/>
            <rFont val="Arial"/>
            <family val="2"/>
          </rPr>
          <t>Michael Fabæch Knudsen:
Kenneth møder på 4 vagt. men møder først kl. 11.30</t>
        </r>
      </text>
    </comment>
    <comment ref="T67" authorId="1" shapeId="0" xr:uid="{7852B40A-48E6-40E2-9090-531B062C00F6}">
      <text>
        <r>
          <rPr>
            <b/>
            <sz val="9"/>
            <color indexed="81"/>
            <rFont val="Tahoma"/>
            <family val="2"/>
          </rPr>
          <t>Steen Hertin-Sandkær:
Møder kl. 07.00 - 15.00</t>
        </r>
      </text>
    </comment>
    <comment ref="U67" authorId="1" shapeId="0" xr:uid="{B8D9B670-C4C6-4FE3-9DE7-6FA232141540}">
      <text>
        <r>
          <rPr>
            <b/>
            <sz val="9"/>
            <color indexed="81"/>
            <rFont val="Tahoma"/>
            <family val="2"/>
          </rPr>
          <t>Steen Hertin-Sandkær:
Møder kl. 07.00 - 15.00</t>
        </r>
      </text>
    </comment>
    <comment ref="D68" authorId="1" shapeId="0" xr:uid="{3E2CDB38-5610-41F6-9E63-6BFFE512A7DB}">
      <text>
        <r>
          <rPr>
            <sz val="9"/>
            <rFont val="Arial"/>
            <family val="2"/>
          </rPr>
          <t>Steen Hertin-Sandkær:
Møder 08.15 - 16.00.
Dimitrios afs. fra 11.30 - 16.00</t>
        </r>
      </text>
    </comment>
    <comment ref="E68" authorId="1" shapeId="0" xr:uid="{337119AC-6279-49C0-ACCE-D2C8B38F40A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08.15 - 16.00
OA 16:00-17:30 
Gasværks skole</t>
        </r>
      </text>
    </comment>
    <comment ref="F68" authorId="1" shapeId="0" xr:uid="{CE52E28E-D59F-46F5-8EF5-227621F7A29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08.15 - 16.00
OA 16:00-17:30</t>
        </r>
      </text>
    </comment>
    <comment ref="G68" authorId="3" shapeId="0" xr:uid="{69F4540A-78BF-477A-8835-1B2AA25B53AF}">
      <text>
        <r>
          <rPr>
            <b/>
            <sz val="9"/>
            <color indexed="81"/>
            <rFont val="Tahoma"/>
            <family val="2"/>
          </rPr>
          <t>Alexander Henriksen:</t>
        </r>
        <r>
          <rPr>
            <sz val="9"/>
            <color indexed="81"/>
            <rFont val="Tahoma"/>
            <family val="2"/>
          </rPr>
          <t xml:space="preserve">
Møder 08.15 - 14.15
på Gammel Køge landevej - O VAGT</t>
        </r>
      </text>
    </comment>
    <comment ref="AG69" authorId="1" shapeId="0" xr:uid="{74E14459-8057-419A-90A4-F98592A04D4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Afsp 5 timer</t>
        </r>
      </text>
    </comment>
    <comment ref="D70" authorId="3" shapeId="0" xr:uid="{92B3C66D-348C-4F29-92E2-84C0D0AD2EAA}">
      <text>
        <r>
          <rPr>
            <b/>
            <sz val="9"/>
            <color indexed="81"/>
            <rFont val="Tahoma"/>
            <family val="2"/>
          </rPr>
          <t>Alexander Henriksen:</t>
        </r>
        <r>
          <rPr>
            <sz val="9"/>
            <color indexed="81"/>
            <rFont val="Tahoma"/>
            <family val="2"/>
          </rPr>
          <t xml:space="preserve">
Dækker O vagt og vender tilbage til Rådhuset efter</t>
        </r>
      </text>
    </comment>
    <comment ref="E70" authorId="3" shapeId="0" xr:uid="{042F1F6C-48C9-4474-AB5B-292049CBF271}">
      <text>
        <r>
          <rPr>
            <b/>
            <sz val="9"/>
            <color indexed="81"/>
            <rFont val="Tahoma"/>
            <family val="2"/>
          </rPr>
          <t>Alexander Henriksen:</t>
        </r>
        <r>
          <rPr>
            <sz val="9"/>
            <color indexed="81"/>
            <rFont val="Tahoma"/>
            <family val="2"/>
          </rPr>
          <t xml:space="preserve">
Dækker O vagt
og vender tilbage til Rådhuset efter
</t>
        </r>
      </text>
    </comment>
    <comment ref="F70" authorId="3" shapeId="0" xr:uid="{D69FC995-3FE1-4DBE-ADF4-0F1951B294F4}">
      <text>
        <r>
          <rPr>
            <b/>
            <sz val="9"/>
            <color indexed="81"/>
            <rFont val="Tahoma"/>
            <family val="2"/>
          </rPr>
          <t>Alexander Henriksen:</t>
        </r>
        <r>
          <rPr>
            <sz val="9"/>
            <color indexed="81"/>
            <rFont val="Tahoma"/>
            <family val="2"/>
          </rPr>
          <t xml:space="preserve">
Dækker O vagt gammelkøge landevej.
OA 09:00 - 09:30
OA 17:30 - 18:00</t>
        </r>
      </text>
    </comment>
    <comment ref="G70" authorId="8" shapeId="0" xr:uid="{87F71A0F-EC26-4556-A205-1B0AFB3328A2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OA til kl. 23.00</t>
        </r>
      </text>
    </comment>
    <comment ref="Q70" authorId="4" shapeId="0" xr:uid="{B67A9CBD-6CEF-408D-BEB2-2CA877E92729}">
      <text>
        <r>
          <rPr>
            <sz val="9"/>
            <rFont val="Arial"/>
            <family val="2"/>
          </rPr>
          <t>Henrik Wolffbrandt Hansen:
Dækker G vagt
OA fra 14:00 - 15:00</t>
        </r>
      </text>
    </comment>
    <comment ref="R70" authorId="4" shapeId="0" xr:uid="{89ED74B9-AF19-4F18-BFF4-1B3BB7DE3C42}">
      <text>
        <r>
          <rPr>
            <sz val="9"/>
            <rFont val="Arial"/>
            <family val="2"/>
          </rPr>
          <t>Henrik Wolffbrandt Hansen:
Dækker G vagt
OA fra 14:00 - 15:00</t>
        </r>
      </text>
    </comment>
    <comment ref="S70" authorId="4" shapeId="0" xr:uid="{3DA6F53D-0049-43F4-A744-60896263A0C2}">
      <text>
        <r>
          <rPr>
            <sz val="9"/>
            <rFont val="Arial"/>
            <family val="2"/>
          </rPr>
          <t>Henrik Wolffbrandt Hansen:
Dækker G vagt</t>
        </r>
      </text>
    </comment>
    <comment ref="T70" authorId="4" shapeId="0" xr:uid="{6C29CA46-7A21-4CEF-B175-376C53DEAF52}">
      <text>
        <r>
          <rPr>
            <sz val="9"/>
            <rFont val="Arial"/>
            <family val="2"/>
          </rPr>
          <t xml:space="preserve">Henrik Wolffbrandt Hansen:
G vagt på OA </t>
        </r>
      </text>
    </comment>
    <comment ref="V70" authorId="4" shapeId="0" xr:uid="{DB75061F-1A9B-486E-A8D3-D47AF032B5A0}">
      <text>
        <r>
          <rPr>
            <sz val="9"/>
            <rFont val="Arial"/>
            <family val="2"/>
          </rPr>
          <t>Henrik Wolffbrandt Hansen:
OA 17:45 - 19:00</t>
        </r>
      </text>
    </comment>
    <comment ref="AG70" authorId="4" shapeId="0" xr:uid="{7D3B726B-C94A-40F2-ABD7-A4823D1E7A3E}">
      <text>
        <r>
          <rPr>
            <sz val="9"/>
            <rFont val="Arial"/>
            <family val="2"/>
          </rPr>
          <t>Henrik Wolffbrandt Hansen:
Dækker Reffen fra 11:30 - 17:30</t>
        </r>
      </text>
    </comment>
    <comment ref="G71" authorId="1" shapeId="0" xr:uid="{66C070E7-3584-41C3-B603-7B94AC0B169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% tjenste</t>
        </r>
      </text>
    </comment>
    <comment ref="Q71" authorId="1" shapeId="0" xr:uid="{5F6030A4-71AA-43B8-9BC9-3D112A58C6E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Skal selv betale ferie</t>
        </r>
      </text>
    </comment>
    <comment ref="R71" authorId="1" shapeId="0" xr:uid="{3BD6AEC3-A2CC-45B1-9A59-9060AD61291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Skal selv betale ferie</t>
        </r>
      </text>
    </comment>
    <comment ref="S71" authorId="1" shapeId="0" xr:uid="{4B00B157-D159-4F35-8BD9-923ECEE415C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Skal selv betale ferie</t>
        </r>
      </text>
    </comment>
    <comment ref="T71" authorId="1" shapeId="0" xr:uid="{869100CC-7F3D-4A02-A966-0A07EB5C929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Skal selv betale ferie</t>
        </r>
      </text>
    </comment>
    <comment ref="U71" authorId="1" shapeId="0" xr:uid="{1A569CF6-D372-4EBC-A705-1BEDA133042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Skal selv betale ferie</t>
        </r>
      </text>
    </comment>
    <comment ref="C72" authorId="4" shapeId="0" xr:uid="{0FE0CFDC-E5A3-4FC3-9BC2-FE710A2EBA53}">
      <text>
        <r>
          <rPr>
            <sz val="9"/>
            <rFont val="Arial"/>
            <family val="2"/>
          </rPr>
          <t xml:space="preserve">Henrik Wolffbrandt Hansen:
Gassen 14:00 - 17:30
OA 14:00-16:30
Lars Emil Hartvig Sørensen
OA. 5-vagt
30min
</t>
        </r>
      </text>
    </comment>
    <comment ref="D72" authorId="4" shapeId="0" xr:uid="{322623B4-6B60-4469-B717-286634B7113F}">
      <text>
        <r>
          <rPr>
            <sz val="9"/>
            <rFont val="Arial"/>
            <family val="2"/>
          </rPr>
          <t>Henrik Wolffbrandt Hansen:
Gassen 14:00 - 17:30
OA 14:00-16:30</t>
        </r>
      </text>
    </comment>
    <comment ref="F72" authorId="4" shapeId="0" xr:uid="{57DE877E-7D79-4C7B-B3CD-99A173A4E4DB}">
      <text>
        <r>
          <rPr>
            <sz val="9"/>
            <rFont val="Arial"/>
            <family val="2"/>
          </rPr>
          <t>Henrik Wolffbrandt Hansen:
Gassen 14:00 - 17:30
OA 14:00-16:30</t>
        </r>
      </text>
    </comment>
    <comment ref="G72" authorId="4" shapeId="0" xr:uid="{58146C02-58E2-4E88-AB02-F52C0C1A21F4}">
      <text>
        <r>
          <rPr>
            <sz val="9"/>
            <rFont val="Arial"/>
            <family val="2"/>
          </rPr>
          <t>Henrik Wolffbrandt Hansen:
Gassen 14:00 - 17:30
OA 14:00-16:30</t>
        </r>
      </text>
    </comment>
    <comment ref="J72" authorId="1" shapeId="0" xr:uid="{BEACB7BC-C8EB-4470-BC1A-821CC01671B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Speditørvej oplæring 21.00 - 23.00</t>
        </r>
      </text>
    </comment>
    <comment ref="K72" authorId="1" shapeId="0" xr:uid="{8FB94E5C-8A37-4E2A-B37A-8992A3BE788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SP1 oa</t>
        </r>
      </text>
    </comment>
    <comment ref="N72" authorId="1" shapeId="0" xr:uid="{42F55777-FEA0-42F6-A548-E38D5312983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Ekstra aften 16.00 - 23.30</t>
        </r>
      </text>
    </comment>
    <comment ref="O72" authorId="4" shapeId="0" xr:uid="{CC122159-4738-421B-A953-4BE8232D9E22}">
      <text>
        <r>
          <rPr>
            <sz val="9"/>
            <rFont val="Arial"/>
            <family val="2"/>
          </rPr>
          <t>Henrik Wolffbrandt Hansen:
OA A2</t>
        </r>
      </text>
    </comment>
    <comment ref="P72" authorId="4" shapeId="0" xr:uid="{03EB1849-BF43-4971-8CD1-1C8A7330AC8E}">
      <text>
        <r>
          <rPr>
            <sz val="9"/>
            <rFont val="Arial"/>
            <family val="2"/>
          </rPr>
          <t>Henrik Wolffbrandt Hansen:
OA A2</t>
        </r>
      </text>
    </comment>
    <comment ref="R72" authorId="4" shapeId="0" xr:uid="{BE2EA5A7-B1A2-40B1-9642-6F78624B99A2}">
      <text>
        <r>
          <rPr>
            <sz val="9"/>
            <rFont val="Arial"/>
            <family val="2"/>
          </rPr>
          <t>Henrik Wolffbrandt Hansen:
OA 23:30 til 00:20</t>
        </r>
      </text>
    </comment>
    <comment ref="S72" authorId="4" shapeId="0" xr:uid="{F990DD50-EE29-4CB7-9758-762B483B7082}">
      <text>
        <r>
          <rPr>
            <sz val="9"/>
            <rFont val="Arial"/>
            <family val="2"/>
          </rPr>
          <t>Henrik Wolffbrandt Hansen:
Gassen 14:00 - 17:30
OA 14:00-16:30</t>
        </r>
      </text>
    </comment>
    <comment ref="AE72" authorId="4" shapeId="0" xr:uid="{F6A8F849-5348-4593-A5A0-50FD70B1AF58}">
      <text>
        <r>
          <rPr>
            <sz val="9"/>
            <rFont val="Arial"/>
            <family val="2"/>
          </rPr>
          <t>Henrik Wolffbrandt Hansen:
OA RF3</t>
        </r>
      </text>
    </comment>
    <comment ref="AF72" authorId="4" shapeId="0" xr:uid="{AF346ED5-D723-481A-AD36-9ED257DC97D8}">
      <text>
        <r>
          <rPr>
            <sz val="9"/>
            <rFont val="Arial"/>
            <family val="2"/>
          </rPr>
          <t>Henrik Wolffbrandt Hansen:
RF3</t>
        </r>
      </text>
    </comment>
    <comment ref="G73" authorId="0" shapeId="0" xr:uid="{8488C829-444E-4D55-A194-558DD5749CCB}">
      <text>
        <r>
          <rPr>
            <sz val="9"/>
            <rFont val="Arial"/>
            <family val="2"/>
          </rPr>
          <t>Michael Fabæch Knudsen:
OA 8 vagt</t>
        </r>
      </text>
    </comment>
    <comment ref="E75" authorId="1" shapeId="0" xr:uid="{0201F912-8E09-4556-9E0D-1B98A739DFC0}">
      <text>
        <r>
          <rPr>
            <sz val="9"/>
            <rFont val="Arial"/>
            <family val="2"/>
          </rPr>
          <t>Steen Hertin-Sandkær:
Møder kl. 20.30 - 08.30
Skal oplæres i lokationer Toni  ikke kan.
Toni mødte op på rådhuset, han er sendt til Sjællandsgade kl. ca. 22.30
Michael
OA. 08:30-09:00</t>
        </r>
      </text>
    </comment>
    <comment ref="F75" authorId="1" shapeId="0" xr:uid="{7D8DF295-FB9E-40C3-BD03-AD1D7BC0094F}">
      <text>
        <r>
          <rPr>
            <sz val="9"/>
            <rFont val="Arial"/>
            <family val="2"/>
          </rPr>
          <t>Steen Hertin-Sandkær:
Møder kl. 20.30 - 08.30
Skal oplæres i lokationer Toni  ikke kan.
Toni møder direkte på Otteliavej 20.30 Michael</t>
        </r>
      </text>
    </comment>
    <comment ref="H75" authorId="4" shapeId="0" xr:uid="{628105BD-748F-40F9-9875-CFCC082D83BD}">
      <text>
        <r>
          <rPr>
            <sz val="9"/>
            <rFont val="Arial"/>
            <family val="2"/>
          </rPr>
          <t>Henrik Wolffbrandt Hansen:
OA RF2</t>
        </r>
      </text>
    </comment>
    <comment ref="AA75" authorId="4" shapeId="0" xr:uid="{16FE0F3F-2FC4-4819-9AC6-F1B85D25E983}">
      <text>
        <r>
          <rPr>
            <sz val="9"/>
            <rFont val="Arial"/>
            <family val="2"/>
          </rPr>
          <t>Henrik Wolffbrandt Hansen:
OA Reffen 11:30 - 17:30</t>
        </r>
      </text>
    </comment>
    <comment ref="AB75" authorId="4" shapeId="0" xr:uid="{10C910DB-270D-4C59-9506-C2BD47176125}">
      <text>
        <r>
          <rPr>
            <sz val="9"/>
            <rFont val="Arial"/>
            <family val="2"/>
          </rPr>
          <t>Henrik Wolffbrandt Hansen:
OA Reffen 11:30 - 17:30</t>
        </r>
      </text>
    </comment>
    <comment ref="U76" authorId="1" shapeId="0" xr:uid="{C704996B-24B0-45E0-AD03-FD595B7B8A4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O1 på OA</t>
        </r>
      </text>
    </comment>
    <comment ref="V76" authorId="1" shapeId="0" xr:uid="{097FD270-057C-4D8E-82DB-306A5A2160B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O1 på OA</t>
        </r>
      </text>
    </comment>
    <comment ref="W76" authorId="1" shapeId="0" xr:uid="{0F90E5FC-D5B5-4637-A918-8CFE3DEEC44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O1 på OA</t>
        </r>
      </text>
    </comment>
    <comment ref="Y76" authorId="4" shapeId="0" xr:uid="{9899E35A-4C79-40C8-958B-CF3FFBF9A5CE}">
      <text>
        <r>
          <rPr>
            <sz val="9"/>
            <rFont val="Arial"/>
            <family val="2"/>
          </rPr>
          <t>Henrik Wolffbrandt Hansen:
Byttevagt: Dækker Jannies O1</t>
        </r>
      </text>
    </comment>
    <comment ref="Z76" authorId="4" shapeId="0" xr:uid="{4ABB1DCC-DDCF-4BEB-96E6-9886DD662136}">
      <text>
        <r>
          <rPr>
            <sz val="9"/>
            <rFont val="Arial"/>
            <family val="2"/>
          </rPr>
          <t>Henrik Wolffbrandt Hansen:
Byttevagt: Dækker Jannies O1</t>
        </r>
      </text>
    </comment>
    <comment ref="AG76" authorId="4" shapeId="0" xr:uid="{C2216054-E607-46FE-9964-A2A2572C3A20}">
      <text>
        <r>
          <rPr>
            <sz val="9"/>
            <rFont val="Arial"/>
            <family val="2"/>
          </rPr>
          <t>Henrik Wolffbrandt Hansen:
Byttevagt: Jannie tager den</t>
        </r>
      </text>
    </comment>
    <comment ref="N77" authorId="1" shapeId="0" xr:uid="{6409EC07-4BFA-4D95-BBC7-67F24A1130B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ikke</t>
        </r>
      </text>
    </comment>
    <comment ref="G78" authorId="1" shapeId="0" xr:uid="{70D2A9B9-0048-4A3F-B1EB-DD1EFE386AA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21-vagt på OA.</t>
        </r>
      </text>
    </comment>
    <comment ref="I78" authorId="1" shapeId="0" xr:uid="{E7091474-467C-4A42-A9A2-32085BBED1F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RF1 på oa</t>
        </r>
      </text>
    </comment>
    <comment ref="Z78" authorId="4" shapeId="0" xr:uid="{9B7CF47B-F60D-4903-83FB-CFAA8FBE4EDF}">
      <text>
        <r>
          <rPr>
            <sz val="9"/>
            <rFont val="Arial"/>
            <family val="2"/>
          </rPr>
          <t>Henrik Wolffbrandt Hansen:
OA Reffen 11:30 - 17:30</t>
        </r>
      </text>
    </comment>
    <comment ref="C85" authorId="1" shapeId="0" xr:uid="{E6510FE5-6E89-4B94-8B10-04D81E229B0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D85" authorId="1" shapeId="0" xr:uid="{B38E916A-6236-4557-BA10-37AE929F44C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E85" authorId="1" shapeId="0" xr:uid="{49EC4F19-243A-4385-BA3C-99D7BBA974F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F85" authorId="1" shapeId="0" xr:uid="{CFD05102-54B1-48B8-833A-A58DC74505C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G85" authorId="1" shapeId="0" xr:uid="{34BB32DC-893C-4B9B-B1B1-7C40CFAF89D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J85" authorId="1" shapeId="0" xr:uid="{52D38FBB-24CF-4DE3-AD37-4686882F5E5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K85" authorId="1" shapeId="0" xr:uid="{9FA58442-188D-4684-822C-6DF1FC01CB7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L85" authorId="1" shapeId="0" xr:uid="{EDF899EC-5861-4851-A88B-DA96CF6EBBA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M85" authorId="1" shapeId="0" xr:uid="{1A3460B8-A0ED-4DA7-9569-5C56DF93E86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N85" authorId="1" shapeId="0" xr:uid="{43AD918B-88A7-4875-8FBB-F0A1FC33E05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Q85" authorId="1" shapeId="0" xr:uid="{B94D1120-6B08-41B8-B1B3-CF5E0852081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R85" authorId="1" shapeId="0" xr:uid="{EEAFE1CB-7783-4FD1-9756-A01E22BA02A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S85" authorId="1" shapeId="0" xr:uid="{484D673B-BC70-4EA9-912A-374C31B9527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T85" authorId="1" shapeId="0" xr:uid="{86AE5EEB-3E09-48F0-B6A3-97157459534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U85" authorId="1" shapeId="0" xr:uid="{8CCEA983-D090-4028-A039-F10CC774B12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Sidste skoledag</t>
        </r>
      </text>
    </comment>
    <comment ref="AC86" authorId="0" shapeId="0" xr:uid="{1CBCE0CE-6588-4FD0-8E1D-916412A21D91}">
      <text>
        <r>
          <rPr>
            <sz val="9"/>
            <rFont val="Arial"/>
            <family val="2"/>
          </rPr>
          <t>Michael Fabæch Knudsen:
Kasper fri. afspadser</t>
        </r>
      </text>
    </comment>
    <comment ref="AD86" authorId="0" shapeId="0" xr:uid="{154E9332-9438-4EA1-89F7-B23700E667A9}">
      <text>
        <r>
          <rPr>
            <sz val="9"/>
            <rFont val="Arial"/>
            <family val="2"/>
          </rPr>
          <t>Michael Fabæch Knudsen:
Kasper fri. afspadser</t>
        </r>
      </text>
    </comment>
    <comment ref="P87" authorId="1" shapeId="0" xr:uid="{8E8A38A7-917B-4396-BFE5-72656B2C2FE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Dække B1</t>
        </r>
      </text>
    </comment>
    <comment ref="V87" authorId="1" shapeId="0" xr:uid="{8FF1AE02-4240-4586-931B-EAD5947FD0F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Dække 89-vagten</t>
        </r>
      </text>
    </comment>
    <comment ref="AC106" authorId="0" shapeId="0" xr:uid="{B0507A51-DA14-45AD-B26F-5735257E1866}">
      <text>
        <r>
          <rPr>
            <sz val="9"/>
            <rFont val="Arial"/>
            <family val="2"/>
          </rPr>
          <t>Michael Fabæch Knudsen:
Kemal kørte hjem syg kl.18:50.</t>
        </r>
      </text>
    </comment>
    <comment ref="M107" authorId="7" shapeId="0" xr:uid="{4DF44964-224D-40E0-8D0C-7B5F6D5B8A58}">
      <text>
        <r>
          <rPr>
            <b/>
            <sz val="9"/>
            <color indexed="81"/>
            <rFont val="Tahoma"/>
            <family val="2"/>
          </rPr>
          <t>Lars Emil Hartvig Sørensen:</t>
        </r>
        <r>
          <rPr>
            <sz val="9"/>
            <color indexed="81"/>
            <rFont val="Tahoma"/>
            <family val="2"/>
          </rPr>
          <t xml:space="preserve">
OA. 26-Vagt 
23:45 - 00:15</t>
        </r>
      </text>
    </comment>
    <comment ref="Q116" authorId="1" shapeId="0" xr:uid="{9064CF97-A4E8-4F52-B59D-0444BB6FB03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Uge 1 vagt 2</t>
        </r>
      </text>
    </comment>
    <comment ref="AE116" authorId="1" shapeId="0" xr:uid="{27A6F512-700C-467F-BDEE-386081549C9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uge 3 vagt 2</t>
        </r>
      </text>
    </comment>
    <comment ref="J117" authorId="1" shapeId="0" xr:uid="{0C97EF81-A078-410A-A0B9-A79AEBA1168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Uge 6 vagt 1</t>
        </r>
      </text>
    </comment>
    <comment ref="X117" authorId="1" shapeId="0" xr:uid="{1C0E91B8-9FE7-4C47-ACE9-5A2B7FDF30E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Uge 2 vagt 1</t>
        </r>
      </text>
    </comment>
    <comment ref="AE117" authorId="1" shapeId="0" xr:uid="{F8AA24F6-5EB3-4F13-BC08-CB3BC26607E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Uge 3 vagt 1</t>
        </r>
      </text>
    </comment>
    <comment ref="Q125" authorId="1" shapeId="0" xr:uid="{71B0C372-BF99-47A2-BF6D-3572804E868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uge 5</t>
        </r>
      </text>
    </comment>
    <comment ref="X125" authorId="1" shapeId="0" xr:uid="{B0052F5E-0211-4430-9830-42DA5A438D7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uge 6</t>
        </r>
      </text>
    </comment>
    <comment ref="AE125" authorId="1" shapeId="0" xr:uid="{49D5ED89-5CE8-460A-9054-910FED7E397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uge 7</t>
        </r>
      </text>
    </comment>
    <comment ref="Y126" authorId="4" shapeId="0" xr:uid="{6C8F7BDD-5213-48D1-BC55-C7E42B5B8EA2}">
      <text>
        <r>
          <rPr>
            <sz val="9"/>
            <rFont val="Arial"/>
            <family val="2"/>
          </rPr>
          <t>Henrik Wolffbrandt Hansen:
Byttevagt: Thom tager den</t>
        </r>
      </text>
    </comment>
    <comment ref="Z126" authorId="4" shapeId="0" xr:uid="{AD725597-5249-48B1-99F6-00669C2A9F8F}">
      <text>
        <r>
          <rPr>
            <sz val="9"/>
            <rFont val="Arial"/>
            <family val="2"/>
          </rPr>
          <t>Henrik Wolffbrandt Hansen:
Byttevagt: Thom tager den</t>
        </r>
      </text>
    </comment>
    <comment ref="AE126" authorId="1" shapeId="0" xr:uid="{4B5E9869-8D72-48EB-8707-DD010326A30B}">
      <text>
        <r>
          <rPr>
            <sz val="9"/>
            <rFont val="Arial"/>
            <family val="2"/>
          </rPr>
          <t>Steen Hertin-Sandkær:
uge 7</t>
        </r>
      </text>
    </comment>
    <comment ref="AG126" authorId="2" shapeId="0" xr:uid="{596BDE9F-5BD7-481D-A8AE-24397845C18E}">
      <text>
        <r>
          <rPr>
            <b/>
            <sz val="9"/>
            <color indexed="81"/>
            <rFont val="Tahoma"/>
            <family val="2"/>
          </rPr>
          <t>Sabina Taj:</t>
        </r>
        <r>
          <rPr>
            <sz val="9"/>
            <color indexed="81"/>
            <rFont val="Tahoma"/>
            <family val="2"/>
          </rPr>
          <t xml:space="preserve">
Jannie tager Thoms vagt</t>
        </r>
      </text>
    </comment>
    <comment ref="N133" authorId="1" shapeId="0" xr:uid="{61E08341-A119-4E67-AB63-52A3302E09D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SP1 på OA</t>
        </r>
      </text>
    </comment>
    <comment ref="O133" authorId="1" shapeId="0" xr:uid="{544F1992-BD8B-41A7-8344-BFE521D192A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SP1 på OA</t>
        </r>
      </text>
    </comment>
    <comment ref="T133" authorId="1" shapeId="0" xr:uid="{C47BA1C6-46BB-4D43-9CA7-BF5934480E2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S1 OA</t>
        </r>
      </text>
    </comment>
    <comment ref="U133" authorId="1" shapeId="0" xr:uid="{0C4CD84F-BC7A-4C54-B2BD-B602CD90392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S1 OA</t>
        </r>
      </text>
    </comment>
    <comment ref="J134" authorId="1" shapeId="0" xr:uid="{E5F1BEC3-7D72-49BF-92C4-461EB17B408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SP1 oa</t>
        </r>
      </text>
    </comment>
    <comment ref="R134" authorId="1" shapeId="0" xr:uid="{7AB4973D-3616-4620-8D61-34EF6B7CE75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RF1 på oa</t>
        </r>
      </text>
    </comment>
    <comment ref="V134" authorId="4" shapeId="0" xr:uid="{8B8267CA-709F-4354-A34F-870B63285D6D}">
      <text>
        <r>
          <rPr>
            <sz val="9"/>
            <rFont val="Arial"/>
            <family val="2"/>
          </rPr>
          <t>Henrik Wolffbrandt Hansen:
S1 på oa.</t>
        </r>
      </text>
    </comment>
    <comment ref="W134" authorId="4" shapeId="0" xr:uid="{FE9FFE5D-C1A6-49A8-A206-99FAB483FC05}">
      <text>
        <r>
          <rPr>
            <sz val="9"/>
            <rFont val="Arial"/>
            <family val="2"/>
          </rPr>
          <t>Henrik Wolffbrandt Hansen:
S1 på oa.</t>
        </r>
      </text>
    </comment>
    <comment ref="Z134" authorId="4" shapeId="0" xr:uid="{B1AEC36D-108A-4040-9C2C-979B42EBD855}">
      <text>
        <r>
          <rPr>
            <sz val="9"/>
            <rFont val="Arial"/>
            <family val="2"/>
          </rPr>
          <t>Henrik Wolffbrandt Hansen:
Byttevagt - Ruhat dækker den</t>
        </r>
      </text>
    </comment>
    <comment ref="AB134" authorId="4" shapeId="0" xr:uid="{832D2B49-077B-422A-BCF2-C8097E973D00}">
      <text>
        <r>
          <rPr>
            <sz val="9"/>
            <rFont val="Arial"/>
            <family val="2"/>
          </rPr>
          <t>Henrik Wolffbrandt Hansen:
Byttevagt - Ruhat dækker den</t>
        </r>
      </text>
    </comment>
    <comment ref="AC134" authorId="4" shapeId="0" xr:uid="{112BEE5F-B08F-465A-A684-573E084D798E}">
      <text>
        <r>
          <rPr>
            <sz val="9"/>
            <rFont val="Arial"/>
            <family val="2"/>
          </rPr>
          <t>Henrik Wolffbrandt Hansen:
OA SP1</t>
        </r>
      </text>
    </comment>
    <comment ref="AD134" authorId="0" shapeId="0" xr:uid="{7505EF5D-9A46-4CF0-96F7-224CB92951E2}">
      <text>
        <r>
          <rPr>
            <sz val="9"/>
            <rFont val="Arial"/>
            <family val="2"/>
          </rPr>
          <t>Michael Fabæch Knudsen:
S1 på OA</t>
        </r>
      </text>
    </comment>
    <comment ref="AE134" authorId="1" shapeId="0" xr:uid="{4140BE68-26F6-4AFD-A46C-3A470659F800}">
      <text>
        <r>
          <rPr>
            <sz val="9"/>
            <rFont val="Arial"/>
            <family val="2"/>
          </rPr>
          <t>Steen Hertin-Sandkær:
uge 11
OA 1 times telefon support Nørre alle 45</t>
        </r>
      </text>
    </comment>
    <comment ref="Q141" authorId="1" shapeId="0" xr:uid="{3ED86A74-B0B0-4122-93EA-E3352CAB3A7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uge 4n vagt 1</t>
        </r>
      </text>
    </comment>
    <comment ref="AE141" authorId="1" shapeId="0" xr:uid="{62BAAEFA-CC39-4D7E-B0C9-672949F5379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uge 6 vagt 1</t>
        </r>
      </text>
    </comment>
    <comment ref="AG141" authorId="4" shapeId="0" xr:uid="{1B7A3421-75A7-4C60-A711-800C7653CAB5}">
      <text>
        <r>
          <rPr>
            <sz val="9"/>
            <rFont val="Arial"/>
            <family val="2"/>
          </rPr>
          <t>Henrik Wolffbrandt Hansen:
Dækkes tril 10:30
OA 08:30 - 10:30</t>
        </r>
      </text>
    </comment>
    <comment ref="J142" authorId="1" shapeId="0" xr:uid="{7F4D592D-9FC8-41B3-83C5-3A412149D5A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uge 9 vagt 2</t>
        </r>
      </text>
    </comment>
    <comment ref="Z142" authorId="4" shapeId="0" xr:uid="{C86C7F05-8FF1-46D9-B51A-06A800A367F3}">
      <text>
        <r>
          <rPr>
            <sz val="9"/>
            <rFont val="Arial"/>
            <family val="2"/>
          </rPr>
          <t>Henrik Wolffbrandt Hansen:
Minus Lygten.
Vagten går til 10:30</t>
        </r>
      </text>
    </comment>
    <comment ref="AA142" authorId="4" shapeId="0" xr:uid="{3CB885D5-42CB-4A99-80F3-F9CE342269C8}">
      <text>
        <r>
          <rPr>
            <sz val="9"/>
            <rFont val="Arial"/>
            <family val="2"/>
          </rPr>
          <t>Henrik Wolffbrandt Hansen:
Minus Lygten.
Vagten går til 10:30</t>
        </r>
      </text>
    </comment>
    <comment ref="AE142" authorId="1" shapeId="0" xr:uid="{96700664-0B80-4B7F-893B-4C5968F8585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uge 12</t>
        </r>
      </text>
    </comment>
    <comment ref="Z155" authorId="4" shapeId="0" xr:uid="{ECD4DC3C-9F6B-4D86-8AC1-3CC6AC9D20FD}">
      <text>
        <r>
          <rPr>
            <sz val="9"/>
            <rFont val="Arial"/>
            <family val="2"/>
          </rPr>
          <t>Henrik Wolffbrandt Hansen:
Fri</t>
        </r>
      </text>
    </comment>
    <comment ref="AG155" authorId="4" shapeId="0" xr:uid="{E59D5381-23A8-4861-A131-32B09B69312D}">
      <text>
        <r>
          <rPr>
            <sz val="9"/>
            <rFont val="Arial"/>
            <family val="2"/>
          </rPr>
          <t>Henrik Wolffbrandt Hansen:
Fri</t>
        </r>
      </text>
    </comment>
    <comment ref="Z167" authorId="4" shapeId="0" xr:uid="{C78227C6-2266-4B22-8636-8DD6C18B0898}">
      <text>
        <r>
          <rPr>
            <sz val="9"/>
            <rFont val="Arial"/>
            <family val="2"/>
          </rPr>
          <t>Henrik Wolffbrandt Hansen:
Fri</t>
        </r>
      </text>
    </comment>
    <comment ref="AG167" authorId="1" shapeId="0" xr:uid="{340E288D-5C74-4683-B943-7D1E8E2BC91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fri</t>
        </r>
      </text>
    </comment>
    <comment ref="Z168" authorId="4" shapeId="0" xr:uid="{2D74F5CD-E76F-4A29-84EB-596211626154}">
      <text>
        <r>
          <rPr>
            <sz val="9"/>
            <rFont val="Arial"/>
            <family val="2"/>
          </rPr>
          <t>Henrik Wolffbrandt Hansen:
Fri</t>
        </r>
      </text>
    </comment>
    <comment ref="AG168" authorId="1" shapeId="0" xr:uid="{C7BF131D-5E14-4A47-94A4-5F958BF7EB8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Fri</t>
        </r>
      </text>
    </comment>
    <comment ref="Z169" authorId="4" shapeId="0" xr:uid="{0297816B-E058-4675-94F2-DE1B00776053}">
      <text>
        <r>
          <rPr>
            <sz val="9"/>
            <rFont val="Arial"/>
            <family val="2"/>
          </rPr>
          <t>Henrik Wolffbrandt Hansen:
Fri</t>
        </r>
      </text>
    </comment>
    <comment ref="AG169" authorId="1" shapeId="0" xr:uid="{204A0600-CFC3-4745-A665-57FEB72CEF6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Fri</t>
        </r>
      </text>
    </comment>
    <comment ref="J170" authorId="4" shapeId="0" xr:uid="{2692E532-8831-4AB6-AA9B-87CCA49E5F4B}">
      <text>
        <r>
          <rPr>
            <sz val="9"/>
            <rFont val="Arial"/>
            <family val="2"/>
          </rPr>
          <t>Henrik Wolffbrandt Hansen:
AMR på Fuglebakken 
12:00-14:30</t>
        </r>
      </text>
    </comment>
    <comment ref="L170" authorId="1" shapeId="0" xr:uid="{11DC943A-BF94-423E-A0DB-CEDA2954FBA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Kørsel BM 11.00 - 12.00</t>
        </r>
      </text>
    </comment>
    <comment ref="M170" authorId="1" shapeId="0" xr:uid="{E1AF0C52-C735-4A4E-ACB8-6B688E04CD58}">
      <text>
        <r>
          <rPr>
            <b/>
            <sz val="9"/>
            <color indexed="81"/>
            <rFont val="Tahoma"/>
            <family val="2"/>
          </rPr>
          <t>Steen Hertin-Sandkær:Kørsel BM 16.00 - 17.00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170" authorId="1" shapeId="0" xr:uid="{E0D0514A-5729-46C7-BD89-20A1E8AFF1F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Kørsel BM 15.30 - 17.00</t>
        </r>
      </text>
    </comment>
    <comment ref="R170" authorId="1" shapeId="0" xr:uid="{B704CE84-84C9-4CA4-AEC4-7E18BA227C6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BM kørsel 12.30 - 15.00</t>
        </r>
      </text>
    </comment>
    <comment ref="S170" authorId="1" shapeId="0" xr:uid="{418B4B90-053A-4AAD-8867-C4DE040C4D8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først kl. 10.00 på AMR.</t>
        </r>
      </text>
    </comment>
    <comment ref="Z170" authorId="4" shapeId="0" xr:uid="{C01091DF-29E6-4854-815F-CCAAE313922C}">
      <text>
        <r>
          <rPr>
            <sz val="9"/>
            <rFont val="Arial"/>
            <family val="2"/>
          </rPr>
          <t>Henrik Wolffbrandt Hansen:
Fri</t>
        </r>
      </text>
    </comment>
    <comment ref="AG170" authorId="1" shapeId="0" xr:uid="{86BCB836-BB62-44AD-8F46-AAF70266A7A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Fri</t>
        </r>
      </text>
    </comment>
    <comment ref="Z171" authorId="4" shapeId="0" xr:uid="{5F5E0336-29F0-4D08-9F85-71F0AFB77298}">
      <text>
        <r>
          <rPr>
            <sz val="9"/>
            <rFont val="Arial"/>
            <family val="2"/>
          </rPr>
          <t>Henrik Wolffbrandt Hansen:
Fri</t>
        </r>
      </text>
    </comment>
    <comment ref="AF171" authorId="9" shapeId="0" xr:uid="{F280D395-0FE1-48A9-AA26-95335B9B354F}">
      <text>
        <r>
          <rPr>
            <b/>
            <sz val="9"/>
            <color indexed="81"/>
            <rFont val="Tahoma"/>
            <family val="2"/>
          </rPr>
          <t>Lasse Aae-Hartwig:</t>
        </r>
        <r>
          <rPr>
            <sz val="9"/>
            <color indexed="81"/>
            <rFont val="Tahoma"/>
            <family val="2"/>
          </rPr>
          <t xml:space="preserve">
Afspadsering 14:30 - 15:30</t>
        </r>
      </text>
    </comment>
    <comment ref="AG171" authorId="1" shapeId="0" xr:uid="{80992196-B009-4BA1-BEAF-297B775472D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Fri</t>
        </r>
      </text>
    </comment>
    <comment ref="AE184" authorId="4" shapeId="0" xr:uid="{2D786451-C1E5-41DF-8760-280E8F12BEDF}">
      <text>
        <r>
          <rPr>
            <sz val="9"/>
            <rFont val="Arial"/>
            <family val="2"/>
          </rPr>
          <t>Henrik Wolffbrandt Hansen:
Dækker Sjællandsgade
20:30 - 08:30
OA 20:30 - 23:00
OA 07:00 - 08:30</t>
        </r>
      </text>
    </comment>
    <comment ref="S187" authorId="1" shapeId="0" xr:uid="{52BA1406-E6E0-4185-94D4-DC527D1CD9B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i kødbyen kl. 21.00 - 07.00 på oa.</t>
        </r>
      </text>
    </comment>
    <comment ref="T187" authorId="1" shapeId="0" xr:uid="{781735D0-E72B-44F0-8DAB-6386D3B1407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22-vagt på oa.</t>
        </r>
      </text>
    </comment>
    <comment ref="U187" authorId="1" shapeId="0" xr:uid="{7FE58713-C92A-4994-9C46-C2D585BF636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22-vagt på oa.</t>
        </r>
      </text>
    </comment>
    <comment ref="V187" authorId="1" shapeId="0" xr:uid="{EE9F0C2A-3D6A-43EC-A7A6-71EAE5D0CCE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22-vagt på oa.</t>
        </r>
      </text>
    </comment>
    <comment ref="W187" authorId="1" shapeId="0" xr:uid="{6910B228-1039-4E2F-A95E-7ED9D406BD2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22-vagt på oa.</t>
        </r>
      </text>
    </comment>
    <comment ref="AA187" authorId="4" shapeId="0" xr:uid="{87B245AF-0BFD-46AC-BD6F-452940ACF7D6}">
      <text>
        <r>
          <rPr>
            <sz val="9"/>
            <rFont val="Arial"/>
            <family val="2"/>
          </rPr>
          <t>Henrik Wolffbrandt Hansen:
OA 21:00 - 23:00</t>
        </r>
      </text>
    </comment>
    <comment ref="C188" authorId="1" shapeId="0" xr:uid="{97995641-368D-4F09-8FA8-B8B0BA839FD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O1</t>
        </r>
      </text>
    </comment>
    <comment ref="D188" authorId="1" shapeId="0" xr:uid="{DE1B7D46-063D-4260-B853-66E2F1C4E6D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OA O1</t>
        </r>
      </text>
    </comment>
    <comment ref="M188" authorId="4" shapeId="0" xr:uid="{40EC5A66-757E-4C6B-A95F-70D5AAD4908B}">
      <text>
        <r>
          <rPr>
            <sz val="9"/>
            <rFont val="Arial"/>
            <family val="2"/>
          </rPr>
          <t>Henrik Wolffbrandt Hansen:
Møder 21</t>
        </r>
      </text>
    </comment>
    <comment ref="N188" authorId="7" shapeId="0" xr:uid="{B3A60AB0-E2C3-4EF8-BC19-514DB503BF4D}">
      <text>
        <r>
          <rPr>
            <b/>
            <sz val="9"/>
            <color indexed="81"/>
            <rFont val="Tahoma"/>
            <family val="2"/>
          </rPr>
          <t>Lars Emil Hartvig Sørensen:</t>
        </r>
        <r>
          <rPr>
            <sz val="9"/>
            <color indexed="81"/>
            <rFont val="Tahoma"/>
            <family val="2"/>
          </rPr>
          <t xml:space="preserve">
Afspadsering
fra 06:00 - 07:00 </t>
        </r>
      </text>
    </comment>
    <comment ref="O188" authorId="4" shapeId="0" xr:uid="{5C34460F-D347-4680-AD57-ECD18F507698}">
      <text>
        <r>
          <rPr>
            <sz val="9"/>
            <rFont val="Arial"/>
            <family val="2"/>
          </rPr>
          <t>Henrik Wolffbrandt Hansen:
Møder 19</t>
        </r>
      </text>
    </comment>
    <comment ref="P188" authorId="4" shapeId="0" xr:uid="{3358BD7C-1C65-46EF-8475-1BD301E76381}">
      <text>
        <r>
          <rPr>
            <sz val="9"/>
            <rFont val="Arial"/>
            <family val="2"/>
          </rPr>
          <t>Henrik Wolffbrandt Hansen:
Møder 19</t>
        </r>
      </text>
    </comment>
    <comment ref="X188" authorId="4" shapeId="0" xr:uid="{0CA24FF4-0808-42A0-A382-3EE7CB7D03D5}">
      <text>
        <r>
          <rPr>
            <sz val="9"/>
            <rFont val="Arial"/>
            <family val="2"/>
          </rPr>
          <t>Henrik Wolffbrandt Hansen:
OA 21:00 - 23:00</t>
        </r>
      </text>
    </comment>
    <comment ref="Y188" authorId="4" shapeId="0" xr:uid="{572ABA28-B9E7-4601-968E-977501FF5328}">
      <text>
        <r>
          <rPr>
            <sz val="9"/>
            <rFont val="Arial"/>
            <family val="2"/>
          </rPr>
          <t>Henrik Wolffbrandt Hansen:
OA 21:00 - 23:00</t>
        </r>
      </text>
    </comment>
    <comment ref="Z188" authorId="4" shapeId="0" xr:uid="{F7EDD917-3AD8-4D53-9E2C-3B153DC65635}">
      <text>
        <r>
          <rPr>
            <sz val="9"/>
            <rFont val="Arial"/>
            <family val="2"/>
          </rPr>
          <t>Henrik Wolffbrandt Hansen:
OA 21:00 - 23:00</t>
        </r>
      </text>
    </comment>
    <comment ref="E228" authorId="4" shapeId="0" xr:uid="{4B965804-E622-49E0-8D4D-28F83C8FF2CA}">
      <text>
        <r>
          <rPr>
            <sz val="9"/>
            <rFont val="Arial"/>
            <family val="2"/>
          </rPr>
          <t>Henrik Wolffbrandt Hansen:
Afspadsering fra kl. 12:00</t>
        </r>
      </text>
    </comment>
    <comment ref="L228" authorId="4" shapeId="0" xr:uid="{9F27E3DC-05ED-414F-B570-0FD18F767BFE}">
      <text>
        <r>
          <rPr>
            <sz val="9"/>
            <rFont val="Arial"/>
            <family val="2"/>
          </rPr>
          <t>Henrik Wolffbrandt Hansen:
Afspadsering fra kl. 12:00</t>
        </r>
      </text>
    </comment>
    <comment ref="L230" authorId="2" shapeId="0" xr:uid="{BE0223EC-5EEE-4947-8F66-14B33B2EFC17}">
      <text>
        <r>
          <rPr>
            <b/>
            <sz val="9"/>
            <color indexed="81"/>
            <rFont val="Tahoma"/>
            <family val="2"/>
          </rPr>
          <t>Sabina Taj:</t>
        </r>
        <r>
          <rPr>
            <sz val="9"/>
            <color indexed="81"/>
            <rFont val="Tahoma"/>
            <family val="2"/>
          </rPr>
          <t xml:space="preserve">
Feriedag</t>
        </r>
      </text>
    </comment>
    <comment ref="M230" authorId="4" shapeId="0" xr:uid="{F661DCF4-B38E-49EB-A747-2F179FD07B0C}">
      <text>
        <r>
          <rPr>
            <sz val="9"/>
            <rFont val="Arial"/>
            <family val="2"/>
          </rPr>
          <t>Henrik Wolffbrandt Hansen:
%</t>
        </r>
      </text>
    </comment>
    <comment ref="N230" authorId="4" shapeId="0" xr:uid="{432A2AE3-401A-4F72-98F7-7DCF1923B941}">
      <text>
        <r>
          <rPr>
            <sz val="9"/>
            <rFont val="Arial"/>
            <family val="2"/>
          </rPr>
          <t>Henrik Wolffbrandt Hansen:
%</t>
        </r>
      </text>
    </comment>
    <comment ref="Q230" authorId="4" shapeId="0" xr:uid="{5E65ADD3-35DE-45DB-9DB1-B8A29DBDC77C}">
      <text>
        <r>
          <rPr>
            <sz val="9"/>
            <rFont val="Arial"/>
            <family val="2"/>
          </rPr>
          <t>Henrik Wolffbrandt Hansen:
%</t>
        </r>
      </text>
    </comment>
    <comment ref="R230" authorId="4" shapeId="0" xr:uid="{873DC51C-F61C-40F8-8C95-81A27D2D897F}">
      <text>
        <r>
          <rPr>
            <sz val="9"/>
            <rFont val="Arial"/>
            <family val="2"/>
          </rPr>
          <t>Henrik Wolffbrandt Hansen:
%</t>
        </r>
      </text>
    </comment>
    <comment ref="S230" authorId="4" shapeId="0" xr:uid="{25AF672C-D809-4ACD-8219-E0DBA0D07805}">
      <text>
        <r>
          <rPr>
            <sz val="9"/>
            <rFont val="Arial"/>
            <family val="2"/>
          </rPr>
          <t>Henrik Wolffbrandt Hansen:
%</t>
        </r>
      </text>
    </comment>
    <comment ref="E233" authorId="1" shapeId="0" xr:uid="{041CB893-2292-42B3-881A-A8080E49254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Skal afløses</t>
        </r>
      </text>
    </comment>
    <comment ref="L233" authorId="1" shapeId="0" xr:uid="{C4695277-6D6A-427B-AF6E-F5864EF1A5B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Skal afløses</t>
        </r>
      </text>
    </comment>
    <comment ref="S233" authorId="1" shapeId="0" xr:uid="{10B4030C-6425-4314-9938-EF154FE226B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Skal afløses</t>
        </r>
      </text>
    </comment>
    <comment ref="G251" authorId="7" shapeId="0" xr:uid="{930B08BC-BD21-4FE5-892F-0366968AA507}">
      <text>
        <r>
          <rPr>
            <b/>
            <sz val="9"/>
            <color indexed="81"/>
            <rFont val="Tahoma"/>
            <family val="2"/>
          </rPr>
          <t>Lars Emil Hartvig Sørensen:</t>
        </r>
        <r>
          <rPr>
            <sz val="9"/>
            <color indexed="81"/>
            <rFont val="Tahoma"/>
            <family val="2"/>
          </rPr>
          <t xml:space="preserve">
Raskmeldt
Nikolaj Pamhede
"Møder ind til daglig tjeneste dags dato."</t>
        </r>
      </text>
    </comment>
    <comment ref="E276" authorId="4" shapeId="0" xr:uid="{BF482466-9982-4619-B195-A4735A7A9F13}">
      <text>
        <r>
          <rPr>
            <sz val="9"/>
            <rFont val="Arial"/>
            <family val="2"/>
          </rPr>
          <t>Henrik Wolffbrandt Hansen:
Skal på hospital</t>
        </r>
      </text>
    </comment>
    <comment ref="M276" authorId="2" shapeId="0" xr:uid="{6699CE67-01E3-468C-AE16-982B437F86F7}">
      <text>
        <r>
          <rPr>
            <b/>
            <sz val="9"/>
            <color indexed="81"/>
            <rFont val="Tahoma"/>
            <family val="2"/>
          </rPr>
          <t>Sabina Taj:</t>
        </r>
        <r>
          <rPr>
            <sz val="9"/>
            <color indexed="81"/>
            <rFont val="Tahoma"/>
            <family val="2"/>
          </rPr>
          <t xml:space="preserve">
ASP/Går kl. 11:30</t>
        </r>
      </text>
    </comment>
    <comment ref="E277" authorId="0" shapeId="0" xr:uid="{9DB06504-E3D8-42B2-ADFA-D34EF8F52F77}">
      <text>
        <r>
          <rPr>
            <sz val="9"/>
            <rFont val="Arial"/>
            <family val="2"/>
          </rPr>
          <t>Michael Fabæch Knudsen:
OA 7-8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Steen Hertin-Sandkær</author>
    <author>Sabina Taj</author>
    <author>Alexander Henriksen</author>
    <author>Lasse Aae-Hartwig</author>
    <author>Vanesa Alemany</author>
    <author>Henrik Wolffbrandt Hansen</author>
    <author>Michael Fabæch Knudsen</author>
    <author>Thomas Holm</author>
    <author>Lars Emil Hartvig Sørensen</author>
  </authors>
  <commentList>
    <comment ref="AA15" authorId="0" shapeId="0" xr:uid="{692A61F3-C18A-402B-8350-2AAECBF3011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Køre rundt og besøge flygtningecentre</t>
        </r>
      </text>
    </comment>
    <comment ref="R16" authorId="0" shapeId="0" xr:uid="{50600DAB-6073-47ED-9F4F-32393534F99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Besøge alle ukaine lokationer</t>
        </r>
      </text>
    </comment>
    <comment ref="Q17" authorId="0" shapeId="0" xr:uid="{7A55E3E5-0AA8-479F-B797-1C191568964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Køre rundt og besøge flygtningecentre</t>
        </r>
      </text>
    </comment>
    <comment ref="S22" authorId="0" shapeId="0" xr:uid="{A09005CA-1ADC-41B0-8549-B5DCE477051E}">
      <text>
        <r>
          <rPr>
            <sz val="9"/>
            <rFont val="Arial"/>
            <family val="2"/>
          </rPr>
          <t>Steen Hertin-Sandkær:
Kødbyen kl. 21.00 - 07.00</t>
        </r>
      </text>
    </comment>
    <comment ref="T22" authorId="0" shapeId="0" xr:uid="{01EF213F-96CA-4488-96C5-F873AC36623F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Flexfridag</t>
        </r>
      </text>
    </comment>
    <comment ref="O23" authorId="1" shapeId="0" xr:uid="{ABC2CAC9-5A0D-4F81-9D1B-343D4332DE0A}">
      <text>
        <r>
          <rPr>
            <b/>
            <sz val="9"/>
            <color indexed="81"/>
            <rFont val="Tahoma"/>
            <family val="2"/>
          </rPr>
          <t>Sabina Taj:</t>
        </r>
        <r>
          <rPr>
            <sz val="9"/>
            <color indexed="81"/>
            <rFont val="Tahoma"/>
            <family val="2"/>
          </rPr>
          <t xml:space="preserve">
Arrangement Politiets Nytårsparole kl. 09:15-13:30</t>
        </r>
      </text>
    </comment>
    <comment ref="O25" authorId="1" shapeId="0" xr:uid="{445003AD-AF1C-4B4B-A8F8-E2DAFD57DA0B}">
      <text>
        <r>
          <rPr>
            <b/>
            <sz val="9"/>
            <color indexed="81"/>
            <rFont val="Tahoma"/>
            <family val="2"/>
          </rPr>
          <t>Sabina Taj:</t>
        </r>
        <r>
          <rPr>
            <sz val="9"/>
            <color indexed="81"/>
            <rFont val="Tahoma"/>
            <family val="2"/>
          </rPr>
          <t xml:space="preserve">
Arrangement Politiets Nytårsparole kl. 09:15-13:30</t>
        </r>
      </text>
    </comment>
    <comment ref="F28" authorId="0" shapeId="0" xr:uid="{E0901870-CF2D-47DB-AD90-52DB046DBF4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Teams møde kl. 12.00 - 14.00</t>
        </r>
      </text>
    </comment>
    <comment ref="I28" authorId="0" shapeId="0" xr:uid="{1509D185-72B7-48E8-9BED-CB3692C4FD2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Borgeligt ombud hele dagen.</t>
        </r>
      </text>
    </comment>
    <comment ref="N28" authorId="0" shapeId="0" xr:uid="{F90881E3-4C39-4041-8D41-61D74854D598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FOA kl. 11.00 - 14.00</t>
        </r>
      </text>
    </comment>
    <comment ref="O28" authorId="1" shapeId="0" xr:uid="{403A5FDC-4D9D-4DB4-9CB7-4D59993DE76A}">
      <text>
        <r>
          <rPr>
            <sz val="9"/>
            <rFont val="Arial"/>
            <family val="2"/>
          </rPr>
          <t>Sabina Taj:
Arrangement Politiets Nytårsparole kl. 09:15-13:30</t>
        </r>
      </text>
    </comment>
    <comment ref="V28" authorId="0" shapeId="0" xr:uid="{470F05C9-3401-4762-9428-1F0D23BDB7E8}">
      <text>
        <r>
          <rPr>
            <sz val="9"/>
            <rFont val="Arial"/>
            <family val="2"/>
          </rPr>
          <t>Steen Hertin-Sandkær:
FOA</t>
        </r>
      </text>
    </comment>
    <comment ref="AC28" authorId="0" shapeId="0" xr:uid="{CB010BB0-4A52-4368-B583-A6C314E3DD6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FOA hele dagen</t>
        </r>
      </text>
    </comment>
    <comment ref="F30" authorId="0" shapeId="0" xr:uid="{28795FA9-C3D9-4070-BA20-262209EB9882}">
      <text>
        <r>
          <rPr>
            <sz val="9"/>
            <rFont val="Arial"/>
            <family val="2"/>
          </rPr>
          <t>Steen Hertin-Sandkær:
BM kørsel kl. 08.00 - 09.00
og 10.30 - 13.30 + 15.00 - 17.00</t>
        </r>
      </text>
    </comment>
    <comment ref="G30" authorId="0" shapeId="0" xr:uid="{F02BAA37-3BD0-4518-837B-4EE01155485D}">
      <text>
        <r>
          <rPr>
            <sz val="9"/>
            <rFont val="Arial"/>
            <family val="2"/>
          </rPr>
          <t>Steen Hertin-Sandkær:
BM kørsel: 07.30 - 09.00 + 10.45 - 12.30 + 15.45 - 16.45</t>
        </r>
      </text>
    </comment>
    <comment ref="J30" authorId="0" shapeId="0" xr:uid="{016C6191-F074-4921-BCD4-43F1297CE055}">
      <text>
        <r>
          <rPr>
            <sz val="9"/>
            <rFont val="Arial"/>
            <family val="2"/>
          </rPr>
          <t>Steen Hertin-Sandkær:
BM kørsel kl. 08.00 - 09.00 + 09.30 - 12.00</t>
        </r>
      </text>
    </comment>
    <comment ref="N30" authorId="0" shapeId="0" xr:uid="{FE44D362-C706-472D-A9C4-6CC468A0FB9C}">
      <text>
        <r>
          <rPr>
            <sz val="9"/>
            <rFont val="Arial"/>
            <family val="2"/>
          </rPr>
          <t>Steen Hertin-Sandkær:
BM kørsel kl. 07.30 - 08.30 + 11.00 - 14.00 + 16.15 - 1715</t>
        </r>
      </text>
    </comment>
    <comment ref="O30" authorId="0" shapeId="0" xr:uid="{A891DC2C-ED3C-47DF-80C5-FB6B81B59135}">
      <text>
        <r>
          <rPr>
            <sz val="9"/>
            <rFont val="Arial"/>
            <family val="2"/>
          </rPr>
          <t>Steen Hertin-Sandkær:
BM kørsel 08.00 - 09.30 + 14.15 - 15.15 + 17.15 - 23.55</t>
        </r>
      </text>
    </comment>
    <comment ref="R33" authorId="0" shapeId="0" xr:uid="{C60A3631-B676-4F4B-92F1-1163F7ED3E9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2 vagter til dansekappet kl. 15.00 - 23.00</t>
        </r>
      </text>
    </comment>
    <comment ref="R34" authorId="0" shapeId="0" xr:uid="{458566C6-0411-4667-918D-210D3992A183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Hvis der ikke findes en afløser, møder en af de andre vagter ind kl. 19.00 på oa.</t>
        </r>
      </text>
    </comment>
    <comment ref="N49" authorId="2" shapeId="0" xr:uid="{BE9638DB-BD3C-474C-AC51-0B66A9DCAAA1}">
      <text>
        <r>
          <rPr>
            <sz val="9"/>
            <rFont val="Arial"/>
            <family val="2"/>
          </rPr>
          <t>Alexander Henriksen:
Bo Michelsen tager Bays 4 vagt (intern Byttevagt)</t>
        </r>
      </text>
    </comment>
    <comment ref="Q49" authorId="2" shapeId="0" xr:uid="{EFEC5DA6-30CB-47D6-BF29-70BEF379089C}">
      <text>
        <r>
          <rPr>
            <sz val="9"/>
            <rFont val="Arial"/>
            <family val="2"/>
          </rPr>
          <t>Alexander Henriksen:
Afspadsere 1 time
16:30-17:30</t>
        </r>
      </text>
    </comment>
    <comment ref="S51" authorId="3" shapeId="0" xr:uid="{55E9551A-89C1-47A5-8F6A-B9E2BA9FC3A1}">
      <text>
        <r>
          <rPr>
            <b/>
            <sz val="9"/>
            <color indexed="81"/>
            <rFont val="Tahoma"/>
            <charset val="1"/>
          </rPr>
          <t>Lasse Aae-Hartwig:</t>
        </r>
        <r>
          <rPr>
            <sz val="9"/>
            <color indexed="81"/>
            <rFont val="Tahoma"/>
            <charset val="1"/>
          </rPr>
          <t xml:space="preserve">
OA 22 vagt kødbyen</t>
        </r>
      </text>
    </comment>
    <comment ref="O52" authorId="1" shapeId="0" xr:uid="{B141947B-307A-4361-A690-95DA9A3BC579}">
      <text>
        <r>
          <rPr>
            <sz val="9"/>
            <rFont val="Arial"/>
            <family val="2"/>
          </rPr>
          <t>Sabina Taj:
Arrangement Politiets Nytårsparole kl. 09:15-13:30</t>
        </r>
      </text>
    </comment>
    <comment ref="R52" authorId="4" shapeId="0" xr:uid="{0298063A-7C04-4FC2-BFBC-68560BB9B732}">
      <text>
        <r>
          <rPr>
            <sz val="9"/>
            <rFont val="Arial"/>
            <family val="2"/>
          </rPr>
          <t>Vanesa Alemany:
RF2 OA</t>
        </r>
      </text>
    </comment>
    <comment ref="S52" authorId="4" shapeId="0" xr:uid="{A1326FBB-E451-48AB-83B4-DBAAC9FB4DA0}">
      <text>
        <r>
          <rPr>
            <sz val="9"/>
            <rFont val="Arial"/>
            <family val="2"/>
          </rPr>
          <t>Vanesa Alemany:
RF1 OA</t>
        </r>
      </text>
    </comment>
    <comment ref="F55" authorId="0" shapeId="0" xr:uid="{3EC188FF-2DB7-4B58-B30E-075C4D326A2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Omlagt til 5-vagt på oplæring.</t>
        </r>
      </text>
    </comment>
    <comment ref="G55" authorId="0" shapeId="0" xr:uid="{BBFC8943-FB9A-41B4-BE3C-10C6D803FAF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Omlagt til 5-vagt på oplæring.</t>
        </r>
      </text>
    </comment>
    <comment ref="H55" authorId="0" shapeId="0" xr:uid="{6F09313C-354F-4950-BE1F-5A94300403D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Omlagt til 5-vagt på oplæring.</t>
        </r>
      </text>
    </comment>
    <comment ref="I55" authorId="0" shapeId="0" xr:uid="{9B9ED339-4D13-452D-AD28-B2113B3AB2D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Omlagt til 5-vagt på oplæring.</t>
        </r>
      </text>
    </comment>
    <comment ref="J55" authorId="0" shapeId="0" xr:uid="{15AE03A9-D2DA-432B-84AD-11087E6BDB1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Omlagt til 5-vagt på oplæring.</t>
        </r>
      </text>
    </comment>
    <comment ref="S59" authorId="5" shapeId="0" xr:uid="{047678F7-EDE3-4789-B5CD-CDA94858AEA1}">
      <text>
        <r>
          <rPr>
            <sz val="9"/>
            <rFont val="Arial"/>
            <family val="2"/>
          </rPr>
          <t>Henrik Wolffbrandt Hansen:
OA S1</t>
        </r>
      </text>
    </comment>
    <comment ref="F67" authorId="5" shapeId="0" xr:uid="{C7FFD432-5627-46CD-86DD-7A67BA0201AD}">
      <text>
        <r>
          <rPr>
            <sz val="9"/>
            <rFont val="Arial"/>
            <family val="2"/>
          </rPr>
          <t>Henrik Wolffbrandt Hansen:
Til 11:30</t>
        </r>
      </text>
    </comment>
    <comment ref="I67" authorId="5" shapeId="0" xr:uid="{9245517A-AB37-4A14-B2C8-51D297D94D2C}">
      <text>
        <r>
          <rPr>
            <sz val="9"/>
            <rFont val="Arial"/>
            <family val="2"/>
          </rPr>
          <t>Henrik Wolffbrandt Hansen:
% mellem 08:45 og 09:15</t>
        </r>
      </text>
    </comment>
    <comment ref="J67" authorId="5" shapeId="0" xr:uid="{9E0E6339-2CB6-48D0-954F-C55AC56163C2}">
      <text>
        <r>
          <rPr>
            <sz val="9"/>
            <rFont val="Arial"/>
            <family val="2"/>
          </rPr>
          <t>Henrik Wolffbrandt Hansen:
% mellem 10 og 11</t>
        </r>
      </text>
    </comment>
    <comment ref="R67" authorId="0" shapeId="0" xr:uid="{CDF025F8-674C-4F60-9D38-2BCD3DF29DC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2 vagter til dansekappet kl. 15.00 - 23.00</t>
        </r>
      </text>
    </comment>
    <comment ref="AC67" authorId="5" shapeId="0" xr:uid="{BE1F5B8C-0943-434C-A8E2-7385AFDB3710}">
      <text>
        <r>
          <rPr>
            <sz val="9"/>
            <rFont val="Arial"/>
            <family val="2"/>
          </rPr>
          <t>Henrik Wolffbrandt Hansen:
% mellem 08 og 10:30</t>
        </r>
      </text>
    </comment>
    <comment ref="B68" authorId="6" shapeId="0" xr:uid="{564AC89E-DF03-4170-B563-141CDA11304F}">
      <text>
        <r>
          <rPr>
            <sz val="9"/>
            <rFont val="Arial"/>
            <family val="2"/>
          </rPr>
          <t>Michael Fabæch Knudsen:
Salih gået hjem syg kl. 24</t>
        </r>
      </text>
    </comment>
    <comment ref="M68" authorId="0" shapeId="0" xr:uid="{C2DB1FBE-3A30-4F57-99C1-C6C619F9A9F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14:30 - 23.00 og lærer nye runderinger.</t>
        </r>
      </text>
    </comment>
    <comment ref="N68" authorId="0" shapeId="0" xr:uid="{BB755E1E-FFAA-46AF-94BA-AB61EA16719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14:30 - 23.00 og lærer nye runderinger.</t>
        </r>
      </text>
    </comment>
    <comment ref="O68" authorId="0" shapeId="0" xr:uid="{14638785-E3CB-49C6-868D-379314DA1BE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14:30 - 23.00 og lærer nye runderinger.</t>
        </r>
      </text>
    </comment>
    <comment ref="P68" authorId="0" shapeId="0" xr:uid="{8F5E7228-49D3-4292-93A2-C166C71203B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14:30 - 23.00 og lærer nye runderinger.</t>
        </r>
      </text>
    </comment>
    <comment ref="Q68" authorId="0" shapeId="0" xr:uid="{EDF995E9-F372-4602-9BEB-2F5122CD2B2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14:30 - 23.00 og lærer nye runderinger.</t>
        </r>
      </text>
    </comment>
    <comment ref="T68" authorId="6" shapeId="0" xr:uid="{B592C458-CAF7-49B6-95A7-B2A67C87B9A2}">
      <text>
        <r>
          <rPr>
            <sz val="9"/>
            <rFont val="Arial"/>
            <family val="2"/>
          </rPr>
          <t>Michael Fabæch Knudsen:
Salih holder fri.</t>
        </r>
      </text>
    </comment>
    <comment ref="V68" authorId="5" shapeId="0" xr:uid="{950873FD-D564-4D10-96E2-777CF91E3913}">
      <text>
        <r>
          <rPr>
            <sz val="9"/>
            <rFont val="Arial"/>
            <family val="2"/>
          </rPr>
          <t>Henrik Wolffbrandt Hansen:
E 12:00 - 15:45
Møder inden som streg på Rådhuset</t>
        </r>
      </text>
    </comment>
    <comment ref="AA68" authorId="0" shapeId="0" xr:uid="{82954AC7-6B4D-45B2-A75A-723AAE168B4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23.00 - 06.00 og lærer nyt eller hjælper til.</t>
        </r>
      </text>
    </comment>
    <comment ref="AB68" authorId="0" shapeId="0" xr:uid="{3F008696-5927-4EB9-9DD9-ECEE0D8266D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23.00 - 06.00 og lærer nyt eller hjælper til.</t>
        </r>
      </text>
    </comment>
    <comment ref="AC68" authorId="0" shapeId="0" xr:uid="{0E321C65-5F25-4BCF-881E-584B5E4FF15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23.00 - 06.00 og lærer nyt eller hjælper til.</t>
        </r>
      </text>
    </comment>
    <comment ref="AD68" authorId="0" shapeId="0" xr:uid="{005A60FD-7613-427C-97E5-95124FF75DD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23.00 - 06.00 og lærer nyt eller hjælper til.</t>
        </r>
      </text>
    </comment>
    <comment ref="AE68" authorId="0" shapeId="0" xr:uid="{1C825574-5002-433B-B62C-B31E0DCC68A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23.00 - 06.00 og lærer nyt eller hjælper til.</t>
        </r>
      </text>
    </comment>
    <comment ref="M70" authorId="0" shapeId="0" xr:uid="{CB110F35-A933-4A90-AA17-2CD2503D94E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23.00 - 06.00 og lærer nyt eller hjælper til.</t>
        </r>
      </text>
    </comment>
    <comment ref="N70" authorId="0" shapeId="0" xr:uid="{F3FE16B3-3FA7-4775-8778-B00C5EE4759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23.00 - 06.00 og lærer nyt eller hjælper til.</t>
        </r>
      </text>
    </comment>
    <comment ref="O70" authorId="0" shapeId="0" xr:uid="{FFCAED5F-BE6F-429B-94BA-7B2F9257B76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23.00 - 06.00 og lærer nyt eller hjælper til.</t>
        </r>
      </text>
    </comment>
    <comment ref="P70" authorId="0" shapeId="0" xr:uid="{C77D3F68-F51A-4447-818F-AAC6802080E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23.00 - 06.00 og lærer nyt eller hjælper til.</t>
        </r>
      </text>
    </comment>
    <comment ref="Q70" authorId="0" shapeId="0" xr:uid="{58E237AB-F958-45AD-BD48-50E30484B8B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23.00 - 06.00 og lærer nyt eller hjælper til.</t>
        </r>
      </text>
    </comment>
    <comment ref="F71" authorId="6" shapeId="0" xr:uid="{954BC99C-BF3D-437B-B954-326BAB9F71FF}">
      <text>
        <r>
          <rPr>
            <sz val="9"/>
            <rFont val="Arial"/>
            <family val="2"/>
          </rPr>
          <t>Michael Fabæch Knudsen:
afspadser fra 11.30</t>
        </r>
      </text>
    </comment>
    <comment ref="O71" authorId="0" shapeId="0" xr:uid="{20954CD0-FE60-45C2-AB3A-073513054078}">
      <text>
        <r>
          <rPr>
            <sz val="9"/>
            <rFont val="Arial"/>
            <family val="2"/>
          </rPr>
          <t>Steen Hertin-Sandkær:
FOA hele dagen (Aflyst)
Afsp. fra 11:00</t>
        </r>
      </text>
    </comment>
    <comment ref="T71" authorId="5" shapeId="0" xr:uid="{E946B145-6B92-4CE0-9543-A7806DAE7A98}">
      <text>
        <r>
          <rPr>
            <sz val="9"/>
            <rFont val="Arial"/>
            <family val="2"/>
          </rPr>
          <t>Henrik Wolffbrandt Hansen:
FOA</t>
        </r>
      </text>
    </comment>
    <comment ref="U71" authorId="2" shapeId="0" xr:uid="{5854C731-BDE5-4B71-9680-255B4698AB1D}">
      <text>
        <r>
          <rPr>
            <b/>
            <sz val="9"/>
            <color indexed="81"/>
            <rFont val="Tahoma"/>
            <family val="2"/>
          </rPr>
          <t>FOA</t>
        </r>
      </text>
    </comment>
    <comment ref="V71" authorId="2" shapeId="0" xr:uid="{478C4A9B-62F2-4600-B772-8503F0164E39}">
      <text>
        <r>
          <rPr>
            <b/>
            <sz val="9"/>
            <color indexed="81"/>
            <rFont val="Tahoma"/>
            <family val="2"/>
          </rPr>
          <t xml:space="preserve">FOA
</t>
        </r>
      </text>
    </comment>
    <comment ref="W71" authorId="5" shapeId="0" xr:uid="{3E8B7411-26A6-4E91-BB33-E299498EE344}">
      <text>
        <r>
          <rPr>
            <sz val="9"/>
            <rFont val="Arial"/>
            <family val="2"/>
          </rPr>
          <t>Henrik Wolffbrandt Hansen:
FOA</t>
        </r>
      </text>
    </comment>
    <comment ref="L72" authorId="0" shapeId="0" xr:uid="{771AEE9B-53A8-43E4-BBEC-23DF403CFD9E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B1 på oa</t>
        </r>
      </text>
    </comment>
    <comment ref="O72" authorId="1" shapeId="0" xr:uid="{51FF22B0-B35B-48DC-8D17-A7844BB8CAB5}">
      <text>
        <r>
          <rPr>
            <b/>
            <sz val="9"/>
            <color indexed="81"/>
            <rFont val="Tahoma"/>
            <family val="2"/>
          </rPr>
          <t>Sabina Taj:</t>
        </r>
        <r>
          <rPr>
            <sz val="9"/>
            <color indexed="81"/>
            <rFont val="Tahoma"/>
            <family val="2"/>
          </rPr>
          <t xml:space="preserve">
Arrangement Politiets Nytårsparole kl. 09:15-13:30</t>
        </r>
      </text>
    </comment>
    <comment ref="C73" authorId="6" shapeId="0" xr:uid="{5AD59B89-8B4D-46B0-86C4-69367603F37F}">
      <text>
        <r>
          <rPr>
            <sz val="9"/>
            <rFont val="Arial"/>
            <family val="2"/>
          </rPr>
          <t>Michael Fabæch Knudsen:
Elias møder som 1 vagt 7-14</t>
        </r>
      </text>
    </comment>
    <comment ref="F74" authorId="6" shapeId="0" xr:uid="{D8467F5D-46C6-4882-8BA8-22C8EBA1F230}">
      <text>
        <r>
          <rPr>
            <sz val="9"/>
            <rFont val="Arial"/>
            <family val="2"/>
          </rPr>
          <t>Michael Fabæch Knudsen:
Andreas møder på 9 vagt, da Pernille Bjølie har meldt sig syg, Det er helt okay med Kødbyen.
Jeg har lovet Andreas OA fra 21-23 .</t>
        </r>
      </text>
    </comment>
    <comment ref="G74" authorId="6" shapeId="0" xr:uid="{6D8D463E-D0B2-456E-AA58-66AA1A21D350}">
      <text>
        <r>
          <rPr>
            <sz val="9"/>
            <rFont val="Arial"/>
            <family val="2"/>
          </rPr>
          <t>Michael Fabæch Knudsen:
Andreas møder i på 9 vagten</t>
        </r>
      </text>
    </comment>
    <comment ref="J74" authorId="0" shapeId="0" xr:uid="{A0E1CFD3-2E83-4071-B47A-12A3749D4E75}">
      <text>
        <r>
          <rPr>
            <b/>
            <sz val="9"/>
            <color indexed="81"/>
            <rFont val="Tahoma"/>
            <charset val="1"/>
          </rPr>
          <t>Steen Hertin-Sandkær:
Dækker 9-vagt.</t>
        </r>
      </text>
    </comment>
    <comment ref="K74" authorId="0" shapeId="0" xr:uid="{FE9517FC-3725-4700-A687-8E4F3F0FB199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Dækker B1. tid us over 21-vagt er oa</t>
        </r>
      </text>
    </comment>
    <comment ref="F75" authorId="0" shapeId="0" xr:uid="{65D21E5C-D595-49E1-88F5-A01EF6B60AD7}">
      <text>
        <r>
          <rPr>
            <sz val="9"/>
            <rFont val="Arial"/>
            <family val="2"/>
          </rPr>
          <t>Steen Hertin-Sandkær:
Møder 14:30 - 17:30 på Gassen.
Efterfølgende Rådhuset til 23.00 og lærer nye runderinger.</t>
        </r>
      </text>
    </comment>
    <comment ref="G75" authorId="0" shapeId="0" xr:uid="{35AE4F5A-D430-49B8-9895-336D88C53F3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14:30 - 23.00 og lærer nye runderinger.</t>
        </r>
      </text>
    </comment>
    <comment ref="H75" authorId="0" shapeId="0" xr:uid="{764EED6D-DC6A-4646-B636-BF8AD8B92114}">
      <text>
        <r>
          <rPr>
            <sz val="9"/>
            <rFont val="Arial"/>
            <family val="2"/>
          </rPr>
          <t>Steen Hertin-Sandkær:
Møder 14:30 - 17:30 på Gassen.
Efterfølgende Rådhuset til 23.00 og lærer nye runderinger. Saif Kører med KA ( Johnny)</t>
        </r>
      </text>
    </comment>
    <comment ref="I75" authorId="0" shapeId="0" xr:uid="{58758421-803A-4C5B-B2DA-E26871568634}">
      <text>
        <r>
          <rPr>
            <sz val="9"/>
            <rFont val="Arial"/>
            <family val="2"/>
          </rPr>
          <t>Steen Hertin-Sandkær:
Møder 14:30 - 17:30 på Gassen.
Efterfølgende Rådhuset til 23.00 og lærer nye runderinger. Saif kører KA med Johnny</t>
        </r>
      </text>
    </comment>
    <comment ref="J75" authorId="0" shapeId="0" xr:uid="{EE74F294-DE5C-4897-8875-A29A73F148F5}">
      <text>
        <r>
          <rPr>
            <sz val="9"/>
            <rFont val="Arial"/>
            <family val="2"/>
          </rPr>
          <t>Steen Hertin-Sandkær:
Møder 14:30 - 17:30 på Gassen.
Efterfølgende Rådhuset til 23.00 og lærer nye runderinger. Saif kører KA sammen med &lt;johnny</t>
        </r>
      </text>
    </comment>
    <comment ref="P75" authorId="0" shapeId="0" xr:uid="{7F3FB5FB-6490-4CDE-AA19-79AEC43C5670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Møder 10.00 - 18.00
Gasværksvej 14.30 - 17.30</t>
        </r>
      </text>
    </comment>
    <comment ref="Q75" authorId="0" shapeId="0" xr:uid="{89ABE6A0-43BA-49A4-AA13-C659B5C9DB34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Møder 10.00 - 18.00
Gasværksvej 14.30 - 17.30</t>
        </r>
      </text>
    </comment>
    <comment ref="U75" authorId="0" shapeId="0" xr:uid="{4C9B1A40-2A45-4C7E-B515-2A22F025784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23.00 - 06.00 og lærer nyt eller hjælper til.</t>
        </r>
      </text>
    </comment>
    <comment ref="V75" authorId="0" shapeId="0" xr:uid="{E42FCA4F-319F-4593-B1FD-7F40AACC7E2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23.00 - 06.00 og lærer nyt eller hjælper til.</t>
        </r>
      </text>
    </comment>
    <comment ref="W75" authorId="0" shapeId="0" xr:uid="{71808017-8B53-47ED-BC9D-6FEF9D5FD77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23.00 - 06.00 og lærer nyt eller hjælper til.</t>
        </r>
      </text>
    </comment>
    <comment ref="X75" authorId="0" shapeId="0" xr:uid="{95283CF2-9090-4E76-8912-4B514946D3C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23.00 - 06.00 og lærer nyt eller hjælper til.</t>
        </r>
      </text>
    </comment>
    <comment ref="R76" authorId="0" shapeId="0" xr:uid="{072AE179-1AF2-4FAF-87E8-E85FDF967F5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2 vagter til dansekappet kl. 15.00 - 23.00</t>
        </r>
      </text>
    </comment>
    <comment ref="T76" authorId="0" shapeId="0" xr:uid="{9BC60E60-6E31-4FAF-92FE-43F415676CF3}">
      <text>
        <r>
          <rPr>
            <sz val="9"/>
            <rFont val="Arial"/>
            <family val="2"/>
          </rPr>
          <t>Steen Hertin-Sandkær:
Gassen fra 14:00 - 17:30.
Møder derefter på huset til 22:30 og lærer nye runderinger.</t>
        </r>
      </text>
    </comment>
    <comment ref="U76" authorId="0" shapeId="0" xr:uid="{89DB7A28-FCDC-415C-8298-4E6A0C508D44}">
      <text>
        <r>
          <rPr>
            <sz val="9"/>
            <rFont val="Arial"/>
            <family val="2"/>
          </rPr>
          <t>Steen Hertin-Sandkær:
Gassen fra 14:00 - 17:30.
Møder derefter på huset til 22:30 og lærer nye runderinger.</t>
        </r>
      </text>
    </comment>
    <comment ref="V76" authorId="0" shapeId="0" xr:uid="{CD99E70C-33AC-46D9-B174-D356EFF05425}">
      <text>
        <r>
          <rPr>
            <sz val="9"/>
            <rFont val="Arial"/>
            <family val="2"/>
          </rPr>
          <t>Steen Hertin-Sandkær:
Gassen fra 14:00 - 17:30.
Møder derefter på huset til 22:30 og lærer nye runderinger.</t>
        </r>
      </text>
    </comment>
    <comment ref="W76" authorId="0" shapeId="0" xr:uid="{8E239926-8D2E-4EAA-850A-63B555E91D95}">
      <text>
        <r>
          <rPr>
            <sz val="9"/>
            <rFont val="Arial"/>
            <family val="2"/>
          </rPr>
          <t>Steen Hertin-Sandkær:
Gassen fra 14:00 - 17:30.
Møder derefter på huset til 22:30 og lærer nye runderinger.</t>
        </r>
      </text>
    </comment>
    <comment ref="X76" authorId="0" shapeId="0" xr:uid="{4B2B5A8C-5485-4D5B-9FF5-394D426CB38A}">
      <text>
        <r>
          <rPr>
            <sz val="9"/>
            <rFont val="Arial"/>
            <family val="2"/>
          </rPr>
          <t>Steen Hertin-Sandkær:
Gassen fra 14:00 - 17:30.
Møder derefter på huset til 22:30 og lærer nye runderinger.</t>
        </r>
      </text>
    </comment>
    <comment ref="H77" authorId="6" shapeId="0" xr:uid="{7FB2D5B8-25B9-40B1-B366-4018263CE843}">
      <text>
        <r>
          <rPr>
            <sz val="9"/>
            <rFont val="Arial"/>
            <family val="2"/>
          </rPr>
          <t xml:space="preserve">Michael Fabæch Knudsen:
Flemming tager vagten på Brønshøjvej jobcenter på OA
kl. 12.00 – 15.00
Lars afspadser
</t>
        </r>
      </text>
    </comment>
    <comment ref="O77" authorId="0" shapeId="0" xr:uid="{0A20CF85-EBBE-4AF1-B439-06A2AE11DE4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23.00 - 06.00 og lærer nyt eller hjælper til.</t>
        </r>
      </text>
    </comment>
    <comment ref="P77" authorId="0" shapeId="0" xr:uid="{5A67AEE6-B24F-4794-B133-07A78F4AD88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23.00 - 06.00 og lærer nyt eller hjælper til.</t>
        </r>
      </text>
    </comment>
    <comment ref="AA77" authorId="0" shapeId="0" xr:uid="{F4509D0B-BBD1-400F-B087-7574372800A2}">
      <text>
        <r>
          <rPr>
            <sz val="9"/>
            <rFont val="Arial"/>
            <family val="2"/>
          </rPr>
          <t xml:space="preserve">Steen Hertin-Sandkær:
Møder 14:30 - 23.00 og lærer nye runderinger.
</t>
        </r>
      </text>
    </comment>
    <comment ref="AB77" authorId="0" shapeId="0" xr:uid="{2BC7C3E6-2B44-439A-8D57-7615297CAEEA}">
      <text>
        <r>
          <rPr>
            <sz val="9"/>
            <rFont val="Arial"/>
            <family val="2"/>
          </rPr>
          <t>Steen Hertin-Sandkær:
Møder 14:30 - 23.00 og lærer nye runderinger.
Bliver nok lidt forsinket.</t>
        </r>
      </text>
    </comment>
    <comment ref="AC77" authorId="0" shapeId="0" xr:uid="{B1A4C085-628F-4637-BBCE-4574DA626BE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14:30 - 23.00 og lærer nye runderinger.</t>
        </r>
      </text>
    </comment>
    <comment ref="AD77" authorId="0" shapeId="0" xr:uid="{5F34C87A-BE5F-4392-8FA6-8D2E37595E2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14:30 - 23.00 og lærer nye runderinger.</t>
        </r>
      </text>
    </comment>
    <comment ref="AE77" authorId="0" shapeId="0" xr:uid="{DF45A568-79AA-4FC6-BB66-557CDCDDEB2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14:30 - 23.00 og lærer nye runderinger.</t>
        </r>
      </text>
    </comment>
    <comment ref="G78" authorId="0" shapeId="0" xr:uid="{EF766A9A-FAD4-43E5-83DC-C6E677F71C87}">
      <text>
        <r>
          <rPr>
            <sz val="9"/>
            <rFont val="Arial"/>
            <family val="2"/>
          </rPr>
          <t>Steen Hertin-Sandkær:
Møder 23.00 - 06.00 
Toni er i kødbyen i dag 21 - 07.00</t>
        </r>
      </text>
    </comment>
    <comment ref="H78" authorId="0" shapeId="0" xr:uid="{879DFC1B-89A7-4AB1-A142-2D888EE12D2C}">
      <text>
        <r>
          <rPr>
            <sz val="9"/>
            <rFont val="Arial"/>
            <family val="2"/>
          </rPr>
          <t>Steen Hertin-Sandkær:
Møder 23.00 - 06.00 TONI møder på rådhuset</t>
        </r>
      </text>
    </comment>
    <comment ref="I78" authorId="0" shapeId="0" xr:uid="{8BACAA75-30F9-4D4B-91D9-61F3CED46AC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23.00 - 06.00 og lærer nyt eller hjælper til.</t>
        </r>
      </text>
    </comment>
    <comment ref="J78" authorId="0" shapeId="0" xr:uid="{C24FA3DF-3062-475A-B3D6-BE8D8047EDC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23.00 - 06.00 og lærer nyt eller hjælper til.</t>
        </r>
      </text>
    </comment>
    <comment ref="T78" authorId="7" shapeId="0" xr:uid="{CC676FF0-8624-48EB-AE91-ADD396F8BDA6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Kursus</t>
        </r>
      </text>
    </comment>
    <comment ref="U78" authorId="0" shapeId="0" xr:uid="{98425477-1012-4234-B2E1-44457E4264A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23.00 - 06.00 og lærer nyt eller hjælper til.</t>
        </r>
      </text>
    </comment>
    <comment ref="V78" authorId="0" shapeId="0" xr:uid="{9F25D6D6-A14F-43AF-B739-19670721304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23.00 - 06.00 og lærer nyt eller hjælper til.</t>
        </r>
      </text>
    </comment>
    <comment ref="W78" authorId="0" shapeId="0" xr:uid="{05D065EA-6252-419D-BB83-FFA8041D361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23.00 - 06.00 og lærer nyt eller hjælper til.</t>
        </r>
      </text>
    </comment>
    <comment ref="X78" authorId="0" shapeId="0" xr:uid="{A6202943-C953-48B9-8665-25A55156DCD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23.00 - 06.00 og lærer nyt eller hjælper til.</t>
        </r>
      </text>
    </comment>
    <comment ref="B79" authorId="5" shapeId="0" xr:uid="{217633F1-6F69-4D5B-8946-535ED6F81023}">
      <text>
        <r>
          <rPr>
            <sz val="9"/>
            <rFont val="Arial"/>
            <family val="2"/>
          </rPr>
          <t>Henrik Wolffbrandt Hansen:
Byttevagt: Jannie tager den</t>
        </r>
      </text>
    </comment>
    <comment ref="M79" authorId="0" shapeId="0" xr:uid="{4DC09546-A101-4BBF-9470-E2CFACCA9DB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uge 9</t>
        </r>
      </text>
    </comment>
    <comment ref="T79" authorId="7" shapeId="0" xr:uid="{9C0779F9-A732-4FCC-B54D-32A4CEE1604C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Kursus</t>
        </r>
      </text>
    </comment>
    <comment ref="AA79" authorId="0" shapeId="0" xr:uid="{9FD9A05B-4BE3-42FE-927B-AF05D67714A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uge11vgt2</t>
        </r>
      </text>
    </comment>
    <comment ref="M83" authorId="0" shapeId="0" xr:uid="{700AE7E7-8F43-4587-8685-6BAC4AAC7CE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første dag kl. 09.00</t>
        </r>
      </text>
    </comment>
    <comment ref="M84" authorId="0" shapeId="0" xr:uid="{82C21856-E16E-4E59-B6E2-BC52ECBF27C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første dag kl. 09.00</t>
        </r>
      </text>
    </comment>
    <comment ref="F86" authorId="0" shapeId="0" xr:uid="{CB322A0E-27A0-4C92-9A71-00B0FF73FFF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Aftale opgaber med Thomas og Steen</t>
        </r>
      </text>
    </comment>
    <comment ref="H86" authorId="2" shapeId="0" xr:uid="{1F91263C-5140-429D-94BD-15E5AC4CC230}">
      <text>
        <r>
          <rPr>
            <b/>
            <sz val="9"/>
            <color indexed="81"/>
            <rFont val="Tahoma"/>
            <family val="2"/>
          </rPr>
          <t>Alexander Henriksen:</t>
        </r>
        <r>
          <rPr>
            <sz val="9"/>
            <color indexed="81"/>
            <rFont val="Tahoma"/>
            <family val="2"/>
          </rPr>
          <t xml:space="preserve">
Oplæres af Sergio</t>
        </r>
      </text>
    </comment>
    <comment ref="M86" authorId="0" shapeId="0" xr:uid="{4E4711DC-F411-4683-8285-36993F4D731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14:30 - 23.00 og lærer nye runderinger eller hjælper til</t>
        </r>
      </text>
    </comment>
    <comment ref="N86" authorId="0" shapeId="0" xr:uid="{C1C5B80E-6C05-4AEE-A16F-1A65457EDC6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14:30 - 23.00 og lærer nye runderinger eller hjælper til</t>
        </r>
      </text>
    </comment>
    <comment ref="O86" authorId="0" shapeId="0" xr:uid="{C0D7F3A0-DB40-4A03-B0B3-7B655FDAC6C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14:30 - 23.00 og lærer nye runderinger eller hjælper til</t>
        </r>
      </text>
    </comment>
    <comment ref="P86" authorId="0" shapeId="0" xr:uid="{7CC295DB-34BB-49F8-B830-A8A84220EAC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14:30 - 23.00 og lærer nye runderinger eller hjælper til</t>
        </r>
      </text>
    </comment>
    <comment ref="Q86" authorId="0" shapeId="0" xr:uid="{DF288B23-E327-491E-B78D-091FDBB0E94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14:30 - 23.00 og lærer nye runderinger eller hjælper til</t>
        </r>
      </text>
    </comment>
    <comment ref="W86" authorId="0" shapeId="0" xr:uid="{0D685ED9-D5F6-403D-85AA-0829D4528BF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Beholde dagvagt</t>
        </r>
      </text>
    </comment>
    <comment ref="AA86" authorId="0" shapeId="0" xr:uid="{5AECF5E9-DAA7-438A-B961-0EBA5DCEFC6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Beholde dagvagt</t>
        </r>
      </text>
    </comment>
    <comment ref="AB86" authorId="0" shapeId="0" xr:uid="{3BABCC5A-C8CA-4013-9B0D-D1EEF6273D9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Ekstra vagt</t>
        </r>
      </text>
    </comment>
    <comment ref="AC86" authorId="0" shapeId="0" xr:uid="{7D757520-3589-4BFA-AD29-0AF002ACC45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Ekstra vagt</t>
        </r>
      </text>
    </comment>
    <comment ref="AD86" authorId="0" shapeId="0" xr:uid="{632BCBAB-F100-40FB-8272-64360193E85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Ekstra vagt</t>
        </r>
      </text>
    </comment>
    <comment ref="AE86" authorId="0" shapeId="0" xr:uid="{CFDF80D5-B7BA-4594-A1B4-57EFB0738CA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Ekstra vagt</t>
        </r>
      </text>
    </comment>
    <comment ref="O87" authorId="1" shapeId="0" xr:uid="{7929D528-CCF5-4032-B80E-71521AB26441}">
      <text>
        <r>
          <rPr>
            <sz val="9"/>
            <rFont val="Arial"/>
            <family val="2"/>
          </rPr>
          <t>Sabina Taj:
Arrangement Politiets Nytårsparole kl. 09:15-13:30</t>
        </r>
      </text>
    </comment>
    <comment ref="G88" authorId="2" shapeId="0" xr:uid="{3F8368B6-A37D-4280-AEC3-50C969E6CF8B}">
      <text>
        <r>
          <rPr>
            <b/>
            <sz val="9"/>
            <color indexed="81"/>
            <rFont val="Tahoma"/>
            <family val="2"/>
          </rPr>
          <t>Alexander Henriksen:</t>
        </r>
        <r>
          <rPr>
            <sz val="9"/>
            <color indexed="81"/>
            <rFont val="Tahoma"/>
            <family val="2"/>
          </rPr>
          <t xml:space="preserve">
08:15 - 16:00</t>
        </r>
      </text>
    </comment>
    <comment ref="H88" authorId="2" shapeId="0" xr:uid="{53F562D4-203D-42CC-B6C6-4F7446FC8611}">
      <text>
        <r>
          <rPr>
            <b/>
            <sz val="9"/>
            <color indexed="81"/>
            <rFont val="Tahoma"/>
            <family val="2"/>
          </rPr>
          <t>Alexander Henriksen:</t>
        </r>
        <r>
          <rPr>
            <sz val="9"/>
            <color indexed="81"/>
            <rFont val="Tahoma"/>
            <family val="2"/>
          </rPr>
          <t xml:space="preserve">
08:15 - 16:00</t>
        </r>
      </text>
    </comment>
    <comment ref="I88" authorId="2" shapeId="0" xr:uid="{1AA99859-1FB3-4799-A1B0-3D544D8B3ADE}">
      <text>
        <r>
          <rPr>
            <b/>
            <sz val="9"/>
            <color indexed="81"/>
            <rFont val="Tahoma"/>
            <family val="2"/>
          </rPr>
          <t>Alexander Henriksen:</t>
        </r>
        <r>
          <rPr>
            <sz val="9"/>
            <color indexed="81"/>
            <rFont val="Tahoma"/>
            <family val="2"/>
          </rPr>
          <t xml:space="preserve">
08:15 - 16:00</t>
        </r>
      </text>
    </comment>
    <comment ref="J88" authorId="2" shapeId="0" xr:uid="{EF45EF38-2BE0-4FFC-A716-DD6E587E8DFC}">
      <text>
        <r>
          <rPr>
            <b/>
            <sz val="9"/>
            <color indexed="81"/>
            <rFont val="Tahoma"/>
            <family val="2"/>
          </rPr>
          <t>Alexander Henriksen:</t>
        </r>
        <r>
          <rPr>
            <sz val="9"/>
            <color indexed="81"/>
            <rFont val="Tahoma"/>
            <family val="2"/>
          </rPr>
          <t xml:space="preserve">
08:15 - 14:15</t>
        </r>
      </text>
    </comment>
    <comment ref="M107" authorId="3" shapeId="0" xr:uid="{CB476410-95BD-4495-B589-2943472274D1}">
      <text>
        <r>
          <rPr>
            <b/>
            <sz val="9"/>
            <color indexed="81"/>
            <rFont val="Tahoma"/>
            <charset val="1"/>
          </rPr>
          <t>Lasse Aae-Hartwig:</t>
        </r>
        <r>
          <rPr>
            <sz val="9"/>
            <color indexed="81"/>
            <rFont val="Tahoma"/>
            <charset val="1"/>
          </rPr>
          <t xml:space="preserve">
Afspadsering sidste 1,5 time</t>
        </r>
      </text>
    </comment>
    <comment ref="N107" authorId="3" shapeId="0" xr:uid="{E8DEB0B7-5C5E-479B-8186-518284ED0DEE}">
      <text>
        <r>
          <rPr>
            <b/>
            <sz val="9"/>
            <color indexed="81"/>
            <rFont val="Tahoma"/>
            <charset val="1"/>
          </rPr>
          <t>Lasse Aae-Hartwig:</t>
        </r>
        <r>
          <rPr>
            <sz val="9"/>
            <color indexed="81"/>
            <rFont val="Tahoma"/>
            <charset val="1"/>
          </rPr>
          <t xml:space="preserve">
Afspadsering 1,5 time</t>
        </r>
      </text>
    </comment>
    <comment ref="O107" authorId="3" shapeId="0" xr:uid="{47CD5D6F-7E6C-41E8-8B89-55F3FD1B2F2B}">
      <text>
        <r>
          <rPr>
            <b/>
            <sz val="9"/>
            <color indexed="81"/>
            <rFont val="Tahoma"/>
            <charset val="1"/>
          </rPr>
          <t>Lasse Aae-Hartwig:</t>
        </r>
        <r>
          <rPr>
            <sz val="9"/>
            <color indexed="81"/>
            <rFont val="Tahoma"/>
            <charset val="1"/>
          </rPr>
          <t xml:space="preserve">
Afspadsere sidste 1,5 time</t>
        </r>
      </text>
    </comment>
    <comment ref="P107" authorId="3" shapeId="0" xr:uid="{4B04592F-8B13-435A-98DB-F0EFAE087C94}">
      <text>
        <r>
          <rPr>
            <b/>
            <sz val="9"/>
            <color indexed="81"/>
            <rFont val="Tahoma"/>
            <charset val="1"/>
          </rPr>
          <t>Lasse Aae-Hartwig:</t>
        </r>
        <r>
          <rPr>
            <sz val="9"/>
            <color indexed="81"/>
            <rFont val="Tahoma"/>
            <charset val="1"/>
          </rPr>
          <t xml:space="preserve">
Afspadsere 1 time</t>
        </r>
      </text>
    </comment>
    <comment ref="Q107" authorId="8" shapeId="0" xr:uid="{5B753C88-1022-4C48-AE3D-BB8C24639E8A}">
      <text>
        <r>
          <rPr>
            <sz val="9"/>
            <rFont val="Arial"/>
            <family val="2"/>
          </rPr>
          <t xml:space="preserve">Lars Emil Hartvig Sørensen:
Afspadsering
Kemal Türkman 
Kl. 22:15 - 23:45
1.Time &amp; 30.Min </t>
        </r>
      </text>
    </comment>
    <comment ref="N108" authorId="3" shapeId="0" xr:uid="{573B95A1-4EC6-45A4-86EB-E29A1CE75C17}">
      <text>
        <r>
          <rPr>
            <b/>
            <sz val="9"/>
            <color indexed="81"/>
            <rFont val="Tahoma"/>
            <charset val="1"/>
          </rPr>
          <t>Lasse Aae-Hartwig:</t>
        </r>
        <r>
          <rPr>
            <sz val="9"/>
            <color indexed="81"/>
            <rFont val="Tahoma"/>
            <charset val="1"/>
          </rPr>
          <t xml:space="preserve">
Afspadsere 1.5 time</t>
        </r>
      </text>
    </comment>
    <comment ref="O108" authorId="3" shapeId="0" xr:uid="{DF8CF7EF-3EB5-4A36-AF3F-A64910977EEA}">
      <text>
        <r>
          <rPr>
            <b/>
            <sz val="9"/>
            <color indexed="81"/>
            <rFont val="Tahoma"/>
            <charset val="1"/>
          </rPr>
          <t>Lasse Aae-Hartwig:</t>
        </r>
        <r>
          <rPr>
            <sz val="9"/>
            <color indexed="81"/>
            <rFont val="Tahoma"/>
            <charset val="1"/>
          </rPr>
          <t xml:space="preserve">
Afspadsere 1,5 time</t>
        </r>
      </text>
    </comment>
    <comment ref="P108" authorId="3" shapeId="0" xr:uid="{C3A6A3DE-DBA2-41F5-9D18-65E955FF1347}">
      <text>
        <r>
          <rPr>
            <b/>
            <sz val="9"/>
            <color indexed="81"/>
            <rFont val="Tahoma"/>
            <charset val="1"/>
          </rPr>
          <t>Lasse Aae-Hartwig:</t>
        </r>
        <r>
          <rPr>
            <sz val="9"/>
            <color indexed="81"/>
            <rFont val="Tahoma"/>
            <charset val="1"/>
          </rPr>
          <t xml:space="preserve">
Afspadsere 1,5 time</t>
        </r>
      </text>
    </comment>
    <comment ref="F113" authorId="0" shapeId="0" xr:uid="{3412B492-9D36-4910-AAE4-9F04A47B73C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Uge 4 vagt 2</t>
        </r>
      </text>
    </comment>
    <comment ref="M113" authorId="1" shapeId="0" xr:uid="{C43A5D58-8734-4C3B-B07C-2E1EA6E74E73}">
      <text>
        <r>
          <rPr>
            <sz val="9"/>
            <rFont val="Arial"/>
            <family val="2"/>
          </rPr>
          <t>Sabina Taj:
Gik syg hjem fra kl.04:30</t>
        </r>
      </text>
    </comment>
    <comment ref="T113" authorId="0" shapeId="0" xr:uid="{3F316754-C70F-4701-ABB8-4C77F33C2B9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Uge 6 vagt 2</t>
        </r>
      </text>
    </comment>
    <comment ref="AA113" authorId="0" shapeId="0" xr:uid="{03E55318-482C-4161-AD7E-4E6C703B926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Uge 1 vagt 2</t>
        </r>
      </text>
    </comment>
    <comment ref="F114" authorId="0" shapeId="0" xr:uid="{749CFA85-9B22-4B07-BFF9-15C5CB9EAD4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Uge 4 vagt 1</t>
        </r>
      </text>
    </comment>
    <comment ref="H114" authorId="0" shapeId="0" xr:uid="{6EC2FFF6-C635-4696-92D4-F8ADE2567F7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Kristia oplæres kl. 20.30 - 00.00</t>
        </r>
      </text>
    </comment>
    <comment ref="S114" authorId="0" shapeId="0" xr:uid="{E4D2D6C6-D922-4875-A77E-2F241D679D8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Omlagt tjeneste</t>
        </r>
      </text>
    </comment>
    <comment ref="T114" authorId="0" shapeId="0" xr:uid="{0FC6D8A8-6173-4134-8782-CFD8A9C1B0C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Uge 6 vagt 1</t>
        </r>
      </text>
    </comment>
    <comment ref="AA114" authorId="4" shapeId="0" xr:uid="{12D256D5-EB85-4ED9-88E4-0A884BDC39F4}">
      <text>
        <r>
          <rPr>
            <sz val="9"/>
            <rFont val="Arial"/>
            <family val="2"/>
          </rPr>
          <t>Vanesa Alemany:
Uge 1 vagt 1</t>
        </r>
      </text>
    </comment>
    <comment ref="M119" authorId="0" shapeId="0" xr:uid="{8BCB0BC0-2136-4F77-B137-5556B0875B8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uge 9</t>
        </r>
      </text>
    </comment>
    <comment ref="S119" authorId="0" shapeId="0" xr:uid="{CCAB77CD-9742-4F9E-B327-CB631EA856F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Omlagt tjeneste</t>
        </r>
      </text>
    </comment>
    <comment ref="AA119" authorId="0" shapeId="0" xr:uid="{F6D0D222-D1AE-417C-973B-ED5B0E603C7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uge11vgt2</t>
        </r>
      </text>
    </comment>
    <comment ref="B120" authorId="1" shapeId="0" xr:uid="{A68F12E9-1802-4222-9B36-B6CA8282CAE7}">
      <text>
        <r>
          <rPr>
            <b/>
            <sz val="9"/>
            <color indexed="81"/>
            <rFont val="Tahoma"/>
            <family val="2"/>
          </rPr>
          <t>Sabina Taj:</t>
        </r>
        <r>
          <rPr>
            <sz val="9"/>
            <color indexed="81"/>
            <rFont val="Tahoma"/>
            <family val="2"/>
          </rPr>
          <t xml:space="preserve">
Jannie tager Thoms vagt</t>
        </r>
      </text>
    </comment>
    <comment ref="F120" authorId="0" shapeId="0" xr:uid="{825D9896-D04B-49CA-B6B0-C50DD983990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uge 8</t>
        </r>
      </text>
    </comment>
    <comment ref="AA120" authorId="4" shapeId="0" xr:uid="{E39F792F-CBC0-402B-9F6F-91F0CF4EA3D2}">
      <text>
        <r>
          <rPr>
            <sz val="9"/>
            <rFont val="Arial"/>
            <family val="2"/>
          </rPr>
          <t>Vanesa Alemany:
uge 11 vagt 1</t>
        </r>
      </text>
    </comment>
    <comment ref="F124" authorId="4" shapeId="0" xr:uid="{8FBC6569-BA4B-48D0-983E-9844BDE2E10D}">
      <text>
        <r>
          <rPr>
            <sz val="9"/>
            <rFont val="Arial"/>
            <family val="2"/>
          </rPr>
          <t>Vanesa Alemany:
uge 12 vagt 2</t>
        </r>
      </text>
    </comment>
    <comment ref="S124" authorId="7" shapeId="0" xr:uid="{9531ED9B-D039-444D-B7AC-8EE804A0CD57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Omlagt TJ</t>
        </r>
      </text>
    </comment>
    <comment ref="AA124" authorId="4" shapeId="0" xr:uid="{56D9675E-94CB-43A2-B1B1-F8CC2D9148A4}">
      <text>
        <r>
          <rPr>
            <sz val="9"/>
            <rFont val="Arial"/>
            <family val="2"/>
          </rPr>
          <t>Vanesa Alemany:
vagt 2 uge 3</t>
        </r>
      </text>
    </comment>
    <comment ref="F125" authorId="0" shapeId="0" xr:uid="{A176E5D3-6D39-4585-8641-025CE6175FD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uge 12</t>
        </r>
      </text>
    </comment>
    <comment ref="M125" authorId="0" shapeId="0" xr:uid="{8B5878AC-090E-42F9-A4D0-4BFF7B3E21E9}">
      <text>
        <r>
          <rPr>
            <sz val="9"/>
            <rFont val="Arial"/>
            <family val="2"/>
          </rPr>
          <t>Steen Hertin-Sandkær:
uge1 vagt 1</t>
        </r>
      </text>
    </comment>
    <comment ref="AA125" authorId="0" shapeId="0" xr:uid="{94A9ACF8-F2BD-4338-8C0F-C435524390ED}">
      <text>
        <r>
          <rPr>
            <sz val="9"/>
            <rFont val="Arial"/>
            <family val="2"/>
          </rPr>
          <t>Steen Hertin-Sandkær:
uge 3 vagt 1</t>
        </r>
      </text>
    </comment>
    <comment ref="B132" authorId="4" shapeId="0" xr:uid="{5CDABDEB-C09C-4C30-A7F0-64BE090F28E6}">
      <text>
        <r>
          <rPr>
            <sz val="9"/>
            <rFont val="Arial"/>
            <family val="2"/>
          </rPr>
          <t>Vanesa Alemany:
OA 08:30-10:30
Thomas møder ind kl. 24-01.30 på OA i stedet for Salih der må gå hjem syg</t>
        </r>
      </text>
    </comment>
    <comment ref="F132" authorId="2" shapeId="0" xr:uid="{0E35EE21-E717-44CF-89FE-C6CB3A39229F}">
      <text>
        <r>
          <rPr>
            <b/>
            <sz val="9"/>
            <color indexed="81"/>
            <rFont val="Tahoma"/>
            <family val="2"/>
          </rPr>
          <t>Alexander Henriksen:</t>
        </r>
        <r>
          <rPr>
            <sz val="9"/>
            <color indexed="81"/>
            <rFont val="Tahoma"/>
            <family val="2"/>
          </rPr>
          <t xml:space="preserve">
OA. 08:30 - 09:00</t>
        </r>
      </text>
    </comment>
    <comment ref="T132" authorId="0" shapeId="0" xr:uid="{66F156EF-AE6D-4379-B99D-DEDDEB649DE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Omlagt tjeneste</t>
        </r>
      </text>
    </comment>
    <comment ref="F133" authorId="0" shapeId="0" xr:uid="{D05B83F8-1EBB-4503-AF3B-FD8CB7BECA6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uge 1 vagt 2</t>
        </r>
      </text>
    </comment>
    <comment ref="AA133" authorId="4" shapeId="0" xr:uid="{B3E967EB-369C-4377-A952-22B55106A7E5}">
      <text>
        <r>
          <rPr>
            <sz val="9"/>
            <rFont val="Arial"/>
            <family val="2"/>
          </rPr>
          <t>Vanesa Alemany:
uge 4 vagt 2</t>
        </r>
      </text>
    </comment>
    <comment ref="H152" authorId="0" shapeId="0" xr:uid="{3A8FF493-71BE-4920-BF71-8EFF1EA20D81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BM kørsel kl. 17.00 - 17.30 + kl. 09.15 - 12.45</t>
        </r>
      </text>
    </comment>
    <comment ref="I152" authorId="0" shapeId="0" xr:uid="{B18E94AF-C95C-4704-A061-573877D322BB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Bm kørsel kl. 08.00 - 10.30 + 12.15 - 16.30</t>
        </r>
      </text>
    </comment>
    <comment ref="M152" authorId="0" shapeId="0" xr:uid="{A1D3E02C-E2E7-4B8F-81A7-88BD64AF3F71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BM kørsel kl. 08.00 - 09.00 på OA + 12.00 - 14.00</t>
        </r>
      </text>
    </comment>
    <comment ref="R164" authorId="8" shapeId="0" xr:uid="{F8C07E80-034E-4F2D-901F-10E300A3E644}">
      <text>
        <r>
          <rPr>
            <sz val="9"/>
            <rFont val="Arial"/>
            <family val="2"/>
          </rPr>
          <t>Lars Emil Hartvig Sørensen:
Overarbejde
Martin Hansen 
kl 19:00 - 21:30
tilgår 22-Vagten</t>
        </r>
      </text>
    </comment>
    <comment ref="S164" authorId="7" shapeId="0" xr:uid="{7B47EDB7-BC48-4415-9A04-0C855A548326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Omlagt TJ</t>
        </r>
      </text>
    </comment>
    <comment ref="S165" authorId="7" shapeId="0" xr:uid="{BD712223-5AF5-4847-A69C-E17EAF23CA25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Omlagt TJ</t>
        </r>
      </text>
    </comment>
    <comment ref="S166" authorId="7" shapeId="0" xr:uid="{6BB705B0-78FF-4899-8839-11815DB04F67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Omlagt TJ</t>
        </r>
      </text>
    </comment>
    <comment ref="C203" authorId="0" shapeId="0" xr:uid="{95D427F0-E9F4-445F-A84C-C4A18B363C5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Skal dækkes</t>
        </r>
      </text>
    </comment>
    <comment ref="M204" authorId="0" shapeId="0" xr:uid="{7A66E84A-A89B-40F3-A497-0597E0247AA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Går kl. 12.00</t>
        </r>
      </text>
    </comment>
    <comment ref="H205" authorId="6" shapeId="0" xr:uid="{48A83009-B6E4-451B-893A-4F39240D285D}">
      <text>
        <r>
          <rPr>
            <sz val="9"/>
            <rFont val="Arial"/>
            <family val="2"/>
          </rPr>
          <t>Michael Fabæch Knudsen:
Lars afspadser 4 timer. Flemming Albertsen tager vagten.</t>
        </r>
      </text>
    </comment>
    <comment ref="P207" authorId="0" shapeId="0" xr:uid="{BE46B97F-356D-433D-8BAD-ADA39E85BDAB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Møder først kl. 11.00</t>
        </r>
      </text>
    </comment>
    <comment ref="C208" authorId="0" shapeId="0" xr:uid="{F38843F6-52AD-49F0-A48C-2713CB8746D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Skal møde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Steen Hertin-Sandkær</author>
    <author>Alexander Henriksen</author>
    <author>Vanesa Alemany</author>
    <author>Henrik Wolffbrandt Hansen</author>
  </authors>
  <commentList>
    <comment ref="J22" authorId="0" shapeId="0" xr:uid="{0431CEC2-1CAA-4225-8FF0-19D85209B0B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Køre rundt og besøge flygtningecentre</t>
        </r>
      </text>
    </comment>
    <comment ref="D25" authorId="0" shapeId="0" xr:uid="{4629947E-3CB9-43D4-BE11-E5D99508C12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Feje for Johnny</t>
        </r>
      </text>
    </comment>
    <comment ref="C29" authorId="0" shapeId="0" xr:uid="{99F59717-2114-4328-9FFD-276F6251014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hospital kl. 13.30</t>
        </r>
      </text>
    </comment>
    <comment ref="C47" authorId="0" shapeId="0" xr:uid="{65551825-F6AC-45E3-874B-E82E2444213D}">
      <text>
        <r>
          <rPr>
            <sz val="9"/>
            <rFont val="Arial"/>
            <family val="2"/>
          </rPr>
          <t>Steen Hertin-Sandkær:
1 på oplæring</t>
        </r>
      </text>
    </comment>
    <comment ref="D47" authorId="0" shapeId="0" xr:uid="{DC4B56B6-787A-4129-8B57-237213AA3BBC}">
      <text>
        <r>
          <rPr>
            <sz val="9"/>
            <rFont val="Arial"/>
            <family val="2"/>
          </rPr>
          <t>Steen Hertin-Sandkær:
1 på oplæring</t>
        </r>
      </text>
    </comment>
    <comment ref="E47" authorId="0" shapeId="0" xr:uid="{739F3E1D-9F1E-43E3-9229-2A715480A5FA}">
      <text>
        <r>
          <rPr>
            <sz val="9"/>
            <rFont val="Arial"/>
            <family val="2"/>
          </rPr>
          <t>Steen Hertin-Sandkær:
1 på oplæring</t>
        </r>
      </text>
    </comment>
    <comment ref="F47" authorId="0" shapeId="0" xr:uid="{B3F5EE49-F667-47AD-B5E5-798A980FB5AD}">
      <text>
        <r>
          <rPr>
            <sz val="9"/>
            <rFont val="Arial"/>
            <family val="2"/>
          </rPr>
          <t>Steen Hertin-Sandkær:
1 på oplæring</t>
        </r>
      </text>
    </comment>
    <comment ref="AB56" authorId="1" shapeId="0" xr:uid="{B042A2E2-2B8A-40C9-A076-F51DE13C68A7}">
      <text>
        <r>
          <rPr>
            <b/>
            <sz val="9"/>
            <color indexed="81"/>
            <rFont val="Tahoma"/>
            <family val="2"/>
          </rPr>
          <t>Alexander Henriksen:</t>
        </r>
        <r>
          <rPr>
            <sz val="9"/>
            <color indexed="81"/>
            <rFont val="Tahoma"/>
            <family val="2"/>
          </rPr>
          <t xml:space="preserve">
Lasse M. møder som 4 vagt i stedet for Malik</t>
        </r>
      </text>
    </comment>
    <comment ref="AB58" authorId="1" shapeId="0" xr:uid="{804B0FDE-9E81-4FE7-8B9D-9CFECA1EF63D}">
      <text>
        <r>
          <rPr>
            <b/>
            <sz val="9"/>
            <color indexed="81"/>
            <rFont val="Tahoma"/>
            <family val="2"/>
          </rPr>
          <t>Alexander Henriksen:</t>
        </r>
        <r>
          <rPr>
            <sz val="9"/>
            <color indexed="81"/>
            <rFont val="Tahoma"/>
            <family val="2"/>
          </rPr>
          <t xml:space="preserve">
Har taget Maliks 4 vagt</t>
        </r>
      </text>
    </comment>
    <comment ref="R67" authorId="2" shapeId="0" xr:uid="{90C9B4F7-A471-4921-91FB-A7705478A974}">
      <text>
        <r>
          <rPr>
            <sz val="9"/>
            <rFont val="Arial"/>
            <family val="2"/>
          </rPr>
          <t>Vanesa Alemany:
TR Status 11:30 -13:20</t>
        </r>
      </text>
    </comment>
    <comment ref="X67" authorId="3" shapeId="0" xr:uid="{A9CD875D-1152-455A-9567-CC3D8B9956E6}">
      <text>
        <r>
          <rPr>
            <sz val="9"/>
            <rFont val="Arial"/>
            <family val="2"/>
          </rPr>
          <t>Henrik Wolffbrandt Hansen:
FOA</t>
        </r>
      </text>
    </comment>
    <comment ref="Y67" authorId="3" shapeId="0" xr:uid="{E817B43A-8317-48DE-BB2A-7517AFE7A82E}">
      <text>
        <r>
          <rPr>
            <sz val="9"/>
            <rFont val="Arial"/>
            <family val="2"/>
          </rPr>
          <t>Henrik Wolffbrandt Hansen:
FOA</t>
        </r>
      </text>
    </comment>
    <comment ref="Z67" authorId="3" shapeId="0" xr:uid="{6AAA6CCB-1918-4CA2-8DF3-1AD686789E03}">
      <text>
        <r>
          <rPr>
            <sz val="9"/>
            <rFont val="Arial"/>
            <family val="2"/>
          </rPr>
          <t xml:space="preserve">Henrik Wolffbrandt Hansen:
FOA 09:30-11:30
</t>
        </r>
      </text>
    </comment>
    <comment ref="AA67" authorId="3" shapeId="0" xr:uid="{5149A51D-81DC-405C-B033-331531344558}">
      <text>
        <r>
          <rPr>
            <sz val="9"/>
            <rFont val="Arial"/>
            <family val="2"/>
          </rPr>
          <t>Henrik Wolffbrandt Hansen:
FOA</t>
        </r>
      </text>
    </comment>
    <comment ref="C70" authorId="0" shapeId="0" xr:uid="{3C045ECE-E456-4575-B4A5-2D24EBF7A885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Omviser</t>
        </r>
      </text>
    </comment>
    <comment ref="D70" authorId="0" shapeId="0" xr:uid="{6A444678-1945-44E0-95B7-072C1C792295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Omviser</t>
        </r>
      </text>
    </comment>
    <comment ref="E70" authorId="0" shapeId="0" xr:uid="{BD4C80A1-91A8-4A70-B53E-6FB405E02F4F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Omviser</t>
        </r>
      </text>
    </comment>
    <comment ref="F70" authorId="0" shapeId="0" xr:uid="{3D601984-404C-4BBF-BCE5-518747405E56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Omviser</t>
        </r>
      </text>
    </comment>
    <comment ref="G70" authorId="0" shapeId="0" xr:uid="{AEF74FD4-8B3C-4D87-A67E-E770CF382F15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Omviser</t>
        </r>
      </text>
    </comment>
    <comment ref="J70" authorId="0" shapeId="0" xr:uid="{4C88918C-96D9-4A15-AF8E-1FF72D8C44F8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Omviser</t>
        </r>
      </text>
    </comment>
    <comment ref="K70" authorId="0" shapeId="0" xr:uid="{663B4925-68CC-402D-A349-6388F863647E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Omviser</t>
        </r>
      </text>
    </comment>
    <comment ref="L70" authorId="0" shapeId="0" xr:uid="{14CD42E4-8EB6-44A9-A6EB-4A1E99815140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Omviser</t>
        </r>
      </text>
    </comment>
    <comment ref="M70" authorId="0" shapeId="0" xr:uid="{A1F985EC-36D0-48DB-B407-E257FEBF3F6B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Omviser</t>
        </r>
      </text>
    </comment>
    <comment ref="N70" authorId="0" shapeId="0" xr:uid="{78C82D55-1078-4B0D-A03F-56719E340763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Omviser</t>
        </r>
      </text>
    </comment>
    <comment ref="Q70" authorId="0" shapeId="0" xr:uid="{7A6105F5-7BD9-4B30-9D67-B622216022EA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Omviser</t>
        </r>
      </text>
    </comment>
    <comment ref="R70" authorId="0" shapeId="0" xr:uid="{03B8BBCA-B0A2-43FD-8E88-F1B5AD29F2BC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Omviser</t>
        </r>
      </text>
    </comment>
    <comment ref="S70" authorId="0" shapeId="0" xr:uid="{3A001671-5DF4-413D-A393-6744C04E046E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Omviser</t>
        </r>
      </text>
    </comment>
    <comment ref="T70" authorId="0" shapeId="0" xr:uid="{D6EE4590-9EE1-4F8E-A370-4FC3154EE23A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Omviser</t>
        </r>
      </text>
    </comment>
    <comment ref="U70" authorId="0" shapeId="0" xr:uid="{23D4A5EF-6DF9-4C7C-9EDE-11EE7679336A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Omviser</t>
        </r>
      </text>
    </comment>
    <comment ref="X70" authorId="0" shapeId="0" xr:uid="{46F7D830-EE35-4DC9-8503-04B004DE3A40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Omviser</t>
        </r>
      </text>
    </comment>
    <comment ref="Y70" authorId="0" shapeId="0" xr:uid="{D25A9FD0-5A65-47C7-A785-DBC67115B6F8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Omviser</t>
        </r>
      </text>
    </comment>
    <comment ref="Z70" authorId="0" shapeId="0" xr:uid="{3CE6D008-A35B-4A7F-A273-1560BB67B494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Omviser</t>
        </r>
      </text>
    </comment>
    <comment ref="AA70" authorId="0" shapeId="0" xr:uid="{1F829461-DEB8-4A6F-A342-BE3FAEE1AF12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Omviser</t>
        </r>
      </text>
    </comment>
    <comment ref="AB70" authorId="0" shapeId="0" xr:uid="{6E29A8B5-AFCF-4680-B486-42C7DFD7888D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Omviser</t>
        </r>
      </text>
    </comment>
    <comment ref="L71" authorId="0" shapeId="0" xr:uid="{7A942989-0B16-4CC2-9F84-B669D697B21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23.00 - 06.00 og lærer nyt eller hjælper til.</t>
        </r>
      </text>
    </comment>
    <comment ref="M71" authorId="0" shapeId="0" xr:uid="{EB708D43-3923-488C-9E15-D65A6F8F8BB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23.00 - 06.00 og lærer nyt eller hjælper til.</t>
        </r>
      </text>
    </comment>
    <comment ref="N71" authorId="0" shapeId="0" xr:uid="{9711A1DB-CC8F-4761-B811-35AA388F543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23.00 - 06.00 og lærer nyt eller hjælper til.</t>
        </r>
      </text>
    </comment>
    <comment ref="S71" authorId="0" shapeId="0" xr:uid="{299593A2-C96E-4962-8260-6AEC37CC229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14:30 - 23.00 og lærer nye runderinger.</t>
        </r>
      </text>
    </comment>
    <comment ref="T71" authorId="0" shapeId="0" xr:uid="{92F6E2E5-444C-4B1A-B978-F83A6B72E33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14:30 - 23.00 og lærer nye runderinger.</t>
        </r>
      </text>
    </comment>
    <comment ref="U71" authorId="0" shapeId="0" xr:uid="{6B94FEE7-0437-491B-A75D-B1E6D3CD2E3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14:30 - 23.00 og lærer nye runderinger.</t>
        </r>
      </text>
    </comment>
    <comment ref="C72" authorId="0" shapeId="0" xr:uid="{26E8850C-D76E-4232-B8F6-581E6802252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14:30 - 23.00 og lærer nye runderinger.</t>
        </r>
      </text>
    </comment>
    <comment ref="D72" authorId="0" shapeId="0" xr:uid="{AF2D54D5-E92D-428A-A67C-7318DCF764A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14:30 - 23.00 og lærer nye runderinger.</t>
        </r>
      </text>
    </comment>
    <comment ref="E72" authorId="0" shapeId="0" xr:uid="{2271F3B7-3937-4F8D-AB88-D7EEF3912A3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14:30 - 23.00 og lærer nye runderinger.</t>
        </r>
      </text>
    </comment>
    <comment ref="F72" authorId="0" shapeId="0" xr:uid="{DA514D7D-5C56-4674-BFF0-679F38F42AE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14:30 - 23.00 og lærer nye runderinger.</t>
        </r>
      </text>
    </comment>
    <comment ref="G72" authorId="0" shapeId="0" xr:uid="{05A31302-8F44-4B6D-8979-11146A4F6B3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14:30 - 23.00 og lærer nye runderinger.</t>
        </r>
      </text>
    </comment>
    <comment ref="Q72" authorId="0" shapeId="0" xr:uid="{502751BB-8BBC-4D17-8CF5-C053FC2E213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23.00 - 06.00 og lærer nyt eller hjælper til.</t>
        </r>
      </text>
    </comment>
    <comment ref="R72" authorId="0" shapeId="0" xr:uid="{0F4A1BA6-713D-4504-BE2E-B11A7183D6E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23.00 - 06.00 og lærer nyt eller hjælper til.</t>
        </r>
      </text>
    </comment>
    <comment ref="S72" authorId="0" shapeId="0" xr:uid="{67EDDB10-A20F-4D9C-A22E-38AC2260274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23.00 - 06.00 og lærer nyt eller hjælper til.</t>
        </r>
      </text>
    </comment>
    <comment ref="T72" authorId="0" shapeId="0" xr:uid="{C5802539-3701-4C6C-987A-5C2A3ADD191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23.00 - 06.00 og lærer nyt eller hjælper til.</t>
        </r>
      </text>
    </comment>
    <comment ref="U72" authorId="0" shapeId="0" xr:uid="{FC73C1EC-8B29-4B26-82B4-F000030B76F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23.00 - 06.00 og lærer nyt eller hjælper til.</t>
        </r>
      </text>
    </comment>
    <comment ref="E82" authorId="0" shapeId="0" xr:uid="{0EC1CF6D-F6A2-4E1E-85C2-1B9140E2C02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Sidste arbejdsdag</t>
        </r>
      </text>
    </comment>
    <comment ref="C103" authorId="2" shapeId="0" xr:uid="{E4BF5BC1-C9EF-43F2-A399-40CFADC940B6}">
      <text>
        <r>
          <rPr>
            <sz val="9"/>
            <rFont val="Arial"/>
            <family val="2"/>
          </rPr>
          <t>Vanesa Alemany:
vagt 2 uge 2</t>
        </r>
      </text>
    </comment>
    <comment ref="Q103" authorId="2" shapeId="0" xr:uid="{A35366A5-5B9A-46F0-B21D-566372B733B4}">
      <text>
        <r>
          <rPr>
            <sz val="9"/>
            <rFont val="Arial"/>
            <family val="2"/>
          </rPr>
          <t>Vanesa Alemany:
uge 4 vagt 2</t>
        </r>
      </text>
    </comment>
    <comment ref="X103" authorId="2" shapeId="0" xr:uid="{3B26B539-8D88-4F54-97D3-B5C977497A19}">
      <text>
        <r>
          <rPr>
            <sz val="9"/>
            <rFont val="Arial"/>
            <family val="2"/>
          </rPr>
          <t>Vanesa Alemany:
uge 5 vagt 2</t>
        </r>
      </text>
    </comment>
    <comment ref="C104" authorId="2" shapeId="0" xr:uid="{9D923668-399C-475B-AB90-58A69567E7EA}">
      <text>
        <r>
          <rPr>
            <sz val="9"/>
            <rFont val="Arial"/>
            <family val="2"/>
          </rPr>
          <t>Vanesa Alemany:
uge 2 vagt 1</t>
        </r>
      </text>
    </comment>
    <comment ref="X104" authorId="2" shapeId="0" xr:uid="{A17FA2C8-C259-4400-9A1D-F96748CFD675}">
      <text>
        <r>
          <rPr>
            <sz val="9"/>
            <rFont val="Arial"/>
            <family val="2"/>
          </rPr>
          <t>Vanesa Alemany:
uge 5 vagt 1</t>
        </r>
      </text>
    </comment>
    <comment ref="C109" authorId="2" shapeId="0" xr:uid="{E7439F27-C127-4B6D-AFDB-CABD5A191715}">
      <text>
        <r>
          <rPr>
            <sz val="9"/>
            <rFont val="Arial"/>
            <family val="2"/>
          </rPr>
          <t>Vanesa Alemany:
uge 12 vagt 2</t>
        </r>
      </text>
    </comment>
    <comment ref="J109" authorId="2" shapeId="0" xr:uid="{D0A478C8-3D6D-41B2-BCCA-46CFB37B11EB}">
      <text>
        <r>
          <rPr>
            <sz val="9"/>
            <rFont val="Arial"/>
            <family val="2"/>
          </rPr>
          <t>Vanesa Alemany:
uge 1 vagt 2</t>
        </r>
      </text>
    </comment>
    <comment ref="X109" authorId="2" shapeId="0" xr:uid="{CB945A80-CDDC-4AAA-A061-847E7B3734C7}">
      <text>
        <r>
          <rPr>
            <sz val="9"/>
            <rFont val="Arial"/>
            <family val="2"/>
          </rPr>
          <t>Vanesa Alemany:
uge 3</t>
        </r>
      </text>
    </comment>
    <comment ref="C110" authorId="2" shapeId="0" xr:uid="{36369301-E5EA-4811-A729-A6BA143BB270}">
      <text>
        <r>
          <rPr>
            <sz val="9"/>
            <rFont val="Arial"/>
            <family val="2"/>
          </rPr>
          <t>Vanesa Alemany:
uge 12 vagt 1</t>
        </r>
      </text>
    </comment>
    <comment ref="X110" authorId="2" shapeId="0" xr:uid="{D8CB5ACE-D95A-4EC6-B39B-391B8CC36E46}">
      <text>
        <r>
          <rPr>
            <sz val="9"/>
            <rFont val="Arial"/>
            <family val="2"/>
          </rPr>
          <t>Vanesa Alemany:
uge 3 vagt 1</t>
        </r>
      </text>
    </comment>
    <comment ref="C114" authorId="2" shapeId="0" xr:uid="{661958B0-9EE6-4791-A3EC-4C5F646C070A}">
      <text>
        <r>
          <rPr>
            <sz val="9"/>
            <rFont val="Arial"/>
            <family val="2"/>
          </rPr>
          <t>Vanesa Alemany:
uge 4 vagt 2</t>
        </r>
      </text>
    </comment>
    <comment ref="C115" authorId="2" shapeId="0" xr:uid="{B1A425BB-CC20-46EF-A2BB-07C84760B0A8}">
      <text>
        <r>
          <rPr>
            <sz val="9"/>
            <rFont val="Arial"/>
            <family val="2"/>
          </rPr>
          <t>Vanesa Alemany:
uge 4 vagt 1</t>
        </r>
      </text>
    </comment>
    <comment ref="Q115" authorId="2" shapeId="0" xr:uid="{DEDC0735-DF6A-46AA-8A3A-3A8CCC46AC10}">
      <text>
        <r>
          <rPr>
            <sz val="9"/>
            <rFont val="Arial"/>
            <family val="2"/>
          </rPr>
          <t>Vanesa Alemany:
uge 6 vagt 1</t>
        </r>
      </text>
    </comment>
    <comment ref="C122" authorId="2" shapeId="0" xr:uid="{2EAAEE46-F7D6-4715-9AEB-506B24D8F017}">
      <text>
        <r>
          <rPr>
            <sz val="9"/>
            <rFont val="Arial"/>
            <family val="2"/>
          </rPr>
          <t>Vanesa Alemany:
vagt 1 uge 11</t>
        </r>
      </text>
    </comment>
    <comment ref="X122" authorId="2" shapeId="0" xr:uid="{BD03B208-61C7-448E-984E-44E5AF94B10D}">
      <text>
        <r>
          <rPr>
            <sz val="9"/>
            <rFont val="Arial"/>
            <family val="2"/>
          </rPr>
          <t>Vanesa Alemany:
uge 2 vagt 1</t>
        </r>
      </text>
    </comment>
    <comment ref="C123" authorId="2" shapeId="0" xr:uid="{E7FE1DA1-76F5-4230-B810-058EA2E261A1}">
      <text>
        <r>
          <rPr>
            <sz val="9"/>
            <rFont val="Arial"/>
            <family val="2"/>
          </rPr>
          <t>Vanesa Alemany:
uge 5 vagt 2</t>
        </r>
      </text>
    </comment>
    <comment ref="X123" authorId="2" shapeId="0" xr:uid="{3F32F13C-4ACE-46E5-B8EA-B17C1AD2DDA5}">
      <text>
        <r>
          <rPr>
            <sz val="9"/>
            <rFont val="Arial"/>
            <family val="2"/>
          </rPr>
          <t>Vanesa Alemany:
uge 8 vagt 2</t>
        </r>
      </text>
    </comment>
    <comment ref="C126" authorId="2" shapeId="0" xr:uid="{2843F077-0C7F-4D2B-A785-9CEA1F0EDEAA}">
      <text>
        <r>
          <rPr>
            <sz val="9"/>
            <rFont val="Arial"/>
            <family val="2"/>
          </rPr>
          <t>Vanesa Alemany:
vagt 2 uge 2</t>
        </r>
      </text>
    </comment>
    <comment ref="Q126" authorId="2" shapeId="0" xr:uid="{48C50E20-0C3A-4B83-8C57-88AFDF416AC7}">
      <text>
        <r>
          <rPr>
            <sz val="9"/>
            <rFont val="Arial"/>
            <family val="2"/>
          </rPr>
          <t>Vanesa Alemany:
uge 4 vagt 2</t>
        </r>
      </text>
    </comment>
    <comment ref="X126" authorId="2" shapeId="0" xr:uid="{5DCF8AE1-7956-468D-B799-88C82AE77363}">
      <text>
        <r>
          <rPr>
            <sz val="9"/>
            <rFont val="Arial"/>
            <family val="2"/>
          </rPr>
          <t>Vanesa Alemany:
uge 5 vagt 2</t>
        </r>
      </text>
    </comment>
    <comment ref="C127" authorId="2" shapeId="0" xr:uid="{7B07C1BE-A313-4CE7-9799-3197D89C4BD6}">
      <text>
        <r>
          <rPr>
            <sz val="9"/>
            <rFont val="Arial"/>
            <family val="2"/>
          </rPr>
          <t>Vanesa Alemany:
uge 2 vagt 1</t>
        </r>
      </text>
    </comment>
    <comment ref="X127" authorId="2" shapeId="0" xr:uid="{AE0764EF-6C3F-404B-8CB8-3F9B32148D68}">
      <text>
        <r>
          <rPr>
            <sz val="9"/>
            <rFont val="Arial"/>
            <family val="2"/>
          </rPr>
          <t>Vanesa Alemany:
uge 5 vagt 1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Steen Hertin-Sandkær</author>
    <author>Henrik Wolffbrandt Hansen</author>
    <author>Vanesa Alemany</author>
    <author>Thomas Holm</author>
  </authors>
  <commentList>
    <comment ref="C63" authorId="0" shapeId="0" xr:uid="{BB0E7F40-2D3F-41A2-B813-9E7B9AF92C05}">
      <text>
        <r>
          <rPr>
            <sz val="9"/>
            <rFont val="Arial"/>
            <family val="2"/>
          </rPr>
          <t>Steen Hertin-Sandkær:
Dagvagt forholdorsre og tvo</t>
        </r>
      </text>
    </comment>
    <comment ref="D63" authorId="0" shapeId="0" xr:uid="{E2B858DC-DA73-40A9-BBFB-68064EAA4236}">
      <text>
        <r>
          <rPr>
            <sz val="9"/>
            <rFont val="Arial"/>
            <family val="2"/>
          </rPr>
          <t>Steen Hertin-Sandkær:
Dagvagt forholdorsre og tvo</t>
        </r>
      </text>
    </comment>
    <comment ref="E63" authorId="0" shapeId="0" xr:uid="{87B0F580-0C66-4E09-AB9D-FC64EEE1291E}">
      <text>
        <r>
          <rPr>
            <sz val="9"/>
            <rFont val="Arial"/>
            <family val="2"/>
          </rPr>
          <t>Steen Hertin-Sandkær:
Dagvagt forholdorsre og tvo</t>
        </r>
      </text>
    </comment>
    <comment ref="F63" authorId="0" shapeId="0" xr:uid="{DDA8286B-AE23-4847-B980-B40736BDCD40}">
      <text>
        <r>
          <rPr>
            <sz val="9"/>
            <rFont val="Arial"/>
            <family val="2"/>
          </rPr>
          <t>Steen Hertin-Sandkær:
Dagvagt forholdorsre og tvo</t>
        </r>
      </text>
    </comment>
    <comment ref="G63" authorId="0" shapeId="0" xr:uid="{4B0DA6D2-51DB-4AF0-BA73-BB703BA0EFD9}">
      <text>
        <r>
          <rPr>
            <sz val="9"/>
            <rFont val="Arial"/>
            <family val="2"/>
          </rPr>
          <t>Steen Hertin-Sandkær:
Dagvagt forholdorsre og tvo</t>
        </r>
      </text>
    </comment>
    <comment ref="J63" authorId="0" shapeId="0" xr:uid="{E4911D83-BE32-44F6-AFA4-FFA678734E4B}">
      <text>
        <r>
          <rPr>
            <sz val="9"/>
            <rFont val="Arial"/>
            <family val="2"/>
          </rPr>
          <t>Steen Hertin-Sandkær:
Dagvagt forholdorsre og tvo</t>
        </r>
      </text>
    </comment>
    <comment ref="K63" authorId="0" shapeId="0" xr:uid="{FFBCE8CE-5099-4662-8647-757182BC1B86}">
      <text>
        <r>
          <rPr>
            <sz val="9"/>
            <rFont val="Arial"/>
            <family val="2"/>
          </rPr>
          <t>Steen Hertin-Sandkær:
Dagvagt forholdorsre og tvo</t>
        </r>
      </text>
    </comment>
    <comment ref="L63" authorId="0" shapeId="0" xr:uid="{AEB03AE7-E1E0-446B-84B4-AA53E3E215CA}">
      <text>
        <r>
          <rPr>
            <sz val="9"/>
            <rFont val="Arial"/>
            <family val="2"/>
          </rPr>
          <t>Steen Hertin-Sandkær:
Dagvagt forholdorsre og tvo</t>
        </r>
      </text>
    </comment>
    <comment ref="M63" authorId="0" shapeId="0" xr:uid="{9C984749-C84C-4719-9A34-2D084EB9E9C2}">
      <text>
        <r>
          <rPr>
            <sz val="9"/>
            <rFont val="Arial"/>
            <family val="2"/>
          </rPr>
          <t>Steen Hertin-Sandkær:
Dagvagt forholdorsre og tvo</t>
        </r>
      </text>
    </comment>
    <comment ref="N63" authorId="0" shapeId="0" xr:uid="{0F847FA1-811C-435E-A381-CAD3B2305380}">
      <text>
        <r>
          <rPr>
            <sz val="9"/>
            <rFont val="Arial"/>
            <family val="2"/>
          </rPr>
          <t>Steen Hertin-Sandkær:
Dagvagt forholdorsre og tvo</t>
        </r>
      </text>
    </comment>
    <comment ref="Q63" authorId="0" shapeId="0" xr:uid="{77537BF6-A3E4-47B3-8C8C-8A4E02ED8623}">
      <text>
        <r>
          <rPr>
            <sz val="9"/>
            <rFont val="Arial"/>
            <family val="2"/>
          </rPr>
          <t>Steen Hertin-Sandkær:
Dagvagt forholdorsre og tvo</t>
        </r>
      </text>
    </comment>
    <comment ref="R63" authorId="0" shapeId="0" xr:uid="{61258CBB-ACBD-4020-A7B0-CB0436C13603}">
      <text>
        <r>
          <rPr>
            <sz val="9"/>
            <rFont val="Arial"/>
            <family val="2"/>
          </rPr>
          <t>Steen Hertin-Sandkær:
Dagvagt forholdorsre og tvo</t>
        </r>
      </text>
    </comment>
    <comment ref="S63" authorId="0" shapeId="0" xr:uid="{BF1F9FA7-2662-49E9-822F-9C5836B4D85F}">
      <text>
        <r>
          <rPr>
            <sz val="9"/>
            <rFont val="Arial"/>
            <family val="2"/>
          </rPr>
          <t>Steen Hertin-Sandkær:
Dagvagt forholdorsre og tvo</t>
        </r>
      </text>
    </comment>
    <comment ref="T63" authorId="0" shapeId="0" xr:uid="{52B58044-3924-4D86-A763-2E0691F49359}">
      <text>
        <r>
          <rPr>
            <sz val="9"/>
            <rFont val="Arial"/>
            <family val="2"/>
          </rPr>
          <t>Steen Hertin-Sandkær:
Dagvagt forholdorsre og tvo</t>
        </r>
      </text>
    </comment>
    <comment ref="U63" authorId="0" shapeId="0" xr:uid="{77B493A7-AAB9-4F5A-8A36-0DE8DF68BFD6}">
      <text>
        <r>
          <rPr>
            <sz val="9"/>
            <rFont val="Arial"/>
            <family val="2"/>
          </rPr>
          <t>Steen Hertin-Sandkær:
Dagvagt forholdorsre og tvo</t>
        </r>
      </text>
    </comment>
    <comment ref="X63" authorId="0" shapeId="0" xr:uid="{00FC3679-C479-405E-AB12-8760F73678AC}">
      <text>
        <r>
          <rPr>
            <sz val="9"/>
            <rFont val="Arial"/>
            <family val="2"/>
          </rPr>
          <t>Steen Hertin-Sandkær:
Dagvagt forholdorsre og tvo</t>
        </r>
      </text>
    </comment>
    <comment ref="Y63" authorId="0" shapeId="0" xr:uid="{9C389EFC-EC0E-47DF-AB86-D32C1DDFA35E}">
      <text>
        <r>
          <rPr>
            <sz val="9"/>
            <rFont val="Arial"/>
            <family val="2"/>
          </rPr>
          <t>Steen Hertin-Sandkær:
Dagvagt forholdorsre og tvo</t>
        </r>
      </text>
    </comment>
    <comment ref="Z63" authorId="0" shapeId="0" xr:uid="{5476D9C6-60F4-4B40-A55F-5154095D4FE5}">
      <text>
        <r>
          <rPr>
            <sz val="9"/>
            <rFont val="Arial"/>
            <family val="2"/>
          </rPr>
          <t>Steen Hertin-Sandkær:
Dagvagt forholdorsre og tvo</t>
        </r>
      </text>
    </comment>
    <comment ref="AA63" authorId="0" shapeId="0" xr:uid="{87B1ED91-940F-4EF6-8CFC-1EA489D0C96C}">
      <text>
        <r>
          <rPr>
            <sz val="9"/>
            <rFont val="Arial"/>
            <family val="2"/>
          </rPr>
          <t>Steen Hertin-Sandkær:
Dagvagt forholdorsre og tvo</t>
        </r>
      </text>
    </comment>
    <comment ref="AB63" authorId="0" shapeId="0" xr:uid="{07DC02D4-2FE3-4910-995D-23ACC261000F}">
      <text>
        <r>
          <rPr>
            <sz val="9"/>
            <rFont val="Arial"/>
            <family val="2"/>
          </rPr>
          <t>Steen Hertin-Sandkær:
Dagvagt forholdorsre og tvo</t>
        </r>
      </text>
    </comment>
    <comment ref="AE63" authorId="0" shapeId="0" xr:uid="{792F9BD2-E029-4768-BB57-A3870A298C7B}">
      <text>
        <r>
          <rPr>
            <sz val="9"/>
            <rFont val="Arial"/>
            <family val="2"/>
          </rPr>
          <t>Steen Hertin-Sandkær:
Dagvagt forholdorsre og tvo</t>
        </r>
      </text>
    </comment>
    <comment ref="AF63" authorId="0" shapeId="0" xr:uid="{A9D6A819-2C17-46CC-9C17-84888A498FE0}">
      <text>
        <r>
          <rPr>
            <sz val="9"/>
            <rFont val="Arial"/>
            <family val="2"/>
          </rPr>
          <t>Steen Hertin-Sandkær:
Dagvagt forholdorsre og tvo</t>
        </r>
      </text>
    </comment>
    <comment ref="Y66" authorId="1" shapeId="0" xr:uid="{AB32EFED-61DD-43C8-96B8-1D0BCE6CFE7C}">
      <text>
        <r>
          <rPr>
            <sz val="9"/>
            <rFont val="Arial"/>
            <family val="2"/>
          </rPr>
          <t>Henrik Wolffbrandt Hansen:
FOA</t>
        </r>
      </text>
    </comment>
    <comment ref="Z66" authorId="1" shapeId="0" xr:uid="{41C85142-6D46-4D33-9001-88B404B58796}">
      <text>
        <r>
          <rPr>
            <sz val="9"/>
            <rFont val="Arial"/>
            <family val="2"/>
          </rPr>
          <t>Henrik Wolffbrandt Hansen:
FOA</t>
        </r>
      </text>
    </comment>
    <comment ref="C69" authorId="0" shapeId="0" xr:uid="{53A0486B-3378-4A48-AAD0-0C247DB44B84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Omviser</t>
        </r>
      </text>
    </comment>
    <comment ref="D69" authorId="0" shapeId="0" xr:uid="{497F29CD-0C7C-403A-AB3B-B087A661C58E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Omviser</t>
        </r>
      </text>
    </comment>
    <comment ref="E69" authorId="0" shapeId="0" xr:uid="{B156DE3C-3BD4-42D3-9F21-5F4D5B787DAC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Omviser</t>
        </r>
      </text>
    </comment>
    <comment ref="F69" authorId="0" shapeId="0" xr:uid="{08D4F4EE-ED11-4EE5-ABDE-128F2B478857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Omviser</t>
        </r>
      </text>
    </comment>
    <comment ref="G69" authorId="0" shapeId="0" xr:uid="{8C32C39D-A5B4-4438-BBFB-896C78F44D35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Omviser</t>
        </r>
      </text>
    </comment>
    <comment ref="J69" authorId="0" shapeId="0" xr:uid="{A5747AD6-BA4B-4FB5-AC3D-4DEACD9ECA4F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Omviser</t>
        </r>
      </text>
    </comment>
    <comment ref="K69" authorId="0" shapeId="0" xr:uid="{31766E6C-B3DA-4A94-A5DD-2CDA1D6334A7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Omviser</t>
        </r>
      </text>
    </comment>
    <comment ref="L69" authorId="0" shapeId="0" xr:uid="{847D1335-CBBC-4184-A09E-063915FA1BB5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Omviser</t>
        </r>
      </text>
    </comment>
    <comment ref="M69" authorId="0" shapeId="0" xr:uid="{F06BF05D-FED5-4251-9C7B-E346BC6D5E36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Omviser</t>
        </r>
      </text>
    </comment>
    <comment ref="N69" authorId="0" shapeId="0" xr:uid="{AD8F3BF7-614A-402D-8B3B-D9C18A14A59A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Omviser</t>
        </r>
      </text>
    </comment>
    <comment ref="Q69" authorId="0" shapeId="0" xr:uid="{63C968EE-9FCC-4BF9-B002-C9084BA3C2B3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Omviser</t>
        </r>
      </text>
    </comment>
    <comment ref="R69" authorId="0" shapeId="0" xr:uid="{AF1B044B-CC5C-4494-82F5-BD360C7CFCFE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Omviser</t>
        </r>
      </text>
    </comment>
    <comment ref="S69" authorId="0" shapeId="0" xr:uid="{5F221FF5-0F0E-4E03-9506-5DB7F4E1F65A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Omviser</t>
        </r>
      </text>
    </comment>
    <comment ref="T69" authorId="0" shapeId="0" xr:uid="{229A7D13-5F88-4981-9187-F112A3F9B398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Omviser</t>
        </r>
      </text>
    </comment>
    <comment ref="U69" authorId="0" shapeId="0" xr:uid="{DBB41CE6-088C-40A3-AB98-1A73D1D7B164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Omviser</t>
        </r>
      </text>
    </comment>
    <comment ref="X69" authorId="0" shapeId="0" xr:uid="{4B8EE509-4A9B-43CE-B538-EDE19902090B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Omviser</t>
        </r>
      </text>
    </comment>
    <comment ref="Y69" authorId="0" shapeId="0" xr:uid="{5FEFC65D-EE82-48BA-9BDF-89C3D65630A4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Omviser</t>
        </r>
      </text>
    </comment>
    <comment ref="Z69" authorId="0" shapeId="0" xr:uid="{03F0EFFE-A05F-4CB2-975D-F17259817E75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Omviser</t>
        </r>
      </text>
    </comment>
    <comment ref="AA69" authorId="0" shapeId="0" xr:uid="{9D13A90B-4F6F-4820-ADFA-C5A20FB8AC36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Omviser</t>
        </r>
      </text>
    </comment>
    <comment ref="AB69" authorId="0" shapeId="0" xr:uid="{E9C20250-8DE8-4D35-A806-D678AC796E13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Omviser</t>
        </r>
      </text>
    </comment>
    <comment ref="AE69" authorId="0" shapeId="0" xr:uid="{EE8510B7-0D8D-44FE-B4FF-6F6B79767B31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Omviser</t>
        </r>
      </text>
    </comment>
    <comment ref="Q74" authorId="2" shapeId="0" xr:uid="{81B93EC2-F7A2-4743-948A-7A481941492E}">
      <text>
        <r>
          <rPr>
            <sz val="9"/>
            <rFont val="Arial"/>
            <family val="2"/>
          </rPr>
          <t>Vanesa Alemany:
uge 6 vagt 2</t>
        </r>
      </text>
    </comment>
    <comment ref="U74" authorId="0" shapeId="0" xr:uid="{023A51A8-2756-4ECB-B293-47326B68E09E}">
      <text>
        <r>
          <rPr>
            <sz val="9"/>
            <rFont val="Arial"/>
            <family val="2"/>
          </rPr>
          <t>Steen Hertin-Sandkær:
oplærong</t>
        </r>
      </text>
    </comment>
    <comment ref="AE74" authorId="2" shapeId="0" xr:uid="{2AC27134-7341-4FB7-AD74-9826CD25BF30}">
      <text>
        <r>
          <rPr>
            <sz val="9"/>
            <rFont val="Arial"/>
            <family val="2"/>
          </rPr>
          <t>Vanesa Alemany:
uge 8</t>
        </r>
      </text>
    </comment>
    <comment ref="Q80" authorId="3" shapeId="0" xr:uid="{0AF291E4-61D2-4595-A674-9DD32E2D56E9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Første dag</t>
        </r>
      </text>
    </comment>
    <comment ref="D81" authorId="3" shapeId="0" xr:uid="{41AB144E-B7F3-473C-A512-13984B28891D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E81" authorId="3" shapeId="0" xr:uid="{14B17829-6D0D-42C8-94E6-A93B24834604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F81" authorId="3" shapeId="0" xr:uid="{5F5B3F33-BE46-4E11-A5A2-3933E65E32D5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G81" authorId="3" shapeId="0" xr:uid="{5EAF2093-3C2A-4020-A82E-5C2E3044FCC3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J81" authorId="3" shapeId="0" xr:uid="{F9261D0F-E23A-4A3F-8A3B-8A00E059258A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K81" authorId="3" shapeId="0" xr:uid="{B041594A-2338-4170-93E8-D05EB990B96B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L81" authorId="3" shapeId="0" xr:uid="{BA1D677E-536B-48D4-AF06-1361DE00AC9B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M81" authorId="3" shapeId="0" xr:uid="{80E32993-6F29-45DE-9537-F1FFFDE2C7A1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N81" authorId="3" shapeId="0" xr:uid="{8E1E7C10-3517-4C8B-815F-59513A3BAB6F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Q81" authorId="3" shapeId="0" xr:uid="{8E28C728-3063-4EFD-A0A3-27D3C04D7B01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R81" authorId="3" shapeId="0" xr:uid="{37587F1E-6E05-49A8-80F2-27C34695DC94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S81" authorId="3" shapeId="0" xr:uid="{BF06A626-8B0C-46CF-819A-9BB5F1427618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T81" authorId="3" shapeId="0" xr:uid="{E7B08D4E-1835-41DE-9D0E-E5AA2A7074DD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U81" authorId="3" shapeId="0" xr:uid="{FDFE87C2-9E8B-4ED8-8010-88C537F06C84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X81" authorId="3" shapeId="0" xr:uid="{63A92005-61B4-4F6D-AEE1-72502B82D148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Y81" authorId="3" shapeId="0" xr:uid="{C45B4AEB-413C-48D6-B77D-77DF031B21EC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Z81" authorId="3" shapeId="0" xr:uid="{A67B93AC-1392-4BCD-B386-7014B252F5EF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A81" authorId="3" shapeId="0" xr:uid="{EE7C36C0-2DF2-46AE-BAB6-D08487BF1E48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B81" authorId="3" shapeId="0" xr:uid="{A56A6D44-AE81-4F11-9B74-A0A6C3B937D8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E81" authorId="3" shapeId="0" xr:uid="{49FFDF09-E450-44D9-A74A-CF4DAA6D8BF5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F81" authorId="3" shapeId="0" xr:uid="{2925B75D-E087-4D79-BD46-C35D59E8FD97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D82" authorId="3" shapeId="0" xr:uid="{716C2CF6-EB6E-4020-B1FA-E987BF649520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E82" authorId="3" shapeId="0" xr:uid="{217B1A81-BC29-424E-B5DC-0F5565BF1F15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F82" authorId="3" shapeId="0" xr:uid="{84E6B82E-E0C7-4DE0-B026-C166516E6FD2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G82" authorId="3" shapeId="0" xr:uid="{856789E7-F9AF-449E-83EB-DF6DAE3E824D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J82" authorId="3" shapeId="0" xr:uid="{BBBF09C0-3CA9-46E9-A562-D014AC0D4534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K82" authorId="3" shapeId="0" xr:uid="{DB2CE1DB-041F-47E2-9A30-E4C18B373038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L82" authorId="3" shapeId="0" xr:uid="{9A2DBEED-EDBE-4BEF-9E53-45D056483B2F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M82" authorId="3" shapeId="0" xr:uid="{0EBA4481-5260-42E6-B47E-3A0E65794CD9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N82" authorId="3" shapeId="0" xr:uid="{E507486A-6BF5-44CC-8DE8-F63328A20925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Q82" authorId="3" shapeId="0" xr:uid="{1B4E1A4E-2EF0-4D6B-8825-79A8BA97AAF1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R82" authorId="3" shapeId="0" xr:uid="{1F11153D-4A80-4406-8268-00FF86F0F881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S82" authorId="3" shapeId="0" xr:uid="{A2FB38CB-14D3-4F69-829B-F7E368701FFE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T82" authorId="3" shapeId="0" xr:uid="{DBB4A5D2-9D6C-403F-ACF8-4337F55D8479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U82" authorId="3" shapeId="0" xr:uid="{44B0C434-D3E3-4B12-A130-EB8921C0576E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X82" authorId="3" shapeId="0" xr:uid="{57B9DD1D-AB3B-4920-A900-8C94E93237D2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Y82" authorId="3" shapeId="0" xr:uid="{A735298C-BFD2-4840-BD65-B0C41447E8D2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Z82" authorId="3" shapeId="0" xr:uid="{774A2B39-ADC4-4A72-B009-3654AA9CC215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A82" authorId="3" shapeId="0" xr:uid="{9DB93E1D-EBA9-4F7F-8E80-B604A730F4B5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B82" authorId="3" shapeId="0" xr:uid="{3EEBE2BC-B915-4420-8B43-5CD397890F75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E82" authorId="3" shapeId="0" xr:uid="{5D2F24E5-44E3-45B4-AE10-F7CB2A752AB3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F82" authorId="3" shapeId="0" xr:uid="{29A12401-2C0D-4B3A-A87D-A974CAE33400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C104" authorId="2" shapeId="0" xr:uid="{859D2CD4-F13A-4271-A100-4972B466495C}">
      <text>
        <r>
          <rPr>
            <sz val="9"/>
            <rFont val="Arial"/>
            <family val="2"/>
          </rPr>
          <t>Vanesa Alemany:
uge 6 vagt 2</t>
        </r>
      </text>
    </comment>
    <comment ref="AE104" authorId="2" shapeId="0" xr:uid="{6AC89CED-3D7F-4C3C-9E41-3E1046BF2D32}">
      <text>
        <r>
          <rPr>
            <sz val="9"/>
            <rFont val="Arial"/>
            <family val="2"/>
          </rPr>
          <t>Vanesa Alemany:
uge 4 vagt 2</t>
        </r>
      </text>
    </comment>
    <comment ref="C105" authorId="2" shapeId="0" xr:uid="{DC51F16E-487B-47A6-8FDF-F2F8E2D540A0}">
      <text>
        <r>
          <rPr>
            <sz val="9"/>
            <rFont val="Arial"/>
            <family val="2"/>
          </rPr>
          <t>Vanesa Alemany:
uge 6 vagt 1</t>
        </r>
      </text>
    </comment>
    <comment ref="J105" authorId="2" shapeId="0" xr:uid="{E8B611C5-8CED-49D5-9DB6-564B491CD56F}">
      <text>
        <r>
          <rPr>
            <sz val="9"/>
            <rFont val="Arial"/>
            <family val="2"/>
          </rPr>
          <t>Vanesa Alemany:
uge 1 vagt 1</t>
        </r>
      </text>
    </comment>
    <comment ref="AE105" authorId="2" shapeId="0" xr:uid="{EFB8E60C-14C7-4F5D-8EA0-02169216898B}">
      <text>
        <r>
          <rPr>
            <sz val="9"/>
            <rFont val="Arial"/>
            <family val="2"/>
          </rPr>
          <t>Vanesa Alemany:
uge 4 vagt 1</t>
        </r>
      </text>
    </comment>
    <comment ref="Q112" authorId="2" shapeId="0" xr:uid="{8B6E9929-CCAF-4290-8341-6DA6148D5F66}">
      <text>
        <r>
          <rPr>
            <sz val="9"/>
            <rFont val="Arial"/>
            <family val="2"/>
          </rPr>
          <t>Vanesa Alemany:
uge 6 vagt 2</t>
        </r>
      </text>
    </comment>
    <comment ref="AE112" authorId="2" shapeId="0" xr:uid="{4446CECF-19B6-4428-AA9C-A55F90D36BDE}">
      <text>
        <r>
          <rPr>
            <sz val="9"/>
            <rFont val="Arial"/>
            <family val="2"/>
          </rPr>
          <t>Vanesa Alemany:
uge 8</t>
        </r>
      </text>
    </comment>
    <comment ref="J113" authorId="2" shapeId="0" xr:uid="{9E7E276E-087C-4DF7-AA47-71EFD1FC160B}">
      <text>
        <r>
          <rPr>
            <sz val="9"/>
            <rFont val="Arial"/>
            <family val="2"/>
          </rPr>
          <t>Vanesa Alemany:
uge 5 vagt 1</t>
        </r>
      </text>
    </comment>
    <comment ref="X113" authorId="2" shapeId="0" xr:uid="{0916881A-7F7F-49A9-B001-EC200095EC6D}">
      <text>
        <r>
          <rPr>
            <sz val="9"/>
            <rFont val="Arial"/>
            <family val="2"/>
          </rPr>
          <t>Vanesa Alemany:
uge 7</t>
        </r>
      </text>
    </comment>
    <comment ref="C119" authorId="2" shapeId="0" xr:uid="{CA246F95-086E-4FD3-A108-001CCFAF111A}">
      <text>
        <r>
          <rPr>
            <sz val="9"/>
            <rFont val="Arial"/>
            <family val="2"/>
          </rPr>
          <t>Vanesa Alemany:
uge 8</t>
        </r>
      </text>
    </comment>
    <comment ref="AE119" authorId="2" shapeId="0" xr:uid="{6D573A11-15E4-4A04-B016-FE5283EC9911}">
      <text>
        <r>
          <rPr>
            <sz val="9"/>
            <rFont val="Arial"/>
            <family val="2"/>
          </rPr>
          <t>Vanesa Alemany:
uge 12 vagt 2</t>
        </r>
      </text>
    </comment>
    <comment ref="C120" authorId="2" shapeId="0" xr:uid="{8804D9EA-EB52-447E-87DA-802350DF69DF}">
      <text>
        <r>
          <rPr>
            <sz val="9"/>
            <rFont val="Arial"/>
            <family val="2"/>
          </rPr>
          <t>Vanesa Alemany:
uge 8 vagt 1</t>
        </r>
      </text>
    </comment>
    <comment ref="Q120" authorId="2" shapeId="0" xr:uid="{3873629F-521E-455F-ADAA-91CF2F48CFBA}">
      <text>
        <r>
          <rPr>
            <sz val="9"/>
            <rFont val="Arial"/>
            <family val="2"/>
          </rPr>
          <t>Vanesa Alemany:
uge 10 vagt 1</t>
        </r>
      </text>
    </comment>
    <comment ref="AE120" authorId="2" shapeId="0" xr:uid="{5B904BB7-98FF-4705-B255-B6E42B3B45AC}">
      <text>
        <r>
          <rPr>
            <sz val="9"/>
            <rFont val="Arial"/>
            <family val="2"/>
          </rPr>
          <t>Vanesa Alemany:
uge 12 vagt 1</t>
        </r>
      </text>
    </comment>
    <comment ref="C127" authorId="2" shapeId="0" xr:uid="{85B7C5A7-47BE-4FD2-BAF8-082792B9D705}">
      <text>
        <r>
          <rPr>
            <sz val="9"/>
            <rFont val="Arial"/>
            <family val="2"/>
          </rPr>
          <t>Vanesa Alemany:
uge 3 vagt 1</t>
        </r>
      </text>
    </comment>
    <comment ref="AE127" authorId="2" shapeId="0" xr:uid="{9231961E-407E-4FE7-A8B1-52A3D7F8887C}">
      <text>
        <r>
          <rPr>
            <sz val="9"/>
            <rFont val="Arial"/>
            <family val="2"/>
          </rPr>
          <t>Vanesa Alemany:
uge 7 vagt 1</t>
        </r>
      </text>
    </comment>
    <comment ref="C128" authorId="2" shapeId="0" xr:uid="{CBE61756-59FC-4DEC-91BE-15169D400D4D}">
      <text>
        <r>
          <rPr>
            <sz val="9"/>
            <rFont val="Arial"/>
            <family val="2"/>
          </rPr>
          <t>Vanesa Alemany:
uge 9 vagt 2</t>
        </r>
      </text>
    </comment>
    <comment ref="AE128" authorId="2" shapeId="0" xr:uid="{8D574D5C-2780-43ED-8E04-5D640BA5B22A}">
      <text>
        <r>
          <rPr>
            <sz val="9"/>
            <rFont val="Arial"/>
            <family val="2"/>
          </rPr>
          <t>Vanesa Alemany:
uge 1 vagt 2</t>
        </r>
      </text>
    </comment>
    <comment ref="C134" authorId="2" shapeId="0" xr:uid="{29BE7A60-4DCB-4350-8194-D5D08AFCA29F}">
      <text>
        <r>
          <rPr>
            <sz val="9"/>
            <rFont val="Arial"/>
            <family val="2"/>
          </rPr>
          <t>Vanesa Alemany:
uge 6 vagt 2</t>
        </r>
      </text>
    </comment>
    <comment ref="AE134" authorId="2" shapeId="0" xr:uid="{260037D4-60FA-450E-924F-8531D2EA91EC}">
      <text>
        <r>
          <rPr>
            <sz val="9"/>
            <rFont val="Arial"/>
            <family val="2"/>
          </rPr>
          <t>Vanesa Alemany:
uge 4 vagt 2</t>
        </r>
      </text>
    </comment>
    <comment ref="C135" authorId="2" shapeId="0" xr:uid="{12EAAD97-C490-45BE-AB56-88D2BE9AA2CE}">
      <text>
        <r>
          <rPr>
            <sz val="9"/>
            <rFont val="Arial"/>
            <family val="2"/>
          </rPr>
          <t>Vanesa Alemany:
uge 6 vagt 1</t>
        </r>
      </text>
    </comment>
    <comment ref="J135" authorId="2" shapeId="0" xr:uid="{B072E325-A1C3-41FC-8522-0FDB0853B6DA}">
      <text>
        <r>
          <rPr>
            <sz val="9"/>
            <rFont val="Arial"/>
            <family val="2"/>
          </rPr>
          <t>Vanesa Alemany:
uge 1 vagt 1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Thomas Holm</author>
  </authors>
  <commentList>
    <comment ref="B78" authorId="0" shapeId="0" xr:uid="{09E0C224-4086-4A1C-BB82-F58A038C9E08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H78" authorId="0" shapeId="0" xr:uid="{B3CE9560-786D-46C2-9343-F83994AE9279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I78" authorId="0" shapeId="0" xr:uid="{3CE65892-BA1A-43AE-A91C-9C17FAE4769A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J78" authorId="0" shapeId="0" xr:uid="{15839100-DC4F-4300-9039-51ECC74AD09B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K78" authorId="0" shapeId="0" xr:uid="{C9F12F21-A601-4F13-B231-3BDFE4692801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N78" authorId="0" shapeId="0" xr:uid="{AA21447D-6D1F-45A5-8425-3A9A24C6DDE5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O78" authorId="0" shapeId="0" xr:uid="{FCFAC672-6DFF-4050-89A0-4EEAF103D479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P78" authorId="0" shapeId="0" xr:uid="{4D0D8AFC-9776-4CEE-87E4-6E794FF79349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Q78" authorId="0" shapeId="0" xr:uid="{470685E1-1706-4DDE-894E-3BFF72939CE3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R78" authorId="0" shapeId="0" xr:uid="{1006627B-A8C2-4C37-A17D-522126CE3628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U78" authorId="0" shapeId="0" xr:uid="{FC482573-AE3B-458F-9471-7E3D7F8E2693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V78" authorId="0" shapeId="0" xr:uid="{0A4DA048-2B5D-49C3-BA44-9B8BCF9669D2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W78" authorId="0" shapeId="0" xr:uid="{F69408BB-4D16-4E2E-8AFE-FB82A03DDF6B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X78" authorId="0" shapeId="0" xr:uid="{06A22D03-B56D-456A-B786-CCAD07D5FEFA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Y78" authorId="0" shapeId="0" xr:uid="{E55D2EAE-D769-4F7D-B882-59037A91E6D4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B78" authorId="0" shapeId="0" xr:uid="{959F0ECF-4268-4B26-B135-16EE0874F781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C78" authorId="0" shapeId="0" xr:uid="{E3289E0E-DAB3-4D99-A9C3-48B1256004F4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D78" authorId="0" shapeId="0" xr:uid="{2396A27F-2930-4A5F-BB2B-188FBE7A58E2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E78" authorId="0" shapeId="0" xr:uid="{FF005015-D2F4-4869-9490-E1C8DFC86CE2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B79" authorId="0" shapeId="0" xr:uid="{50D6420E-1248-4531-BE59-C34C8BD2229B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H79" authorId="0" shapeId="0" xr:uid="{4213B197-6CFA-4039-8BBE-A3C08E0EA092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I79" authorId="0" shapeId="0" xr:uid="{5CC876C5-9ADA-4F3B-83F4-5E5A49D93B55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J79" authorId="0" shapeId="0" xr:uid="{7061C26F-F489-4C9E-A3A1-12098CC24E8C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K79" authorId="0" shapeId="0" xr:uid="{D9854EC9-D1B4-4AC9-9CA3-AA2EFE0390DA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N79" authorId="0" shapeId="0" xr:uid="{F4290FC2-2246-4C0C-8A1D-F34140337402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O79" authorId="0" shapeId="0" xr:uid="{94C42183-43B4-4E05-AC1E-9AE3C9250912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P79" authorId="0" shapeId="0" xr:uid="{29119D5D-84BC-44CE-85D0-188534D807EE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Q79" authorId="0" shapeId="0" xr:uid="{28D3B88C-7E85-4173-A100-B2D02724AF86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R79" authorId="0" shapeId="0" xr:uid="{661DE675-0DE0-44D6-99BD-9641FFD57848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U79" authorId="0" shapeId="0" xr:uid="{75429960-F46C-4B52-9F4D-C03162728179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V79" authorId="0" shapeId="0" xr:uid="{40407E5F-E182-4BFA-97F1-64CE059D4DF0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W79" authorId="0" shapeId="0" xr:uid="{FDFC9F6E-FD1A-4764-8622-66EF74F93022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X79" authorId="0" shapeId="0" xr:uid="{418195E2-7341-49A3-BFB2-D2A7B80F5D20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Y79" authorId="0" shapeId="0" xr:uid="{CE8151FF-4A7E-4DF6-AD1A-EEA3F52F9023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B79" authorId="0" shapeId="0" xr:uid="{703F454E-7278-473E-857C-922625BB146E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C79" authorId="0" shapeId="0" xr:uid="{52EB2F1F-BAA3-45AE-8440-E82928FBAAC2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D79" authorId="0" shapeId="0" xr:uid="{4668A595-BB14-4AD9-9708-AE07B9EAE5F2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E79" authorId="0" shapeId="0" xr:uid="{9BD59E07-FD74-4E84-A404-ACC1E8ED674F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Vanesa Alemany</author>
  </authors>
  <commentList>
    <comment ref="E65" authorId="0" shapeId="0" xr:uid="{C423FE46-201E-4C1A-B205-298190B7B54C}">
      <text>
        <r>
          <rPr>
            <sz val="9"/>
            <rFont val="Arial"/>
            <family val="2"/>
          </rPr>
          <t>Vanesa Alemany:
Kontaktudvalget 10:30-12:30</t>
        </r>
      </text>
    </comment>
    <comment ref="I65" authorId="0" shapeId="0" xr:uid="{7642D510-69C0-4A96-B410-18C5F2A6BCA5}">
      <text>
        <r>
          <rPr>
            <sz val="9"/>
            <rFont val="Arial"/>
            <family val="2"/>
          </rPr>
          <t>Vanesa Alemany:
TR Status 10:30-12:20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Vanesa Alemany</author>
  </authors>
  <commentList>
    <comment ref="B67" authorId="0" shapeId="0" xr:uid="{4FE9105A-9B9E-4323-A93D-EC232DBDABB0}">
      <text>
        <r>
          <rPr>
            <sz val="9"/>
            <rFont val="Arial"/>
            <family val="2"/>
          </rPr>
          <t>Vanesa Alemany:
TR status 10:30-12:20</t>
        </r>
      </text>
    </comment>
    <comment ref="I67" authorId="0" shapeId="0" xr:uid="{D1DED2EB-D319-41D6-8AB3-010AFE097B16}">
      <text>
        <r>
          <rPr>
            <sz val="9"/>
            <rFont val="Arial"/>
            <family val="2"/>
          </rPr>
          <t>Vanesa Alemany:
Kontaktudvalget 08:30-10:30</t>
        </r>
      </text>
    </comment>
    <comment ref="O84" authorId="0" shapeId="0" xr:uid="{D8FA4287-9C09-4A9E-9634-90E4D23ECE19}">
      <text>
        <r>
          <rPr>
            <sz val="9"/>
            <rFont val="Arial"/>
            <family val="2"/>
          </rPr>
          <t>Vanesa Alemany:
Skole fra den 14.9-6.11</t>
        </r>
      </text>
    </comment>
  </commentList>
</comments>
</file>

<file path=xl/sharedStrings.xml><?xml version="1.0" encoding="utf-8"?>
<sst xmlns="http://schemas.openxmlformats.org/spreadsheetml/2006/main" count="47202" uniqueCount="1194">
  <si>
    <t xml:space="preserve"> </t>
  </si>
  <si>
    <t>Farvekoder</t>
  </si>
  <si>
    <t>Afspadsering</t>
  </si>
  <si>
    <t>Syg</t>
  </si>
  <si>
    <t>Ekstravagt på overtid</t>
  </si>
  <si>
    <t>Ferie</t>
  </si>
  <si>
    <t>Feriefridag</t>
  </si>
  <si>
    <t>Omsorgsdag</t>
  </si>
  <si>
    <t>Kursus</t>
  </si>
  <si>
    <t>Senior dag</t>
  </si>
  <si>
    <t/>
  </si>
  <si>
    <t>Orlov</t>
  </si>
  <si>
    <t>Barsel</t>
  </si>
  <si>
    <t xml:space="preserve">   I   :Omlægning af vagt (Planafvigelse)</t>
  </si>
  <si>
    <t>Barns 1. Sygedag</t>
  </si>
  <si>
    <t>Oplæring</t>
  </si>
  <si>
    <t>Oplæring af  kollega</t>
  </si>
  <si>
    <t>Afdeling 1714 Afsnit 1702</t>
  </si>
  <si>
    <t>Vagter for turnusformænd</t>
  </si>
  <si>
    <t>Mandag</t>
  </si>
  <si>
    <t>Tirsdag</t>
  </si>
  <si>
    <t>Onsdag</t>
  </si>
  <si>
    <t>Torsdag</t>
  </si>
  <si>
    <t>Fredag</t>
  </si>
  <si>
    <t>Lørdag</t>
  </si>
  <si>
    <t>Søndag</t>
  </si>
  <si>
    <t>V1</t>
  </si>
  <si>
    <t>06.30 – 15.45</t>
  </si>
  <si>
    <t>06.30 – 14.45</t>
  </si>
  <si>
    <t>V3 + A</t>
  </si>
  <si>
    <t>14.30-22.30</t>
  </si>
  <si>
    <t>06.30 – 18.45</t>
  </si>
  <si>
    <t>V4 + B</t>
  </si>
  <si>
    <t>22.30- 06.45</t>
  </si>
  <si>
    <t>18.30 – 06.45</t>
  </si>
  <si>
    <t>18.45 – 06.45</t>
  </si>
  <si>
    <t>Nøgle uge nr.:</t>
  </si>
  <si>
    <t>Plan</t>
  </si>
  <si>
    <t>Navn</t>
  </si>
  <si>
    <t>448 Rasmus Sørensen</t>
  </si>
  <si>
    <t>I</t>
  </si>
  <si>
    <t>393 Thomas Holm</t>
  </si>
  <si>
    <t>Gunner Grell</t>
  </si>
  <si>
    <t>V3</t>
  </si>
  <si>
    <t>Turnusformænd</t>
  </si>
  <si>
    <t>442 Kim Aabroe</t>
  </si>
  <si>
    <t>F</t>
  </si>
  <si>
    <t>A</t>
  </si>
  <si>
    <t>V3)</t>
  </si>
  <si>
    <t>B</t>
  </si>
  <si>
    <t>V4</t>
  </si>
  <si>
    <t>Michael Knudsen</t>
  </si>
  <si>
    <t>B1</t>
  </si>
  <si>
    <t>B2</t>
  </si>
  <si>
    <t>Lasse Aae-Hartwig</t>
  </si>
  <si>
    <t>V1)</t>
  </si>
  <si>
    <t>479 Nick Lorentzen</t>
  </si>
  <si>
    <t>453 Mathias Søndergaard</t>
  </si>
  <si>
    <t>Formændsafløsere</t>
  </si>
  <si>
    <t>993 Steen Hertin</t>
  </si>
  <si>
    <t>Lars Emil Sørensen</t>
  </si>
  <si>
    <t>O1</t>
  </si>
  <si>
    <t>k</t>
  </si>
  <si>
    <t>Flemming Dam</t>
  </si>
  <si>
    <t>I2</t>
  </si>
  <si>
    <t>327 Johnny W. Hansen</t>
  </si>
  <si>
    <t>Vagter for turnus Rådhuset Plankode 8516</t>
  </si>
  <si>
    <t xml:space="preserve">  </t>
  </si>
  <si>
    <t xml:space="preserve">   </t>
  </si>
  <si>
    <r>
      <t xml:space="preserve">1  </t>
    </r>
    <r>
      <rPr>
        <sz val="9"/>
        <rFont val="Arial"/>
        <family val="2"/>
      </rPr>
      <t>0700 - 1400 Også på helligdage</t>
    </r>
  </si>
  <si>
    <r>
      <t xml:space="preserve">3 </t>
    </r>
    <r>
      <rPr>
        <sz val="9"/>
        <rFont val="Arial"/>
        <family val="2"/>
      </rPr>
      <t xml:space="preserve"> 0730 - 1530 Også på helligdage</t>
    </r>
  </si>
  <si>
    <r>
      <t xml:space="preserve">4 </t>
    </r>
    <r>
      <rPr>
        <sz val="9"/>
        <rFont val="Arial"/>
        <family val="2"/>
      </rPr>
      <t xml:space="preserve"> 0930 - 1730</t>
    </r>
    <r>
      <rPr>
        <sz val="9"/>
        <rFont val="Arial"/>
        <family val="2"/>
      </rPr>
      <t xml:space="preserve"> (8-16 på H.dage)</t>
    </r>
  </si>
  <si>
    <r>
      <t xml:space="preserve">5 </t>
    </r>
    <r>
      <rPr>
        <sz val="9"/>
        <rFont val="Arial"/>
        <family val="2"/>
      </rPr>
      <t xml:space="preserve"> 1630 - 2330/ fredage 1400-2330 (-helligdage)</t>
    </r>
  </si>
  <si>
    <r>
      <t xml:space="preserve">6  </t>
    </r>
    <r>
      <rPr>
        <sz val="9"/>
        <rFont val="Arial"/>
        <family val="2"/>
      </rPr>
      <t>Aften</t>
    </r>
    <r>
      <rPr>
        <b/>
        <sz val="10"/>
        <rFont val="Arial"/>
        <family val="2"/>
      </rPr>
      <t xml:space="preserve"> </t>
    </r>
    <r>
      <rPr>
        <sz val="9"/>
        <rFont val="Arial"/>
        <family val="2"/>
      </rPr>
      <t xml:space="preserve">1600 - 2300 </t>
    </r>
  </si>
  <si>
    <r>
      <t xml:space="preserve">7 </t>
    </r>
    <r>
      <rPr>
        <sz val="9"/>
        <rFont val="Arial"/>
        <family val="2"/>
      </rPr>
      <t xml:space="preserve"> Aften 1515 - 2315</t>
    </r>
  </si>
  <si>
    <r>
      <t xml:space="preserve">8 </t>
    </r>
    <r>
      <rPr>
        <sz val="9"/>
        <rFont val="Arial"/>
        <family val="2"/>
      </rPr>
      <t xml:space="preserve"> Aften 1600-2300 /fredag 1600-2230</t>
    </r>
  </si>
  <si>
    <r>
      <t xml:space="preserve">9 </t>
    </r>
    <r>
      <rPr>
        <sz val="9"/>
        <rFont val="Arial"/>
        <family val="2"/>
      </rPr>
      <t xml:space="preserve"> Nat 2300 - 0600  </t>
    </r>
  </si>
  <si>
    <r>
      <t xml:space="preserve">10 </t>
    </r>
    <r>
      <rPr>
        <sz val="9"/>
        <rFont val="Arial"/>
        <family val="2"/>
      </rPr>
      <t xml:space="preserve"> Nat 2300 - 0700</t>
    </r>
  </si>
  <si>
    <r>
      <t xml:space="preserve">11 </t>
    </r>
    <r>
      <rPr>
        <sz val="9"/>
        <rFont val="Arial"/>
        <family val="2"/>
      </rPr>
      <t xml:space="preserve"> Nat 2300 - 0715</t>
    </r>
  </si>
  <si>
    <r>
      <t>A1</t>
    </r>
    <r>
      <rPr>
        <sz val="9"/>
        <rFont val="Arial"/>
        <family val="2"/>
      </rPr>
      <t xml:space="preserve"> Dag 0845 - 1745 Lørdag </t>
    </r>
  </si>
  <si>
    <r>
      <t>A2</t>
    </r>
    <r>
      <rPr>
        <sz val="9"/>
        <rFont val="Arial"/>
        <family val="2"/>
      </rPr>
      <t xml:space="preserve"> Dag 0700 - 1900 Lørdag &amp; søndag</t>
    </r>
  </si>
  <si>
    <r>
      <t>A3</t>
    </r>
    <r>
      <rPr>
        <sz val="9"/>
        <rFont val="Arial"/>
        <family val="2"/>
      </rPr>
      <t xml:space="preserve"> Dag 0700 - 1915 Lørdag &amp; søndag</t>
    </r>
  </si>
  <si>
    <r>
      <t>B1</t>
    </r>
    <r>
      <rPr>
        <sz val="9"/>
        <rFont val="Arial"/>
        <family val="2"/>
      </rPr>
      <t xml:space="preserve"> Nat 1900 - 0600  Lørdag &amp; søndag</t>
    </r>
  </si>
  <si>
    <r>
      <t>B2</t>
    </r>
    <r>
      <rPr>
        <sz val="9"/>
        <rFont val="Arial"/>
        <family val="2"/>
      </rPr>
      <t xml:space="preserve"> Nat 1900 - 0700  Lørdag &amp; søndag </t>
    </r>
  </si>
  <si>
    <r>
      <t>B3</t>
    </r>
    <r>
      <rPr>
        <sz val="9"/>
        <rFont val="Arial"/>
        <family val="2"/>
      </rPr>
      <t xml:space="preserve"> Nat 1900 - 0715  Lørdag &amp; søndag</t>
    </r>
  </si>
  <si>
    <t xml:space="preserve">Bo Michelsen </t>
  </si>
  <si>
    <t>A3</t>
  </si>
  <si>
    <t>B3</t>
  </si>
  <si>
    <t>488 Frederik Jensen</t>
  </si>
  <si>
    <t>A2</t>
  </si>
  <si>
    <t xml:space="preserve">494 Thomas Bay </t>
  </si>
  <si>
    <t>A1</t>
  </si>
  <si>
    <t>Tommy Ollvid</t>
  </si>
  <si>
    <t>308 Kim B. T. Pedersen</t>
  </si>
  <si>
    <t>Simon Botfeldt</t>
  </si>
  <si>
    <t>Michael Stemann</t>
  </si>
  <si>
    <t>463 John Stengaard</t>
  </si>
  <si>
    <t>Alexander Henriksen</t>
  </si>
  <si>
    <t>Sp1</t>
  </si>
  <si>
    <t>Flemming Grambo</t>
  </si>
  <si>
    <t>11</t>
  </si>
  <si>
    <t>411  Niels C. Frederiksen</t>
  </si>
  <si>
    <t>387 Bo Iversen</t>
  </si>
  <si>
    <t>421 Niels Bo Jensen</t>
  </si>
  <si>
    <t>%</t>
  </si>
  <si>
    <t>Anders Petersen</t>
  </si>
  <si>
    <t>313 Erik M. Nielsen</t>
  </si>
  <si>
    <t>Buffer gruppen</t>
  </si>
  <si>
    <t>Bemærkninger</t>
  </si>
  <si>
    <t>Normal daglig tjeneste</t>
  </si>
  <si>
    <t>0815-1600</t>
  </si>
  <si>
    <t>0815-1415</t>
  </si>
  <si>
    <t>489 Henrik W. Hansen</t>
  </si>
  <si>
    <t>RF1</t>
  </si>
  <si>
    <t>Salih Cetin</t>
  </si>
  <si>
    <t>Henning Larsen</t>
  </si>
  <si>
    <t>S</t>
  </si>
  <si>
    <t>Kennet Heildelbach</t>
  </si>
  <si>
    <t>S1</t>
  </si>
  <si>
    <t>447 Dimitrios Kostis</t>
  </si>
  <si>
    <t>KA</t>
  </si>
  <si>
    <t>K2</t>
  </si>
  <si>
    <t>Benny Jacobsen</t>
  </si>
  <si>
    <t>T</t>
  </si>
  <si>
    <t>Laura Qiao</t>
  </si>
  <si>
    <t>7</t>
  </si>
  <si>
    <t>21</t>
  </si>
  <si>
    <t>P</t>
  </si>
  <si>
    <t>O</t>
  </si>
  <si>
    <t>Elias Henningsen</t>
  </si>
  <si>
    <t>E</t>
  </si>
  <si>
    <t>89</t>
  </si>
  <si>
    <t>M</t>
  </si>
  <si>
    <t>:)</t>
  </si>
  <si>
    <t>Lasse Martinussen</t>
  </si>
  <si>
    <t>Brian Rand</t>
  </si>
  <si>
    <t>25</t>
  </si>
  <si>
    <t>26</t>
  </si>
  <si>
    <t>Gorm Bigum</t>
  </si>
  <si>
    <t>SP1</t>
  </si>
  <si>
    <t>Andreas Hansen</t>
  </si>
  <si>
    <t>Michael Tofig</t>
  </si>
  <si>
    <t>6</t>
  </si>
  <si>
    <t>F)</t>
  </si>
  <si>
    <t>69</t>
  </si>
  <si>
    <t>79</t>
  </si>
  <si>
    <t>Johnny G. Hansen</t>
  </si>
  <si>
    <t>Kasper de Lasson</t>
  </si>
  <si>
    <t>4</t>
  </si>
  <si>
    <t>9</t>
  </si>
  <si>
    <t>Lukas Rasmussen</t>
  </si>
  <si>
    <t>Leon Tingvold</t>
  </si>
  <si>
    <t>D</t>
  </si>
  <si>
    <t>G</t>
  </si>
  <si>
    <t>Vikarer</t>
  </si>
  <si>
    <t>Thomas Ferguson</t>
  </si>
  <si>
    <t>Elev</t>
  </si>
  <si>
    <t>Kristian Reenberg  </t>
  </si>
  <si>
    <t>Yusef</t>
  </si>
  <si>
    <t>i2</t>
  </si>
  <si>
    <t>Praktikanter</t>
  </si>
  <si>
    <t>Kredsvagt</t>
  </si>
  <si>
    <t>26-vagt</t>
  </si>
  <si>
    <t>17:30-23:45</t>
  </si>
  <si>
    <t>09:00-16:00</t>
  </si>
  <si>
    <t>25-vagt (Patruljeleder)</t>
  </si>
  <si>
    <t>1500-2330</t>
  </si>
  <si>
    <t>15:00-23:30</t>
  </si>
  <si>
    <t>14:00-23:30</t>
  </si>
  <si>
    <t>K2-vagt (KA)</t>
  </si>
  <si>
    <t>1730-0030</t>
  </si>
  <si>
    <t>17:30-00:30</t>
  </si>
  <si>
    <t>17:15-00:30</t>
  </si>
  <si>
    <t>14:00-00:00</t>
  </si>
  <si>
    <t>Fri</t>
  </si>
  <si>
    <t>467 Nicolaj Beck Thilesen</t>
  </si>
  <si>
    <t>478 Kemal Türkmen</t>
  </si>
  <si>
    <t>Asawin</t>
  </si>
  <si>
    <t>Sjællandsgade 38-40</t>
  </si>
  <si>
    <t>Q   Anden opgave</t>
  </si>
  <si>
    <t>Alle dage</t>
  </si>
  <si>
    <t>S1     20,30 - 08.30</t>
  </si>
  <si>
    <t xml:space="preserve">Afs </t>
  </si>
  <si>
    <t>10:00 16:00</t>
  </si>
  <si>
    <t>Levsa</t>
  </si>
  <si>
    <t>Henriette Skovly</t>
  </si>
  <si>
    <t>S1)</t>
  </si>
  <si>
    <t>Jess Holmboe Mogensen (Levsa barsel)</t>
  </si>
  <si>
    <t>Ottiliavej 1</t>
  </si>
  <si>
    <t>O1     20,30 - 08.30</t>
  </si>
  <si>
    <t xml:space="preserve">Malik Asfihan Qayum </t>
  </si>
  <si>
    <t xml:space="preserve">Jannie Sejr Petersen </t>
  </si>
  <si>
    <t>Speditørvej</t>
  </si>
  <si>
    <t>SP1     20,30 - 08.30</t>
  </si>
  <si>
    <t>Ruhat</t>
  </si>
  <si>
    <t>Sergio Gorgone</t>
  </si>
  <si>
    <t>Refshalevej 148</t>
  </si>
  <si>
    <t>Navn (Fast rul)</t>
  </si>
  <si>
    <t>450 Thomas Lindenskov</t>
  </si>
  <si>
    <t xml:space="preserve">Lazhare Gasmi </t>
  </si>
  <si>
    <t>RF1)</t>
  </si>
  <si>
    <t>Informationen</t>
  </si>
  <si>
    <t>Timer ugentligt</t>
  </si>
  <si>
    <t>i1 Plankode 8520</t>
  </si>
  <si>
    <t>0700 - 1445</t>
  </si>
  <si>
    <t>0700 - 1300</t>
  </si>
  <si>
    <t>824 Anders Villadsen</t>
  </si>
  <si>
    <t>I1</t>
  </si>
  <si>
    <t>Sikring</t>
  </si>
  <si>
    <t>Plankode 8506</t>
  </si>
  <si>
    <t>Uge 1</t>
  </si>
  <si>
    <t>0900-1600</t>
  </si>
  <si>
    <t>Uge 2</t>
  </si>
  <si>
    <t>0800-1600</t>
  </si>
  <si>
    <t>Uge 3</t>
  </si>
  <si>
    <t>0830-1600</t>
  </si>
  <si>
    <t>0830-1630</t>
  </si>
  <si>
    <t>0900-1400</t>
  </si>
  <si>
    <t>Uge 4</t>
  </si>
  <si>
    <t>0900-1630</t>
  </si>
  <si>
    <t>FRI</t>
  </si>
  <si>
    <t>Uge 5</t>
  </si>
  <si>
    <t>0745 - 1530</t>
  </si>
  <si>
    <t>0800-1400</t>
  </si>
  <si>
    <t>456 Oliver Villadsen</t>
  </si>
  <si>
    <t>473 Tarik Saji</t>
  </si>
  <si>
    <t>392 Martin Svanebjerg</t>
  </si>
  <si>
    <t>480 Johnny Larsen</t>
  </si>
  <si>
    <t>Kødbyen</t>
  </si>
  <si>
    <t>21-vagt</t>
  </si>
  <si>
    <t>21.00-07.00</t>
  </si>
  <si>
    <t>23.00-07.00</t>
  </si>
  <si>
    <t>19.00-07.00</t>
  </si>
  <si>
    <t>22.00-07.00</t>
  </si>
  <si>
    <t>22-vagt</t>
  </si>
  <si>
    <t>23-vagt</t>
  </si>
  <si>
    <t>21.30-06.30</t>
  </si>
  <si>
    <t>Martin Hansen</t>
  </si>
  <si>
    <t>Lars Mortensen</t>
  </si>
  <si>
    <t>Stig Jensen</t>
  </si>
  <si>
    <t>Volkan Özdemir</t>
  </si>
  <si>
    <t>23)</t>
  </si>
  <si>
    <t>Per Kristensen</t>
  </si>
  <si>
    <t>Jonas Nielsen</t>
  </si>
  <si>
    <t>Rundviser</t>
  </si>
  <si>
    <t>1000-1600</t>
  </si>
  <si>
    <t>0900-1700</t>
  </si>
  <si>
    <t xml:space="preserve">Emilie </t>
  </si>
  <si>
    <t>R3</t>
  </si>
  <si>
    <t>370 Kristoffer Sahlholdt</t>
  </si>
  <si>
    <t>R2</t>
  </si>
  <si>
    <t>R1</t>
  </si>
  <si>
    <t>Martin Hvorslev</t>
  </si>
  <si>
    <t>Bodin</t>
  </si>
  <si>
    <t>Socialcenter København</t>
  </si>
  <si>
    <t>Plankode</t>
  </si>
  <si>
    <t>Griffen</t>
  </si>
  <si>
    <t>C</t>
  </si>
  <si>
    <t>815-1545</t>
  </si>
  <si>
    <t>915-1845</t>
  </si>
  <si>
    <t>815-1315</t>
  </si>
  <si>
    <t>Brønshøjvej</t>
  </si>
  <si>
    <t>12.00-1545</t>
  </si>
  <si>
    <t>08.15-18.15</t>
  </si>
  <si>
    <t>815-1415</t>
  </si>
  <si>
    <t>Lyongade</t>
  </si>
  <si>
    <t>8.30 - 15.15</t>
  </si>
  <si>
    <t>10.00 - 18.00</t>
  </si>
  <si>
    <t>Matthæusgade</t>
  </si>
  <si>
    <t>8.45-1545</t>
  </si>
  <si>
    <t>08.30 - 17.15</t>
  </si>
  <si>
    <t>8.45 . 13.30</t>
  </si>
  <si>
    <t>Gl. Køge landevej</t>
  </si>
  <si>
    <t>8.45 - 15.30</t>
  </si>
  <si>
    <t>11.15 - 18.00</t>
  </si>
  <si>
    <t>Svendborggade</t>
  </si>
  <si>
    <t>08.45 - 15.15</t>
  </si>
  <si>
    <t>09.00 - 18.00</t>
  </si>
  <si>
    <t>Sydbanestien</t>
  </si>
  <si>
    <t>815-1600</t>
  </si>
  <si>
    <t xml:space="preserve">BCH Borups alle </t>
  </si>
  <si>
    <t>815-1540</t>
  </si>
  <si>
    <t>815-1715</t>
  </si>
  <si>
    <t>815-1500</t>
  </si>
  <si>
    <t>Socialcentre afløsere mødetider.</t>
  </si>
  <si>
    <t>09.00 - 15.00</t>
  </si>
  <si>
    <t>12.30 - 18.30</t>
  </si>
  <si>
    <t>08.30 - 14.30</t>
  </si>
  <si>
    <t>11.00 - 18.00</t>
  </si>
  <si>
    <t>08.15 - 14.15</t>
  </si>
  <si>
    <t>12.00 - 18.00</t>
  </si>
  <si>
    <t>8.45 - 15.15</t>
  </si>
  <si>
    <t>08.30 - 17.00</t>
  </si>
  <si>
    <t>Ronnie Nielsen</t>
  </si>
  <si>
    <t xml:space="preserve">395 Lars Lionette </t>
  </si>
  <si>
    <t xml:space="preserve">495 Rasmus Olsen </t>
  </si>
  <si>
    <t>492 Thomas Hartmann</t>
  </si>
  <si>
    <t>Stig Christensen</t>
  </si>
  <si>
    <t>380 Ali Capcan</t>
  </si>
  <si>
    <t>Jan Jensen</t>
  </si>
  <si>
    <t>493 Michael Dyhr</t>
  </si>
  <si>
    <t>S)</t>
  </si>
  <si>
    <t>Administrations og Arrangementsafdelingen</t>
  </si>
  <si>
    <t xml:space="preserve">Plankoder </t>
  </si>
  <si>
    <t>0600 - 1115</t>
  </si>
  <si>
    <t>0600 - 1345</t>
  </si>
  <si>
    <t>0600 - 1200</t>
  </si>
  <si>
    <t>0600  - 1200</t>
  </si>
  <si>
    <t>0800 - 1545</t>
  </si>
  <si>
    <t>0800 - 1400</t>
  </si>
  <si>
    <t>Forskudt vagt</t>
  </si>
  <si>
    <t>Afdeling 1722 afsnit 1701</t>
  </si>
  <si>
    <t>Chef for Arrangementservice</t>
  </si>
  <si>
    <t>Charlotte Dalsgaard</t>
  </si>
  <si>
    <t>Arrangementformmand</t>
  </si>
  <si>
    <t>416 Dorte Ramassi</t>
  </si>
  <si>
    <t>320 Mikael M. Andersen</t>
  </si>
  <si>
    <t>Nikolaj Pamhede</t>
  </si>
  <si>
    <t>Arrangementservice</t>
  </si>
  <si>
    <t>445 Jeanett Røjbæk</t>
  </si>
  <si>
    <t>Gay Go Sison</t>
  </si>
  <si>
    <t>364 Henning Haaning</t>
  </si>
  <si>
    <t xml:space="preserve">Aleksandra Mika </t>
  </si>
  <si>
    <t>410 Karina Schiöpffe</t>
  </si>
  <si>
    <t>Carsten Dahl</t>
  </si>
  <si>
    <t>I)</t>
  </si>
  <si>
    <t>Nina Selma Sommer</t>
  </si>
  <si>
    <t>Linnedstuen</t>
  </si>
  <si>
    <t>504 Maya Villadsen</t>
  </si>
  <si>
    <t>Ludmilla Stidl</t>
  </si>
  <si>
    <t xml:space="preserve">Rikke </t>
  </si>
  <si>
    <t>Postservice</t>
  </si>
  <si>
    <t>0700-1430</t>
  </si>
  <si>
    <t>0700-1400</t>
  </si>
  <si>
    <t>0800-1530</t>
  </si>
  <si>
    <t>0800-1500</t>
  </si>
  <si>
    <t>Uge 3 (Vagten)</t>
  </si>
  <si>
    <t>Afdeling 1721 afsnit 1701</t>
  </si>
  <si>
    <t xml:space="preserve">419 Karina Petersen </t>
  </si>
  <si>
    <t>Postruter</t>
  </si>
  <si>
    <t>434 Marco Minerba</t>
  </si>
  <si>
    <t>P2</t>
  </si>
  <si>
    <t>P1</t>
  </si>
  <si>
    <t>984 Jannie M.-Andersen</t>
  </si>
  <si>
    <t>P1)</t>
  </si>
  <si>
    <t>409 Martin Holse</t>
  </si>
  <si>
    <t>P3</t>
  </si>
  <si>
    <t>P3)</t>
  </si>
  <si>
    <t>Afdeling/afsnit 4420/4420</t>
  </si>
  <si>
    <t>Afdeling/afsnit 4250/4210</t>
  </si>
  <si>
    <t>Søren Christensen</t>
  </si>
  <si>
    <t>Frank Hansen</t>
  </si>
  <si>
    <t>Michael  Skytte</t>
  </si>
  <si>
    <t>Per Rasmussen</t>
  </si>
  <si>
    <t>Dagny Torres</t>
  </si>
  <si>
    <t>Rene  Svenning Johansen</t>
  </si>
  <si>
    <t>Sine Broe Andersen</t>
  </si>
  <si>
    <t>Henrik Olsen</t>
  </si>
  <si>
    <t>Nicolai Schrøder</t>
  </si>
  <si>
    <t>Yusuf</t>
  </si>
  <si>
    <t>Navn (Ledelse)</t>
  </si>
  <si>
    <t>Formænd</t>
  </si>
  <si>
    <t>V4)</t>
  </si>
  <si>
    <t>Peter W Madsen</t>
  </si>
  <si>
    <t>Lars Emil Hartvig Sørensen</t>
  </si>
  <si>
    <t>Navn (Rådhusturnus)</t>
  </si>
  <si>
    <t>9)</t>
  </si>
  <si>
    <t>Navn Buffer-gruppen</t>
  </si>
  <si>
    <t>F )</t>
  </si>
  <si>
    <t xml:space="preserve"> Elias Henningsen (Julius)</t>
  </si>
  <si>
    <t>i1</t>
  </si>
  <si>
    <t>22</t>
  </si>
  <si>
    <t>RF-D</t>
  </si>
  <si>
    <t>RF2</t>
  </si>
  <si>
    <t>Christian Nøhr</t>
  </si>
  <si>
    <t xml:space="preserve">Torben Ehlers </t>
  </si>
  <si>
    <t>)</t>
  </si>
  <si>
    <r>
      <rPr>
        <sz val="9"/>
        <color rgb="FF47D359"/>
        <rFont val="Arial"/>
        <family val="2"/>
      </rPr>
      <t>I</t>
    </r>
    <r>
      <rPr>
        <sz val="9"/>
        <color rgb="FF000000"/>
        <rFont val="Arial"/>
        <family val="2"/>
      </rPr>
      <t>1</t>
    </r>
  </si>
  <si>
    <t>17:45-00:00</t>
  </si>
  <si>
    <t>Navn (Kredsvagt)</t>
  </si>
  <si>
    <t>478 Kemal Türkmen / Brian Rand</t>
  </si>
  <si>
    <t>Uge 23</t>
  </si>
  <si>
    <t>Uge 24</t>
  </si>
  <si>
    <t>Uge 25</t>
  </si>
  <si>
    <t>Navn WH Sjællandsgade</t>
  </si>
  <si>
    <t>Jess Holmboe Mogensen</t>
  </si>
  <si>
    <t>Navn WH Ottiliavej</t>
  </si>
  <si>
    <t>Navn WH Speditørvej</t>
  </si>
  <si>
    <t>SP1)</t>
  </si>
  <si>
    <t>RF1     20,30 - 08.30</t>
  </si>
  <si>
    <t>RF2 05:30-08:30</t>
  </si>
  <si>
    <t>RF2: Lør-/Søndag 05:30 - 14:30</t>
  </si>
  <si>
    <t>Thomas Lindenskov</t>
  </si>
  <si>
    <t xml:space="preserve">Afløser Ukriane </t>
  </si>
  <si>
    <t xml:space="preserve">     20,30 - 08.30</t>
  </si>
  <si>
    <t xml:space="preserve">Afløser 1 Thomas Ferguson </t>
  </si>
  <si>
    <t>RF 1</t>
  </si>
  <si>
    <t xml:space="preserve">Afløser 2 </t>
  </si>
  <si>
    <t>Navn (Sikringsgruppen)</t>
  </si>
  <si>
    <t>Navn (Kødbyen)</t>
  </si>
  <si>
    <t>Navn (Rundvisning)</t>
  </si>
  <si>
    <t>Navn (Socialcentre)</t>
  </si>
  <si>
    <t>E :)</t>
  </si>
  <si>
    <t>R</t>
  </si>
  <si>
    <t>Arrangementformand</t>
  </si>
  <si>
    <t>I )</t>
  </si>
  <si>
    <t>984 Jannie M.Andersen</t>
  </si>
  <si>
    <t xml:space="preserve">P3 </t>
  </si>
  <si>
    <t>P3 :)</t>
  </si>
  <si>
    <t>Michael Skytte</t>
  </si>
  <si>
    <r>
      <rPr>
        <sz val="9"/>
        <color rgb="FF000000"/>
        <rFont val="Arial"/>
        <family val="2"/>
      </rPr>
      <t>)</t>
    </r>
    <r>
      <rPr>
        <sz val="9"/>
        <color rgb="FFFF0000"/>
        <rFont val="Arial"/>
        <family val="2"/>
      </rPr>
      <t>)</t>
    </r>
  </si>
  <si>
    <t>1)</t>
  </si>
  <si>
    <t>RF5</t>
  </si>
  <si>
    <t>l</t>
  </si>
  <si>
    <t>E)</t>
  </si>
  <si>
    <t>4)</t>
  </si>
  <si>
    <t>Christian Nordskov Jensen</t>
  </si>
  <si>
    <t>99</t>
  </si>
  <si>
    <t>RF3</t>
  </si>
  <si>
    <t>|</t>
  </si>
  <si>
    <t>478 Kemal Türkmen (erstattes af Brian Rand)</t>
  </si>
  <si>
    <t>Navn (WH Sjællandsgade)</t>
  </si>
  <si>
    <t>S1:)</t>
  </si>
  <si>
    <t>Navn (WH Ottiliavej)</t>
  </si>
  <si>
    <t>Navn (WH Speditørvej)</t>
  </si>
  <si>
    <t>OBS! Midlertidige vagter på Refshalevej</t>
  </si>
  <si>
    <t>mandag</t>
  </si>
  <si>
    <t>RF2 05:30 - 08:30</t>
  </si>
  <si>
    <t>RF1 20:30 - 08:30</t>
  </si>
  <si>
    <t>RF4</t>
  </si>
  <si>
    <t xml:space="preserve">Fredag </t>
  </si>
  <si>
    <t xml:space="preserve"> F :)</t>
  </si>
  <si>
    <t>RF3 08:30 - 14:30</t>
  </si>
  <si>
    <t xml:space="preserve">RF4 17:30 - 05:30 </t>
  </si>
  <si>
    <t xml:space="preserve">Søndag </t>
  </si>
  <si>
    <t>RF5 05:30 - 14:30</t>
  </si>
  <si>
    <t>Afløser Ukriane</t>
  </si>
  <si>
    <t xml:space="preserve">Afløser ! Thomas Ferguson </t>
  </si>
  <si>
    <t>fln</t>
  </si>
  <si>
    <t>08.15 - 15.45</t>
  </si>
  <si>
    <t>09.15 - 18.45</t>
  </si>
  <si>
    <t>08.15 - 13.15</t>
  </si>
  <si>
    <t>12.00 - 15.45</t>
  </si>
  <si>
    <t>08.15 - 18.15</t>
  </si>
  <si>
    <t>08.30 - 15.15</t>
  </si>
  <si>
    <t>08.45 - 15.30</t>
  </si>
  <si>
    <t>Gammel køge landevej 43-45</t>
  </si>
  <si>
    <t>08.15 - 16.00</t>
  </si>
  <si>
    <t>08.15 - 15.15</t>
  </si>
  <si>
    <t>08.15 - 17.15</t>
  </si>
  <si>
    <t>08.00 - 15.00</t>
  </si>
  <si>
    <t>T)</t>
  </si>
  <si>
    <t>B)</t>
  </si>
  <si>
    <t>V 1</t>
  </si>
  <si>
    <t xml:space="preserve">Christoffer Moe Bech </t>
  </si>
  <si>
    <t xml:space="preserve">Buffer </t>
  </si>
  <si>
    <t>t</t>
  </si>
  <si>
    <t>5</t>
  </si>
  <si>
    <t>10</t>
  </si>
  <si>
    <t>G)</t>
  </si>
  <si>
    <t xml:space="preserve">Kasper Brinkborg Nielsen </t>
  </si>
  <si>
    <t xml:space="preserve">Johnny Gret Hansen </t>
  </si>
  <si>
    <t>Ruhat Durkal</t>
  </si>
  <si>
    <t>Jonas</t>
  </si>
  <si>
    <t>Afløser Ukraine</t>
  </si>
  <si>
    <t xml:space="preserve">    </t>
  </si>
  <si>
    <t>Afløsen2</t>
  </si>
  <si>
    <t>i2)</t>
  </si>
  <si>
    <t>69)</t>
  </si>
  <si>
    <r>
      <rPr>
        <sz val="9"/>
        <color rgb="FF000000"/>
        <rFont val="Arial"/>
        <family val="2"/>
      </rPr>
      <t>V3 +</t>
    </r>
    <r>
      <rPr>
        <sz val="9"/>
        <color rgb="FFFF0000"/>
        <rFont val="Arial"/>
        <family val="2"/>
      </rPr>
      <t xml:space="preserve"> A</t>
    </r>
  </si>
  <si>
    <r>
      <rPr>
        <sz val="9"/>
        <color rgb="FF000000"/>
        <rFont val="Arial"/>
        <family val="2"/>
      </rPr>
      <t>V4 +</t>
    </r>
    <r>
      <rPr>
        <sz val="9"/>
        <color rgb="FF4EA72E"/>
        <rFont val="Arial"/>
        <family val="2"/>
      </rPr>
      <t xml:space="preserve"> B</t>
    </r>
  </si>
  <si>
    <t>A)</t>
  </si>
  <si>
    <t>Christoffer Moe Bech</t>
  </si>
  <si>
    <r>
      <t xml:space="preserve">2  </t>
    </r>
    <r>
      <rPr>
        <sz val="9"/>
        <rFont val="Arial"/>
        <family val="2"/>
      </rPr>
      <t>0700 - 1400 Også på helligdage</t>
    </r>
  </si>
  <si>
    <t>Slut</t>
  </si>
  <si>
    <t>Q</t>
  </si>
  <si>
    <t>Thomas Hartmann</t>
  </si>
  <si>
    <t>C)</t>
  </si>
  <si>
    <t>Saif Younes</t>
  </si>
  <si>
    <t>Pernille Bjørlie</t>
  </si>
  <si>
    <t>B3)</t>
  </si>
  <si>
    <t>Nevil Nielsen</t>
  </si>
  <si>
    <t>8</t>
  </si>
  <si>
    <t>Gasværksvej skole</t>
  </si>
  <si>
    <t>07:30  -  09:30</t>
  </si>
  <si>
    <t>Salih</t>
  </si>
  <si>
    <t>Simon</t>
  </si>
  <si>
    <t>HWH</t>
  </si>
  <si>
    <t>SH</t>
  </si>
  <si>
    <t>Yus</t>
  </si>
  <si>
    <t>CHRI</t>
  </si>
  <si>
    <t>YUF</t>
  </si>
  <si>
    <t>VOL</t>
  </si>
  <si>
    <t>14:30   -  17:30</t>
  </si>
  <si>
    <t>Nicojal</t>
  </si>
  <si>
    <t>Nicolaj</t>
  </si>
  <si>
    <t>J.G.H</t>
  </si>
  <si>
    <t>ASA</t>
  </si>
  <si>
    <t>Johnny Gert Hansen</t>
  </si>
  <si>
    <r>
      <rPr>
        <b/>
        <sz val="11"/>
        <color rgb="FF444444"/>
        <rFont val="Calibri"/>
        <family val="2"/>
      </rPr>
      <t xml:space="preserve">RF1  </t>
    </r>
    <r>
      <rPr>
        <sz val="11"/>
        <color rgb="FF444444"/>
        <rFont val="Calibri"/>
        <family val="2"/>
      </rPr>
      <t xml:space="preserve">   17:30 - 01:30</t>
    </r>
  </si>
  <si>
    <r>
      <rPr>
        <b/>
        <sz val="9"/>
        <color rgb="FF000000"/>
        <rFont val="Arial"/>
        <family val="2"/>
      </rPr>
      <t>RF2</t>
    </r>
    <r>
      <rPr>
        <sz val="9"/>
        <color rgb="FF000000"/>
        <rFont val="Arial"/>
        <family val="2"/>
      </rPr>
      <t xml:space="preserve"> 17:30 - 02:30</t>
    </r>
  </si>
  <si>
    <r>
      <rPr>
        <b/>
        <sz val="9"/>
        <color rgb="FF000000"/>
        <rFont val="Arial"/>
        <family val="2"/>
      </rPr>
      <t xml:space="preserve">RF3 </t>
    </r>
    <r>
      <rPr>
        <sz val="9"/>
        <color rgb="FF000000"/>
        <rFont val="Arial"/>
        <family val="2"/>
      </rPr>
      <t>01:30 - 08:30</t>
    </r>
  </si>
  <si>
    <r>
      <rPr>
        <b/>
        <sz val="9"/>
        <color rgb="FF000000"/>
        <rFont val="Arial"/>
        <family val="2"/>
      </rPr>
      <t xml:space="preserve">RF4 </t>
    </r>
    <r>
      <rPr>
        <sz val="9"/>
        <color rgb="FF000000"/>
        <rFont val="Arial"/>
        <family val="2"/>
      </rPr>
      <t>02:30 - 14:30</t>
    </r>
  </si>
  <si>
    <t>Reffen tjekliste</t>
  </si>
  <si>
    <t>Elias</t>
  </si>
  <si>
    <t>Sahli</t>
  </si>
  <si>
    <t>L-emil</t>
  </si>
  <si>
    <t>Kenn</t>
  </si>
  <si>
    <t>Per</t>
  </si>
  <si>
    <t>Ruha</t>
  </si>
  <si>
    <t>Afløsen 2</t>
  </si>
  <si>
    <t>Afløsen 3</t>
  </si>
  <si>
    <t>Martin</t>
  </si>
  <si>
    <t>830-1800</t>
  </si>
  <si>
    <t>Afløser Erik Hansen</t>
  </si>
  <si>
    <t xml:space="preserve"> C</t>
  </si>
  <si>
    <t>08.45 - 15:15</t>
  </si>
  <si>
    <t>08.45 - 15-15</t>
  </si>
  <si>
    <t>11.45 - 17.15</t>
  </si>
  <si>
    <t>08.45 - 13.15</t>
  </si>
  <si>
    <t>Griffen  (Kapelvej)</t>
  </si>
  <si>
    <t>Oktober</t>
  </si>
  <si>
    <t>Sabina Taj</t>
  </si>
  <si>
    <t>Rådhusturnus</t>
  </si>
  <si>
    <t>Asawin Chinwithee</t>
  </si>
  <si>
    <t>3)</t>
  </si>
  <si>
    <t xml:space="preserve">Lasse Martinussen </t>
  </si>
  <si>
    <t>17.30 - 23.45</t>
  </si>
  <si>
    <t>17.30-23.45</t>
  </si>
  <si>
    <t>17.45-23.45</t>
  </si>
  <si>
    <t>0815 - 1815</t>
  </si>
  <si>
    <t>1500-0030</t>
  </si>
  <si>
    <t>1400-0030</t>
  </si>
  <si>
    <t>17.30 - 00.30</t>
  </si>
  <si>
    <t>14.00</t>
  </si>
  <si>
    <t>00.30</t>
  </si>
  <si>
    <t>14.00 - 00.30</t>
  </si>
  <si>
    <t>Buffergruppe</t>
  </si>
  <si>
    <t>RF2)</t>
  </si>
  <si>
    <t>RF3)</t>
  </si>
  <si>
    <t>Thom Hovborg</t>
  </si>
  <si>
    <t>Karina Skovby</t>
  </si>
  <si>
    <t>26)</t>
  </si>
  <si>
    <t>P)</t>
  </si>
  <si>
    <t>Kasper Brinkborg</t>
  </si>
  <si>
    <t>TB</t>
  </si>
  <si>
    <t>Brian</t>
  </si>
  <si>
    <t>RF1     17:30 - 01:30</t>
  </si>
  <si>
    <t>RF2 17:30 - 02:30</t>
  </si>
  <si>
    <t>RF3 01:30 - 08:30</t>
  </si>
  <si>
    <t>RF4 02:30 - 14:30</t>
  </si>
  <si>
    <t>RF4)</t>
  </si>
  <si>
    <t>fl</t>
  </si>
  <si>
    <t>Martin Holse</t>
  </si>
  <si>
    <t>November 2025</t>
  </si>
  <si>
    <t>æ</t>
  </si>
  <si>
    <t>23</t>
  </si>
  <si>
    <t>½</t>
  </si>
  <si>
    <r>
      <t xml:space="preserve">5 </t>
    </r>
    <r>
      <rPr>
        <sz val="9"/>
        <rFont val="Arial"/>
        <family val="2"/>
      </rPr>
      <t xml:space="preserve"> 1630 - 2330/ fredage 1400-2330         (-helligdage)</t>
    </r>
  </si>
  <si>
    <t>Valg uge</t>
  </si>
  <si>
    <t xml:space="preserve"> Asawin Chinwithee</t>
  </si>
  <si>
    <t>308 Kim B. T. Jonas starter 10/11</t>
  </si>
  <si>
    <t>6)</t>
  </si>
  <si>
    <t>10)</t>
  </si>
  <si>
    <t>Flemming Albertsen</t>
  </si>
  <si>
    <t>Mohamad Toni Taleb</t>
  </si>
  <si>
    <t>Battal</t>
  </si>
  <si>
    <t>SC</t>
  </si>
  <si>
    <t>HW</t>
  </si>
  <si>
    <t>ST</t>
  </si>
  <si>
    <t>DIM</t>
  </si>
  <si>
    <t>SAIF</t>
  </si>
  <si>
    <t>Dim</t>
  </si>
  <si>
    <t>Levsa Bayankhail</t>
  </si>
  <si>
    <t>99)</t>
  </si>
  <si>
    <t>395 Lars Lionett</t>
  </si>
  <si>
    <t>O)</t>
  </si>
  <si>
    <t>496 Peter Johansen</t>
  </si>
  <si>
    <t>December 2025</t>
  </si>
  <si>
    <t>Overarbejde</t>
  </si>
  <si>
    <t>6. ferieuge</t>
  </si>
  <si>
    <t>Barn syg</t>
  </si>
  <si>
    <t>På oplæring</t>
  </si>
  <si>
    <t xml:space="preserve">   I-vagt: Omlægning af vagt (Planafvigelse)</t>
  </si>
  <si>
    <t>Ubesatte vagter</t>
  </si>
  <si>
    <r>
      <rPr>
        <b/>
        <sz val="10"/>
        <color rgb="FF000000"/>
        <rFont val="Arial"/>
        <family val="2"/>
      </rPr>
      <t xml:space="preserve">1  </t>
    </r>
    <r>
      <rPr>
        <sz val="9"/>
        <color rgb="FF000000"/>
        <rFont val="Arial"/>
        <family val="2"/>
      </rPr>
      <t>0700 - 1400 Også på helligdage</t>
    </r>
  </si>
  <si>
    <t xml:space="preserve">Jonas Nielsen </t>
  </si>
  <si>
    <t>1</t>
  </si>
  <si>
    <t>3</t>
  </si>
  <si>
    <t>Q)</t>
  </si>
  <si>
    <t>5)</t>
  </si>
  <si>
    <t>Battal Kekec</t>
  </si>
  <si>
    <t>x</t>
  </si>
  <si>
    <t>Saif</t>
  </si>
  <si>
    <t>Sim</t>
  </si>
  <si>
    <t>Ottiliavej</t>
  </si>
  <si>
    <t>Henriette  Skovly</t>
  </si>
  <si>
    <t>Toni</t>
  </si>
  <si>
    <t>Skov</t>
  </si>
  <si>
    <t>Jes</t>
  </si>
  <si>
    <t>Jes Pern</t>
  </si>
  <si>
    <t>Batal</t>
  </si>
  <si>
    <t>Pern</t>
  </si>
  <si>
    <t>Bat</t>
  </si>
  <si>
    <t>Ekstra 11:30 - 17:30</t>
  </si>
  <si>
    <t>Batt</t>
  </si>
  <si>
    <t>I1)</t>
  </si>
  <si>
    <t>Sikring Plankode 8506</t>
  </si>
  <si>
    <t>Kødbyen Plankode 8506</t>
  </si>
  <si>
    <t>Rundvisning</t>
  </si>
  <si>
    <t>R1)</t>
  </si>
  <si>
    <t xml:space="preserve">Socialcentre  </t>
  </si>
  <si>
    <t>Socialcentre afløsere</t>
  </si>
  <si>
    <t>Socialcentre</t>
  </si>
  <si>
    <t>Arrangementsservice</t>
  </si>
  <si>
    <t>Posten</t>
  </si>
  <si>
    <t>Januar 2026</t>
  </si>
  <si>
    <t>Ledelse</t>
  </si>
  <si>
    <t>Diverse</t>
  </si>
  <si>
    <t>Fællestillidsrepræsentant</t>
  </si>
  <si>
    <t>Terræninspektør</t>
  </si>
  <si>
    <r>
      <rPr>
        <b/>
        <sz val="10"/>
        <color rgb="FF000000"/>
        <rFont val="Arial"/>
        <family val="2"/>
      </rPr>
      <t xml:space="preserve">5 </t>
    </r>
    <r>
      <rPr>
        <sz val="9"/>
        <color rgb="FF000000"/>
        <rFont val="Arial"/>
        <family val="2"/>
      </rPr>
      <t xml:space="preserve"> 1630 - 2330/ fredage 1400-2330 (-helligdage)</t>
    </r>
  </si>
  <si>
    <t>447 Dimitrios Kostis FOA TR</t>
  </si>
  <si>
    <t>B1)</t>
  </si>
  <si>
    <t>Asghar N. Ali</t>
  </si>
  <si>
    <t>Rafael Kestenblatt</t>
  </si>
  <si>
    <t>Elever</t>
  </si>
  <si>
    <t>Perni</t>
  </si>
  <si>
    <t xml:space="preserve">F </t>
  </si>
  <si>
    <t>Speditørvej SP1 20:30 - 08:30 Alle dage</t>
  </si>
  <si>
    <t> </t>
  </si>
  <si>
    <t>01:30-08:30 (RF3)</t>
  </si>
  <si>
    <t>02:30-10:30 (RF4)</t>
  </si>
  <si>
    <t>17:30-01:30 (RF1)</t>
  </si>
  <si>
    <t>17:30-02:30 (RF2)</t>
  </si>
  <si>
    <t xml:space="preserve">Refshalevej </t>
  </si>
  <si>
    <t>Rundvisning Plankode 8506</t>
  </si>
  <si>
    <t>Socialcenter</t>
  </si>
  <si>
    <t>Griffen DSI Voksne (Erik)</t>
  </si>
  <si>
    <t>08:45-15:15</t>
  </si>
  <si>
    <t>08.45-15:15</t>
  </si>
  <si>
    <t>11:45-17:15</t>
  </si>
  <si>
    <t>08:45-13:15</t>
  </si>
  <si>
    <t>Griffen DSI Børn (Ronnie)</t>
  </si>
  <si>
    <t>08:15-15:45</t>
  </si>
  <si>
    <t>09:15-18:45</t>
  </si>
  <si>
    <t>08:15-13:15</t>
  </si>
  <si>
    <t>Brønshøjvej 17</t>
  </si>
  <si>
    <t>12:00-15:45</t>
  </si>
  <si>
    <t>08:15-18:15</t>
  </si>
  <si>
    <t>08:15-14:15</t>
  </si>
  <si>
    <t>Lyongade 25</t>
  </si>
  <si>
    <t>08:30-15:15</t>
  </si>
  <si>
    <t>10:00-18:00</t>
  </si>
  <si>
    <t>Gl. Køge landevej 43</t>
  </si>
  <si>
    <t>08:45-15:30</t>
  </si>
  <si>
    <t>11:15-18:00</t>
  </si>
  <si>
    <t>Svendborggade 5</t>
  </si>
  <si>
    <t>08.45-15.15</t>
  </si>
  <si>
    <t>09:00-18:00</t>
  </si>
  <si>
    <t>BCH Borups Allé 43</t>
  </si>
  <si>
    <t>08:15-15:15</t>
  </si>
  <si>
    <t>08:15-17:15</t>
  </si>
  <si>
    <t>08:00-15:00</t>
  </si>
  <si>
    <t>Socialcentre Afløsere</t>
  </si>
  <si>
    <t>Griffen DSI Voksen</t>
  </si>
  <si>
    <t>Griffen DSI Børn</t>
  </si>
  <si>
    <t>09:00-15:00</t>
  </si>
  <si>
    <t>12:30-18:30</t>
  </si>
  <si>
    <t>08:30-14:30</t>
  </si>
  <si>
    <t>11:00-18:00</t>
  </si>
  <si>
    <t>12:00-18:00</t>
  </si>
  <si>
    <t>Erik Hansen</t>
  </si>
  <si>
    <t xml:space="preserve">I </t>
  </si>
  <si>
    <t>Februar 2026</t>
  </si>
  <si>
    <r>
      <rPr>
        <b/>
        <sz val="10"/>
        <color rgb="FF000000"/>
        <rFont val="Arial"/>
        <family val="2"/>
      </rPr>
      <t xml:space="preserve">6  </t>
    </r>
    <r>
      <rPr>
        <sz val="9"/>
        <color rgb="FF000000"/>
        <rFont val="Arial"/>
        <family val="2"/>
      </rPr>
      <t>Aften</t>
    </r>
    <r>
      <rPr>
        <b/>
        <sz val="10"/>
        <color rgb="FF000000"/>
        <rFont val="Arial"/>
        <family val="2"/>
      </rPr>
      <t xml:space="preserve"> </t>
    </r>
    <r>
      <rPr>
        <sz val="9"/>
        <color rgb="FF000000"/>
        <rFont val="Arial"/>
        <family val="2"/>
      </rPr>
      <t xml:space="preserve">1600 - 2300 </t>
    </r>
  </si>
  <si>
    <r>
      <rPr>
        <b/>
        <sz val="10"/>
        <color rgb="FF000000"/>
        <rFont val="Arial"/>
        <family val="2"/>
      </rPr>
      <t xml:space="preserve">11 </t>
    </r>
    <r>
      <rPr>
        <sz val="9"/>
        <color rgb="FF000000"/>
        <rFont val="Arial"/>
        <family val="2"/>
      </rPr>
      <t xml:space="preserve"> Nat 2300 - 0715</t>
    </r>
  </si>
  <si>
    <t>AS1</t>
  </si>
  <si>
    <t>Kredsvagten</t>
  </si>
  <si>
    <t>Sjællandsgade</t>
  </si>
  <si>
    <t xml:space="preserve">   F</t>
  </si>
  <si>
    <t>Amager Strandvej</t>
  </si>
  <si>
    <t>AS 1</t>
  </si>
  <si>
    <t>395 Lars Lionette</t>
  </si>
  <si>
    <t>Marts 2026</t>
  </si>
  <si>
    <t>Vagthavende</t>
  </si>
  <si>
    <t>V2</t>
  </si>
  <si>
    <t>Vikar</t>
  </si>
  <si>
    <t>Silas Jensen</t>
  </si>
  <si>
    <t xml:space="preserve">Erik Hansen </t>
  </si>
  <si>
    <t>V</t>
  </si>
  <si>
    <t>April 2026</t>
  </si>
  <si>
    <t>VAKANT</t>
  </si>
  <si>
    <t>Maj 2026</t>
  </si>
  <si>
    <t>Frederik Jensen</t>
  </si>
  <si>
    <t xml:space="preserve">Stig Christensen </t>
  </si>
  <si>
    <t xml:space="preserve">Kredsvagt </t>
  </si>
  <si>
    <t>Socialcentre afløsere mødetider</t>
  </si>
  <si>
    <t>Juni 2026</t>
  </si>
  <si>
    <t>Juli 2026</t>
  </si>
  <si>
    <t>August 2026</t>
  </si>
  <si>
    <t>0830-1530</t>
  </si>
  <si>
    <t>September 2026</t>
  </si>
  <si>
    <t>Timepriser i Rådhusservice 2022</t>
  </si>
  <si>
    <t>Timepris</t>
  </si>
  <si>
    <t>Arrangement service</t>
  </si>
  <si>
    <t>Servering</t>
  </si>
  <si>
    <t>Vagt</t>
  </si>
  <si>
    <t>Teknisk service</t>
  </si>
  <si>
    <t>Timepris: Arrangementer mv. (6 til 17 på hverdage)</t>
  </si>
  <si>
    <t>375 kr(425)</t>
  </si>
  <si>
    <t>372 kr(422)</t>
  </si>
  <si>
    <t>375 Kr(425)</t>
  </si>
  <si>
    <t>Overarbejde 50 % timer ved arrangementer mv.                                    (17 til 20 på hverdage)</t>
  </si>
  <si>
    <t>450,-</t>
  </si>
  <si>
    <t>450 kr(500)</t>
  </si>
  <si>
    <t>Overarbejde 100 % timer ved arrangementer mv.                                  (20 til 6 på hverdage)</t>
  </si>
  <si>
    <t>600,-</t>
  </si>
  <si>
    <t>600 kr(650)</t>
  </si>
  <si>
    <t>600 Kr(650)</t>
  </si>
  <si>
    <t>Hvis opgaven ikke er varslet 72 timer før, lægges                           50 kr. oven i prisen, gælder både  vagt og arrangementer</t>
  </si>
  <si>
    <t xml:space="preserve">Udlejning af Betjente: Socialcentre, Borgerservice </t>
  </si>
  <si>
    <t>375,-</t>
  </si>
  <si>
    <t>Borgmestre chauffør, omvisninger og ved ad hoc opgaver.</t>
  </si>
  <si>
    <t xml:space="preserve">Rundering:  </t>
  </si>
  <si>
    <t>372,-</t>
  </si>
  <si>
    <t xml:space="preserve">Rundering: Årsværk med alt inklusivt </t>
  </si>
  <si>
    <t>558.618,-</t>
  </si>
  <si>
    <t>Skolesupport</t>
  </si>
  <si>
    <t>Skolessupport Rundvisning</t>
  </si>
  <si>
    <t>700,-</t>
  </si>
  <si>
    <t>Postopgaver</t>
  </si>
  <si>
    <t>255,-</t>
  </si>
  <si>
    <t>Postkørsel: Ad hoc opgaver</t>
  </si>
  <si>
    <t>350,-</t>
  </si>
  <si>
    <t>Frankering: Tillæg pr. brev + portoen</t>
  </si>
  <si>
    <t>0,60,-</t>
  </si>
  <si>
    <t>Leje af helt Dueslag pr. dag.                                                        (Inklusiv 1 daglig levering af post)</t>
  </si>
  <si>
    <t>Årligt 64.260</t>
  </si>
  <si>
    <t>Leje af halvt Dueslag pr. dag.                                                       (Inklusiv 1 daglig levering af post)</t>
  </si>
  <si>
    <t>127,50,-</t>
  </si>
  <si>
    <t>Årligt 32.130</t>
  </si>
  <si>
    <t>Leje af kvart Dueslag pr. dag.                                                      (Kunden skal selv tømme for post)</t>
  </si>
  <si>
    <t>63,75,-</t>
  </si>
  <si>
    <t>Årligt 16.065</t>
  </si>
  <si>
    <t>Skanning pr. time</t>
  </si>
  <si>
    <t>368,-</t>
  </si>
  <si>
    <t xml:space="preserve">Rådhusnøgler pr. stk. </t>
  </si>
  <si>
    <t>ID kort + adgangsbrikker</t>
  </si>
  <si>
    <t>Yoyo</t>
  </si>
  <si>
    <t>Kortholder</t>
  </si>
  <si>
    <t>Rådhusservice prisliste 2023(kostægte)</t>
  </si>
  <si>
    <t>Generelle timepriser</t>
  </si>
  <si>
    <t>Arrangementservice + Servering</t>
  </si>
  <si>
    <t>Rådhusvagt</t>
  </si>
  <si>
    <t>Post &amp; scan</t>
  </si>
  <si>
    <t>Timepris hverdage 6-17</t>
  </si>
  <si>
    <t>Timepris inkl. tillæg efter klokken 17</t>
  </si>
  <si>
    <t>Overarbejde 50% (inkl. timepris)</t>
  </si>
  <si>
    <t>Overarbejde 100% (Inkl. timepris)</t>
  </si>
  <si>
    <t>Gebyr på 50 kr. ved varsling under 72 timer (inkl. timepris)</t>
  </si>
  <si>
    <t>Overarbejde 50% (inkl. timepris og gebyr på 50 kr.)</t>
  </si>
  <si>
    <t>Overarbejde 100% (Inkl. timepris og gebyr på 50 kr.)</t>
  </si>
  <si>
    <t>Leje af dueslag pr. år (pris 2021)*</t>
  </si>
  <si>
    <t>Beløb</t>
  </si>
  <si>
    <t>1 Dueslag</t>
  </si>
  <si>
    <t>½ dueslag</t>
  </si>
  <si>
    <t>1/4 dueslag</t>
  </si>
  <si>
    <t>Nedskrivningsfaktor (forholdsmæssig forskel på fakureret 2021 og kostægte udgift) INKL. ADHOC*</t>
  </si>
  <si>
    <t>Øvrige ydelser</t>
  </si>
  <si>
    <t>Timepriser på gamle aftaler</t>
  </si>
  <si>
    <t>POSTAFTALE KATEGORIER, YDELSESBESKRIVELSE *</t>
  </si>
  <si>
    <t xml:space="preserve">1/1 Dueslag: Large volumen post. Afhentning Post Nord morgen + sortering + udbringning til lokation (Rådhus/By) + hjemkørsel post fra lokation + klargøring til Post Nord </t>
  </si>
  <si>
    <t xml:space="preserve">1/2 Dueslag: medium volumen post. Afhentning Post Nord morgen + sortering + udbringning til lokation (Rådhus/By) + hjemkørsel post fra lokation + klargøring til Post Nord </t>
  </si>
  <si>
    <t>1/4 Dueslag: sortering til dueslag på Rådhus, kunde afhenter selv post</t>
  </si>
  <si>
    <t>GRUS/MUS 2022 i Rådhusservice</t>
  </si>
  <si>
    <t>Lederne i Rådhusvagten</t>
  </si>
  <si>
    <t>Rådhusvagten</t>
  </si>
  <si>
    <t>Postservice, Skanning og HNG</t>
  </si>
  <si>
    <t>Indkalder</t>
  </si>
  <si>
    <t>Samtale med</t>
  </si>
  <si>
    <t>Afholdt den</t>
  </si>
  <si>
    <t>Flemming Nielsen</t>
  </si>
  <si>
    <t>Dennis Rise</t>
  </si>
  <si>
    <t>402 Ole Albertsen</t>
  </si>
  <si>
    <t>Erik Andersen</t>
  </si>
  <si>
    <t>Michael Bo Pedersen</t>
  </si>
  <si>
    <t>44 Lara Andersen</t>
  </si>
  <si>
    <t>Thomas Holm</t>
  </si>
  <si>
    <t>22/1-20</t>
  </si>
  <si>
    <t>Nick Lorentzen</t>
  </si>
  <si>
    <t>Kim Aabroe</t>
  </si>
  <si>
    <t>Rasmus Sørensen</t>
  </si>
  <si>
    <t>Mathias Nielsen</t>
  </si>
  <si>
    <t>969 Anders Hintze</t>
  </si>
  <si>
    <t>20/5-22</t>
  </si>
  <si>
    <t>Per Larsen</t>
  </si>
  <si>
    <t>488 frederik jensen</t>
  </si>
  <si>
    <t>316 Marianne Rasmussen</t>
  </si>
  <si>
    <t>420 Carsten Dahl</t>
  </si>
  <si>
    <t>Steen Hertin</t>
  </si>
  <si>
    <t>Henrik W. Hansen</t>
  </si>
  <si>
    <t>433 Simon Botfeldt</t>
  </si>
  <si>
    <t>Administration og arrangements afd.</t>
  </si>
  <si>
    <t>414 Steffen Grube</t>
  </si>
  <si>
    <t xml:space="preserve"> 463 John Stengaard</t>
  </si>
  <si>
    <t>961 Sonny Ingerslev</t>
  </si>
  <si>
    <t>327 Johnny V. Hansen</t>
  </si>
  <si>
    <t>Lars Nordhøj</t>
  </si>
  <si>
    <t xml:space="preserve">323 Inge Hansen </t>
  </si>
  <si>
    <t>Peter Johansen</t>
  </si>
  <si>
    <t>Mike Riis-Jensen</t>
  </si>
  <si>
    <t>908 Kenny  Hautop</t>
  </si>
  <si>
    <t>13/11-20</t>
  </si>
  <si>
    <t>445 Jeanet Røjbæk</t>
  </si>
  <si>
    <t>394 Gorm Wilhjelm</t>
  </si>
  <si>
    <t>Ludmilla Stiedl</t>
  </si>
  <si>
    <t>309 Birthe Pedersen</t>
  </si>
  <si>
    <t>410Karina Holm</t>
  </si>
  <si>
    <t>462 Flemming Grambo</t>
  </si>
  <si>
    <t>Nina Selmi Sommer</t>
  </si>
  <si>
    <t>Thomas Bay</t>
  </si>
  <si>
    <t>Katrine Muir</t>
  </si>
  <si>
    <t>Rikke EengHolm</t>
  </si>
  <si>
    <t>487 Brian Glob</t>
  </si>
  <si>
    <t>Michael Hansen</t>
  </si>
  <si>
    <t>11/11-22</t>
  </si>
  <si>
    <t>473 Tarik Sajl</t>
  </si>
  <si>
    <t>Rasmus Olsen</t>
  </si>
  <si>
    <t>Martin Svanebjerg</t>
  </si>
  <si>
    <t>486 Anne-Mette</t>
  </si>
  <si>
    <t xml:space="preserve">Mathias Hartvig Morell Nielsen </t>
  </si>
  <si>
    <t xml:space="preserve">380 Ali Capkan </t>
  </si>
  <si>
    <t>6/3-20</t>
  </si>
  <si>
    <t>478 Kemal Turkmen</t>
  </si>
  <si>
    <t>370 Kristoffer Ruth Sahlholdt</t>
  </si>
  <si>
    <t>Ritha Ayerkai</t>
  </si>
  <si>
    <t>Claudia Frers</t>
  </si>
  <si>
    <t>439 Erik H. Hansen</t>
  </si>
  <si>
    <t>691 Flemming Dam</t>
  </si>
  <si>
    <t>396 Wojciech Jagielski</t>
  </si>
  <si>
    <t xml:space="preserve">839 Johnny Karlsson </t>
  </si>
  <si>
    <t>682 Carl-Erik Holm</t>
  </si>
  <si>
    <t>982 Frank Falkenskov</t>
  </si>
  <si>
    <t>Hafrun Simonardottir</t>
  </si>
  <si>
    <t>Michael Thomsen</t>
  </si>
  <si>
    <t>Dittemaria</t>
  </si>
  <si>
    <t>Michael Dyhr</t>
  </si>
  <si>
    <t>Thomas hartmann</t>
  </si>
  <si>
    <t>Brian Glob</t>
  </si>
  <si>
    <t>Daniel Tuveri</t>
  </si>
  <si>
    <t>Thomas Lindskov</t>
  </si>
  <si>
    <t>Michael Schou Schmidt</t>
  </si>
  <si>
    <t>Jesper Larsen</t>
  </si>
  <si>
    <t>Kenneth Kejlstrup</t>
  </si>
  <si>
    <t>Atle Johansen</t>
  </si>
  <si>
    <t>Vagterleder</t>
  </si>
  <si>
    <t>Plankode 8502</t>
  </si>
  <si>
    <t>Jørgen Pyrmer</t>
  </si>
  <si>
    <t>Plankode 8546</t>
  </si>
  <si>
    <t>0815 - 1615</t>
  </si>
  <si>
    <t>2300 - 0700</t>
  </si>
  <si>
    <t>1900 - 0700</t>
  </si>
  <si>
    <t>Erik S. Andersen</t>
  </si>
  <si>
    <t>Jørgen M. Rasmussen</t>
  </si>
  <si>
    <t>0700 - 1500</t>
  </si>
  <si>
    <t>Dennis H. Rise</t>
  </si>
  <si>
    <t>1500 - 2300</t>
  </si>
  <si>
    <t>0700 - 1900</t>
  </si>
  <si>
    <t>Bjarne Wagner-Larsen</t>
  </si>
  <si>
    <t>Bo V. Jacobsen</t>
  </si>
  <si>
    <t>Timer i alt</t>
  </si>
  <si>
    <t>Formændsafløserne</t>
  </si>
  <si>
    <t>Plankode 8500</t>
  </si>
  <si>
    <t>0815 - 1600</t>
  </si>
  <si>
    <t>0815 - 1415</t>
  </si>
  <si>
    <t>Jesper Simonsen</t>
  </si>
  <si>
    <t>Michael B. Pedersen</t>
  </si>
  <si>
    <t xml:space="preserve">Vagter for turnus Rådhuset  </t>
  </si>
  <si>
    <t>Plankode 8516</t>
  </si>
  <si>
    <t>Hold 1</t>
  </si>
  <si>
    <t>0900 - 1715</t>
  </si>
  <si>
    <t>PA 0815 - 1615</t>
  </si>
  <si>
    <t>PB 0815 - 1615</t>
  </si>
  <si>
    <t>2300 - 0600</t>
  </si>
  <si>
    <t>1900 - 0600</t>
  </si>
  <si>
    <t>PC 0900 - 1715</t>
  </si>
  <si>
    <t>Dagvagt</t>
  </si>
  <si>
    <t>(Disp)</t>
  </si>
  <si>
    <t>Hold 2</t>
  </si>
  <si>
    <t>Aften 1600-2300 ( 0700-1900)</t>
  </si>
  <si>
    <t>Aften 1500-2300 ( 0830-1530)</t>
  </si>
  <si>
    <t>Nat 2300 - 0600 (1900 - 0600</t>
  </si>
  <si>
    <t>Hold 3</t>
  </si>
  <si>
    <t>Nat 2300 - 0700 (1900 - 0700)</t>
  </si>
  <si>
    <t>Hold 4</t>
  </si>
  <si>
    <t>1600 - 2300</t>
  </si>
  <si>
    <t>0830 - 1530</t>
  </si>
  <si>
    <t>Hold 5</t>
  </si>
  <si>
    <t xml:space="preserve">Vagter for Bernstoffsgade &amp; H.N.G.  </t>
  </si>
  <si>
    <t>Plankode 8511</t>
  </si>
  <si>
    <t xml:space="preserve">H  vagt </t>
  </si>
  <si>
    <t>0600 - 1300</t>
  </si>
  <si>
    <t>I   vagt</t>
  </si>
  <si>
    <t>1300 - 2000</t>
  </si>
  <si>
    <t>1300 - 1900</t>
  </si>
  <si>
    <t>K  vagt</t>
  </si>
  <si>
    <t>0850 - 1520</t>
  </si>
  <si>
    <t>0850 - 1420</t>
  </si>
  <si>
    <t>0600 - 1315</t>
  </si>
  <si>
    <t xml:space="preserve">Vagter for Njalsgade og Bryggens Gård  </t>
  </si>
  <si>
    <t>Plankode 8512</t>
  </si>
  <si>
    <t>L  vagt Bryggen</t>
  </si>
  <si>
    <t>0600 - 1430</t>
  </si>
  <si>
    <t>0600 - 1330</t>
  </si>
  <si>
    <t>Med pause</t>
  </si>
  <si>
    <t>M vagt Bryggen</t>
  </si>
  <si>
    <t>1430 - 2100</t>
  </si>
  <si>
    <t>1330 - 2030</t>
  </si>
  <si>
    <t>N vagt (Bibliotek)</t>
  </si>
  <si>
    <t>1200 - 1930</t>
  </si>
  <si>
    <t>1200 - 1630</t>
  </si>
  <si>
    <t>0830 - 1515</t>
  </si>
  <si>
    <t>0930 - 1600</t>
  </si>
  <si>
    <t>Med pause u/afløsning</t>
  </si>
  <si>
    <t>O vagt Njalsgade</t>
  </si>
  <si>
    <t>P vagt Njalsgade</t>
  </si>
  <si>
    <t>R vagt Afløse mm.</t>
  </si>
  <si>
    <t xml:space="preserve">Vagter for Ottiliahus  </t>
  </si>
  <si>
    <t>Plankode 8552</t>
  </si>
  <si>
    <t xml:space="preserve">S  vagt </t>
  </si>
  <si>
    <t>T   vagt</t>
  </si>
  <si>
    <t>1330 - 2100</t>
  </si>
  <si>
    <t>U  vagt</t>
  </si>
  <si>
    <t>0800 - 1530</t>
  </si>
  <si>
    <t>0800 - 1500</t>
  </si>
  <si>
    <t>Fast portner A</t>
  </si>
  <si>
    <t>Arne Berthold</t>
  </si>
  <si>
    <t>Fast portner B</t>
  </si>
  <si>
    <t>Plankode 8519</t>
  </si>
  <si>
    <t>0700 - 1430</t>
  </si>
  <si>
    <t>Anders Villadsen</t>
  </si>
  <si>
    <t>Kontoret + fester</t>
  </si>
  <si>
    <t>Marianne Rasmussen</t>
  </si>
  <si>
    <t>Ulla B. Olsen</t>
  </si>
  <si>
    <t>Bent Zumbach</t>
  </si>
  <si>
    <t>Stuen</t>
  </si>
  <si>
    <t>Plankode 8515</t>
  </si>
  <si>
    <t>Knud O. Jørgensen</t>
  </si>
  <si>
    <t>Afløserne</t>
  </si>
  <si>
    <t>Plankode 8517</t>
  </si>
  <si>
    <t>0600 - 1400</t>
  </si>
  <si>
    <t>Kristoffer Ruth</t>
  </si>
  <si>
    <t>Ferie Afløserne</t>
  </si>
  <si>
    <t>Karl Weidich</t>
  </si>
  <si>
    <t>Dean Poulsen</t>
  </si>
  <si>
    <t>Maria Christensen</t>
  </si>
  <si>
    <t>Christian Bjørkved</t>
  </si>
  <si>
    <t>Maria S. Kjarval</t>
  </si>
  <si>
    <t>I alt</t>
  </si>
  <si>
    <t>Timer på hverdage</t>
  </si>
  <si>
    <t>Timer på helligdage</t>
  </si>
  <si>
    <t>Timer pr. år</t>
  </si>
  <si>
    <t>BR møder på et år</t>
  </si>
  <si>
    <t>Arrangementer på et år</t>
  </si>
  <si>
    <t>Ekstra p.g.a. trusler m.v. ca. 3 mand i tolv timer pr. gang.</t>
  </si>
  <si>
    <t>Grand total</t>
  </si>
  <si>
    <t>svarer til ca. 63 medarbejdere</t>
  </si>
  <si>
    <t>Plankode 8521</t>
  </si>
  <si>
    <t>0745- 1345</t>
  </si>
  <si>
    <t>372 Jørgen Pyrmer</t>
  </si>
  <si>
    <t>Stedfortræder</t>
  </si>
  <si>
    <t>807 Flemming Nielsen</t>
  </si>
  <si>
    <t>Ugentligt</t>
  </si>
  <si>
    <t>Månedligt</t>
  </si>
  <si>
    <t>Årligt</t>
  </si>
  <si>
    <t>Timeopgørelse</t>
  </si>
  <si>
    <t>Timer i 2./3. skift</t>
  </si>
  <si>
    <t>Uge 6</t>
  </si>
  <si>
    <t>Total</t>
  </si>
  <si>
    <t>Rondering / alarmudrykning</t>
  </si>
  <si>
    <t>Normtid</t>
  </si>
  <si>
    <t>37 timer x 4 uger =</t>
  </si>
  <si>
    <t>timer</t>
  </si>
  <si>
    <t xml:space="preserve">2. / 3. Skifts timer =  </t>
  </si>
  <si>
    <t>:37 timer</t>
  </si>
  <si>
    <t>357 Jesper Simonsen</t>
  </si>
  <si>
    <t xml:space="preserve">timer x 3 (grundet 37/3 reglen) = </t>
  </si>
  <si>
    <t>358 Per Olsen</t>
  </si>
  <si>
    <t>383 Kjeld Julius Jespersen</t>
  </si>
  <si>
    <t>timer - godtskrivelse på</t>
  </si>
  <si>
    <t>timer =</t>
  </si>
  <si>
    <t>(Skal arbejde)</t>
  </si>
  <si>
    <t>reel tid - normtid</t>
  </si>
  <si>
    <t xml:space="preserve">Turnusvagter Rådhuset  </t>
  </si>
  <si>
    <t>Uge      Plankode 8516</t>
  </si>
  <si>
    <t>Dag tjeneste</t>
  </si>
  <si>
    <t>Timer i 2./3. Skift</t>
  </si>
  <si>
    <t xml:space="preserve">Uge 6 </t>
  </si>
  <si>
    <t>Uge 7</t>
  </si>
  <si>
    <t>Uge 8</t>
  </si>
  <si>
    <t>Uge 9</t>
  </si>
  <si>
    <t>Uge 10</t>
  </si>
  <si>
    <t>Uge 11</t>
  </si>
  <si>
    <t>Uge 12</t>
  </si>
  <si>
    <t>Aften tjeneste</t>
  </si>
  <si>
    <t>Uge 13</t>
  </si>
  <si>
    <t>Uge 14</t>
  </si>
  <si>
    <t>Uge 15</t>
  </si>
  <si>
    <t>37 timer x 15 uger =</t>
  </si>
  <si>
    <t>Nat tjeneste</t>
  </si>
  <si>
    <t xml:space="preserve">Uge 15 </t>
  </si>
  <si>
    <t xml:space="preserve">Turnusvagter Rådhuset i ugerækkefølge </t>
  </si>
  <si>
    <t>Fast I-vagt (Informationen)</t>
  </si>
  <si>
    <t>Plankode 8520</t>
  </si>
  <si>
    <t>0700-1445</t>
  </si>
  <si>
    <t>0700-1300</t>
  </si>
  <si>
    <t>Afl. Fast A-portner, P-plads</t>
  </si>
  <si>
    <t>B &amp; U.</t>
  </si>
  <si>
    <t>0745-1530</t>
  </si>
  <si>
    <t>0745-1345</t>
  </si>
  <si>
    <t>Ulla Belsager Olsen</t>
  </si>
  <si>
    <t>Fast Buffer</t>
  </si>
  <si>
    <t>Plankode 8514</t>
  </si>
  <si>
    <t>0800 - 1600</t>
  </si>
  <si>
    <t>0800 - 1300</t>
  </si>
  <si>
    <t>Vagter for Bryggens Gård  (Nedlagt 31/3 - 2005)</t>
  </si>
  <si>
    <t>timer *</t>
  </si>
  <si>
    <t>uger =</t>
  </si>
  <si>
    <t>Timer</t>
  </si>
  <si>
    <t xml:space="preserve"> 0600 - 1400</t>
  </si>
  <si>
    <t>Åbne Njalsgade kl. 600 - 630</t>
  </si>
  <si>
    <t>2. / 3. Skifts timer:</t>
  </si>
  <si>
    <t xml:space="preserve"> 1400 - 2030</t>
  </si>
  <si>
    <t xml:space="preserve"> 1300 - 1915</t>
  </si>
  <si>
    <t>Lukke Bryggen &amp; Njalsgade</t>
  </si>
  <si>
    <t>: 37 =</t>
  </si>
  <si>
    <t>0,88 x 3 (grundet 37/3 reglen) = 2,64 timer</t>
  </si>
  <si>
    <t>74 timer - 2,64 = 71,36 (skal arbejde)</t>
  </si>
  <si>
    <t>71,25 timer - 71,36 timer = - ,11</t>
  </si>
  <si>
    <t>37 timer x 3 uger = 111 timer</t>
  </si>
  <si>
    <t>2. / 3. Skifts timer = 34</t>
  </si>
  <si>
    <t>1200 - 1900</t>
  </si>
  <si>
    <t>1200 - 1800</t>
  </si>
  <si>
    <t>34 : 37 timer = 0,92  timer</t>
  </si>
  <si>
    <t>Udgået</t>
  </si>
  <si>
    <t>0,92 timer x 3 (grundet 37/3 reglen) = 2,76 timer</t>
  </si>
  <si>
    <t>111 timer - godtskrivelse på 2,76 timer = 108,24 timer</t>
  </si>
  <si>
    <t>Buffergruppen</t>
  </si>
  <si>
    <t>Vagter for Kredse</t>
  </si>
  <si>
    <t>Uge      Plankode 8513</t>
  </si>
  <si>
    <t>K1 0815 - 1545</t>
  </si>
  <si>
    <t>K1 0900 - 1830</t>
  </si>
  <si>
    <t>K1 0815-1315</t>
  </si>
  <si>
    <t>K2 1500 – 0015</t>
  </si>
  <si>
    <t>K2 1400 – 0015</t>
  </si>
  <si>
    <t>x 3 (grundet 37/3 reglen) =</t>
  </si>
  <si>
    <t>time (godtskrivelse)</t>
  </si>
  <si>
    <t>Godtskrivelse =</t>
  </si>
  <si>
    <t xml:space="preserve"> (Skal arbejde)</t>
  </si>
  <si>
    <t>Vagtplanstimer</t>
  </si>
  <si>
    <t>Minus godtskrivelse</t>
  </si>
  <si>
    <t>=</t>
  </si>
  <si>
    <t>Vagter for Den Hvide Kødby</t>
  </si>
  <si>
    <t>1      Uge 1</t>
  </si>
  <si>
    <t>2      Uge 2</t>
  </si>
  <si>
    <t>3      Uge 3</t>
  </si>
  <si>
    <t>4      Uge 4</t>
  </si>
  <si>
    <t>Bollevagter til helligdage</t>
  </si>
  <si>
    <t>Snit pr. måned</t>
  </si>
  <si>
    <t>BR møder på år</t>
  </si>
  <si>
    <t>AR på år</t>
  </si>
  <si>
    <t>svarer til ca. 47 medarbejdere</t>
  </si>
  <si>
    <t>Rådhusservice</t>
  </si>
  <si>
    <t xml:space="preserve">Plankode  </t>
  </si>
  <si>
    <t>0730 - 1515</t>
  </si>
  <si>
    <t>0730 - 1330</t>
  </si>
  <si>
    <t>168 Kurt N. V. Hansen</t>
  </si>
  <si>
    <t>643 Bjarne Wagner-Larsen</t>
  </si>
  <si>
    <t>360 Anders Henriksen</t>
  </si>
  <si>
    <t>614 Arne Berthold</t>
  </si>
  <si>
    <t>Birgith Melsted Jensen</t>
  </si>
  <si>
    <t>Majbritt Jensen</t>
  </si>
  <si>
    <t>Ruth Nissen</t>
  </si>
  <si>
    <t>Vagtkode i lønsystem</t>
  </si>
  <si>
    <t>I27</t>
  </si>
  <si>
    <t>I26</t>
  </si>
  <si>
    <t>A77</t>
  </si>
  <si>
    <t>A60</t>
  </si>
  <si>
    <t>F04</t>
  </si>
  <si>
    <t>BW 1</t>
  </si>
  <si>
    <t>BW1</t>
  </si>
  <si>
    <t>Tur</t>
  </si>
  <si>
    <t>F01</t>
  </si>
  <si>
    <t>F02</t>
  </si>
  <si>
    <t>AW 1</t>
  </si>
  <si>
    <t>F03</t>
  </si>
  <si>
    <t>Type i vagtplanssystem</t>
  </si>
  <si>
    <t>011</t>
  </si>
  <si>
    <t>B3W</t>
  </si>
  <si>
    <t>009</t>
  </si>
  <si>
    <t>B1W</t>
  </si>
  <si>
    <t>010</t>
  </si>
  <si>
    <t>B2W</t>
  </si>
  <si>
    <t>A3W</t>
  </si>
  <si>
    <t>008</t>
  </si>
  <si>
    <t>X08</t>
  </si>
  <si>
    <t>A2W</t>
  </si>
  <si>
    <t>006</t>
  </si>
  <si>
    <t>A1W</t>
  </si>
  <si>
    <t>007</t>
  </si>
  <si>
    <t>004</t>
  </si>
  <si>
    <t>001</t>
  </si>
  <si>
    <t>005</t>
  </si>
  <si>
    <t>003</t>
  </si>
  <si>
    <t>Sekvens rækkefølge</t>
  </si>
  <si>
    <t>I17</t>
  </si>
  <si>
    <t>I16</t>
  </si>
  <si>
    <t>TR8</t>
  </si>
  <si>
    <t>TR5</t>
  </si>
  <si>
    <t xml:space="preserve">Vagter for Bryggens Gård  </t>
  </si>
  <si>
    <t>L80</t>
  </si>
  <si>
    <t>L70</t>
  </si>
  <si>
    <t>M65</t>
  </si>
  <si>
    <t>M62</t>
  </si>
  <si>
    <t>S75</t>
  </si>
  <si>
    <t>S70</t>
  </si>
  <si>
    <t>T70</t>
  </si>
  <si>
    <t>T60</t>
  </si>
  <si>
    <t>U75</t>
  </si>
  <si>
    <t>U70</t>
  </si>
  <si>
    <t>B77</t>
  </si>
  <si>
    <t>B60</t>
  </si>
  <si>
    <t>910 John Rasmussen</t>
  </si>
  <si>
    <t>Plankode 8505</t>
  </si>
  <si>
    <t>JR 1</t>
  </si>
  <si>
    <t xml:space="preserve">JR1 </t>
  </si>
  <si>
    <t>JR 2</t>
  </si>
  <si>
    <t>0830 - 1600</t>
  </si>
  <si>
    <t>0900 - 1600</t>
  </si>
  <si>
    <t>Kreds turnus</t>
  </si>
  <si>
    <t>Uge       Plankode 8513</t>
  </si>
  <si>
    <t>1    K1 vagt</t>
  </si>
  <si>
    <t>K10</t>
  </si>
  <si>
    <t>Kreds, AP m.v.</t>
  </si>
  <si>
    <t>2    K2 vagt</t>
  </si>
  <si>
    <t>Også på helligdage.</t>
  </si>
  <si>
    <t>K20</t>
  </si>
  <si>
    <t>KAW</t>
  </si>
  <si>
    <t>3    K3 vagt</t>
  </si>
  <si>
    <t>tur</t>
  </si>
  <si>
    <t>4    K4 vagt</t>
  </si>
  <si>
    <t>K40</t>
  </si>
  <si>
    <t>5 Ikke iværksat</t>
  </si>
  <si>
    <t>K50</t>
  </si>
  <si>
    <t>6 Ikke iværksat</t>
  </si>
  <si>
    <t>7 Ikke iværksat</t>
  </si>
  <si>
    <t>svarer til ca. 49 medarbejdere</t>
  </si>
  <si>
    <t>Balanced Scorecard for Rådhusservice 2009</t>
  </si>
  <si>
    <t>Aktivitet</t>
  </si>
  <si>
    <t>Måling</t>
  </si>
  <si>
    <t>Succes kriterium</t>
  </si>
  <si>
    <t>Ansvarlig</t>
  </si>
  <si>
    <t xml:space="preserve">Planlagt </t>
  </si>
  <si>
    <t xml:space="preserve">Realiseret </t>
  </si>
  <si>
    <t>1. kvartal</t>
  </si>
  <si>
    <t>2. kvartal</t>
  </si>
  <si>
    <t>3. kvartal</t>
  </si>
  <si>
    <t>4 kvartal</t>
  </si>
  <si>
    <t>ARR. &amp; ADM afd.</t>
  </si>
  <si>
    <t>Svigt af leverancer</t>
  </si>
  <si>
    <t>Antal svigt af leverancer af mad mv.</t>
  </si>
  <si>
    <t>Under 5 pr. kvartal</t>
  </si>
  <si>
    <t>Kritisk aktivitet</t>
  </si>
  <si>
    <t>Kunder    OMR 0021</t>
  </si>
  <si>
    <t>Klager</t>
  </si>
  <si>
    <t>Antal skriftlige klager</t>
  </si>
  <si>
    <t>Kvartalsopgørelse       ≤ 1</t>
  </si>
  <si>
    <t>JP</t>
  </si>
  <si>
    <t>Kundetilfredshed</t>
  </si>
  <si>
    <t xml:space="preserve">Kundernes gennemsnitlige tilfredshed ved spørgeskemaundersøgelsen. </t>
  </si>
  <si>
    <t>Minimum 4 på en skala fra 1-5</t>
  </si>
  <si>
    <t>Kunder    OMR 0020</t>
  </si>
  <si>
    <t>Fl</t>
  </si>
  <si>
    <t>ARR &amp; ADM afd.</t>
  </si>
  <si>
    <t>FL</t>
  </si>
  <si>
    <t xml:space="preserve">Kunder    OMR 0022                 </t>
  </si>
  <si>
    <t>CL</t>
  </si>
  <si>
    <t xml:space="preserve">Kunder    OMR 0023 </t>
  </si>
  <si>
    <t>Skanning</t>
  </si>
  <si>
    <t>KH</t>
  </si>
  <si>
    <t>q1iQdodEj0GLbPS0gkPt10GXD2F-bdBPpMbVolKa-XpUNzVVVUs0R1JROE5MS0IwTDFFV0pTNFVJSSQlQCN0PWcu</t>
  </si>
  <si>
    <t>Form1</t>
  </si>
  <si>
    <t>{9cc9521c-7d83-4cb0-89f8-748dca75b3b8}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</si>
</sst>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&quot;kr.&quot;#,##0_);[Red]\(&quot;kr.&quot;#,##0\)"/>
    <numFmt numFmtId="165" formatCode="mm/yy"/>
    <numFmt numFmtId="166" formatCode="0.0"/>
    <numFmt numFmtId="167" formatCode="#,##0.0"/>
    <numFmt numFmtId="168" formatCode="&quot;kr &quot;#,##0_);[Red]&quot;(kr &quot;#,##0\)"/>
    <numFmt numFmtId="169" formatCode="dd/mm/yy;@"/>
    <numFmt numFmtId="170" formatCode="_(* #,##0_);_(* \(#,##0\);_(* \-_);_(@_)"/>
    <numFmt numFmtId="171" formatCode="#,##0\ &quot;kr.&quot;"/>
    <numFmt numFmtId="172" formatCode="#,##0.00\ &quot;kr.&quot;"/>
    <numFmt numFmtId="173" formatCode="0.00_ ;[Red]\-0.00\ "/>
  </numFmts>
  <fonts count="102">
    <font>
      <sz val="9"/>
      <name val="Arial"/>
      <family val="2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color indexed="9"/>
      <name val="Arial"/>
      <family val="2"/>
    </font>
    <font>
      <sz val="8"/>
      <name val="Arial"/>
      <family val="2"/>
    </font>
    <font>
      <b/>
      <sz val="10"/>
      <color indexed="9"/>
      <name val="Arial"/>
      <family val="2"/>
    </font>
    <font>
      <sz val="9"/>
      <color indexed="9"/>
      <name val="Arial"/>
      <family val="2"/>
    </font>
    <font>
      <sz val="10"/>
      <name val="Times New Roman"/>
      <family val="1"/>
    </font>
    <font>
      <b/>
      <sz val="11"/>
      <name val="Arial"/>
      <family val="2"/>
    </font>
    <font>
      <sz val="11"/>
      <name val="Arial"/>
      <family val="2"/>
    </font>
    <font>
      <b/>
      <i/>
      <sz val="11"/>
      <name val="Arial"/>
      <family val="2"/>
    </font>
    <font>
      <b/>
      <i/>
      <sz val="10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sz val="9"/>
      <color indexed="8"/>
      <name val="Arial"/>
      <family val="2"/>
    </font>
    <font>
      <sz val="14"/>
      <name val="Arial"/>
      <family val="2"/>
    </font>
    <font>
      <b/>
      <sz val="16"/>
      <name val="Arial"/>
      <family val="2"/>
    </font>
    <font>
      <sz val="8"/>
      <color indexed="8"/>
      <name val="Arial"/>
      <family val="2"/>
    </font>
    <font>
      <sz val="10"/>
      <color indexed="13"/>
      <name val="Arial"/>
      <family val="2"/>
    </font>
    <font>
      <sz val="8"/>
      <color indexed="13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b/>
      <sz val="11"/>
      <color indexed="52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sz val="11"/>
      <color indexed="62"/>
      <name val="Calibri"/>
      <family val="2"/>
    </font>
    <font>
      <b/>
      <sz val="11"/>
      <color indexed="9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52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20"/>
      <name val="Calibri"/>
      <family val="2"/>
    </font>
    <font>
      <sz val="12"/>
      <name val="Arial"/>
      <family val="2"/>
    </font>
    <font>
      <sz val="11"/>
      <name val="Times New Roman"/>
      <family val="1"/>
    </font>
    <font>
      <sz val="11"/>
      <color rgb="FF1F497D"/>
      <name val="Calibri"/>
      <family val="2"/>
    </font>
    <font>
      <b/>
      <sz val="10"/>
      <color rgb="FFFF0000"/>
      <name val="Arial"/>
      <family val="2"/>
    </font>
    <font>
      <b/>
      <sz val="11"/>
      <name val="Times New Roman"/>
      <family val="1"/>
    </font>
    <font>
      <sz val="12"/>
      <color theme="0"/>
      <name val="Arial"/>
      <family val="2"/>
    </font>
    <font>
      <b/>
      <sz val="12"/>
      <name val="Times New Roman"/>
      <family val="1"/>
    </font>
    <font>
      <sz val="9"/>
      <color theme="0"/>
      <name val="Arial"/>
      <family val="2"/>
    </font>
    <font>
      <b/>
      <sz val="24"/>
      <name val="Arial"/>
      <family val="2"/>
    </font>
    <font>
      <sz val="20"/>
      <color rgb="FFFF0000"/>
      <name val="Arial"/>
      <family val="2"/>
    </font>
    <font>
      <sz val="16"/>
      <name val="Arial"/>
      <family val="2"/>
    </font>
    <font>
      <b/>
      <sz val="14"/>
      <color rgb="FFFF0000"/>
      <name val="Arial"/>
      <family val="2"/>
    </font>
    <font>
      <sz val="11"/>
      <color rgb="FF444444"/>
      <name val="Calibri"/>
      <family val="2"/>
    </font>
    <font>
      <sz val="11"/>
      <color rgb="FF000000"/>
      <name val="Calibri"/>
      <family val="2"/>
    </font>
    <font>
      <b/>
      <sz val="11"/>
      <color theme="1"/>
      <name val="Aptos Narrow"/>
      <family val="2"/>
      <scheme val="minor"/>
    </font>
    <font>
      <sz val="11"/>
      <name val="Calibri"/>
      <family val="2"/>
    </font>
    <font>
      <b/>
      <sz val="11"/>
      <color rgb="FF000000"/>
      <name val="Calibri"/>
      <family val="2"/>
    </font>
    <font>
      <strike/>
      <sz val="9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00"/>
      <name val="Arial"/>
      <family val="2"/>
    </font>
    <font>
      <sz val="9"/>
      <color theme="9"/>
      <name val="Arial"/>
      <family val="2"/>
    </font>
    <font>
      <sz val="11"/>
      <name val="Aptos"/>
      <family val="2"/>
    </font>
    <font>
      <sz val="9"/>
      <color theme="1"/>
      <name val="Arial"/>
      <family val="2"/>
    </font>
    <font>
      <sz val="9"/>
      <color theme="6" tint="0.39997558519241921"/>
      <name val="Arial"/>
      <family val="2"/>
    </font>
    <font>
      <sz val="9"/>
      <color rgb="FF47D359"/>
      <name val="Arial"/>
      <family val="2"/>
    </font>
    <font>
      <sz val="9"/>
      <color rgb="FF000000"/>
      <name val="Arial"/>
      <family val="2"/>
    </font>
    <font>
      <sz val="9"/>
      <color theme="1" tint="4.9989318521683403E-2"/>
      <name val="Arial"/>
      <family val="2"/>
    </font>
    <font>
      <b/>
      <sz val="9"/>
      <color rgb="FF000000"/>
      <name val="Arial"/>
      <family val="2"/>
    </font>
    <font>
      <sz val="9"/>
      <color rgb="FFFF0000"/>
      <name val="Arial"/>
      <family val="2"/>
    </font>
    <font>
      <sz val="9"/>
      <color rgb="FF4EA72E"/>
      <name val="Arial"/>
      <family val="2"/>
    </font>
    <font>
      <sz val="11"/>
      <color theme="1"/>
      <name val="Calibri"/>
      <family val="2"/>
    </font>
    <font>
      <sz val="11"/>
      <color rgb="FF242424"/>
      <name val="Aptos Narrow"/>
      <family val="2"/>
    </font>
    <font>
      <b/>
      <sz val="11"/>
      <color rgb="FF444444"/>
      <name val="Calibri"/>
      <family val="2"/>
    </font>
    <font>
      <sz val="9"/>
      <name val="KBH Tekst"/>
    </font>
    <font>
      <b/>
      <sz val="11"/>
      <color theme="1"/>
      <name val="Arial"/>
      <family val="2"/>
    </font>
    <font>
      <b/>
      <sz val="11"/>
      <color rgb="FF242424"/>
      <name val="Arial"/>
      <family val="2"/>
    </font>
    <font>
      <b/>
      <sz val="11"/>
      <color rgb="FF242424"/>
      <name val="Aptos Narrow"/>
      <family val="2"/>
    </font>
    <font>
      <sz val="9"/>
      <color rgb="FF242424"/>
      <name val="Arial"/>
      <family val="2"/>
    </font>
    <font>
      <b/>
      <sz val="10"/>
      <color rgb="FF000000"/>
      <name val="Arial"/>
      <family val="2"/>
    </font>
    <font>
      <sz val="9"/>
      <name val="Calibri"/>
      <family val="2"/>
    </font>
    <font>
      <b/>
      <sz val="11"/>
      <color rgb="FF000000"/>
      <name val="Aptos Narrow"/>
      <family val="2"/>
    </font>
    <font>
      <b/>
      <sz val="11"/>
      <color rgb="FF000000"/>
      <name val="Arial"/>
      <family val="2"/>
      <charset val="1"/>
    </font>
    <font>
      <sz val="9"/>
      <color rgb="FFFFFF00"/>
      <name val="Arial"/>
      <family val="2"/>
    </font>
    <font>
      <b/>
      <strike/>
      <sz val="9"/>
      <name val="Arial"/>
      <family val="2"/>
    </font>
    <font>
      <sz val="11"/>
      <color theme="1"/>
      <name val="Aptos Narrow"/>
      <family val="2"/>
    </font>
    <font>
      <sz val="11"/>
      <color rgb="FF000000"/>
      <name val="Aptos Narrow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11"/>
      <name val="Aptos Narrow"/>
      <scheme val="minor"/>
    </font>
    <font>
      <sz val="9"/>
      <color rgb="FF000000"/>
      <name val="Aptos Narrow"/>
      <family val="2"/>
    </font>
    <font>
      <sz val="9"/>
      <color rgb="FF000000"/>
      <name val="Arial"/>
    </font>
    <font>
      <sz val="9"/>
      <color rgb="FF000000"/>
      <name val="Aptos Narrow"/>
      <scheme val="minor"/>
    </font>
    <font>
      <sz val="9"/>
      <name val="Aptos Narrow"/>
      <scheme val="minor"/>
    </font>
    <font>
      <b/>
      <sz val="11"/>
      <color rgb="FF000000"/>
      <name val="Arial"/>
    </font>
    <font>
      <sz val="9"/>
      <name val="Arial"/>
    </font>
    <font>
      <sz val="9"/>
      <color rgb="FF000000"/>
      <name val="Arial"/>
      <charset val="1"/>
    </font>
  </fonts>
  <fills count="103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2"/>
        <bgColor indexed="31"/>
      </patternFill>
    </fill>
    <fill>
      <patternFill patternType="solid">
        <fgColor indexed="10"/>
        <bgColor indexed="60"/>
      </patternFill>
    </fill>
    <fill>
      <patternFill patternType="solid">
        <fgColor indexed="46"/>
        <bgColor indexed="24"/>
      </patternFill>
    </fill>
    <fill>
      <patternFill patternType="solid">
        <fgColor indexed="53"/>
        <bgColor indexed="52"/>
      </patternFill>
    </fill>
    <fill>
      <patternFill patternType="solid">
        <fgColor indexed="11"/>
        <bgColor indexed="49"/>
      </patternFill>
    </fill>
    <fill>
      <patternFill patternType="solid">
        <fgColor indexed="13"/>
        <bgColor indexed="34"/>
      </patternFill>
    </fill>
    <fill>
      <patternFill patternType="solid">
        <fgColor indexed="15"/>
        <bgColor indexed="35"/>
      </patternFill>
    </fill>
    <fill>
      <patternFill patternType="solid">
        <fgColor indexed="12"/>
        <bgColor indexed="39"/>
      </patternFill>
    </fill>
    <fill>
      <patternFill patternType="solid">
        <fgColor indexed="8"/>
        <bgColor indexed="58"/>
      </patternFill>
    </fill>
    <fill>
      <patternFill patternType="solid">
        <fgColor indexed="51"/>
        <bgColor indexed="13"/>
      </patternFill>
    </fill>
    <fill>
      <patternFill patternType="solid">
        <fgColor indexed="23"/>
        <bgColor indexed="55"/>
      </patternFill>
    </fill>
    <fill>
      <patternFill patternType="solid">
        <fgColor indexed="54"/>
        <bgColor indexed="23"/>
      </patternFill>
    </fill>
    <fill>
      <patternFill patternType="solid">
        <fgColor indexed="14"/>
        <bgColor indexed="33"/>
      </patternFill>
    </fill>
    <fill>
      <patternFill patternType="solid">
        <fgColor indexed="50"/>
        <bgColor indexed="51"/>
      </patternFill>
    </fill>
    <fill>
      <patternFill patternType="solid">
        <fgColor indexed="27"/>
        <bgColor indexed="41"/>
      </patternFill>
    </fill>
    <fill>
      <patternFill patternType="solid">
        <fgColor indexed="42"/>
        <bgColor indexed="27"/>
      </patternFill>
    </fill>
    <fill>
      <patternFill patternType="solid">
        <fgColor indexed="43"/>
        <bgColor indexed="26"/>
      </patternFill>
    </fill>
    <fill>
      <patternFill patternType="solid">
        <fgColor indexed="40"/>
        <bgColor indexed="49"/>
      </patternFill>
    </fill>
    <fill>
      <patternFill patternType="solid">
        <fgColor indexed="57"/>
        <bgColor indexed="21"/>
      </patternFill>
    </fill>
    <fill>
      <patternFill patternType="solid">
        <fgColor indexed="9"/>
        <bgColor indexed="26"/>
      </patternFill>
    </fill>
    <fill>
      <patternFill patternType="solid">
        <fgColor indexed="52"/>
        <bgColor indexed="51"/>
      </patternFill>
    </fill>
    <fill>
      <patternFill patternType="solid">
        <fgColor indexed="44"/>
        <bgColor indexed="31"/>
      </patternFill>
    </fill>
    <fill>
      <patternFill patternType="solid">
        <fgColor indexed="48"/>
        <bgColor indexed="30"/>
      </patternFill>
    </fill>
    <fill>
      <patternFill patternType="solid">
        <fgColor indexed="45"/>
        <bgColor indexed="29"/>
      </patternFill>
    </fill>
    <fill>
      <patternFill patternType="solid">
        <fgColor indexed="47"/>
        <bgColor indexed="22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0"/>
        <bgColor indexed="31"/>
      </patternFill>
    </fill>
    <fill>
      <patternFill patternType="solid">
        <fgColor theme="0" tint="-0.24994659260841701"/>
        <bgColor indexed="23"/>
      </patternFill>
    </fill>
    <fill>
      <patternFill patternType="solid">
        <fgColor theme="0" tint="-0.24994659260841701"/>
        <bgColor indexed="31"/>
      </patternFill>
    </fill>
    <fill>
      <patternFill patternType="solid">
        <fgColor theme="0" tint="-0.14996795556505021"/>
        <bgColor indexed="26"/>
      </patternFill>
    </fill>
    <fill>
      <patternFill patternType="solid">
        <fgColor theme="0" tint="-0.14996795556505021"/>
        <bgColor indexed="41"/>
      </patternFill>
    </fill>
    <fill>
      <patternFill patternType="solid">
        <fgColor theme="0" tint="-0.14996795556505021"/>
        <bgColor auto="1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5" tint="-0.2499465926084170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DDAA"/>
        <bgColor indexed="64"/>
      </patternFill>
    </fill>
    <fill>
      <gradientFill degree="90">
        <stop position="0">
          <color rgb="FFFFDDAA"/>
        </stop>
        <stop position="0.5">
          <color theme="0"/>
        </stop>
        <stop position="1">
          <color rgb="FFFFDDAA"/>
        </stop>
      </gradient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indexed="31"/>
      </patternFill>
    </fill>
    <fill>
      <patternFill patternType="solid">
        <fgColor rgb="FFCC99FF"/>
        <bgColor indexed="2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auto="1"/>
      </patternFill>
    </fill>
    <fill>
      <patternFill patternType="solid">
        <fgColor rgb="FF9E6FFC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7944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FFCC99"/>
        <bgColor auto="1"/>
      </patternFill>
    </fill>
    <fill>
      <patternFill patternType="solid">
        <fgColor theme="0"/>
        <bgColor auto="1"/>
      </patternFill>
    </fill>
    <fill>
      <patternFill patternType="solid">
        <fgColor rgb="FF92D050"/>
        <bgColor rgb="FF00000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5"/>
        <bgColor indexed="64"/>
      </patternFill>
    </fill>
    <fill>
      <patternFill patternType="solid">
        <fgColor rgb="FFFFDDAA"/>
        <bgColor auto="1"/>
      </patternFill>
    </fill>
    <fill>
      <patternFill patternType="solid">
        <fgColor rgb="FFFFFF00"/>
        <bgColor auto="1"/>
      </patternFill>
    </fill>
    <fill>
      <patternFill patternType="solid">
        <fgColor rgb="FF002060"/>
        <bgColor auto="1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BA26"/>
        <bgColor indexed="64"/>
      </patternFill>
    </fill>
    <fill>
      <patternFill patternType="solid">
        <fgColor rgb="FFBFBFBF"/>
        <bgColor rgb="FF000000"/>
      </patternFill>
    </fill>
  </fills>
  <borders count="1071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8"/>
      </left>
      <right/>
      <top/>
      <bottom/>
      <diagonal/>
    </border>
    <border>
      <left/>
      <right/>
      <top/>
      <bottom style="double">
        <color indexed="8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double">
        <color indexed="8"/>
      </bottom>
      <diagonal/>
    </border>
    <border>
      <left style="medium">
        <color indexed="8"/>
      </left>
      <right style="thin">
        <color indexed="8"/>
      </right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 style="thin">
        <color indexed="8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indexed="8"/>
      </left>
      <right style="thin">
        <color indexed="8"/>
      </right>
      <top style="medium">
        <color rgb="FF000000"/>
      </top>
      <bottom/>
      <diagonal/>
    </border>
    <border>
      <left style="thin">
        <color indexed="8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n">
        <color indexed="8"/>
      </right>
      <top/>
      <bottom/>
      <diagonal/>
    </border>
    <border>
      <left style="thin">
        <color indexed="8"/>
      </left>
      <right style="medium">
        <color rgb="FF000000"/>
      </right>
      <top/>
      <bottom/>
      <diagonal/>
    </border>
    <border>
      <left style="thin">
        <color indexed="8"/>
      </left>
      <right style="thin">
        <color indexed="8"/>
      </right>
      <top style="medium">
        <color rgb="FF000000"/>
      </top>
      <bottom style="thin">
        <color indexed="8"/>
      </bottom>
      <diagonal/>
    </border>
    <border>
      <left style="thin">
        <color indexed="8"/>
      </left>
      <right style="medium">
        <color rgb="FF000000"/>
      </right>
      <top style="medium">
        <color rgb="FF000000"/>
      </top>
      <bottom style="thin">
        <color indexed="8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thin">
        <color indexed="64"/>
      </top>
      <bottom style="medium">
        <color rgb="FF000000"/>
      </bottom>
      <diagonal/>
    </border>
    <border>
      <left style="thin">
        <color indexed="64"/>
      </left>
      <right style="medium">
        <color rgb="FF000000"/>
      </right>
      <top style="thin">
        <color indexed="64"/>
      </top>
      <bottom style="medium">
        <color rgb="FF000000"/>
      </bottom>
      <diagonal/>
    </border>
    <border>
      <left style="thin">
        <color indexed="8"/>
      </left>
      <right style="thin">
        <color indexed="8"/>
      </right>
      <top/>
      <bottom style="medium">
        <color indexed="64"/>
      </bottom>
      <diagonal/>
    </border>
    <border>
      <left style="thin">
        <color indexed="8"/>
      </left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/>
      <bottom style="medium">
        <color rgb="FF000000"/>
      </bottom>
      <diagonal/>
    </border>
    <border>
      <left/>
      <right style="thin">
        <color indexed="8"/>
      </right>
      <top style="medium">
        <color rgb="FF000000"/>
      </top>
      <bottom/>
      <diagonal/>
    </border>
    <border>
      <left style="medium">
        <color rgb="FF000000"/>
      </left>
      <right/>
      <top/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indexed="64"/>
      </top>
      <bottom style="medium">
        <color rgb="FF000000"/>
      </bottom>
      <diagonal/>
    </border>
    <border>
      <left style="medium">
        <color rgb="FF000000"/>
      </left>
      <right style="thin">
        <color auto="1"/>
      </right>
      <top style="medium">
        <color rgb="FF000000"/>
      </top>
      <bottom style="medium">
        <color rgb="FF000000"/>
      </bottom>
      <diagonal/>
    </border>
    <border>
      <left style="thin">
        <color indexed="8"/>
      </left>
      <right style="thin">
        <color indexed="8"/>
      </right>
      <top style="medium">
        <color rgb="FF000000"/>
      </top>
      <bottom style="medium">
        <color rgb="FF000000"/>
      </bottom>
      <diagonal/>
    </border>
    <border>
      <left style="thin">
        <color indexed="8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medium">
        <color indexed="8"/>
      </right>
      <top/>
      <bottom style="thin">
        <color indexed="8"/>
      </bottom>
      <diagonal/>
    </border>
    <border>
      <left/>
      <right style="medium">
        <color indexed="64"/>
      </right>
      <top/>
      <bottom style="thin">
        <color indexed="8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 style="thin">
        <color indexed="64"/>
      </bottom>
      <diagonal/>
    </border>
    <border>
      <left/>
      <right style="thin">
        <color indexed="64"/>
      </right>
      <top style="medium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 style="thin">
        <color indexed="8"/>
      </right>
      <top/>
      <bottom style="medium">
        <color rgb="FF000000"/>
      </bottom>
      <diagonal/>
    </border>
    <border>
      <left style="thin">
        <color indexed="8"/>
      </left>
      <right style="medium">
        <color rgb="FF000000"/>
      </right>
      <top/>
      <bottom style="medium">
        <color rgb="FF000000"/>
      </bottom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/>
      <top/>
      <bottom style="thin">
        <color indexed="8"/>
      </bottom>
      <diagonal/>
    </border>
    <border>
      <left style="medium">
        <color indexed="8"/>
      </left>
      <right/>
      <top/>
      <bottom style="thin">
        <color indexed="8"/>
      </bottom>
      <diagonal/>
    </border>
    <border>
      <left style="thin">
        <color indexed="8"/>
      </left>
      <right style="thin">
        <color indexed="64"/>
      </right>
      <top/>
      <bottom style="thin">
        <color indexed="8"/>
      </bottom>
      <diagonal/>
    </border>
    <border>
      <left style="thin">
        <color indexed="8"/>
      </left>
      <right style="medium">
        <color indexed="64"/>
      </right>
      <top/>
      <bottom style="thin">
        <color indexed="8"/>
      </bottom>
      <diagonal/>
    </border>
    <border>
      <left style="medium">
        <color rgb="FF000000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medium">
        <color rgb="FF000000"/>
      </right>
      <top/>
      <bottom style="thin">
        <color indexed="8"/>
      </bottom>
      <diagonal/>
    </border>
    <border>
      <left style="thin">
        <color indexed="64"/>
      </left>
      <right style="thin">
        <color indexed="64"/>
      </right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 style="thin">
        <color indexed="8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 style="medium">
        <color rgb="FF000000"/>
      </right>
      <top/>
      <bottom style="thin">
        <color indexed="64"/>
      </bottom>
      <diagonal/>
    </border>
    <border>
      <left style="medium">
        <color rgb="FF000000"/>
      </left>
      <right style="thin">
        <color indexed="8"/>
      </right>
      <top style="medium">
        <color rgb="FF000000"/>
      </top>
      <bottom/>
      <diagonal/>
    </border>
    <border>
      <left style="thin">
        <color indexed="8"/>
      </left>
      <right/>
      <top style="medium">
        <color rgb="FF000000"/>
      </top>
      <bottom style="thin">
        <color indexed="8"/>
      </bottom>
      <diagonal/>
    </border>
    <border>
      <left/>
      <right/>
      <top style="medium">
        <color rgb="FF000000"/>
      </top>
      <bottom style="thin">
        <color indexed="8"/>
      </bottom>
      <diagonal/>
    </border>
    <border>
      <left/>
      <right style="thin">
        <color indexed="8"/>
      </right>
      <top style="medium">
        <color rgb="FF000000"/>
      </top>
      <bottom style="thin">
        <color indexed="8"/>
      </bottom>
      <diagonal/>
    </border>
    <border>
      <left/>
      <right style="medium">
        <color rgb="FF000000"/>
      </right>
      <top style="medium">
        <color rgb="FF000000"/>
      </top>
      <bottom style="thin">
        <color indexed="8"/>
      </bottom>
      <diagonal/>
    </border>
    <border>
      <left style="medium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thin">
        <color indexed="8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n">
        <color indexed="64"/>
      </right>
      <top style="medium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thin">
        <color indexed="8"/>
      </right>
      <top style="medium">
        <color rgb="FF000000"/>
      </top>
      <bottom style="thin">
        <color indexed="8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thin">
        <color auto="1"/>
      </right>
      <top style="medium">
        <color rgb="FF000000"/>
      </top>
      <bottom style="medium">
        <color auto="1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/>
      <bottom style="thin">
        <color indexed="8"/>
      </bottom>
      <diagonal/>
    </border>
    <border>
      <left/>
      <right style="medium">
        <color rgb="FF000000"/>
      </right>
      <top/>
      <bottom style="thin">
        <color indexed="8"/>
      </bottom>
      <diagonal/>
    </border>
    <border>
      <left style="thin">
        <color indexed="64"/>
      </left>
      <right style="thin">
        <color indexed="64"/>
      </right>
      <top/>
      <bottom style="medium">
        <color rgb="FF000000"/>
      </bottom>
      <diagonal/>
    </border>
    <border>
      <left style="medium">
        <color rgb="FF000000"/>
      </left>
      <right style="thin">
        <color indexed="8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thin">
        <color indexed="8"/>
      </right>
      <top style="medium">
        <color rgb="FF000000"/>
      </top>
      <bottom style="medium">
        <color rgb="FF000000"/>
      </bottom>
      <diagonal/>
    </border>
    <border>
      <left style="thin">
        <color indexed="8"/>
      </left>
      <right/>
      <top/>
      <bottom style="medium">
        <color rgb="FF000000"/>
      </bottom>
      <diagonal/>
    </border>
    <border>
      <left style="thin">
        <color indexed="8"/>
      </left>
      <right style="thin">
        <color indexed="8"/>
      </right>
      <top style="medium">
        <color rgb="FF000000"/>
      </top>
      <bottom style="medium">
        <color indexed="8"/>
      </bottom>
      <diagonal/>
    </border>
    <border>
      <left style="thin">
        <color indexed="8"/>
      </left>
      <right style="medium">
        <color rgb="FF000000"/>
      </right>
      <top style="medium">
        <color rgb="FF000000"/>
      </top>
      <bottom style="medium">
        <color indexed="8"/>
      </bottom>
      <diagonal/>
    </border>
    <border>
      <left style="medium">
        <color rgb="FF000000"/>
      </left>
      <right style="thin">
        <color indexed="8"/>
      </right>
      <top style="medium">
        <color rgb="FF000000"/>
      </top>
      <bottom style="medium">
        <color indexed="8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medium">
        <color indexed="64"/>
      </bottom>
      <diagonal/>
    </border>
    <border>
      <left/>
      <right style="thin">
        <color indexed="8"/>
      </right>
      <top style="medium">
        <color rgb="FF000000"/>
      </top>
      <bottom style="medium">
        <color indexed="8"/>
      </bottom>
      <diagonal/>
    </border>
    <border>
      <left style="thin">
        <color indexed="22"/>
      </left>
      <right style="thin">
        <color indexed="22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indexed="8"/>
      </right>
      <top style="medium">
        <color rgb="FF000000"/>
      </top>
      <bottom style="thin">
        <color indexed="64"/>
      </bottom>
      <diagonal/>
    </border>
    <border>
      <left style="thin">
        <color indexed="64"/>
      </left>
      <right style="medium">
        <color rgb="FF000000"/>
      </right>
      <top/>
      <bottom style="medium">
        <color rgb="FF000000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8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8"/>
      </right>
      <top style="medium">
        <color indexed="64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64"/>
      </top>
      <bottom style="medium">
        <color indexed="8"/>
      </bottom>
      <diagonal/>
    </border>
    <border>
      <left style="thin">
        <color indexed="8"/>
      </left>
      <right style="medium">
        <color indexed="64"/>
      </right>
      <top style="medium">
        <color indexed="64"/>
      </top>
      <bottom style="medium">
        <color indexed="8"/>
      </bottom>
      <diagonal/>
    </border>
    <border>
      <left style="medium">
        <color indexed="64"/>
      </left>
      <right style="thin">
        <color indexed="8"/>
      </right>
      <top style="medium">
        <color indexed="64"/>
      </top>
      <bottom style="thin">
        <color indexed="8"/>
      </bottom>
      <diagonal/>
    </border>
    <border>
      <left style="thin">
        <color indexed="8"/>
      </left>
      <right/>
      <top style="medium">
        <color indexed="64"/>
      </top>
      <bottom style="thin">
        <color indexed="8"/>
      </bottom>
      <diagonal/>
    </border>
    <border>
      <left/>
      <right/>
      <top style="medium">
        <color indexed="64"/>
      </top>
      <bottom style="thin">
        <color indexed="8"/>
      </bottom>
      <diagonal/>
    </border>
    <border>
      <left/>
      <right style="thin">
        <color indexed="8"/>
      </right>
      <top style="medium">
        <color indexed="64"/>
      </top>
      <bottom style="thin">
        <color indexed="8"/>
      </bottom>
      <diagonal/>
    </border>
    <border>
      <left/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indexed="8"/>
      </left>
      <right style="thin">
        <color indexed="8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medium">
        <color rgb="FF000000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  <border>
      <left style="thin">
        <color indexed="8"/>
      </left>
      <right style="thin">
        <color auto="1"/>
      </right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000000"/>
      </right>
      <top style="medium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8"/>
      </left>
      <right style="thin">
        <color indexed="8"/>
      </right>
      <top style="medium">
        <color indexed="8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medium">
        <color indexed="8"/>
      </left>
      <right/>
      <top style="medium">
        <color indexed="8"/>
      </top>
      <bottom/>
      <diagonal/>
    </border>
    <border>
      <left style="thin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 style="thin">
        <color indexed="8"/>
      </left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rgb="FF000000"/>
      </bottom>
      <diagonal/>
    </border>
    <border>
      <left/>
      <right style="medium">
        <color indexed="64"/>
      </right>
      <top style="thin">
        <color indexed="64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000000"/>
      </bottom>
      <diagonal/>
    </border>
    <border>
      <left/>
      <right/>
      <top style="thin">
        <color indexed="64"/>
      </top>
      <bottom style="medium">
        <color rgb="FF000000"/>
      </bottom>
      <diagonal/>
    </border>
    <border>
      <left/>
      <right style="thin">
        <color indexed="64"/>
      </right>
      <top style="thin">
        <color indexed="64"/>
      </top>
      <bottom style="medium">
        <color rgb="FF000000"/>
      </bottom>
      <diagonal/>
    </border>
    <border>
      <left/>
      <right style="medium">
        <color rgb="FF000000"/>
      </right>
      <top style="thin">
        <color indexed="64"/>
      </top>
      <bottom style="medium">
        <color rgb="FF000000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8"/>
      </right>
      <top style="medium">
        <color indexed="64"/>
      </top>
      <bottom/>
      <diagonal/>
    </border>
    <border>
      <left style="thin">
        <color indexed="8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8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8"/>
      </left>
      <right/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/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64"/>
      </bottom>
      <diagonal/>
    </border>
    <border>
      <left/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64"/>
      </bottom>
      <diagonal/>
    </border>
    <border>
      <left/>
      <right/>
      <top style="thin">
        <color indexed="8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64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 style="medium">
        <color indexed="8"/>
      </right>
      <top style="thin">
        <color indexed="8"/>
      </top>
      <bottom/>
      <diagonal/>
    </border>
    <border>
      <left/>
      <right style="thin">
        <color indexed="8"/>
      </right>
      <top style="medium">
        <color indexed="8"/>
      </top>
      <bottom style="medium">
        <color indexed="8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/>
      <diagonal/>
    </border>
    <border>
      <left style="thin">
        <color indexed="8"/>
      </left>
      <right style="thin">
        <color auto="1"/>
      </right>
      <top style="thin">
        <color indexed="64"/>
      </top>
      <bottom style="medium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medium">
        <color indexed="8"/>
      </top>
      <bottom style="thin">
        <color auto="1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8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8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8"/>
      </top>
      <bottom style="thin">
        <color indexed="64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/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/>
      <right style="medium">
        <color indexed="8"/>
      </right>
      <top style="thin">
        <color indexed="8"/>
      </top>
      <bottom style="medium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8"/>
      </top>
      <bottom style="medium">
        <color indexed="8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auto="1"/>
      </right>
      <top style="thin">
        <color indexed="64"/>
      </top>
      <bottom style="medium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8"/>
      </top>
      <bottom style="medium">
        <color indexed="8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auto="1"/>
      </right>
      <top style="thin">
        <color indexed="64"/>
      </top>
      <bottom style="medium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 style="thin">
        <color indexed="8"/>
      </left>
      <right/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 style="thin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/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/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/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8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8"/>
      </right>
      <top style="medium">
        <color indexed="64"/>
      </top>
      <bottom/>
      <diagonal/>
    </border>
    <border>
      <left style="thin">
        <color indexed="8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64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64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64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8"/>
      </top>
      <bottom/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64"/>
      </right>
      <top style="medium">
        <color indexed="8"/>
      </top>
      <bottom style="medium">
        <color indexed="8"/>
      </bottom>
      <diagonal/>
    </border>
    <border>
      <left style="thin">
        <color auto="1"/>
      </left>
      <right/>
      <top style="medium">
        <color indexed="8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/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/>
      <top style="thin">
        <color indexed="8"/>
      </top>
      <bottom style="thin">
        <color indexed="8"/>
      </bottom>
      <diagonal/>
    </border>
    <border>
      <left style="medium">
        <color indexed="64"/>
      </left>
      <right/>
      <top style="thin">
        <color indexed="8"/>
      </top>
      <bottom style="medium">
        <color indexed="64"/>
      </bottom>
      <diagonal/>
    </border>
    <border>
      <left style="thin">
        <color indexed="8"/>
      </left>
      <right/>
      <top style="thin">
        <color indexed="8"/>
      </top>
      <bottom style="medium">
        <color indexed="64"/>
      </bottom>
      <diagonal/>
    </border>
    <border>
      <left/>
      <right/>
      <top style="thin">
        <color indexed="8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64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64"/>
      </left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/>
      <top style="thin">
        <color indexed="64"/>
      </top>
      <bottom style="medium">
        <color indexed="64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/>
      <diagonal/>
    </border>
    <border>
      <left/>
      <right style="thin">
        <color indexed="8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64"/>
      </right>
      <top style="medium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/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8"/>
      </top>
      <bottom style="medium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rgb="FF000000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rgb="FF000000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rgb="FF000000"/>
      </right>
      <top style="thin">
        <color indexed="8"/>
      </top>
      <bottom style="medium">
        <color indexed="8"/>
      </bottom>
      <diagonal/>
    </border>
    <border>
      <left style="medium">
        <color rgb="FF000000"/>
      </left>
      <right style="thin">
        <color indexed="8"/>
      </right>
      <top style="thin">
        <color indexed="8"/>
      </top>
      <bottom style="medium">
        <color rgb="FF000000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rgb="FF000000"/>
      </bottom>
      <diagonal/>
    </border>
    <border>
      <left style="thin">
        <color indexed="8"/>
      </left>
      <right style="medium">
        <color rgb="FF000000"/>
      </right>
      <top style="thin">
        <color indexed="8"/>
      </top>
      <bottom style="medium">
        <color rgb="FF000000"/>
      </bottom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8"/>
      </top>
      <bottom style="medium">
        <color indexed="8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medium">
        <color rgb="FF000000"/>
      </bottom>
      <diagonal/>
    </border>
    <border>
      <left style="thin">
        <color indexed="8"/>
      </left>
      <right style="medium">
        <color rgb="FF000000"/>
      </right>
      <top style="medium">
        <color indexed="8"/>
      </top>
      <bottom style="medium">
        <color rgb="FF000000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rgb="FF000000"/>
      </right>
      <top style="thin">
        <color indexed="8"/>
      </top>
      <bottom style="thin">
        <color indexed="8"/>
      </bottom>
      <diagonal/>
    </border>
    <border>
      <left style="medium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rgb="FF000000"/>
      </bottom>
      <diagonal/>
    </border>
    <border>
      <left style="thin">
        <color indexed="8"/>
      </left>
      <right style="medium">
        <color rgb="FF000000"/>
      </right>
      <top style="thin">
        <color indexed="8"/>
      </top>
      <bottom style="medium">
        <color rgb="FF000000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rgb="FF000000"/>
      </bottom>
      <diagonal/>
    </border>
    <border>
      <left style="thin">
        <color auto="1"/>
      </left>
      <right style="medium">
        <color rgb="FF000000"/>
      </right>
      <top style="medium">
        <color auto="1"/>
      </top>
      <bottom style="medium">
        <color rgb="FF000000"/>
      </bottom>
      <diagonal/>
    </border>
    <border>
      <left style="medium">
        <color rgb="FF000000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000000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/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/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rgb="FF000000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rgb="FF000000"/>
      </right>
      <top style="medium">
        <color indexed="8"/>
      </top>
      <bottom style="thin">
        <color indexed="8"/>
      </bottom>
      <diagonal/>
    </border>
    <border>
      <left style="medium">
        <color rgb="FF000000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medium">
        <color rgb="FF000000"/>
      </left>
      <right style="thin">
        <color indexed="8"/>
      </right>
      <top style="thin">
        <color indexed="8"/>
      </top>
      <bottom style="medium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000000"/>
      </right>
      <top style="medium">
        <color indexed="8"/>
      </top>
      <bottom style="thin">
        <color indexed="64"/>
      </bottom>
      <diagonal/>
    </border>
    <border>
      <left style="medium">
        <color rgb="FF000000"/>
      </left>
      <right/>
      <top style="thin">
        <color indexed="8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rgb="FF000000"/>
      </right>
      <top style="thin">
        <color indexed="8"/>
      </top>
      <bottom style="thin">
        <color indexed="8"/>
      </bottom>
      <diagonal/>
    </border>
    <border>
      <left style="medium">
        <color rgb="FF000000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medium">
        <color rgb="FF000000"/>
      </left>
      <right style="thin">
        <color indexed="8"/>
      </right>
      <top style="thin">
        <color indexed="8"/>
      </top>
      <bottom style="medium">
        <color rgb="FF000000"/>
      </bottom>
      <diagonal/>
    </border>
    <border>
      <left style="thin">
        <color indexed="8"/>
      </left>
      <right style="medium">
        <color rgb="FF000000"/>
      </right>
      <top style="thin">
        <color indexed="8"/>
      </top>
      <bottom style="medium">
        <color rgb="FF000000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000000"/>
      </right>
      <top style="thin">
        <color indexed="64"/>
      </top>
      <bottom/>
      <diagonal/>
    </border>
    <border>
      <left style="medium">
        <color rgb="FF000000"/>
      </left>
      <right style="thin">
        <color indexed="8"/>
      </right>
      <top style="medium">
        <color indexed="8"/>
      </top>
      <bottom/>
      <diagonal/>
    </border>
    <border>
      <left style="medium">
        <color rgb="FF000000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rgb="FF000000"/>
      </right>
      <top style="thin">
        <color indexed="8"/>
      </top>
      <bottom style="thin">
        <color indexed="8"/>
      </bottom>
      <diagonal/>
    </border>
    <border>
      <left style="medium">
        <color rgb="FF000000"/>
      </left>
      <right style="thin">
        <color indexed="8"/>
      </right>
      <top style="thin">
        <color indexed="8"/>
      </top>
      <bottom style="medium">
        <color rgb="FF000000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rgb="FF000000"/>
      </bottom>
      <diagonal/>
    </border>
    <border>
      <left style="thin">
        <color indexed="8"/>
      </left>
      <right style="medium">
        <color rgb="FF000000"/>
      </right>
      <top style="thin">
        <color indexed="8"/>
      </top>
      <bottom style="medium">
        <color rgb="FF000000"/>
      </bottom>
      <diagonal/>
    </border>
    <border>
      <left style="medium">
        <color rgb="FF000000"/>
      </left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000000"/>
      </bottom>
      <diagonal/>
    </border>
    <border>
      <left style="medium">
        <color rgb="FF000000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 style="medium">
        <color rgb="FF000000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000000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 style="medium">
        <color rgb="FF000000"/>
      </right>
      <top style="thin">
        <color indexed="8"/>
      </top>
      <bottom/>
      <diagonal/>
    </border>
    <border>
      <left style="medium">
        <color rgb="FF000000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/>
      <top style="thin">
        <color indexed="8"/>
      </top>
      <bottom style="medium">
        <color rgb="FF000000"/>
      </bottom>
      <diagonal/>
    </border>
    <border>
      <left style="thin">
        <color indexed="8"/>
      </left>
      <right/>
      <top style="thin">
        <color indexed="8"/>
      </top>
      <bottom style="medium">
        <color rgb="FF000000"/>
      </bottom>
      <diagonal/>
    </border>
    <border>
      <left/>
      <right/>
      <top style="thin">
        <color indexed="8"/>
      </top>
      <bottom style="medium">
        <color rgb="FF000000"/>
      </bottom>
      <diagonal/>
    </border>
    <border>
      <left style="thin">
        <color indexed="64"/>
      </left>
      <right/>
      <top style="thin">
        <color indexed="64"/>
      </top>
      <bottom style="medium">
        <color rgb="FF000000"/>
      </bottom>
      <diagonal/>
    </border>
    <border>
      <left/>
      <right style="thin">
        <color indexed="8"/>
      </right>
      <top style="thin">
        <color indexed="64"/>
      </top>
      <bottom style="medium">
        <color rgb="FF000000"/>
      </bottom>
      <diagonal/>
    </border>
    <border>
      <left style="medium">
        <color rgb="FF000000"/>
      </left>
      <right/>
      <top style="medium">
        <color indexed="8"/>
      </top>
      <bottom style="thin">
        <color auto="1"/>
      </bottom>
      <diagonal/>
    </border>
    <border>
      <left style="medium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rgb="FF000000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rgb="FF000000"/>
      </left>
      <right style="thin">
        <color indexed="8"/>
      </right>
      <top style="medium">
        <color indexed="8"/>
      </top>
      <bottom style="medium">
        <color rgb="FF000000"/>
      </bottom>
      <diagonal/>
    </border>
    <border>
      <left style="thin">
        <color indexed="8"/>
      </left>
      <right/>
      <top style="medium">
        <color indexed="8"/>
      </top>
      <bottom style="medium">
        <color rgb="FF000000"/>
      </bottom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 style="medium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rgb="FF000000"/>
      </bottom>
      <diagonal/>
    </border>
    <border>
      <left/>
      <right style="medium">
        <color rgb="FF000000"/>
      </right>
      <top style="thin">
        <color indexed="64"/>
      </top>
      <bottom style="medium">
        <color rgb="FF000000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/>
      <right style="medium">
        <color rgb="FF000000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 style="thin">
        <color indexed="64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rgb="FF000000"/>
      </bottom>
      <diagonal/>
    </border>
    <border>
      <left/>
      <right style="medium">
        <color indexed="64"/>
      </right>
      <top style="thin">
        <color indexed="64"/>
      </top>
      <bottom style="medium">
        <color rgb="FF000000"/>
      </bottom>
      <diagonal/>
    </border>
    <border>
      <left style="medium">
        <color rgb="FF000000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rgb="FF000000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rgb="FF000000"/>
      </right>
      <top style="thin">
        <color indexed="8"/>
      </top>
      <bottom/>
      <diagonal/>
    </border>
    <border>
      <left style="medium">
        <color rgb="FF000000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rgb="FF000000"/>
      </right>
      <top style="medium">
        <color indexed="8"/>
      </top>
      <bottom/>
      <diagonal/>
    </border>
    <border>
      <left/>
      <right style="thin">
        <color indexed="8"/>
      </right>
      <top style="thin">
        <color indexed="8"/>
      </top>
      <bottom style="medium">
        <color rgb="FF000000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rgb="FF000000"/>
      </bottom>
      <diagonal/>
    </border>
    <border>
      <left style="medium">
        <color rgb="FF000000"/>
      </left>
      <right style="thin">
        <color indexed="8"/>
      </right>
      <top style="thin">
        <color indexed="8"/>
      </top>
      <bottom style="medium">
        <color rgb="FF000000"/>
      </bottom>
      <diagonal/>
    </border>
    <border>
      <left style="thin">
        <color indexed="8"/>
      </left>
      <right style="medium">
        <color rgb="FF000000"/>
      </right>
      <top style="thin">
        <color indexed="8"/>
      </top>
      <bottom style="medium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indexed="64"/>
      </top>
      <bottom/>
      <diagonal/>
    </border>
    <border>
      <left style="medium">
        <color rgb="FF000000"/>
      </left>
      <right/>
      <top style="thin">
        <color indexed="64"/>
      </top>
      <bottom/>
      <diagonal/>
    </border>
    <border>
      <left style="medium">
        <color rgb="FF000000"/>
      </left>
      <right style="thin">
        <color auto="1"/>
      </right>
      <top style="medium">
        <color auto="1"/>
      </top>
      <bottom/>
      <diagonal/>
    </border>
    <border>
      <left style="thin">
        <color indexed="8"/>
      </left>
      <right style="medium">
        <color rgb="FF000000"/>
      </right>
      <top style="medium">
        <color indexed="8"/>
      </top>
      <bottom style="medium">
        <color indexed="8"/>
      </bottom>
      <diagonal/>
    </border>
    <border>
      <left style="medium">
        <color rgb="FF000000"/>
      </left>
      <right style="thin">
        <color indexed="8"/>
      </right>
      <top style="thin">
        <color indexed="8"/>
      </top>
      <bottom/>
      <diagonal/>
    </border>
    <border>
      <left style="medium">
        <color rgb="FF000000"/>
      </left>
      <right/>
      <top style="thin">
        <color indexed="8"/>
      </top>
      <bottom style="thin">
        <color indexed="8"/>
      </bottom>
      <diagonal/>
    </border>
    <border>
      <left/>
      <right style="medium">
        <color rgb="FF000000"/>
      </right>
      <top style="thin">
        <color indexed="8"/>
      </top>
      <bottom/>
      <diagonal/>
    </border>
    <border>
      <left style="medium">
        <color rgb="FF000000"/>
      </left>
      <right/>
      <top style="thin">
        <color indexed="8"/>
      </top>
      <bottom style="medium">
        <color rgb="FF000000"/>
      </bottom>
      <diagonal/>
    </border>
    <border>
      <left style="thin">
        <color indexed="8"/>
      </left>
      <right/>
      <top style="thin">
        <color indexed="8"/>
      </top>
      <bottom style="medium">
        <color rgb="FF000000"/>
      </bottom>
      <diagonal/>
    </border>
    <border>
      <left/>
      <right/>
      <top style="thin">
        <color indexed="8"/>
      </top>
      <bottom style="medium">
        <color rgb="FF000000"/>
      </bottom>
      <diagonal/>
    </border>
    <border>
      <left/>
      <right style="medium">
        <color rgb="FF000000"/>
      </right>
      <top style="thin">
        <color indexed="8"/>
      </top>
      <bottom style="thin">
        <color indexed="8"/>
      </bottom>
      <diagonal/>
    </border>
    <border>
      <left/>
      <right style="medium">
        <color rgb="FF000000"/>
      </right>
      <top style="thin">
        <color indexed="8"/>
      </top>
      <bottom style="medium">
        <color rgb="FF000000"/>
      </bottom>
      <diagonal/>
    </border>
    <border>
      <left style="medium">
        <color rgb="FF000000"/>
      </left>
      <right/>
      <top style="thin">
        <color indexed="8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000000"/>
      </right>
      <top style="thin">
        <color indexed="64"/>
      </top>
      <bottom/>
      <diagonal/>
    </border>
    <border>
      <left style="medium">
        <color rgb="FF000000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rgb="FF000000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rgb="FF000000"/>
      </right>
      <top style="thin">
        <color indexed="8"/>
      </top>
      <bottom style="medium">
        <color indexed="8"/>
      </bottom>
      <diagonal/>
    </border>
    <border>
      <left style="medium">
        <color rgb="FF000000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rgb="FF000000"/>
      </right>
      <top style="thin">
        <color indexed="8"/>
      </top>
      <bottom/>
      <diagonal/>
    </border>
    <border>
      <left style="medium">
        <color rgb="FF000000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rgb="FF000000"/>
      </right>
      <top style="thin">
        <color indexed="8"/>
      </top>
      <bottom style="medium">
        <color indexed="8"/>
      </bottom>
      <diagonal/>
    </border>
    <border>
      <left style="medium">
        <color rgb="FF000000"/>
      </left>
      <right/>
      <top style="thin">
        <color indexed="64"/>
      </top>
      <bottom/>
      <diagonal/>
    </border>
    <border>
      <left style="medium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rgb="FF000000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rgb="FF000000"/>
      </right>
      <top style="thin">
        <color indexed="8"/>
      </top>
      <bottom style="thin">
        <color indexed="8"/>
      </bottom>
      <diagonal/>
    </border>
    <border>
      <left style="medium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/>
      <top style="thin">
        <color indexed="64"/>
      </top>
      <bottom/>
      <diagonal/>
    </border>
    <border>
      <left style="medium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000000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thin">
        <color indexed="64"/>
      </top>
      <bottom/>
      <diagonal/>
    </border>
    <border>
      <left style="medium">
        <color rgb="FF000000"/>
      </left>
      <right style="thin">
        <color indexed="8"/>
      </right>
      <top style="thin">
        <color indexed="8"/>
      </top>
      <bottom style="medium">
        <color rgb="FF000000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rgb="FF000000"/>
      </bottom>
      <diagonal/>
    </border>
    <border>
      <left style="thin">
        <color indexed="8"/>
      </left>
      <right style="medium">
        <color rgb="FF000000"/>
      </right>
      <top style="thin">
        <color indexed="8"/>
      </top>
      <bottom style="medium">
        <color rgb="FF000000"/>
      </bottom>
      <diagonal/>
    </border>
    <border>
      <left style="medium">
        <color rgb="FF000000"/>
      </left>
      <right/>
      <top style="thin">
        <color indexed="8"/>
      </top>
      <bottom style="thin">
        <color indexed="8"/>
      </bottom>
      <diagonal/>
    </border>
    <border>
      <left/>
      <right style="medium">
        <color rgb="FF000000"/>
      </right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/>
      <top style="thin">
        <color indexed="8"/>
      </top>
      <bottom style="medium">
        <color rgb="FF000000"/>
      </bottom>
      <diagonal/>
    </border>
    <border>
      <left style="thin">
        <color indexed="8"/>
      </left>
      <right/>
      <top style="thin">
        <color indexed="8"/>
      </top>
      <bottom style="medium">
        <color rgb="FF000000"/>
      </bottom>
      <diagonal/>
    </border>
    <border>
      <left/>
      <right/>
      <top style="thin">
        <color indexed="8"/>
      </top>
      <bottom style="medium">
        <color rgb="FF000000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/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/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rgb="FF000000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rgb="FF000000"/>
      </left>
      <right/>
      <top style="thin">
        <color indexed="8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000000"/>
      </right>
      <top style="thin">
        <color indexed="64"/>
      </top>
      <bottom/>
      <diagonal/>
    </border>
    <border>
      <left style="medium">
        <color rgb="FF000000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rgb="FF000000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rgb="FF000000"/>
      </right>
      <top style="thin">
        <color indexed="8"/>
      </top>
      <bottom style="medium">
        <color indexed="8"/>
      </bottom>
      <diagonal/>
    </border>
    <border>
      <left style="medium">
        <color rgb="FF000000"/>
      </left>
      <right style="thin">
        <color indexed="8"/>
      </right>
      <top style="thin">
        <color indexed="8"/>
      </top>
      <bottom/>
      <diagonal/>
    </border>
    <border>
      <left style="medium">
        <color rgb="FF000000"/>
      </left>
      <right/>
      <top style="thin">
        <color indexed="64"/>
      </top>
      <bottom/>
      <diagonal/>
    </border>
    <border>
      <left style="medium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rgb="FF000000"/>
      </bottom>
      <diagonal/>
    </border>
    <border>
      <left style="thin">
        <color indexed="8"/>
      </left>
      <right style="medium">
        <color rgb="FF000000"/>
      </right>
      <top style="thin">
        <color indexed="8"/>
      </top>
      <bottom style="medium">
        <color rgb="FF000000"/>
      </bottom>
      <diagonal/>
    </border>
    <border>
      <left style="medium">
        <color rgb="FF000000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000000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8"/>
      </right>
      <top style="thin">
        <color indexed="8"/>
      </top>
      <bottom style="medium">
        <color rgb="FF000000"/>
      </bottom>
      <diagonal/>
    </border>
    <border>
      <left style="medium">
        <color rgb="FF000000"/>
      </left>
      <right/>
      <top style="thin">
        <color indexed="8"/>
      </top>
      <bottom style="thin">
        <color indexed="8"/>
      </bottom>
      <diagonal/>
    </border>
    <border>
      <left/>
      <right style="medium">
        <color rgb="FF000000"/>
      </right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/>
      <top style="thin">
        <color indexed="8"/>
      </top>
      <bottom style="medium">
        <color rgb="FF000000"/>
      </bottom>
      <diagonal/>
    </border>
    <border>
      <left style="thin">
        <color indexed="8"/>
      </left>
      <right/>
      <top style="thin">
        <color indexed="8"/>
      </top>
      <bottom style="medium">
        <color rgb="FF000000"/>
      </bottom>
      <diagonal/>
    </border>
    <border>
      <left/>
      <right/>
      <top style="thin">
        <color indexed="8"/>
      </top>
      <bottom style="medium">
        <color rgb="FF000000"/>
      </bottom>
      <diagonal/>
    </border>
    <border>
      <left style="thin">
        <color indexed="64"/>
      </left>
      <right/>
      <top style="thin">
        <color indexed="64"/>
      </top>
      <bottom style="medium">
        <color rgb="FF000000"/>
      </bottom>
      <diagonal/>
    </border>
    <border>
      <left/>
      <right style="thin">
        <color indexed="8"/>
      </right>
      <top style="thin">
        <color indexed="64"/>
      </top>
      <bottom style="medium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indexed="64"/>
      </top>
      <bottom/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medium">
        <color rgb="FF000000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medium">
        <color rgb="FF000000"/>
      </bottom>
      <diagonal/>
    </border>
    <border>
      <left/>
      <right style="medium">
        <color rgb="FF000000"/>
      </right>
      <top style="thin">
        <color indexed="8"/>
      </top>
      <bottom style="medium">
        <color rgb="FF000000"/>
      </bottom>
      <diagonal/>
    </border>
    <border>
      <left style="medium">
        <color rgb="FF000000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rgb="FF000000"/>
      </bottom>
      <diagonal/>
    </border>
    <border>
      <left/>
      <right style="thin">
        <color indexed="64"/>
      </right>
      <top style="thin">
        <color indexed="64"/>
      </top>
      <bottom style="medium">
        <color rgb="FF000000"/>
      </bottom>
      <diagonal/>
    </border>
    <border>
      <left/>
      <right style="medium">
        <color rgb="FF000000"/>
      </right>
      <top style="thin">
        <color indexed="64"/>
      </top>
      <bottom style="medium">
        <color rgb="FF000000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rgb="FF000000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rgb="FF000000"/>
      </bottom>
      <diagonal/>
    </border>
    <border>
      <left style="thin">
        <color indexed="8"/>
      </left>
      <right style="medium">
        <color rgb="FF000000"/>
      </right>
      <top style="thin">
        <color indexed="8"/>
      </top>
      <bottom style="medium">
        <color rgb="FF000000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auto="1"/>
      </right>
      <top style="thin">
        <color indexed="64"/>
      </top>
      <bottom style="medium">
        <color rgb="FF000000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rgb="FF000000"/>
      </left>
      <right/>
      <top style="thin">
        <color indexed="8"/>
      </top>
      <bottom style="thin">
        <color indexed="8"/>
      </bottom>
      <diagonal/>
    </border>
    <border>
      <left/>
      <right style="medium">
        <color rgb="FF000000"/>
      </right>
      <top style="thin">
        <color indexed="8"/>
      </top>
      <bottom style="thin">
        <color indexed="8"/>
      </bottom>
      <diagonal/>
    </border>
    <border>
      <left/>
      <right style="medium">
        <color rgb="FF000000"/>
      </right>
      <top style="thin">
        <color indexed="8"/>
      </top>
      <bottom/>
      <diagonal/>
    </border>
    <border>
      <left style="medium">
        <color rgb="FF000000"/>
      </left>
      <right/>
      <top style="thin">
        <color indexed="8"/>
      </top>
      <bottom style="medium">
        <color rgb="FF000000"/>
      </bottom>
      <diagonal/>
    </border>
    <border>
      <left style="thin">
        <color indexed="8"/>
      </left>
      <right/>
      <top style="thin">
        <color indexed="8"/>
      </top>
      <bottom style="medium">
        <color rgb="FF000000"/>
      </bottom>
      <diagonal/>
    </border>
    <border>
      <left/>
      <right/>
      <top style="thin">
        <color indexed="8"/>
      </top>
      <bottom style="medium">
        <color rgb="FF000000"/>
      </bottom>
      <diagonal/>
    </border>
    <border>
      <left/>
      <right style="thin">
        <color indexed="8"/>
      </right>
      <top style="thin">
        <color indexed="8"/>
      </top>
      <bottom style="medium">
        <color rgb="FF000000"/>
      </bottom>
      <diagonal/>
    </border>
    <border>
      <left/>
      <right style="medium">
        <color rgb="FF000000"/>
      </right>
      <top style="thin">
        <color indexed="8"/>
      </top>
      <bottom style="medium">
        <color rgb="FF000000"/>
      </bottom>
      <diagonal/>
    </border>
    <border>
      <left style="medium">
        <color rgb="FF000000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rgb="FF000000"/>
      </left>
      <right style="thin">
        <color indexed="8"/>
      </right>
      <top style="thin">
        <color indexed="8"/>
      </top>
      <bottom style="medium">
        <color rgb="FF000000"/>
      </bottom>
      <diagonal/>
    </border>
    <border>
      <left style="medium">
        <color rgb="FF000000"/>
      </left>
      <right/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 style="medium">
        <color indexed="8"/>
      </bottom>
      <diagonal/>
    </border>
    <border>
      <left/>
      <right style="medium">
        <color rgb="FF000000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8"/>
      </top>
      <bottom style="medium">
        <color indexed="8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medium">
        <color rgb="FF000000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rgb="FF000000"/>
      </right>
      <top style="thin">
        <color indexed="8"/>
      </top>
      <bottom style="medium">
        <color indexed="8"/>
      </bottom>
      <diagonal/>
    </border>
    <border>
      <left style="medium">
        <color rgb="FF000000"/>
      </left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medium">
        <color indexed="8"/>
      </top>
      <bottom style="thin">
        <color indexed="64"/>
      </bottom>
      <diagonal/>
    </border>
    <border>
      <left style="thin">
        <color indexed="64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medium">
        <color rgb="FF000000"/>
      </left>
      <right/>
      <top style="thin">
        <color indexed="64"/>
      </top>
      <bottom/>
      <diagonal/>
    </border>
    <border>
      <left style="medium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rgb="FF000000"/>
      </left>
      <right/>
      <top style="thin">
        <color indexed="8"/>
      </top>
      <bottom/>
      <diagonal/>
    </border>
    <border>
      <left/>
      <right style="thin">
        <color indexed="8"/>
      </right>
      <top style="medium">
        <color indexed="64"/>
      </top>
      <bottom/>
      <diagonal/>
    </border>
    <border>
      <left style="thin">
        <color indexed="8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/>
      <diagonal/>
    </border>
    <border>
      <left style="thin">
        <color indexed="8"/>
      </left>
      <right style="thin">
        <color indexed="8"/>
      </right>
      <top style="medium">
        <color indexed="8"/>
      </top>
      <bottom/>
      <diagonal/>
    </border>
    <border>
      <left style="medium">
        <color rgb="FF000000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rgb="FF000000"/>
      </left>
      <right style="thin">
        <color indexed="8"/>
      </right>
      <top style="thin">
        <color indexed="8"/>
      </top>
      <bottom style="medium">
        <color rgb="FF000000"/>
      </bottom>
      <diagonal/>
    </border>
    <border>
      <left style="medium">
        <color rgb="FF000000"/>
      </left>
      <right style="thin">
        <color indexed="8"/>
      </right>
      <top style="thin">
        <color indexed="8"/>
      </top>
      <bottom/>
      <diagonal/>
    </border>
    <border>
      <left style="medium">
        <color indexed="8"/>
      </left>
      <right/>
      <top style="medium">
        <color indexed="8"/>
      </top>
      <bottom/>
      <diagonal/>
    </border>
    <border>
      <left style="thin">
        <color indexed="8"/>
      </left>
      <right/>
      <top style="medium">
        <color indexed="8"/>
      </top>
      <bottom style="thin">
        <color indexed="8"/>
      </bottom>
      <diagonal/>
    </border>
    <border>
      <left style="thin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 style="thin">
        <color indexed="8"/>
      </bottom>
      <diagonal/>
    </border>
    <border>
      <left style="medium">
        <color rgb="FF000000"/>
      </left>
      <right/>
      <top style="medium">
        <color indexed="8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8"/>
      </top>
      <bottom style="thin">
        <color indexed="64"/>
      </bottom>
      <diagonal/>
    </border>
    <border>
      <left style="thin">
        <color indexed="8"/>
      </left>
      <right/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/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rgb="FF000000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medium">
        <color rgb="FF000000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medium">
        <color rgb="FF000000"/>
      </left>
      <right/>
      <top style="medium">
        <color indexed="8"/>
      </top>
      <bottom style="thin">
        <color auto="1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/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double">
        <color indexed="8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 style="thin">
        <color indexed="8"/>
      </left>
      <right/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medium">
        <color indexed="8"/>
      </top>
      <bottom/>
      <diagonal/>
    </border>
    <border>
      <left/>
      <right style="thin">
        <color indexed="8"/>
      </right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 style="medium">
        <color indexed="8"/>
      </top>
      <bottom/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 style="medium">
        <color indexed="8"/>
      </bottom>
      <diagonal/>
    </border>
  </borders>
  <cellStyleXfs count="58">
    <xf numFmtId="0" fontId="0" fillId="0" borderId="0" applyBorder="0">
      <alignment horizontal="center" vertical="center"/>
    </xf>
    <xf numFmtId="0" fontId="28" fillId="2" borderId="0" applyNumberFormat="0" applyBorder="0" applyAlignment="0" applyProtection="0"/>
    <xf numFmtId="0" fontId="28" fillId="3" borderId="0" applyNumberFormat="0" applyBorder="0" applyAlignment="0" applyProtection="0"/>
    <xf numFmtId="0" fontId="28" fillId="4" borderId="0" applyNumberFormat="0" applyBorder="0" applyAlignment="0" applyProtection="0"/>
    <xf numFmtId="0" fontId="28" fillId="5" borderId="0" applyNumberFormat="0" applyBorder="0" applyAlignment="0" applyProtection="0"/>
    <xf numFmtId="0" fontId="28" fillId="6" borderId="0" applyNumberFormat="0" applyBorder="0" applyAlignment="0" applyProtection="0"/>
    <xf numFmtId="0" fontId="28" fillId="7" borderId="0" applyNumberFormat="0" applyBorder="0" applyAlignment="0" applyProtection="0"/>
    <xf numFmtId="0" fontId="28" fillId="8" borderId="0" applyNumberFormat="0" applyBorder="0" applyAlignment="0" applyProtection="0"/>
    <xf numFmtId="0" fontId="28" fillId="9" borderId="0" applyNumberFormat="0" applyBorder="0" applyAlignment="0" applyProtection="0"/>
    <xf numFmtId="0" fontId="28" fillId="10" borderId="0" applyNumberFormat="0" applyBorder="0" applyAlignment="0" applyProtection="0"/>
    <xf numFmtId="0" fontId="28" fillId="5" borderId="0" applyNumberFormat="0" applyBorder="0" applyAlignment="0" applyProtection="0"/>
    <xf numFmtId="0" fontId="28" fillId="8" borderId="0" applyNumberFormat="0" applyBorder="0" applyAlignment="0" applyProtection="0"/>
    <xf numFmtId="0" fontId="28" fillId="11" borderId="0" applyNumberFormat="0" applyBorder="0" applyAlignment="0" applyProtection="0"/>
    <xf numFmtId="0" fontId="29" fillId="12" borderId="0" applyNumberFormat="0" applyBorder="0" applyAlignment="0" applyProtection="0"/>
    <xf numFmtId="0" fontId="29" fillId="9" borderId="0" applyNumberFormat="0" applyBorder="0" applyAlignment="0" applyProtection="0"/>
    <xf numFmtId="0" fontId="29" fillId="10" borderId="0" applyNumberFormat="0" applyBorder="0" applyAlignment="0" applyProtection="0"/>
    <xf numFmtId="0" fontId="29" fillId="13" borderId="0" applyNumberFormat="0" applyBorder="0" applyAlignment="0" applyProtection="0"/>
    <xf numFmtId="0" fontId="29" fillId="14" borderId="0" applyNumberFormat="0" applyBorder="0" applyAlignment="0" applyProtection="0"/>
    <xf numFmtId="0" fontId="29" fillId="15" borderId="0" applyNumberFormat="0" applyBorder="0" applyAlignment="0" applyProtection="0"/>
    <xf numFmtId="0" fontId="30" fillId="0" borderId="0" applyNumberFormat="0" applyFill="0" applyBorder="0" applyAlignment="0" applyProtection="0"/>
    <xf numFmtId="0" fontId="4" fillId="16" borderId="1" applyNumberFormat="0" applyFont="0" applyAlignment="0" applyProtection="0"/>
    <xf numFmtId="0" fontId="31" fillId="17" borderId="2" applyNumberFormat="0" applyAlignment="0" applyProtection="0"/>
    <xf numFmtId="0" fontId="32" fillId="0" borderId="0" applyNumberFormat="0" applyFill="0" applyBorder="0" applyAlignment="0" applyProtection="0"/>
    <xf numFmtId="0" fontId="33" fillId="4" borderId="0" applyNumberFormat="0" applyBorder="0" applyAlignment="0" applyProtection="0"/>
    <xf numFmtId="0" fontId="34" fillId="7" borderId="2" applyNumberFormat="0" applyAlignment="0" applyProtection="0"/>
    <xf numFmtId="0" fontId="35" fillId="18" borderId="3" applyNumberFormat="0" applyAlignment="0" applyProtection="0"/>
    <xf numFmtId="0" fontId="29" fillId="19" borderId="0" applyNumberFormat="0" applyBorder="0" applyAlignment="0" applyProtection="0"/>
    <xf numFmtId="0" fontId="29" fillId="20" borderId="0" applyNumberFormat="0" applyBorder="0" applyAlignment="0" applyProtection="0"/>
    <xf numFmtId="0" fontId="29" fillId="21" borderId="0" applyNumberFormat="0" applyBorder="0" applyAlignment="0" applyProtection="0"/>
    <xf numFmtId="0" fontId="29" fillId="13" borderId="0" applyNumberFormat="0" applyBorder="0" applyAlignment="0" applyProtection="0"/>
    <xf numFmtId="0" fontId="29" fillId="14" borderId="0" applyNumberFormat="0" applyBorder="0" applyAlignment="0" applyProtection="0"/>
    <xf numFmtId="0" fontId="29" fillId="22" borderId="0" applyNumberFormat="0" applyBorder="0" applyAlignment="0" applyProtection="0"/>
    <xf numFmtId="0" fontId="36" fillId="23" borderId="0" applyNumberFormat="0" applyFill="0" applyBorder="0" applyAlignment="0" applyProtection="0"/>
    <xf numFmtId="0" fontId="8" fillId="57" borderId="0" applyBorder="0">
      <alignment horizontal="center" vertical="center"/>
    </xf>
    <xf numFmtId="0" fontId="37" fillId="17" borderId="4" applyNumberFormat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1" fillId="0" borderId="8" applyNumberFormat="0" applyFill="0" applyAlignment="0" applyProtection="0"/>
    <xf numFmtId="0" fontId="42" fillId="0" borderId="0" applyNumberFormat="0" applyFill="0" applyBorder="0" applyAlignment="0" applyProtection="0"/>
    <xf numFmtId="0" fontId="43" fillId="0" borderId="9" applyNumberFormat="0" applyFill="0" applyAlignment="0" applyProtection="0"/>
    <xf numFmtId="0" fontId="44" fillId="3" borderId="0" applyNumberFormat="0" applyBorder="0" applyAlignment="0" applyProtection="0"/>
    <xf numFmtId="0" fontId="8" fillId="53" borderId="0" applyBorder="0">
      <alignment horizontal="center" vertical="center"/>
    </xf>
    <xf numFmtId="0" fontId="8" fillId="73" borderId="0" applyBorder="0">
      <alignment horizontal="center" vertical="center"/>
    </xf>
    <xf numFmtId="0" fontId="8" fillId="55" borderId="0" applyBorder="0">
      <alignment horizontal="center" vertical="center"/>
    </xf>
    <xf numFmtId="0" fontId="52" fillId="56" borderId="0" applyBorder="0">
      <alignment horizontal="center" vertical="center"/>
    </xf>
    <xf numFmtId="0" fontId="8" fillId="74" borderId="0" applyBorder="0">
      <alignment horizontal="center" vertical="center"/>
    </xf>
    <xf numFmtId="0" fontId="8" fillId="52" borderId="0" applyBorder="0">
      <alignment horizontal="center" vertical="center"/>
    </xf>
    <xf numFmtId="0" fontId="62" fillId="58" borderId="0" applyBorder="0">
      <alignment horizontal="center" vertical="center"/>
    </xf>
    <xf numFmtId="0" fontId="8" fillId="54" borderId="0" applyBorder="0">
      <alignment horizontal="center" vertical="center"/>
    </xf>
    <xf numFmtId="0" fontId="62" fillId="59" borderId="0" applyBorder="0">
      <alignment horizontal="center" vertical="center"/>
    </xf>
    <xf numFmtId="0" fontId="8" fillId="67" borderId="0" applyBorder="0">
      <alignment horizontal="center" vertical="center"/>
    </xf>
    <xf numFmtId="0" fontId="8" fillId="0" borderId="0" applyBorder="0">
      <alignment horizontal="center" vertical="center"/>
    </xf>
    <xf numFmtId="0" fontId="3" fillId="0" borderId="0"/>
    <xf numFmtId="0" fontId="18" fillId="0" borderId="0">
      <alignment vertical="center"/>
    </xf>
    <xf numFmtId="0" fontId="8" fillId="75" borderId="0" applyBorder="0">
      <alignment horizontal="center" vertical="center"/>
    </xf>
    <xf numFmtId="0" fontId="2" fillId="0" borderId="0"/>
  </cellStyleXfs>
  <cellXfs count="6737">
    <xf numFmtId="0" fontId="0" fillId="0" borderId="0" xfId="0">
      <alignment horizontal="center" vertical="center"/>
    </xf>
    <xf numFmtId="0" fontId="5" fillId="0" borderId="0" xfId="0" applyFont="1">
      <alignment horizontal="center" vertical="center"/>
    </xf>
    <xf numFmtId="0" fontId="6" fillId="0" borderId="0" xfId="0" applyFont="1">
      <alignment horizontal="center" vertical="center"/>
    </xf>
    <xf numFmtId="0" fontId="5" fillId="0" borderId="0" xfId="0" applyFont="1" applyAlignment="1" applyProtection="1">
      <alignment horizontal="left"/>
      <protection locked="0"/>
    </xf>
    <xf numFmtId="0" fontId="7" fillId="0" borderId="0" xfId="0" applyFont="1">
      <alignment horizontal="center" vertical="center"/>
    </xf>
    <xf numFmtId="0" fontId="0" fillId="0" borderId="0" xfId="0" applyAlignment="1">
      <alignment horizontal="center"/>
    </xf>
    <xf numFmtId="0" fontId="8" fillId="0" borderId="0" xfId="0" applyFont="1" applyAlignment="1">
      <alignment horizontal="left"/>
    </xf>
    <xf numFmtId="0" fontId="0" fillId="28" borderId="0" xfId="0" applyFill="1">
      <alignment horizontal="center" vertical="center"/>
    </xf>
    <xf numFmtId="0" fontId="0" fillId="29" borderId="0" xfId="0" applyFill="1">
      <alignment horizontal="center" vertical="center"/>
    </xf>
    <xf numFmtId="0" fontId="0" fillId="26" borderId="0" xfId="0" applyFill="1">
      <alignment horizontal="center" vertical="center"/>
    </xf>
    <xf numFmtId="0" fontId="0" fillId="30" borderId="0" xfId="0" applyFill="1">
      <alignment horizontal="center" vertical="center"/>
    </xf>
    <xf numFmtId="0" fontId="9" fillId="31" borderId="0" xfId="0" applyFont="1" applyFill="1">
      <alignment horizontal="center" vertical="center"/>
    </xf>
    <xf numFmtId="0" fontId="0" fillId="24" borderId="0" xfId="0" applyFill="1">
      <alignment horizontal="center" vertical="center"/>
    </xf>
    <xf numFmtId="0" fontId="0" fillId="25" borderId="0" xfId="0" applyFill="1">
      <alignment horizontal="center" vertical="center"/>
    </xf>
    <xf numFmtId="0" fontId="0" fillId="27" borderId="0" xfId="0" applyFill="1">
      <alignment horizontal="center" vertical="center"/>
    </xf>
    <xf numFmtId="0" fontId="5" fillId="0" borderId="10" xfId="0" applyFont="1" applyBorder="1">
      <alignment horizontal="center" vertical="center"/>
    </xf>
    <xf numFmtId="0" fontId="5" fillId="0" borderId="10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0" fillId="0" borderId="10" xfId="0" applyBorder="1" applyAlignment="1">
      <alignment horizontal="center"/>
    </xf>
    <xf numFmtId="0" fontId="5" fillId="0" borderId="10" xfId="0" applyFont="1" applyBorder="1" applyAlignment="1">
      <alignment horizontal="left"/>
    </xf>
    <xf numFmtId="2" fontId="0" fillId="0" borderId="0" xfId="0" applyNumberFormat="1">
      <alignment horizontal="center" vertical="center"/>
    </xf>
    <xf numFmtId="0" fontId="7" fillId="0" borderId="0" xfId="0" applyFont="1" applyAlignment="1">
      <alignment horizontal="left"/>
    </xf>
    <xf numFmtId="2" fontId="0" fillId="0" borderId="0" xfId="0" applyNumberFormat="1" applyAlignment="1">
      <alignment horizontal="center"/>
    </xf>
    <xf numFmtId="0" fontId="0" fillId="0" borderId="11" xfId="0" applyBorder="1" applyAlignment="1">
      <alignment horizontal="center"/>
    </xf>
    <xf numFmtId="0" fontId="8" fillId="24" borderId="11" xfId="0" applyFont="1" applyFill="1" applyBorder="1" applyAlignment="1">
      <alignment horizontal="center"/>
    </xf>
    <xf numFmtId="0" fontId="0" fillId="0" borderId="11" xfId="0" applyBorder="1">
      <alignment horizontal="center" vertical="center"/>
    </xf>
    <xf numFmtId="0" fontId="8" fillId="0" borderId="11" xfId="0" applyFont="1" applyBorder="1" applyAlignment="1">
      <alignment horizontal="center"/>
    </xf>
    <xf numFmtId="0" fontId="8" fillId="0" borderId="11" xfId="0" applyFont="1" applyBorder="1" applyAlignment="1">
      <alignment horizontal="left"/>
    </xf>
    <xf numFmtId="0" fontId="8" fillId="0" borderId="10" xfId="0" applyFont="1" applyBorder="1" applyAlignment="1">
      <alignment horizontal="right"/>
    </xf>
    <xf numFmtId="0" fontId="0" fillId="0" borderId="12" xfId="0" applyBorder="1" applyAlignment="1">
      <alignment horizontal="left"/>
    </xf>
    <xf numFmtId="0" fontId="11" fillId="35" borderId="13" xfId="0" applyFont="1" applyFill="1" applyBorder="1" applyAlignment="1">
      <alignment horizontal="center"/>
    </xf>
    <xf numFmtId="0" fontId="0" fillId="0" borderId="13" xfId="0" applyBorder="1">
      <alignment horizontal="center" vertical="center"/>
    </xf>
    <xf numFmtId="0" fontId="5" fillId="0" borderId="12" xfId="0" applyFont="1" applyBorder="1" applyAlignment="1">
      <alignment horizontal="left"/>
    </xf>
    <xf numFmtId="0" fontId="5" fillId="37" borderId="13" xfId="0" applyFont="1" applyFill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5" fillId="0" borderId="12" xfId="0" applyFont="1" applyBorder="1">
      <alignment horizontal="center" vertical="center"/>
    </xf>
    <xf numFmtId="0" fontId="5" fillId="0" borderId="0" xfId="0" applyFont="1" applyAlignment="1">
      <alignment horizontal="center"/>
    </xf>
    <xf numFmtId="49" fontId="5" fillId="41" borderId="13" xfId="0" applyNumberFormat="1" applyFont="1" applyFill="1" applyBorder="1" applyAlignment="1">
      <alignment horizontal="center"/>
    </xf>
    <xf numFmtId="49" fontId="5" fillId="42" borderId="13" xfId="0" applyNumberFormat="1" applyFont="1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24" borderId="11" xfId="0" applyFill="1" applyBorder="1" applyAlignment="1">
      <alignment horizontal="center"/>
    </xf>
    <xf numFmtId="0" fontId="5" fillId="0" borderId="0" xfId="0" applyFont="1" applyAlignment="1">
      <alignment horizontal="left"/>
    </xf>
    <xf numFmtId="2" fontId="0" fillId="0" borderId="11" xfId="0" applyNumberFormat="1" applyBorder="1" applyAlignment="1">
      <alignment horizontal="center"/>
    </xf>
    <xf numFmtId="2" fontId="0" fillId="24" borderId="11" xfId="0" applyNumberFormat="1" applyFill="1" applyBorder="1" applyAlignment="1">
      <alignment horizontal="center"/>
    </xf>
    <xf numFmtId="0" fontId="5" fillId="0" borderId="15" xfId="0" applyFont="1" applyBorder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right"/>
    </xf>
    <xf numFmtId="0" fontId="8" fillId="0" borderId="0" xfId="0" applyFont="1">
      <alignment horizontal="center" vertical="center"/>
    </xf>
    <xf numFmtId="0" fontId="5" fillId="43" borderId="0" xfId="0" applyFont="1" applyFill="1">
      <alignment horizontal="center" vertical="center"/>
    </xf>
    <xf numFmtId="0" fontId="0" fillId="43" borderId="0" xfId="0" applyFill="1">
      <alignment horizontal="center" vertical="center"/>
    </xf>
    <xf numFmtId="0" fontId="8" fillId="0" borderId="13" xfId="0" applyFont="1" applyBorder="1" applyAlignment="1">
      <alignment horizontal="center"/>
    </xf>
    <xf numFmtId="0" fontId="0" fillId="0" borderId="13" xfId="0" applyBorder="1" applyAlignment="1">
      <alignment horizontal="center"/>
    </xf>
    <xf numFmtId="2" fontId="0" fillId="0" borderId="0" xfId="0" applyNumberFormat="1" applyAlignment="1">
      <alignment horizontal="left"/>
    </xf>
    <xf numFmtId="49" fontId="5" fillId="0" borderId="0" xfId="0" applyNumberFormat="1" applyFont="1" applyAlignment="1">
      <alignment horizontal="center"/>
    </xf>
    <xf numFmtId="0" fontId="11" fillId="0" borderId="0" xfId="0" applyFont="1">
      <alignment horizontal="center" vertical="center"/>
    </xf>
    <xf numFmtId="0" fontId="12" fillId="0" borderId="0" xfId="0" applyFont="1" applyAlignment="1">
      <alignment horizontal="center"/>
    </xf>
    <xf numFmtId="2" fontId="0" fillId="28" borderId="0" xfId="0" applyNumberFormat="1" applyFill="1">
      <alignment horizontal="center" vertical="center"/>
    </xf>
    <xf numFmtId="2" fontId="0" fillId="29" borderId="0" xfId="0" applyNumberFormat="1" applyFill="1">
      <alignment horizontal="center" vertical="center"/>
    </xf>
    <xf numFmtId="0" fontId="14" fillId="0" borderId="0" xfId="0" applyFont="1">
      <alignment horizontal="center" vertical="center"/>
    </xf>
    <xf numFmtId="0" fontId="16" fillId="0" borderId="0" xfId="0" applyFont="1">
      <alignment horizontal="center" vertical="center"/>
    </xf>
    <xf numFmtId="0" fontId="0" fillId="43" borderId="0" xfId="0" applyFill="1" applyAlignment="1" applyProtection="1">
      <alignment horizontal="center"/>
      <protection locked="0"/>
    </xf>
    <xf numFmtId="0" fontId="17" fillId="0" borderId="0" xfId="0" applyFont="1" applyAlignment="1">
      <alignment horizontal="left"/>
    </xf>
    <xf numFmtId="0" fontId="9" fillId="0" borderId="0" xfId="0" applyFont="1" applyAlignment="1" applyProtection="1">
      <alignment horizontal="left"/>
      <protection locked="0"/>
    </xf>
    <xf numFmtId="49" fontId="8" fillId="0" borderId="0" xfId="0" applyNumberFormat="1" applyFont="1">
      <alignment horizontal="center" vertical="center"/>
    </xf>
    <xf numFmtId="0" fontId="10" fillId="0" borderId="0" xfId="0" applyFont="1">
      <alignment horizontal="center" vertical="center"/>
    </xf>
    <xf numFmtId="0" fontId="0" fillId="0" borderId="0" xfId="0" applyAlignment="1" applyProtection="1">
      <alignment horizontal="center"/>
      <protection locked="0"/>
    </xf>
    <xf numFmtId="0" fontId="5" fillId="43" borderId="0" xfId="0" applyFont="1" applyFill="1" applyAlignment="1">
      <alignment horizontal="center"/>
    </xf>
    <xf numFmtId="0" fontId="0" fillId="0" borderId="0" xfId="0" applyAlignment="1">
      <alignment horizontal="left" vertical="center"/>
    </xf>
    <xf numFmtId="0" fontId="21" fillId="0" borderId="0" xfId="0" applyFont="1">
      <alignment horizontal="center" vertical="center"/>
    </xf>
    <xf numFmtId="0" fontId="24" fillId="0" borderId="0" xfId="0" applyFont="1">
      <alignment horizontal="center" vertical="center"/>
    </xf>
    <xf numFmtId="0" fontId="18" fillId="24" borderId="10" xfId="0" applyFont="1" applyFill="1" applyBorder="1" applyAlignment="1"/>
    <xf numFmtId="0" fontId="18" fillId="24" borderId="0" xfId="0" applyFont="1" applyFill="1">
      <alignment horizontal="center" vertical="center"/>
    </xf>
    <xf numFmtId="0" fontId="18" fillId="24" borderId="0" xfId="0" applyFont="1" applyFill="1" applyAlignment="1">
      <alignment horizontal="center"/>
    </xf>
    <xf numFmtId="0" fontId="25" fillId="24" borderId="10" xfId="0" applyFont="1" applyFill="1" applyBorder="1" applyAlignment="1">
      <alignment horizontal="center"/>
    </xf>
    <xf numFmtId="0" fontId="25" fillId="24" borderId="0" xfId="0" applyFont="1" applyFill="1" applyAlignment="1">
      <alignment horizontal="center"/>
    </xf>
    <xf numFmtId="0" fontId="25" fillId="24" borderId="16" xfId="0" applyFont="1" applyFill="1" applyBorder="1" applyAlignment="1">
      <alignment horizontal="center"/>
    </xf>
    <xf numFmtId="0" fontId="18" fillId="24" borderId="16" xfId="0" applyFont="1" applyFill="1" applyBorder="1">
      <alignment horizontal="center" vertical="center"/>
    </xf>
    <xf numFmtId="0" fontId="26" fillId="0" borderId="0" xfId="0" applyFont="1">
      <alignment horizontal="center" vertical="center"/>
    </xf>
    <xf numFmtId="0" fontId="27" fillId="0" borderId="0" xfId="0" applyFont="1">
      <alignment horizontal="center" vertical="center"/>
    </xf>
    <xf numFmtId="0" fontId="18" fillId="45" borderId="10" xfId="0" applyFont="1" applyFill="1" applyBorder="1" applyAlignment="1">
      <alignment wrapText="1"/>
    </xf>
    <xf numFmtId="0" fontId="18" fillId="39" borderId="10" xfId="0" applyFont="1" applyFill="1" applyBorder="1" applyAlignment="1">
      <alignment wrapText="1"/>
    </xf>
    <xf numFmtId="0" fontId="18" fillId="47" borderId="10" xfId="0" applyFont="1" applyFill="1" applyBorder="1" applyAlignment="1">
      <alignment wrapText="1"/>
    </xf>
    <xf numFmtId="0" fontId="18" fillId="40" borderId="10" xfId="0" applyFont="1" applyFill="1" applyBorder="1" applyAlignment="1">
      <alignment wrapText="1"/>
    </xf>
    <xf numFmtId="0" fontId="22" fillId="48" borderId="10" xfId="0" applyFont="1" applyFill="1" applyBorder="1" applyAlignment="1">
      <alignment wrapText="1"/>
    </xf>
    <xf numFmtId="0" fontId="45" fillId="0" borderId="0" xfId="0" applyFont="1">
      <alignment horizontal="center" vertical="center"/>
    </xf>
    <xf numFmtId="169" fontId="45" fillId="0" borderId="0" xfId="0" applyNumberFormat="1" applyFont="1">
      <alignment horizontal="center" vertical="center"/>
    </xf>
    <xf numFmtId="0" fontId="45" fillId="0" borderId="17" xfId="0" applyFont="1" applyBorder="1">
      <alignment horizontal="center" vertical="center"/>
    </xf>
    <xf numFmtId="0" fontId="45" fillId="0" borderId="0" xfId="0" applyFont="1" applyAlignment="1">
      <alignment horizontal="left" vertical="center"/>
    </xf>
    <xf numFmtId="0" fontId="5" fillId="0" borderId="0" xfId="0" applyFont="1" applyAlignment="1" applyProtection="1">
      <alignment horizontal="center"/>
      <protection locked="0"/>
    </xf>
    <xf numFmtId="0" fontId="5" fillId="43" borderId="0" xfId="0" applyFont="1" applyFill="1" applyAlignment="1">
      <alignment horizontal="left"/>
    </xf>
    <xf numFmtId="0" fontId="46" fillId="0" borderId="0" xfId="0" applyFont="1" applyAlignment="1">
      <alignment vertical="top" wrapText="1"/>
    </xf>
    <xf numFmtId="0" fontId="48" fillId="0" borderId="0" xfId="0" applyFont="1">
      <alignment horizontal="center" vertical="center"/>
    </xf>
    <xf numFmtId="164" fontId="20" fillId="0" borderId="0" xfId="0" applyNumberFormat="1" applyFont="1" applyAlignment="1">
      <alignment horizontal="center"/>
    </xf>
    <xf numFmtId="0" fontId="21" fillId="0" borderId="17" xfId="0" applyFont="1" applyBorder="1">
      <alignment horizontal="center" vertical="center"/>
    </xf>
    <xf numFmtId="0" fontId="0" fillId="0" borderId="0" xfId="0" applyAlignment="1">
      <alignment vertical="center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vertical="center"/>
    </xf>
    <xf numFmtId="0" fontId="5" fillId="46" borderId="0" xfId="0" applyFont="1" applyFill="1" applyAlignment="1">
      <alignment horizontal="left" vertical="center"/>
    </xf>
    <xf numFmtId="49" fontId="0" fillId="51" borderId="0" xfId="0" applyNumberFormat="1" applyFill="1">
      <alignment horizontal="center" vertical="center"/>
    </xf>
    <xf numFmtId="0" fontId="5" fillId="0" borderId="0" xfId="0" applyFont="1" applyAlignment="1"/>
    <xf numFmtId="0" fontId="0" fillId="0" borderId="0" xfId="0" applyAlignment="1"/>
    <xf numFmtId="0" fontId="8" fillId="0" borderId="0" xfId="0" applyFont="1" applyAlignment="1"/>
    <xf numFmtId="0" fontId="10" fillId="60" borderId="0" xfId="0" applyFont="1" applyFill="1" applyAlignment="1">
      <alignment horizontal="center" wrapText="1"/>
    </xf>
    <xf numFmtId="0" fontId="10" fillId="60" borderId="0" xfId="0" applyFont="1" applyFill="1">
      <alignment horizontal="center" vertical="center"/>
    </xf>
    <xf numFmtId="0" fontId="10" fillId="51" borderId="0" xfId="0" applyFont="1" applyFill="1">
      <alignment horizontal="center" vertical="center"/>
    </xf>
    <xf numFmtId="168" fontId="20" fillId="0" borderId="0" xfId="0" applyNumberFormat="1" applyFont="1" applyAlignment="1">
      <alignment horizontal="center"/>
    </xf>
    <xf numFmtId="0" fontId="20" fillId="0" borderId="0" xfId="0" applyFont="1" applyAlignment="1">
      <alignment horizontal="center"/>
    </xf>
    <xf numFmtId="0" fontId="0" fillId="51" borderId="0" xfId="0" applyFill="1">
      <alignment horizontal="center" vertical="center"/>
    </xf>
    <xf numFmtId="0" fontId="0" fillId="51" borderId="0" xfId="44" applyFont="1" applyFill="1">
      <alignment horizontal="center" vertical="center"/>
    </xf>
    <xf numFmtId="49" fontId="0" fillId="0" borderId="0" xfId="0" applyNumberFormat="1">
      <alignment horizontal="center" vertical="center"/>
    </xf>
    <xf numFmtId="0" fontId="0" fillId="0" borderId="0" xfId="0" applyBorder="1">
      <alignment horizontal="center" vertical="center"/>
    </xf>
    <xf numFmtId="0" fontId="10" fillId="0" borderId="0" xfId="0" applyFont="1" applyBorder="1">
      <alignment horizontal="center" vertical="center"/>
    </xf>
    <xf numFmtId="0" fontId="0" fillId="51" borderId="0" xfId="44" applyFont="1" applyFill="1" applyBorder="1">
      <alignment horizontal="center" vertical="center"/>
    </xf>
    <xf numFmtId="0" fontId="5" fillId="0" borderId="0" xfId="0" applyFont="1" applyBorder="1" applyAlignment="1" applyProtection="1">
      <alignment horizontal="center"/>
      <protection locked="0"/>
    </xf>
    <xf numFmtId="0" fontId="0" fillId="0" borderId="0" xfId="0" applyBorder="1" applyAlignment="1">
      <alignment horizontal="left" vertical="center"/>
    </xf>
    <xf numFmtId="0" fontId="0" fillId="51" borderId="0" xfId="0" applyFill="1" applyBorder="1">
      <alignment horizontal="center" vertical="center"/>
    </xf>
    <xf numFmtId="0" fontId="5" fillId="43" borderId="0" xfId="0" applyFont="1" applyFill="1" applyBorder="1" applyAlignment="1">
      <alignment horizontal="center"/>
    </xf>
    <xf numFmtId="0" fontId="62" fillId="51" borderId="0" xfId="51" applyFill="1" applyBorder="1">
      <alignment horizontal="center" vertical="center"/>
    </xf>
    <xf numFmtId="0" fontId="0" fillId="0" borderId="18" xfId="0" applyBorder="1">
      <alignment horizontal="center" vertical="center"/>
    </xf>
    <xf numFmtId="49" fontId="0" fillId="0" borderId="0" xfId="0" applyNumberFormat="1" applyBorder="1">
      <alignment horizontal="center" vertical="center"/>
    </xf>
    <xf numFmtId="0" fontId="8" fillId="0" borderId="0" xfId="0" applyFont="1" applyBorder="1" applyAlignment="1">
      <alignment horizontal="left" vertical="center"/>
    </xf>
    <xf numFmtId="0" fontId="8" fillId="0" borderId="0" xfId="0" applyFont="1" applyBorder="1">
      <alignment horizontal="center" vertical="center"/>
    </xf>
    <xf numFmtId="49" fontId="8" fillId="0" borderId="0" xfId="0" applyNumberFormat="1" applyFont="1" applyBorder="1">
      <alignment horizontal="center" vertical="center"/>
    </xf>
    <xf numFmtId="49" fontId="0" fillId="51" borderId="0" xfId="0" applyNumberFormat="1" applyFill="1" applyBorder="1">
      <alignment horizontal="center" vertical="center"/>
    </xf>
    <xf numFmtId="0" fontId="0" fillId="51" borderId="0" xfId="0" applyFill="1" applyBorder="1" applyAlignment="1">
      <alignment horizontal="left" vertical="center"/>
    </xf>
    <xf numFmtId="0" fontId="0" fillId="51" borderId="0" xfId="47" applyFont="1" applyFill="1" applyBorder="1">
      <alignment horizontal="center" vertical="center"/>
    </xf>
    <xf numFmtId="0" fontId="0" fillId="51" borderId="0" xfId="32" applyFont="1" applyFill="1" applyBorder="1" applyAlignment="1">
      <alignment horizontal="center" vertical="center"/>
    </xf>
    <xf numFmtId="0" fontId="0" fillId="51" borderId="0" xfId="48" applyFont="1" applyFill="1" applyBorder="1">
      <alignment horizontal="center" vertical="center"/>
    </xf>
    <xf numFmtId="0" fontId="0" fillId="51" borderId="0" xfId="43" applyFont="1" applyFill="1" applyBorder="1">
      <alignment horizontal="center" vertical="center"/>
    </xf>
    <xf numFmtId="0" fontId="54" fillId="0" borderId="0" xfId="0" applyFont="1">
      <alignment horizontal="center" vertical="center"/>
    </xf>
    <xf numFmtId="0" fontId="0" fillId="0" borderId="0" xfId="0" applyBorder="1" applyAlignment="1">
      <alignment horizontal="left"/>
    </xf>
    <xf numFmtId="171" fontId="24" fillId="0" borderId="0" xfId="0" applyNumberFormat="1" applyFont="1" applyBorder="1" applyAlignment="1">
      <alignment horizontal="left"/>
    </xf>
    <xf numFmtId="0" fontId="5" fillId="0" borderId="0" xfId="0" applyFont="1" applyBorder="1" applyAlignment="1" applyProtection="1">
      <alignment horizontal="left"/>
      <protection locked="0"/>
    </xf>
    <xf numFmtId="0" fontId="0" fillId="69" borderId="19" xfId="0" applyFill="1" applyBorder="1" applyAlignment="1"/>
    <xf numFmtId="0" fontId="0" fillId="69" borderId="20" xfId="0" applyFill="1" applyBorder="1" applyAlignment="1"/>
    <xf numFmtId="0" fontId="57" fillId="69" borderId="20" xfId="0" applyFont="1" applyFill="1" applyBorder="1" applyAlignment="1"/>
    <xf numFmtId="0" fontId="0" fillId="69" borderId="21" xfId="0" applyFill="1" applyBorder="1" applyAlignment="1"/>
    <xf numFmtId="0" fontId="58" fillId="69" borderId="20" xfId="0" applyFont="1" applyFill="1" applyBorder="1" applyAlignment="1"/>
    <xf numFmtId="0" fontId="0" fillId="70" borderId="20" xfId="0" applyFill="1" applyBorder="1" applyAlignment="1">
      <alignment horizontal="left"/>
    </xf>
    <xf numFmtId="0" fontId="0" fillId="70" borderId="21" xfId="0" applyFill="1" applyBorder="1" applyAlignment="1">
      <alignment horizontal="left"/>
    </xf>
    <xf numFmtId="0" fontId="58" fillId="70" borderId="20" xfId="0" applyFont="1" applyFill="1" applyBorder="1" applyAlignment="1">
      <alignment horizontal="left"/>
    </xf>
    <xf numFmtId="0" fontId="0" fillId="69" borderId="0" xfId="0" applyFill="1" applyBorder="1" applyAlignment="1"/>
    <xf numFmtId="0" fontId="58" fillId="69" borderId="0" xfId="0" applyFont="1" applyFill="1" applyBorder="1" applyAlignment="1"/>
    <xf numFmtId="0" fontId="0" fillId="51" borderId="20" xfId="0" applyFill="1" applyBorder="1" applyAlignment="1">
      <alignment horizontal="left"/>
    </xf>
    <xf numFmtId="0" fontId="0" fillId="51" borderId="21" xfId="0" applyFill="1" applyBorder="1" applyAlignment="1">
      <alignment horizontal="left"/>
    </xf>
    <xf numFmtId="0" fontId="0" fillId="51" borderId="0" xfId="0" applyFill="1" applyBorder="1" applyAlignment="1">
      <alignment horizontal="left"/>
    </xf>
    <xf numFmtId="0" fontId="0" fillId="71" borderId="0" xfId="0" applyFill="1" applyAlignment="1"/>
    <xf numFmtId="0" fontId="0" fillId="71" borderId="0" xfId="47" applyFont="1" applyFill="1" applyBorder="1">
      <alignment horizontal="center" vertical="center"/>
    </xf>
    <xf numFmtId="0" fontId="7" fillId="0" borderId="0" xfId="0" applyFont="1" applyAlignment="1">
      <alignment horizontal="left" vertical="center" wrapText="1"/>
    </xf>
    <xf numFmtId="0" fontId="0" fillId="43" borderId="22" xfId="0" applyFill="1" applyBorder="1" applyAlignment="1" applyProtection="1">
      <alignment horizontal="center"/>
      <protection locked="0"/>
    </xf>
    <xf numFmtId="0" fontId="0" fillId="51" borderId="22" xfId="0" applyFill="1" applyBorder="1">
      <alignment horizontal="center" vertical="center"/>
    </xf>
    <xf numFmtId="0" fontId="0" fillId="43" borderId="23" xfId="0" applyFill="1" applyBorder="1" applyAlignment="1" applyProtection="1">
      <alignment horizontal="center"/>
      <protection locked="0"/>
    </xf>
    <xf numFmtId="0" fontId="0" fillId="43" borderId="24" xfId="0" applyFill="1" applyBorder="1" applyAlignment="1" applyProtection="1">
      <alignment horizontal="center"/>
      <protection locked="0"/>
    </xf>
    <xf numFmtId="0" fontId="0" fillId="51" borderId="0" xfId="0" applyFill="1" applyBorder="1" applyAlignment="1" applyProtection="1">
      <alignment horizontal="left" vertical="center"/>
      <protection locked="0"/>
    </xf>
    <xf numFmtId="0" fontId="0" fillId="80" borderId="20" xfId="0" applyFill="1" applyBorder="1" applyAlignment="1"/>
    <xf numFmtId="0" fontId="0" fillId="80" borderId="20" xfId="0" applyFill="1" applyBorder="1" applyAlignment="1">
      <alignment horizontal="left"/>
    </xf>
    <xf numFmtId="0" fontId="0" fillId="0" borderId="0" xfId="0" applyBorder="1" applyAlignment="1"/>
    <xf numFmtId="0" fontId="0" fillId="70" borderId="0" xfId="0" applyFill="1" applyBorder="1" applyAlignment="1">
      <alignment horizontal="left"/>
    </xf>
    <xf numFmtId="0" fontId="0" fillId="0" borderId="0" xfId="47" applyFont="1" applyFill="1" applyBorder="1">
      <alignment horizontal="center" vertical="center"/>
    </xf>
    <xf numFmtId="0" fontId="0" fillId="0" borderId="19" xfId="0" applyBorder="1" applyAlignment="1"/>
    <xf numFmtId="0" fontId="0" fillId="0" borderId="20" xfId="0" applyBorder="1" applyAlignment="1"/>
    <xf numFmtId="0" fontId="58" fillId="0" borderId="20" xfId="0" applyFont="1" applyBorder="1" applyAlignment="1"/>
    <xf numFmtId="0" fontId="58" fillId="0" borderId="20" xfId="0" applyFont="1" applyBorder="1" applyAlignment="1">
      <alignment horizontal="left"/>
    </xf>
    <xf numFmtId="0" fontId="0" fillId="0" borderId="20" xfId="0" applyBorder="1" applyAlignment="1">
      <alignment horizontal="left"/>
    </xf>
    <xf numFmtId="0" fontId="0" fillId="0" borderId="21" xfId="0" applyBorder="1" applyAlignment="1">
      <alignment horizontal="left"/>
    </xf>
    <xf numFmtId="0" fontId="57" fillId="0" borderId="20" xfId="0" applyFont="1" applyBorder="1" applyAlignment="1"/>
    <xf numFmtId="0" fontId="57" fillId="69" borderId="0" xfId="0" applyFont="1" applyFill="1" applyBorder="1" applyAlignment="1"/>
    <xf numFmtId="0" fontId="0" fillId="51" borderId="13" xfId="48" applyFont="1" applyFill="1" applyBorder="1">
      <alignment horizontal="center" vertical="center"/>
    </xf>
    <xf numFmtId="0" fontId="0" fillId="0" borderId="20" xfId="0" applyBorder="1">
      <alignment horizontal="center" vertical="center"/>
    </xf>
    <xf numFmtId="0" fontId="3" fillId="0" borderId="0" xfId="54"/>
    <xf numFmtId="0" fontId="67" fillId="0" borderId="0" xfId="0" applyFont="1" applyAlignment="1">
      <alignment horizontal="left" vertical="center"/>
    </xf>
    <xf numFmtId="0" fontId="0" fillId="71" borderId="0" xfId="0" applyFill="1" applyBorder="1" applyAlignment="1"/>
    <xf numFmtId="0" fontId="0" fillId="51" borderId="0" xfId="43" applyFont="1" applyFill="1">
      <alignment horizontal="center" vertical="center"/>
    </xf>
    <xf numFmtId="0" fontId="0" fillId="51" borderId="0" xfId="32" applyFont="1" applyFill="1" applyAlignment="1">
      <alignment horizontal="center" vertical="center"/>
    </xf>
    <xf numFmtId="0" fontId="0" fillId="51" borderId="0" xfId="48" applyFont="1" applyFill="1">
      <alignment horizontal="center" vertical="center"/>
    </xf>
    <xf numFmtId="0" fontId="0" fillId="51" borderId="0" xfId="47" applyFont="1" applyFill="1">
      <alignment horizontal="center" vertical="center"/>
    </xf>
    <xf numFmtId="0" fontId="62" fillId="51" borderId="0" xfId="51" applyFill="1">
      <alignment horizontal="center" vertical="center"/>
    </xf>
    <xf numFmtId="0" fontId="0" fillId="51" borderId="0" xfId="0" applyFill="1" applyAlignment="1">
      <alignment horizontal="left" vertical="center"/>
    </xf>
    <xf numFmtId="0" fontId="8" fillId="0" borderId="0" xfId="53" applyBorder="1">
      <alignment horizontal="center" vertical="center"/>
    </xf>
    <xf numFmtId="0" fontId="8" fillId="74" borderId="0" xfId="47">
      <alignment horizontal="center" vertical="center"/>
    </xf>
    <xf numFmtId="0" fontId="8" fillId="74" borderId="0" xfId="47" applyBorder="1">
      <alignment horizontal="center" vertical="center"/>
    </xf>
    <xf numFmtId="0" fontId="0" fillId="0" borderId="0" xfId="43" applyFont="1" applyFill="1" applyBorder="1">
      <alignment horizontal="center" vertical="center"/>
    </xf>
    <xf numFmtId="0" fontId="0" fillId="0" borderId="0" xfId="32" applyFont="1" applyFill="1" applyBorder="1" applyAlignment="1">
      <alignment horizontal="center" vertical="center"/>
    </xf>
    <xf numFmtId="0" fontId="0" fillId="0" borderId="0" xfId="46" applyFont="1" applyFill="1" applyBorder="1">
      <alignment horizontal="center" vertical="center"/>
    </xf>
    <xf numFmtId="1" fontId="0" fillId="0" borderId="0" xfId="0" applyNumberFormat="1" applyBorder="1">
      <alignment horizontal="center" vertical="center"/>
    </xf>
    <xf numFmtId="0" fontId="0" fillId="0" borderId="0" xfId="48" applyFont="1" applyFill="1" applyBorder="1">
      <alignment horizontal="center" vertical="center"/>
    </xf>
    <xf numFmtId="0" fontId="0" fillId="0" borderId="24" xfId="0" applyBorder="1" applyAlignment="1" applyProtection="1">
      <alignment horizont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62" fillId="0" borderId="0" xfId="51" applyFill="1" applyBorder="1">
      <alignment horizontal="center" vertical="center"/>
    </xf>
    <xf numFmtId="1" fontId="0" fillId="0" borderId="0" xfId="0" applyNumberFormat="1">
      <alignment horizontal="center" vertical="center"/>
    </xf>
    <xf numFmtId="0" fontId="8" fillId="0" borderId="13" xfId="0" applyFont="1" applyBorder="1">
      <alignment horizontal="center" vertical="center"/>
    </xf>
    <xf numFmtId="0" fontId="8" fillId="55" borderId="0" xfId="45">
      <alignment horizontal="center" vertical="center"/>
    </xf>
    <xf numFmtId="0" fontId="8" fillId="0" borderId="0" xfId="48" applyFill="1" applyBorder="1">
      <alignment horizontal="center" vertical="center"/>
    </xf>
    <xf numFmtId="0" fontId="8" fillId="0" borderId="0" xfId="51" applyFont="1" applyFill="1" applyBorder="1">
      <alignment horizontal="center" vertical="center"/>
    </xf>
    <xf numFmtId="0" fontId="0" fillId="51" borderId="0" xfId="53" applyFont="1" applyFill="1" applyBorder="1">
      <alignment horizontal="center" vertical="center"/>
    </xf>
    <xf numFmtId="0" fontId="8" fillId="52" borderId="0" xfId="48">
      <alignment horizontal="center" vertical="center"/>
    </xf>
    <xf numFmtId="0" fontId="18" fillId="0" borderId="0" xfId="55">
      <alignment vertical="center"/>
    </xf>
    <xf numFmtId="0" fontId="0" fillId="0" borderId="0" xfId="51" applyFont="1" applyFill="1" applyBorder="1">
      <alignment horizontal="center" vertical="center"/>
    </xf>
    <xf numFmtId="0" fontId="8" fillId="53" borderId="0" xfId="43" applyBorder="1">
      <alignment horizontal="center" vertical="center"/>
    </xf>
    <xf numFmtId="0" fontId="0" fillId="51" borderId="13" xfId="0" applyFill="1" applyBorder="1">
      <alignment horizontal="center" vertical="center"/>
    </xf>
    <xf numFmtId="0" fontId="0" fillId="51" borderId="0" xfId="46" applyFont="1" applyFill="1" applyBorder="1">
      <alignment horizontal="center" vertical="center"/>
    </xf>
    <xf numFmtId="49" fontId="0" fillId="51" borderId="18" xfId="0" applyNumberFormat="1" applyFill="1" applyBorder="1">
      <alignment horizontal="center" vertical="center"/>
    </xf>
    <xf numFmtId="49" fontId="8" fillId="51" borderId="0" xfId="0" applyNumberFormat="1" applyFont="1" applyFill="1">
      <alignment horizontal="center" vertical="center"/>
    </xf>
    <xf numFmtId="0" fontId="10" fillId="51" borderId="1" xfId="20" applyFont="1" applyFill="1" applyAlignment="1">
      <alignment horizontal="center" vertical="center"/>
    </xf>
    <xf numFmtId="0" fontId="0" fillId="0" borderId="25" xfId="0" applyBorder="1" applyAlignment="1">
      <alignment horizontal="left" vertical="center"/>
    </xf>
    <xf numFmtId="0" fontId="5" fillId="0" borderId="25" xfId="0" applyFont="1" applyBorder="1" applyAlignment="1">
      <alignment horizontal="left"/>
    </xf>
    <xf numFmtId="0" fontId="7" fillId="0" borderId="0" xfId="0" applyFont="1" applyAlignment="1"/>
    <xf numFmtId="0" fontId="0" fillId="0" borderId="21" xfId="0" applyBorder="1">
      <alignment horizontal="center" vertical="center"/>
    </xf>
    <xf numFmtId="0" fontId="7" fillId="51" borderId="0" xfId="0" applyFont="1" applyFill="1">
      <alignment horizontal="center" vertical="center"/>
    </xf>
    <xf numFmtId="0" fontId="0" fillId="51" borderId="0" xfId="0" applyFill="1" applyAlignment="1">
      <alignment horizontal="left"/>
    </xf>
    <xf numFmtId="0" fontId="8" fillId="51" borderId="0" xfId="0" applyFont="1" applyFill="1">
      <alignment horizontal="center" vertical="center"/>
    </xf>
    <xf numFmtId="0" fontId="8" fillId="51" borderId="0" xfId="0" applyFont="1" applyFill="1" applyAlignment="1">
      <alignment horizontal="left"/>
    </xf>
    <xf numFmtId="0" fontId="0" fillId="51" borderId="20" xfId="0" applyFill="1" applyBorder="1" applyAlignment="1"/>
    <xf numFmtId="0" fontId="0" fillId="51" borderId="0" xfId="0" applyFill="1" applyBorder="1" applyAlignment="1"/>
    <xf numFmtId="0" fontId="8" fillId="51" borderId="0" xfId="0" applyFont="1" applyFill="1" applyAlignment="1"/>
    <xf numFmtId="0" fontId="8" fillId="51" borderId="0" xfId="0" applyFont="1" applyFill="1" applyBorder="1" applyAlignment="1">
      <alignment horizontal="left" vertical="center"/>
    </xf>
    <xf numFmtId="0" fontId="8" fillId="51" borderId="0" xfId="0" applyFont="1" applyFill="1" applyAlignment="1">
      <alignment horizontal="center"/>
    </xf>
    <xf numFmtId="0" fontId="0" fillId="51" borderId="0" xfId="0" applyFill="1" applyAlignment="1">
      <alignment horizontal="center"/>
    </xf>
    <xf numFmtId="0" fontId="8" fillId="51" borderId="0" xfId="45" applyFill="1">
      <alignment horizontal="center" vertical="center"/>
    </xf>
    <xf numFmtId="0" fontId="30" fillId="51" borderId="0" xfId="19" applyFill="1" applyAlignment="1">
      <alignment horizontal="center" vertical="center"/>
    </xf>
    <xf numFmtId="0" fontId="71" fillId="0" borderId="0" xfId="0" applyFont="1" applyAlignment="1">
      <alignment horizontal="left" vertical="center"/>
    </xf>
    <xf numFmtId="0" fontId="8" fillId="53" borderId="0" xfId="43">
      <alignment horizontal="center" vertical="center"/>
    </xf>
    <xf numFmtId="0" fontId="8" fillId="55" borderId="0" xfId="53" applyFill="1">
      <alignment horizontal="center" vertical="center"/>
    </xf>
    <xf numFmtId="0" fontId="74" fillId="0" borderId="0" xfId="0" applyFont="1">
      <alignment horizontal="center" vertical="center"/>
    </xf>
    <xf numFmtId="0" fontId="0" fillId="55" borderId="0" xfId="44" applyFont="1" applyFill="1" applyBorder="1">
      <alignment horizontal="center" vertical="center"/>
    </xf>
    <xf numFmtId="0" fontId="8" fillId="75" borderId="0" xfId="56" applyBorder="1">
      <alignment horizontal="center" vertical="center"/>
    </xf>
    <xf numFmtId="0" fontId="0" fillId="0" borderId="28" xfId="0" applyBorder="1" applyAlignment="1">
      <alignment horizontal="left" vertical="center"/>
    </xf>
    <xf numFmtId="0" fontId="8" fillId="0" borderId="29" xfId="0" applyFont="1" applyBorder="1" applyAlignment="1">
      <alignment horizontal="left"/>
    </xf>
    <xf numFmtId="0" fontId="7" fillId="0" borderId="29" xfId="0" applyFont="1" applyBorder="1" applyAlignment="1">
      <alignment horizontal="left"/>
    </xf>
    <xf numFmtId="0" fontId="7" fillId="24" borderId="29" xfId="0" applyFont="1" applyFill="1" applyBorder="1" applyAlignment="1">
      <alignment horizontal="left"/>
    </xf>
    <xf numFmtId="0" fontId="0" fillId="0" borderId="29" xfId="0" applyBorder="1" applyAlignment="1">
      <alignment horizontal="center"/>
    </xf>
    <xf numFmtId="0" fontId="65" fillId="0" borderId="28" xfId="0" applyFont="1" applyBorder="1" applyAlignment="1" applyProtection="1">
      <alignment horizontal="left"/>
      <protection locked="0"/>
    </xf>
    <xf numFmtId="0" fontId="8" fillId="0" borderId="30" xfId="53" applyBorder="1">
      <alignment horizontal="center" vertical="center"/>
    </xf>
    <xf numFmtId="0" fontId="8" fillId="0" borderId="31" xfId="53" applyBorder="1">
      <alignment horizontal="center" vertical="center"/>
    </xf>
    <xf numFmtId="0" fontId="0" fillId="51" borderId="32" xfId="0" applyFill="1" applyBorder="1" applyProtection="1">
      <alignment horizontal="center" vertical="center"/>
      <protection locked="0"/>
    </xf>
    <xf numFmtId="0" fontId="8" fillId="74" borderId="32" xfId="47" applyBorder="1">
      <alignment horizontal="center" vertical="center"/>
    </xf>
    <xf numFmtId="1" fontId="0" fillId="51" borderId="32" xfId="0" applyNumberFormat="1" applyFill="1" applyBorder="1">
      <alignment horizontal="center" vertical="center"/>
    </xf>
    <xf numFmtId="0" fontId="0" fillId="0" borderId="32" xfId="0" applyBorder="1">
      <alignment horizontal="center" vertical="center"/>
    </xf>
    <xf numFmtId="0" fontId="0" fillId="0" borderId="32" xfId="43" applyFont="1" applyFill="1" applyBorder="1">
      <alignment horizontal="center" vertical="center"/>
    </xf>
    <xf numFmtId="0" fontId="0" fillId="51" borderId="32" xfId="0" applyFill="1" applyBorder="1">
      <alignment horizontal="center" vertical="center"/>
    </xf>
    <xf numFmtId="0" fontId="7" fillId="0" borderId="32" xfId="0" applyFont="1" applyBorder="1" applyAlignment="1">
      <alignment horizontal="center"/>
    </xf>
    <xf numFmtId="0" fontId="7" fillId="0" borderId="31" xfId="0" applyFont="1" applyBorder="1" applyAlignment="1">
      <alignment horizontal="left"/>
    </xf>
    <xf numFmtId="0" fontId="0" fillId="43" borderId="31" xfId="0" applyFill="1" applyBorder="1" applyAlignment="1" applyProtection="1">
      <alignment horizontal="center"/>
      <protection locked="0"/>
    </xf>
    <xf numFmtId="0" fontId="0" fillId="0" borderId="31" xfId="0" applyBorder="1" applyAlignment="1">
      <alignment horizontal="left" vertical="center"/>
    </xf>
    <xf numFmtId="49" fontId="0" fillId="51" borderId="30" xfId="0" applyNumberFormat="1" applyFill="1" applyBorder="1">
      <alignment horizontal="center" vertical="center"/>
    </xf>
    <xf numFmtId="0" fontId="8" fillId="52" borderId="32" xfId="48" applyBorder="1">
      <alignment horizontal="center" vertical="center"/>
    </xf>
    <xf numFmtId="0" fontId="0" fillId="0" borderId="31" xfId="51" applyFont="1" applyFill="1" applyBorder="1">
      <alignment horizontal="center" vertical="center"/>
    </xf>
    <xf numFmtId="0" fontId="8" fillId="0" borderId="31" xfId="0" applyFont="1" applyBorder="1" applyAlignment="1">
      <alignment horizontal="left"/>
    </xf>
    <xf numFmtId="0" fontId="73" fillId="43" borderId="31" xfId="0" applyFont="1" applyFill="1" applyBorder="1" applyAlignment="1" applyProtection="1">
      <alignment horizontal="center"/>
      <protection locked="0"/>
    </xf>
    <xf numFmtId="0" fontId="0" fillId="51" borderId="32" xfId="44" applyFont="1" applyFill="1" applyBorder="1">
      <alignment horizontal="center" vertical="center"/>
    </xf>
    <xf numFmtId="0" fontId="8" fillId="53" borderId="32" xfId="43" applyBorder="1">
      <alignment horizontal="center" vertical="center"/>
    </xf>
    <xf numFmtId="49" fontId="0" fillId="0" borderId="31" xfId="0" applyNumberFormat="1" applyBorder="1">
      <alignment horizontal="center" vertical="center"/>
    </xf>
    <xf numFmtId="0" fontId="0" fillId="51" borderId="30" xfId="0" applyFill="1" applyBorder="1">
      <alignment horizontal="center" vertical="center"/>
    </xf>
    <xf numFmtId="49" fontId="0" fillId="51" borderId="32" xfId="0" applyNumberFormat="1" applyFill="1" applyBorder="1">
      <alignment horizontal="center" vertical="center"/>
    </xf>
    <xf numFmtId="0" fontId="0" fillId="26" borderId="32" xfId="0" applyFill="1" applyBorder="1" applyAlignment="1">
      <alignment horizontal="center"/>
    </xf>
    <xf numFmtId="0" fontId="0" fillId="0" borderId="32" xfId="0" applyBorder="1" applyAlignment="1">
      <alignment horizontal="center"/>
    </xf>
    <xf numFmtId="0" fontId="8" fillId="0" borderId="32" xfId="0" applyFont="1" applyBorder="1" applyAlignment="1">
      <alignment horizontal="center"/>
    </xf>
    <xf numFmtId="0" fontId="0" fillId="0" borderId="31" xfId="0" applyBorder="1" applyAlignment="1">
      <alignment horizontal="center"/>
    </xf>
    <xf numFmtId="0" fontId="8" fillId="0" borderId="31" xfId="0" applyFont="1" applyBorder="1" applyAlignment="1">
      <alignment horizontal="center"/>
    </xf>
    <xf numFmtId="0" fontId="0" fillId="24" borderId="32" xfId="0" applyFill="1" applyBorder="1" applyAlignment="1">
      <alignment horizontal="center"/>
    </xf>
    <xf numFmtId="0" fontId="0" fillId="37" borderId="32" xfId="0" applyFill="1" applyBorder="1" applyAlignment="1">
      <alignment horizontal="center"/>
    </xf>
    <xf numFmtId="0" fontId="11" fillId="31" borderId="32" xfId="0" applyFont="1" applyFill="1" applyBorder="1" applyAlignment="1">
      <alignment horizontal="center"/>
    </xf>
    <xf numFmtId="0" fontId="9" fillId="31" borderId="32" xfId="0" applyFont="1" applyFill="1" applyBorder="1" applyAlignment="1">
      <alignment horizontal="center"/>
    </xf>
    <xf numFmtId="0" fontId="8" fillId="39" borderId="32" xfId="0" applyFont="1" applyFill="1" applyBorder="1" applyAlignment="1">
      <alignment horizontal="center"/>
    </xf>
    <xf numFmtId="49" fontId="5" fillId="33" borderId="32" xfId="0" applyNumberFormat="1" applyFont="1" applyFill="1" applyBorder="1" applyAlignment="1">
      <alignment horizontal="center"/>
    </xf>
    <xf numFmtId="0" fontId="11" fillId="34" borderId="32" xfId="0" applyFont="1" applyFill="1" applyBorder="1" applyAlignment="1">
      <alignment horizontal="center"/>
    </xf>
    <xf numFmtId="0" fontId="0" fillId="0" borderId="31" xfId="0" applyBorder="1">
      <alignment horizontal="center" vertical="center"/>
    </xf>
    <xf numFmtId="49" fontId="7" fillId="25" borderId="32" xfId="0" applyNumberFormat="1" applyFont="1" applyFill="1" applyBorder="1" applyAlignment="1">
      <alignment horizontal="center"/>
    </xf>
    <xf numFmtId="0" fontId="11" fillId="35" borderId="32" xfId="0" applyFont="1" applyFill="1" applyBorder="1" applyAlignment="1">
      <alignment horizontal="center"/>
    </xf>
    <xf numFmtId="49" fontId="7" fillId="36" borderId="32" xfId="0" applyNumberFormat="1" applyFont="1" applyFill="1" applyBorder="1" applyAlignment="1">
      <alignment horizontal="center"/>
    </xf>
    <xf numFmtId="0" fontId="5" fillId="37" borderId="32" xfId="0" applyFont="1" applyFill="1" applyBorder="1" applyAlignment="1">
      <alignment horizontal="center"/>
    </xf>
    <xf numFmtId="49" fontId="5" fillId="38" borderId="32" xfId="0" applyNumberFormat="1" applyFont="1" applyFill="1" applyBorder="1" applyAlignment="1">
      <alignment horizontal="center"/>
    </xf>
    <xf numFmtId="49" fontId="5" fillId="24" borderId="32" xfId="0" applyNumberFormat="1" applyFont="1" applyFill="1" applyBorder="1" applyAlignment="1">
      <alignment horizontal="center"/>
    </xf>
    <xf numFmtId="49" fontId="11" fillId="31" borderId="32" xfId="0" applyNumberFormat="1" applyFont="1" applyFill="1" applyBorder="1" applyAlignment="1">
      <alignment horizontal="center"/>
    </xf>
    <xf numFmtId="0" fontId="5" fillId="0" borderId="32" xfId="0" applyFont="1" applyBorder="1" applyAlignment="1">
      <alignment horizontal="center"/>
    </xf>
    <xf numFmtId="49" fontId="7" fillId="39" borderId="32" xfId="0" applyNumberFormat="1" applyFont="1" applyFill="1" applyBorder="1" applyAlignment="1">
      <alignment horizontal="center"/>
    </xf>
    <xf numFmtId="0" fontId="0" fillId="0" borderId="32" xfId="0" applyBorder="1" applyAlignment="1">
      <alignment horizontal="left"/>
    </xf>
    <xf numFmtId="49" fontId="5" fillId="40" borderId="32" xfId="0" applyNumberFormat="1" applyFont="1" applyFill="1" applyBorder="1" applyAlignment="1">
      <alignment horizontal="center"/>
    </xf>
    <xf numFmtId="0" fontId="0" fillId="0" borderId="33" xfId="0" applyBorder="1" applyAlignment="1">
      <alignment horizontal="left" vertical="center"/>
    </xf>
    <xf numFmtId="0" fontId="0" fillId="51" borderId="33" xfId="0" applyFill="1" applyBorder="1">
      <alignment horizontal="center" vertical="center"/>
    </xf>
    <xf numFmtId="0" fontId="0" fillId="0" borderId="33" xfId="0" applyBorder="1">
      <alignment horizontal="center" vertical="center"/>
    </xf>
    <xf numFmtId="0" fontId="0" fillId="0" borderId="33" xfId="43" applyFont="1" applyFill="1" applyBorder="1">
      <alignment horizontal="center" vertical="center"/>
    </xf>
    <xf numFmtId="0" fontId="8" fillId="0" borderId="33" xfId="53" applyBorder="1">
      <alignment horizontal="center" vertical="center"/>
    </xf>
    <xf numFmtId="0" fontId="8" fillId="0" borderId="33" xfId="48" applyFill="1" applyBorder="1">
      <alignment horizontal="center" vertical="center"/>
    </xf>
    <xf numFmtId="49" fontId="0" fillId="51" borderId="33" xfId="0" applyNumberFormat="1" applyFill="1" applyBorder="1">
      <alignment horizontal="center" vertical="center"/>
    </xf>
    <xf numFmtId="0" fontId="5" fillId="0" borderId="0" xfId="0" applyFont="1" applyBorder="1" applyAlignment="1">
      <alignment horizontal="center"/>
    </xf>
    <xf numFmtId="0" fontId="0" fillId="43" borderId="0" xfId="0" applyFill="1" applyBorder="1" applyAlignment="1" applyProtection="1">
      <alignment horizontal="center"/>
      <protection locked="0"/>
    </xf>
    <xf numFmtId="0" fontId="1" fillId="0" borderId="26" xfId="57" applyFont="1" applyBorder="1"/>
    <xf numFmtId="0" fontId="1" fillId="0" borderId="0" xfId="57" applyFont="1"/>
    <xf numFmtId="0" fontId="1" fillId="0" borderId="27" xfId="57" applyFont="1" applyBorder="1"/>
    <xf numFmtId="0" fontId="8" fillId="0" borderId="32" xfId="53" applyBorder="1">
      <alignment horizontal="center" vertical="center"/>
    </xf>
    <xf numFmtId="0" fontId="60" fillId="0" borderId="0" xfId="0" applyFont="1" applyBorder="1" applyAlignment="1">
      <alignment horizontal="left" vertical="center"/>
    </xf>
    <xf numFmtId="0" fontId="0" fillId="55" borderId="0" xfId="43" applyFont="1" applyFill="1" applyBorder="1">
      <alignment horizontal="center" vertical="center"/>
    </xf>
    <xf numFmtId="0" fontId="8" fillId="55" borderId="0" xfId="45" applyBorder="1">
      <alignment horizontal="center" vertical="center"/>
    </xf>
    <xf numFmtId="1" fontId="0" fillId="0" borderId="0" xfId="32" applyNumberFormat="1" applyFont="1" applyFill="1" applyBorder="1" applyAlignment="1">
      <alignment horizontal="center" vertical="center"/>
    </xf>
    <xf numFmtId="1" fontId="0" fillId="51" borderId="13" xfId="0" applyNumberFormat="1" applyFill="1" applyBorder="1">
      <alignment horizontal="center" vertical="center"/>
    </xf>
    <xf numFmtId="0" fontId="0" fillId="51" borderId="32" xfId="43" applyFont="1" applyFill="1" applyBorder="1">
      <alignment horizontal="center" vertical="center"/>
    </xf>
    <xf numFmtId="0" fontId="0" fillId="51" borderId="34" xfId="43" applyFont="1" applyFill="1" applyBorder="1">
      <alignment horizontal="center" vertical="center"/>
    </xf>
    <xf numFmtId="0" fontId="29" fillId="21" borderId="0" xfId="28" applyAlignment="1">
      <alignment horizontal="center" vertical="center"/>
    </xf>
    <xf numFmtId="0" fontId="29" fillId="21" borderId="0" xfId="28" applyAlignment="1">
      <alignment horizontal="left" vertical="center"/>
    </xf>
    <xf numFmtId="49" fontId="0" fillId="51" borderId="34" xfId="0" applyNumberFormat="1" applyFill="1" applyBorder="1">
      <alignment horizontal="center" vertical="center"/>
    </xf>
    <xf numFmtId="0" fontId="0" fillId="0" borderId="22" xfId="0" applyBorder="1">
      <alignment horizontal="center" vertical="center"/>
    </xf>
    <xf numFmtId="0" fontId="8" fillId="74" borderId="13" xfId="47" applyBorder="1">
      <alignment horizontal="center" vertical="center"/>
    </xf>
    <xf numFmtId="0" fontId="0" fillId="51" borderId="32" xfId="53" applyFont="1" applyFill="1" applyBorder="1">
      <alignment horizontal="center" vertical="center"/>
    </xf>
    <xf numFmtId="0" fontId="8" fillId="74" borderId="31" xfId="47" applyBorder="1">
      <alignment horizontal="center" vertical="center"/>
    </xf>
    <xf numFmtId="0" fontId="8" fillId="0" borderId="13" xfId="53" applyBorder="1">
      <alignment horizontal="center" vertical="center"/>
    </xf>
    <xf numFmtId="0" fontId="0" fillId="55" borderId="0" xfId="32" applyFont="1" applyFill="1" applyBorder="1" applyAlignment="1">
      <alignment horizontal="center" vertical="center"/>
    </xf>
    <xf numFmtId="0" fontId="0" fillId="0" borderId="35" xfId="0" applyBorder="1" applyAlignment="1">
      <alignment horizontal="left" vertical="center"/>
    </xf>
    <xf numFmtId="0" fontId="0" fillId="51" borderId="35" xfId="47" applyFont="1" applyFill="1" applyBorder="1">
      <alignment horizontal="center" vertical="center"/>
    </xf>
    <xf numFmtId="0" fontId="77" fillId="0" borderId="0" xfId="0" applyFont="1">
      <alignment horizontal="center" vertical="center"/>
    </xf>
    <xf numFmtId="0" fontId="8" fillId="87" borderId="0" xfId="0" applyFont="1" applyFill="1">
      <alignment horizontal="center" vertical="center"/>
    </xf>
    <xf numFmtId="0" fontId="0" fillId="0" borderId="0" xfId="53" applyFont="1" applyBorder="1">
      <alignment horizontal="center" vertical="center"/>
    </xf>
    <xf numFmtId="0" fontId="0" fillId="0" borderId="36" xfId="0" applyBorder="1">
      <alignment horizontal="center" vertical="center"/>
    </xf>
    <xf numFmtId="0" fontId="77" fillId="0" borderId="35" xfId="0" applyFont="1" applyBorder="1">
      <alignment horizontal="center" vertical="center"/>
    </xf>
    <xf numFmtId="0" fontId="0" fillId="51" borderId="37" xfId="47" applyFont="1" applyFill="1" applyBorder="1">
      <alignment horizontal="center" vertical="center"/>
    </xf>
    <xf numFmtId="0" fontId="77" fillId="0" borderId="38" xfId="0" applyFont="1" applyBorder="1">
      <alignment horizontal="center" vertical="center"/>
    </xf>
    <xf numFmtId="0" fontId="0" fillId="51" borderId="39" xfId="47" applyFont="1" applyFill="1" applyBorder="1">
      <alignment horizontal="center" vertical="center"/>
    </xf>
    <xf numFmtId="0" fontId="0" fillId="0" borderId="35" xfId="0" applyBorder="1" applyAlignment="1"/>
    <xf numFmtId="49" fontId="0" fillId="51" borderId="35" xfId="0" applyNumberFormat="1" applyFill="1" applyBorder="1">
      <alignment horizontal="center" vertical="center"/>
    </xf>
    <xf numFmtId="0" fontId="0" fillId="51" borderId="35" xfId="0" applyFill="1" applyBorder="1">
      <alignment horizontal="center" vertical="center"/>
    </xf>
    <xf numFmtId="0" fontId="0" fillId="0" borderId="35" xfId="53" applyFont="1" applyBorder="1">
      <alignment horizontal="center" vertical="center"/>
    </xf>
    <xf numFmtId="49" fontId="0" fillId="0" borderId="35" xfId="0" applyNumberFormat="1" applyBorder="1">
      <alignment horizontal="center" vertical="center"/>
    </xf>
    <xf numFmtId="0" fontId="7" fillId="0" borderId="0" xfId="0" applyFont="1" applyBorder="1" applyAlignment="1"/>
    <xf numFmtId="0" fontId="0" fillId="55" borderId="0" xfId="0" applyFill="1" applyBorder="1">
      <alignment horizontal="center" vertical="center"/>
    </xf>
    <xf numFmtId="0" fontId="79" fillId="0" borderId="0" xfId="0" applyFont="1" applyAlignment="1">
      <alignment horizontal="left" vertical="center"/>
    </xf>
    <xf numFmtId="0" fontId="8" fillId="51" borderId="32" xfId="43" applyFill="1" applyBorder="1">
      <alignment horizontal="center" vertical="center"/>
    </xf>
    <xf numFmtId="0" fontId="0" fillId="87" borderId="32" xfId="0" applyFill="1" applyBorder="1">
      <alignment horizontal="center" vertical="center"/>
    </xf>
    <xf numFmtId="0" fontId="8" fillId="75" borderId="32" xfId="56" applyBorder="1">
      <alignment horizontal="center" vertical="center"/>
    </xf>
    <xf numFmtId="0" fontId="8" fillId="55" borderId="35" xfId="53" applyFill="1" applyBorder="1">
      <alignment horizontal="center" vertical="center"/>
    </xf>
    <xf numFmtId="0" fontId="8" fillId="51" borderId="35" xfId="53" applyFill="1" applyBorder="1">
      <alignment horizontal="center" vertical="center"/>
    </xf>
    <xf numFmtId="0" fontId="8" fillId="55" borderId="0" xfId="53" applyFill="1" applyBorder="1">
      <alignment horizontal="center" vertical="center"/>
    </xf>
    <xf numFmtId="0" fontId="0" fillId="55" borderId="0" xfId="0" applyFill="1">
      <alignment horizontal="center" vertical="center"/>
    </xf>
    <xf numFmtId="0" fontId="8" fillId="0" borderId="0" xfId="0" applyFont="1" applyBorder="1" applyAlignment="1">
      <alignment horizontal="left"/>
    </xf>
    <xf numFmtId="0" fontId="7" fillId="0" borderId="0" xfId="0" applyFont="1" applyBorder="1" applyAlignment="1">
      <alignment horizontal="left"/>
    </xf>
    <xf numFmtId="49" fontId="0" fillId="55" borderId="0" xfId="0" applyNumberFormat="1" applyFill="1" applyBorder="1">
      <alignment horizontal="center" vertical="center"/>
    </xf>
    <xf numFmtId="0" fontId="0" fillId="51" borderId="38" xfId="47" applyFont="1" applyFill="1" applyBorder="1">
      <alignment horizontal="center" vertical="center"/>
    </xf>
    <xf numFmtId="0" fontId="0" fillId="51" borderId="40" xfId="47" applyFont="1" applyFill="1" applyBorder="1">
      <alignment horizontal="center" vertical="center"/>
    </xf>
    <xf numFmtId="0" fontId="0" fillId="0" borderId="37" xfId="0" applyBorder="1" applyAlignment="1">
      <alignment horizontal="left" vertical="center"/>
    </xf>
    <xf numFmtId="0" fontId="0" fillId="51" borderId="35" xfId="43" applyFont="1" applyFill="1" applyBorder="1">
      <alignment horizontal="center" vertical="center"/>
    </xf>
    <xf numFmtId="0" fontId="0" fillId="51" borderId="35" xfId="44" applyFont="1" applyFill="1" applyBorder="1">
      <alignment horizontal="center" vertical="center"/>
    </xf>
    <xf numFmtId="1" fontId="0" fillId="51" borderId="35" xfId="0" applyNumberFormat="1" applyFill="1" applyBorder="1">
      <alignment horizontal="center" vertical="center"/>
    </xf>
    <xf numFmtId="1" fontId="0" fillId="51" borderId="35" xfId="44" applyNumberFormat="1" applyFont="1" applyFill="1" applyBorder="1">
      <alignment horizontal="center" vertical="center"/>
    </xf>
    <xf numFmtId="0" fontId="0" fillId="0" borderId="35" xfId="0" applyBorder="1">
      <alignment horizontal="center" vertical="center"/>
    </xf>
    <xf numFmtId="0" fontId="0" fillId="51" borderId="35" xfId="48" applyFont="1" applyFill="1" applyBorder="1">
      <alignment horizontal="center" vertical="center"/>
    </xf>
    <xf numFmtId="0" fontId="0" fillId="51" borderId="35" xfId="32" applyFont="1" applyFill="1" applyBorder="1" applyAlignment="1">
      <alignment horizontal="center" vertical="center"/>
    </xf>
    <xf numFmtId="0" fontId="0" fillId="51" borderId="35" xfId="46" applyFont="1" applyFill="1" applyBorder="1">
      <alignment horizontal="center" vertical="center"/>
    </xf>
    <xf numFmtId="0" fontId="60" fillId="0" borderId="35" xfId="0" applyFont="1" applyBorder="1" applyAlignment="1">
      <alignment horizontal="left" vertical="center"/>
    </xf>
    <xf numFmtId="0" fontId="0" fillId="51" borderId="35" xfId="0" applyFill="1" applyBorder="1" applyAlignment="1">
      <alignment horizontal="left" vertical="center"/>
    </xf>
    <xf numFmtId="0" fontId="0" fillId="51" borderId="35" xfId="0" applyFill="1" applyBorder="1" applyAlignment="1">
      <alignment horizontal="left" vertical="center" wrapText="1"/>
    </xf>
    <xf numFmtId="0" fontId="0" fillId="71" borderId="35" xfId="0" applyFill="1" applyBorder="1" applyAlignment="1"/>
    <xf numFmtId="0" fontId="0" fillId="0" borderId="35" xfId="51" applyFont="1" applyFill="1" applyBorder="1">
      <alignment horizontal="center" vertical="center"/>
    </xf>
    <xf numFmtId="0" fontId="79" fillId="0" borderId="35" xfId="0" applyFont="1" applyBorder="1" applyAlignment="1">
      <alignment horizontal="left" vertical="center"/>
    </xf>
    <xf numFmtId="0" fontId="8" fillId="51" borderId="35" xfId="43" applyFill="1" applyBorder="1">
      <alignment horizontal="center" vertical="center"/>
    </xf>
    <xf numFmtId="1" fontId="0" fillId="51" borderId="35" xfId="32" applyNumberFormat="1" applyFont="1" applyFill="1" applyBorder="1" applyAlignment="1">
      <alignment horizontal="center" vertical="center"/>
    </xf>
    <xf numFmtId="0" fontId="0" fillId="0" borderId="42" xfId="0" applyBorder="1">
      <alignment horizontal="center" vertical="center"/>
    </xf>
    <xf numFmtId="0" fontId="0" fillId="0" borderId="46" xfId="0" applyBorder="1">
      <alignment horizontal="center" vertical="center"/>
    </xf>
    <xf numFmtId="0" fontId="0" fillId="0" borderId="47" xfId="0" applyBorder="1">
      <alignment horizontal="center" vertical="center"/>
    </xf>
    <xf numFmtId="0" fontId="0" fillId="0" borderId="48" xfId="0" applyBorder="1">
      <alignment horizontal="center" vertical="center"/>
    </xf>
    <xf numFmtId="0" fontId="0" fillId="0" borderId="49" xfId="0" applyBorder="1">
      <alignment horizontal="center" vertical="center"/>
    </xf>
    <xf numFmtId="0" fontId="0" fillId="0" borderId="50" xfId="0" applyBorder="1">
      <alignment horizontal="center" vertical="center"/>
    </xf>
    <xf numFmtId="0" fontId="14" fillId="94" borderId="43" xfId="0" applyFont="1" applyFill="1" applyBorder="1">
      <alignment horizontal="center" vertical="center"/>
    </xf>
    <xf numFmtId="0" fontId="14" fillId="94" borderId="41" xfId="0" applyFont="1" applyFill="1" applyBorder="1">
      <alignment horizontal="center" vertical="center"/>
    </xf>
    <xf numFmtId="0" fontId="14" fillId="94" borderId="41" xfId="0" applyFont="1" applyFill="1" applyBorder="1" applyAlignment="1">
      <alignment horizontal="center"/>
    </xf>
    <xf numFmtId="0" fontId="0" fillId="0" borderId="46" xfId="0" applyBorder="1" applyAlignment="1">
      <alignment horizontal="left" vertical="center"/>
    </xf>
    <xf numFmtId="0" fontId="0" fillId="51" borderId="46" xfId="0" applyFill="1" applyBorder="1" applyAlignment="1">
      <alignment horizontal="left" vertical="center"/>
    </xf>
    <xf numFmtId="0" fontId="0" fillId="71" borderId="46" xfId="0" applyFill="1" applyBorder="1" applyAlignment="1"/>
    <xf numFmtId="0" fontId="65" fillId="0" borderId="48" xfId="0" applyFont="1" applyBorder="1" applyAlignment="1" applyProtection="1">
      <alignment horizontal="left"/>
      <protection locked="0"/>
    </xf>
    <xf numFmtId="0" fontId="0" fillId="51" borderId="35" xfId="20" applyFont="1" applyFill="1" applyBorder="1" applyAlignment="1">
      <alignment horizontal="center" vertical="center"/>
    </xf>
    <xf numFmtId="0" fontId="0" fillId="51" borderId="35" xfId="53" applyFont="1" applyFill="1" applyBorder="1">
      <alignment horizontal="center" vertical="center"/>
    </xf>
    <xf numFmtId="0" fontId="0" fillId="51" borderId="35" xfId="49" applyFont="1" applyFill="1" applyBorder="1">
      <alignment horizontal="center" vertical="center"/>
    </xf>
    <xf numFmtId="0" fontId="14" fillId="94" borderId="43" xfId="0" applyFont="1" applyFill="1" applyBorder="1" applyAlignment="1">
      <alignment horizontal="center"/>
    </xf>
    <xf numFmtId="0" fontId="0" fillId="68" borderId="44" xfId="0" applyFill="1" applyBorder="1">
      <alignment horizontal="center" vertical="center"/>
    </xf>
    <xf numFmtId="0" fontId="0" fillId="51" borderId="44" xfId="0" applyFill="1" applyBorder="1">
      <alignment horizontal="center" vertical="center"/>
    </xf>
    <xf numFmtId="0" fontId="0" fillId="68" borderId="45" xfId="0" applyFill="1" applyBorder="1">
      <alignment horizontal="center" vertical="center"/>
    </xf>
    <xf numFmtId="0" fontId="0" fillId="51" borderId="47" xfId="48" applyFont="1" applyFill="1" applyBorder="1">
      <alignment horizontal="center" vertical="center"/>
    </xf>
    <xf numFmtId="49" fontId="0" fillId="51" borderId="49" xfId="0" applyNumberFormat="1" applyFill="1" applyBorder="1">
      <alignment horizontal="center" vertical="center"/>
    </xf>
    <xf numFmtId="0" fontId="0" fillId="51" borderId="49" xfId="44" applyFont="1" applyFill="1" applyBorder="1">
      <alignment horizontal="center" vertical="center"/>
    </xf>
    <xf numFmtId="0" fontId="0" fillId="51" borderId="49" xfId="0" applyFill="1" applyBorder="1">
      <alignment horizontal="center" vertical="center"/>
    </xf>
    <xf numFmtId="0" fontId="0" fillId="51" borderId="49" xfId="48" applyFont="1" applyFill="1" applyBorder="1">
      <alignment horizontal="center" vertical="center"/>
    </xf>
    <xf numFmtId="0" fontId="0" fillId="51" borderId="47" xfId="43" applyFont="1" applyFill="1" applyBorder="1">
      <alignment horizontal="center" vertical="center"/>
    </xf>
    <xf numFmtId="1" fontId="0" fillId="51" borderId="47" xfId="0" applyNumberFormat="1" applyFill="1" applyBorder="1">
      <alignment horizontal="center" vertical="center"/>
    </xf>
    <xf numFmtId="0" fontId="0" fillId="51" borderId="49" xfId="43" applyFont="1" applyFill="1" applyBorder="1">
      <alignment horizontal="center" vertical="center"/>
    </xf>
    <xf numFmtId="0" fontId="0" fillId="51" borderId="49" xfId="32" applyFont="1" applyFill="1" applyBorder="1" applyAlignment="1">
      <alignment horizontal="center" vertical="center"/>
    </xf>
    <xf numFmtId="0" fontId="0" fillId="51" borderId="49" xfId="46" applyFont="1" applyFill="1" applyBorder="1">
      <alignment horizontal="center" vertical="center"/>
    </xf>
    <xf numFmtId="0" fontId="0" fillId="51" borderId="50" xfId="43" applyFont="1" applyFill="1" applyBorder="1">
      <alignment horizontal="center" vertical="center"/>
    </xf>
    <xf numFmtId="0" fontId="14" fillId="77" borderId="53" xfId="0" applyFont="1" applyFill="1" applyBorder="1">
      <alignment horizontal="center" vertical="center"/>
    </xf>
    <xf numFmtId="0" fontId="14" fillId="94" borderId="41" xfId="0" applyFont="1" applyFill="1" applyBorder="1" applyAlignment="1"/>
    <xf numFmtId="0" fontId="80" fillId="94" borderId="57" xfId="0" applyFont="1" applyFill="1" applyBorder="1" applyAlignment="1"/>
    <xf numFmtId="0" fontId="0" fillId="68" borderId="51" xfId="0" applyFill="1" applyBorder="1">
      <alignment horizontal="center" vertical="center"/>
    </xf>
    <xf numFmtId="0" fontId="0" fillId="51" borderId="51" xfId="0" applyFill="1" applyBorder="1">
      <alignment horizontal="center" vertical="center"/>
    </xf>
    <xf numFmtId="0" fontId="0" fillId="68" borderId="52" xfId="0" applyFill="1" applyBorder="1">
      <alignment horizontal="center" vertical="center"/>
    </xf>
    <xf numFmtId="0" fontId="0" fillId="0" borderId="46" xfId="0" applyBorder="1" applyAlignment="1"/>
    <xf numFmtId="0" fontId="0" fillId="0" borderId="47" xfId="51" applyFont="1" applyFill="1" applyBorder="1">
      <alignment horizontal="center" vertical="center"/>
    </xf>
    <xf numFmtId="0" fontId="0" fillId="71" borderId="48" xfId="0" applyFill="1" applyBorder="1" applyAlignment="1"/>
    <xf numFmtId="0" fontId="0" fillId="0" borderId="49" xfId="51" applyFont="1" applyFill="1" applyBorder="1">
      <alignment horizontal="center" vertical="center"/>
    </xf>
    <xf numFmtId="0" fontId="0" fillId="0" borderId="50" xfId="51" applyFont="1" applyFill="1" applyBorder="1">
      <alignment horizontal="center" vertical="center"/>
    </xf>
    <xf numFmtId="0" fontId="60" fillId="0" borderId="58" xfId="0" applyFont="1" applyBorder="1" applyAlignment="1">
      <alignment horizontal="left" vertical="center"/>
    </xf>
    <xf numFmtId="0" fontId="0" fillId="51" borderId="59" xfId="0" applyFill="1" applyBorder="1">
      <alignment horizontal="center" vertical="center"/>
    </xf>
    <xf numFmtId="0" fontId="0" fillId="51" borderId="47" xfId="0" applyFill="1" applyBorder="1">
      <alignment horizontal="center" vertical="center"/>
    </xf>
    <xf numFmtId="0" fontId="0" fillId="51" borderId="47" xfId="44" applyFont="1" applyFill="1" applyBorder="1">
      <alignment horizontal="center" vertical="center"/>
    </xf>
    <xf numFmtId="0" fontId="0" fillId="51" borderId="48" xfId="0" applyFill="1" applyBorder="1" applyAlignment="1">
      <alignment horizontal="left" vertical="center"/>
    </xf>
    <xf numFmtId="0" fontId="0" fillId="51" borderId="50" xfId="0" applyFill="1" applyBorder="1">
      <alignment horizontal="center" vertical="center"/>
    </xf>
    <xf numFmtId="0" fontId="0" fillId="0" borderId="60" xfId="53" applyFont="1" applyBorder="1">
      <alignment horizontal="center" vertical="center"/>
    </xf>
    <xf numFmtId="0" fontId="0" fillId="0" borderId="61" xfId="53" applyFont="1" applyBorder="1">
      <alignment horizontal="center" vertical="center"/>
    </xf>
    <xf numFmtId="0" fontId="0" fillId="51" borderId="0" xfId="46" applyFont="1" applyFill="1">
      <alignment horizontal="center" vertical="center"/>
    </xf>
    <xf numFmtId="0" fontId="0" fillId="51" borderId="62" xfId="0" applyFill="1" applyBorder="1">
      <alignment horizontal="center" vertical="center"/>
    </xf>
    <xf numFmtId="0" fontId="0" fillId="51" borderId="62" xfId="43" applyFont="1" applyFill="1" applyBorder="1">
      <alignment horizontal="center" vertical="center"/>
    </xf>
    <xf numFmtId="0" fontId="0" fillId="51" borderId="62" xfId="32" applyFont="1" applyFill="1" applyBorder="1" applyAlignment="1">
      <alignment horizontal="center" vertical="center"/>
    </xf>
    <xf numFmtId="0" fontId="14" fillId="0" borderId="0" xfId="0" applyFont="1" applyBorder="1">
      <alignment horizontal="center" vertical="center"/>
    </xf>
    <xf numFmtId="0" fontId="5" fillId="0" borderId="0" xfId="0" applyFont="1" applyBorder="1">
      <alignment horizontal="center" vertical="center"/>
    </xf>
    <xf numFmtId="0" fontId="81" fillId="0" borderId="43" xfId="0" applyFont="1" applyBorder="1">
      <alignment horizontal="center" vertical="center"/>
    </xf>
    <xf numFmtId="0" fontId="0" fillId="0" borderId="63" xfId="0" applyBorder="1">
      <alignment horizontal="center" vertical="center"/>
    </xf>
    <xf numFmtId="0" fontId="5" fillId="0" borderId="51" xfId="0" applyFont="1" applyBorder="1" applyAlignment="1">
      <alignment horizontal="center"/>
    </xf>
    <xf numFmtId="0" fontId="8" fillId="0" borderId="51" xfId="0" applyFont="1" applyBorder="1">
      <alignment horizontal="center" vertical="center"/>
    </xf>
    <xf numFmtId="0" fontId="0" fillId="0" borderId="51" xfId="0" applyBorder="1">
      <alignment horizontal="center" vertical="center"/>
    </xf>
    <xf numFmtId="0" fontId="8" fillId="0" borderId="55" xfId="0" applyFont="1" applyBorder="1">
      <alignment horizontal="center" vertical="center"/>
    </xf>
    <xf numFmtId="0" fontId="0" fillId="0" borderId="55" xfId="0" applyBorder="1">
      <alignment horizontal="center" vertical="center"/>
    </xf>
    <xf numFmtId="0" fontId="5" fillId="0" borderId="55" xfId="0" applyFont="1" applyBorder="1" applyAlignment="1">
      <alignment horizontal="center"/>
    </xf>
    <xf numFmtId="0" fontId="8" fillId="0" borderId="56" xfId="0" applyFont="1" applyBorder="1">
      <alignment horizontal="center" vertical="center"/>
    </xf>
    <xf numFmtId="0" fontId="0" fillId="0" borderId="58" xfId="0" applyBorder="1">
      <alignment horizontal="center" vertical="center"/>
    </xf>
    <xf numFmtId="0" fontId="5" fillId="0" borderId="0" xfId="0" applyFont="1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0" fillId="51" borderId="40" xfId="0" applyFill="1" applyBorder="1">
      <alignment horizontal="center" vertical="center"/>
    </xf>
    <xf numFmtId="0" fontId="0" fillId="51" borderId="40" xfId="48" applyFont="1" applyFill="1" applyBorder="1">
      <alignment horizontal="center" vertical="center"/>
    </xf>
    <xf numFmtId="0" fontId="0" fillId="51" borderId="40" xfId="44" applyFont="1" applyFill="1" applyBorder="1">
      <alignment horizontal="center" vertical="center"/>
    </xf>
    <xf numFmtId="0" fontId="14" fillId="94" borderId="67" xfId="0" applyFont="1" applyFill="1" applyBorder="1" applyAlignment="1">
      <alignment horizontal="center"/>
    </xf>
    <xf numFmtId="0" fontId="0" fillId="68" borderId="68" xfId="0" applyFill="1" applyBorder="1">
      <alignment horizontal="center" vertical="center"/>
    </xf>
    <xf numFmtId="0" fontId="0" fillId="51" borderId="68" xfId="0" applyFill="1" applyBorder="1">
      <alignment horizontal="center" vertical="center"/>
    </xf>
    <xf numFmtId="0" fontId="0" fillId="68" borderId="69" xfId="0" applyFill="1" applyBorder="1">
      <alignment horizontal="center" vertical="center"/>
    </xf>
    <xf numFmtId="0" fontId="14" fillId="94" borderId="70" xfId="0" applyFont="1" applyFill="1" applyBorder="1" applyAlignment="1">
      <alignment horizontal="left" vertical="center"/>
    </xf>
    <xf numFmtId="0" fontId="0" fillId="0" borderId="72" xfId="0" applyBorder="1" applyAlignment="1"/>
    <xf numFmtId="0" fontId="0" fillId="51" borderId="72" xfId="0" applyFill="1" applyBorder="1" applyAlignment="1">
      <alignment horizontal="left" vertical="center"/>
    </xf>
    <xf numFmtId="0" fontId="14" fillId="94" borderId="73" xfId="0" applyFont="1" applyFill="1" applyBorder="1" applyAlignment="1">
      <alignment horizontal="center"/>
    </xf>
    <xf numFmtId="0" fontId="0" fillId="68" borderId="74" xfId="0" applyFill="1" applyBorder="1">
      <alignment horizontal="center" vertical="center"/>
    </xf>
    <xf numFmtId="0" fontId="0" fillId="51" borderId="74" xfId="0" applyFill="1" applyBorder="1">
      <alignment horizontal="center" vertical="center"/>
    </xf>
    <xf numFmtId="0" fontId="0" fillId="68" borderId="75" xfId="0" applyFill="1" applyBorder="1">
      <alignment horizontal="center" vertical="center"/>
    </xf>
    <xf numFmtId="0" fontId="0" fillId="0" borderId="35" xfId="48" applyFont="1" applyFill="1" applyBorder="1">
      <alignment horizontal="center" vertical="center"/>
    </xf>
    <xf numFmtId="0" fontId="0" fillId="0" borderId="35" xfId="43" applyFont="1" applyFill="1" applyBorder="1">
      <alignment horizontal="center" vertical="center"/>
    </xf>
    <xf numFmtId="0" fontId="0" fillId="0" borderId="35" xfId="44" applyFont="1" applyFill="1" applyBorder="1">
      <alignment horizontal="center" vertical="center"/>
    </xf>
    <xf numFmtId="0" fontId="0" fillId="0" borderId="49" xfId="43" applyFont="1" applyFill="1" applyBorder="1">
      <alignment horizontal="center" vertical="center"/>
    </xf>
    <xf numFmtId="0" fontId="0" fillId="0" borderId="49" xfId="48" applyFont="1" applyFill="1" applyBorder="1">
      <alignment horizontal="center" vertical="center"/>
    </xf>
    <xf numFmtId="0" fontId="0" fillId="51" borderId="39" xfId="43" applyFont="1" applyFill="1" applyBorder="1">
      <alignment horizontal="center" vertical="center"/>
    </xf>
    <xf numFmtId="49" fontId="0" fillId="51" borderId="39" xfId="0" applyNumberFormat="1" applyFill="1" applyBorder="1">
      <alignment horizontal="center" vertical="center"/>
    </xf>
    <xf numFmtId="0" fontId="0" fillId="51" borderId="39" xfId="0" applyFill="1" applyBorder="1">
      <alignment horizontal="center" vertical="center"/>
    </xf>
    <xf numFmtId="0" fontId="0" fillId="51" borderId="39" xfId="32" applyFont="1" applyFill="1" applyBorder="1" applyAlignment="1">
      <alignment horizontal="center" vertical="center"/>
    </xf>
    <xf numFmtId="0" fontId="0" fillId="51" borderId="39" xfId="46" applyFont="1" applyFill="1" applyBorder="1">
      <alignment horizontal="center" vertical="center"/>
    </xf>
    <xf numFmtId="0" fontId="0" fillId="51" borderId="76" xfId="43" applyFont="1" applyFill="1" applyBorder="1">
      <alignment horizontal="center" vertical="center"/>
    </xf>
    <xf numFmtId="0" fontId="0" fillId="94" borderId="44" xfId="43" applyFont="1" applyFill="1" applyBorder="1">
      <alignment horizontal="center" vertical="center"/>
    </xf>
    <xf numFmtId="49" fontId="0" fillId="94" borderId="44" xfId="0" applyNumberFormat="1" applyFill="1" applyBorder="1">
      <alignment horizontal="center" vertical="center"/>
    </xf>
    <xf numFmtId="0" fontId="0" fillId="94" borderId="44" xfId="0" applyFill="1" applyBorder="1">
      <alignment horizontal="center" vertical="center"/>
    </xf>
    <xf numFmtId="0" fontId="0" fillId="94" borderId="44" xfId="32" applyFont="1" applyFill="1" applyBorder="1" applyAlignment="1">
      <alignment horizontal="center" vertical="center"/>
    </xf>
    <xf numFmtId="0" fontId="0" fillId="94" borderId="44" xfId="46" applyFont="1" applyFill="1" applyBorder="1">
      <alignment horizontal="center" vertical="center"/>
    </xf>
    <xf numFmtId="0" fontId="0" fillId="94" borderId="45" xfId="43" applyFont="1" applyFill="1" applyBorder="1">
      <alignment horizontal="center" vertical="center"/>
    </xf>
    <xf numFmtId="0" fontId="0" fillId="0" borderId="48" xfId="0" applyBorder="1" applyAlignment="1">
      <alignment vertical="center"/>
    </xf>
    <xf numFmtId="0" fontId="0" fillId="94" borderId="39" xfId="43" applyFont="1" applyFill="1" applyBorder="1">
      <alignment horizontal="center" vertical="center"/>
    </xf>
    <xf numFmtId="49" fontId="0" fillId="94" borderId="39" xfId="0" applyNumberFormat="1" applyFill="1" applyBorder="1">
      <alignment horizontal="center" vertical="center"/>
    </xf>
    <xf numFmtId="0" fontId="0" fillId="94" borderId="39" xfId="0" applyFill="1" applyBorder="1">
      <alignment horizontal="center" vertical="center"/>
    </xf>
    <xf numFmtId="0" fontId="0" fillId="94" borderId="39" xfId="32" applyFont="1" applyFill="1" applyBorder="1" applyAlignment="1">
      <alignment horizontal="center" vertical="center"/>
    </xf>
    <xf numFmtId="0" fontId="0" fillId="94" borderId="39" xfId="46" applyFont="1" applyFill="1" applyBorder="1">
      <alignment horizontal="center" vertical="center"/>
    </xf>
    <xf numFmtId="0" fontId="0" fillId="94" borderId="76" xfId="43" applyFont="1" applyFill="1" applyBorder="1">
      <alignment horizontal="center" vertical="center"/>
    </xf>
    <xf numFmtId="0" fontId="14" fillId="94" borderId="42" xfId="0" applyFont="1" applyFill="1" applyBorder="1">
      <alignment horizontal="center" vertical="center"/>
    </xf>
    <xf numFmtId="0" fontId="0" fillId="0" borderId="72" xfId="0" applyBorder="1" applyAlignment="1">
      <alignment horizontal="left" vertical="center"/>
    </xf>
    <xf numFmtId="49" fontId="45" fillId="0" borderId="78" xfId="0" applyNumberFormat="1" applyFont="1" applyBorder="1">
      <alignment horizontal="center" vertical="center"/>
    </xf>
    <xf numFmtId="0" fontId="45" fillId="0" borderId="77" xfId="0" applyFont="1" applyBorder="1" applyAlignment="1">
      <alignment vertical="center"/>
    </xf>
    <xf numFmtId="0" fontId="0" fillId="0" borderId="79" xfId="0" applyBorder="1" applyAlignment="1"/>
    <xf numFmtId="0" fontId="0" fillId="0" borderId="79" xfId="0" applyBorder="1">
      <alignment horizontal="center" vertical="center"/>
    </xf>
    <xf numFmtId="0" fontId="0" fillId="0" borderId="80" xfId="0" applyBorder="1">
      <alignment horizontal="center" vertical="center"/>
    </xf>
    <xf numFmtId="0" fontId="8" fillId="52" borderId="35" xfId="48" applyBorder="1">
      <alignment horizontal="center" vertical="center"/>
    </xf>
    <xf numFmtId="0" fontId="0" fillId="0" borderId="48" xfId="0" applyBorder="1" applyAlignment="1">
      <alignment horizontal="left" vertical="center"/>
    </xf>
    <xf numFmtId="0" fontId="0" fillId="0" borderId="65" xfId="0" applyBorder="1" applyAlignment="1">
      <alignment horizontal="left" vertical="center"/>
    </xf>
    <xf numFmtId="0" fontId="0" fillId="51" borderId="65" xfId="0" applyFill="1" applyBorder="1" applyAlignment="1">
      <alignment horizontal="left" vertical="center" wrapText="1"/>
    </xf>
    <xf numFmtId="0" fontId="0" fillId="51" borderId="38" xfId="0" applyFill="1" applyBorder="1">
      <alignment horizontal="center" vertical="center"/>
    </xf>
    <xf numFmtId="0" fontId="0" fillId="0" borderId="40" xfId="0" applyBorder="1" applyAlignment="1">
      <alignment horizontal="left" vertical="center"/>
    </xf>
    <xf numFmtId="0" fontId="0" fillId="71" borderId="65" xfId="0" applyFill="1" applyBorder="1" applyAlignment="1"/>
    <xf numFmtId="0" fontId="0" fillId="71" borderId="81" xfId="0" applyFill="1" applyBorder="1" applyAlignment="1"/>
    <xf numFmtId="0" fontId="0" fillId="71" borderId="72" xfId="0" applyFill="1" applyBorder="1" applyAlignment="1"/>
    <xf numFmtId="0" fontId="0" fillId="51" borderId="59" xfId="48" applyFont="1" applyFill="1" applyBorder="1">
      <alignment horizontal="center" vertical="center"/>
    </xf>
    <xf numFmtId="0" fontId="14" fillId="94" borderId="57" xfId="0" applyFont="1" applyFill="1" applyBorder="1" applyAlignment="1"/>
    <xf numFmtId="0" fontId="0" fillId="0" borderId="85" xfId="0" applyBorder="1" applyAlignment="1">
      <alignment horizontal="left" vertical="center"/>
    </xf>
    <xf numFmtId="0" fontId="0" fillId="51" borderId="85" xfId="0" applyFill="1" applyBorder="1">
      <alignment horizontal="center" vertical="center"/>
    </xf>
    <xf numFmtId="1" fontId="0" fillId="51" borderId="85" xfId="0" applyNumberFormat="1" applyFill="1" applyBorder="1">
      <alignment horizontal="center" vertical="center"/>
    </xf>
    <xf numFmtId="0" fontId="0" fillId="0" borderId="85" xfId="0" applyBorder="1">
      <alignment horizontal="center" vertical="center"/>
    </xf>
    <xf numFmtId="0" fontId="8" fillId="52" borderId="85" xfId="48" applyBorder="1">
      <alignment horizontal="center" vertical="center"/>
    </xf>
    <xf numFmtId="49" fontId="0" fillId="51" borderId="85" xfId="0" applyNumberFormat="1" applyFill="1" applyBorder="1">
      <alignment horizontal="center" vertical="center"/>
    </xf>
    <xf numFmtId="0" fontId="60" fillId="0" borderId="85" xfId="0" applyFont="1" applyBorder="1" applyAlignment="1">
      <alignment horizontal="left" vertical="center"/>
    </xf>
    <xf numFmtId="0" fontId="71" fillId="51" borderId="85" xfId="43" applyFont="1" applyFill="1" applyBorder="1">
      <alignment horizontal="center" vertical="center"/>
    </xf>
    <xf numFmtId="0" fontId="8" fillId="0" borderId="85" xfId="53" applyBorder="1">
      <alignment horizontal="center" vertical="center"/>
    </xf>
    <xf numFmtId="0" fontId="19" fillId="0" borderId="85" xfId="0" applyFont="1" applyBorder="1" applyAlignment="1" applyProtection="1">
      <alignment horizontal="center"/>
      <protection locked="0"/>
    </xf>
    <xf numFmtId="0" fontId="0" fillId="87" borderId="85" xfId="0" applyFill="1" applyBorder="1">
      <alignment horizontal="center" vertical="center"/>
    </xf>
    <xf numFmtId="0" fontId="0" fillId="55" borderId="85" xfId="0" applyFill="1" applyBorder="1">
      <alignment horizontal="center" vertical="center"/>
    </xf>
    <xf numFmtId="0" fontId="8" fillId="75" borderId="85" xfId="56" applyBorder="1">
      <alignment horizontal="center" vertical="center"/>
    </xf>
    <xf numFmtId="0" fontId="52" fillId="56" borderId="85" xfId="46" applyBorder="1">
      <alignment horizontal="center" vertical="center"/>
    </xf>
    <xf numFmtId="0" fontId="21" fillId="0" borderId="85" xfId="0" applyFont="1" applyBorder="1" applyAlignment="1">
      <alignment vertical="center"/>
    </xf>
    <xf numFmtId="0" fontId="45" fillId="0" borderId="85" xfId="0" applyFont="1" applyBorder="1" applyAlignment="1"/>
    <xf numFmtId="0" fontId="81" fillId="94" borderId="19" xfId="0" applyFont="1" applyFill="1" applyBorder="1">
      <alignment horizontal="center" vertical="center"/>
    </xf>
    <xf numFmtId="0" fontId="0" fillId="76" borderId="74" xfId="0" applyFill="1" applyBorder="1">
      <alignment horizontal="center" vertical="center"/>
    </xf>
    <xf numFmtId="0" fontId="0" fillId="76" borderId="75" xfId="0" applyFill="1" applyBorder="1">
      <alignment horizontal="center" vertical="center"/>
    </xf>
    <xf numFmtId="0" fontId="82" fillId="0" borderId="87" xfId="0" applyFont="1" applyBorder="1">
      <alignment horizontal="center" vertical="center"/>
    </xf>
    <xf numFmtId="0" fontId="5" fillId="0" borderId="0" xfId="0" applyFont="1" applyBorder="1" applyAlignment="1">
      <alignment horizontal="left"/>
    </xf>
    <xf numFmtId="0" fontId="0" fillId="0" borderId="88" xfId="0" applyBorder="1">
      <alignment horizontal="center" vertical="center"/>
    </xf>
    <xf numFmtId="0" fontId="0" fillId="51" borderId="89" xfId="0" applyFill="1" applyBorder="1">
      <alignment horizontal="center" vertical="center"/>
    </xf>
    <xf numFmtId="0" fontId="8" fillId="73" borderId="89" xfId="44" applyBorder="1">
      <alignment horizontal="center" vertical="center"/>
    </xf>
    <xf numFmtId="0" fontId="8" fillId="75" borderId="89" xfId="56" applyBorder="1">
      <alignment horizontal="center" vertical="center"/>
    </xf>
    <xf numFmtId="49" fontId="0" fillId="51" borderId="89" xfId="0" applyNumberFormat="1" applyFill="1" applyBorder="1">
      <alignment horizontal="center" vertical="center"/>
    </xf>
    <xf numFmtId="0" fontId="7" fillId="26" borderId="89" xfId="0" applyFont="1" applyFill="1" applyBorder="1" applyAlignment="1">
      <alignment horizontal="left"/>
    </xf>
    <xf numFmtId="0" fontId="0" fillId="76" borderId="89" xfId="0" applyFill="1" applyBorder="1">
      <alignment horizontal="center" vertical="center"/>
    </xf>
    <xf numFmtId="0" fontId="0" fillId="0" borderId="89" xfId="0" applyBorder="1" applyAlignment="1">
      <alignment horizontal="left" vertical="center"/>
    </xf>
    <xf numFmtId="0" fontId="0" fillId="51" borderId="89" xfId="44" applyFont="1" applyFill="1" applyBorder="1">
      <alignment horizontal="center" vertical="center"/>
    </xf>
    <xf numFmtId="1" fontId="0" fillId="51" borderId="89" xfId="32" applyNumberFormat="1" applyFont="1" applyFill="1" applyBorder="1" applyAlignment="1">
      <alignment horizontal="center" vertical="center"/>
    </xf>
    <xf numFmtId="0" fontId="8" fillId="52" borderId="89" xfId="48" applyBorder="1">
      <alignment horizontal="center" vertical="center"/>
    </xf>
    <xf numFmtId="0" fontId="0" fillId="55" borderId="89" xfId="0" applyFill="1" applyBorder="1">
      <alignment horizontal="center" vertical="center"/>
    </xf>
    <xf numFmtId="0" fontId="81" fillId="94" borderId="91" xfId="0" applyFont="1" applyFill="1" applyBorder="1">
      <alignment horizontal="center" vertical="center"/>
    </xf>
    <xf numFmtId="49" fontId="0" fillId="51" borderId="93" xfId="0" applyNumberFormat="1" applyFill="1" applyBorder="1">
      <alignment horizontal="center" vertical="center"/>
    </xf>
    <xf numFmtId="0" fontId="0" fillId="51" borderId="62" xfId="46" applyFont="1" applyFill="1" applyBorder="1">
      <alignment horizontal="center" vertical="center"/>
    </xf>
    <xf numFmtId="0" fontId="0" fillId="51" borderId="94" xfId="43" applyFont="1" applyFill="1" applyBorder="1">
      <alignment horizontal="center" vertical="center"/>
    </xf>
    <xf numFmtId="0" fontId="0" fillId="0" borderId="95" xfId="0" applyBorder="1">
      <alignment horizontal="center" vertical="center"/>
    </xf>
    <xf numFmtId="0" fontId="84" fillId="0" borderId="0" xfId="0" applyFont="1" applyAlignment="1">
      <alignment vertical="center"/>
    </xf>
    <xf numFmtId="0" fontId="0" fillId="0" borderId="96" xfId="0" applyBorder="1">
      <alignment horizontal="center" vertical="center"/>
    </xf>
    <xf numFmtId="0" fontId="7" fillId="0" borderId="90" xfId="0" applyFont="1" applyBorder="1" applyAlignment="1">
      <alignment horizontal="left" vertical="center"/>
    </xf>
    <xf numFmtId="0" fontId="8" fillId="0" borderId="95" xfId="0" applyFont="1" applyBorder="1">
      <alignment horizontal="center" vertical="center"/>
    </xf>
    <xf numFmtId="0" fontId="8" fillId="0" borderId="95" xfId="0" applyFont="1" applyBorder="1" applyAlignment="1">
      <alignment horizontal="left"/>
    </xf>
    <xf numFmtId="0" fontId="7" fillId="26" borderId="95" xfId="0" applyFont="1" applyFill="1" applyBorder="1">
      <alignment horizontal="center" vertical="center"/>
    </xf>
    <xf numFmtId="0" fontId="0" fillId="26" borderId="95" xfId="0" applyFill="1" applyBorder="1">
      <alignment horizontal="center" vertical="center"/>
    </xf>
    <xf numFmtId="0" fontId="8" fillId="26" borderId="95" xfId="0" applyFont="1" applyFill="1" applyBorder="1">
      <alignment horizontal="center" vertical="center"/>
    </xf>
    <xf numFmtId="0" fontId="8" fillId="78" borderId="96" xfId="0" applyFont="1" applyFill="1" applyBorder="1">
      <alignment horizontal="center" vertical="center"/>
    </xf>
    <xf numFmtId="0" fontId="0" fillId="76" borderId="90" xfId="0" applyFill="1" applyBorder="1">
      <alignment horizontal="center" vertical="center"/>
    </xf>
    <xf numFmtId="0" fontId="0" fillId="55" borderId="89" xfId="44" applyFont="1" applyFill="1" applyBorder="1">
      <alignment horizontal="center" vertical="center"/>
    </xf>
    <xf numFmtId="49" fontId="0" fillId="51" borderId="97" xfId="0" applyNumberFormat="1" applyFill="1" applyBorder="1">
      <alignment horizontal="center" vertical="center"/>
    </xf>
    <xf numFmtId="0" fontId="10" fillId="51" borderId="98" xfId="20" applyFont="1" applyFill="1" applyBorder="1" applyAlignment="1">
      <alignment horizontal="center" vertical="center"/>
    </xf>
    <xf numFmtId="0" fontId="0" fillId="0" borderId="95" xfId="0" applyBorder="1" applyAlignment="1"/>
    <xf numFmtId="0" fontId="0" fillId="0" borderId="95" xfId="0" applyBorder="1" applyAlignment="1">
      <alignment horizontal="left" vertical="center"/>
    </xf>
    <xf numFmtId="0" fontId="0" fillId="0" borderId="95" xfId="0" applyBorder="1" applyAlignment="1">
      <alignment horizontal="right" vertical="center"/>
    </xf>
    <xf numFmtId="0" fontId="0" fillId="0" borderId="99" xfId="0" applyBorder="1" applyAlignment="1">
      <alignment horizontal="right" vertical="center"/>
    </xf>
    <xf numFmtId="0" fontId="0" fillId="0" borderId="99" xfId="0" applyBorder="1" applyAlignment="1">
      <alignment horizontal="left" vertical="center"/>
    </xf>
    <xf numFmtId="0" fontId="0" fillId="0" borderId="96" xfId="0" applyBorder="1" applyAlignment="1">
      <alignment horizontal="left"/>
    </xf>
    <xf numFmtId="0" fontId="0" fillId="0" borderId="90" xfId="0" applyBorder="1" applyAlignment="1">
      <alignment horizontal="left"/>
    </xf>
    <xf numFmtId="49" fontId="0" fillId="0" borderId="95" xfId="0" applyNumberFormat="1" applyBorder="1" applyAlignment="1">
      <alignment horizontal="left" vertical="center"/>
    </xf>
    <xf numFmtId="49" fontId="0" fillId="0" borderId="99" xfId="0" applyNumberFormat="1" applyBorder="1" applyAlignment="1">
      <alignment horizontal="left" vertical="center"/>
    </xf>
    <xf numFmtId="0" fontId="5" fillId="0" borderId="95" xfId="0" applyFont="1" applyBorder="1" applyAlignment="1">
      <alignment horizontal="left"/>
    </xf>
    <xf numFmtId="0" fontId="0" fillId="0" borderId="96" xfId="0" applyBorder="1" applyAlignment="1">
      <alignment horizontal="left" vertical="center"/>
    </xf>
    <xf numFmtId="0" fontId="0" fillId="0" borderId="90" xfId="0" applyBorder="1" applyAlignment="1">
      <alignment horizontal="left" vertical="center"/>
    </xf>
    <xf numFmtId="0" fontId="5" fillId="0" borderId="90" xfId="0" applyFont="1" applyBorder="1" applyAlignment="1">
      <alignment horizontal="left"/>
    </xf>
    <xf numFmtId="0" fontId="4" fillId="0" borderId="90" xfId="0" applyFont="1" applyBorder="1" applyAlignment="1">
      <alignment horizontal="left" vertical="center"/>
    </xf>
    <xf numFmtId="0" fontId="4" fillId="0" borderId="95" xfId="0" applyFont="1" applyBorder="1" applyAlignment="1">
      <alignment horizontal="left" vertical="center"/>
    </xf>
    <xf numFmtId="0" fontId="4" fillId="0" borderId="96" xfId="0" applyFont="1" applyBorder="1" applyAlignment="1">
      <alignment horizontal="left" vertical="center"/>
    </xf>
    <xf numFmtId="17" fontId="5" fillId="0" borderId="95" xfId="0" applyNumberFormat="1" applyFont="1" applyBorder="1" applyAlignment="1">
      <alignment horizontal="left"/>
    </xf>
    <xf numFmtId="17" fontId="4" fillId="0" borderId="90" xfId="0" applyNumberFormat="1" applyFont="1" applyBorder="1" applyAlignment="1">
      <alignment horizontal="left" vertical="center"/>
    </xf>
    <xf numFmtId="0" fontId="5" fillId="0" borderId="100" xfId="0" applyFont="1" applyBorder="1" applyAlignment="1">
      <alignment horizontal="center"/>
    </xf>
    <xf numFmtId="0" fontId="0" fillId="0" borderId="90" xfId="0" applyBorder="1">
      <alignment horizontal="center" vertical="center"/>
    </xf>
    <xf numFmtId="0" fontId="7" fillId="51" borderId="90" xfId="0" applyFont="1" applyFill="1" applyBorder="1" applyAlignment="1">
      <alignment horizontal="left" vertical="center"/>
    </xf>
    <xf numFmtId="0" fontId="8" fillId="26" borderId="96" xfId="0" applyFont="1" applyFill="1" applyBorder="1">
      <alignment horizontal="center" vertical="center"/>
    </xf>
    <xf numFmtId="0" fontId="0" fillId="51" borderId="95" xfId="0" applyFill="1" applyBorder="1" applyAlignment="1">
      <alignment horizontal="left" vertical="center"/>
    </xf>
    <xf numFmtId="49" fontId="0" fillId="51" borderId="95" xfId="0" applyNumberFormat="1" applyFill="1" applyBorder="1" applyAlignment="1">
      <alignment horizontal="left" vertical="center"/>
    </xf>
    <xf numFmtId="0" fontId="5" fillId="51" borderId="95" xfId="0" applyFont="1" applyFill="1" applyBorder="1" applyAlignment="1">
      <alignment horizontal="left"/>
    </xf>
    <xf numFmtId="49" fontId="0" fillId="51" borderId="90" xfId="0" applyNumberFormat="1" applyFill="1" applyBorder="1">
      <alignment horizontal="center" vertical="center"/>
    </xf>
    <xf numFmtId="49" fontId="0" fillId="51" borderId="96" xfId="0" applyNumberFormat="1" applyFill="1" applyBorder="1">
      <alignment horizontal="center" vertical="center"/>
    </xf>
    <xf numFmtId="49" fontId="0" fillId="51" borderId="101" xfId="0" applyNumberFormat="1" applyFill="1" applyBorder="1">
      <alignment horizontal="center" vertical="center"/>
    </xf>
    <xf numFmtId="0" fontId="8" fillId="52" borderId="101" xfId="48" applyBorder="1">
      <alignment horizontal="center" vertical="center"/>
    </xf>
    <xf numFmtId="0" fontId="0" fillId="55" borderId="97" xfId="0" applyFill="1" applyBorder="1">
      <alignment horizontal="center" vertical="center"/>
    </xf>
    <xf numFmtId="0" fontId="0" fillId="0" borderId="102" xfId="53" applyFont="1" applyBorder="1">
      <alignment horizontal="center" vertical="center"/>
    </xf>
    <xf numFmtId="0" fontId="14" fillId="77" borderId="103" xfId="0" applyFont="1" applyFill="1" applyBorder="1">
      <alignment horizontal="center" vertical="center"/>
    </xf>
    <xf numFmtId="0" fontId="0" fillId="76" borderId="104" xfId="0" applyFill="1" applyBorder="1">
      <alignment horizontal="center" vertical="center"/>
    </xf>
    <xf numFmtId="0" fontId="0" fillId="0" borderId="103" xfId="0" applyBorder="1" applyAlignment="1">
      <alignment horizontal="left" vertical="center"/>
    </xf>
    <xf numFmtId="1" fontId="0" fillId="51" borderId="104" xfId="0" applyNumberFormat="1" applyFill="1" applyBorder="1">
      <alignment horizontal="center" vertical="center"/>
    </xf>
    <xf numFmtId="171" fontId="24" fillId="0" borderId="105" xfId="0" applyNumberFormat="1" applyFont="1" applyBorder="1" applyAlignment="1">
      <alignment horizontal="left" wrapText="1"/>
    </xf>
    <xf numFmtId="171" fontId="24" fillId="38" borderId="105" xfId="0" applyNumberFormat="1" applyFont="1" applyFill="1" applyBorder="1" applyAlignment="1">
      <alignment horizontal="left" wrapText="1"/>
    </xf>
    <xf numFmtId="0" fontId="0" fillId="0" borderId="106" xfId="0" applyBorder="1">
      <alignment horizontal="center" vertical="center"/>
    </xf>
    <xf numFmtId="0" fontId="7" fillId="0" borderId="106" xfId="0" applyFont="1" applyBorder="1" applyAlignment="1">
      <alignment horizontal="left"/>
    </xf>
    <xf numFmtId="0" fontId="0" fillId="0" borderId="100" xfId="0" applyBorder="1" applyAlignment="1">
      <alignment horizontal="center"/>
    </xf>
    <xf numFmtId="0" fontId="8" fillId="0" borderId="106" xfId="0" applyFont="1" applyBorder="1" applyAlignment="1">
      <alignment horizontal="left"/>
    </xf>
    <xf numFmtId="0" fontId="0" fillId="24" borderId="100" xfId="0" applyFill="1" applyBorder="1" applyAlignment="1">
      <alignment horizontal="left"/>
    </xf>
    <xf numFmtId="0" fontId="0" fillId="0" borderId="100" xfId="0" applyBorder="1" applyAlignment="1">
      <alignment horizontal="left"/>
    </xf>
    <xf numFmtId="0" fontId="0" fillId="0" borderId="107" xfId="0" applyBorder="1" applyAlignment="1">
      <alignment horizontal="center"/>
    </xf>
    <xf numFmtId="0" fontId="0" fillId="0" borderId="107" xfId="0" applyBorder="1">
      <alignment horizontal="center" vertical="center"/>
    </xf>
    <xf numFmtId="0" fontId="0" fillId="0" borderId="106" xfId="0" applyBorder="1" applyAlignment="1">
      <alignment horizontal="center"/>
    </xf>
    <xf numFmtId="0" fontId="0" fillId="0" borderId="107" xfId="0" applyBorder="1" applyAlignment="1">
      <alignment horizontal="left"/>
    </xf>
    <xf numFmtId="0" fontId="0" fillId="51" borderId="108" xfId="0" applyFill="1" applyBorder="1" applyAlignment="1" applyProtection="1">
      <alignment horizontal="left" vertical="center"/>
      <protection locked="0"/>
    </xf>
    <xf numFmtId="1" fontId="0" fillId="51" borderId="89" xfId="0" applyNumberFormat="1" applyFill="1" applyBorder="1">
      <alignment horizontal="center" vertical="center"/>
    </xf>
    <xf numFmtId="0" fontId="0" fillId="0" borderId="109" xfId="0" applyBorder="1">
      <alignment horizontal="center" vertical="center"/>
    </xf>
    <xf numFmtId="0" fontId="0" fillId="43" borderId="109" xfId="0" applyFill="1" applyBorder="1" applyAlignment="1" applyProtection="1">
      <alignment horizontal="center"/>
      <protection locked="0"/>
    </xf>
    <xf numFmtId="0" fontId="0" fillId="51" borderId="89" xfId="48" applyFont="1" applyFill="1" applyBorder="1">
      <alignment horizontal="center" vertical="center"/>
    </xf>
    <xf numFmtId="0" fontId="0" fillId="51" borderId="90" xfId="0" applyFill="1" applyBorder="1">
      <alignment horizontal="center" vertical="center"/>
    </xf>
    <xf numFmtId="0" fontId="8" fillId="53" borderId="89" xfId="43" applyBorder="1">
      <alignment horizontal="center" vertical="center"/>
    </xf>
    <xf numFmtId="0" fontId="5" fillId="0" borderId="89" xfId="0" applyFont="1" applyBorder="1" applyAlignment="1" applyProtection="1">
      <alignment horizontal="center"/>
      <protection locked="0"/>
    </xf>
    <xf numFmtId="0" fontId="0" fillId="51" borderId="89" xfId="47" applyFont="1" applyFill="1" applyBorder="1">
      <alignment horizontal="center" vertical="center"/>
    </xf>
    <xf numFmtId="0" fontId="8" fillId="0" borderId="89" xfId="53" applyBorder="1">
      <alignment horizontal="center" vertical="center"/>
    </xf>
    <xf numFmtId="0" fontId="62" fillId="59" borderId="89" xfId="51" applyBorder="1">
      <alignment horizontal="center" vertical="center"/>
    </xf>
    <xf numFmtId="0" fontId="5" fillId="0" borderId="89" xfId="0" applyFont="1" applyBorder="1" applyAlignment="1" applyProtection="1">
      <alignment horizontal="left"/>
      <protection locked="0"/>
    </xf>
    <xf numFmtId="0" fontId="0" fillId="75" borderId="89" xfId="56" applyFont="1" applyBorder="1">
      <alignment horizontal="center" vertical="center"/>
    </xf>
    <xf numFmtId="0" fontId="8" fillId="51" borderId="89" xfId="53" applyFill="1" applyBorder="1">
      <alignment horizontal="center" vertical="center"/>
    </xf>
    <xf numFmtId="0" fontId="8" fillId="55" borderId="89" xfId="45" applyBorder="1">
      <alignment horizontal="center" vertical="center"/>
    </xf>
    <xf numFmtId="0" fontId="0" fillId="0" borderId="89" xfId="0" applyBorder="1">
      <alignment horizontal="center" vertical="center"/>
    </xf>
    <xf numFmtId="49" fontId="0" fillId="55" borderId="89" xfId="0" applyNumberFormat="1" applyFill="1" applyBorder="1">
      <alignment horizontal="center" vertical="center"/>
    </xf>
    <xf numFmtId="0" fontId="8" fillId="54" borderId="89" xfId="50" applyBorder="1">
      <alignment horizontal="center" vertical="center"/>
    </xf>
    <xf numFmtId="0" fontId="0" fillId="51" borderId="89" xfId="46" applyFont="1" applyFill="1" applyBorder="1">
      <alignment horizontal="center" vertical="center"/>
    </xf>
    <xf numFmtId="0" fontId="0" fillId="51" borderId="89" xfId="43" applyFont="1" applyFill="1" applyBorder="1">
      <alignment horizontal="center" vertical="center"/>
    </xf>
    <xf numFmtId="0" fontId="0" fillId="0" borderId="89" xfId="51" applyFont="1" applyFill="1" applyBorder="1">
      <alignment horizontal="center" vertical="center"/>
    </xf>
    <xf numFmtId="0" fontId="8" fillId="51" borderId="89" xfId="45" applyFill="1" applyBorder="1">
      <alignment horizontal="center" vertical="center"/>
    </xf>
    <xf numFmtId="0" fontId="8" fillId="0" borderId="89" xfId="48" applyFill="1" applyBorder="1">
      <alignment horizontal="center" vertical="center"/>
    </xf>
    <xf numFmtId="0" fontId="8" fillId="55" borderId="89" xfId="48" applyFill="1" applyBorder="1">
      <alignment horizontal="center" vertical="center"/>
    </xf>
    <xf numFmtId="0" fontId="8" fillId="74" borderId="89" xfId="47" applyBorder="1">
      <alignment horizontal="center" vertical="center"/>
    </xf>
    <xf numFmtId="0" fontId="0" fillId="0" borderId="77" xfId="0" applyBorder="1">
      <alignment horizontal="center" vertical="center"/>
    </xf>
    <xf numFmtId="0" fontId="8" fillId="53" borderId="77" xfId="43" applyBorder="1">
      <alignment horizontal="center" vertical="center"/>
    </xf>
    <xf numFmtId="0" fontId="8" fillId="0" borderId="77" xfId="48" applyFill="1" applyBorder="1">
      <alignment horizontal="center" vertical="center"/>
    </xf>
    <xf numFmtId="49" fontId="0" fillId="0" borderId="89" xfId="0" applyNumberFormat="1" applyBorder="1">
      <alignment horizontal="center" vertical="center"/>
    </xf>
    <xf numFmtId="0" fontId="0" fillId="0" borderId="89" xfId="46" applyFont="1" applyFill="1" applyBorder="1">
      <alignment horizontal="center" vertical="center"/>
    </xf>
    <xf numFmtId="0" fontId="0" fillId="51" borderId="89" xfId="53" applyFont="1" applyFill="1" applyBorder="1">
      <alignment horizontal="center" vertical="center"/>
    </xf>
    <xf numFmtId="49" fontId="0" fillId="53" borderId="89" xfId="0" applyNumberFormat="1" applyFill="1" applyBorder="1">
      <alignment horizontal="center" vertical="center"/>
    </xf>
    <xf numFmtId="0" fontId="0" fillId="53" borderId="89" xfId="0" applyFill="1" applyBorder="1">
      <alignment horizontal="center" vertical="center"/>
    </xf>
    <xf numFmtId="0" fontId="0" fillId="73" borderId="89" xfId="44" applyFont="1" applyBorder="1">
      <alignment horizontal="center" vertical="center"/>
    </xf>
    <xf numFmtId="0" fontId="0" fillId="51" borderId="96" xfId="0" applyFill="1" applyBorder="1">
      <alignment horizontal="center" vertical="center"/>
    </xf>
    <xf numFmtId="0" fontId="0" fillId="52" borderId="89" xfId="44" applyFont="1" applyFill="1" applyBorder="1">
      <alignment horizontal="center" vertical="center"/>
    </xf>
    <xf numFmtId="0" fontId="0" fillId="52" borderId="89" xfId="0" applyFill="1" applyBorder="1">
      <alignment horizontal="center" vertical="center"/>
    </xf>
    <xf numFmtId="49" fontId="0" fillId="52" borderId="89" xfId="0" applyNumberFormat="1" applyFill="1" applyBorder="1">
      <alignment horizontal="center" vertical="center"/>
    </xf>
    <xf numFmtId="0" fontId="8" fillId="51" borderId="89" xfId="47" applyFill="1" applyBorder="1">
      <alignment horizontal="center" vertical="center"/>
    </xf>
    <xf numFmtId="0" fontId="0" fillId="0" borderId="89" xfId="53" applyFont="1" applyBorder="1">
      <alignment horizontal="center" vertical="center"/>
    </xf>
    <xf numFmtId="0" fontId="8" fillId="91" borderId="89" xfId="56" applyFill="1" applyBorder="1">
      <alignment horizontal="center" vertical="center"/>
    </xf>
    <xf numFmtId="1" fontId="0" fillId="52" borderId="89" xfId="32" applyNumberFormat="1" applyFont="1" applyFill="1" applyBorder="1" applyAlignment="1">
      <alignment horizontal="center" vertical="center"/>
    </xf>
    <xf numFmtId="49" fontId="0" fillId="51" borderId="89" xfId="44" applyNumberFormat="1" applyFont="1" applyFill="1" applyBorder="1">
      <alignment horizontal="center" vertical="center"/>
    </xf>
    <xf numFmtId="49" fontId="0" fillId="51" borderId="89" xfId="32" applyNumberFormat="1" applyFont="1" applyFill="1" applyBorder="1" applyAlignment="1">
      <alignment horizontal="center" vertical="center"/>
    </xf>
    <xf numFmtId="0" fontId="20" fillId="0" borderId="90" xfId="0" applyFont="1" applyBorder="1" applyAlignment="1">
      <alignment wrapText="1"/>
    </xf>
    <xf numFmtId="0" fontId="45" fillId="0" borderId="90" xfId="0" applyFont="1" applyBorder="1" applyAlignment="1">
      <alignment vertical="center"/>
    </xf>
    <xf numFmtId="0" fontId="0" fillId="0" borderId="89" xfId="0" applyBorder="1" applyAlignment="1">
      <alignment horizontal="center"/>
    </xf>
    <xf numFmtId="0" fontId="8" fillId="0" borderId="89" xfId="0" applyFont="1" applyBorder="1" applyAlignment="1">
      <alignment horizontal="center"/>
    </xf>
    <xf numFmtId="0" fontId="7" fillId="0" borderId="89" xfId="0" applyFont="1" applyBorder="1" applyAlignment="1">
      <alignment horizontal="center"/>
    </xf>
    <xf numFmtId="0" fontId="7" fillId="0" borderId="95" xfId="0" applyFont="1" applyBorder="1" applyAlignment="1">
      <alignment horizontal="center"/>
    </xf>
    <xf numFmtId="0" fontId="8" fillId="0" borderId="95" xfId="0" applyFont="1" applyBorder="1" applyAlignment="1">
      <alignment horizontal="center"/>
    </xf>
    <xf numFmtId="0" fontId="0" fillId="26" borderId="89" xfId="0" applyFill="1" applyBorder="1" applyAlignment="1">
      <alignment horizontal="center"/>
    </xf>
    <xf numFmtId="0" fontId="9" fillId="31" borderId="89" xfId="0" applyFont="1" applyFill="1" applyBorder="1" applyAlignment="1">
      <alignment horizontal="center"/>
    </xf>
    <xf numFmtId="0" fontId="9" fillId="31" borderId="95" xfId="0" applyFont="1" applyFill="1" applyBorder="1">
      <alignment horizontal="center" vertical="center"/>
    </xf>
    <xf numFmtId="0" fontId="0" fillId="0" borderId="90" xfId="0" applyBorder="1" applyAlignment="1">
      <alignment horizontal="center"/>
    </xf>
    <xf numFmtId="0" fontId="0" fillId="24" borderId="89" xfId="0" applyFill="1" applyBorder="1" applyAlignment="1">
      <alignment horizontal="center"/>
    </xf>
    <xf numFmtId="0" fontId="8" fillId="0" borderId="90" xfId="0" applyFont="1" applyBorder="1">
      <alignment horizontal="center" vertical="center"/>
    </xf>
    <xf numFmtId="166" fontId="0" fillId="0" borderId="95" xfId="0" applyNumberFormat="1" applyBorder="1">
      <alignment horizontal="center" vertical="center"/>
    </xf>
    <xf numFmtId="2" fontId="0" fillId="0" borderId="89" xfId="0" applyNumberFormat="1" applyBorder="1" applyAlignment="1">
      <alignment horizontal="center"/>
    </xf>
    <xf numFmtId="0" fontId="0" fillId="0" borderId="89" xfId="0" applyBorder="1" applyAlignment="1" applyProtection="1">
      <alignment horizontal="center"/>
      <protection locked="0"/>
    </xf>
    <xf numFmtId="0" fontId="5" fillId="0" borderId="89" xfId="0" applyFont="1" applyBorder="1" applyAlignment="1">
      <alignment horizontal="center"/>
    </xf>
    <xf numFmtId="0" fontId="5" fillId="0" borderId="96" xfId="0" applyFont="1" applyBorder="1" applyAlignment="1">
      <alignment horizontal="center"/>
    </xf>
    <xf numFmtId="0" fontId="9" fillId="32" borderId="89" xfId="0" applyFont="1" applyFill="1" applyBorder="1" applyAlignment="1">
      <alignment horizontal="center"/>
    </xf>
    <xf numFmtId="0" fontId="0" fillId="51" borderId="54" xfId="44" applyFont="1" applyFill="1" applyBorder="1">
      <alignment horizontal="center" vertical="center"/>
    </xf>
    <xf numFmtId="0" fontId="14" fillId="94" borderId="53" xfId="0" applyFont="1" applyFill="1" applyBorder="1" applyAlignment="1">
      <alignment horizontal="center"/>
    </xf>
    <xf numFmtId="0" fontId="0" fillId="0" borderId="59" xfId="51" applyFont="1" applyFill="1" applyBorder="1">
      <alignment horizontal="center" vertical="center"/>
    </xf>
    <xf numFmtId="0" fontId="0" fillId="71" borderId="91" xfId="0" applyFill="1" applyBorder="1" applyAlignment="1"/>
    <xf numFmtId="0" fontId="0" fillId="0" borderId="40" xfId="51" applyFont="1" applyFill="1" applyBorder="1">
      <alignment horizontal="center" vertical="center"/>
    </xf>
    <xf numFmtId="0" fontId="0" fillId="51" borderId="112" xfId="0" applyFill="1" applyBorder="1">
      <alignment horizontal="center" vertical="center"/>
    </xf>
    <xf numFmtId="0" fontId="0" fillId="51" borderId="59" xfId="46" applyFont="1" applyFill="1" applyBorder="1">
      <alignment horizontal="center" vertical="center"/>
    </xf>
    <xf numFmtId="0" fontId="14" fillId="94" borderId="113" xfId="0" applyFont="1" applyFill="1" applyBorder="1" applyAlignment="1">
      <alignment horizontal="center"/>
    </xf>
    <xf numFmtId="0" fontId="5" fillId="0" borderId="87" xfId="0" applyFont="1" applyBorder="1" applyAlignment="1">
      <alignment horizontal="center"/>
    </xf>
    <xf numFmtId="0" fontId="0" fillId="0" borderId="114" xfId="0" applyBorder="1" applyAlignment="1"/>
    <xf numFmtId="0" fontId="5" fillId="0" borderId="115" xfId="0" applyFont="1" applyBorder="1" applyAlignment="1">
      <alignment horizontal="left"/>
    </xf>
    <xf numFmtId="0" fontId="0" fillId="0" borderId="115" xfId="0" applyBorder="1" applyAlignment="1"/>
    <xf numFmtId="0" fontId="0" fillId="0" borderId="116" xfId="0" applyBorder="1" applyAlignment="1"/>
    <xf numFmtId="0" fontId="0" fillId="0" borderId="117" xfId="0" applyBorder="1" applyAlignment="1"/>
    <xf numFmtId="0" fontId="0" fillId="0" borderId="42" xfId="0" applyBorder="1" applyAlignment="1">
      <alignment horizontal="center"/>
    </xf>
    <xf numFmtId="0" fontId="60" fillId="0" borderId="118" xfId="0" applyFont="1" applyBorder="1" applyAlignment="1">
      <alignment horizontal="left" vertical="center"/>
    </xf>
    <xf numFmtId="0" fontId="0" fillId="51" borderId="58" xfId="0" applyFill="1" applyBorder="1" applyAlignment="1">
      <alignment horizontal="left" vertical="center"/>
    </xf>
    <xf numFmtId="0" fontId="0" fillId="0" borderId="114" xfId="0" applyBorder="1">
      <alignment horizontal="center" vertical="center"/>
    </xf>
    <xf numFmtId="0" fontId="0" fillId="0" borderId="115" xfId="0" applyBorder="1">
      <alignment horizontal="center" vertical="center"/>
    </xf>
    <xf numFmtId="0" fontId="0" fillId="0" borderId="116" xfId="0" applyBorder="1">
      <alignment horizontal="center" vertical="center"/>
    </xf>
    <xf numFmtId="0" fontId="0" fillId="0" borderId="117" xfId="0" applyBorder="1">
      <alignment horizontal="center" vertical="center"/>
    </xf>
    <xf numFmtId="0" fontId="0" fillId="0" borderId="91" xfId="0" applyBorder="1" applyAlignment="1">
      <alignment horizontal="center"/>
    </xf>
    <xf numFmtId="0" fontId="5" fillId="0" borderId="120" xfId="0" applyFont="1" applyBorder="1" applyAlignment="1">
      <alignment horizontal="left"/>
    </xf>
    <xf numFmtId="0" fontId="0" fillId="0" borderId="120" xfId="0" applyBorder="1">
      <alignment horizontal="center" vertical="center"/>
    </xf>
    <xf numFmtId="0" fontId="0" fillId="0" borderId="121" xfId="0" applyBorder="1">
      <alignment horizontal="center" vertical="center"/>
    </xf>
    <xf numFmtId="0" fontId="0" fillId="0" borderId="122" xfId="0" applyBorder="1">
      <alignment horizontal="center" vertical="center"/>
    </xf>
    <xf numFmtId="0" fontId="0" fillId="0" borderId="110" xfId="0" applyBorder="1">
      <alignment horizontal="center" vertical="center"/>
    </xf>
    <xf numFmtId="49" fontId="0" fillId="0" borderId="110" xfId="0" applyNumberFormat="1" applyBorder="1">
      <alignment horizontal="center" vertical="center"/>
    </xf>
    <xf numFmtId="49" fontId="0" fillId="0" borderId="119" xfId="0" applyNumberFormat="1" applyBorder="1">
      <alignment horizontal="center" vertical="center"/>
    </xf>
    <xf numFmtId="0" fontId="14" fillId="0" borderId="87" xfId="0" applyFont="1" applyBorder="1" applyAlignment="1">
      <alignment horizontal="center"/>
    </xf>
    <xf numFmtId="49" fontId="0" fillId="51" borderId="59" xfId="0" applyNumberFormat="1" applyFill="1" applyBorder="1">
      <alignment horizontal="center" vertical="center"/>
    </xf>
    <xf numFmtId="0" fontId="0" fillId="0" borderId="126" xfId="0" applyBorder="1">
      <alignment horizontal="center" vertical="center"/>
    </xf>
    <xf numFmtId="0" fontId="5" fillId="0" borderId="127" xfId="0" applyFont="1" applyBorder="1" applyAlignment="1">
      <alignment horizontal="center"/>
    </xf>
    <xf numFmtId="0" fontId="0" fillId="0" borderId="56" xfId="0" applyBorder="1">
      <alignment horizontal="center" vertical="center"/>
    </xf>
    <xf numFmtId="49" fontId="14" fillId="0" borderId="19" xfId="0" applyNumberFormat="1" applyFont="1" applyBorder="1">
      <alignment horizontal="center" vertical="center"/>
    </xf>
    <xf numFmtId="0" fontId="0" fillId="0" borderId="74" xfId="0" applyBorder="1">
      <alignment horizontal="center" vertical="center"/>
    </xf>
    <xf numFmtId="0" fontId="0" fillId="94" borderId="74" xfId="0" applyFill="1" applyBorder="1">
      <alignment horizontal="center" vertical="center"/>
    </xf>
    <xf numFmtId="0" fontId="0" fillId="94" borderId="75" xfId="0" applyFill="1" applyBorder="1">
      <alignment horizontal="center" vertical="center"/>
    </xf>
    <xf numFmtId="0" fontId="0" fillId="94" borderId="128" xfId="43" applyFont="1" applyFill="1" applyBorder="1">
      <alignment horizontal="center" vertical="center"/>
    </xf>
    <xf numFmtId="49" fontId="0" fillId="94" borderId="128" xfId="0" applyNumberFormat="1" applyFill="1" applyBorder="1">
      <alignment horizontal="center" vertical="center"/>
    </xf>
    <xf numFmtId="0" fontId="0" fillId="94" borderId="128" xfId="0" applyFill="1" applyBorder="1">
      <alignment horizontal="center" vertical="center"/>
    </xf>
    <xf numFmtId="0" fontId="0" fillId="94" borderId="128" xfId="32" applyFont="1" applyFill="1" applyBorder="1" applyAlignment="1">
      <alignment horizontal="center" vertical="center"/>
    </xf>
    <xf numFmtId="0" fontId="0" fillId="94" borderId="128" xfId="46" applyFont="1" applyFill="1" applyBorder="1">
      <alignment horizontal="center" vertical="center"/>
    </xf>
    <xf numFmtId="0" fontId="0" fillId="94" borderId="129" xfId="43" applyFont="1" applyFill="1" applyBorder="1">
      <alignment horizontal="center" vertical="center"/>
    </xf>
    <xf numFmtId="0" fontId="21" fillId="76" borderId="130" xfId="0" applyFont="1" applyFill="1" applyBorder="1" applyAlignment="1">
      <alignment vertical="center"/>
    </xf>
    <xf numFmtId="0" fontId="0" fillId="51" borderId="32" xfId="48" applyFont="1" applyFill="1" applyBorder="1">
      <alignment horizontal="center" vertical="center"/>
    </xf>
    <xf numFmtId="0" fontId="0" fillId="0" borderId="131" xfId="0" applyBorder="1" applyAlignment="1">
      <alignment horizontal="left" vertical="center"/>
    </xf>
    <xf numFmtId="0" fontId="59" fillId="94" borderId="67" xfId="0" applyFont="1" applyFill="1" applyBorder="1" applyAlignment="1"/>
    <xf numFmtId="0" fontId="0" fillId="51" borderId="69" xfId="0" applyFill="1" applyBorder="1">
      <alignment horizontal="center" vertical="center"/>
    </xf>
    <xf numFmtId="0" fontId="0" fillId="0" borderId="65" xfId="0" applyBorder="1" applyAlignment="1"/>
    <xf numFmtId="0" fontId="0" fillId="0" borderId="66" xfId="51" applyFont="1" applyFill="1" applyBorder="1">
      <alignment horizontal="center" vertical="center"/>
    </xf>
    <xf numFmtId="0" fontId="14" fillId="94" borderId="123" xfId="0" applyFont="1" applyFill="1" applyBorder="1" applyAlignment="1"/>
    <xf numFmtId="0" fontId="0" fillId="0" borderId="0" xfId="0" applyBorder="1" applyAlignment="1">
      <alignment horizontal="center"/>
    </xf>
    <xf numFmtId="0" fontId="5" fillId="0" borderId="121" xfId="0" applyFont="1" applyBorder="1" applyAlignment="1">
      <alignment horizontal="left"/>
    </xf>
    <xf numFmtId="0" fontId="14" fillId="77" borderId="43" xfId="0" applyFont="1" applyFill="1" applyBorder="1">
      <alignment horizontal="center" vertical="center"/>
    </xf>
    <xf numFmtId="0" fontId="7" fillId="76" borderId="44" xfId="0" applyFont="1" applyFill="1" applyBorder="1">
      <alignment horizontal="center" vertical="center"/>
    </xf>
    <xf numFmtId="0" fontId="7" fillId="76" borderId="45" xfId="0" applyFont="1" applyFill="1" applyBorder="1">
      <alignment horizontal="center" vertical="center"/>
    </xf>
    <xf numFmtId="0" fontId="0" fillId="51" borderId="50" xfId="48" applyFont="1" applyFill="1" applyBorder="1">
      <alignment horizontal="center" vertical="center"/>
    </xf>
    <xf numFmtId="49" fontId="0" fillId="51" borderId="104" xfId="0" applyNumberFormat="1" applyFill="1" applyBorder="1">
      <alignment horizontal="center" vertical="center"/>
    </xf>
    <xf numFmtId="0" fontId="0" fillId="0" borderId="43" xfId="0" applyBorder="1" applyAlignment="1"/>
    <xf numFmtId="0" fontId="0" fillId="0" borderId="44" xfId="51" applyFont="1" applyFill="1" applyBorder="1">
      <alignment horizontal="center" vertical="center"/>
    </xf>
    <xf numFmtId="0" fontId="0" fillId="0" borderId="45" xfId="51" applyFont="1" applyFill="1" applyBorder="1">
      <alignment horizontal="center" vertical="center"/>
    </xf>
    <xf numFmtId="0" fontId="5" fillId="0" borderId="114" xfId="0" applyFont="1" applyBorder="1" applyAlignment="1">
      <alignment horizontal="left"/>
    </xf>
    <xf numFmtId="0" fontId="0" fillId="0" borderId="133" xfId="0" applyBorder="1" applyAlignment="1"/>
    <xf numFmtId="0" fontId="0" fillId="52" borderId="34" xfId="51" applyFont="1" applyFill="1" applyBorder="1">
      <alignment horizontal="center" vertical="center"/>
    </xf>
    <xf numFmtId="0" fontId="14" fillId="76" borderId="113" xfId="0" applyFont="1" applyFill="1" applyBorder="1" applyAlignment="1">
      <alignment horizontal="center"/>
    </xf>
    <xf numFmtId="0" fontId="14" fillId="76" borderId="123" xfId="0" applyFont="1" applyFill="1" applyBorder="1" applyAlignment="1">
      <alignment horizontal="center"/>
    </xf>
    <xf numFmtId="0" fontId="0" fillId="0" borderId="58" xfId="0" applyBorder="1" applyAlignment="1">
      <alignment horizontal="left" vertical="center"/>
    </xf>
    <xf numFmtId="0" fontId="8" fillId="89" borderId="49" xfId="0" applyFont="1" applyFill="1" applyBorder="1">
      <alignment horizontal="center" vertical="center"/>
    </xf>
    <xf numFmtId="0" fontId="8" fillId="92" borderId="49" xfId="0" applyFont="1" applyFill="1" applyBorder="1">
      <alignment horizontal="center" vertical="center"/>
    </xf>
    <xf numFmtId="0" fontId="8" fillId="89" borderId="50" xfId="0" applyFont="1" applyFill="1" applyBorder="1">
      <alignment horizontal="center" vertical="center"/>
    </xf>
    <xf numFmtId="0" fontId="8" fillId="89" borderId="40" xfId="0" applyFont="1" applyFill="1" applyBorder="1">
      <alignment horizontal="center" vertical="center"/>
    </xf>
    <xf numFmtId="0" fontId="0" fillId="95" borderId="40" xfId="0" applyFill="1" applyBorder="1">
      <alignment horizontal="center" vertical="center"/>
    </xf>
    <xf numFmtId="0" fontId="8" fillId="89" borderId="66" xfId="0" applyFont="1" applyFill="1" applyBorder="1">
      <alignment horizontal="center" vertical="center"/>
    </xf>
    <xf numFmtId="0" fontId="15" fillId="76" borderId="67" xfId="0" applyFont="1" applyFill="1" applyBorder="1" applyAlignment="1"/>
    <xf numFmtId="49" fontId="0" fillId="51" borderId="112" xfId="0" applyNumberFormat="1" applyFill="1" applyBorder="1">
      <alignment horizontal="center" vertical="center"/>
    </xf>
    <xf numFmtId="49" fontId="0" fillId="52" borderId="134" xfId="0" applyNumberFormat="1" applyFill="1" applyBorder="1">
      <alignment horizontal="center" vertical="center"/>
    </xf>
    <xf numFmtId="0" fontId="0" fillId="51" borderId="134" xfId="0" applyFill="1" applyBorder="1">
      <alignment horizontal="center" vertical="center"/>
    </xf>
    <xf numFmtId="0" fontId="0" fillId="0" borderId="118" xfId="0" applyBorder="1" applyAlignment="1">
      <alignment horizontal="left" vertical="center"/>
    </xf>
    <xf numFmtId="0" fontId="0" fillId="51" borderId="85" xfId="48" applyFont="1" applyFill="1" applyBorder="1">
      <alignment horizontal="center" vertical="center"/>
    </xf>
    <xf numFmtId="0" fontId="14" fillId="76" borderId="73" xfId="0" applyFont="1" applyFill="1" applyBorder="1" applyAlignment="1"/>
    <xf numFmtId="0" fontId="0" fillId="51" borderId="75" xfId="0" applyFill="1" applyBorder="1">
      <alignment horizontal="center" vertical="center"/>
    </xf>
    <xf numFmtId="0" fontId="0" fillId="51" borderId="72" xfId="0" applyFill="1" applyBorder="1" applyAlignment="1" applyProtection="1">
      <alignment horizontal="left" vertical="center"/>
      <protection locked="0"/>
    </xf>
    <xf numFmtId="0" fontId="0" fillId="0" borderId="118" xfId="0" applyBorder="1" applyAlignment="1"/>
    <xf numFmtId="0" fontId="0" fillId="0" borderId="85" xfId="51" applyFont="1" applyFill="1" applyBorder="1">
      <alignment horizontal="center" vertical="center"/>
    </xf>
    <xf numFmtId="0" fontId="59" fillId="76" borderId="73" xfId="0" applyFont="1" applyFill="1" applyBorder="1" applyAlignment="1"/>
    <xf numFmtId="0" fontId="0" fillId="51" borderId="104" xfId="47" applyFont="1" applyFill="1" applyBorder="1">
      <alignment horizontal="center" vertical="center"/>
    </xf>
    <xf numFmtId="0" fontId="14" fillId="76" borderId="135" xfId="0" applyFont="1" applyFill="1" applyBorder="1" applyAlignment="1">
      <alignment horizontal="center"/>
    </xf>
    <xf numFmtId="0" fontId="14" fillId="76" borderId="113" xfId="0" applyFont="1" applyFill="1" applyBorder="1" applyAlignment="1">
      <alignment horizontal="left" vertical="center"/>
    </xf>
    <xf numFmtId="0" fontId="0" fillId="0" borderId="91" xfId="0" applyBorder="1">
      <alignment horizontal="center" vertical="center"/>
    </xf>
    <xf numFmtId="0" fontId="0" fillId="51" borderId="64" xfId="0" applyFill="1" applyBorder="1" applyAlignment="1" applyProtection="1">
      <alignment horizontal="left" vertic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20" applyFont="1" applyFill="1" applyBorder="1" applyAlignment="1">
      <alignment horizontal="center" vertical="center"/>
    </xf>
    <xf numFmtId="0" fontId="0" fillId="0" borderId="0" xfId="44" applyFont="1" applyFill="1" applyBorder="1">
      <alignment horizontal="center" vertical="center"/>
    </xf>
    <xf numFmtId="0" fontId="8" fillId="0" borderId="89" xfId="0" applyFont="1" applyBorder="1">
      <alignment horizontal="center" vertical="center"/>
    </xf>
    <xf numFmtId="0" fontId="7" fillId="0" borderId="89" xfId="0" applyFont="1" applyBorder="1" applyAlignment="1">
      <alignment horizontal="left"/>
    </xf>
    <xf numFmtId="0" fontId="0" fillId="55" borderId="89" xfId="48" applyFont="1" applyFill="1" applyBorder="1">
      <alignment horizontal="center" vertical="center"/>
    </xf>
    <xf numFmtId="0" fontId="0" fillId="68" borderId="35" xfId="0" applyFill="1" applyBorder="1">
      <alignment horizontal="center" vertical="center"/>
    </xf>
    <xf numFmtId="0" fontId="0" fillId="76" borderId="35" xfId="0" applyFill="1" applyBorder="1">
      <alignment horizontal="center" vertical="center"/>
    </xf>
    <xf numFmtId="1" fontId="4" fillId="51" borderId="35" xfId="32" applyNumberFormat="1" applyFont="1" applyFill="1" applyBorder="1" applyAlignment="1">
      <alignment horizontal="center" vertical="center"/>
    </xf>
    <xf numFmtId="0" fontId="4" fillId="51" borderId="35" xfId="44" applyFont="1" applyFill="1" applyBorder="1">
      <alignment horizontal="center" vertical="center"/>
    </xf>
    <xf numFmtId="0" fontId="4" fillId="51" borderId="35" xfId="0" applyFont="1" applyFill="1" applyBorder="1">
      <alignment horizontal="center" vertical="center"/>
    </xf>
    <xf numFmtId="0" fontId="4" fillId="51" borderId="35" xfId="20" applyFont="1" applyFill="1" applyBorder="1" applyAlignment="1">
      <alignment horizontal="center" vertical="center"/>
    </xf>
    <xf numFmtId="1" fontId="4" fillId="51" borderId="35" xfId="44" applyNumberFormat="1" applyFont="1" applyFill="1" applyBorder="1">
      <alignment horizontal="center" vertical="center"/>
    </xf>
    <xf numFmtId="0" fontId="4" fillId="51" borderId="35" xfId="48" applyFont="1" applyFill="1" applyBorder="1">
      <alignment horizontal="center" vertical="center"/>
    </xf>
    <xf numFmtId="0" fontId="4" fillId="51" borderId="35" xfId="49" applyFont="1" applyFill="1" applyBorder="1">
      <alignment horizontal="center" vertical="center"/>
    </xf>
    <xf numFmtId="0" fontId="4" fillId="51" borderId="35" xfId="43" applyFont="1" applyFill="1" applyBorder="1">
      <alignment horizontal="center" vertical="center"/>
    </xf>
    <xf numFmtId="0" fontId="7" fillId="76" borderId="35" xfId="0" applyFont="1" applyFill="1" applyBorder="1">
      <alignment horizontal="center" vertical="center"/>
    </xf>
    <xf numFmtId="0" fontId="14" fillId="77" borderId="46" xfId="0" applyFont="1" applyFill="1" applyBorder="1">
      <alignment horizontal="center" vertical="center"/>
    </xf>
    <xf numFmtId="0" fontId="0" fillId="76" borderId="47" xfId="0" applyFill="1" applyBorder="1">
      <alignment horizontal="center" vertical="center"/>
    </xf>
    <xf numFmtId="0" fontId="8" fillId="0" borderId="46" xfId="0" applyFont="1" applyBorder="1" applyAlignment="1">
      <alignment horizontal="left" vertical="center"/>
    </xf>
    <xf numFmtId="0" fontId="4" fillId="51" borderId="47" xfId="44" applyFont="1" applyFill="1" applyBorder="1">
      <alignment horizontal="center" vertical="center"/>
    </xf>
    <xf numFmtId="0" fontId="7" fillId="76" borderId="47" xfId="0" applyFont="1" applyFill="1" applyBorder="1">
      <alignment horizontal="center" vertical="center"/>
    </xf>
    <xf numFmtId="0" fontId="14" fillId="76" borderId="67" xfId="0" applyFont="1" applyFill="1" applyBorder="1">
      <alignment horizontal="center" vertical="center"/>
    </xf>
    <xf numFmtId="0" fontId="0" fillId="76" borderId="68" xfId="32" applyFont="1" applyFill="1" applyBorder="1" applyAlignment="1">
      <alignment horizontal="center" vertical="center"/>
    </xf>
    <xf numFmtId="0" fontId="0" fillId="76" borderId="68" xfId="43" applyFont="1" applyFill="1" applyBorder="1">
      <alignment horizontal="center" vertical="center"/>
    </xf>
    <xf numFmtId="0" fontId="0" fillId="76" borderId="69" xfId="43" applyFont="1" applyFill="1" applyBorder="1">
      <alignment horizontal="center" vertical="center"/>
    </xf>
    <xf numFmtId="0" fontId="0" fillId="0" borderId="136" xfId="0" applyBorder="1" applyAlignment="1">
      <alignment vertical="center"/>
    </xf>
    <xf numFmtId="0" fontId="0" fillId="51" borderId="92" xfId="32" applyFont="1" applyFill="1" applyBorder="1" applyAlignment="1">
      <alignment horizontal="center" vertical="center"/>
    </xf>
    <xf numFmtId="0" fontId="0" fillId="51" borderId="92" xfId="43" applyFont="1" applyFill="1" applyBorder="1">
      <alignment horizontal="center" vertical="center"/>
    </xf>
    <xf numFmtId="0" fontId="0" fillId="51" borderId="137" xfId="43" applyFont="1" applyFill="1" applyBorder="1">
      <alignment horizontal="center" vertical="center"/>
    </xf>
    <xf numFmtId="0" fontId="0" fillId="76" borderId="68" xfId="48" applyFont="1" applyFill="1" applyBorder="1">
      <alignment horizontal="center" vertical="center"/>
    </xf>
    <xf numFmtId="0" fontId="0" fillId="76" borderId="68" xfId="44" applyFont="1" applyFill="1" applyBorder="1">
      <alignment horizontal="center" vertical="center"/>
    </xf>
    <xf numFmtId="0" fontId="0" fillId="51" borderId="39" xfId="48" applyFont="1" applyFill="1" applyBorder="1">
      <alignment horizontal="center" vertical="center"/>
    </xf>
    <xf numFmtId="0" fontId="0" fillId="51" borderId="39" xfId="44" applyFont="1" applyFill="1" applyBorder="1">
      <alignment horizontal="center" vertical="center"/>
    </xf>
    <xf numFmtId="0" fontId="0" fillId="0" borderId="138" xfId="0" applyBorder="1" applyAlignment="1">
      <alignment vertical="center"/>
    </xf>
    <xf numFmtId="0" fontId="0" fillId="51" borderId="128" xfId="32" applyFont="1" applyFill="1" applyBorder="1" applyAlignment="1">
      <alignment horizontal="center" vertical="center"/>
    </xf>
    <xf numFmtId="0" fontId="0" fillId="51" borderId="128" xfId="43" applyFont="1" applyFill="1" applyBorder="1">
      <alignment horizontal="center" vertical="center"/>
    </xf>
    <xf numFmtId="0" fontId="0" fillId="51" borderId="129" xfId="43" applyFont="1" applyFill="1" applyBorder="1">
      <alignment horizontal="center" vertical="center"/>
    </xf>
    <xf numFmtId="0" fontId="7" fillId="76" borderId="68" xfId="0" applyFont="1" applyFill="1" applyBorder="1">
      <alignment horizontal="center" vertical="center"/>
    </xf>
    <xf numFmtId="0" fontId="7" fillId="76" borderId="69" xfId="0" applyFont="1" applyFill="1" applyBorder="1">
      <alignment horizontal="center" vertical="center"/>
    </xf>
    <xf numFmtId="0" fontId="0" fillId="51" borderId="40" xfId="43" applyFont="1" applyFill="1" applyBorder="1">
      <alignment horizontal="center" vertical="center"/>
    </xf>
    <xf numFmtId="0" fontId="0" fillId="51" borderId="66" xfId="43" applyFont="1" applyFill="1" applyBorder="1">
      <alignment horizontal="center" vertical="center"/>
    </xf>
    <xf numFmtId="0" fontId="14" fillId="77" borderId="67" xfId="0" applyFont="1" applyFill="1" applyBorder="1">
      <alignment horizontal="center" vertical="center"/>
    </xf>
    <xf numFmtId="0" fontId="0" fillId="76" borderId="68" xfId="0" applyFill="1" applyBorder="1">
      <alignment horizontal="center" vertical="center"/>
    </xf>
    <xf numFmtId="0" fontId="0" fillId="76" borderId="69" xfId="0" applyFill="1" applyBorder="1">
      <alignment horizontal="center" vertical="center"/>
    </xf>
    <xf numFmtId="1" fontId="0" fillId="51" borderId="40" xfId="0" applyNumberFormat="1" applyFill="1" applyBorder="1">
      <alignment horizontal="center" vertical="center"/>
    </xf>
    <xf numFmtId="1" fontId="4" fillId="51" borderId="40" xfId="32" applyNumberFormat="1" applyFont="1" applyFill="1" applyBorder="1" applyAlignment="1">
      <alignment horizontal="center" vertical="center"/>
    </xf>
    <xf numFmtId="0" fontId="4" fillId="51" borderId="40" xfId="44" applyFont="1" applyFill="1" applyBorder="1">
      <alignment horizontal="center" vertical="center"/>
    </xf>
    <xf numFmtId="1" fontId="0" fillId="51" borderId="66" xfId="0" applyNumberFormat="1" applyFill="1" applyBorder="1">
      <alignment horizontal="center" vertical="center"/>
    </xf>
    <xf numFmtId="0" fontId="14" fillId="77" borderId="67" xfId="0" applyFont="1" applyFill="1" applyBorder="1" applyAlignment="1" applyProtection="1">
      <alignment horizontal="center"/>
      <protection locked="0"/>
    </xf>
    <xf numFmtId="0" fontId="85" fillId="0" borderId="65" xfId="0" applyFont="1" applyBorder="1" applyAlignment="1">
      <alignment horizontal="left" vertical="center"/>
    </xf>
    <xf numFmtId="0" fontId="71" fillId="0" borderId="48" xfId="0" applyFont="1" applyBorder="1" applyAlignment="1" applyProtection="1">
      <alignment horizontal="left"/>
      <protection locked="0"/>
    </xf>
    <xf numFmtId="0" fontId="0" fillId="0" borderId="44" xfId="0" applyBorder="1">
      <alignment horizontal="center" vertical="center"/>
    </xf>
    <xf numFmtId="0" fontId="0" fillId="0" borderId="45" xfId="0" applyBorder="1">
      <alignment horizontal="center" vertical="center"/>
    </xf>
    <xf numFmtId="0" fontId="65" fillId="0" borderId="0" xfId="0" applyFont="1" applyBorder="1" applyAlignment="1" applyProtection="1">
      <alignment horizontal="left"/>
      <protection locked="0"/>
    </xf>
    <xf numFmtId="0" fontId="0" fillId="68" borderId="47" xfId="0" applyFill="1" applyBorder="1">
      <alignment horizontal="center" vertical="center"/>
    </xf>
    <xf numFmtId="0" fontId="21" fillId="76" borderId="67" xfId="0" applyFont="1" applyFill="1" applyBorder="1" applyAlignment="1">
      <alignment vertical="center"/>
    </xf>
    <xf numFmtId="0" fontId="0" fillId="51" borderId="76" xfId="48" applyFont="1" applyFill="1" applyBorder="1">
      <alignment horizontal="center" vertical="center"/>
    </xf>
    <xf numFmtId="0" fontId="0" fillId="51" borderId="66" xfId="48" applyFont="1" applyFill="1" applyBorder="1">
      <alignment horizontal="center" vertical="center"/>
    </xf>
    <xf numFmtId="0" fontId="14" fillId="94" borderId="67" xfId="0" applyFont="1" applyFill="1" applyBorder="1" applyAlignment="1">
      <alignment horizontal="left" vertical="center"/>
    </xf>
    <xf numFmtId="0" fontId="0" fillId="0" borderId="39" xfId="0" applyBorder="1">
      <alignment horizontal="center" vertical="center"/>
    </xf>
    <xf numFmtId="0" fontId="0" fillId="0" borderId="76" xfId="0" applyBorder="1">
      <alignment horizontal="center" vertical="center"/>
    </xf>
    <xf numFmtId="0" fontId="0" fillId="51" borderId="40" xfId="53" applyFont="1" applyFill="1" applyBorder="1">
      <alignment horizontal="center" vertical="center"/>
    </xf>
    <xf numFmtId="0" fontId="14" fillId="68" borderId="135" xfId="0" applyFont="1" applyFill="1" applyBorder="1" applyAlignment="1">
      <alignment horizontal="center"/>
    </xf>
    <xf numFmtId="0" fontId="0" fillId="51" borderId="139" xfId="0" applyFill="1" applyBorder="1" applyAlignment="1" applyProtection="1">
      <alignment horizontal="left" vertical="center"/>
      <protection locked="0"/>
    </xf>
    <xf numFmtId="0" fontId="0" fillId="51" borderId="104" xfId="0" applyFill="1" applyBorder="1">
      <alignment horizontal="center" vertical="center"/>
    </xf>
    <xf numFmtId="0" fontId="0" fillId="71" borderId="118" xfId="0" applyFill="1" applyBorder="1" applyAlignment="1"/>
    <xf numFmtId="0" fontId="81" fillId="68" borderId="67" xfId="0" applyFont="1" applyFill="1" applyBorder="1">
      <alignment horizontal="center" vertical="center"/>
    </xf>
    <xf numFmtId="0" fontId="81" fillId="68" borderId="19" xfId="0" applyFont="1" applyFill="1" applyBorder="1">
      <alignment horizontal="center" vertical="center"/>
    </xf>
    <xf numFmtId="0" fontId="14" fillId="68" borderId="87" xfId="0" applyFont="1" applyFill="1" applyBorder="1" applyAlignment="1" applyProtection="1">
      <alignment horizontal="left"/>
      <protection locked="0"/>
    </xf>
    <xf numFmtId="0" fontId="0" fillId="69" borderId="87" xfId="0" applyFill="1" applyBorder="1" applyAlignment="1"/>
    <xf numFmtId="0" fontId="0" fillId="69" borderId="120" xfId="0" applyFill="1" applyBorder="1" applyAlignment="1"/>
    <xf numFmtId="0" fontId="57" fillId="69" borderId="120" xfId="0" applyFont="1" applyFill="1" applyBorder="1" applyAlignment="1"/>
    <xf numFmtId="0" fontId="5" fillId="68" borderId="19" xfId="0" applyFont="1" applyFill="1" applyBorder="1" applyAlignment="1" applyProtection="1">
      <alignment horizontal="left"/>
      <protection locked="0"/>
    </xf>
    <xf numFmtId="0" fontId="14" fillId="68" borderId="113" xfId="0" applyFont="1" applyFill="1" applyBorder="1" applyAlignment="1">
      <alignment horizontal="center"/>
    </xf>
    <xf numFmtId="0" fontId="10" fillId="51" borderId="140" xfId="20" applyFont="1" applyFill="1" applyBorder="1" applyAlignment="1">
      <alignment horizontal="center" vertical="center"/>
    </xf>
    <xf numFmtId="0" fontId="0" fillId="51" borderId="35" xfId="51" applyFont="1" applyFill="1" applyBorder="1">
      <alignment horizontal="center" vertical="center"/>
    </xf>
    <xf numFmtId="0" fontId="14" fillId="68" borderId="43" xfId="0" applyFont="1" applyFill="1" applyBorder="1">
      <alignment horizontal="center" vertical="center"/>
    </xf>
    <xf numFmtId="0" fontId="0" fillId="51" borderId="44" xfId="51" applyFont="1" applyFill="1" applyBorder="1">
      <alignment horizontal="center" vertical="center"/>
    </xf>
    <xf numFmtId="49" fontId="0" fillId="51" borderId="44" xfId="0" applyNumberFormat="1" applyFill="1" applyBorder="1">
      <alignment horizontal="center" vertical="center"/>
    </xf>
    <xf numFmtId="0" fontId="5" fillId="43" borderId="87" xfId="0" applyFont="1" applyFill="1" applyBorder="1" applyAlignment="1">
      <alignment horizontal="left"/>
    </xf>
    <xf numFmtId="0" fontId="10" fillId="0" borderId="111" xfId="0" applyFont="1" applyBorder="1">
      <alignment horizontal="center" vertical="center"/>
    </xf>
    <xf numFmtId="0" fontId="77" fillId="0" borderId="87" xfId="0" applyFont="1" applyBorder="1">
      <alignment horizontal="center" vertical="center"/>
    </xf>
    <xf numFmtId="0" fontId="0" fillId="51" borderId="118" xfId="0" applyFill="1" applyBorder="1" applyAlignment="1">
      <alignment horizontal="left" vertical="center" wrapText="1"/>
    </xf>
    <xf numFmtId="0" fontId="14" fillId="68" borderId="67" xfId="0" applyFont="1" applyFill="1" applyBorder="1" applyAlignment="1">
      <alignment horizontal="center"/>
    </xf>
    <xf numFmtId="0" fontId="0" fillId="68" borderId="141" xfId="0" applyFill="1" applyBorder="1">
      <alignment horizontal="center" vertical="center"/>
    </xf>
    <xf numFmtId="0" fontId="5" fillId="0" borderId="87" xfId="0" applyFont="1" applyBorder="1" applyAlignment="1">
      <alignment horizontal="left" vertical="center"/>
    </xf>
    <xf numFmtId="0" fontId="0" fillId="0" borderId="133" xfId="0" applyBorder="1" applyAlignment="1">
      <alignment horizontal="left" vertical="center"/>
    </xf>
    <xf numFmtId="0" fontId="4" fillId="0" borderId="110" xfId="0" applyFont="1" applyBorder="1" applyAlignment="1">
      <alignment horizontal="left" vertical="center"/>
    </xf>
    <xf numFmtId="0" fontId="4" fillId="0" borderId="93" xfId="0" applyFont="1" applyBorder="1" applyAlignment="1">
      <alignment horizontal="left" vertical="center"/>
    </xf>
    <xf numFmtId="0" fontId="5" fillId="0" borderId="110" xfId="0" applyFont="1" applyBorder="1" applyAlignment="1">
      <alignment horizontal="left"/>
    </xf>
    <xf numFmtId="0" fontId="0" fillId="0" borderId="142" xfId="0" applyBorder="1" applyAlignment="1">
      <alignment horizontal="left" vertical="center"/>
    </xf>
    <xf numFmtId="0" fontId="0" fillId="0" borderId="110" xfId="0" applyBorder="1" applyAlignment="1">
      <alignment horizontal="left" vertical="center"/>
    </xf>
    <xf numFmtId="0" fontId="0" fillId="0" borderId="93" xfId="0" applyBorder="1" applyAlignment="1">
      <alignment horizontal="left" vertical="center"/>
    </xf>
    <xf numFmtId="0" fontId="0" fillId="0" borderId="111" xfId="0" applyBorder="1" applyAlignment="1">
      <alignment horizontal="left" vertical="center"/>
    </xf>
    <xf numFmtId="0" fontId="83" fillId="0" borderId="42" xfId="0" applyFont="1" applyBorder="1" applyAlignment="1">
      <alignment horizontal="left" vertical="center"/>
    </xf>
    <xf numFmtId="0" fontId="5" fillId="0" borderId="90" xfId="0" applyFont="1" applyBorder="1" applyAlignment="1">
      <alignment vertical="center"/>
    </xf>
    <xf numFmtId="0" fontId="5" fillId="0" borderId="31" xfId="0" applyFont="1" applyBorder="1" applyAlignment="1">
      <alignment horizontal="left" vertical="center"/>
    </xf>
    <xf numFmtId="0" fontId="5" fillId="0" borderId="31" xfId="0" applyFont="1" applyBorder="1" applyAlignment="1">
      <alignment horizontal="left"/>
    </xf>
    <xf numFmtId="0" fontId="5" fillId="0" borderId="95" xfId="0" applyFont="1" applyBorder="1" applyAlignment="1">
      <alignment vertical="center"/>
    </xf>
    <xf numFmtId="0" fontId="5" fillId="0" borderId="90" xfId="0" applyFont="1" applyBorder="1" applyAlignment="1">
      <alignment wrapText="1"/>
    </xf>
    <xf numFmtId="0" fontId="5" fillId="0" borderId="35" xfId="0" applyFont="1" applyBorder="1" applyAlignment="1">
      <alignment horizontal="left" vertical="center"/>
    </xf>
    <xf numFmtId="0" fontId="5" fillId="0" borderId="35" xfId="0" applyFont="1" applyBorder="1">
      <alignment horizontal="center" vertical="center"/>
    </xf>
    <xf numFmtId="0" fontId="5" fillId="43" borderId="35" xfId="0" applyFont="1" applyFill="1" applyBorder="1" applyAlignment="1">
      <alignment horizontal="left"/>
    </xf>
    <xf numFmtId="0" fontId="0" fillId="0" borderId="97" xfId="0" applyBorder="1">
      <alignment horizontal="center" vertical="center"/>
    </xf>
    <xf numFmtId="0" fontId="5" fillId="0" borderId="35" xfId="0" applyFont="1" applyBorder="1" applyAlignment="1">
      <alignment horizontal="center"/>
    </xf>
    <xf numFmtId="49" fontId="14" fillId="51" borderId="35" xfId="0" applyNumberFormat="1" applyFont="1" applyFill="1" applyBorder="1">
      <alignment horizontal="center" vertical="center"/>
    </xf>
    <xf numFmtId="0" fontId="0" fillId="51" borderId="45" xfId="0" applyFill="1" applyBorder="1">
      <alignment horizontal="center" vertical="center"/>
    </xf>
    <xf numFmtId="0" fontId="0" fillId="51" borderId="47" xfId="53" applyFont="1" applyFill="1" applyBorder="1">
      <alignment horizontal="center" vertical="center"/>
    </xf>
    <xf numFmtId="0" fontId="14" fillId="68" borderId="46" xfId="0" applyFont="1" applyFill="1" applyBorder="1">
      <alignment horizontal="center" vertical="center"/>
    </xf>
    <xf numFmtId="0" fontId="0" fillId="43" borderId="90" xfId="0" applyFill="1" applyBorder="1" applyAlignment="1" applyProtection="1">
      <alignment horizontal="center"/>
      <protection locked="0"/>
    </xf>
    <xf numFmtId="0" fontId="8" fillId="16" borderId="1" xfId="20" applyFont="1" applyAlignment="1">
      <alignment horizontal="center" vertical="center"/>
    </xf>
    <xf numFmtId="0" fontId="21" fillId="76" borderId="35" xfId="0" applyFont="1" applyFill="1" applyBorder="1" applyAlignment="1">
      <alignment vertical="center"/>
    </xf>
    <xf numFmtId="0" fontId="5" fillId="0" borderId="35" xfId="0" applyFont="1" applyBorder="1" applyAlignment="1">
      <alignment horizontal="left"/>
    </xf>
    <xf numFmtId="0" fontId="73" fillId="0" borderId="35" xfId="0" applyFont="1" applyBorder="1">
      <alignment horizontal="center" vertical="center"/>
    </xf>
    <xf numFmtId="0" fontId="86" fillId="0" borderId="35" xfId="0" applyFont="1" applyBorder="1">
      <alignment horizontal="center" vertical="center"/>
    </xf>
    <xf numFmtId="0" fontId="4" fillId="0" borderId="35" xfId="0" applyFont="1" applyBorder="1" applyAlignment="1">
      <alignment horizontal="left" vertical="center"/>
    </xf>
    <xf numFmtId="17" fontId="5" fillId="0" borderId="35" xfId="0" applyNumberFormat="1" applyFont="1" applyBorder="1" applyAlignment="1">
      <alignment horizontal="left"/>
    </xf>
    <xf numFmtId="17" fontId="4" fillId="0" borderId="35" xfId="0" applyNumberFormat="1" applyFont="1" applyBorder="1" applyAlignment="1">
      <alignment horizontal="left" vertical="center"/>
    </xf>
    <xf numFmtId="0" fontId="4" fillId="0" borderId="35" xfId="0" applyFont="1" applyBorder="1" applyAlignment="1">
      <alignment horizontal="left"/>
    </xf>
    <xf numFmtId="0" fontId="14" fillId="77" borderId="35" xfId="0" applyFont="1" applyFill="1" applyBorder="1">
      <alignment horizontal="center" vertical="center"/>
    </xf>
    <xf numFmtId="0" fontId="0" fillId="0" borderId="35" xfId="0" applyBorder="1" applyAlignment="1">
      <alignment vertical="center"/>
    </xf>
    <xf numFmtId="0" fontId="14" fillId="68" borderId="35" xfId="0" applyFont="1" applyFill="1" applyBorder="1">
      <alignment horizontal="center" vertical="center"/>
    </xf>
    <xf numFmtId="49" fontId="87" fillId="0" borderId="0" xfId="0" applyNumberFormat="1" applyFont="1">
      <alignment horizontal="center" vertical="center"/>
    </xf>
    <xf numFmtId="0" fontId="5" fillId="0" borderId="35" xfId="0" applyFont="1" applyBorder="1" applyAlignment="1"/>
    <xf numFmtId="0" fontId="8" fillId="95" borderId="40" xfId="0" applyFont="1" applyFill="1" applyBorder="1">
      <alignment horizontal="center" vertical="center"/>
    </xf>
    <xf numFmtId="0" fontId="0" fillId="51" borderId="85" xfId="43" applyFont="1" applyFill="1" applyBorder="1">
      <alignment horizontal="center" vertical="center"/>
    </xf>
    <xf numFmtId="0" fontId="0" fillId="53" borderId="0" xfId="0" applyFill="1" applyBorder="1">
      <alignment horizontal="center" vertical="center"/>
    </xf>
    <xf numFmtId="0" fontId="0" fillId="53" borderId="89" xfId="44" applyFont="1" applyFill="1" applyBorder="1">
      <alignment horizontal="center" vertical="center"/>
    </xf>
    <xf numFmtId="0" fontId="8" fillId="0" borderId="0" xfId="45" applyFill="1" applyBorder="1">
      <alignment horizontal="center" vertical="center"/>
    </xf>
    <xf numFmtId="0" fontId="0" fillId="87" borderId="89" xfId="44" applyFont="1" applyFill="1" applyBorder="1">
      <alignment horizontal="center" vertical="center"/>
    </xf>
    <xf numFmtId="49" fontId="0" fillId="87" borderId="89" xfId="0" applyNumberFormat="1" applyFill="1" applyBorder="1">
      <alignment horizontal="center" vertical="center"/>
    </xf>
    <xf numFmtId="0" fontId="8" fillId="0" borderId="89" xfId="56" applyFill="1" applyBorder="1">
      <alignment horizontal="center" vertical="center"/>
    </xf>
    <xf numFmtId="49" fontId="5" fillId="0" borderId="0" xfId="0" applyNumberFormat="1" applyFont="1">
      <alignment horizontal="center" vertical="center"/>
    </xf>
    <xf numFmtId="0" fontId="0" fillId="51" borderId="143" xfId="0" applyFill="1" applyBorder="1">
      <alignment horizontal="center" vertical="center"/>
    </xf>
    <xf numFmtId="0" fontId="0" fillId="68" borderId="143" xfId="0" applyFill="1" applyBorder="1">
      <alignment horizontal="center" vertical="center"/>
    </xf>
    <xf numFmtId="0" fontId="0" fillId="51" borderId="144" xfId="0" applyFill="1" applyBorder="1">
      <alignment horizontal="center" vertical="center"/>
    </xf>
    <xf numFmtId="0" fontId="0" fillId="68" borderId="144" xfId="0" applyFill="1" applyBorder="1">
      <alignment horizontal="center" vertical="center"/>
    </xf>
    <xf numFmtId="0" fontId="14" fillId="94" borderId="145" xfId="0" applyFont="1" applyFill="1" applyBorder="1">
      <alignment horizontal="center" vertical="center"/>
    </xf>
    <xf numFmtId="0" fontId="14" fillId="94" borderId="145" xfId="0" applyFont="1" applyFill="1" applyBorder="1" applyAlignment="1">
      <alignment horizontal="center"/>
    </xf>
    <xf numFmtId="49" fontId="14" fillId="0" borderId="145" xfId="0" applyNumberFormat="1" applyFont="1" applyBorder="1">
      <alignment horizontal="center" vertical="center"/>
    </xf>
    <xf numFmtId="0" fontId="0" fillId="0" borderId="143" xfId="0" applyBorder="1">
      <alignment horizontal="center" vertical="center"/>
    </xf>
    <xf numFmtId="0" fontId="0" fillId="94" borderId="143" xfId="0" applyFill="1" applyBorder="1">
      <alignment horizontal="center" vertical="center"/>
    </xf>
    <xf numFmtId="0" fontId="0" fillId="0" borderId="144" xfId="0" applyBorder="1">
      <alignment horizontal="center" vertical="center"/>
    </xf>
    <xf numFmtId="0" fontId="71" fillId="0" borderId="35" xfId="46" applyFont="1" applyFill="1" applyBorder="1">
      <alignment horizontal="center" vertical="center"/>
    </xf>
    <xf numFmtId="0" fontId="0" fillId="16" borderId="1" xfId="20" applyFont="1" applyAlignment="1">
      <alignment horizontal="center" vertical="center"/>
    </xf>
    <xf numFmtId="0" fontId="0" fillId="69" borderId="110" xfId="0" applyFill="1" applyBorder="1" applyAlignment="1"/>
    <xf numFmtId="0" fontId="0" fillId="69" borderId="91" xfId="0" applyFill="1" applyBorder="1" applyAlignment="1"/>
    <xf numFmtId="0" fontId="57" fillId="69" borderId="110" xfId="0" applyFont="1" applyFill="1" applyBorder="1" applyAlignment="1"/>
    <xf numFmtId="0" fontId="0" fillId="43" borderId="127" xfId="0" applyFill="1" applyBorder="1" applyAlignment="1" applyProtection="1">
      <alignment horizontal="center"/>
      <protection locked="0"/>
    </xf>
    <xf numFmtId="0" fontId="0" fillId="0" borderId="55" xfId="0" applyBorder="1" applyAlignment="1">
      <alignment horizontal="left" vertical="center"/>
    </xf>
    <xf numFmtId="0" fontId="0" fillId="51" borderId="51" xfId="43" applyFont="1" applyFill="1" applyBorder="1">
      <alignment horizontal="center" vertical="center"/>
    </xf>
    <xf numFmtId="0" fontId="0" fillId="55" borderId="51" xfId="43" applyFont="1" applyFill="1" applyBorder="1">
      <alignment horizontal="center" vertical="center"/>
    </xf>
    <xf numFmtId="0" fontId="0" fillId="51" borderId="52" xfId="43" applyFont="1" applyFill="1" applyBorder="1">
      <alignment horizontal="center" vertical="center"/>
    </xf>
    <xf numFmtId="0" fontId="8" fillId="0" borderId="0" xfId="43" applyFill="1" applyBorder="1">
      <alignment horizontal="center" vertical="center"/>
    </xf>
    <xf numFmtId="0" fontId="21" fillId="76" borderId="123" xfId="0" applyFont="1" applyFill="1" applyBorder="1" applyAlignment="1">
      <alignment vertical="center"/>
    </xf>
    <xf numFmtId="0" fontId="14" fillId="94" borderId="123" xfId="0" applyFont="1" applyFill="1" applyBorder="1" applyAlignment="1">
      <alignment horizontal="center"/>
    </xf>
    <xf numFmtId="0" fontId="37" fillId="17" borderId="4" xfId="34" applyAlignment="1">
      <alignment horizontal="center" vertical="center"/>
    </xf>
    <xf numFmtId="1" fontId="0" fillId="51" borderId="0" xfId="32" applyNumberFormat="1" applyFont="1" applyFill="1" applyBorder="1" applyAlignment="1">
      <alignment horizontal="center" vertical="center"/>
    </xf>
    <xf numFmtId="0" fontId="0" fillId="76" borderId="51" xfId="0" applyFill="1" applyBorder="1">
      <alignment horizontal="center" vertical="center"/>
    </xf>
    <xf numFmtId="0" fontId="0" fillId="76" borderId="52" xfId="0" applyFill="1" applyBorder="1">
      <alignment horizontal="center" vertical="center"/>
    </xf>
    <xf numFmtId="0" fontId="0" fillId="51" borderId="47" xfId="47" applyFont="1" applyFill="1" applyBorder="1">
      <alignment horizontal="center" vertical="center"/>
    </xf>
    <xf numFmtId="0" fontId="0" fillId="0" borderId="149" xfId="0" applyBorder="1" applyAlignment="1">
      <alignment horizontal="left" vertical="center"/>
    </xf>
    <xf numFmtId="0" fontId="77" fillId="0" borderId="49" xfId="0" applyFont="1" applyBorder="1">
      <alignment horizontal="center" vertical="center"/>
    </xf>
    <xf numFmtId="0" fontId="0" fillId="51" borderId="125" xfId="47" applyFont="1" applyFill="1" applyBorder="1">
      <alignment horizontal="center" vertical="center"/>
    </xf>
    <xf numFmtId="0" fontId="0" fillId="51" borderId="49" xfId="47" applyFont="1" applyFill="1" applyBorder="1">
      <alignment horizontal="center" vertical="center"/>
    </xf>
    <xf numFmtId="0" fontId="0" fillId="51" borderId="92" xfId="47" applyFont="1" applyFill="1" applyBorder="1">
      <alignment horizontal="center" vertical="center"/>
    </xf>
    <xf numFmtId="0" fontId="0" fillId="51" borderId="50" xfId="47" applyFont="1" applyFill="1" applyBorder="1">
      <alignment horizontal="center" vertical="center"/>
    </xf>
    <xf numFmtId="49" fontId="0" fillId="80" borderId="89" xfId="0" applyNumberFormat="1" applyFill="1" applyBorder="1">
      <alignment horizontal="center" vertical="center"/>
    </xf>
    <xf numFmtId="1" fontId="0" fillId="0" borderId="35" xfId="0" applyNumberFormat="1" applyBorder="1">
      <alignment horizontal="center" vertical="center"/>
    </xf>
    <xf numFmtId="0" fontId="8" fillId="0" borderId="49" xfId="0" applyFont="1" applyBorder="1">
      <alignment horizontal="center" vertical="center"/>
    </xf>
    <xf numFmtId="0" fontId="0" fillId="68" borderId="32" xfId="0" applyFill="1" applyBorder="1">
      <alignment horizontal="center" vertical="center"/>
    </xf>
    <xf numFmtId="0" fontId="0" fillId="55" borderId="86" xfId="0" applyFill="1" applyBorder="1">
      <alignment horizontal="center" vertical="center"/>
    </xf>
    <xf numFmtId="0" fontId="0" fillId="53" borderId="89" xfId="47" applyFont="1" applyFill="1" applyBorder="1">
      <alignment horizontal="center" vertical="center"/>
    </xf>
    <xf numFmtId="0" fontId="0" fillId="87" borderId="32" xfId="43" applyFont="1" applyFill="1" applyBorder="1">
      <alignment horizontal="center" vertical="center"/>
    </xf>
    <xf numFmtId="0" fontId="0" fillId="87" borderId="32" xfId="32" applyFont="1" applyFill="1" applyBorder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7" fillId="37" borderId="35" xfId="0" applyFont="1" applyFill="1" applyBorder="1" applyAlignment="1">
      <alignment horizontal="left"/>
    </xf>
    <xf numFmtId="0" fontId="7" fillId="45" borderId="35" xfId="0" applyFont="1" applyFill="1" applyBorder="1" applyAlignment="1">
      <alignment horizontal="left"/>
    </xf>
    <xf numFmtId="0" fontId="7" fillId="24" borderId="35" xfId="0" applyFont="1" applyFill="1" applyBorder="1">
      <alignment horizontal="center" vertical="center"/>
    </xf>
    <xf numFmtId="0" fontId="7" fillId="40" borderId="35" xfId="0" applyFont="1" applyFill="1" applyBorder="1" applyAlignment="1">
      <alignment horizontal="left"/>
    </xf>
    <xf numFmtId="0" fontId="7" fillId="26" borderId="35" xfId="0" applyFont="1" applyFill="1" applyBorder="1" applyAlignment="1">
      <alignment horizontal="left"/>
    </xf>
    <xf numFmtId="0" fontId="7" fillId="26" borderId="35" xfId="0" applyFont="1" applyFill="1" applyBorder="1">
      <alignment horizontal="center" vertical="center"/>
    </xf>
    <xf numFmtId="0" fontId="7" fillId="45" borderId="35" xfId="0" applyFont="1" applyFill="1" applyBorder="1">
      <alignment horizontal="center" vertical="center"/>
    </xf>
    <xf numFmtId="0" fontId="7" fillId="77" borderId="35" xfId="0" applyFont="1" applyFill="1" applyBorder="1">
      <alignment horizontal="center" vertical="center"/>
    </xf>
    <xf numFmtId="0" fontId="7" fillId="40" borderId="35" xfId="0" applyFont="1" applyFill="1" applyBorder="1">
      <alignment horizontal="center" vertical="center"/>
    </xf>
    <xf numFmtId="0" fontId="7" fillId="48" borderId="35" xfId="0" applyFont="1" applyFill="1" applyBorder="1" applyAlignment="1">
      <alignment horizontal="left" vertical="center"/>
    </xf>
    <xf numFmtId="0" fontId="7" fillId="48" borderId="35" xfId="0" applyFont="1" applyFill="1" applyBorder="1">
      <alignment horizontal="center" vertical="center"/>
    </xf>
    <xf numFmtId="0" fontId="7" fillId="44" borderId="35" xfId="0" applyFont="1" applyFill="1" applyBorder="1" applyAlignment="1"/>
    <xf numFmtId="0" fontId="0" fillId="53" borderId="89" xfId="43" applyFont="1" applyBorder="1">
      <alignment horizontal="center" vertical="center"/>
    </xf>
    <xf numFmtId="0" fontId="0" fillId="0" borderId="0" xfId="48" applyFont="1" applyFill="1">
      <alignment horizontal="center" vertical="center"/>
    </xf>
    <xf numFmtId="0" fontId="0" fillId="0" borderId="0" xfId="43" applyFont="1" applyFill="1">
      <alignment horizontal="center" vertical="center"/>
    </xf>
    <xf numFmtId="0" fontId="0" fillId="78" borderId="95" xfId="0" applyFill="1" applyBorder="1">
      <alignment horizontal="center" vertical="center"/>
    </xf>
    <xf numFmtId="0" fontId="8" fillId="95" borderId="49" xfId="0" applyFont="1" applyFill="1" applyBorder="1">
      <alignment horizontal="center" vertical="center"/>
    </xf>
    <xf numFmtId="0" fontId="0" fillId="0" borderId="85" xfId="53" applyFont="1" applyBorder="1">
      <alignment horizontal="center" vertical="center"/>
    </xf>
    <xf numFmtId="0" fontId="0" fillId="100" borderId="0" xfId="0" applyFill="1">
      <alignment horizontal="center" vertical="center"/>
    </xf>
    <xf numFmtId="0" fontId="71" fillId="0" borderId="0" xfId="0" applyFont="1">
      <alignment horizontal="center" vertical="center"/>
    </xf>
    <xf numFmtId="0" fontId="71" fillId="69" borderId="20" xfId="0" applyFont="1" applyFill="1" applyBorder="1" applyAlignment="1"/>
    <xf numFmtId="0" fontId="71" fillId="0" borderId="35" xfId="0" applyFont="1" applyBorder="1">
      <alignment horizontal="center" vertical="center"/>
    </xf>
    <xf numFmtId="0" fontId="8" fillId="0" borderId="92" xfId="0" applyFont="1" applyBorder="1" applyAlignment="1">
      <alignment vertical="center"/>
    </xf>
    <xf numFmtId="0" fontId="60" fillId="0" borderId="65" xfId="0" applyFont="1" applyBorder="1" applyAlignment="1">
      <alignment horizontal="left" vertical="center"/>
    </xf>
    <xf numFmtId="0" fontId="8" fillId="0" borderId="58" xfId="0" applyFont="1" applyBorder="1" applyAlignment="1">
      <alignment horizontal="left" vertical="center"/>
    </xf>
    <xf numFmtId="0" fontId="52" fillId="55" borderId="35" xfId="46" applyFill="1" applyBorder="1">
      <alignment horizontal="center" vertical="center"/>
    </xf>
    <xf numFmtId="0" fontId="0" fillId="51" borderId="49" xfId="47" applyFont="1" applyFill="1" applyBorder="1" applyAlignment="1">
      <alignment horizontal="center" vertical="center" wrapText="1"/>
    </xf>
    <xf numFmtId="0" fontId="8" fillId="74" borderId="35" xfId="47" applyBorder="1">
      <alignment horizontal="center" vertical="center"/>
    </xf>
    <xf numFmtId="0" fontId="8" fillId="75" borderId="35" xfId="56" applyBorder="1">
      <alignment horizontal="center" vertical="center"/>
    </xf>
    <xf numFmtId="0" fontId="8" fillId="52" borderId="49" xfId="0" applyFont="1" applyFill="1" applyBorder="1">
      <alignment horizontal="center" vertical="center"/>
    </xf>
    <xf numFmtId="0" fontId="59" fillId="94" borderId="123" xfId="0" applyFont="1" applyFill="1" applyBorder="1" applyAlignment="1"/>
    <xf numFmtId="0" fontId="0" fillId="51" borderId="32" xfId="32" applyFont="1" applyFill="1" applyBorder="1" applyAlignment="1">
      <alignment horizontal="center" vertical="center"/>
    </xf>
    <xf numFmtId="0" fontId="0" fillId="0" borderId="52" xfId="0" applyBorder="1">
      <alignment horizontal="center" vertical="center"/>
    </xf>
    <xf numFmtId="0" fontId="0" fillId="51" borderId="150" xfId="47" applyFont="1" applyFill="1" applyBorder="1">
      <alignment horizontal="center" vertical="center"/>
    </xf>
    <xf numFmtId="0" fontId="0" fillId="51" borderId="151" xfId="47" applyFont="1" applyFill="1" applyBorder="1">
      <alignment horizontal="center" vertical="center"/>
    </xf>
    <xf numFmtId="0" fontId="8" fillId="0" borderId="59" xfId="48" applyFill="1" applyBorder="1">
      <alignment horizontal="center" vertical="center"/>
    </xf>
    <xf numFmtId="49" fontId="52" fillId="56" borderId="59" xfId="0" applyNumberFormat="1" applyFont="1" applyFill="1" applyBorder="1">
      <alignment horizontal="center" vertical="center"/>
    </xf>
    <xf numFmtId="0" fontId="14" fillId="76" borderId="123" xfId="0" applyFont="1" applyFill="1" applyBorder="1" applyAlignment="1"/>
    <xf numFmtId="0" fontId="0" fillId="0" borderId="37" xfId="0" applyBorder="1" applyAlignment="1"/>
    <xf numFmtId="0" fontId="0" fillId="0" borderId="40" xfId="0" applyBorder="1">
      <alignment horizontal="center" vertical="center"/>
    </xf>
    <xf numFmtId="0" fontId="0" fillId="0" borderId="135" xfId="0" applyBorder="1">
      <alignment horizontal="center" vertical="center"/>
    </xf>
    <xf numFmtId="0" fontId="0" fillId="0" borderId="40" xfId="0" applyBorder="1" applyAlignment="1">
      <alignment horizontal="center" vertical="center" wrapText="1"/>
    </xf>
    <xf numFmtId="49" fontId="0" fillId="55" borderId="85" xfId="0" applyNumberFormat="1" applyFill="1" applyBorder="1">
      <alignment horizontal="center" vertical="center"/>
    </xf>
    <xf numFmtId="0" fontId="8" fillId="55" borderId="85" xfId="45" applyBorder="1">
      <alignment horizontal="center" vertical="center"/>
    </xf>
    <xf numFmtId="0" fontId="77" fillId="53" borderId="49" xfId="0" applyFont="1" applyFill="1" applyBorder="1">
      <alignment horizontal="center" vertical="center"/>
    </xf>
    <xf numFmtId="0" fontId="0" fillId="52" borderId="35" xfId="44" applyFont="1" applyFill="1" applyBorder="1">
      <alignment horizontal="center" vertical="center"/>
    </xf>
    <xf numFmtId="0" fontId="8" fillId="53" borderId="49" xfId="43" applyBorder="1">
      <alignment horizontal="center" vertical="center"/>
    </xf>
    <xf numFmtId="0" fontId="8" fillId="53" borderId="40" xfId="0" applyFont="1" applyFill="1" applyBorder="1">
      <alignment horizontal="center" vertical="center"/>
    </xf>
    <xf numFmtId="0" fontId="0" fillId="95" borderId="49" xfId="0" applyFill="1" applyBorder="1">
      <alignment horizontal="center" vertical="center"/>
    </xf>
    <xf numFmtId="0" fontId="0" fillId="55" borderId="32" xfId="0" applyFill="1" applyBorder="1">
      <alignment horizontal="center" vertical="center"/>
    </xf>
    <xf numFmtId="0" fontId="71" fillId="0" borderId="35" xfId="0" applyFont="1" applyBorder="1" applyAlignment="1" applyProtection="1">
      <alignment horizontal="left"/>
      <protection locked="0"/>
    </xf>
    <xf numFmtId="0" fontId="0" fillId="89" borderId="49" xfId="0" applyFill="1" applyBorder="1">
      <alignment horizontal="center" vertical="center"/>
    </xf>
    <xf numFmtId="0" fontId="8" fillId="55" borderId="49" xfId="0" applyFont="1" applyFill="1" applyBorder="1">
      <alignment horizontal="center" vertical="center"/>
    </xf>
    <xf numFmtId="0" fontId="8" fillId="53" borderId="35" xfId="43" applyBorder="1">
      <alignment horizontal="center" vertical="center"/>
    </xf>
    <xf numFmtId="49" fontId="71" fillId="53" borderId="35" xfId="0" applyNumberFormat="1" applyFont="1" applyFill="1" applyBorder="1">
      <alignment horizontal="center" vertical="center"/>
    </xf>
    <xf numFmtId="1" fontId="0" fillId="51" borderId="0" xfId="0" applyNumberFormat="1" applyFill="1" applyBorder="1">
      <alignment horizontal="center" vertical="center"/>
    </xf>
    <xf numFmtId="1" fontId="0" fillId="51" borderId="0" xfId="44" applyNumberFormat="1" applyFont="1" applyFill="1" applyBorder="1">
      <alignment horizontal="center" vertical="center"/>
    </xf>
    <xf numFmtId="0" fontId="0" fillId="0" borderId="72" xfId="0" applyBorder="1" applyAlignment="1">
      <alignment vertical="center"/>
    </xf>
    <xf numFmtId="0" fontId="7" fillId="44" borderId="67" xfId="0" applyFont="1" applyFill="1" applyBorder="1" applyAlignment="1"/>
    <xf numFmtId="0" fontId="7" fillId="44" borderId="68" xfId="0" applyFont="1" applyFill="1" applyBorder="1" applyAlignment="1"/>
    <xf numFmtId="0" fontId="7" fillId="37" borderId="68" xfId="0" applyFont="1" applyFill="1" applyBorder="1" applyAlignment="1">
      <alignment horizontal="left"/>
    </xf>
    <xf numFmtId="0" fontId="7" fillId="45" borderId="68" xfId="0" applyFont="1" applyFill="1" applyBorder="1" applyAlignment="1">
      <alignment horizontal="left"/>
    </xf>
    <xf numFmtId="0" fontId="0" fillId="45" borderId="68" xfId="0" applyFill="1" applyBorder="1">
      <alignment horizontal="center" vertical="center"/>
    </xf>
    <xf numFmtId="0" fontId="0" fillId="77" borderId="68" xfId="0" applyFill="1" applyBorder="1">
      <alignment horizontal="center" vertical="center"/>
    </xf>
    <xf numFmtId="0" fontId="7" fillId="24" borderId="68" xfId="0" applyFont="1" applyFill="1" applyBorder="1">
      <alignment horizontal="center" vertical="center"/>
    </xf>
    <xf numFmtId="0" fontId="0" fillId="24" borderId="68" xfId="0" applyFill="1" applyBorder="1">
      <alignment horizontal="center" vertical="center"/>
    </xf>
    <xf numFmtId="0" fontId="7" fillId="40" borderId="68" xfId="0" applyFont="1" applyFill="1" applyBorder="1" applyAlignment="1">
      <alignment horizontal="left"/>
    </xf>
    <xf numFmtId="0" fontId="0" fillId="40" borderId="68" xfId="0" applyFill="1" applyBorder="1">
      <alignment horizontal="center" vertical="center"/>
    </xf>
    <xf numFmtId="0" fontId="7" fillId="26" borderId="68" xfId="0" applyFont="1" applyFill="1" applyBorder="1" applyAlignment="1">
      <alignment horizontal="left"/>
    </xf>
    <xf numFmtId="0" fontId="7" fillId="26" borderId="68" xfId="0" applyFont="1" applyFill="1" applyBorder="1">
      <alignment horizontal="center" vertical="center"/>
    </xf>
    <xf numFmtId="0" fontId="0" fillId="48" borderId="152" xfId="0" applyFill="1" applyBorder="1" applyAlignment="1">
      <alignment vertical="center"/>
    </xf>
    <xf numFmtId="0" fontId="0" fillId="48" borderId="20" xfId="0" applyFill="1" applyBorder="1" applyAlignment="1">
      <alignment vertical="center"/>
    </xf>
    <xf numFmtId="0" fontId="8" fillId="0" borderId="89" xfId="45" applyFill="1" applyBorder="1">
      <alignment horizontal="center" vertical="center"/>
    </xf>
    <xf numFmtId="0" fontId="8" fillId="73" borderId="35" xfId="53" applyFill="1" applyBorder="1">
      <alignment horizontal="center" vertical="center"/>
    </xf>
    <xf numFmtId="0" fontId="0" fillId="53" borderId="49" xfId="47" applyFont="1" applyFill="1" applyBorder="1" applyAlignment="1">
      <alignment horizontal="center" vertical="center" wrapText="1"/>
    </xf>
    <xf numFmtId="0" fontId="0" fillId="53" borderId="49" xfId="47" applyFont="1" applyFill="1" applyBorder="1">
      <alignment horizontal="center" vertical="center"/>
    </xf>
    <xf numFmtId="0" fontId="0" fillId="53" borderId="124" xfId="47" applyFont="1" applyFill="1" applyBorder="1">
      <alignment horizontal="center" vertical="center"/>
    </xf>
    <xf numFmtId="0" fontId="0" fillId="53" borderId="35" xfId="47" applyFont="1" applyFill="1" applyBorder="1">
      <alignment horizontal="center" vertical="center"/>
    </xf>
    <xf numFmtId="0" fontId="0" fillId="53" borderId="125" xfId="47" applyFont="1" applyFill="1" applyBorder="1">
      <alignment horizontal="center" vertical="center"/>
    </xf>
    <xf numFmtId="0" fontId="0" fillId="53" borderId="50" xfId="47" applyFont="1" applyFill="1" applyBorder="1">
      <alignment horizontal="center" vertical="center"/>
    </xf>
    <xf numFmtId="0" fontId="0" fillId="53" borderId="35" xfId="0" applyFill="1" applyBorder="1">
      <alignment horizontal="center" vertical="center"/>
    </xf>
    <xf numFmtId="0" fontId="14" fillId="0" borderId="113" xfId="0" applyFont="1" applyBorder="1" applyAlignment="1">
      <alignment horizontal="center"/>
    </xf>
    <xf numFmtId="0" fontId="14" fillId="0" borderId="87" xfId="0" applyFont="1" applyBorder="1" applyAlignment="1" applyProtection="1">
      <alignment horizontal="center"/>
      <protection locked="0"/>
    </xf>
    <xf numFmtId="0" fontId="14" fillId="0" borderId="43" xfId="0" applyFont="1" applyBorder="1" applyAlignment="1">
      <alignment horizontal="center"/>
    </xf>
    <xf numFmtId="0" fontId="0" fillId="0" borderId="46" xfId="0" applyBorder="1" applyAlignment="1">
      <alignment horizontal="left"/>
    </xf>
    <xf numFmtId="0" fontId="5" fillId="94" borderId="46" xfId="0" applyFont="1" applyFill="1" applyBorder="1" applyAlignment="1">
      <alignment horizontal="left"/>
    </xf>
    <xf numFmtId="0" fontId="0" fillId="94" borderId="35" xfId="47" applyFont="1" applyFill="1" applyBorder="1">
      <alignment horizontal="center" vertical="center"/>
    </xf>
    <xf numFmtId="0" fontId="0" fillId="94" borderId="35" xfId="48" applyFont="1" applyFill="1" applyBorder="1">
      <alignment horizontal="center" vertical="center"/>
    </xf>
    <xf numFmtId="0" fontId="0" fillId="94" borderId="35" xfId="0" applyFill="1" applyBorder="1">
      <alignment horizontal="center" vertical="center"/>
    </xf>
    <xf numFmtId="49" fontId="0" fillId="94" borderId="35" xfId="0" applyNumberFormat="1" applyFill="1" applyBorder="1">
      <alignment horizontal="center" vertical="center"/>
    </xf>
    <xf numFmtId="49" fontId="0" fillId="94" borderId="47" xfId="0" applyNumberFormat="1" applyFill="1" applyBorder="1">
      <alignment horizontal="center" vertical="center"/>
    </xf>
    <xf numFmtId="0" fontId="5" fillId="76" borderId="46" xfId="0" applyFont="1" applyFill="1" applyBorder="1" applyAlignment="1">
      <alignment vertical="center"/>
    </xf>
    <xf numFmtId="0" fontId="0" fillId="76" borderId="35" xfId="43" applyFont="1" applyFill="1" applyBorder="1">
      <alignment horizontal="center" vertical="center"/>
    </xf>
    <xf numFmtId="0" fontId="0" fillId="0" borderId="46" xfId="0" applyBorder="1" applyAlignment="1">
      <alignment vertical="center"/>
    </xf>
    <xf numFmtId="0" fontId="0" fillId="0" borderId="47" xfId="48" applyFont="1" applyFill="1" applyBorder="1">
      <alignment horizontal="center" vertical="center"/>
    </xf>
    <xf numFmtId="0" fontId="0" fillId="0" borderId="35" xfId="50" applyFont="1" applyFill="1" applyBorder="1">
      <alignment horizontal="center" vertical="center"/>
    </xf>
    <xf numFmtId="0" fontId="0" fillId="0" borderId="47" xfId="50" applyFont="1" applyFill="1" applyBorder="1">
      <alignment horizontal="center" vertical="center"/>
    </xf>
    <xf numFmtId="0" fontId="0" fillId="0" borderId="47" xfId="43" applyFont="1" applyFill="1" applyBorder="1">
      <alignment horizontal="center" vertical="center"/>
    </xf>
    <xf numFmtId="0" fontId="0" fillId="0" borderId="47" xfId="44" applyFont="1" applyFill="1" applyBorder="1">
      <alignment horizontal="center" vertical="center"/>
    </xf>
    <xf numFmtId="0" fontId="0" fillId="94" borderId="45" xfId="0" applyFill="1" applyBorder="1">
      <alignment horizontal="center" vertical="center"/>
    </xf>
    <xf numFmtId="0" fontId="0" fillId="0" borderId="50" xfId="48" applyFont="1" applyFill="1" applyBorder="1">
      <alignment horizontal="center" vertical="center"/>
    </xf>
    <xf numFmtId="0" fontId="81" fillId="94" borderId="136" xfId="0" applyFont="1" applyFill="1" applyBorder="1">
      <alignment horizontal="center" vertical="center"/>
    </xf>
    <xf numFmtId="0" fontId="0" fillId="94" borderId="92" xfId="48" applyFont="1" applyFill="1" applyBorder="1">
      <alignment horizontal="center" vertical="center"/>
    </xf>
    <xf numFmtId="0" fontId="0" fillId="94" borderId="92" xfId="0" applyFill="1" applyBorder="1">
      <alignment horizontal="center" vertical="center"/>
    </xf>
    <xf numFmtId="0" fontId="0" fillId="94" borderId="92" xfId="44" applyFont="1" applyFill="1" applyBorder="1">
      <alignment horizontal="center" vertical="center"/>
    </xf>
    <xf numFmtId="0" fontId="0" fillId="94" borderId="137" xfId="48" applyFont="1" applyFill="1" applyBorder="1">
      <alignment horizontal="center" vertical="center"/>
    </xf>
    <xf numFmtId="0" fontId="8" fillId="55" borderId="85" xfId="53" applyFill="1" applyBorder="1">
      <alignment horizontal="center" vertical="center"/>
    </xf>
    <xf numFmtId="0" fontId="0" fillId="51" borderId="19" xfId="0" applyFill="1" applyBorder="1">
      <alignment horizontal="center" vertical="center"/>
    </xf>
    <xf numFmtId="49" fontId="0" fillId="51" borderId="20" xfId="0" applyNumberFormat="1" applyFill="1" applyBorder="1">
      <alignment horizontal="center" vertical="center"/>
    </xf>
    <xf numFmtId="49" fontId="0" fillId="51" borderId="68" xfId="0" applyNumberFormat="1" applyFill="1" applyBorder="1">
      <alignment horizontal="center" vertical="center"/>
    </xf>
    <xf numFmtId="49" fontId="0" fillId="51" borderId="153" xfId="0" applyNumberFormat="1" applyFill="1" applyBorder="1">
      <alignment horizontal="center" vertical="center"/>
    </xf>
    <xf numFmtId="49" fontId="0" fillId="51" borderId="69" xfId="0" applyNumberFormat="1" applyFill="1" applyBorder="1">
      <alignment horizontal="center" vertical="center"/>
    </xf>
    <xf numFmtId="49" fontId="0" fillId="51" borderId="150" xfId="0" applyNumberFormat="1" applyFill="1" applyBorder="1">
      <alignment horizontal="center" vertical="center"/>
    </xf>
    <xf numFmtId="0" fontId="0" fillId="51" borderId="41" xfId="0" applyFill="1" applyBorder="1">
      <alignment horizontal="center" vertical="center"/>
    </xf>
    <xf numFmtId="0" fontId="77" fillId="0" borderId="20" xfId="0" applyFont="1" applyBorder="1">
      <alignment horizontal="center" vertical="center"/>
    </xf>
    <xf numFmtId="0" fontId="0" fillId="53" borderId="85" xfId="51" applyFont="1" applyFill="1" applyBorder="1">
      <alignment horizontal="center" vertical="center"/>
    </xf>
    <xf numFmtId="0" fontId="44" fillId="3" borderId="32" xfId="42" applyBorder="1" applyAlignment="1">
      <alignment horizontal="center" vertical="center"/>
    </xf>
    <xf numFmtId="0" fontId="0" fillId="0" borderId="112" xfId="51" applyFont="1" applyFill="1" applyBorder="1">
      <alignment horizontal="center" vertical="center"/>
    </xf>
    <xf numFmtId="49" fontId="0" fillId="51" borderId="31" xfId="0" applyNumberFormat="1" applyFill="1" applyBorder="1">
      <alignment horizontal="center" vertical="center"/>
    </xf>
    <xf numFmtId="0" fontId="0" fillId="84" borderId="62" xfId="43" applyFont="1" applyFill="1" applyBorder="1">
      <alignment horizontal="center" vertical="center"/>
    </xf>
    <xf numFmtId="0" fontId="0" fillId="51" borderId="154" xfId="0" applyFill="1" applyBorder="1" applyAlignment="1" applyProtection="1">
      <alignment horizontal="left" vertical="center"/>
      <protection locked="0"/>
    </xf>
    <xf numFmtId="0" fontId="8" fillId="75" borderId="55" xfId="56" applyBorder="1">
      <alignment horizontal="center" vertical="center"/>
    </xf>
    <xf numFmtId="0" fontId="0" fillId="51" borderId="55" xfId="0" applyFill="1" applyBorder="1">
      <alignment horizontal="center" vertical="center"/>
    </xf>
    <xf numFmtId="1" fontId="0" fillId="51" borderId="55" xfId="0" applyNumberFormat="1" applyFill="1" applyBorder="1">
      <alignment horizontal="center" vertical="center"/>
    </xf>
    <xf numFmtId="0" fontId="8" fillId="52" borderId="55" xfId="48" applyBorder="1">
      <alignment horizontal="center" vertical="center"/>
    </xf>
    <xf numFmtId="0" fontId="8" fillId="52" borderId="56" xfId="48" applyBorder="1">
      <alignment horizontal="center" vertical="center"/>
    </xf>
    <xf numFmtId="1" fontId="0" fillId="51" borderId="49" xfId="0" applyNumberFormat="1" applyFill="1" applyBorder="1">
      <alignment horizontal="center" vertical="center"/>
    </xf>
    <xf numFmtId="0" fontId="0" fillId="51" borderId="155" xfId="0" applyFill="1" applyBorder="1">
      <alignment horizontal="center" vertical="center"/>
    </xf>
    <xf numFmtId="0" fontId="14" fillId="94" borderId="57" xfId="0" applyFont="1" applyFill="1" applyBorder="1" applyAlignment="1">
      <alignment horizontal="center"/>
    </xf>
    <xf numFmtId="0" fontId="0" fillId="51" borderId="55" xfId="48" applyFont="1" applyFill="1" applyBorder="1">
      <alignment horizontal="center" vertical="center"/>
    </xf>
    <xf numFmtId="0" fontId="0" fillId="51" borderId="55" xfId="44" applyFont="1" applyFill="1" applyBorder="1">
      <alignment horizontal="center" vertical="center"/>
    </xf>
    <xf numFmtId="0" fontId="0" fillId="51" borderId="56" xfId="48" applyFont="1" applyFill="1" applyBorder="1">
      <alignment horizontal="center" vertical="center"/>
    </xf>
    <xf numFmtId="0" fontId="90" fillId="0" borderId="91" xfId="0" applyFont="1" applyBorder="1" applyAlignment="1">
      <alignment horizontal="left" vertical="center"/>
    </xf>
    <xf numFmtId="0" fontId="0" fillId="0" borderId="127" xfId="0" applyBorder="1" applyAlignment="1">
      <alignment horizontal="left" vertical="center"/>
    </xf>
    <xf numFmtId="0" fontId="0" fillId="51" borderId="55" xfId="43" applyFont="1" applyFill="1" applyBorder="1">
      <alignment horizontal="center" vertical="center"/>
    </xf>
    <xf numFmtId="49" fontId="0" fillId="51" borderId="55" xfId="0" applyNumberFormat="1" applyFill="1" applyBorder="1">
      <alignment horizontal="center" vertical="center"/>
    </xf>
    <xf numFmtId="0" fontId="0" fillId="51" borderId="56" xfId="44" applyFont="1" applyFill="1" applyBorder="1">
      <alignment horizontal="center" vertical="center"/>
    </xf>
    <xf numFmtId="49" fontId="7" fillId="0" borderId="0" xfId="0" applyNumberFormat="1" applyFont="1" applyBorder="1">
      <alignment horizontal="center" vertical="center"/>
    </xf>
    <xf numFmtId="0" fontId="0" fillId="68" borderId="51" xfId="0" applyFill="1" applyBorder="1" applyProtection="1">
      <alignment horizontal="center" vertical="center"/>
      <protection locked="0"/>
    </xf>
    <xf numFmtId="0" fontId="0" fillId="51" borderId="51" xfId="0" applyFill="1" applyBorder="1" applyProtection="1">
      <alignment horizontal="center" vertical="center"/>
      <protection locked="0"/>
    </xf>
    <xf numFmtId="0" fontId="0" fillId="68" borderId="52" xfId="0" applyFill="1" applyBorder="1" applyProtection="1">
      <alignment horizontal="center" vertical="center"/>
      <protection locked="0"/>
    </xf>
    <xf numFmtId="0" fontId="0" fillId="0" borderId="0" xfId="0" applyProtection="1">
      <alignment horizontal="center" vertical="center"/>
      <protection locked="0"/>
    </xf>
    <xf numFmtId="0" fontId="8" fillId="0" borderId="0" xfId="0" applyFont="1" applyBorder="1" applyAlignment="1" applyProtection="1">
      <alignment horizontal="left"/>
      <protection locked="0"/>
    </xf>
    <xf numFmtId="0" fontId="0" fillId="0" borderId="0" xfId="0" applyBorder="1" applyProtection="1">
      <alignment horizontal="center" vertical="center"/>
      <protection locked="0"/>
    </xf>
    <xf numFmtId="0" fontId="8" fillId="0" borderId="0" xfId="0" applyFont="1" applyBorder="1" applyProtection="1">
      <alignment horizontal="center" vertical="center"/>
      <protection locked="0"/>
    </xf>
    <xf numFmtId="0" fontId="7" fillId="0" borderId="0" xfId="0" applyFont="1" applyBorder="1" applyAlignment="1" applyProtection="1">
      <alignment horizontal="left"/>
      <protection locked="0"/>
    </xf>
    <xf numFmtId="0" fontId="7" fillId="0" borderId="0" xfId="0" applyFont="1" applyBorder="1" applyAlignment="1" applyProtection="1">
      <alignment horizontal="left" vertical="center"/>
      <protection locked="0"/>
    </xf>
    <xf numFmtId="0" fontId="0" fillId="0" borderId="63" xfId="0" applyBorder="1" applyProtection="1">
      <alignment horizontal="center" vertical="center"/>
      <protection locked="0"/>
    </xf>
    <xf numFmtId="0" fontId="5" fillId="0" borderId="51" xfId="0" applyFont="1" applyBorder="1" applyAlignment="1" applyProtection="1">
      <alignment horizontal="center"/>
      <protection locked="0"/>
    </xf>
    <xf numFmtId="0" fontId="8" fillId="0" borderId="51" xfId="0" applyFont="1" applyBorder="1" applyProtection="1">
      <alignment horizontal="center" vertical="center"/>
      <protection locked="0"/>
    </xf>
    <xf numFmtId="0" fontId="0" fillId="0" borderId="51" xfId="0" applyBorder="1" applyProtection="1">
      <alignment horizontal="center" vertical="center"/>
      <protection locked="0"/>
    </xf>
    <xf numFmtId="0" fontId="8" fillId="0" borderId="55" xfId="0" applyFont="1" applyBorder="1" applyProtection="1">
      <alignment horizontal="center" vertical="center"/>
      <protection locked="0"/>
    </xf>
    <xf numFmtId="0" fontId="0" fillId="0" borderId="55" xfId="0" applyBorder="1" applyProtection="1">
      <alignment horizontal="center" vertical="center"/>
      <protection locked="0"/>
    </xf>
    <xf numFmtId="0" fontId="5" fillId="0" borderId="55" xfId="0" applyFont="1" applyBorder="1" applyAlignment="1" applyProtection="1">
      <alignment horizontal="center"/>
      <protection locked="0"/>
    </xf>
    <xf numFmtId="0" fontId="8" fillId="0" borderId="56" xfId="0" applyFont="1" applyBorder="1" applyProtection="1">
      <alignment horizontal="center" vertical="center"/>
      <protection locked="0"/>
    </xf>
    <xf numFmtId="0" fontId="14" fillId="0" borderId="0" xfId="0" applyFont="1" applyBorder="1" applyProtection="1">
      <alignment horizontal="center" vertical="center"/>
      <protection locked="0"/>
    </xf>
    <xf numFmtId="0" fontId="5" fillId="0" borderId="0" xfId="0" applyFont="1" applyBorder="1" applyProtection="1">
      <alignment horizontal="center" vertical="center"/>
      <protection locked="0"/>
    </xf>
    <xf numFmtId="0" fontId="0" fillId="0" borderId="0" xfId="0" applyAlignment="1" applyProtection="1">
      <alignment horizontal="left"/>
      <protection locked="0"/>
    </xf>
    <xf numFmtId="0" fontId="10" fillId="60" borderId="0" xfId="0" applyFont="1" applyFill="1" applyProtection="1">
      <alignment horizontal="center" vertical="center"/>
      <protection locked="0"/>
    </xf>
    <xf numFmtId="0" fontId="0" fillId="68" borderId="143" xfId="0" applyFill="1" applyBorder="1" applyProtection="1">
      <alignment horizontal="center" vertical="center"/>
      <protection locked="0"/>
    </xf>
    <xf numFmtId="0" fontId="0" fillId="51" borderId="143" xfId="0" applyFill="1" applyBorder="1" applyProtection="1">
      <alignment horizontal="center" vertical="center"/>
      <protection locked="0"/>
    </xf>
    <xf numFmtId="0" fontId="0" fillId="68" borderId="144" xfId="0" applyFill="1" applyBorder="1" applyProtection="1">
      <alignment horizontal="center" vertical="center"/>
      <protection locked="0"/>
    </xf>
    <xf numFmtId="0" fontId="0" fillId="76" borderId="89" xfId="0" applyFill="1" applyBorder="1" applyProtection="1">
      <alignment horizontal="center" vertical="center"/>
      <protection locked="0"/>
    </xf>
    <xf numFmtId="0" fontId="0" fillId="76" borderId="104" xfId="0" applyFill="1" applyBorder="1" applyProtection="1">
      <alignment horizontal="center" vertical="center"/>
      <protection locked="0"/>
    </xf>
    <xf numFmtId="0" fontId="0" fillId="51" borderId="35" xfId="43" applyFont="1" applyFill="1" applyBorder="1" applyProtection="1">
      <alignment horizontal="center" vertical="center"/>
      <protection locked="0"/>
    </xf>
    <xf numFmtId="0" fontId="7" fillId="76" borderId="32" xfId="0" applyFont="1" applyFill="1" applyBorder="1" applyProtection="1">
      <alignment horizontal="center" vertical="center"/>
      <protection locked="0"/>
    </xf>
    <xf numFmtId="0" fontId="7" fillId="76" borderId="54" xfId="0" applyFont="1" applyFill="1" applyBorder="1" applyProtection="1">
      <alignment horizontal="center" vertical="center"/>
      <protection locked="0"/>
    </xf>
    <xf numFmtId="0" fontId="0" fillId="51" borderId="47" xfId="43" applyFont="1" applyFill="1" applyBorder="1" applyProtection="1">
      <alignment horizontal="center" vertical="center"/>
      <protection locked="0"/>
    </xf>
    <xf numFmtId="0" fontId="0" fillId="51" borderId="35" xfId="44" applyFont="1" applyFill="1" applyBorder="1" applyProtection="1">
      <alignment horizontal="center" vertical="center"/>
      <protection locked="0"/>
    </xf>
    <xf numFmtId="1" fontId="0" fillId="51" borderId="35" xfId="0" applyNumberFormat="1" applyFill="1" applyBorder="1" applyProtection="1">
      <alignment horizontal="center" vertical="center"/>
      <protection locked="0"/>
    </xf>
    <xf numFmtId="1" fontId="0" fillId="0" borderId="35" xfId="0" applyNumberFormat="1" applyBorder="1" applyProtection="1">
      <alignment horizontal="center" vertical="center"/>
      <protection locked="0"/>
    </xf>
    <xf numFmtId="1" fontId="0" fillId="51" borderId="47" xfId="0" applyNumberFormat="1" applyFill="1" applyBorder="1" applyProtection="1">
      <alignment horizontal="center" vertical="center"/>
      <protection locked="0"/>
    </xf>
    <xf numFmtId="0" fontId="0" fillId="51" borderId="35" xfId="48" applyFont="1" applyFill="1" applyBorder="1" applyProtection="1">
      <alignment horizontal="center" vertical="center"/>
      <protection locked="0"/>
    </xf>
    <xf numFmtId="0" fontId="0" fillId="51" borderId="35" xfId="0" applyFill="1" applyBorder="1" applyProtection="1">
      <alignment horizontal="center" vertical="center"/>
      <protection locked="0"/>
    </xf>
    <xf numFmtId="0" fontId="0" fillId="51" borderId="47" xfId="48" applyFont="1" applyFill="1" applyBorder="1" applyProtection="1">
      <alignment horizontal="center" vertical="center"/>
      <protection locked="0"/>
    </xf>
    <xf numFmtId="49" fontId="0" fillId="51" borderId="35" xfId="0" applyNumberFormat="1" applyFill="1" applyBorder="1" applyProtection="1">
      <alignment horizontal="center" vertical="center"/>
      <protection locked="0"/>
    </xf>
    <xf numFmtId="0" fontId="8" fillId="52" borderId="35" xfId="48" applyBorder="1" applyProtection="1">
      <alignment horizontal="center" vertical="center"/>
      <protection locked="0"/>
    </xf>
    <xf numFmtId="0" fontId="0" fillId="51" borderId="35" xfId="32" applyFont="1" applyFill="1" applyBorder="1" applyAlignment="1" applyProtection="1">
      <alignment horizontal="center" vertical="center"/>
      <protection locked="0"/>
    </xf>
    <xf numFmtId="0" fontId="0" fillId="94" borderId="39" xfId="43" applyFont="1" applyFill="1" applyBorder="1" applyProtection="1">
      <alignment horizontal="center" vertical="center"/>
      <protection locked="0"/>
    </xf>
    <xf numFmtId="49" fontId="0" fillId="94" borderId="39" xfId="0" applyNumberFormat="1" applyFill="1" applyBorder="1" applyProtection="1">
      <alignment horizontal="center" vertical="center"/>
      <protection locked="0"/>
    </xf>
    <xf numFmtId="0" fontId="0" fillId="94" borderId="39" xfId="0" applyFill="1" applyBorder="1" applyProtection="1">
      <alignment horizontal="center" vertical="center"/>
      <protection locked="0"/>
    </xf>
    <xf numFmtId="0" fontId="0" fillId="94" borderId="39" xfId="32" applyFont="1" applyFill="1" applyBorder="1" applyAlignment="1" applyProtection="1">
      <alignment horizontal="center" vertical="center"/>
      <protection locked="0"/>
    </xf>
    <xf numFmtId="0" fontId="0" fillId="94" borderId="39" xfId="46" applyFont="1" applyFill="1" applyBorder="1" applyProtection="1">
      <alignment horizontal="center" vertical="center"/>
      <protection locked="0"/>
    </xf>
    <xf numFmtId="0" fontId="0" fillId="94" borderId="76" xfId="43" applyFont="1" applyFill="1" applyBorder="1" applyProtection="1">
      <alignment horizontal="center" vertical="center"/>
      <protection locked="0"/>
    </xf>
    <xf numFmtId="0" fontId="0" fillId="51" borderId="39" xfId="43" applyFont="1" applyFill="1" applyBorder="1" applyProtection="1">
      <alignment horizontal="center" vertical="center"/>
      <protection locked="0"/>
    </xf>
    <xf numFmtId="49" fontId="0" fillId="51" borderId="39" xfId="0" applyNumberFormat="1" applyFill="1" applyBorder="1" applyProtection="1">
      <alignment horizontal="center" vertical="center"/>
      <protection locked="0"/>
    </xf>
    <xf numFmtId="0" fontId="0" fillId="51" borderId="39" xfId="0" applyFill="1" applyBorder="1" applyProtection="1">
      <alignment horizontal="center" vertical="center"/>
      <protection locked="0"/>
    </xf>
    <xf numFmtId="0" fontId="0" fillId="51" borderId="76" xfId="43" applyFont="1" applyFill="1" applyBorder="1" applyProtection="1">
      <alignment horizontal="center" vertical="center"/>
      <protection locked="0"/>
    </xf>
    <xf numFmtId="0" fontId="0" fillId="94" borderId="44" xfId="43" applyFont="1" applyFill="1" applyBorder="1" applyProtection="1">
      <alignment horizontal="center" vertical="center"/>
      <protection locked="0"/>
    </xf>
    <xf numFmtId="49" fontId="0" fillId="94" borderId="44" xfId="0" applyNumberFormat="1" applyFill="1" applyBorder="1" applyProtection="1">
      <alignment horizontal="center" vertical="center"/>
      <protection locked="0"/>
    </xf>
    <xf numFmtId="0" fontId="0" fillId="94" borderId="44" xfId="0" applyFill="1" applyBorder="1" applyProtection="1">
      <alignment horizontal="center" vertical="center"/>
      <protection locked="0"/>
    </xf>
    <xf numFmtId="0" fontId="0" fillId="94" borderId="44" xfId="32" applyFont="1" applyFill="1" applyBorder="1" applyAlignment="1" applyProtection="1">
      <alignment horizontal="center" vertical="center"/>
      <protection locked="0"/>
    </xf>
    <xf numFmtId="0" fontId="0" fillId="94" borderId="44" xfId="46" applyFont="1" applyFill="1" applyBorder="1" applyProtection="1">
      <alignment horizontal="center" vertical="center"/>
      <protection locked="0"/>
    </xf>
    <xf numFmtId="0" fontId="0" fillId="94" borderId="45" xfId="43" applyFont="1" applyFill="1" applyBorder="1" applyProtection="1">
      <alignment horizontal="center" vertical="center"/>
      <protection locked="0"/>
    </xf>
    <xf numFmtId="0" fontId="0" fillId="51" borderId="49" xfId="43" applyFont="1" applyFill="1" applyBorder="1" applyProtection="1">
      <alignment horizontal="center" vertical="center"/>
      <protection locked="0"/>
    </xf>
    <xf numFmtId="0" fontId="0" fillId="52" borderId="49" xfId="43" applyFont="1" applyFill="1" applyBorder="1" applyProtection="1">
      <alignment horizontal="center" vertical="center"/>
      <protection locked="0"/>
    </xf>
    <xf numFmtId="49" fontId="0" fillId="51" borderId="49" xfId="0" applyNumberFormat="1" applyFill="1" applyBorder="1" applyProtection="1">
      <alignment horizontal="center" vertical="center"/>
      <protection locked="0"/>
    </xf>
    <xf numFmtId="0" fontId="0" fillId="51" borderId="49" xfId="0" applyFill="1" applyBorder="1" applyProtection="1">
      <alignment horizontal="center" vertical="center"/>
      <protection locked="0"/>
    </xf>
    <xf numFmtId="0" fontId="0" fillId="51" borderId="50" xfId="43" applyFont="1" applyFill="1" applyBorder="1" applyProtection="1">
      <alignment horizontal="center" vertical="center"/>
      <protection locked="0"/>
    </xf>
    <xf numFmtId="0" fontId="0" fillId="0" borderId="35" xfId="0" applyBorder="1" applyProtection="1">
      <alignment horizontal="center" vertical="center"/>
      <protection locked="0"/>
    </xf>
    <xf numFmtId="0" fontId="0" fillId="0" borderId="47" xfId="0" applyBorder="1" applyProtection="1">
      <alignment horizontal="center" vertical="center"/>
      <protection locked="0"/>
    </xf>
    <xf numFmtId="0" fontId="0" fillId="0" borderId="35" xfId="51" applyFont="1" applyFill="1" applyBorder="1" applyProtection="1">
      <alignment horizontal="center" vertical="center"/>
      <protection locked="0"/>
    </xf>
    <xf numFmtId="0" fontId="0" fillId="0" borderId="49" xfId="0" applyBorder="1" applyProtection="1">
      <alignment horizontal="center" vertical="center"/>
      <protection locked="0"/>
    </xf>
    <xf numFmtId="0" fontId="0" fillId="0" borderId="50" xfId="0" applyBorder="1" applyProtection="1">
      <alignment horizontal="center" vertical="center"/>
      <protection locked="0"/>
    </xf>
    <xf numFmtId="0" fontId="5" fillId="0" borderId="0" xfId="0" applyFont="1" applyAlignment="1" applyProtection="1">
      <alignment horizontal="left" vertical="center"/>
      <protection locked="0"/>
    </xf>
    <xf numFmtId="0" fontId="8" fillId="0" borderId="0" xfId="0" applyFont="1" applyProtection="1">
      <alignment horizontal="center"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14" fillId="0" borderId="0" xfId="0" applyFont="1" applyProtection="1">
      <alignment horizontal="center" vertical="center"/>
      <protection locked="0"/>
    </xf>
    <xf numFmtId="0" fontId="5" fillId="0" borderId="0" xfId="0" applyFont="1" applyBorder="1" applyAlignment="1" applyProtection="1">
      <alignment horizontal="left" vertical="center"/>
      <protection locked="0"/>
    </xf>
    <xf numFmtId="0" fontId="0" fillId="0" borderId="0" xfId="0" applyBorder="1" applyAlignment="1" applyProtection="1">
      <alignment vertical="center"/>
      <protection locked="0"/>
    </xf>
    <xf numFmtId="0" fontId="0" fillId="0" borderId="0" xfId="0" applyBorder="1" applyAlignment="1" applyProtection="1">
      <alignment horizontal="left" vertical="center"/>
      <protection locked="0"/>
    </xf>
    <xf numFmtId="0" fontId="0" fillId="51" borderId="68" xfId="0" applyFill="1" applyBorder="1" applyProtection="1">
      <alignment horizontal="center" vertical="center"/>
      <protection locked="0"/>
    </xf>
    <xf numFmtId="0" fontId="0" fillId="51" borderId="35" xfId="20" applyFont="1" applyFill="1" applyBorder="1" applyAlignment="1" applyProtection="1">
      <alignment horizontal="center" vertical="center"/>
      <protection locked="0"/>
    </xf>
    <xf numFmtId="49" fontId="0" fillId="51" borderId="47" xfId="0" applyNumberFormat="1" applyFill="1" applyBorder="1" applyProtection="1">
      <alignment horizontal="center" vertical="center"/>
      <protection locked="0"/>
    </xf>
    <xf numFmtId="0" fontId="0" fillId="53" borderId="35" xfId="49" applyFont="1" applyFill="1" applyBorder="1" applyProtection="1">
      <alignment horizontal="center" vertical="center"/>
      <protection locked="0"/>
    </xf>
    <xf numFmtId="1" fontId="0" fillId="53" borderId="35" xfId="0" applyNumberFormat="1" applyFill="1" applyBorder="1" applyProtection="1">
      <alignment horizontal="center" vertical="center"/>
      <protection locked="0"/>
    </xf>
    <xf numFmtId="0" fontId="8" fillId="53" borderId="35" xfId="43" applyBorder="1" applyProtection="1">
      <alignment horizontal="center" vertical="center"/>
      <protection locked="0"/>
    </xf>
    <xf numFmtId="1" fontId="0" fillId="51" borderId="35" xfId="32" applyNumberFormat="1" applyFont="1" applyFill="1" applyBorder="1" applyAlignment="1" applyProtection="1">
      <alignment horizontal="center" vertical="center"/>
      <protection locked="0"/>
    </xf>
    <xf numFmtId="0" fontId="0" fillId="51" borderId="35" xfId="46" applyFont="1" applyFill="1" applyBorder="1" applyProtection="1">
      <alignment horizontal="center" vertical="center"/>
      <protection locked="0"/>
    </xf>
    <xf numFmtId="0" fontId="10" fillId="51" borderId="47" xfId="0" applyFont="1" applyFill="1" applyBorder="1" applyProtection="1">
      <alignment horizontal="center" vertical="center"/>
      <protection locked="0"/>
    </xf>
    <xf numFmtId="0" fontId="8" fillId="74" borderId="35" xfId="47" applyBorder="1" applyProtection="1">
      <alignment horizontal="center" vertical="center"/>
      <protection locked="0"/>
    </xf>
    <xf numFmtId="0" fontId="8" fillId="75" borderId="35" xfId="56" applyBorder="1" applyProtection="1">
      <alignment horizontal="center" vertical="center"/>
      <protection locked="0"/>
    </xf>
    <xf numFmtId="0" fontId="8" fillId="52" borderId="47" xfId="48" applyBorder="1" applyProtection="1">
      <alignment horizontal="center" vertical="center"/>
      <protection locked="0"/>
    </xf>
    <xf numFmtId="49" fontId="0" fillId="52" borderId="35" xfId="0" applyNumberFormat="1" applyFill="1" applyBorder="1" applyProtection="1">
      <alignment horizontal="center" vertical="center"/>
      <protection locked="0"/>
    </xf>
    <xf numFmtId="0" fontId="0" fillId="52" borderId="35" xfId="0" applyFill="1" applyBorder="1" applyProtection="1">
      <alignment horizontal="center" vertical="center"/>
      <protection locked="0"/>
    </xf>
    <xf numFmtId="0" fontId="0" fillId="51" borderId="49" xfId="44" applyFont="1" applyFill="1" applyBorder="1" applyProtection="1">
      <alignment horizontal="center" vertical="center"/>
      <protection locked="0"/>
    </xf>
    <xf numFmtId="0" fontId="0" fillId="51" borderId="49" xfId="48" applyFont="1" applyFill="1" applyBorder="1" applyProtection="1">
      <alignment horizontal="center" vertical="center"/>
      <protection locked="0"/>
    </xf>
    <xf numFmtId="0" fontId="10" fillId="51" borderId="50" xfId="0" applyFont="1" applyFill="1" applyBorder="1" applyProtection="1">
      <alignment horizontal="center" vertical="center"/>
      <protection locked="0"/>
    </xf>
    <xf numFmtId="49" fontId="0" fillId="51" borderId="0" xfId="0" applyNumberFormat="1" applyFill="1" applyBorder="1" applyProtection="1">
      <alignment horizontal="center" vertical="center"/>
      <protection locked="0"/>
    </xf>
    <xf numFmtId="0" fontId="0" fillId="51" borderId="0" xfId="44" applyFont="1" applyFill="1" applyBorder="1" applyProtection="1">
      <alignment horizontal="center" vertical="center"/>
      <protection locked="0"/>
    </xf>
    <xf numFmtId="0" fontId="0" fillId="51" borderId="0" xfId="0" applyFill="1" applyBorder="1" applyProtection="1">
      <alignment horizontal="center" vertical="center"/>
      <protection locked="0"/>
    </xf>
    <xf numFmtId="0" fontId="0" fillId="51" borderId="0" xfId="48" applyFont="1" applyFill="1" applyBorder="1" applyProtection="1">
      <alignment horizontal="center" vertical="center"/>
      <protection locked="0"/>
    </xf>
    <xf numFmtId="0" fontId="10" fillId="51" borderId="0" xfId="0" applyFont="1" applyFill="1" applyBorder="1" applyProtection="1">
      <alignment horizontal="center" vertical="center"/>
      <protection locked="0"/>
    </xf>
    <xf numFmtId="0" fontId="86" fillId="0" borderId="0" xfId="0" applyFont="1" applyBorder="1" applyProtection="1">
      <alignment horizontal="center" vertical="center"/>
      <protection locked="0"/>
    </xf>
    <xf numFmtId="0" fontId="91" fillId="0" borderId="0" xfId="0" applyFont="1" applyBorder="1" applyProtection="1">
      <alignment horizontal="center" vertical="center"/>
      <protection locked="0"/>
    </xf>
    <xf numFmtId="0" fontId="0" fillId="51" borderId="0" xfId="46" applyFont="1" applyFill="1" applyBorder="1" applyProtection="1">
      <alignment horizontal="center" vertical="center"/>
      <protection locked="0"/>
    </xf>
    <xf numFmtId="0" fontId="0" fillId="51" borderId="55" xfId="48" applyFont="1" applyFill="1" applyBorder="1" applyProtection="1">
      <alignment horizontal="center" vertical="center"/>
      <protection locked="0"/>
    </xf>
    <xf numFmtId="0" fontId="0" fillId="73" borderId="55" xfId="0" applyFill="1" applyBorder="1" applyProtection="1">
      <alignment horizontal="center" vertical="center"/>
      <protection locked="0"/>
    </xf>
    <xf numFmtId="0" fontId="0" fillId="51" borderId="55" xfId="0" applyFill="1" applyBorder="1" applyProtection="1">
      <alignment horizontal="center" vertical="center"/>
      <protection locked="0"/>
    </xf>
    <xf numFmtId="0" fontId="0" fillId="51" borderId="55" xfId="44" applyFont="1" applyFill="1" applyBorder="1" applyProtection="1">
      <alignment horizontal="center" vertical="center"/>
      <protection locked="0"/>
    </xf>
    <xf numFmtId="0" fontId="0" fillId="55" borderId="44" xfId="0" applyFill="1" applyBorder="1" applyProtection="1">
      <alignment horizontal="center" vertical="center"/>
      <protection locked="0"/>
    </xf>
    <xf numFmtId="0" fontId="0" fillId="0" borderId="56" xfId="0" applyBorder="1" applyProtection="1">
      <alignment horizontal="center" vertical="center"/>
      <protection locked="0"/>
    </xf>
    <xf numFmtId="0" fontId="0" fillId="0" borderId="49" xfId="44" applyFont="1" applyFill="1" applyBorder="1" applyProtection="1">
      <alignment horizontal="center" vertical="center"/>
      <protection locked="0"/>
    </xf>
    <xf numFmtId="0" fontId="0" fillId="0" borderId="35" xfId="53" applyFont="1" applyBorder="1" applyProtection="1">
      <alignment horizontal="center" vertical="center"/>
      <protection locked="0"/>
    </xf>
    <xf numFmtId="49" fontId="0" fillId="0" borderId="35" xfId="0" applyNumberFormat="1" applyBorder="1" applyProtection="1">
      <alignment horizontal="center" vertical="center"/>
      <protection locked="0"/>
    </xf>
    <xf numFmtId="0" fontId="0" fillId="0" borderId="49" xfId="48" applyFont="1" applyFill="1" applyBorder="1" applyProtection="1">
      <alignment horizontal="center" vertical="center"/>
      <protection locked="0"/>
    </xf>
    <xf numFmtId="0" fontId="0" fillId="53" borderId="35" xfId="44" applyFont="1" applyFill="1" applyBorder="1" applyProtection="1">
      <alignment horizontal="center" vertical="center"/>
      <protection locked="0"/>
    </xf>
    <xf numFmtId="0" fontId="0" fillId="51" borderId="82" xfId="0" applyFill="1" applyBorder="1" applyProtection="1">
      <alignment horizontal="center" vertical="center"/>
      <protection locked="0"/>
    </xf>
    <xf numFmtId="49" fontId="0" fillId="51" borderId="82" xfId="0" applyNumberFormat="1" applyFill="1" applyBorder="1" applyProtection="1">
      <alignment horizontal="center" vertical="center"/>
      <protection locked="0"/>
    </xf>
    <xf numFmtId="0" fontId="0" fillId="51" borderId="84" xfId="0" applyFill="1" applyBorder="1" applyProtection="1">
      <alignment horizontal="center" vertical="center"/>
      <protection locked="0"/>
    </xf>
    <xf numFmtId="0" fontId="0" fillId="51" borderId="59" xfId="48" applyFont="1" applyFill="1" applyBorder="1" applyProtection="1">
      <alignment horizontal="center" vertical="center"/>
      <protection locked="0"/>
    </xf>
    <xf numFmtId="49" fontId="0" fillId="51" borderId="59" xfId="0" applyNumberFormat="1" applyFill="1" applyBorder="1" applyProtection="1">
      <alignment horizontal="center" vertical="center"/>
      <protection locked="0"/>
    </xf>
    <xf numFmtId="49" fontId="0" fillId="51" borderId="89" xfId="0" applyNumberFormat="1" applyFill="1" applyBorder="1" applyProtection="1">
      <alignment horizontal="center" vertical="center"/>
      <protection locked="0"/>
    </xf>
    <xf numFmtId="0" fontId="0" fillId="51" borderId="89" xfId="48" applyFont="1" applyFill="1" applyBorder="1" applyProtection="1">
      <alignment horizontal="center" vertical="center"/>
      <protection locked="0"/>
    </xf>
    <xf numFmtId="0" fontId="0" fillId="51" borderId="89" xfId="0" applyFill="1" applyBorder="1" applyProtection="1">
      <alignment horizontal="center" vertical="center"/>
      <protection locked="0"/>
    </xf>
    <xf numFmtId="0" fontId="0" fillId="51" borderId="89" xfId="20" applyFont="1" applyFill="1" applyBorder="1" applyAlignment="1" applyProtection="1">
      <alignment horizontal="center" vertical="center"/>
      <protection locked="0"/>
    </xf>
    <xf numFmtId="49" fontId="0" fillId="51" borderId="90" xfId="0" applyNumberFormat="1" applyFill="1" applyBorder="1" applyProtection="1">
      <alignment horizontal="center" vertical="center"/>
      <protection locked="0"/>
    </xf>
    <xf numFmtId="0" fontId="0" fillId="0" borderId="104" xfId="0" applyBorder="1" applyProtection="1">
      <alignment horizontal="center" vertical="center"/>
      <protection locked="0"/>
    </xf>
    <xf numFmtId="0" fontId="8" fillId="74" borderId="82" xfId="47" applyBorder="1" applyProtection="1">
      <alignment horizontal="center" vertical="center"/>
      <protection locked="0"/>
    </xf>
    <xf numFmtId="0" fontId="8" fillId="0" borderId="35" xfId="53" applyBorder="1" applyProtection="1">
      <alignment horizontal="center" vertical="center"/>
      <protection locked="0"/>
    </xf>
    <xf numFmtId="0" fontId="0" fillId="51" borderId="0" xfId="47" applyFont="1" applyFill="1" applyBorder="1" applyProtection="1">
      <alignment horizontal="center" vertical="center"/>
      <protection locked="0"/>
    </xf>
    <xf numFmtId="0" fontId="0" fillId="51" borderId="39" xfId="47" applyFont="1" applyFill="1" applyBorder="1" applyProtection="1">
      <alignment horizontal="center" vertical="center"/>
      <protection locked="0"/>
    </xf>
    <xf numFmtId="0" fontId="0" fillId="51" borderId="150" xfId="47" applyFont="1" applyFill="1" applyBorder="1" applyProtection="1">
      <alignment horizontal="center" vertical="center"/>
      <protection locked="0"/>
    </xf>
    <xf numFmtId="0" fontId="0" fillId="51" borderId="35" xfId="47" applyFont="1" applyFill="1" applyBorder="1" applyProtection="1">
      <alignment horizontal="center" vertical="center"/>
      <protection locked="0"/>
    </xf>
    <xf numFmtId="0" fontId="0" fillId="51" borderId="151" xfId="47" applyFont="1" applyFill="1" applyBorder="1" applyProtection="1">
      <alignment horizontal="center" vertical="center"/>
      <protection locked="0"/>
    </xf>
    <xf numFmtId="0" fontId="77" fillId="53" borderId="49" xfId="0" applyFont="1" applyFill="1" applyBorder="1" applyProtection="1">
      <alignment horizontal="center" vertical="center"/>
      <protection locked="0"/>
    </xf>
    <xf numFmtId="0" fontId="0" fillId="53" borderId="49" xfId="0" applyFill="1" applyBorder="1" applyProtection="1">
      <alignment horizontal="center" vertical="center"/>
      <protection locked="0"/>
    </xf>
    <xf numFmtId="0" fontId="0" fillId="0" borderId="49" xfId="43" applyFont="1" applyFill="1" applyBorder="1" applyProtection="1">
      <alignment horizontal="center" vertical="center"/>
      <protection locked="0"/>
    </xf>
    <xf numFmtId="0" fontId="0" fillId="0" borderId="49" xfId="47" applyFont="1" applyFill="1" applyBorder="1" applyProtection="1">
      <alignment horizontal="center" vertical="center"/>
      <protection locked="0"/>
    </xf>
    <xf numFmtId="0" fontId="77" fillId="0" borderId="49" xfId="0" applyFont="1" applyBorder="1" applyProtection="1">
      <alignment horizontal="center" vertical="center"/>
      <protection locked="0"/>
    </xf>
    <xf numFmtId="0" fontId="0" fillId="0" borderId="124" xfId="47" applyFont="1" applyFill="1" applyBorder="1" applyProtection="1">
      <alignment horizontal="center" vertical="center"/>
      <protection locked="0"/>
    </xf>
    <xf numFmtId="0" fontId="0" fillId="0" borderId="35" xfId="47" applyFont="1" applyFill="1" applyBorder="1" applyProtection="1">
      <alignment horizontal="center" vertical="center"/>
      <protection locked="0"/>
    </xf>
    <xf numFmtId="0" fontId="0" fillId="0" borderId="125" xfId="47" applyFont="1" applyFill="1" applyBorder="1" applyProtection="1">
      <alignment horizontal="center" vertical="center"/>
      <protection locked="0"/>
    </xf>
    <xf numFmtId="0" fontId="0" fillId="0" borderId="50" xfId="47" applyFont="1" applyFill="1" applyBorder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0" fillId="51" borderId="0" xfId="47" applyFont="1" applyFill="1" applyProtection="1">
      <alignment horizontal="center" vertical="center"/>
      <protection locked="0"/>
    </xf>
    <xf numFmtId="49" fontId="0" fillId="0" borderId="0" xfId="0" applyNumberFormat="1" applyProtection="1">
      <alignment horizontal="center" vertical="center"/>
      <protection locked="0"/>
    </xf>
    <xf numFmtId="0" fontId="0" fillId="0" borderId="116" xfId="0" applyBorder="1" applyProtection="1">
      <alignment horizontal="center" vertical="center"/>
      <protection locked="0"/>
    </xf>
    <xf numFmtId="0" fontId="7" fillId="0" borderId="31" xfId="0" applyFont="1" applyBorder="1" applyAlignment="1" applyProtection="1">
      <alignment horizontal="left"/>
      <protection locked="0"/>
    </xf>
    <xf numFmtId="0" fontId="0" fillId="0" borderId="0" xfId="0" applyBorder="1" applyAlignment="1" applyProtection="1">
      <alignment horizontal="left"/>
      <protection locked="0"/>
    </xf>
    <xf numFmtId="0" fontId="0" fillId="0" borderId="31" xfId="0" applyBorder="1" applyAlignment="1" applyProtection="1">
      <alignment horizontal="left" vertical="center"/>
      <protection locked="0"/>
    </xf>
    <xf numFmtId="0" fontId="0" fillId="0" borderId="13" xfId="0" applyBorder="1" applyProtection="1">
      <alignment horizontal="center" vertical="center"/>
      <protection locked="0"/>
    </xf>
    <xf numFmtId="0" fontId="0" fillId="51" borderId="89" xfId="47" applyFont="1" applyFill="1" applyBorder="1" applyProtection="1">
      <alignment horizontal="center" vertical="center"/>
      <protection locked="0"/>
    </xf>
    <xf numFmtId="0" fontId="0" fillId="69" borderId="20" xfId="0" applyFill="1" applyBorder="1" applyAlignment="1" applyProtection="1">
      <protection locked="0"/>
    </xf>
    <xf numFmtId="0" fontId="57" fillId="69" borderId="20" xfId="0" applyFont="1" applyFill="1" applyBorder="1" applyAlignment="1" applyProtection="1">
      <protection locked="0"/>
    </xf>
    <xf numFmtId="0" fontId="0" fillId="71" borderId="0" xfId="0" applyFill="1" applyAlignment="1" applyProtection="1">
      <protection locked="0"/>
    </xf>
    <xf numFmtId="0" fontId="0" fillId="0" borderId="0" xfId="0" applyAlignment="1" applyProtection="1">
      <protection locked="0"/>
    </xf>
    <xf numFmtId="0" fontId="0" fillId="16" borderId="35" xfId="20" applyFont="1" applyBorder="1" applyAlignment="1" applyProtection="1">
      <alignment horizontal="center" vertical="center"/>
      <protection locked="0"/>
    </xf>
    <xf numFmtId="0" fontId="0" fillId="53" borderId="35" xfId="51" applyFont="1" applyFill="1" applyBorder="1" applyProtection="1">
      <alignment horizontal="center" vertical="center"/>
      <protection locked="0"/>
    </xf>
    <xf numFmtId="0" fontId="0" fillId="0" borderId="47" xfId="51" applyFont="1" applyFill="1" applyBorder="1" applyProtection="1">
      <alignment horizontal="center" vertical="center"/>
      <protection locked="0"/>
    </xf>
    <xf numFmtId="0" fontId="0" fillId="0" borderId="49" xfId="51" applyFont="1" applyFill="1" applyBorder="1" applyProtection="1">
      <alignment horizontal="center" vertical="center"/>
      <protection locked="0"/>
    </xf>
    <xf numFmtId="0" fontId="0" fillId="16" borderId="49" xfId="20" applyFont="1" applyBorder="1" applyAlignment="1" applyProtection="1">
      <alignment horizontal="center" vertical="center"/>
      <protection locked="0"/>
    </xf>
    <xf numFmtId="0" fontId="0" fillId="0" borderId="50" xfId="51" applyFont="1" applyFill="1" applyBorder="1" applyProtection="1">
      <alignment horizontal="center" vertical="center"/>
      <protection locked="0"/>
    </xf>
    <xf numFmtId="0" fontId="0" fillId="69" borderId="71" xfId="0" applyFill="1" applyBorder="1" applyAlignment="1" applyProtection="1">
      <protection locked="0"/>
    </xf>
    <xf numFmtId="0" fontId="57" fillId="69" borderId="71" xfId="0" applyFont="1" applyFill="1" applyBorder="1" applyAlignment="1" applyProtection="1">
      <protection locked="0"/>
    </xf>
    <xf numFmtId="0" fontId="0" fillId="69" borderId="38" xfId="0" applyFill="1" applyBorder="1" applyAlignment="1" applyProtection="1">
      <protection locked="0"/>
    </xf>
    <xf numFmtId="0" fontId="0" fillId="69" borderId="0" xfId="0" applyFill="1" applyBorder="1" applyAlignment="1" applyProtection="1">
      <protection locked="0"/>
    </xf>
    <xf numFmtId="0" fontId="0" fillId="0" borderId="0" xfId="0" applyBorder="1" applyAlignment="1" applyProtection="1">
      <protection locked="0"/>
    </xf>
    <xf numFmtId="0" fontId="0" fillId="51" borderId="83" xfId="0" applyFill="1" applyBorder="1" applyProtection="1">
      <alignment horizontal="center" vertical="center"/>
      <protection locked="0"/>
    </xf>
    <xf numFmtId="49" fontId="0" fillId="16" borderId="49" xfId="20" applyNumberFormat="1" applyFont="1" applyBorder="1" applyAlignment="1" applyProtection="1">
      <alignment horizontal="center" vertical="center"/>
      <protection locked="0"/>
    </xf>
    <xf numFmtId="0" fontId="8" fillId="75" borderId="82" xfId="56" applyBorder="1" applyProtection="1">
      <alignment horizontal="center" vertical="center"/>
      <protection locked="0"/>
    </xf>
    <xf numFmtId="0" fontId="57" fillId="69" borderId="0" xfId="0" applyFont="1" applyFill="1" applyBorder="1" applyAlignment="1" applyProtection="1">
      <protection locked="0"/>
    </xf>
    <xf numFmtId="0" fontId="8" fillId="75" borderId="0" xfId="56" applyBorder="1" applyProtection="1">
      <alignment horizontal="center" vertical="center"/>
      <protection locked="0"/>
    </xf>
    <xf numFmtId="0" fontId="77" fillId="0" borderId="0" xfId="0" applyFont="1" applyBorder="1" applyProtection="1">
      <alignment horizontal="center" vertical="center"/>
      <protection locked="0"/>
    </xf>
    <xf numFmtId="0" fontId="0" fillId="16" borderId="1" xfId="20" applyFont="1" applyAlignment="1" applyProtection="1">
      <alignment horizontal="center" vertical="center"/>
      <protection locked="0"/>
    </xf>
    <xf numFmtId="0" fontId="77" fillId="0" borderId="110" xfId="0" applyFont="1" applyBorder="1" applyProtection="1">
      <alignment horizontal="center" vertical="center"/>
      <protection locked="0"/>
    </xf>
    <xf numFmtId="0" fontId="8" fillId="75" borderId="110" xfId="56" applyBorder="1" applyProtection="1">
      <alignment horizontal="center" vertical="center"/>
      <protection locked="0"/>
    </xf>
    <xf numFmtId="0" fontId="77" fillId="0" borderId="111" xfId="0" applyFont="1" applyBorder="1" applyProtection="1">
      <alignment horizontal="center" vertical="center"/>
      <protection locked="0"/>
    </xf>
    <xf numFmtId="0" fontId="0" fillId="51" borderId="74" xfId="0" applyFill="1" applyBorder="1" applyProtection="1">
      <alignment horizontal="center" vertical="center"/>
      <protection locked="0"/>
    </xf>
    <xf numFmtId="0" fontId="0" fillId="16" borderId="40" xfId="20" applyFont="1" applyBorder="1" applyAlignment="1" applyProtection="1">
      <alignment horizontal="center" vertical="center"/>
      <protection locked="0"/>
    </xf>
    <xf numFmtId="49" fontId="0" fillId="16" borderId="148" xfId="20" applyNumberFormat="1" applyFont="1" applyBorder="1" applyAlignment="1" applyProtection="1">
      <alignment horizontal="center" vertical="center"/>
      <protection locked="0"/>
    </xf>
    <xf numFmtId="0" fontId="0" fillId="51" borderId="59" xfId="0" applyFill="1" applyBorder="1" applyProtection="1">
      <alignment horizontal="center" vertical="center"/>
      <protection locked="0"/>
    </xf>
    <xf numFmtId="0" fontId="10" fillId="51" borderId="0" xfId="0" applyFont="1" applyFill="1" applyProtection="1">
      <alignment horizontal="center" vertical="center"/>
      <protection locked="0"/>
    </xf>
    <xf numFmtId="0" fontId="8" fillId="0" borderId="0" xfId="0" applyFont="1" applyBorder="1" applyAlignment="1" applyProtection="1">
      <alignment horizontal="left" vertical="center"/>
      <protection locked="0"/>
    </xf>
    <xf numFmtId="0" fontId="8" fillId="0" borderId="0" xfId="0" applyFont="1" applyAlignment="1" applyProtection="1">
      <protection locked="0"/>
    </xf>
    <xf numFmtId="49" fontId="8" fillId="0" borderId="0" xfId="0" applyNumberFormat="1" applyFont="1" applyProtection="1">
      <alignment horizontal="center" vertical="center"/>
      <protection locked="0"/>
    </xf>
    <xf numFmtId="0" fontId="10" fillId="0" borderId="0" xfId="0" applyFont="1" applyProtection="1">
      <alignment horizontal="center" vertical="center"/>
      <protection locked="0"/>
    </xf>
    <xf numFmtId="0" fontId="0" fillId="0" borderId="95" xfId="0" applyBorder="1" applyAlignment="1" applyProtection="1">
      <protection locked="0"/>
    </xf>
    <xf numFmtId="0" fontId="0" fillId="0" borderId="79" xfId="0" applyBorder="1" applyAlignment="1" applyProtection="1">
      <protection locked="0"/>
    </xf>
    <xf numFmtId="0" fontId="0" fillId="68" borderId="44" xfId="0" applyFill="1" applyBorder="1" applyProtection="1">
      <alignment horizontal="center" vertical="center"/>
      <protection locked="0"/>
    </xf>
    <xf numFmtId="0" fontId="0" fillId="51" borderId="44" xfId="0" applyFill="1" applyBorder="1" applyProtection="1">
      <alignment horizontal="center" vertical="center"/>
      <protection locked="0"/>
    </xf>
    <xf numFmtId="0" fontId="0" fillId="68" borderId="45" xfId="0" applyFill="1" applyBorder="1" applyProtection="1">
      <alignment horizontal="center" vertical="center"/>
      <protection locked="0"/>
    </xf>
    <xf numFmtId="0" fontId="8" fillId="51" borderId="35" xfId="48" applyFill="1" applyBorder="1" applyProtection="1">
      <alignment horizontal="center" vertical="center"/>
      <protection locked="0"/>
    </xf>
    <xf numFmtId="0" fontId="0" fillId="0" borderId="35" xfId="48" applyFont="1" applyFill="1" applyBorder="1" applyProtection="1">
      <alignment horizontal="center" vertical="center"/>
      <protection locked="0"/>
    </xf>
    <xf numFmtId="0" fontId="0" fillId="0" borderId="35" xfId="43" applyFont="1" applyFill="1" applyBorder="1" applyProtection="1">
      <alignment horizontal="center" vertical="center"/>
      <protection locked="0"/>
    </xf>
    <xf numFmtId="0" fontId="0" fillId="51" borderId="47" xfId="0" applyFill="1" applyBorder="1" applyProtection="1">
      <alignment horizontal="center" vertical="center"/>
      <protection locked="0"/>
    </xf>
    <xf numFmtId="0" fontId="0" fillId="0" borderId="35" xfId="44" applyFont="1" applyFill="1" applyBorder="1" applyProtection="1">
      <alignment horizontal="center" vertical="center"/>
      <protection locked="0"/>
    </xf>
    <xf numFmtId="0" fontId="0" fillId="51" borderId="47" xfId="44" applyFont="1" applyFill="1" applyBorder="1" applyProtection="1">
      <alignment horizontal="center" vertical="center"/>
      <protection locked="0"/>
    </xf>
    <xf numFmtId="0" fontId="0" fillId="52" borderId="35" xfId="48" applyFont="1" applyBorder="1" applyProtection="1">
      <alignment horizontal="center" vertical="center"/>
      <protection locked="0"/>
    </xf>
    <xf numFmtId="0" fontId="0" fillId="0" borderId="35" xfId="46" applyFont="1" applyFill="1" applyBorder="1" applyProtection="1">
      <alignment horizontal="center" vertical="center"/>
      <protection locked="0"/>
    </xf>
    <xf numFmtId="0" fontId="8" fillId="16" borderId="1" xfId="20" applyFont="1" applyAlignment="1" applyProtection="1">
      <alignment horizontal="center" vertical="center"/>
      <protection locked="0"/>
    </xf>
    <xf numFmtId="0" fontId="0" fillId="0" borderId="49" xfId="46" applyFont="1" applyFill="1" applyBorder="1" applyProtection="1">
      <alignment horizontal="center" vertical="center"/>
      <protection locked="0"/>
    </xf>
    <xf numFmtId="0" fontId="0" fillId="51" borderId="50" xfId="0" applyFill="1" applyBorder="1" applyProtection="1">
      <alignment horizontal="center" vertical="center"/>
      <protection locked="0"/>
    </xf>
    <xf numFmtId="0" fontId="0" fillId="68" borderId="147" xfId="0" applyFill="1" applyBorder="1" applyProtection="1">
      <alignment horizontal="center" vertical="center"/>
      <protection locked="0"/>
    </xf>
    <xf numFmtId="49" fontId="8" fillId="0" borderId="119" xfId="0" applyNumberFormat="1" applyFont="1" applyBorder="1" applyProtection="1">
      <alignment horizontal="center" vertical="center"/>
      <protection locked="0"/>
    </xf>
    <xf numFmtId="0" fontId="5" fillId="0" borderId="120" xfId="0" applyFont="1" applyBorder="1" applyAlignment="1" applyProtection="1">
      <alignment horizontal="left"/>
      <protection locked="0"/>
    </xf>
    <xf numFmtId="0" fontId="0" fillId="0" borderId="120" xfId="0" applyBorder="1" applyProtection="1">
      <alignment horizontal="center" vertical="center"/>
      <protection locked="0"/>
    </xf>
    <xf numFmtId="0" fontId="0" fillId="0" borderId="121" xfId="0" applyBorder="1" applyProtection="1">
      <alignment horizontal="center" vertical="center"/>
      <protection locked="0"/>
    </xf>
    <xf numFmtId="0" fontId="0" fillId="0" borderId="122" xfId="0" applyBorder="1" applyProtection="1">
      <alignment horizontal="center" vertical="center"/>
      <protection locked="0"/>
    </xf>
    <xf numFmtId="49" fontId="8" fillId="0" borderId="0" xfId="0" applyNumberFormat="1" applyFont="1" applyBorder="1" applyProtection="1">
      <alignment horizontal="center" vertical="center"/>
      <protection locked="0"/>
    </xf>
    <xf numFmtId="0" fontId="10" fillId="0" borderId="0" xfId="0" applyFont="1" applyBorder="1" applyProtection="1">
      <alignment horizontal="center" vertical="center"/>
      <protection locked="0"/>
    </xf>
    <xf numFmtId="49" fontId="0" fillId="0" borderId="0" xfId="0" applyNumberFormat="1" applyBorder="1" applyProtection="1">
      <alignment horizontal="center" vertical="center"/>
      <protection locked="0"/>
    </xf>
    <xf numFmtId="49" fontId="0" fillId="0" borderId="119" xfId="0" applyNumberFormat="1" applyBorder="1" applyProtection="1">
      <alignment horizontal="center" vertical="center"/>
      <protection locked="0"/>
    </xf>
    <xf numFmtId="0" fontId="0" fillId="68" borderId="74" xfId="0" applyFill="1" applyBorder="1" applyProtection="1">
      <alignment horizontal="center" vertical="center"/>
      <protection locked="0"/>
    </xf>
    <xf numFmtId="0" fontId="0" fillId="68" borderId="75" xfId="0" applyFill="1" applyBorder="1" applyProtection="1">
      <alignment horizontal="center" vertical="center"/>
      <protection locked="0"/>
    </xf>
    <xf numFmtId="0" fontId="10" fillId="51" borderId="112" xfId="0" applyFont="1" applyFill="1" applyBorder="1" applyProtection="1">
      <alignment horizontal="center" vertical="center"/>
      <protection locked="0"/>
    </xf>
    <xf numFmtId="0" fontId="4" fillId="0" borderId="90" xfId="0" applyFont="1" applyBorder="1" applyAlignment="1" applyProtection="1">
      <alignment horizontal="left" vertical="center"/>
      <protection locked="0"/>
    </xf>
    <xf numFmtId="0" fontId="5" fillId="0" borderId="95" xfId="0" applyFont="1" applyBorder="1" applyAlignment="1" applyProtection="1">
      <alignment horizontal="left"/>
      <protection locked="0"/>
    </xf>
    <xf numFmtId="0" fontId="4" fillId="0" borderId="95" xfId="0" applyFont="1" applyBorder="1" applyAlignment="1" applyProtection="1">
      <alignment horizontal="left" vertical="center"/>
      <protection locked="0"/>
    </xf>
    <xf numFmtId="0" fontId="4" fillId="0" borderId="96" xfId="0" applyFont="1" applyBorder="1" applyAlignment="1" applyProtection="1">
      <alignment horizontal="left" vertical="center"/>
      <protection locked="0"/>
    </xf>
    <xf numFmtId="17" fontId="5" fillId="0" borderId="95" xfId="0" applyNumberFormat="1" applyFont="1" applyBorder="1" applyAlignment="1" applyProtection="1">
      <alignment horizontal="left"/>
      <protection locked="0"/>
    </xf>
    <xf numFmtId="17" fontId="4" fillId="0" borderId="90" xfId="0" applyNumberFormat="1" applyFont="1" applyBorder="1" applyAlignment="1" applyProtection="1">
      <alignment horizontal="left" vertical="center"/>
      <protection locked="0"/>
    </xf>
    <xf numFmtId="0" fontId="0" fillId="0" borderId="90" xfId="0" applyBorder="1" applyAlignment="1" applyProtection="1">
      <alignment horizontal="left" vertical="center"/>
      <protection locked="0"/>
    </xf>
    <xf numFmtId="0" fontId="0" fillId="0" borderId="95" xfId="0" applyBorder="1" applyAlignment="1" applyProtection="1">
      <alignment horizontal="left" vertical="center"/>
      <protection locked="0"/>
    </xf>
    <xf numFmtId="0" fontId="0" fillId="0" borderId="96" xfId="0" applyBorder="1" applyAlignment="1" applyProtection="1">
      <alignment horizontal="left" vertical="center"/>
      <protection locked="0"/>
    </xf>
    <xf numFmtId="0" fontId="5" fillId="0" borderId="90" xfId="0" applyFont="1" applyBorder="1" applyAlignment="1" applyProtection="1">
      <alignment horizontal="left"/>
      <protection locked="0"/>
    </xf>
    <xf numFmtId="0" fontId="0" fillId="0" borderId="95" xfId="0" applyBorder="1" applyProtection="1">
      <alignment horizontal="center" vertical="center"/>
      <protection locked="0"/>
    </xf>
    <xf numFmtId="0" fontId="0" fillId="51" borderId="0" xfId="0" applyFill="1" applyProtection="1">
      <alignment horizontal="center" vertical="center"/>
      <protection locked="0"/>
    </xf>
    <xf numFmtId="0" fontId="0" fillId="68" borderId="135" xfId="0" applyFill="1" applyBorder="1" applyProtection="1">
      <alignment horizontal="center" vertical="center"/>
      <protection locked="0"/>
    </xf>
    <xf numFmtId="0" fontId="0" fillId="94" borderId="74" xfId="0" applyFill="1" applyBorder="1" applyProtection="1">
      <alignment horizontal="center" vertical="center"/>
      <protection locked="0"/>
    </xf>
    <xf numFmtId="0" fontId="0" fillId="76" borderId="74" xfId="0" applyFill="1" applyBorder="1" applyProtection="1">
      <alignment horizontal="center" vertical="center"/>
      <protection locked="0"/>
    </xf>
    <xf numFmtId="0" fontId="0" fillId="76" borderId="69" xfId="0" applyFill="1" applyBorder="1" applyProtection="1">
      <alignment horizontal="center" vertical="center"/>
      <protection locked="0"/>
    </xf>
    <xf numFmtId="0" fontId="0" fillId="76" borderId="35" xfId="0" applyFill="1" applyBorder="1" applyProtection="1">
      <alignment horizontal="center" vertical="center"/>
      <protection locked="0"/>
    </xf>
    <xf numFmtId="0" fontId="0" fillId="76" borderId="47" xfId="0" applyFill="1" applyBorder="1" applyProtection="1">
      <alignment horizontal="center" vertical="center"/>
      <protection locked="0"/>
    </xf>
    <xf numFmtId="49" fontId="14" fillId="0" borderId="0" xfId="0" applyNumberFormat="1" applyFont="1">
      <alignment horizontal="center" vertical="center"/>
    </xf>
    <xf numFmtId="0" fontId="0" fillId="0" borderId="64" xfId="0" applyBorder="1">
      <alignment horizontal="center" vertical="center"/>
    </xf>
    <xf numFmtId="0" fontId="71" fillId="0" borderId="0" xfId="0" applyFont="1" applyBorder="1" applyAlignment="1">
      <alignment horizontal="left"/>
    </xf>
    <xf numFmtId="0" fontId="0" fillId="51" borderId="154" xfId="0" applyFill="1" applyBorder="1" applyAlignment="1">
      <alignment horizontal="left" vertical="center"/>
    </xf>
    <xf numFmtId="0" fontId="8" fillId="0" borderId="48" xfId="0" applyFont="1" applyBorder="1" applyAlignment="1">
      <alignment horizontal="left" vertical="center"/>
    </xf>
    <xf numFmtId="0" fontId="80" fillId="0" borderId="43" xfId="0" applyFont="1" applyBorder="1">
      <alignment horizontal="center" vertical="center"/>
    </xf>
    <xf numFmtId="0" fontId="0" fillId="43" borderId="132" xfId="0" applyFill="1" applyBorder="1" applyAlignment="1">
      <alignment horizontal="center"/>
    </xf>
    <xf numFmtId="0" fontId="0" fillId="43" borderId="31" xfId="0" applyFill="1" applyBorder="1" applyAlignment="1">
      <alignment horizontal="center"/>
    </xf>
    <xf numFmtId="0" fontId="0" fillId="69" borderId="37" xfId="0" applyFill="1" applyBorder="1" applyAlignment="1"/>
    <xf numFmtId="0" fontId="0" fillId="69" borderId="39" xfId="0" applyFill="1" applyBorder="1" applyAlignment="1"/>
    <xf numFmtId="0" fontId="60" fillId="0" borderId="46" xfId="0" applyFont="1" applyBorder="1" applyAlignment="1">
      <alignment horizontal="left" vertical="center"/>
    </xf>
    <xf numFmtId="0" fontId="0" fillId="51" borderId="103" xfId="0" applyFill="1" applyBorder="1" applyAlignment="1">
      <alignment vertical="center"/>
    </xf>
    <xf numFmtId="0" fontId="8" fillId="48" borderId="35" xfId="0" applyFont="1" applyFill="1" applyBorder="1" applyAlignment="1">
      <alignment horizontal="left" vertical="center"/>
    </xf>
    <xf numFmtId="0" fontId="0" fillId="55" borderId="49" xfId="48" applyFont="1" applyFill="1" applyBorder="1" applyProtection="1">
      <alignment horizontal="center" vertical="center"/>
      <protection locked="0"/>
    </xf>
    <xf numFmtId="0" fontId="0" fillId="94" borderId="35" xfId="43" applyFont="1" applyFill="1" applyBorder="1" applyProtection="1">
      <alignment horizontal="center" vertical="center"/>
      <protection locked="0"/>
    </xf>
    <xf numFmtId="0" fontId="0" fillId="94" borderId="0" xfId="43" applyFont="1" applyFill="1" applyBorder="1" applyProtection="1">
      <alignment horizontal="center" vertical="center"/>
      <protection locked="0"/>
    </xf>
    <xf numFmtId="0" fontId="0" fillId="94" borderId="47" xfId="43" applyFont="1" applyFill="1" applyBorder="1" applyProtection="1">
      <alignment horizontal="center" vertical="center"/>
      <protection locked="0"/>
    </xf>
    <xf numFmtId="0" fontId="14" fillId="94" borderId="0" xfId="0" applyFont="1" applyFill="1">
      <alignment horizontal="center" vertical="center"/>
    </xf>
    <xf numFmtId="0" fontId="14" fillId="77" borderId="41" xfId="0" applyFont="1" applyFill="1" applyBorder="1">
      <alignment horizontal="center" vertical="center"/>
    </xf>
    <xf numFmtId="0" fontId="14" fillId="94" borderId="57" xfId="0" applyFont="1" applyFill="1" applyBorder="1">
      <alignment horizontal="center" vertical="center"/>
    </xf>
    <xf numFmtId="0" fontId="0" fillId="94" borderId="129" xfId="32" applyFont="1" applyFill="1" applyBorder="1" applyAlignment="1">
      <alignment horizontal="center" vertical="center"/>
    </xf>
    <xf numFmtId="0" fontId="8" fillId="0" borderId="43" xfId="0" applyFont="1" applyBorder="1" applyAlignment="1">
      <alignment horizontal="left" vertical="center"/>
    </xf>
    <xf numFmtId="0" fontId="0" fillId="51" borderId="63" xfId="43" applyFont="1" applyFill="1" applyBorder="1">
      <alignment horizontal="center" vertical="center"/>
    </xf>
    <xf numFmtId="0" fontId="52" fillId="56" borderId="51" xfId="46" applyBorder="1">
      <alignment horizontal="center" vertical="center"/>
    </xf>
    <xf numFmtId="0" fontId="8" fillId="52" borderId="51" xfId="48" applyBorder="1">
      <alignment horizontal="center" vertical="center"/>
    </xf>
    <xf numFmtId="0" fontId="83" fillId="0" borderId="46" xfId="0" applyFont="1" applyBorder="1" applyAlignment="1">
      <alignment horizontal="left" vertical="center"/>
    </xf>
    <xf numFmtId="1" fontId="0" fillId="51" borderId="62" xfId="0" applyNumberFormat="1" applyFill="1" applyBorder="1">
      <alignment horizontal="center" vertical="center"/>
    </xf>
    <xf numFmtId="1" fontId="0" fillId="51" borderId="62" xfId="32" applyNumberFormat="1" applyFont="1" applyFill="1" applyBorder="1" applyAlignment="1">
      <alignment horizontal="center" vertical="center"/>
    </xf>
    <xf numFmtId="0" fontId="0" fillId="51" borderId="62" xfId="44" applyFont="1" applyFill="1" applyBorder="1">
      <alignment horizontal="center" vertical="center"/>
    </xf>
    <xf numFmtId="0" fontId="0" fillId="0" borderId="62" xfId="0" applyBorder="1">
      <alignment horizontal="center" vertical="center"/>
    </xf>
    <xf numFmtId="1" fontId="0" fillId="51" borderId="94" xfId="0" applyNumberFormat="1" applyFill="1" applyBorder="1">
      <alignment horizontal="center" vertical="center"/>
    </xf>
    <xf numFmtId="0" fontId="0" fillId="94" borderId="35" xfId="43" applyFont="1" applyFill="1" applyBorder="1">
      <alignment horizontal="center" vertical="center"/>
    </xf>
    <xf numFmtId="0" fontId="52" fillId="94" borderId="35" xfId="46" applyFill="1" applyBorder="1">
      <alignment horizontal="center" vertical="center"/>
    </xf>
    <xf numFmtId="0" fontId="8" fillId="94" borderId="35" xfId="48" applyFill="1" applyBorder="1">
      <alignment horizontal="center" vertical="center"/>
    </xf>
    <xf numFmtId="0" fontId="0" fillId="94" borderId="47" xfId="43" applyFont="1" applyFill="1" applyBorder="1">
      <alignment horizontal="center" vertical="center"/>
    </xf>
    <xf numFmtId="0" fontId="86" fillId="0" borderId="0" xfId="0" applyFont="1" applyBorder="1">
      <alignment horizontal="center" vertical="center"/>
    </xf>
    <xf numFmtId="0" fontId="8" fillId="51" borderId="154" xfId="0" applyFont="1" applyFill="1" applyBorder="1" applyAlignment="1" applyProtection="1">
      <alignment horizontal="left" vertical="center"/>
      <protection locked="0"/>
    </xf>
    <xf numFmtId="0" fontId="8" fillId="51" borderId="91" xfId="0" applyFont="1" applyFill="1" applyBorder="1" applyAlignment="1" applyProtection="1">
      <alignment horizontal="left" vertical="center"/>
      <protection locked="0"/>
    </xf>
    <xf numFmtId="0" fontId="77" fillId="0" borderId="0" xfId="0" applyFont="1" applyAlignment="1">
      <alignment horizontal="left" vertical="center"/>
    </xf>
    <xf numFmtId="0" fontId="5" fillId="76" borderId="156" xfId="0" applyFont="1" applyFill="1" applyBorder="1" applyAlignment="1">
      <alignment horizontal="left"/>
    </xf>
    <xf numFmtId="0" fontId="0" fillId="68" borderId="157" xfId="0" applyFill="1" applyBorder="1">
      <alignment horizontal="center" vertical="center"/>
    </xf>
    <xf numFmtId="0" fontId="0" fillId="51" borderId="158" xfId="0" applyFill="1" applyBorder="1">
      <alignment horizontal="center" vertical="center"/>
    </xf>
    <xf numFmtId="0" fontId="0" fillId="51" borderId="159" xfId="0" applyFill="1" applyBorder="1">
      <alignment horizontal="center" vertical="center"/>
    </xf>
    <xf numFmtId="0" fontId="7" fillId="0" borderId="160" xfId="0" applyFont="1" applyBorder="1" applyAlignment="1"/>
    <xf numFmtId="0" fontId="0" fillId="68" borderId="158" xfId="0" applyFill="1" applyBorder="1">
      <alignment horizontal="center" vertical="center"/>
    </xf>
    <xf numFmtId="0" fontId="0" fillId="68" borderId="159" xfId="0" applyFill="1" applyBorder="1">
      <alignment horizontal="center" vertical="center"/>
    </xf>
    <xf numFmtId="0" fontId="14" fillId="94" borderId="161" xfId="0" applyFont="1" applyFill="1" applyBorder="1" applyAlignment="1">
      <alignment horizontal="center"/>
    </xf>
    <xf numFmtId="0" fontId="0" fillId="51" borderId="162" xfId="0" applyFill="1" applyBorder="1">
      <alignment horizontal="center" vertical="center"/>
    </xf>
    <xf numFmtId="0" fontId="0" fillId="68" borderId="162" xfId="0" applyFill="1" applyBorder="1">
      <alignment horizontal="center" vertical="center"/>
    </xf>
    <xf numFmtId="0" fontId="0" fillId="51" borderId="163" xfId="0" applyFill="1" applyBorder="1">
      <alignment horizontal="center" vertical="center"/>
    </xf>
    <xf numFmtId="0" fontId="0" fillId="51" borderId="35" xfId="51" applyFont="1" applyFill="1" applyBorder="1" applyProtection="1">
      <alignment horizontal="center" vertical="center"/>
      <protection locked="0"/>
    </xf>
    <xf numFmtId="0" fontId="0" fillId="55" borderId="35" xfId="0" applyFill="1" applyBorder="1" applyProtection="1">
      <alignment horizontal="center" vertical="center"/>
      <protection locked="0"/>
    </xf>
    <xf numFmtId="0" fontId="5" fillId="0" borderId="164" xfId="0" applyFont="1" applyBorder="1" applyAlignment="1">
      <alignment horizontal="center"/>
    </xf>
    <xf numFmtId="0" fontId="0" fillId="0" borderId="165" xfId="0" applyBorder="1">
      <alignment horizontal="center" vertical="center"/>
    </xf>
    <xf numFmtId="0" fontId="5" fillId="0" borderId="166" xfId="0" applyFont="1" applyBorder="1" applyAlignment="1">
      <alignment horizontal="left"/>
    </xf>
    <xf numFmtId="0" fontId="0" fillId="0" borderId="166" xfId="0" applyBorder="1">
      <alignment horizontal="center" vertical="center"/>
    </xf>
    <xf numFmtId="0" fontId="0" fillId="0" borderId="167" xfId="0" applyBorder="1">
      <alignment horizontal="center" vertical="center"/>
    </xf>
    <xf numFmtId="0" fontId="5" fillId="0" borderId="165" xfId="0" applyFont="1" applyBorder="1" applyAlignment="1">
      <alignment horizontal="left"/>
    </xf>
    <xf numFmtId="0" fontId="0" fillId="0" borderId="168" xfId="0" applyBorder="1">
      <alignment horizontal="center" vertical="center"/>
    </xf>
    <xf numFmtId="0" fontId="0" fillId="55" borderId="35" xfId="43" applyFont="1" applyFill="1" applyBorder="1" applyProtection="1">
      <alignment horizontal="center" vertical="center"/>
      <protection locked="0"/>
    </xf>
    <xf numFmtId="0" fontId="8" fillId="0" borderId="35" xfId="43" applyFill="1" applyBorder="1" applyProtection="1">
      <alignment horizontal="center" vertical="center"/>
      <protection locked="0"/>
    </xf>
    <xf numFmtId="0" fontId="8" fillId="0" borderId="55" xfId="56" applyFill="1" applyBorder="1">
      <alignment horizontal="center" vertical="center"/>
    </xf>
    <xf numFmtId="0" fontId="14" fillId="0" borderId="0" xfId="0" applyFont="1" applyBorder="1" applyAlignment="1">
      <alignment horizontal="center"/>
    </xf>
    <xf numFmtId="0" fontId="4" fillId="0" borderId="0" xfId="0" applyFont="1" applyBorder="1">
      <alignment horizontal="center" vertical="center"/>
    </xf>
    <xf numFmtId="0" fontId="4" fillId="0" borderId="0" xfId="0" applyFont="1" applyBorder="1" applyAlignment="1">
      <alignment horizontal="left" vertical="center"/>
    </xf>
    <xf numFmtId="49" fontId="4" fillId="0" borderId="0" xfId="0" applyNumberFormat="1" applyFont="1" applyBorder="1">
      <alignment horizontal="center" vertical="center"/>
    </xf>
    <xf numFmtId="0" fontId="0" fillId="51" borderId="52" xfId="0" applyFill="1" applyBorder="1">
      <alignment horizontal="center" vertical="center"/>
    </xf>
    <xf numFmtId="0" fontId="0" fillId="0" borderId="43" xfId="0" applyBorder="1" applyAlignment="1">
      <alignment horizontal="left" vertical="center"/>
    </xf>
    <xf numFmtId="0" fontId="0" fillId="51" borderId="46" xfId="0" applyFill="1" applyBorder="1" applyAlignment="1">
      <alignment horizontal="left" vertical="center" wrapText="1"/>
    </xf>
    <xf numFmtId="49" fontId="0" fillId="51" borderId="47" xfId="0" applyNumberFormat="1" applyFill="1" applyBorder="1">
      <alignment horizontal="center" vertical="center"/>
    </xf>
    <xf numFmtId="49" fontId="0" fillId="51" borderId="50" xfId="0" applyNumberFormat="1" applyFill="1" applyBorder="1">
      <alignment horizontal="center" vertical="center"/>
    </xf>
    <xf numFmtId="0" fontId="7" fillId="0" borderId="0" xfId="0" applyFont="1" applyBorder="1">
      <alignment horizontal="center" vertical="center"/>
    </xf>
    <xf numFmtId="0" fontId="7" fillId="0" borderId="0" xfId="0" applyFont="1" applyBorder="1" applyAlignment="1">
      <alignment horizontal="center"/>
    </xf>
    <xf numFmtId="0" fontId="62" fillId="0" borderId="0" xfId="49" applyFill="1" applyBorder="1">
      <alignment horizontal="center" vertical="center"/>
    </xf>
    <xf numFmtId="0" fontId="0" fillId="0" borderId="0" xfId="56" applyFont="1" applyFill="1" applyBorder="1">
      <alignment horizontal="center" vertical="center"/>
    </xf>
    <xf numFmtId="0" fontId="5" fillId="0" borderId="87" xfId="0" applyFont="1" applyBorder="1">
      <alignment horizontal="center" vertical="center"/>
    </xf>
    <xf numFmtId="0" fontId="7" fillId="44" borderId="67" xfId="0" applyFont="1" applyFill="1" applyBorder="1" applyAlignment="1">
      <alignment vertical="center"/>
    </xf>
    <xf numFmtId="0" fontId="7" fillId="44" borderId="68" xfId="0" applyFont="1" applyFill="1" applyBorder="1" applyAlignment="1">
      <alignment vertical="center"/>
    </xf>
    <xf numFmtId="0" fontId="7" fillId="37" borderId="68" xfId="0" applyFont="1" applyFill="1" applyBorder="1" applyAlignment="1">
      <alignment horizontal="left" vertical="center"/>
    </xf>
    <xf numFmtId="0" fontId="7" fillId="45" borderId="68" xfId="0" applyFont="1" applyFill="1" applyBorder="1" applyAlignment="1">
      <alignment horizontal="left" vertical="center"/>
    </xf>
    <xf numFmtId="0" fontId="7" fillId="40" borderId="68" xfId="0" applyFont="1" applyFill="1" applyBorder="1" applyAlignment="1">
      <alignment horizontal="left" vertical="center"/>
    </xf>
    <xf numFmtId="0" fontId="7" fillId="26" borderId="68" xfId="0" applyFont="1" applyFill="1" applyBorder="1" applyAlignment="1">
      <alignment horizontal="left" vertical="center"/>
    </xf>
    <xf numFmtId="0" fontId="7" fillId="44" borderId="35" xfId="0" applyFont="1" applyFill="1" applyBorder="1" applyAlignment="1">
      <alignment vertical="center"/>
    </xf>
    <xf numFmtId="0" fontId="7" fillId="37" borderId="35" xfId="0" applyFont="1" applyFill="1" applyBorder="1" applyAlignment="1">
      <alignment horizontal="left" vertical="center"/>
    </xf>
    <xf numFmtId="0" fontId="7" fillId="45" borderId="35" xfId="0" applyFont="1" applyFill="1" applyBorder="1" applyAlignment="1">
      <alignment horizontal="left" vertical="center"/>
    </xf>
    <xf numFmtId="0" fontId="0" fillId="45" borderId="35" xfId="0" applyFill="1" applyBorder="1">
      <alignment horizontal="center" vertical="center"/>
    </xf>
    <xf numFmtId="0" fontId="8" fillId="77" borderId="35" xfId="0" applyFont="1" applyFill="1" applyBorder="1">
      <alignment horizontal="center" vertical="center"/>
    </xf>
    <xf numFmtId="0" fontId="0" fillId="24" borderId="35" xfId="0" applyFill="1" applyBorder="1">
      <alignment horizontal="center" vertical="center"/>
    </xf>
    <xf numFmtId="0" fontId="7" fillId="40" borderId="35" xfId="0" applyFont="1" applyFill="1" applyBorder="1" applyAlignment="1">
      <alignment horizontal="left" vertical="center"/>
    </xf>
    <xf numFmtId="0" fontId="8" fillId="40" borderId="35" xfId="0" applyFont="1" applyFill="1" applyBorder="1">
      <alignment horizontal="center" vertical="center"/>
    </xf>
    <xf numFmtId="0" fontId="7" fillId="26" borderId="35" xfId="0" applyFont="1" applyFill="1" applyBorder="1" applyAlignment="1">
      <alignment horizontal="left" vertical="center"/>
    </xf>
    <xf numFmtId="0" fontId="8" fillId="48" borderId="35" xfId="0" applyFont="1" applyFill="1" applyBorder="1">
      <alignment horizontal="center" vertical="center"/>
    </xf>
    <xf numFmtId="1" fontId="8" fillId="51" borderId="35" xfId="0" applyNumberFormat="1" applyFont="1" applyFill="1" applyBorder="1">
      <alignment horizontal="center" vertical="center"/>
    </xf>
    <xf numFmtId="0" fontId="8" fillId="51" borderId="35" xfId="0" applyFont="1" applyFill="1" applyBorder="1">
      <alignment horizontal="center" vertical="center"/>
    </xf>
    <xf numFmtId="0" fontId="8" fillId="0" borderId="35" xfId="53" applyBorder="1">
      <alignment horizontal="center" vertical="center"/>
    </xf>
    <xf numFmtId="0" fontId="0" fillId="76" borderId="32" xfId="0" applyFill="1" applyBorder="1">
      <alignment horizontal="center" vertical="center"/>
    </xf>
    <xf numFmtId="0" fontId="0" fillId="76" borderId="54" xfId="0" applyFill="1" applyBorder="1">
      <alignment horizontal="center" vertical="center"/>
    </xf>
    <xf numFmtId="1" fontId="0" fillId="51" borderId="44" xfId="0" applyNumberFormat="1" applyFill="1" applyBorder="1">
      <alignment horizontal="center" vertical="center"/>
    </xf>
    <xf numFmtId="1" fontId="0" fillId="51" borderId="44" xfId="32" applyNumberFormat="1" applyFont="1" applyFill="1" applyBorder="1" applyAlignment="1">
      <alignment horizontal="center" vertical="center"/>
    </xf>
    <xf numFmtId="0" fontId="0" fillId="51" borderId="44" xfId="44" applyFont="1" applyFill="1" applyBorder="1">
      <alignment horizontal="center" vertical="center"/>
    </xf>
    <xf numFmtId="1" fontId="8" fillId="51" borderId="44" xfId="0" applyNumberFormat="1" applyFont="1" applyFill="1" applyBorder="1">
      <alignment horizontal="center" vertical="center"/>
    </xf>
    <xf numFmtId="1" fontId="0" fillId="51" borderId="45" xfId="0" applyNumberFormat="1" applyFill="1" applyBorder="1">
      <alignment horizontal="center" vertical="center"/>
    </xf>
    <xf numFmtId="0" fontId="8" fillId="0" borderId="47" xfId="53" applyBorder="1">
      <alignment horizontal="center" vertical="center"/>
    </xf>
    <xf numFmtId="0" fontId="0" fillId="51" borderId="49" xfId="49" applyFont="1" applyFill="1" applyBorder="1">
      <alignment horizontal="center" vertical="center"/>
    </xf>
    <xf numFmtId="1" fontId="0" fillId="51" borderId="49" xfId="32" applyNumberFormat="1" applyFont="1" applyFill="1" applyBorder="1" applyAlignment="1">
      <alignment horizontal="center" vertical="center"/>
    </xf>
    <xf numFmtId="0" fontId="8" fillId="51" borderId="49" xfId="53" applyFill="1" applyBorder="1">
      <alignment horizontal="center" vertical="center"/>
    </xf>
    <xf numFmtId="1" fontId="0" fillId="51" borderId="50" xfId="0" applyNumberFormat="1" applyFill="1" applyBorder="1">
      <alignment horizontal="center" vertical="center"/>
    </xf>
    <xf numFmtId="49" fontId="0" fillId="51" borderId="44" xfId="0" applyNumberFormat="1" applyFill="1" applyBorder="1" applyProtection="1">
      <alignment horizontal="center" vertical="center"/>
      <protection locked="0"/>
    </xf>
    <xf numFmtId="0" fontId="8" fillId="73" borderId="44" xfId="44" applyBorder="1" applyProtection="1">
      <alignment horizontal="center" vertical="center"/>
      <protection locked="0"/>
    </xf>
    <xf numFmtId="0" fontId="0" fillId="51" borderId="44" xfId="48" applyFont="1" applyFill="1" applyBorder="1" applyProtection="1">
      <alignment horizontal="center" vertical="center"/>
      <protection locked="0"/>
    </xf>
    <xf numFmtId="0" fontId="0" fillId="51" borderId="44" xfId="44" applyFont="1" applyFill="1" applyBorder="1" applyProtection="1">
      <alignment horizontal="center" vertical="center"/>
      <protection locked="0"/>
    </xf>
    <xf numFmtId="49" fontId="0" fillId="51" borderId="45" xfId="0" applyNumberFormat="1" applyFill="1" applyBorder="1" applyProtection="1">
      <alignment horizontal="center" vertical="center"/>
      <protection locked="0"/>
    </xf>
    <xf numFmtId="0" fontId="14" fillId="94" borderId="169" xfId="0" applyFont="1" applyFill="1" applyBorder="1" applyAlignment="1">
      <alignment horizontal="center"/>
    </xf>
    <xf numFmtId="0" fontId="0" fillId="68" borderId="170" xfId="0" applyFill="1" applyBorder="1" applyProtection="1">
      <alignment horizontal="center" vertical="center"/>
      <protection locked="0"/>
    </xf>
    <xf numFmtId="0" fontId="0" fillId="51" borderId="170" xfId="0" applyFill="1" applyBorder="1" applyProtection="1">
      <alignment horizontal="center" vertical="center"/>
      <protection locked="0"/>
    </xf>
    <xf numFmtId="0" fontId="0" fillId="68" borderId="171" xfId="0" applyFill="1" applyBorder="1" applyProtection="1">
      <alignment horizontal="center" vertical="center"/>
      <protection locked="0"/>
    </xf>
    <xf numFmtId="0" fontId="0" fillId="51" borderId="44" xfId="43" applyFont="1" applyFill="1" applyBorder="1" applyProtection="1">
      <alignment horizontal="center" vertical="center"/>
      <protection locked="0"/>
    </xf>
    <xf numFmtId="0" fontId="0" fillId="51" borderId="39" xfId="53" applyFont="1" applyFill="1" applyBorder="1" applyProtection="1">
      <alignment horizontal="center" vertical="center"/>
      <protection locked="0"/>
    </xf>
    <xf numFmtId="0" fontId="0" fillId="51" borderId="39" xfId="48" applyFont="1" applyFill="1" applyBorder="1" applyProtection="1">
      <alignment horizontal="center" vertical="center"/>
      <protection locked="0"/>
    </xf>
    <xf numFmtId="0" fontId="0" fillId="51" borderId="76" xfId="48" applyFont="1" applyFill="1" applyBorder="1" applyProtection="1">
      <alignment horizontal="center" vertical="center"/>
      <protection locked="0"/>
    </xf>
    <xf numFmtId="0" fontId="8" fillId="52" borderId="44" xfId="48" applyBorder="1" applyProtection="1">
      <alignment horizontal="center" vertical="center"/>
      <protection locked="0"/>
    </xf>
    <xf numFmtId="0" fontId="8" fillId="54" borderId="44" xfId="50" applyBorder="1" applyProtection="1">
      <alignment horizontal="center" vertical="center"/>
      <protection locked="0"/>
    </xf>
    <xf numFmtId="1" fontId="0" fillId="51" borderId="44" xfId="32" applyNumberFormat="1" applyFont="1" applyFill="1" applyBorder="1" applyAlignment="1" applyProtection="1">
      <alignment horizontal="center" vertical="center"/>
      <protection locked="0"/>
    </xf>
    <xf numFmtId="0" fontId="10" fillId="51" borderId="45" xfId="0" applyFont="1" applyFill="1" applyBorder="1" applyProtection="1">
      <alignment horizontal="center" vertical="center"/>
      <protection locked="0"/>
    </xf>
    <xf numFmtId="0" fontId="0" fillId="55" borderId="39" xfId="48" applyFont="1" applyFill="1" applyBorder="1" applyProtection="1">
      <alignment horizontal="center" vertical="center"/>
      <protection locked="0"/>
    </xf>
    <xf numFmtId="49" fontId="0" fillId="51" borderId="76" xfId="0" applyNumberFormat="1" applyFill="1" applyBorder="1" applyProtection="1">
      <alignment horizontal="center" vertical="center"/>
      <protection locked="0"/>
    </xf>
    <xf numFmtId="0" fontId="0" fillId="51" borderId="172" xfId="0" applyFill="1" applyBorder="1" applyProtection="1">
      <alignment horizontal="center" vertical="center"/>
      <protection locked="0"/>
    </xf>
    <xf numFmtId="0" fontId="8" fillId="75" borderId="39" xfId="56" applyBorder="1" applyProtection="1">
      <alignment horizontal="center" vertical="center"/>
      <protection locked="0"/>
    </xf>
    <xf numFmtId="0" fontId="0" fillId="75" borderId="39" xfId="56" applyFont="1" applyBorder="1" applyProtection="1">
      <alignment horizontal="center" vertical="center"/>
      <protection locked="0"/>
    </xf>
    <xf numFmtId="0" fontId="0" fillId="51" borderId="39" xfId="44" applyFont="1" applyFill="1" applyBorder="1" applyProtection="1">
      <alignment horizontal="center" vertical="center"/>
      <protection locked="0"/>
    </xf>
    <xf numFmtId="0" fontId="10" fillId="51" borderId="76" xfId="0" applyFont="1" applyFill="1" applyBorder="1" applyProtection="1">
      <alignment horizontal="center" vertical="center"/>
      <protection locked="0"/>
    </xf>
    <xf numFmtId="0" fontId="0" fillId="51" borderId="44" xfId="46" applyFont="1" applyFill="1" applyBorder="1" applyProtection="1">
      <alignment horizontal="center" vertical="center"/>
      <protection locked="0"/>
    </xf>
    <xf numFmtId="49" fontId="0" fillId="55" borderId="44" xfId="0" applyNumberFormat="1" applyFill="1" applyBorder="1" applyProtection="1">
      <alignment horizontal="center" vertical="center"/>
      <protection locked="0"/>
    </xf>
    <xf numFmtId="0" fontId="0" fillId="52" borderId="44" xfId="44" applyFont="1" applyFill="1" applyBorder="1" applyProtection="1">
      <alignment horizontal="center" vertical="center"/>
      <protection locked="0"/>
    </xf>
    <xf numFmtId="49" fontId="0" fillId="52" borderId="44" xfId="0" applyNumberFormat="1" applyFill="1" applyBorder="1" applyProtection="1">
      <alignment horizontal="center" vertical="center"/>
      <protection locked="0"/>
    </xf>
    <xf numFmtId="0" fontId="0" fillId="52" borderId="44" xfId="0" applyFill="1" applyBorder="1" applyProtection="1">
      <alignment horizontal="center" vertical="center"/>
      <protection locked="0"/>
    </xf>
    <xf numFmtId="0" fontId="21" fillId="76" borderId="146" xfId="0" applyFont="1" applyFill="1" applyBorder="1">
      <alignment horizontal="center" vertical="center"/>
    </xf>
    <xf numFmtId="0" fontId="91" fillId="0" borderId="173" xfId="0" applyFont="1" applyBorder="1">
      <alignment horizontal="center" vertical="center"/>
    </xf>
    <xf numFmtId="0" fontId="91" fillId="0" borderId="27" xfId="0" applyFont="1" applyBorder="1">
      <alignment horizontal="center" vertical="center"/>
    </xf>
    <xf numFmtId="0" fontId="99" fillId="102" borderId="19" xfId="0" applyFont="1" applyFill="1" applyBorder="1">
      <alignment horizontal="center" vertical="center"/>
    </xf>
    <xf numFmtId="0" fontId="80" fillId="94" borderId="57" xfId="0" applyFont="1" applyFill="1" applyBorder="1" applyAlignment="1">
      <alignment horizontal="center"/>
    </xf>
    <xf numFmtId="0" fontId="21" fillId="76" borderId="123" xfId="0" applyFont="1" applyFill="1" applyBorder="1">
      <alignment horizontal="center" vertical="center"/>
    </xf>
    <xf numFmtId="0" fontId="14" fillId="94" borderId="70" xfId="0" applyFont="1" applyFill="1" applyBorder="1">
      <alignment horizontal="center" vertical="center"/>
    </xf>
    <xf numFmtId="0" fontId="100" fillId="0" borderId="43" xfId="0" applyFont="1" applyBorder="1" applyAlignment="1">
      <alignment horizontal="left" vertical="center"/>
    </xf>
    <xf numFmtId="0" fontId="100" fillId="0" borderId="46" xfId="0" applyFont="1" applyBorder="1" applyAlignment="1">
      <alignment horizontal="left" vertical="center"/>
    </xf>
    <xf numFmtId="0" fontId="100" fillId="0" borderId="131" xfId="0" applyFont="1" applyBorder="1" applyAlignment="1">
      <alignment horizontal="left" vertical="center"/>
    </xf>
    <xf numFmtId="0" fontId="100" fillId="51" borderId="46" xfId="0" applyFont="1" applyFill="1" applyBorder="1" applyAlignment="1">
      <alignment horizontal="left" vertical="center"/>
    </xf>
    <xf numFmtId="0" fontId="100" fillId="51" borderId="131" xfId="0" applyFont="1" applyFill="1" applyBorder="1" applyAlignment="1">
      <alignment horizontal="left" vertical="center"/>
    </xf>
    <xf numFmtId="0" fontId="100" fillId="51" borderId="43" xfId="0" applyFont="1" applyFill="1" applyBorder="1" applyAlignment="1">
      <alignment horizontal="left" vertical="center" wrapText="1"/>
    </xf>
    <xf numFmtId="0" fontId="100" fillId="0" borderId="65" xfId="0" applyFont="1" applyBorder="1" applyAlignment="1">
      <alignment horizontal="left" vertical="center"/>
    </xf>
    <xf numFmtId="0" fontId="100" fillId="71" borderId="43" xfId="0" applyFont="1" applyFill="1" applyBorder="1" applyAlignment="1"/>
    <xf numFmtId="0" fontId="96" fillId="0" borderId="48" xfId="0" applyFont="1" applyBorder="1" applyAlignment="1">
      <alignment horizontal="left"/>
    </xf>
    <xf numFmtId="0" fontId="57" fillId="0" borderId="0" xfId="0" applyFont="1" applyBorder="1" applyAlignment="1"/>
    <xf numFmtId="0" fontId="0" fillId="0" borderId="174" xfId="0" applyBorder="1">
      <alignment horizontal="center" vertical="center"/>
    </xf>
    <xf numFmtId="0" fontId="0" fillId="0" borderId="149" xfId="0" applyBorder="1">
      <alignment horizontal="center" vertical="center"/>
    </xf>
    <xf numFmtId="0" fontId="0" fillId="94" borderId="51" xfId="0" applyFill="1" applyBorder="1">
      <alignment horizontal="center" vertical="center"/>
    </xf>
    <xf numFmtId="0" fontId="0" fillId="94" borderId="52" xfId="0" applyFill="1" applyBorder="1">
      <alignment horizontal="center" vertical="center"/>
    </xf>
    <xf numFmtId="0" fontId="0" fillId="0" borderId="43" xfId="0" applyBorder="1">
      <alignment horizontal="center" vertical="center"/>
    </xf>
    <xf numFmtId="1" fontId="0" fillId="73" borderId="44" xfId="0" applyNumberFormat="1" applyFill="1" applyBorder="1">
      <alignment horizontal="center" vertical="center"/>
    </xf>
    <xf numFmtId="0" fontId="14" fillId="68" borderId="0" xfId="0" applyFont="1" applyFill="1">
      <alignment horizontal="center" vertical="center"/>
    </xf>
    <xf numFmtId="0" fontId="7" fillId="76" borderId="74" xfId="0" applyFont="1" applyFill="1" applyBorder="1" applyProtection="1">
      <alignment horizontal="center" vertical="center"/>
      <protection locked="0"/>
    </xf>
    <xf numFmtId="1" fontId="0" fillId="68" borderId="75" xfId="0" applyNumberFormat="1" applyFill="1" applyBorder="1">
      <alignment horizontal="center" vertical="center"/>
    </xf>
    <xf numFmtId="0" fontId="0" fillId="52" borderId="89" xfId="47" applyFont="1" applyFill="1" applyBorder="1">
      <alignment horizontal="center" vertical="center"/>
    </xf>
    <xf numFmtId="0" fontId="5" fillId="0" borderId="19" xfId="0" applyFont="1" applyBorder="1">
      <alignment horizontal="center" vertical="center"/>
    </xf>
    <xf numFmtId="0" fontId="0" fillId="68" borderId="35" xfId="44" applyFont="1" applyFill="1" applyBorder="1">
      <alignment horizontal="center" vertical="center"/>
    </xf>
    <xf numFmtId="1" fontId="0" fillId="68" borderId="35" xfId="0" applyNumberFormat="1" applyFill="1" applyBorder="1">
      <alignment horizontal="center" vertical="center"/>
    </xf>
    <xf numFmtId="1" fontId="0" fillId="68" borderId="35" xfId="44" applyNumberFormat="1" applyFont="1" applyFill="1" applyBorder="1">
      <alignment horizontal="center" vertical="center"/>
    </xf>
    <xf numFmtId="0" fontId="0" fillId="0" borderId="35" xfId="0" applyBorder="1" applyAlignment="1">
      <alignment horizontal="left"/>
    </xf>
    <xf numFmtId="0" fontId="0" fillId="51" borderId="97" xfId="0" applyFill="1" applyBorder="1" applyAlignment="1">
      <alignment horizontal="left" vertical="center" wrapText="1"/>
    </xf>
    <xf numFmtId="49" fontId="0" fillId="51" borderId="40" xfId="0" applyNumberFormat="1" applyFill="1" applyBorder="1">
      <alignment horizontal="center" vertical="center"/>
    </xf>
    <xf numFmtId="0" fontId="77" fillId="0" borderId="40" xfId="0" applyFont="1" applyBorder="1">
      <alignment horizontal="center" vertical="center"/>
    </xf>
    <xf numFmtId="0" fontId="0" fillId="0" borderId="35" xfId="47" applyFont="1" applyFill="1" applyBorder="1">
      <alignment horizontal="center" vertical="center"/>
    </xf>
    <xf numFmtId="0" fontId="0" fillId="75" borderId="55" xfId="56" applyFont="1" applyBorder="1">
      <alignment horizontal="center" vertical="center"/>
    </xf>
    <xf numFmtId="0" fontId="0" fillId="51" borderId="43" xfId="0" applyFill="1" applyBorder="1">
      <alignment horizontal="center" vertical="center"/>
    </xf>
    <xf numFmtId="49" fontId="0" fillId="51" borderId="45" xfId="0" applyNumberFormat="1" applyFill="1" applyBorder="1">
      <alignment horizontal="center" vertical="center"/>
    </xf>
    <xf numFmtId="0" fontId="0" fillId="51" borderId="48" xfId="0" applyFill="1" applyBorder="1">
      <alignment horizontal="center" vertical="center"/>
    </xf>
    <xf numFmtId="49" fontId="0" fillId="51" borderId="82" xfId="0" applyNumberFormat="1" applyFill="1" applyBorder="1">
      <alignment horizontal="center" vertical="center"/>
    </xf>
    <xf numFmtId="0" fontId="0" fillId="51" borderId="82" xfId="0" applyFill="1" applyBorder="1">
      <alignment horizontal="center" vertical="center"/>
    </xf>
    <xf numFmtId="0" fontId="0" fillId="51" borderId="175" xfId="0" applyFill="1" applyBorder="1">
      <alignment horizontal="center" vertical="center"/>
    </xf>
    <xf numFmtId="49" fontId="0" fillId="73" borderId="39" xfId="0" applyNumberFormat="1" applyFill="1" applyBorder="1" applyProtection="1">
      <alignment horizontal="center" vertical="center"/>
      <protection locked="0"/>
    </xf>
    <xf numFmtId="0" fontId="0" fillId="51" borderId="176" xfId="43" applyFont="1" applyFill="1" applyBorder="1">
      <alignment horizontal="center" vertical="center"/>
    </xf>
    <xf numFmtId="0" fontId="0" fillId="55" borderId="35" xfId="48" applyFont="1" applyFill="1" applyBorder="1" applyProtection="1">
      <alignment horizontal="center" vertical="center"/>
      <protection locked="0"/>
    </xf>
    <xf numFmtId="0" fontId="101" fillId="0" borderId="0" xfId="0" applyFont="1">
      <alignment horizontal="center" vertical="center"/>
    </xf>
    <xf numFmtId="0" fontId="0" fillId="0" borderId="177" xfId="0" applyBorder="1" applyAlignment="1"/>
    <xf numFmtId="0" fontId="0" fillId="51" borderId="177" xfId="0" applyFill="1" applyBorder="1">
      <alignment horizontal="center" vertical="center"/>
    </xf>
    <xf numFmtId="0" fontId="0" fillId="0" borderId="177" xfId="0" applyBorder="1">
      <alignment horizontal="center" vertical="center"/>
    </xf>
    <xf numFmtId="0" fontId="5" fillId="76" borderId="177" xfId="0" applyFont="1" applyFill="1" applyBorder="1" applyAlignment="1">
      <alignment horizontal="left"/>
    </xf>
    <xf numFmtId="0" fontId="0" fillId="51" borderId="178" xfId="0" applyFill="1" applyBorder="1">
      <alignment horizontal="center" vertical="center"/>
    </xf>
    <xf numFmtId="0" fontId="5" fillId="0" borderId="177" xfId="0" applyFont="1" applyBorder="1" applyAlignment="1">
      <alignment horizontal="left"/>
    </xf>
    <xf numFmtId="0" fontId="0" fillId="69" borderId="177" xfId="0" applyFill="1" applyBorder="1" applyAlignment="1"/>
    <xf numFmtId="49" fontId="0" fillId="51" borderId="177" xfId="0" applyNumberFormat="1" applyFill="1" applyBorder="1">
      <alignment horizontal="center" vertical="center"/>
    </xf>
    <xf numFmtId="49" fontId="0" fillId="0" borderId="177" xfId="0" applyNumberFormat="1" applyBorder="1">
      <alignment horizontal="center" vertical="center"/>
    </xf>
    <xf numFmtId="0" fontId="0" fillId="51" borderId="178" xfId="48" applyFont="1" applyFill="1" applyBorder="1">
      <alignment horizontal="center" vertical="center"/>
    </xf>
    <xf numFmtId="0" fontId="8" fillId="0" borderId="178" xfId="53" applyBorder="1">
      <alignment horizontal="center" vertical="center"/>
    </xf>
    <xf numFmtId="0" fontId="8" fillId="75" borderId="178" xfId="56" applyBorder="1">
      <alignment horizontal="center" vertical="center"/>
    </xf>
    <xf numFmtId="0" fontId="8" fillId="55" borderId="178" xfId="45" applyBorder="1">
      <alignment horizontal="center" vertical="center"/>
    </xf>
    <xf numFmtId="0" fontId="8" fillId="74" borderId="178" xfId="47" applyBorder="1">
      <alignment horizontal="center" vertical="center"/>
    </xf>
    <xf numFmtId="0" fontId="7" fillId="0" borderId="179" xfId="0" applyFont="1" applyBorder="1" applyAlignment="1"/>
    <xf numFmtId="0" fontId="0" fillId="43" borderId="180" xfId="0" applyFill="1" applyBorder="1" applyAlignment="1" applyProtection="1">
      <alignment horizontal="center"/>
      <protection locked="0"/>
    </xf>
    <xf numFmtId="0" fontId="0" fillId="68" borderId="181" xfId="0" applyFill="1" applyBorder="1" applyProtection="1">
      <alignment horizontal="center" vertical="center"/>
      <protection locked="0"/>
    </xf>
    <xf numFmtId="0" fontId="7" fillId="76" borderId="181" xfId="0" applyFont="1" applyFill="1" applyBorder="1">
      <alignment horizontal="center" vertical="center"/>
    </xf>
    <xf numFmtId="0" fontId="7" fillId="0" borderId="182" xfId="0" applyFont="1" applyBorder="1" applyAlignment="1">
      <alignment horizontal="left"/>
    </xf>
    <xf numFmtId="0" fontId="8" fillId="0" borderId="182" xfId="0" applyFont="1" applyBorder="1" applyAlignment="1">
      <alignment horizontal="left"/>
    </xf>
    <xf numFmtId="0" fontId="7" fillId="24" borderId="182" xfId="0" applyFont="1" applyFill="1" applyBorder="1" applyAlignment="1">
      <alignment horizontal="left"/>
    </xf>
    <xf numFmtId="0" fontId="5" fillId="0" borderId="183" xfId="0" applyFont="1" applyBorder="1" applyAlignment="1">
      <alignment horizontal="left"/>
    </xf>
    <xf numFmtId="0" fontId="5" fillId="0" borderId="183" xfId="0" applyFont="1" applyBorder="1" applyAlignment="1">
      <alignment horizontal="left" vertical="center"/>
    </xf>
    <xf numFmtId="0" fontId="0" fillId="0" borderId="182" xfId="0" applyBorder="1" applyAlignment="1">
      <alignment horizontal="center"/>
    </xf>
    <xf numFmtId="0" fontId="5" fillId="0" borderId="183" xfId="0" applyFont="1" applyBorder="1">
      <alignment horizontal="center" vertical="center"/>
    </xf>
    <xf numFmtId="0" fontId="8" fillId="24" borderId="182" xfId="0" applyFont="1" applyFill="1" applyBorder="1" applyAlignment="1">
      <alignment horizontal="left"/>
    </xf>
    <xf numFmtId="0" fontId="21" fillId="76" borderId="179" xfId="0" applyFont="1" applyFill="1" applyBorder="1" applyAlignment="1">
      <alignment vertical="center"/>
    </xf>
    <xf numFmtId="0" fontId="0" fillId="0" borderId="179" xfId="0" applyBorder="1" applyAlignment="1"/>
    <xf numFmtId="0" fontId="73" fillId="0" borderId="179" xfId="0" applyFont="1" applyBorder="1" applyAlignment="1"/>
    <xf numFmtId="0" fontId="0" fillId="0" borderId="184" xfId="0" applyBorder="1" applyAlignment="1">
      <alignment horizontal="center"/>
    </xf>
    <xf numFmtId="0" fontId="5" fillId="0" borderId="185" xfId="0" applyFont="1" applyBorder="1" applyAlignment="1" applyProtection="1">
      <alignment horizontal="center"/>
      <protection locked="0"/>
    </xf>
    <xf numFmtId="0" fontId="0" fillId="0" borderId="186" xfId="0" applyBorder="1" applyAlignment="1">
      <alignment horizontal="left" vertical="center"/>
    </xf>
    <xf numFmtId="0" fontId="4" fillId="0" borderId="187" xfId="0" applyFont="1" applyBorder="1" applyAlignment="1">
      <alignment horizontal="left" vertical="center"/>
    </xf>
    <xf numFmtId="0" fontId="0" fillId="0" borderId="187" xfId="0" applyBorder="1" applyAlignment="1">
      <alignment horizontal="left" vertical="center"/>
    </xf>
    <xf numFmtId="0" fontId="0" fillId="0" borderId="188" xfId="0" applyBorder="1">
      <alignment horizontal="center" vertical="center"/>
    </xf>
    <xf numFmtId="0" fontId="21" fillId="76" borderId="176" xfId="0" applyFont="1" applyFill="1" applyBorder="1" applyAlignment="1">
      <alignment vertical="center"/>
    </xf>
    <xf numFmtId="0" fontId="60" fillId="0" borderId="190" xfId="0" applyFont="1" applyBorder="1" applyAlignment="1">
      <alignment horizontal="left" vertical="center"/>
    </xf>
    <xf numFmtId="0" fontId="0" fillId="0" borderId="191" xfId="0" applyBorder="1" applyAlignment="1">
      <alignment horizontal="left" vertical="center"/>
    </xf>
    <xf numFmtId="0" fontId="0" fillId="0" borderId="189" xfId="0" applyBorder="1" applyAlignment="1">
      <alignment horizontal="left" vertical="center"/>
    </xf>
    <xf numFmtId="0" fontId="5" fillId="43" borderId="192" xfId="0" applyFont="1" applyFill="1" applyBorder="1" applyAlignment="1">
      <alignment horizontal="center"/>
    </xf>
    <xf numFmtId="0" fontId="0" fillId="51" borderId="192" xfId="0" applyFill="1" applyBorder="1" applyProtection="1">
      <alignment horizontal="center" vertical="center"/>
      <protection locked="0"/>
    </xf>
    <xf numFmtId="0" fontId="0" fillId="68" borderId="178" xfId="0" applyFill="1" applyBorder="1" applyProtection="1">
      <alignment horizontal="center" vertical="center"/>
      <protection locked="0"/>
    </xf>
    <xf numFmtId="0" fontId="0" fillId="51" borderId="178" xfId="0" applyFill="1" applyBorder="1" applyProtection="1">
      <alignment horizontal="center" vertical="center"/>
      <protection locked="0"/>
    </xf>
    <xf numFmtId="0" fontId="0" fillId="71" borderId="193" xfId="0" applyFill="1" applyBorder="1" applyAlignment="1"/>
    <xf numFmtId="49" fontId="0" fillId="0" borderId="192" xfId="0" applyNumberFormat="1" applyBorder="1" applyProtection="1">
      <alignment horizontal="center" vertical="center"/>
      <protection locked="0"/>
    </xf>
    <xf numFmtId="0" fontId="0" fillId="0" borderId="192" xfId="0" applyBorder="1" applyProtection="1">
      <alignment horizontal="center" vertical="center"/>
      <protection locked="0"/>
    </xf>
    <xf numFmtId="0" fontId="8" fillId="75" borderId="192" xfId="56" applyBorder="1" applyProtection="1">
      <alignment horizontal="center" vertical="center"/>
      <protection locked="0"/>
    </xf>
    <xf numFmtId="49" fontId="0" fillId="51" borderId="192" xfId="0" applyNumberFormat="1" applyFill="1" applyBorder="1" applyProtection="1">
      <alignment horizontal="center" vertical="center"/>
      <protection locked="0"/>
    </xf>
    <xf numFmtId="0" fontId="0" fillId="51" borderId="194" xfId="0" applyFill="1" applyBorder="1" applyProtection="1">
      <alignment horizontal="center" vertical="center"/>
      <protection locked="0"/>
    </xf>
    <xf numFmtId="49" fontId="0" fillId="51" borderId="192" xfId="0" applyNumberFormat="1" applyFill="1" applyBorder="1">
      <alignment horizontal="center" vertical="center"/>
    </xf>
    <xf numFmtId="0" fontId="0" fillId="51" borderId="192" xfId="0" applyFill="1" applyBorder="1">
      <alignment horizontal="center" vertical="center"/>
    </xf>
    <xf numFmtId="0" fontId="0" fillId="0" borderId="193" xfId="0" applyBorder="1" applyAlignment="1"/>
    <xf numFmtId="0" fontId="8" fillId="52" borderId="192" xfId="48" applyBorder="1">
      <alignment horizontal="center" vertical="center"/>
    </xf>
    <xf numFmtId="0" fontId="0" fillId="51" borderId="194" xfId="0" applyFill="1" applyBorder="1">
      <alignment horizontal="center" vertical="center"/>
    </xf>
    <xf numFmtId="0" fontId="7" fillId="76" borderId="178" xfId="0" applyFont="1" applyFill="1" applyBorder="1">
      <alignment horizontal="center" vertical="center"/>
    </xf>
    <xf numFmtId="0" fontId="0" fillId="51" borderId="192" xfId="32" applyFont="1" applyFill="1" applyBorder="1" applyAlignment="1">
      <alignment horizontal="center" vertical="center"/>
    </xf>
    <xf numFmtId="0" fontId="0" fillId="51" borderId="192" xfId="48" applyFont="1" applyFill="1" applyBorder="1">
      <alignment horizontal="center" vertical="center"/>
    </xf>
    <xf numFmtId="0" fontId="0" fillId="51" borderId="192" xfId="45" applyFont="1" applyFill="1" applyBorder="1">
      <alignment horizontal="center" vertical="center"/>
    </xf>
    <xf numFmtId="0" fontId="0" fillId="0" borderId="193" xfId="0" applyBorder="1" applyAlignment="1">
      <alignment horizontal="left"/>
    </xf>
    <xf numFmtId="0" fontId="21" fillId="76" borderId="195" xfId="0" applyFont="1" applyFill="1" applyBorder="1" applyAlignment="1">
      <alignment vertical="center"/>
    </xf>
    <xf numFmtId="0" fontId="8" fillId="71" borderId="193" xfId="0" applyFont="1" applyFill="1" applyBorder="1" applyAlignment="1"/>
    <xf numFmtId="49" fontId="0" fillId="51" borderId="194" xfId="0" applyNumberFormat="1" applyFill="1" applyBorder="1">
      <alignment horizontal="center" vertical="center"/>
    </xf>
    <xf numFmtId="0" fontId="21" fillId="76" borderId="196" xfId="0" applyFont="1" applyFill="1" applyBorder="1" applyAlignment="1">
      <alignment vertical="center"/>
    </xf>
    <xf numFmtId="0" fontId="0" fillId="71" borderId="192" xfId="0" applyFill="1" applyBorder="1" applyAlignment="1"/>
    <xf numFmtId="0" fontId="0" fillId="51" borderId="178" xfId="32" applyFont="1" applyFill="1" applyBorder="1" applyAlignment="1">
      <alignment horizontal="center" vertical="center"/>
    </xf>
    <xf numFmtId="0" fontId="0" fillId="51" borderId="178" xfId="43" applyFont="1" applyFill="1" applyBorder="1">
      <alignment horizontal="center" vertical="center"/>
    </xf>
    <xf numFmtId="0" fontId="0" fillId="51" borderId="178" xfId="46" applyFont="1" applyFill="1" applyBorder="1">
      <alignment horizontal="center" vertical="center"/>
    </xf>
    <xf numFmtId="49" fontId="0" fillId="51" borderId="178" xfId="0" applyNumberFormat="1" applyFill="1" applyBorder="1">
      <alignment horizontal="center" vertical="center"/>
    </xf>
    <xf numFmtId="0" fontId="60" fillId="0" borderId="198" xfId="0" applyFont="1" applyBorder="1" applyAlignment="1">
      <alignment horizontal="left" vertical="center"/>
    </xf>
    <xf numFmtId="0" fontId="0" fillId="0" borderId="197" xfId="0" applyBorder="1" applyAlignment="1">
      <alignment horizontal="left" vertical="center"/>
    </xf>
    <xf numFmtId="0" fontId="0" fillId="0" borderId="199" xfId="0" applyBorder="1" applyAlignment="1">
      <alignment horizontal="left" vertical="center"/>
    </xf>
    <xf numFmtId="0" fontId="0" fillId="0" borderId="192" xfId="0" applyBorder="1" applyAlignment="1"/>
    <xf numFmtId="0" fontId="21" fillId="0" borderId="200" xfId="0" applyFont="1" applyBorder="1">
      <alignment horizontal="center" vertical="center"/>
    </xf>
    <xf numFmtId="0" fontId="45" fillId="0" borderId="200" xfId="0" applyFont="1" applyBorder="1">
      <alignment horizontal="center" vertical="center"/>
    </xf>
    <xf numFmtId="0" fontId="0" fillId="0" borderId="178" xfId="0" applyBorder="1" applyAlignment="1">
      <alignment horizontal="center"/>
    </xf>
    <xf numFmtId="0" fontId="8" fillId="0" borderId="178" xfId="0" applyFont="1" applyBorder="1" applyAlignment="1">
      <alignment horizontal="center"/>
    </xf>
    <xf numFmtId="0" fontId="7" fillId="0" borderId="178" xfId="0" applyFont="1" applyBorder="1" applyAlignment="1">
      <alignment horizontal="center"/>
    </xf>
    <xf numFmtId="0" fontId="7" fillId="0" borderId="201" xfId="0" applyFont="1" applyBorder="1" applyAlignment="1">
      <alignment horizontal="center"/>
    </xf>
    <xf numFmtId="0" fontId="8" fillId="0" borderId="201" xfId="0" applyFont="1" applyBorder="1" applyAlignment="1">
      <alignment horizontal="center"/>
    </xf>
    <xf numFmtId="0" fontId="8" fillId="27" borderId="178" xfId="0" applyFont="1" applyFill="1" applyBorder="1" applyAlignment="1">
      <alignment horizontal="center"/>
    </xf>
    <xf numFmtId="0" fontId="8" fillId="27" borderId="201" xfId="0" applyFont="1" applyFill="1" applyBorder="1" applyAlignment="1">
      <alignment horizontal="center"/>
    </xf>
    <xf numFmtId="0" fontId="8" fillId="25" borderId="178" xfId="0" applyFont="1" applyFill="1" applyBorder="1" applyAlignment="1">
      <alignment horizontal="center"/>
    </xf>
    <xf numFmtId="0" fontId="8" fillId="25" borderId="201" xfId="0" applyFont="1" applyFill="1" applyBorder="1" applyAlignment="1">
      <alignment horizontal="center"/>
    </xf>
    <xf numFmtId="0" fontId="0" fillId="29" borderId="178" xfId="0" applyFill="1" applyBorder="1" applyAlignment="1">
      <alignment horizontal="center"/>
    </xf>
    <xf numFmtId="0" fontId="0" fillId="24" borderId="178" xfId="0" applyFill="1" applyBorder="1" applyAlignment="1">
      <alignment horizontal="center"/>
    </xf>
    <xf numFmtId="0" fontId="8" fillId="24" borderId="201" xfId="0" applyFont="1" applyFill="1" applyBorder="1" applyAlignment="1">
      <alignment horizontal="center"/>
    </xf>
    <xf numFmtId="0" fontId="0" fillId="26" borderId="178" xfId="0" applyFill="1" applyBorder="1" applyAlignment="1">
      <alignment horizontal="center"/>
    </xf>
    <xf numFmtId="0" fontId="0" fillId="0" borderId="178" xfId="0" applyBorder="1">
      <alignment horizontal="center" vertical="center"/>
    </xf>
    <xf numFmtId="0" fontId="5" fillId="0" borderId="201" xfId="0" applyFont="1" applyBorder="1" applyAlignment="1">
      <alignment horizontal="left"/>
    </xf>
    <xf numFmtId="0" fontId="0" fillId="33" borderId="178" xfId="0" applyFill="1" applyBorder="1" applyAlignment="1">
      <alignment horizontal="center"/>
    </xf>
    <xf numFmtId="0" fontId="12" fillId="34" borderId="178" xfId="0" applyFont="1" applyFill="1" applyBorder="1" applyAlignment="1">
      <alignment horizontal="center"/>
    </xf>
    <xf numFmtId="0" fontId="12" fillId="35" borderId="178" xfId="0" applyFont="1" applyFill="1" applyBorder="1" applyAlignment="1">
      <alignment horizontal="center"/>
    </xf>
    <xf numFmtId="0" fontId="12" fillId="35" borderId="202" xfId="0" applyFont="1" applyFill="1" applyBorder="1" applyAlignment="1">
      <alignment horizontal="center"/>
    </xf>
    <xf numFmtId="0" fontId="8" fillId="36" borderId="178" xfId="0" applyFont="1" applyFill="1" applyBorder="1" applyAlignment="1">
      <alignment horizontal="center"/>
    </xf>
    <xf numFmtId="0" fontId="8" fillId="0" borderId="202" xfId="0" applyFont="1" applyBorder="1" applyAlignment="1">
      <alignment horizontal="center"/>
    </xf>
    <xf numFmtId="0" fontId="0" fillId="0" borderId="202" xfId="0" applyBorder="1">
      <alignment horizontal="center" vertical="center"/>
    </xf>
    <xf numFmtId="0" fontId="0" fillId="37" borderId="178" xfId="0" applyFill="1" applyBorder="1" applyAlignment="1">
      <alignment horizontal="center"/>
    </xf>
    <xf numFmtId="0" fontId="0" fillId="37" borderId="202" xfId="0" applyFill="1" applyBorder="1" applyAlignment="1">
      <alignment horizontal="center"/>
    </xf>
    <xf numFmtId="0" fontId="0" fillId="38" borderId="178" xfId="0" applyFill="1" applyBorder="1" applyAlignment="1">
      <alignment horizontal="center"/>
    </xf>
    <xf numFmtId="0" fontId="0" fillId="40" borderId="178" xfId="0" applyFill="1" applyBorder="1" applyAlignment="1">
      <alignment horizontal="center"/>
    </xf>
    <xf numFmtId="0" fontId="0" fillId="41" borderId="178" xfId="0" applyFill="1" applyBorder="1" applyAlignment="1">
      <alignment horizontal="center"/>
    </xf>
    <xf numFmtId="0" fontId="0" fillId="0" borderId="202" xfId="0" applyBorder="1" applyAlignment="1">
      <alignment horizontal="center"/>
    </xf>
    <xf numFmtId="0" fontId="0" fillId="42" borderId="178" xfId="0" applyFill="1" applyBorder="1" applyAlignment="1">
      <alignment horizontal="center"/>
    </xf>
    <xf numFmtId="0" fontId="8" fillId="39" borderId="178" xfId="0" applyFont="1" applyFill="1" applyBorder="1" applyAlignment="1">
      <alignment horizontal="center"/>
    </xf>
    <xf numFmtId="0" fontId="5" fillId="0" borderId="178" xfId="0" applyFont="1" applyBorder="1" applyAlignment="1">
      <alignment horizontal="center"/>
    </xf>
    <xf numFmtId="0" fontId="20" fillId="0" borderId="201" xfId="0" applyFont="1" applyBorder="1" applyAlignment="1">
      <alignment horizontal="center"/>
    </xf>
    <xf numFmtId="0" fontId="8" fillId="51" borderId="35" xfId="48" applyFill="1" applyBorder="1">
      <alignment horizontal="center" vertical="center"/>
    </xf>
    <xf numFmtId="0" fontId="8" fillId="74" borderId="185" xfId="47" applyBorder="1">
      <alignment horizontal="center" vertical="center"/>
    </xf>
    <xf numFmtId="0" fontId="19" fillId="76" borderId="196" xfId="0" applyFont="1" applyFill="1" applyBorder="1" applyAlignment="1" applyProtection="1">
      <alignment horizontal="center"/>
      <protection locked="0"/>
    </xf>
    <xf numFmtId="0" fontId="1" fillId="0" borderId="203" xfId="57" applyFont="1" applyBorder="1"/>
    <xf numFmtId="0" fontId="0" fillId="51" borderId="205" xfId="0" applyFill="1" applyBorder="1">
      <alignment horizontal="center" vertical="center"/>
    </xf>
    <xf numFmtId="0" fontId="0" fillId="55" borderId="192" xfId="0" applyFill="1" applyBorder="1">
      <alignment horizontal="center" vertical="center"/>
    </xf>
    <xf numFmtId="49" fontId="71" fillId="55" borderId="192" xfId="0" applyNumberFormat="1" applyFont="1" applyFill="1" applyBorder="1">
      <alignment horizontal="center" vertical="center"/>
    </xf>
    <xf numFmtId="49" fontId="0" fillId="0" borderId="192" xfId="0" applyNumberFormat="1" applyBorder="1">
      <alignment horizontal="center" vertical="center"/>
    </xf>
    <xf numFmtId="0" fontId="0" fillId="0" borderId="192" xfId="51" applyFont="1" applyFill="1" applyBorder="1">
      <alignment horizontal="center" vertical="center"/>
    </xf>
    <xf numFmtId="0" fontId="0" fillId="52" borderId="192" xfId="51" applyFont="1" applyFill="1" applyBorder="1">
      <alignment horizontal="center" vertical="center"/>
    </xf>
    <xf numFmtId="0" fontId="0" fillId="0" borderId="194" xfId="51" applyFont="1" applyFill="1" applyBorder="1">
      <alignment horizontal="center" vertical="center"/>
    </xf>
    <xf numFmtId="0" fontId="7" fillId="0" borderId="207" xfId="0" applyFont="1" applyBorder="1" applyAlignment="1">
      <alignment horizontal="center"/>
    </xf>
    <xf numFmtId="0" fontId="5" fillId="0" borderId="210" xfId="0" applyFont="1" applyBorder="1" applyAlignment="1">
      <alignment horizontal="center"/>
    </xf>
    <xf numFmtId="0" fontId="0" fillId="0" borderId="211" xfId="0" applyBorder="1" applyAlignment="1">
      <alignment horizontal="left" vertical="center"/>
    </xf>
    <xf numFmtId="0" fontId="7" fillId="0" borderId="212" xfId="0" applyFont="1" applyBorder="1">
      <alignment horizontal="center" vertical="center"/>
    </xf>
    <xf numFmtId="0" fontId="0" fillId="68" borderId="213" xfId="0" applyFill="1" applyBorder="1">
      <alignment horizontal="center" vertical="center"/>
    </xf>
    <xf numFmtId="0" fontId="0" fillId="51" borderId="213" xfId="0" applyFill="1" applyBorder="1">
      <alignment horizontal="center" vertical="center"/>
    </xf>
    <xf numFmtId="0" fontId="0" fillId="51" borderId="214" xfId="0" applyFill="1" applyBorder="1">
      <alignment horizontal="center" vertical="center"/>
    </xf>
    <xf numFmtId="0" fontId="0" fillId="51" borderId="213" xfId="43" applyFont="1" applyFill="1" applyBorder="1">
      <alignment horizontal="center" vertical="center"/>
    </xf>
    <xf numFmtId="0" fontId="0" fillId="68" borderId="214" xfId="0" applyFill="1" applyBorder="1">
      <alignment horizontal="center" vertical="center"/>
    </xf>
    <xf numFmtId="0" fontId="0" fillId="0" borderId="212" xfId="0" applyBorder="1">
      <alignment horizontal="center" vertical="center"/>
    </xf>
    <xf numFmtId="0" fontId="0" fillId="51" borderId="212" xfId="0" applyFill="1" applyBorder="1">
      <alignment horizontal="center" vertical="center"/>
    </xf>
    <xf numFmtId="0" fontId="8" fillId="0" borderId="212" xfId="0" applyFont="1" applyBorder="1">
      <alignment horizontal="center" vertical="center"/>
    </xf>
    <xf numFmtId="0" fontId="0" fillId="51" borderId="213" xfId="44" applyFont="1" applyFill="1" applyBorder="1">
      <alignment horizontal="center" vertical="center"/>
    </xf>
    <xf numFmtId="49" fontId="0" fillId="51" borderId="213" xfId="0" applyNumberFormat="1" applyFill="1" applyBorder="1">
      <alignment horizontal="center" vertical="center"/>
    </xf>
    <xf numFmtId="0" fontId="0" fillId="51" borderId="217" xfId="0" applyFill="1" applyBorder="1">
      <alignment horizontal="center" vertical="center"/>
    </xf>
    <xf numFmtId="0" fontId="0" fillId="51" borderId="217" xfId="44" applyFont="1" applyFill="1" applyBorder="1">
      <alignment horizontal="center" vertical="center"/>
    </xf>
    <xf numFmtId="49" fontId="0" fillId="51" borderId="217" xfId="0" applyNumberFormat="1" applyFill="1" applyBorder="1">
      <alignment horizontal="center" vertical="center"/>
    </xf>
    <xf numFmtId="0" fontId="0" fillId="51" borderId="218" xfId="0" applyFill="1" applyBorder="1">
      <alignment horizontal="center" vertical="center"/>
    </xf>
    <xf numFmtId="0" fontId="0" fillId="51" borderId="218" xfId="43" applyFont="1" applyFill="1" applyBorder="1">
      <alignment horizontal="center" vertical="center"/>
    </xf>
    <xf numFmtId="0" fontId="0" fillId="51" borderId="218" xfId="48" applyFont="1" applyFill="1" applyBorder="1">
      <alignment horizontal="center" vertical="center"/>
    </xf>
    <xf numFmtId="0" fontId="0" fillId="51" borderId="218" xfId="46" applyFont="1" applyFill="1" applyBorder="1">
      <alignment horizontal="center" vertical="center"/>
    </xf>
    <xf numFmtId="0" fontId="0" fillId="51" borderId="218" xfId="44" applyFont="1" applyFill="1" applyBorder="1">
      <alignment horizontal="center" vertical="center"/>
    </xf>
    <xf numFmtId="49" fontId="0" fillId="51" borderId="218" xfId="0" applyNumberFormat="1" applyFill="1" applyBorder="1">
      <alignment horizontal="center" vertical="center"/>
    </xf>
    <xf numFmtId="0" fontId="5" fillId="0" borderId="210" xfId="0" applyFont="1" applyBorder="1" applyAlignment="1">
      <alignment horizontal="left" vertical="center"/>
    </xf>
    <xf numFmtId="0" fontId="0" fillId="0" borderId="212" xfId="0" applyBorder="1" applyAlignment="1">
      <alignment horizontal="left"/>
    </xf>
    <xf numFmtId="0" fontId="5" fillId="0" borderId="211" xfId="0" applyFont="1" applyBorder="1" applyAlignment="1">
      <alignment horizontal="left" vertical="center"/>
    </xf>
    <xf numFmtId="0" fontId="5" fillId="0" borderId="211" xfId="0" applyFont="1" applyBorder="1" applyAlignment="1">
      <alignment horizontal="left"/>
    </xf>
    <xf numFmtId="0" fontId="7" fillId="76" borderId="214" xfId="0" applyFont="1" applyFill="1" applyBorder="1">
      <alignment horizontal="center" vertical="center"/>
    </xf>
    <xf numFmtId="0" fontId="5" fillId="0" borderId="222" xfId="0" applyFont="1" applyBorder="1" applyAlignment="1">
      <alignment horizontal="left"/>
    </xf>
    <xf numFmtId="0" fontId="0" fillId="0" borderId="222" xfId="0" applyBorder="1">
      <alignment horizontal="center" vertical="center"/>
    </xf>
    <xf numFmtId="0" fontId="0" fillId="0" borderId="223" xfId="0" applyBorder="1">
      <alignment horizontal="center" vertical="center"/>
    </xf>
    <xf numFmtId="0" fontId="0" fillId="0" borderId="224" xfId="0" applyBorder="1">
      <alignment horizontal="center" vertical="center"/>
    </xf>
    <xf numFmtId="0" fontId="5" fillId="0" borderId="224" xfId="0" applyFont="1" applyBorder="1" applyAlignment="1">
      <alignment horizontal="left"/>
    </xf>
    <xf numFmtId="0" fontId="5" fillId="0" borderId="204" xfId="0" applyFont="1" applyBorder="1" applyAlignment="1">
      <alignment horizontal="center"/>
    </xf>
    <xf numFmtId="49" fontId="0" fillId="0" borderId="225" xfId="0" applyNumberFormat="1" applyBorder="1">
      <alignment horizontal="center" vertical="center"/>
    </xf>
    <xf numFmtId="0" fontId="0" fillId="0" borderId="227" xfId="0" applyBorder="1">
      <alignment horizontal="center" vertical="center"/>
    </xf>
    <xf numFmtId="0" fontId="0" fillId="0" borderId="213" xfId="0" applyBorder="1" applyAlignment="1">
      <alignment horizontal="left" vertical="center"/>
    </xf>
    <xf numFmtId="0" fontId="0" fillId="0" borderId="228" xfId="0" applyBorder="1">
      <alignment horizontal="center" vertical="center"/>
    </xf>
    <xf numFmtId="0" fontId="5" fillId="0" borderId="228" xfId="0" applyFont="1" applyBorder="1" applyAlignment="1">
      <alignment horizontal="center"/>
    </xf>
    <xf numFmtId="0" fontId="5" fillId="0" borderId="229" xfId="0" applyFont="1" applyBorder="1" applyAlignment="1">
      <alignment horizontal="left"/>
    </xf>
    <xf numFmtId="0" fontId="7" fillId="0" borderId="228" xfId="0" applyFont="1" applyBorder="1" applyAlignment="1">
      <alignment horizontal="center"/>
    </xf>
    <xf numFmtId="0" fontId="0" fillId="0" borderId="229" xfId="0" applyBorder="1">
      <alignment horizontal="center" vertical="center"/>
    </xf>
    <xf numFmtId="0" fontId="0" fillId="0" borderId="228" xfId="0" applyBorder="1" applyAlignment="1">
      <alignment horizontal="center"/>
    </xf>
    <xf numFmtId="0" fontId="5" fillId="0" borderId="229" xfId="0" applyFont="1" applyBorder="1" applyAlignment="1">
      <alignment horizontal="center"/>
    </xf>
    <xf numFmtId="0" fontId="7" fillId="0" borderId="230" xfId="0" applyFont="1" applyBorder="1" applyAlignment="1">
      <alignment horizontal="center"/>
    </xf>
    <xf numFmtId="0" fontId="7" fillId="0" borderId="229" xfId="0" applyFont="1" applyBorder="1" applyAlignment="1">
      <alignment horizontal="center"/>
    </xf>
    <xf numFmtId="0" fontId="0" fillId="0" borderId="229" xfId="0" applyBorder="1" applyAlignment="1">
      <alignment horizontal="center"/>
    </xf>
    <xf numFmtId="0" fontId="0" fillId="0" borderId="230" xfId="0" applyBorder="1" applyAlignment="1">
      <alignment horizontal="left" vertical="center"/>
    </xf>
    <xf numFmtId="0" fontId="7" fillId="0" borderId="230" xfId="0" applyFont="1" applyBorder="1">
      <alignment horizontal="center" vertical="center"/>
    </xf>
    <xf numFmtId="0" fontId="7" fillId="0" borderId="229" xfId="0" applyFont="1" applyBorder="1">
      <alignment horizontal="center" vertical="center"/>
    </xf>
    <xf numFmtId="0" fontId="0" fillId="0" borderId="228" xfId="0" applyBorder="1" applyAlignment="1"/>
    <xf numFmtId="0" fontId="5" fillId="0" borderId="230" xfId="0" applyFont="1" applyBorder="1" applyAlignment="1">
      <alignment horizontal="left"/>
    </xf>
    <xf numFmtId="0" fontId="0" fillId="0" borderId="230" xfId="0" applyBorder="1" applyAlignment="1"/>
    <xf numFmtId="0" fontId="0" fillId="0" borderId="229" xfId="0" applyBorder="1" applyAlignment="1"/>
    <xf numFmtId="0" fontId="5" fillId="0" borderId="228" xfId="0" applyFont="1" applyBorder="1" applyAlignment="1">
      <alignment horizontal="left"/>
    </xf>
    <xf numFmtId="0" fontId="0" fillId="0" borderId="231" xfId="0" applyBorder="1" applyAlignment="1"/>
    <xf numFmtId="0" fontId="0" fillId="51" borderId="232" xfId="0" applyFill="1" applyBorder="1" applyAlignment="1">
      <alignment horizontal="left" vertical="center"/>
    </xf>
    <xf numFmtId="0" fontId="0" fillId="51" borderId="232" xfId="53" applyFont="1" applyFill="1" applyBorder="1">
      <alignment horizontal="center" vertical="center"/>
    </xf>
    <xf numFmtId="0" fontId="0" fillId="51" borderId="226" xfId="0" applyFill="1" applyBorder="1">
      <alignment horizontal="center" vertical="center"/>
    </xf>
    <xf numFmtId="0" fontId="0" fillId="51" borderId="226" xfId="48" applyFont="1" applyFill="1" applyBorder="1">
      <alignment horizontal="center" vertical="center"/>
    </xf>
    <xf numFmtId="0" fontId="0" fillId="51" borderId="226" xfId="43" applyFont="1" applyFill="1" applyBorder="1">
      <alignment horizontal="center" vertical="center"/>
    </xf>
    <xf numFmtId="0" fontId="0" fillId="51" borderId="226" xfId="44" applyFont="1" applyFill="1" applyBorder="1">
      <alignment horizontal="center" vertical="center"/>
    </xf>
    <xf numFmtId="0" fontId="0" fillId="51" borderId="217" xfId="43" applyFont="1" applyFill="1" applyBorder="1">
      <alignment horizontal="center" vertical="center"/>
    </xf>
    <xf numFmtId="0" fontId="0" fillId="51" borderId="217" xfId="48" applyFont="1" applyFill="1" applyBorder="1">
      <alignment horizontal="center" vertical="center"/>
    </xf>
    <xf numFmtId="0" fontId="0" fillId="51" borderId="217" xfId="46" applyFont="1" applyFill="1" applyBorder="1">
      <alignment horizontal="center" vertical="center"/>
    </xf>
    <xf numFmtId="0" fontId="0" fillId="0" borderId="231" xfId="0" applyBorder="1">
      <alignment horizontal="center" vertical="center"/>
    </xf>
    <xf numFmtId="0" fontId="0" fillId="51" borderId="232" xfId="0" applyFill="1" applyBorder="1" applyAlignment="1">
      <alignment vertical="center"/>
    </xf>
    <xf numFmtId="0" fontId="0" fillId="51" borderId="232" xfId="32" applyFont="1" applyFill="1" applyBorder="1" applyAlignment="1">
      <alignment horizontal="center" vertical="center"/>
    </xf>
    <xf numFmtId="0" fontId="0" fillId="0" borderId="232" xfId="0" applyBorder="1" applyAlignment="1">
      <alignment vertical="center"/>
    </xf>
    <xf numFmtId="0" fontId="5" fillId="0" borderId="228" xfId="0" applyFont="1" applyBorder="1" applyAlignment="1">
      <alignment vertical="center"/>
    </xf>
    <xf numFmtId="0" fontId="5" fillId="0" borderId="230" xfId="0" applyFont="1" applyBorder="1" applyAlignment="1">
      <alignment vertical="center"/>
    </xf>
    <xf numFmtId="0" fontId="0" fillId="0" borderId="230" xfId="0" applyBorder="1">
      <alignment horizontal="center" vertical="center"/>
    </xf>
    <xf numFmtId="49" fontId="0" fillId="51" borderId="232" xfId="0" applyNumberFormat="1" applyFill="1" applyBorder="1">
      <alignment horizontal="center" vertical="center"/>
    </xf>
    <xf numFmtId="0" fontId="0" fillId="51" borderId="232" xfId="0" applyFill="1" applyBorder="1">
      <alignment horizontal="center" vertical="center"/>
    </xf>
    <xf numFmtId="0" fontId="0" fillId="51" borderId="232" xfId="44" applyFont="1" applyFill="1" applyBorder="1">
      <alignment horizontal="center" vertical="center"/>
    </xf>
    <xf numFmtId="0" fontId="0" fillId="51" borderId="232" xfId="48" applyFont="1" applyFill="1" applyBorder="1">
      <alignment horizontal="center" vertical="center"/>
    </xf>
    <xf numFmtId="0" fontId="0" fillId="51" borderId="232" xfId="43" applyFont="1" applyFill="1" applyBorder="1">
      <alignment horizontal="center" vertical="center"/>
    </xf>
    <xf numFmtId="0" fontId="0" fillId="51" borderId="232" xfId="46" applyFont="1" applyFill="1" applyBorder="1">
      <alignment horizontal="center" vertical="center"/>
    </xf>
    <xf numFmtId="0" fontId="0" fillId="0" borderId="232" xfId="0" applyBorder="1" applyAlignment="1">
      <alignment horizontal="left" vertical="center"/>
    </xf>
    <xf numFmtId="0" fontId="5" fillId="0" borderId="233" xfId="0" applyFont="1" applyBorder="1" applyAlignment="1">
      <alignment horizontal="center"/>
    </xf>
    <xf numFmtId="0" fontId="0" fillId="0" borderId="234" xfId="0" applyBorder="1">
      <alignment horizontal="center" vertical="center"/>
    </xf>
    <xf numFmtId="0" fontId="0" fillId="0" borderId="237" xfId="0" applyBorder="1" applyAlignment="1">
      <alignment horizontal="left" vertical="center"/>
    </xf>
    <xf numFmtId="0" fontId="0" fillId="24" borderId="185" xfId="0" applyFill="1" applyBorder="1" applyAlignment="1">
      <alignment horizontal="center"/>
    </xf>
    <xf numFmtId="0" fontId="0" fillId="0" borderId="185" xfId="0" applyBorder="1" applyAlignment="1">
      <alignment horizontal="center"/>
    </xf>
    <xf numFmtId="0" fontId="0" fillId="0" borderId="232" xfId="0" applyBorder="1">
      <alignment horizontal="center" vertical="center"/>
    </xf>
    <xf numFmtId="0" fontId="0" fillId="0" borderId="238" xfId="0" applyBorder="1">
      <alignment horizontal="center" vertical="center"/>
    </xf>
    <xf numFmtId="0" fontId="7" fillId="0" borderId="214" xfId="0" applyFont="1" applyBorder="1" applyAlignment="1">
      <alignment horizontal="center"/>
    </xf>
    <xf numFmtId="0" fontId="8" fillId="0" borderId="185" xfId="0" applyFont="1" applyBorder="1" applyAlignment="1">
      <alignment horizontal="left"/>
    </xf>
    <xf numFmtId="0" fontId="5" fillId="0" borderId="184" xfId="0" applyFont="1" applyBorder="1" applyAlignment="1">
      <alignment horizontal="left"/>
    </xf>
    <xf numFmtId="0" fontId="5" fillId="0" borderId="184" xfId="0" applyFont="1" applyBorder="1">
      <alignment horizontal="center" vertical="center"/>
    </xf>
    <xf numFmtId="0" fontId="5" fillId="0" borderId="184" xfId="0" applyFont="1" applyBorder="1" applyAlignment="1">
      <alignment horizontal="center"/>
    </xf>
    <xf numFmtId="0" fontId="0" fillId="0" borderId="184" xfId="0" applyBorder="1" applyAlignment="1">
      <alignment horizontal="left"/>
    </xf>
    <xf numFmtId="0" fontId="8" fillId="0" borderId="232" xfId="0" applyFont="1" applyBorder="1">
      <alignment horizontal="center" vertical="center"/>
    </xf>
    <xf numFmtId="0" fontId="8" fillId="0" borderId="185" xfId="0" applyFont="1" applyBorder="1" applyAlignment="1">
      <alignment horizontal="center"/>
    </xf>
    <xf numFmtId="0" fontId="7" fillId="0" borderId="184" xfId="0" applyFont="1" applyBorder="1" applyAlignment="1">
      <alignment horizontal="left"/>
    </xf>
    <xf numFmtId="0" fontId="7" fillId="24" borderId="184" xfId="0" applyFont="1" applyFill="1" applyBorder="1" applyAlignment="1">
      <alignment horizontal="left"/>
    </xf>
    <xf numFmtId="0" fontId="18" fillId="40" borderId="184" xfId="0" applyFont="1" applyFill="1" applyBorder="1" applyAlignment="1">
      <alignment wrapText="1"/>
    </xf>
    <xf numFmtId="0" fontId="22" fillId="48" borderId="184" xfId="0" applyFont="1" applyFill="1" applyBorder="1" applyAlignment="1">
      <alignment wrapText="1"/>
    </xf>
    <xf numFmtId="0" fontId="7" fillId="44" borderId="35" xfId="0" applyFont="1" applyFill="1" applyBorder="1" applyAlignment="1">
      <alignment horizontal="center"/>
    </xf>
    <xf numFmtId="0" fontId="7" fillId="29" borderId="35" xfId="0" applyFont="1" applyFill="1" applyBorder="1" applyAlignment="1">
      <alignment horizontal="center"/>
    </xf>
    <xf numFmtId="0" fontId="7" fillId="29" borderId="68" xfId="0" applyFont="1" applyFill="1" applyBorder="1" applyAlignment="1">
      <alignment horizontal="center"/>
    </xf>
    <xf numFmtId="0" fontId="7" fillId="44" borderId="241" xfId="0" applyFont="1" applyFill="1" applyBorder="1" applyAlignment="1">
      <alignment horizontal="left"/>
    </xf>
    <xf numFmtId="0" fontId="7" fillId="25" borderId="241" xfId="0" applyFont="1" applyFill="1" applyBorder="1">
      <alignment horizontal="center" vertical="center"/>
    </xf>
    <xf numFmtId="0" fontId="8" fillId="25" borderId="242" xfId="0" applyFont="1" applyFill="1" applyBorder="1">
      <alignment horizontal="center" vertical="center"/>
    </xf>
    <xf numFmtId="0" fontId="7" fillId="29" borderId="241" xfId="0" applyFont="1" applyFill="1" applyBorder="1" applyAlignment="1">
      <alignment horizontal="left"/>
    </xf>
    <xf numFmtId="0" fontId="7" fillId="29" borderId="242" xfId="0" applyFont="1" applyFill="1" applyBorder="1" applyAlignment="1">
      <alignment horizontal="left"/>
    </xf>
    <xf numFmtId="0" fontId="8" fillId="29" borderId="242" xfId="0" applyFont="1" applyFill="1" applyBorder="1">
      <alignment horizontal="center" vertical="center"/>
    </xf>
    <xf numFmtId="0" fontId="8" fillId="29" borderId="243" xfId="0" applyFont="1" applyFill="1" applyBorder="1">
      <alignment horizontal="center" vertical="center"/>
    </xf>
    <xf numFmtId="0" fontId="7" fillId="37" borderId="241" xfId="0" applyFont="1" applyFill="1" applyBorder="1" applyAlignment="1">
      <alignment horizontal="left"/>
    </xf>
    <xf numFmtId="0" fontId="7" fillId="37" borderId="242" xfId="0" applyFont="1" applyFill="1" applyBorder="1" applyAlignment="1">
      <alignment horizontal="left"/>
    </xf>
    <xf numFmtId="0" fontId="0" fillId="37" borderId="242" xfId="0" applyFill="1" applyBorder="1">
      <alignment horizontal="center" vertical="center"/>
    </xf>
    <xf numFmtId="0" fontId="7" fillId="45" borderId="241" xfId="0" applyFont="1" applyFill="1" applyBorder="1" applyAlignment="1">
      <alignment horizontal="left"/>
    </xf>
    <xf numFmtId="0" fontId="0" fillId="45" borderId="242" xfId="0" applyFill="1" applyBorder="1">
      <alignment horizontal="center" vertical="center"/>
    </xf>
    <xf numFmtId="0" fontId="8" fillId="45" borderId="242" xfId="0" applyFont="1" applyFill="1" applyBorder="1">
      <alignment horizontal="center" vertical="center"/>
    </xf>
    <xf numFmtId="0" fontId="8" fillId="77" borderId="243" xfId="0" applyFont="1" applyFill="1" applyBorder="1">
      <alignment horizontal="center" vertical="center"/>
    </xf>
    <xf numFmtId="0" fontId="7" fillId="24" borderId="241" xfId="0" applyFont="1" applyFill="1" applyBorder="1">
      <alignment horizontal="center" vertical="center"/>
    </xf>
    <xf numFmtId="0" fontId="0" fillId="24" borderId="242" xfId="0" applyFill="1" applyBorder="1">
      <alignment horizontal="center" vertical="center"/>
    </xf>
    <xf numFmtId="0" fontId="8" fillId="24" borderId="242" xfId="0" applyFont="1" applyFill="1" applyBorder="1">
      <alignment horizontal="center" vertical="center"/>
    </xf>
    <xf numFmtId="0" fontId="7" fillId="40" borderId="241" xfId="0" applyFont="1" applyFill="1" applyBorder="1" applyAlignment="1">
      <alignment horizontal="left"/>
    </xf>
    <xf numFmtId="0" fontId="8" fillId="40" borderId="242" xfId="0" applyFont="1" applyFill="1" applyBorder="1">
      <alignment horizontal="center" vertical="center"/>
    </xf>
    <xf numFmtId="0" fontId="0" fillId="40" borderId="243" xfId="0" applyFill="1" applyBorder="1">
      <alignment horizontal="center" vertical="center"/>
    </xf>
    <xf numFmtId="0" fontId="0" fillId="46" borderId="244" xfId="0" applyFill="1" applyBorder="1">
      <alignment horizontal="center" vertical="center"/>
    </xf>
    <xf numFmtId="0" fontId="8" fillId="46" borderId="244" xfId="0" applyFont="1" applyFill="1" applyBorder="1">
      <alignment horizontal="center" vertical="center"/>
    </xf>
    <xf numFmtId="0" fontId="8" fillId="46" borderId="245" xfId="0" applyFont="1" applyFill="1" applyBorder="1">
      <alignment horizontal="center" vertical="center"/>
    </xf>
    <xf numFmtId="0" fontId="7" fillId="0" borderId="246" xfId="0" applyFont="1" applyBorder="1" applyAlignment="1">
      <alignment horizontal="left" vertical="center"/>
    </xf>
    <xf numFmtId="0" fontId="8" fillId="0" borderId="244" xfId="0" applyFont="1" applyBorder="1">
      <alignment horizontal="center" vertical="center"/>
    </xf>
    <xf numFmtId="0" fontId="62" fillId="58" borderId="247" xfId="49" applyBorder="1">
      <alignment horizontal="center" vertical="center"/>
    </xf>
    <xf numFmtId="0" fontId="62" fillId="59" borderId="241" xfId="51" applyBorder="1" applyAlignment="1">
      <alignment horizontal="center" vertical="center"/>
    </xf>
    <xf numFmtId="0" fontId="62" fillId="59" borderId="242" xfId="51" applyBorder="1" applyAlignment="1">
      <alignment horizontal="center" vertical="center"/>
    </xf>
    <xf numFmtId="0" fontId="62" fillId="59" borderId="243" xfId="51" applyBorder="1" applyAlignment="1">
      <alignment horizontal="center" vertical="center"/>
    </xf>
    <xf numFmtId="0" fontId="8" fillId="0" borderId="241" xfId="0" applyFont="1" applyBorder="1" applyAlignment="1">
      <alignment horizontal="left"/>
    </xf>
    <xf numFmtId="0" fontId="0" fillId="0" borderId="242" xfId="0" applyBorder="1">
      <alignment horizontal="center" vertical="center"/>
    </xf>
    <xf numFmtId="0" fontId="8" fillId="0" borderId="242" xfId="0" applyFont="1" applyBorder="1" applyAlignment="1">
      <alignment horizontal="left"/>
    </xf>
    <xf numFmtId="0" fontId="8" fillId="48" borderId="241" xfId="0" applyFont="1" applyFill="1" applyBorder="1" applyAlignment="1">
      <alignment horizontal="left" vertical="center"/>
    </xf>
    <xf numFmtId="0" fontId="8" fillId="48" borderId="242" xfId="0" applyFont="1" applyFill="1" applyBorder="1">
      <alignment horizontal="center" vertical="center"/>
    </xf>
    <xf numFmtId="0" fontId="0" fillId="75" borderId="248" xfId="56" applyFont="1" applyBorder="1" applyAlignment="1">
      <alignment horizontal="center" vertical="center"/>
    </xf>
    <xf numFmtId="0" fontId="0" fillId="75" borderId="249" xfId="56" applyFont="1" applyBorder="1" applyAlignment="1">
      <alignment horizontal="center" vertical="center"/>
    </xf>
    <xf numFmtId="0" fontId="0" fillId="0" borderId="207" xfId="0" applyBorder="1">
      <alignment horizontal="center" vertical="center"/>
    </xf>
    <xf numFmtId="0" fontId="5" fillId="0" borderId="207" xfId="0" applyFont="1" applyBorder="1" applyAlignment="1">
      <alignment horizontal="center"/>
    </xf>
    <xf numFmtId="0" fontId="8" fillId="0" borderId="207" xfId="0" applyFont="1" applyBorder="1">
      <alignment horizontal="center" vertical="center"/>
    </xf>
    <xf numFmtId="0" fontId="8" fillId="0" borderId="247" xfId="0" applyFont="1" applyBorder="1">
      <alignment horizontal="center" vertical="center"/>
    </xf>
    <xf numFmtId="0" fontId="0" fillId="0" borderId="247" xfId="0" applyBorder="1">
      <alignment horizontal="center" vertical="center"/>
    </xf>
    <xf numFmtId="0" fontId="5" fillId="0" borderId="247" xfId="0" applyFont="1" applyBorder="1" applyAlignment="1">
      <alignment horizontal="center"/>
    </xf>
    <xf numFmtId="0" fontId="5" fillId="0" borderId="248" xfId="0" applyFont="1" applyBorder="1" applyAlignment="1">
      <alignment horizontal="left" vertical="center"/>
    </xf>
    <xf numFmtId="0" fontId="0" fillId="0" borderId="248" xfId="0" applyBorder="1">
      <alignment horizontal="center" vertical="center"/>
    </xf>
    <xf numFmtId="0" fontId="60" fillId="0" borderId="250" xfId="0" applyFont="1" applyBorder="1" applyAlignment="1">
      <alignment horizontal="left" vertical="center"/>
    </xf>
    <xf numFmtId="0" fontId="5" fillId="0" borderId="249" xfId="0" applyFont="1" applyBorder="1" applyAlignment="1">
      <alignment horizontal="left" vertical="center"/>
    </xf>
    <xf numFmtId="0" fontId="0" fillId="0" borderId="251" xfId="0" applyBorder="1">
      <alignment horizontal="center" vertical="center"/>
    </xf>
    <xf numFmtId="0" fontId="0" fillId="0" borderId="249" xfId="0" applyBorder="1">
      <alignment horizontal="center" vertical="center"/>
    </xf>
    <xf numFmtId="0" fontId="14" fillId="0" borderId="249" xfId="0" applyFont="1" applyBorder="1">
      <alignment horizontal="center" vertical="center"/>
    </xf>
    <xf numFmtId="0" fontId="60" fillId="0" borderId="248" xfId="0" applyFont="1" applyBorder="1" applyAlignment="1">
      <alignment horizontal="left" vertical="center"/>
    </xf>
    <xf numFmtId="0" fontId="0" fillId="0" borderId="249" xfId="0" applyBorder="1" applyAlignment="1">
      <alignment horizontal="left" vertical="center"/>
    </xf>
    <xf numFmtId="0" fontId="0" fillId="0" borderId="251" xfId="0" applyBorder="1" applyAlignment="1">
      <alignment horizontal="left" vertical="center"/>
    </xf>
    <xf numFmtId="0" fontId="60" fillId="0" borderId="252" xfId="0" applyFont="1" applyBorder="1" applyAlignment="1">
      <alignment horizontal="left" vertical="center"/>
    </xf>
    <xf numFmtId="0" fontId="5" fillId="0" borderId="249" xfId="0" applyFont="1" applyBorder="1">
      <alignment horizontal="center" vertical="center"/>
    </xf>
    <xf numFmtId="0" fontId="60" fillId="0" borderId="253" xfId="0" applyFont="1" applyBorder="1" applyAlignment="1">
      <alignment horizontal="left" vertical="center"/>
    </xf>
    <xf numFmtId="0" fontId="0" fillId="0" borderId="214" xfId="0" applyBorder="1" applyAlignment="1" applyProtection="1">
      <alignment horizontal="center"/>
      <protection locked="0"/>
    </xf>
    <xf numFmtId="0" fontId="7" fillId="51" borderId="214" xfId="0" applyFont="1" applyFill="1" applyBorder="1">
      <alignment horizontal="center" vertical="center"/>
    </xf>
    <xf numFmtId="0" fontId="0" fillId="51" borderId="232" xfId="0" applyFill="1" applyBorder="1" applyProtection="1">
      <alignment horizontal="center" vertical="center"/>
      <protection locked="0"/>
    </xf>
    <xf numFmtId="0" fontId="0" fillId="51" borderId="228" xfId="43" applyFont="1" applyFill="1" applyBorder="1">
      <alignment horizontal="center" vertical="center"/>
    </xf>
    <xf numFmtId="0" fontId="10" fillId="51" borderId="234" xfId="0" applyFont="1" applyFill="1" applyBorder="1">
      <alignment horizontal="center" vertical="center"/>
    </xf>
    <xf numFmtId="0" fontId="0" fillId="43" borderId="247" xfId="0" applyFill="1" applyBorder="1" applyAlignment="1" applyProtection="1">
      <alignment horizontal="center"/>
      <protection locked="0"/>
    </xf>
    <xf numFmtId="0" fontId="0" fillId="0" borderId="247" xfId="0" applyBorder="1" applyAlignment="1">
      <alignment horizontal="left" vertical="center"/>
    </xf>
    <xf numFmtId="0" fontId="0" fillId="51" borderId="247" xfId="32" applyFont="1" applyFill="1" applyBorder="1" applyAlignment="1">
      <alignment horizontal="center" vertical="center"/>
    </xf>
    <xf numFmtId="0" fontId="0" fillId="51" borderId="247" xfId="48" applyFont="1" applyFill="1" applyBorder="1">
      <alignment horizontal="center" vertical="center"/>
    </xf>
    <xf numFmtId="0" fontId="0" fillId="51" borderId="247" xfId="43" applyFont="1" applyFill="1" applyBorder="1">
      <alignment horizontal="center" vertical="center"/>
    </xf>
    <xf numFmtId="0" fontId="0" fillId="51" borderId="207" xfId="43" applyFont="1" applyFill="1" applyBorder="1">
      <alignment horizontal="center" vertical="center"/>
    </xf>
    <xf numFmtId="0" fontId="0" fillId="51" borderId="241" xfId="43" applyFont="1" applyFill="1" applyBorder="1">
      <alignment horizontal="center" vertical="center"/>
    </xf>
    <xf numFmtId="0" fontId="10" fillId="51" borderId="254" xfId="0" applyFont="1" applyFill="1" applyBorder="1">
      <alignment horizontal="center" vertical="center"/>
    </xf>
    <xf numFmtId="0" fontId="0" fillId="0" borderId="255" xfId="0" applyBorder="1" applyAlignment="1">
      <alignment horizontal="left" vertical="center"/>
    </xf>
    <xf numFmtId="0" fontId="0" fillId="51" borderId="256" xfId="32" applyFont="1" applyFill="1" applyBorder="1" applyAlignment="1">
      <alignment horizontal="center" vertical="center"/>
    </xf>
    <xf numFmtId="0" fontId="0" fillId="51" borderId="257" xfId="43" applyFont="1" applyFill="1" applyBorder="1">
      <alignment horizontal="center" vertical="center"/>
    </xf>
    <xf numFmtId="0" fontId="0" fillId="51" borderId="255" xfId="43" applyFont="1" applyFill="1" applyBorder="1">
      <alignment horizontal="center" vertical="center"/>
    </xf>
    <xf numFmtId="1" fontId="0" fillId="51" borderId="258" xfId="0" applyNumberFormat="1" applyFill="1" applyBorder="1">
      <alignment horizontal="center" vertical="center"/>
    </xf>
    <xf numFmtId="0" fontId="0" fillId="51" borderId="258" xfId="44" applyFont="1" applyFill="1" applyBorder="1">
      <alignment horizontal="center" vertical="center"/>
    </xf>
    <xf numFmtId="0" fontId="0" fillId="51" borderId="259" xfId="43" applyFont="1" applyFill="1" applyBorder="1">
      <alignment horizontal="center" vertical="center"/>
    </xf>
    <xf numFmtId="0" fontId="0" fillId="0" borderId="258" xfId="0" applyBorder="1">
      <alignment horizontal="center" vertical="center"/>
    </xf>
    <xf numFmtId="0" fontId="0" fillId="51" borderId="260" xfId="43" applyFont="1" applyFill="1" applyBorder="1">
      <alignment horizontal="center" vertical="center"/>
    </xf>
    <xf numFmtId="0" fontId="5" fillId="77" borderId="207" xfId="0" applyFont="1" applyFill="1" applyBorder="1" applyAlignment="1">
      <alignment horizontal="left" vertical="center"/>
    </xf>
    <xf numFmtId="0" fontId="0" fillId="77" borderId="247" xfId="0" applyFill="1" applyBorder="1">
      <alignment horizontal="center" vertical="center"/>
    </xf>
    <xf numFmtId="0" fontId="0" fillId="43" borderId="232" xfId="0" applyFill="1" applyBorder="1" applyAlignment="1" applyProtection="1">
      <alignment horizontal="center"/>
      <protection locked="0"/>
    </xf>
    <xf numFmtId="0" fontId="0" fillId="51" borderId="247" xfId="44" applyFont="1" applyFill="1" applyBorder="1">
      <alignment horizontal="center" vertical="center"/>
    </xf>
    <xf numFmtId="1" fontId="0" fillId="51" borderId="247" xfId="0" applyNumberFormat="1" applyFill="1" applyBorder="1">
      <alignment horizontal="center" vertical="center"/>
    </xf>
    <xf numFmtId="1" fontId="0" fillId="51" borderId="247" xfId="32" applyNumberFormat="1" applyFont="1" applyFill="1" applyBorder="1" applyAlignment="1">
      <alignment horizontal="center" vertical="center"/>
    </xf>
    <xf numFmtId="0" fontId="8" fillId="73" borderId="247" xfId="44" applyBorder="1">
      <alignment horizontal="center" vertical="center"/>
    </xf>
    <xf numFmtId="1" fontId="0" fillId="53" borderId="247" xfId="0" applyNumberFormat="1" applyFill="1" applyBorder="1">
      <alignment horizontal="center" vertical="center"/>
    </xf>
    <xf numFmtId="1" fontId="0" fillId="51" borderId="241" xfId="0" applyNumberFormat="1" applyFill="1" applyBorder="1">
      <alignment horizontal="center" vertical="center"/>
    </xf>
    <xf numFmtId="0" fontId="8" fillId="0" borderId="247" xfId="0" applyFont="1" applyBorder="1" applyAlignment="1">
      <alignment horizontal="left" vertical="center"/>
    </xf>
    <xf numFmtId="0" fontId="0" fillId="51" borderId="247" xfId="0" applyFill="1" applyBorder="1">
      <alignment horizontal="center" vertical="center"/>
    </xf>
    <xf numFmtId="0" fontId="8" fillId="74" borderId="247" xfId="47" applyBorder="1">
      <alignment horizontal="center" vertical="center"/>
    </xf>
    <xf numFmtId="0" fontId="0" fillId="51" borderId="241" xfId="0" applyFill="1" applyBorder="1">
      <alignment horizontal="center" vertical="center"/>
    </xf>
    <xf numFmtId="0" fontId="68" fillId="81" borderId="247" xfId="56" applyFont="1" applyFill="1" applyBorder="1">
      <alignment horizontal="center" vertical="center"/>
    </xf>
    <xf numFmtId="1" fontId="0" fillId="73" borderId="247" xfId="0" applyNumberFormat="1" applyFill="1" applyBorder="1">
      <alignment horizontal="center" vertical="center"/>
    </xf>
    <xf numFmtId="0" fontId="10" fillId="60" borderId="254" xfId="0" applyFont="1" applyFill="1" applyBorder="1">
      <alignment horizontal="center" vertical="center"/>
    </xf>
    <xf numFmtId="0" fontId="8" fillId="75" borderId="247" xfId="56" applyBorder="1">
      <alignment horizontal="center" vertical="center"/>
    </xf>
    <xf numFmtId="0" fontId="8" fillId="75" borderId="241" xfId="56" applyBorder="1">
      <alignment horizontal="center" vertical="center"/>
    </xf>
    <xf numFmtId="0" fontId="0" fillId="43" borderId="207" xfId="0" applyFill="1" applyBorder="1" applyAlignment="1" applyProtection="1">
      <alignment horizontal="center"/>
      <protection locked="0"/>
    </xf>
    <xf numFmtId="0" fontId="0" fillId="0" borderId="207" xfId="0" applyBorder="1" applyAlignment="1">
      <alignment horizontal="left" vertical="center"/>
    </xf>
    <xf numFmtId="1" fontId="0" fillId="51" borderId="207" xfId="20" applyNumberFormat="1" applyFont="1" applyFill="1" applyBorder="1" applyAlignment="1">
      <alignment horizontal="center" vertical="center"/>
    </xf>
    <xf numFmtId="0" fontId="8" fillId="73" borderId="207" xfId="44" applyBorder="1">
      <alignment horizontal="center" vertical="center"/>
    </xf>
    <xf numFmtId="0" fontId="8" fillId="53" borderId="258" xfId="43" applyBorder="1">
      <alignment horizontal="center" vertical="center"/>
    </xf>
    <xf numFmtId="0" fontId="8" fillId="53" borderId="207" xfId="43" applyBorder="1">
      <alignment horizontal="center" vertical="center"/>
    </xf>
    <xf numFmtId="0" fontId="8" fillId="53" borderId="208" xfId="43" applyBorder="1">
      <alignment horizontal="center" vertical="center"/>
    </xf>
    <xf numFmtId="0" fontId="5" fillId="77" borderId="214" xfId="0" applyFont="1" applyFill="1" applyBorder="1" applyAlignment="1" applyProtection="1">
      <alignment horizontal="left"/>
      <protection locked="0"/>
    </xf>
    <xf numFmtId="0" fontId="5" fillId="77" borderId="214" xfId="0" applyFont="1" applyFill="1" applyBorder="1">
      <alignment horizontal="center" vertical="center"/>
    </xf>
    <xf numFmtId="0" fontId="7" fillId="76" borderId="239" xfId="0" applyFont="1" applyFill="1" applyBorder="1">
      <alignment horizontal="center" vertical="center"/>
    </xf>
    <xf numFmtId="0" fontId="0" fillId="0" borderId="254" xfId="0" applyBorder="1">
      <alignment horizontal="center" vertical="center"/>
    </xf>
    <xf numFmtId="0" fontId="0" fillId="51" borderId="213" xfId="32" applyFont="1" applyFill="1" applyBorder="1" applyAlignment="1">
      <alignment horizontal="center" vertical="center"/>
    </xf>
    <xf numFmtId="0" fontId="0" fillId="51" borderId="261" xfId="48" applyFont="1" applyFill="1" applyBorder="1">
      <alignment horizontal="center" vertical="center"/>
    </xf>
    <xf numFmtId="0" fontId="0" fillId="52" borderId="213" xfId="43" applyFont="1" applyFill="1" applyBorder="1">
      <alignment horizontal="center" vertical="center"/>
    </xf>
    <xf numFmtId="0" fontId="0" fillId="51" borderId="211" xfId="43" applyFont="1" applyFill="1" applyBorder="1">
      <alignment horizontal="center" vertical="center"/>
    </xf>
    <xf numFmtId="0" fontId="8" fillId="74" borderId="241" xfId="47" applyBorder="1">
      <alignment horizontal="center" vertical="center"/>
    </xf>
    <xf numFmtId="0" fontId="0" fillId="51" borderId="247" xfId="20" applyFont="1" applyFill="1" applyBorder="1" applyAlignment="1">
      <alignment horizontal="center" vertical="center"/>
    </xf>
    <xf numFmtId="0" fontId="0" fillId="51" borderId="255" xfId="0" applyFill="1" applyBorder="1">
      <alignment horizontal="center" vertical="center"/>
    </xf>
    <xf numFmtId="0" fontId="0" fillId="51" borderId="241" xfId="20" applyFont="1" applyFill="1" applyBorder="1" applyAlignment="1">
      <alignment horizontal="center" vertical="center"/>
    </xf>
    <xf numFmtId="0" fontId="0" fillId="43" borderId="255" xfId="0" applyFill="1" applyBorder="1" applyAlignment="1" applyProtection="1">
      <alignment horizontal="center"/>
      <protection locked="0"/>
    </xf>
    <xf numFmtId="0" fontId="0" fillId="0" borderId="255" xfId="0" applyBorder="1" applyAlignment="1">
      <alignment vertical="center"/>
    </xf>
    <xf numFmtId="0" fontId="0" fillId="51" borderId="255" xfId="32" applyFont="1" applyFill="1" applyBorder="1" applyAlignment="1">
      <alignment horizontal="center" vertical="center"/>
    </xf>
    <xf numFmtId="0" fontId="8" fillId="73" borderId="255" xfId="44" applyBorder="1">
      <alignment horizontal="center" vertical="center"/>
    </xf>
    <xf numFmtId="0" fontId="0" fillId="51" borderId="258" xfId="43" applyFont="1" applyFill="1" applyBorder="1">
      <alignment horizontal="center" vertical="center"/>
    </xf>
    <xf numFmtId="0" fontId="0" fillId="51" borderId="258" xfId="0" applyFill="1" applyBorder="1">
      <alignment horizontal="center" vertical="center"/>
    </xf>
    <xf numFmtId="0" fontId="0" fillId="51" borderId="258" xfId="32" applyFont="1" applyFill="1" applyBorder="1" applyAlignment="1">
      <alignment horizontal="center" vertical="center"/>
    </xf>
    <xf numFmtId="49" fontId="0" fillId="51" borderId="258" xfId="0" applyNumberFormat="1" applyFill="1" applyBorder="1">
      <alignment horizontal="center" vertical="center"/>
    </xf>
    <xf numFmtId="0" fontId="0" fillId="51" borderId="255" xfId="46" applyFont="1" applyFill="1" applyBorder="1">
      <alignment horizontal="center" vertical="center"/>
    </xf>
    <xf numFmtId="0" fontId="5" fillId="0" borderId="228" xfId="0" applyFont="1" applyBorder="1" applyAlignment="1">
      <alignment wrapText="1"/>
    </xf>
    <xf numFmtId="0" fontId="5" fillId="0" borderId="262" xfId="0" applyFont="1" applyBorder="1" applyAlignment="1">
      <alignment horizontal="left" vertical="center"/>
    </xf>
    <xf numFmtId="0" fontId="0" fillId="0" borderId="209" xfId="0" applyBorder="1">
      <alignment horizontal="center" vertical="center"/>
    </xf>
    <xf numFmtId="0" fontId="5" fillId="0" borderId="241" xfId="0" applyFont="1" applyBorder="1" applyAlignment="1">
      <alignment vertical="center"/>
    </xf>
    <xf numFmtId="0" fontId="14" fillId="0" borderId="242" xfId="0" applyFont="1" applyBorder="1">
      <alignment horizontal="center" vertical="center"/>
    </xf>
    <xf numFmtId="0" fontId="0" fillId="0" borderId="243" xfId="0" applyBorder="1">
      <alignment horizontal="center" vertical="center"/>
    </xf>
    <xf numFmtId="0" fontId="5" fillId="0" borderId="208" xfId="0" applyFont="1" applyBorder="1" applyAlignment="1">
      <alignment horizontal="left" vertical="center"/>
    </xf>
    <xf numFmtId="0" fontId="14" fillId="0" borderId="209" xfId="0" applyFont="1" applyBorder="1">
      <alignment horizontal="center" vertical="center"/>
    </xf>
    <xf numFmtId="0" fontId="5" fillId="0" borderId="209" xfId="0" applyFont="1" applyBorder="1">
      <alignment horizontal="center" vertical="center"/>
    </xf>
    <xf numFmtId="0" fontId="5" fillId="0" borderId="263" xfId="0" applyFont="1" applyBorder="1" applyAlignment="1">
      <alignment horizontal="left" vertical="center"/>
    </xf>
    <xf numFmtId="0" fontId="0" fillId="0" borderId="241" xfId="0" applyBorder="1" applyAlignment="1">
      <alignment vertical="center"/>
    </xf>
    <xf numFmtId="0" fontId="5" fillId="0" borderId="241" xfId="0" applyFont="1" applyBorder="1">
      <alignment horizontal="center" vertical="center"/>
    </xf>
    <xf numFmtId="0" fontId="0" fillId="0" borderId="242" xfId="0" applyBorder="1" applyAlignment="1">
      <alignment horizontal="left" vertical="center"/>
    </xf>
    <xf numFmtId="0" fontId="5" fillId="0" borderId="264" xfId="0" applyFont="1" applyBorder="1" applyAlignment="1">
      <alignment horizontal="left" vertical="center"/>
    </xf>
    <xf numFmtId="0" fontId="0" fillId="0" borderId="260" xfId="0" applyBorder="1">
      <alignment horizontal="center" vertical="center"/>
    </xf>
    <xf numFmtId="0" fontId="0" fillId="0" borderId="259" xfId="0" applyBorder="1" applyAlignment="1">
      <alignment vertical="center"/>
    </xf>
    <xf numFmtId="0" fontId="0" fillId="0" borderId="265" xfId="0" applyBorder="1">
      <alignment horizontal="center" vertical="center"/>
    </xf>
    <xf numFmtId="0" fontId="5" fillId="0" borderId="259" xfId="0" applyFont="1" applyBorder="1">
      <alignment horizontal="center" vertical="center"/>
    </xf>
    <xf numFmtId="0" fontId="0" fillId="0" borderId="260" xfId="0" applyBorder="1" applyAlignment="1">
      <alignment horizontal="left" vertical="center"/>
    </xf>
    <xf numFmtId="0" fontId="14" fillId="0" borderId="260" xfId="0" applyFont="1" applyBorder="1">
      <alignment horizontal="center" vertical="center"/>
    </xf>
    <xf numFmtId="0" fontId="5" fillId="0" borderId="260" xfId="0" applyFont="1" applyBorder="1" applyAlignment="1">
      <alignment horizontal="left" vertical="center"/>
    </xf>
    <xf numFmtId="0" fontId="0" fillId="0" borderId="207" xfId="0" applyBorder="1" applyAlignment="1" applyProtection="1">
      <alignment horizontal="center"/>
      <protection locked="0"/>
    </xf>
    <xf numFmtId="0" fontId="0" fillId="24" borderId="233" xfId="0" applyFill="1" applyBorder="1" applyAlignment="1" applyProtection="1">
      <alignment horizontal="center"/>
      <protection locked="0"/>
    </xf>
    <xf numFmtId="0" fontId="8" fillId="52" borderId="232" xfId="48" applyBorder="1">
      <alignment horizontal="center" vertical="center"/>
    </xf>
    <xf numFmtId="0" fontId="8" fillId="75" borderId="232" xfId="56" applyBorder="1">
      <alignment horizontal="center" vertical="center"/>
    </xf>
    <xf numFmtId="0" fontId="8" fillId="73" borderId="234" xfId="44" applyBorder="1">
      <alignment horizontal="center" vertical="center"/>
    </xf>
    <xf numFmtId="0" fontId="0" fillId="43" borderId="266" xfId="0" applyFill="1" applyBorder="1" applyAlignment="1" applyProtection="1">
      <alignment horizontal="center"/>
      <protection locked="0"/>
    </xf>
    <xf numFmtId="0" fontId="0" fillId="43" borderId="240" xfId="0" applyFill="1" applyBorder="1" applyAlignment="1" applyProtection="1">
      <alignment horizontal="center"/>
      <protection locked="0"/>
    </xf>
    <xf numFmtId="49" fontId="0" fillId="51" borderId="255" xfId="0" applyNumberFormat="1" applyFill="1" applyBorder="1">
      <alignment horizontal="center" vertical="center"/>
    </xf>
    <xf numFmtId="0" fontId="0" fillId="51" borderId="255" xfId="53" applyFont="1" applyFill="1" applyBorder="1">
      <alignment horizontal="center" vertical="center"/>
    </xf>
    <xf numFmtId="0" fontId="8" fillId="75" borderId="255" xfId="56" applyBorder="1">
      <alignment horizontal="center" vertical="center"/>
    </xf>
    <xf numFmtId="0" fontId="0" fillId="51" borderId="255" xfId="48" applyFont="1" applyFill="1" applyBorder="1">
      <alignment horizontal="center" vertical="center"/>
    </xf>
    <xf numFmtId="0" fontId="8" fillId="51" borderId="255" xfId="44" applyFill="1" applyBorder="1">
      <alignment horizontal="center" vertical="center"/>
    </xf>
    <xf numFmtId="0" fontId="0" fillId="0" borderId="248" xfId="0" applyBorder="1" applyAlignment="1">
      <alignment horizontal="left" vertical="center"/>
    </xf>
    <xf numFmtId="0" fontId="0" fillId="53" borderId="232" xfId="48" applyFont="1" applyFill="1" applyBorder="1">
      <alignment horizontal="center" vertical="center"/>
    </xf>
    <xf numFmtId="0" fontId="0" fillId="53" borderId="232" xfId="43" applyFont="1" applyBorder="1">
      <alignment horizontal="center" vertical="center"/>
    </xf>
    <xf numFmtId="0" fontId="0" fillId="53" borderId="213" xfId="43" applyFont="1" applyBorder="1">
      <alignment horizontal="center" vertical="center"/>
    </xf>
    <xf numFmtId="0" fontId="0" fillId="53" borderId="213" xfId="48" applyFont="1" applyFill="1" applyBorder="1">
      <alignment horizontal="center" vertical="center"/>
    </xf>
    <xf numFmtId="0" fontId="8" fillId="81" borderId="213" xfId="56" applyFill="1" applyBorder="1">
      <alignment horizontal="center" vertical="center"/>
    </xf>
    <xf numFmtId="49" fontId="0" fillId="53" borderId="213" xfId="0" applyNumberFormat="1" applyFill="1" applyBorder="1">
      <alignment horizontal="center" vertical="center"/>
    </xf>
    <xf numFmtId="0" fontId="0" fillId="53" borderId="213" xfId="0" applyFill="1" applyBorder="1">
      <alignment horizontal="center" vertical="center"/>
    </xf>
    <xf numFmtId="0" fontId="8" fillId="53" borderId="213" xfId="43" applyBorder="1">
      <alignment horizontal="center" vertical="center"/>
    </xf>
    <xf numFmtId="0" fontId="8" fillId="53" borderId="254" xfId="43" applyBorder="1">
      <alignment horizontal="center" vertical="center"/>
    </xf>
    <xf numFmtId="0" fontId="8" fillId="55" borderId="247" xfId="45" applyBorder="1">
      <alignment horizontal="center" vertical="center"/>
    </xf>
    <xf numFmtId="1" fontId="0" fillId="51" borderId="254" xfId="32" applyNumberFormat="1" applyFont="1" applyFill="1" applyBorder="1" applyAlignment="1">
      <alignment horizontal="center" vertical="center"/>
    </xf>
    <xf numFmtId="0" fontId="0" fillId="51" borderId="255" xfId="0" applyFill="1" applyBorder="1" applyAlignment="1">
      <alignment horizontal="left" vertical="center"/>
    </xf>
    <xf numFmtId="0" fontId="0" fillId="55" borderId="258" xfId="43" applyFont="1" applyFill="1" applyBorder="1">
      <alignment horizontal="center" vertical="center"/>
    </xf>
    <xf numFmtId="0" fontId="0" fillId="51" borderId="232" xfId="0" applyFill="1" applyBorder="1" applyAlignment="1">
      <alignment horizontal="left" vertical="center" wrapText="1"/>
    </xf>
    <xf numFmtId="0" fontId="8" fillId="0" borderId="247" xfId="53" applyBorder="1">
      <alignment horizontal="center" vertical="center"/>
    </xf>
    <xf numFmtId="49" fontId="0" fillId="51" borderId="247" xfId="0" applyNumberFormat="1" applyFill="1" applyBorder="1">
      <alignment horizontal="center" vertical="center"/>
    </xf>
    <xf numFmtId="0" fontId="8" fillId="55" borderId="255" xfId="45" applyBorder="1">
      <alignment horizontal="center" vertical="center"/>
    </xf>
    <xf numFmtId="49" fontId="0" fillId="55" borderId="255" xfId="0" applyNumberFormat="1" applyFill="1" applyBorder="1">
      <alignment horizontal="center" vertical="center"/>
    </xf>
    <xf numFmtId="0" fontId="0" fillId="51" borderId="247" xfId="46" applyFont="1" applyFill="1" applyBorder="1">
      <alignment horizontal="center" vertical="center"/>
    </xf>
    <xf numFmtId="0" fontId="0" fillId="79" borderId="255" xfId="0" applyFill="1" applyBorder="1">
      <alignment horizontal="center" vertical="center"/>
    </xf>
    <xf numFmtId="0" fontId="8" fillId="0" borderId="255" xfId="53" applyBorder="1">
      <alignment horizontal="center" vertical="center"/>
    </xf>
    <xf numFmtId="0" fontId="0" fillId="51" borderId="255" xfId="44" applyFont="1" applyFill="1" applyBorder="1">
      <alignment horizontal="center" vertical="center"/>
    </xf>
    <xf numFmtId="0" fontId="0" fillId="0" borderId="259" xfId="0" applyBorder="1" applyAlignment="1">
      <alignment horizontal="left" vertical="center"/>
    </xf>
    <xf numFmtId="0" fontId="8" fillId="52" borderId="258" xfId="48" applyBorder="1">
      <alignment horizontal="center" vertical="center"/>
    </xf>
    <xf numFmtId="0" fontId="10" fillId="51" borderId="267" xfId="0" applyFont="1" applyFill="1" applyBorder="1">
      <alignment horizontal="center" vertical="center"/>
    </xf>
    <xf numFmtId="0" fontId="7" fillId="0" borderId="247" xfId="0" applyFont="1" applyBorder="1" applyAlignment="1">
      <alignment horizontal="left"/>
    </xf>
    <xf numFmtId="0" fontId="8" fillId="51" borderId="241" xfId="0" applyFont="1" applyFill="1" applyBorder="1">
      <alignment horizontal="center" vertical="center"/>
    </xf>
    <xf numFmtId="0" fontId="8" fillId="51" borderId="242" xfId="0" applyFont="1" applyFill="1" applyBorder="1">
      <alignment horizontal="center" vertical="center"/>
    </xf>
    <xf numFmtId="0" fontId="8" fillId="51" borderId="243" xfId="0" applyFont="1" applyFill="1" applyBorder="1">
      <alignment horizontal="center" vertical="center"/>
    </xf>
    <xf numFmtId="0" fontId="0" fillId="0" borderId="268" xfId="0" applyBorder="1">
      <alignment horizontal="center" vertical="center"/>
    </xf>
    <xf numFmtId="0" fontId="0" fillId="43" borderId="269" xfId="0" applyFill="1" applyBorder="1" applyAlignment="1" applyProtection="1">
      <alignment horizontal="center"/>
      <protection locked="0"/>
    </xf>
    <xf numFmtId="0" fontId="0" fillId="0" borderId="270" xfId="0" applyBorder="1" applyAlignment="1">
      <alignment horizontal="left"/>
    </xf>
    <xf numFmtId="0" fontId="0" fillId="0" borderId="268" xfId="0" applyBorder="1" applyAlignment="1">
      <alignment horizontal="left"/>
    </xf>
    <xf numFmtId="0" fontId="8" fillId="0" borderId="271" xfId="0" applyFont="1" applyBorder="1" applyAlignment="1">
      <alignment horizontal="left"/>
    </xf>
    <xf numFmtId="0" fontId="8" fillId="0" borderId="268" xfId="0" applyFont="1" applyBorder="1" applyAlignment="1">
      <alignment horizontal="left"/>
    </xf>
    <xf numFmtId="0" fontId="7" fillId="0" borderId="270" xfId="0" applyFont="1" applyBorder="1" applyAlignment="1">
      <alignment horizontal="left"/>
    </xf>
    <xf numFmtId="0" fontId="8" fillId="0" borderId="270" xfId="0" applyFont="1" applyBorder="1" applyAlignment="1">
      <alignment horizontal="left"/>
    </xf>
    <xf numFmtId="0" fontId="8" fillId="0" borderId="268" xfId="0" applyFont="1" applyBorder="1">
      <alignment horizontal="center" vertical="center"/>
    </xf>
    <xf numFmtId="0" fontId="8" fillId="51" borderId="268" xfId="0" applyFont="1" applyFill="1" applyBorder="1">
      <alignment horizontal="center" vertical="center"/>
    </xf>
    <xf numFmtId="0" fontId="8" fillId="51" borderId="271" xfId="0" applyFont="1" applyFill="1" applyBorder="1">
      <alignment horizontal="center" vertical="center"/>
    </xf>
    <xf numFmtId="0" fontId="0" fillId="0" borderId="237" xfId="0" applyBorder="1">
      <alignment horizontal="center" vertical="center"/>
    </xf>
    <xf numFmtId="0" fontId="0" fillId="55" borderId="247" xfId="0" applyFill="1" applyBorder="1">
      <alignment horizontal="center" vertical="center"/>
    </xf>
    <xf numFmtId="173" fontId="0" fillId="0" borderId="237" xfId="0" applyNumberFormat="1" applyBorder="1">
      <alignment horizontal="center" vertical="center"/>
    </xf>
    <xf numFmtId="0" fontId="0" fillId="51" borderId="272" xfId="0" applyFill="1" applyBorder="1" applyAlignment="1" applyProtection="1">
      <alignment horizontal="left" vertical="center"/>
      <protection locked="0"/>
    </xf>
    <xf numFmtId="0" fontId="8" fillId="57" borderId="247" xfId="33" applyBorder="1">
      <alignment horizontal="center" vertical="center"/>
    </xf>
    <xf numFmtId="0" fontId="0" fillId="51" borderId="207" xfId="0" applyFill="1" applyBorder="1">
      <alignment horizontal="center" vertical="center"/>
    </xf>
    <xf numFmtId="49" fontId="0" fillId="51" borderId="261" xfId="0" applyNumberFormat="1" applyFill="1" applyBorder="1">
      <alignment horizontal="center" vertical="center"/>
    </xf>
    <xf numFmtId="49" fontId="0" fillId="51" borderId="207" xfId="0" applyNumberFormat="1" applyFill="1" applyBorder="1">
      <alignment horizontal="center" vertical="center"/>
    </xf>
    <xf numFmtId="0" fontId="0" fillId="51" borderId="207" xfId="48" applyFont="1" applyFill="1" applyBorder="1">
      <alignment horizontal="center" vertical="center"/>
    </xf>
    <xf numFmtId="0" fontId="0" fillId="51" borderId="261" xfId="0" applyFill="1" applyBorder="1" applyAlignment="1">
      <alignment horizontal="left" vertical="center"/>
    </xf>
    <xf numFmtId="0" fontId="0" fillId="51" borderId="247" xfId="56" applyFont="1" applyFill="1" applyBorder="1">
      <alignment horizontal="center" vertical="center"/>
    </xf>
    <xf numFmtId="0" fontId="8" fillId="57" borderId="237" xfId="33" applyBorder="1">
      <alignment horizontal="center" vertical="center"/>
    </xf>
    <xf numFmtId="0" fontId="0" fillId="51" borderId="243" xfId="48" applyFont="1" applyFill="1" applyBorder="1">
      <alignment horizontal="center" vertical="center"/>
    </xf>
    <xf numFmtId="0" fontId="0" fillId="51" borderId="241" xfId="48" applyFont="1" applyFill="1" applyBorder="1">
      <alignment horizontal="center" vertical="center"/>
    </xf>
    <xf numFmtId="0" fontId="0" fillId="51" borderId="237" xfId="0" applyFill="1" applyBorder="1" applyAlignment="1">
      <alignment horizontal="left" vertical="center"/>
    </xf>
    <xf numFmtId="0" fontId="8" fillId="53" borderId="247" xfId="43" applyBorder="1">
      <alignment horizontal="center" vertical="center"/>
    </xf>
    <xf numFmtId="0" fontId="8" fillId="53" borderId="241" xfId="43" applyBorder="1">
      <alignment horizontal="center" vertical="center"/>
    </xf>
    <xf numFmtId="0" fontId="19" fillId="0" borderId="237" xfId="0" applyFont="1" applyBorder="1" applyAlignment="1" applyProtection="1">
      <alignment horizontal="center"/>
      <protection locked="0"/>
    </xf>
    <xf numFmtId="0" fontId="8" fillId="55" borderId="207" xfId="45" applyBorder="1">
      <alignment horizontal="center" vertical="center"/>
    </xf>
    <xf numFmtId="0" fontId="8" fillId="0" borderId="242" xfId="53" applyBorder="1">
      <alignment horizontal="center" vertical="center"/>
    </xf>
    <xf numFmtId="0" fontId="0" fillId="0" borderId="237" xfId="43" applyFont="1" applyFill="1" applyBorder="1">
      <alignment horizontal="center" vertical="center"/>
    </xf>
    <xf numFmtId="0" fontId="8" fillId="75" borderId="243" xfId="56" applyBorder="1">
      <alignment horizontal="center" vertical="center"/>
    </xf>
    <xf numFmtId="0" fontId="8" fillId="73" borderId="241" xfId="44" applyBorder="1">
      <alignment horizontal="center" vertical="center"/>
    </xf>
    <xf numFmtId="49" fontId="0" fillId="51" borderId="241" xfId="0" applyNumberFormat="1" applyFill="1" applyBorder="1">
      <alignment horizontal="center" vertical="center"/>
    </xf>
    <xf numFmtId="0" fontId="0" fillId="51" borderId="247" xfId="53" applyFont="1" applyFill="1" applyBorder="1">
      <alignment horizontal="center" vertical="center"/>
    </xf>
    <xf numFmtId="0" fontId="0" fillId="51" borderId="247" xfId="47" applyFont="1" applyFill="1" applyBorder="1">
      <alignment horizontal="center" vertical="center"/>
    </xf>
    <xf numFmtId="0" fontId="8" fillId="52" borderId="247" xfId="48" applyBorder="1">
      <alignment horizontal="center" vertical="center"/>
    </xf>
    <xf numFmtId="0" fontId="8" fillId="52" borderId="241" xfId="48" applyBorder="1">
      <alignment horizontal="center" vertical="center"/>
    </xf>
    <xf numFmtId="0" fontId="8" fillId="52" borderId="237" xfId="48" applyBorder="1">
      <alignment horizontal="center" vertical="center"/>
    </xf>
    <xf numFmtId="0" fontId="8" fillId="0" borderId="241" xfId="53" applyBorder="1">
      <alignment horizontal="center" vertical="center"/>
    </xf>
    <xf numFmtId="0" fontId="19" fillId="0" borderId="261" xfId="0" applyFont="1" applyBorder="1" applyAlignment="1" applyProtection="1">
      <alignment horizontal="center"/>
      <protection locked="0"/>
    </xf>
    <xf numFmtId="0" fontId="0" fillId="51" borderId="241" xfId="53" applyFont="1" applyFill="1" applyBorder="1">
      <alignment horizontal="center" vertical="center"/>
    </xf>
    <xf numFmtId="49" fontId="0" fillId="51" borderId="237" xfId="0" applyNumberFormat="1" applyFill="1" applyBorder="1">
      <alignment horizontal="center" vertical="center"/>
    </xf>
    <xf numFmtId="49" fontId="0" fillId="51" borderId="243" xfId="0" applyNumberFormat="1" applyFill="1" applyBorder="1">
      <alignment horizontal="center" vertical="center"/>
    </xf>
    <xf numFmtId="0" fontId="0" fillId="51" borderId="241" xfId="44" applyFont="1" applyFill="1" applyBorder="1">
      <alignment horizontal="center" vertical="center"/>
    </xf>
    <xf numFmtId="49" fontId="0" fillId="51" borderId="273" xfId="0" applyNumberFormat="1" applyFill="1" applyBorder="1">
      <alignment horizontal="center" vertical="center"/>
    </xf>
    <xf numFmtId="0" fontId="8" fillId="74" borderId="237" xfId="47" applyBorder="1">
      <alignment horizontal="center" vertical="center"/>
    </xf>
    <xf numFmtId="0" fontId="8" fillId="0" borderId="273" xfId="53" applyBorder="1">
      <alignment horizontal="center" vertical="center"/>
    </xf>
    <xf numFmtId="0" fontId="0" fillId="51" borderId="208" xfId="0" applyFill="1" applyBorder="1">
      <alignment horizontal="center" vertical="center"/>
    </xf>
    <xf numFmtId="0" fontId="0" fillId="51" borderId="237" xfId="0" applyFill="1" applyBorder="1">
      <alignment horizontal="center" vertical="center"/>
    </xf>
    <xf numFmtId="0" fontId="0" fillId="51" borderId="243" xfId="0" applyFill="1" applyBorder="1">
      <alignment horizontal="center" vertical="center"/>
    </xf>
    <xf numFmtId="0" fontId="0" fillId="51" borderId="274" xfId="48" applyFont="1" applyFill="1" applyBorder="1">
      <alignment horizontal="center" vertical="center"/>
    </xf>
    <xf numFmtId="0" fontId="0" fillId="51" borderId="208" xfId="48" applyFont="1" applyFill="1" applyBorder="1">
      <alignment horizontal="center" vertical="center"/>
    </xf>
    <xf numFmtId="0" fontId="0" fillId="0" borderId="275" xfId="0" applyBorder="1">
      <alignment horizontal="center" vertical="center"/>
    </xf>
    <xf numFmtId="0" fontId="8" fillId="74" borderId="226" xfId="47" applyBorder="1">
      <alignment horizontal="center" vertical="center"/>
    </xf>
    <xf numFmtId="0" fontId="8" fillId="0" borderId="226" xfId="53" applyBorder="1">
      <alignment horizontal="center" vertical="center"/>
    </xf>
    <xf numFmtId="0" fontId="8" fillId="0" borderId="237" xfId="53" applyBorder="1">
      <alignment horizontal="center" vertical="center"/>
    </xf>
    <xf numFmtId="0" fontId="0" fillId="51" borderId="237" xfId="47" applyFont="1" applyFill="1" applyBorder="1">
      <alignment horizontal="center" vertical="center"/>
    </xf>
    <xf numFmtId="0" fontId="8" fillId="82" borderId="247" xfId="47" applyFill="1" applyBorder="1">
      <alignment horizontal="center" vertical="center"/>
    </xf>
    <xf numFmtId="0" fontId="8" fillId="55" borderId="237" xfId="45" applyBorder="1">
      <alignment horizontal="center" vertical="center"/>
    </xf>
    <xf numFmtId="0" fontId="0" fillId="51" borderId="237" xfId="53" applyFont="1" applyFill="1" applyBorder="1">
      <alignment horizontal="center" vertical="center"/>
    </xf>
    <xf numFmtId="49" fontId="0" fillId="51" borderId="248" xfId="0" applyNumberFormat="1" applyFill="1" applyBorder="1">
      <alignment horizontal="center" vertical="center"/>
    </xf>
    <xf numFmtId="0" fontId="8" fillId="74" borderId="254" xfId="47" applyBorder="1">
      <alignment horizontal="center" vertical="center"/>
    </xf>
    <xf numFmtId="0" fontId="8" fillId="74" borderId="261" xfId="47" applyBorder="1">
      <alignment horizontal="center" vertical="center"/>
    </xf>
    <xf numFmtId="0" fontId="8" fillId="53" borderId="237" xfId="43" applyBorder="1">
      <alignment horizontal="center" vertical="center"/>
    </xf>
    <xf numFmtId="0" fontId="0" fillId="51" borderId="261" xfId="47" applyFont="1" applyFill="1" applyBorder="1">
      <alignment horizontal="center" vertical="center"/>
    </xf>
    <xf numFmtId="0" fontId="0" fillId="51" borderId="261" xfId="53" applyFont="1" applyFill="1" applyBorder="1">
      <alignment horizontal="center" vertical="center"/>
    </xf>
    <xf numFmtId="49" fontId="0" fillId="51" borderId="252" xfId="0" applyNumberFormat="1" applyFill="1" applyBorder="1">
      <alignment horizontal="center" vertical="center"/>
    </xf>
    <xf numFmtId="0" fontId="0" fillId="51" borderId="237" xfId="44" applyFont="1" applyFill="1" applyBorder="1">
      <alignment horizontal="center" vertical="center"/>
    </xf>
    <xf numFmtId="0" fontId="8" fillId="0" borderId="254" xfId="53" applyBorder="1">
      <alignment horizontal="center" vertical="center"/>
    </xf>
    <xf numFmtId="0" fontId="8" fillId="74" borderId="232" xfId="47" applyBorder="1">
      <alignment horizontal="center" vertical="center"/>
    </xf>
    <xf numFmtId="0" fontId="8" fillId="0" borderId="237" xfId="43" applyFill="1" applyBorder="1">
      <alignment horizontal="center" vertical="center"/>
    </xf>
    <xf numFmtId="0" fontId="8" fillId="0" borderId="247" xfId="43" applyFill="1" applyBorder="1">
      <alignment horizontal="center" vertical="center"/>
    </xf>
    <xf numFmtId="0" fontId="8" fillId="0" borderId="241" xfId="43" applyFill="1" applyBorder="1">
      <alignment horizontal="center" vertical="center"/>
    </xf>
    <xf numFmtId="0" fontId="0" fillId="51" borderId="254" xfId="48" applyFont="1" applyFill="1" applyBorder="1">
      <alignment horizontal="center" vertical="center"/>
    </xf>
    <xf numFmtId="0" fontId="0" fillId="68" borderId="239" xfId="0" applyFill="1" applyBorder="1">
      <alignment horizontal="center" vertical="center"/>
    </xf>
    <xf numFmtId="0" fontId="0" fillId="51" borderId="276" xfId="0" applyFill="1" applyBorder="1">
      <alignment horizontal="center" vertical="center"/>
    </xf>
    <xf numFmtId="0" fontId="65" fillId="0" borderId="261" xfId="0" applyFont="1" applyBorder="1" applyAlignment="1" applyProtection="1">
      <alignment horizontal="left"/>
      <protection locked="0"/>
    </xf>
    <xf numFmtId="0" fontId="0" fillId="51" borderId="207" xfId="47" applyFont="1" applyFill="1" applyBorder="1">
      <alignment horizontal="center" vertical="center"/>
    </xf>
    <xf numFmtId="0" fontId="0" fillId="51" borderId="207" xfId="53" applyFont="1" applyFill="1" applyBorder="1">
      <alignment horizontal="center" vertical="center"/>
    </xf>
    <xf numFmtId="0" fontId="0" fillId="55" borderId="207" xfId="0" applyFill="1" applyBorder="1">
      <alignment horizontal="center" vertical="center"/>
    </xf>
    <xf numFmtId="0" fontId="8" fillId="0" borderId="207" xfId="53" applyBorder="1">
      <alignment horizontal="center" vertical="center"/>
    </xf>
    <xf numFmtId="0" fontId="0" fillId="51" borderId="207" xfId="44" applyFont="1" applyFill="1" applyBorder="1">
      <alignment horizontal="center" vertical="center"/>
    </xf>
    <xf numFmtId="0" fontId="0" fillId="51" borderId="208" xfId="44" applyFont="1" applyFill="1" applyBorder="1">
      <alignment horizontal="center" vertical="center"/>
    </xf>
    <xf numFmtId="0" fontId="0" fillId="51" borderId="237" xfId="48" applyFont="1" applyFill="1" applyBorder="1">
      <alignment horizontal="center" vertical="center"/>
    </xf>
    <xf numFmtId="0" fontId="0" fillId="51" borderId="248" xfId="0" applyFill="1" applyBorder="1">
      <alignment horizontal="center" vertical="center"/>
    </xf>
    <xf numFmtId="0" fontId="19" fillId="0" borderId="252" xfId="0" applyFont="1" applyBorder="1" applyAlignment="1" applyProtection="1">
      <alignment horizontal="center"/>
      <protection locked="0"/>
    </xf>
    <xf numFmtId="0" fontId="0" fillId="0" borderId="261" xfId="0" applyBorder="1" applyAlignment="1">
      <alignment horizontal="left" vertical="center"/>
    </xf>
    <xf numFmtId="0" fontId="0" fillId="51" borderId="277" xfId="0" applyFill="1" applyBorder="1">
      <alignment horizontal="center" vertical="center"/>
    </xf>
    <xf numFmtId="1" fontId="0" fillId="51" borderId="217" xfId="32" applyNumberFormat="1" applyFont="1" applyFill="1" applyBorder="1" applyAlignment="1">
      <alignment horizontal="center" vertical="center"/>
    </xf>
    <xf numFmtId="0" fontId="0" fillId="51" borderId="278" xfId="43" applyFont="1" applyFill="1" applyBorder="1">
      <alignment horizontal="center" vertical="center"/>
    </xf>
    <xf numFmtId="0" fontId="5" fillId="0" borderId="279" xfId="0" applyFont="1" applyBorder="1" applyAlignment="1" applyProtection="1">
      <alignment horizontal="center"/>
      <protection locked="0"/>
    </xf>
    <xf numFmtId="0" fontId="0" fillId="0" borderId="280" xfId="0" applyBorder="1">
      <alignment horizontal="center" vertical="center"/>
    </xf>
    <xf numFmtId="173" fontId="0" fillId="0" borderId="280" xfId="0" applyNumberFormat="1" applyBorder="1">
      <alignment horizontal="center" vertical="center"/>
    </xf>
    <xf numFmtId="0" fontId="5" fillId="0" borderId="259" xfId="0" applyFont="1" applyBorder="1" applyAlignment="1" applyProtection="1">
      <alignment horizontal="center"/>
      <protection locked="0"/>
    </xf>
    <xf numFmtId="0" fontId="0" fillId="0" borderId="281" xfId="0" applyBorder="1" applyAlignment="1">
      <alignment horizontal="left" vertical="center"/>
    </xf>
    <xf numFmtId="0" fontId="0" fillId="51" borderId="282" xfId="44" applyFont="1" applyFill="1" applyBorder="1">
      <alignment horizontal="center" vertical="center"/>
    </xf>
    <xf numFmtId="49" fontId="0" fillId="51" borderId="282" xfId="0" applyNumberFormat="1" applyFill="1" applyBorder="1">
      <alignment horizontal="center" vertical="center"/>
    </xf>
    <xf numFmtId="49" fontId="0" fillId="51" borderId="283" xfId="0" applyNumberFormat="1" applyFill="1" applyBorder="1">
      <alignment horizontal="center" vertical="center"/>
    </xf>
    <xf numFmtId="49" fontId="0" fillId="51" borderId="206" xfId="0" applyNumberFormat="1" applyFill="1" applyBorder="1">
      <alignment horizontal="center" vertical="center"/>
    </xf>
    <xf numFmtId="0" fontId="5" fillId="0" borderId="284" xfId="0" applyFont="1" applyBorder="1" applyAlignment="1" applyProtection="1">
      <alignment horizontal="center"/>
      <protection locked="0"/>
    </xf>
    <xf numFmtId="1" fontId="0" fillId="51" borderId="232" xfId="32" applyNumberFormat="1" applyFont="1" applyFill="1" applyBorder="1" applyAlignment="1">
      <alignment horizontal="center" vertical="center"/>
    </xf>
    <xf numFmtId="0" fontId="0" fillId="51" borderId="228" xfId="0" applyFill="1" applyBorder="1">
      <alignment horizontal="center" vertical="center"/>
    </xf>
    <xf numFmtId="0" fontId="0" fillId="51" borderId="285" xfId="47" applyFont="1" applyFill="1" applyBorder="1">
      <alignment horizontal="center" vertical="center"/>
    </xf>
    <xf numFmtId="0" fontId="0" fillId="51" borderId="286" xfId="47" applyFont="1" applyFill="1" applyBorder="1">
      <alignment horizontal="center" vertical="center"/>
    </xf>
    <xf numFmtId="0" fontId="0" fillId="51" borderId="287" xfId="47" applyFont="1" applyFill="1" applyBorder="1">
      <alignment horizontal="center" vertical="center"/>
    </xf>
    <xf numFmtId="0" fontId="0" fillId="43" borderId="285" xfId="0" applyFill="1" applyBorder="1" applyAlignment="1" applyProtection="1">
      <alignment horizontal="center"/>
      <protection locked="0"/>
    </xf>
    <xf numFmtId="20" fontId="0" fillId="0" borderId="285" xfId="0" applyNumberFormat="1" applyBorder="1" applyAlignment="1">
      <alignment horizontal="left"/>
    </xf>
    <xf numFmtId="0" fontId="0" fillId="0" borderId="288" xfId="0" applyBorder="1" applyAlignment="1">
      <alignment horizontal="left"/>
    </xf>
    <xf numFmtId="0" fontId="0" fillId="0" borderId="285" xfId="0" applyBorder="1" applyAlignment="1">
      <alignment horizontal="left"/>
    </xf>
    <xf numFmtId="0" fontId="0" fillId="0" borderId="289" xfId="0" applyBorder="1" applyAlignment="1">
      <alignment horizontal="left"/>
    </xf>
    <xf numFmtId="0" fontId="0" fillId="0" borderId="290" xfId="0" applyBorder="1" applyAlignment="1">
      <alignment horizontal="left"/>
    </xf>
    <xf numFmtId="0" fontId="0" fillId="0" borderId="291" xfId="0" applyBorder="1" applyAlignment="1">
      <alignment horizontal="left"/>
    </xf>
    <xf numFmtId="0" fontId="0" fillId="0" borderId="285" xfId="0" applyBorder="1" applyAlignment="1">
      <alignment horizontal="left" vertical="center"/>
    </xf>
    <xf numFmtId="0" fontId="0" fillId="0" borderId="292" xfId="0" applyBorder="1">
      <alignment horizontal="center" vertical="center"/>
    </xf>
    <xf numFmtId="0" fontId="0" fillId="0" borderId="293" xfId="0" applyBorder="1">
      <alignment horizontal="center" vertical="center"/>
    </xf>
    <xf numFmtId="0" fontId="0" fillId="51" borderId="294" xfId="0" applyFill="1" applyBorder="1" applyAlignment="1" applyProtection="1">
      <alignment horizontal="left" vertical="center"/>
      <protection locked="0"/>
    </xf>
    <xf numFmtId="0" fontId="0" fillId="73" borderId="284" xfId="47" applyFont="1" applyFill="1" applyBorder="1">
      <alignment horizontal="center" vertical="center"/>
    </xf>
    <xf numFmtId="0" fontId="62" fillId="59" borderId="284" xfId="51" applyBorder="1">
      <alignment horizontal="center" vertical="center"/>
    </xf>
    <xf numFmtId="0" fontId="66" fillId="51" borderId="284" xfId="47" applyFont="1" applyFill="1" applyBorder="1">
      <alignment horizontal="center" vertical="center"/>
    </xf>
    <xf numFmtId="0" fontId="66" fillId="51" borderId="295" xfId="47" applyFont="1" applyFill="1" applyBorder="1">
      <alignment horizontal="center" vertical="center"/>
    </xf>
    <xf numFmtId="0" fontId="0" fillId="0" borderId="235" xfId="0" applyBorder="1" applyAlignment="1"/>
    <xf numFmtId="0" fontId="62" fillId="59" borderId="235" xfId="51" applyBorder="1">
      <alignment horizontal="center" vertical="center"/>
    </xf>
    <xf numFmtId="0" fontId="0" fillId="71" borderId="296" xfId="0" applyFill="1" applyBorder="1" applyAlignment="1"/>
    <xf numFmtId="0" fontId="8" fillId="75" borderId="296" xfId="56" applyBorder="1">
      <alignment horizontal="center" vertical="center"/>
    </xf>
    <xf numFmtId="0" fontId="0" fillId="51" borderId="297" xfId="0" applyFill="1" applyBorder="1" applyAlignment="1" applyProtection="1">
      <alignment horizontal="left" vertical="center"/>
      <protection locked="0"/>
    </xf>
    <xf numFmtId="0" fontId="8" fillId="73" borderId="296" xfId="44" applyBorder="1">
      <alignment horizontal="center" vertical="center"/>
    </xf>
    <xf numFmtId="0" fontId="0" fillId="71" borderId="297" xfId="0" applyFill="1" applyBorder="1" applyAlignment="1"/>
    <xf numFmtId="0" fontId="0" fillId="51" borderId="298" xfId="0" applyFill="1" applyBorder="1">
      <alignment horizontal="center" vertical="center"/>
    </xf>
    <xf numFmtId="0" fontId="0" fillId="51" borderId="299" xfId="0" applyFill="1" applyBorder="1">
      <alignment horizontal="center" vertical="center"/>
    </xf>
    <xf numFmtId="0" fontId="8" fillId="52" borderId="299" xfId="48" applyBorder="1">
      <alignment horizontal="center" vertical="center"/>
    </xf>
    <xf numFmtId="0" fontId="8" fillId="52" borderId="300" xfId="48" applyBorder="1">
      <alignment horizontal="center" vertical="center"/>
    </xf>
    <xf numFmtId="0" fontId="0" fillId="51" borderId="236" xfId="0" applyFill="1" applyBorder="1">
      <alignment horizontal="center" vertical="center"/>
    </xf>
    <xf numFmtId="0" fontId="8" fillId="73" borderId="217" xfId="44" applyBorder="1">
      <alignment horizontal="center" vertical="center"/>
    </xf>
    <xf numFmtId="0" fontId="8" fillId="0" borderId="217" xfId="0" applyFont="1" applyBorder="1">
      <alignment horizontal="center" vertical="center"/>
    </xf>
    <xf numFmtId="0" fontId="8" fillId="75" borderId="217" xfId="56" applyBorder="1">
      <alignment horizontal="center" vertical="center"/>
    </xf>
    <xf numFmtId="0" fontId="8" fillId="0" borderId="217" xfId="53" applyBorder="1">
      <alignment horizontal="center" vertical="center"/>
    </xf>
    <xf numFmtId="0" fontId="0" fillId="71" borderId="235" xfId="0" applyFill="1" applyBorder="1" applyAlignment="1"/>
    <xf numFmtId="0" fontId="0" fillId="51" borderId="235" xfId="0" applyFill="1" applyBorder="1">
      <alignment horizontal="center" vertical="center"/>
    </xf>
    <xf numFmtId="0" fontId="8" fillId="55" borderId="235" xfId="45" applyBorder="1">
      <alignment horizontal="center" vertical="center"/>
    </xf>
    <xf numFmtId="49" fontId="0" fillId="51" borderId="235" xfId="0" applyNumberFormat="1" applyFill="1" applyBorder="1">
      <alignment horizontal="center" vertical="center"/>
    </xf>
    <xf numFmtId="0" fontId="8" fillId="75" borderId="235" xfId="56" applyBorder="1">
      <alignment horizontal="center" vertical="center"/>
    </xf>
    <xf numFmtId="0" fontId="0" fillId="51" borderId="296" xfId="43" applyFont="1" applyFill="1" applyBorder="1">
      <alignment horizontal="center" vertical="center"/>
    </xf>
    <xf numFmtId="0" fontId="8" fillId="0" borderId="230" xfId="0" applyFont="1" applyBorder="1" applyAlignment="1">
      <alignment horizontal="left" vertical="center"/>
    </xf>
    <xf numFmtId="0" fontId="5" fillId="0" borderId="301" xfId="0" applyFont="1" applyBorder="1" applyAlignment="1">
      <alignment horizontal="center"/>
    </xf>
    <xf numFmtId="0" fontId="8" fillId="0" borderId="285" xfId="0" applyFont="1" applyBorder="1" applyAlignment="1">
      <alignment horizontal="left" vertical="center"/>
    </xf>
    <xf numFmtId="0" fontId="8" fillId="0" borderId="288" xfId="0" applyFont="1" applyBorder="1">
      <alignment horizontal="center" vertical="center"/>
    </xf>
    <xf numFmtId="0" fontId="8" fillId="0" borderId="302" xfId="0" applyFont="1" applyBorder="1">
      <alignment horizontal="center" vertical="center"/>
    </xf>
    <xf numFmtId="0" fontId="8" fillId="0" borderId="288" xfId="0" applyFont="1" applyBorder="1" applyAlignment="1">
      <alignment horizontal="left" vertical="center"/>
    </xf>
    <xf numFmtId="0" fontId="5" fillId="0" borderId="303" xfId="0" applyFont="1" applyBorder="1" applyAlignment="1" applyProtection="1">
      <alignment horizontal="center"/>
      <protection locked="0"/>
    </xf>
    <xf numFmtId="0" fontId="8" fillId="0" borderId="232" xfId="0" applyFont="1" applyBorder="1" applyAlignment="1">
      <alignment horizontal="left" vertical="center"/>
    </xf>
    <xf numFmtId="0" fontId="8" fillId="52" borderId="228" xfId="48" applyBorder="1">
      <alignment horizontal="center" vertical="center"/>
    </xf>
    <xf numFmtId="0" fontId="10" fillId="51" borderId="296" xfId="0" applyFont="1" applyFill="1" applyBorder="1">
      <alignment horizontal="center" vertical="center"/>
    </xf>
    <xf numFmtId="0" fontId="0" fillId="0" borderId="304" xfId="0" applyBorder="1" applyAlignment="1">
      <alignment horizontal="center"/>
    </xf>
    <xf numFmtId="0" fontId="5" fillId="0" borderId="285" xfId="0" applyFont="1" applyBorder="1" applyAlignment="1">
      <alignment horizontal="left"/>
    </xf>
    <xf numFmtId="0" fontId="0" fillId="0" borderId="288" xfId="0" applyBorder="1" applyAlignment="1"/>
    <xf numFmtId="0" fontId="0" fillId="0" borderId="302" xfId="0" applyBorder="1" applyAlignment="1">
      <alignment horizontal="left"/>
    </xf>
    <xf numFmtId="0" fontId="5" fillId="0" borderId="288" xfId="0" applyFont="1" applyBorder="1" applyAlignment="1"/>
    <xf numFmtId="0" fontId="5" fillId="0" borderId="302" xfId="0" applyFont="1" applyBorder="1" applyAlignment="1">
      <alignment horizontal="left"/>
    </xf>
    <xf numFmtId="0" fontId="0" fillId="0" borderId="285" xfId="0" applyBorder="1" applyAlignment="1">
      <alignment horizontal="center"/>
    </xf>
    <xf numFmtId="0" fontId="0" fillId="0" borderId="305" xfId="0" applyBorder="1" applyAlignment="1"/>
    <xf numFmtId="0" fontId="5" fillId="0" borderId="290" xfId="0" applyFont="1" applyBorder="1" applyAlignment="1">
      <alignment horizontal="left"/>
    </xf>
    <xf numFmtId="0" fontId="0" fillId="0" borderId="291" xfId="0" applyBorder="1" applyAlignment="1"/>
    <xf numFmtId="0" fontId="10" fillId="0" borderId="290" xfId="0" applyFont="1" applyBorder="1" applyAlignment="1">
      <alignment horizontal="center"/>
    </xf>
    <xf numFmtId="0" fontId="0" fillId="0" borderId="306" xfId="0" applyBorder="1" applyAlignment="1"/>
    <xf numFmtId="0" fontId="0" fillId="0" borderId="307" xfId="0" applyBorder="1" applyAlignment="1">
      <alignment horizontal="center"/>
    </xf>
    <xf numFmtId="0" fontId="5" fillId="0" borderId="287" xfId="0" applyFont="1" applyBorder="1" applyAlignment="1">
      <alignment horizontal="left"/>
    </xf>
    <xf numFmtId="0" fontId="8" fillId="0" borderId="308" xfId="0" applyFont="1" applyBorder="1" applyAlignment="1">
      <alignment horizontal="left" vertical="center"/>
    </xf>
    <xf numFmtId="0" fontId="8" fillId="0" borderId="308" xfId="0" applyFont="1" applyBorder="1">
      <alignment horizontal="center" vertical="center"/>
    </xf>
    <xf numFmtId="0" fontId="8" fillId="0" borderId="309" xfId="0" applyFont="1" applyBorder="1">
      <alignment horizontal="center" vertical="center"/>
    </xf>
    <xf numFmtId="0" fontId="8" fillId="0" borderId="287" xfId="0" applyFont="1" applyBorder="1" applyAlignment="1">
      <alignment horizontal="left" vertical="center"/>
    </xf>
    <xf numFmtId="0" fontId="8" fillId="0" borderId="308" xfId="0" applyFont="1" applyBorder="1" applyAlignment="1">
      <alignment horizontal="left"/>
    </xf>
    <xf numFmtId="0" fontId="8" fillId="0" borderId="309" xfId="0" applyFont="1" applyBorder="1" applyAlignment="1">
      <alignment horizontal="left" vertical="center"/>
    </xf>
    <xf numFmtId="0" fontId="0" fillId="0" borderId="310" xfId="0" applyBorder="1" applyAlignment="1"/>
    <xf numFmtId="0" fontId="5" fillId="43" borderId="232" xfId="0" applyFont="1" applyFill="1" applyBorder="1" applyAlignment="1">
      <alignment horizontal="center"/>
    </xf>
    <xf numFmtId="0" fontId="8" fillId="0" borderId="232" xfId="53" applyBorder="1">
      <alignment horizontal="center" vertical="center"/>
    </xf>
    <xf numFmtId="0" fontId="8" fillId="57" borderId="232" xfId="33" applyBorder="1">
      <alignment horizontal="center" vertical="center"/>
    </xf>
    <xf numFmtId="0" fontId="8" fillId="73" borderId="232" xfId="44" applyBorder="1">
      <alignment horizontal="center" vertical="center"/>
    </xf>
    <xf numFmtId="0" fontId="10" fillId="0" borderId="234" xfId="0" applyFont="1" applyBorder="1">
      <alignment horizontal="center" vertical="center"/>
    </xf>
    <xf numFmtId="0" fontId="5" fillId="43" borderId="284" xfId="0" applyFont="1" applyFill="1" applyBorder="1" applyAlignment="1">
      <alignment horizontal="center"/>
    </xf>
    <xf numFmtId="0" fontId="0" fillId="51" borderId="284" xfId="0" applyFill="1" applyBorder="1" applyAlignment="1">
      <alignment horizontal="left" vertical="center"/>
    </xf>
    <xf numFmtId="49" fontId="0" fillId="51" borderId="295" xfId="0" applyNumberFormat="1" applyFill="1" applyBorder="1">
      <alignment horizontal="center" vertical="center"/>
    </xf>
    <xf numFmtId="0" fontId="0" fillId="51" borderId="284" xfId="51" applyFont="1" applyFill="1" applyBorder="1">
      <alignment horizontal="center" vertical="center"/>
    </xf>
    <xf numFmtId="0" fontId="10" fillId="0" borderId="295" xfId="0" applyFont="1" applyBorder="1">
      <alignment horizontal="center" vertical="center"/>
    </xf>
    <xf numFmtId="0" fontId="0" fillId="51" borderId="295" xfId="0" applyFill="1" applyBorder="1">
      <alignment horizontal="center" vertical="center"/>
    </xf>
    <xf numFmtId="0" fontId="5" fillId="43" borderId="286" xfId="0" applyFont="1" applyFill="1" applyBorder="1" applyAlignment="1">
      <alignment horizontal="center"/>
    </xf>
    <xf numFmtId="0" fontId="0" fillId="0" borderId="287" xfId="0" applyBorder="1" applyAlignment="1">
      <alignment horizontal="left"/>
    </xf>
    <xf numFmtId="0" fontId="0" fillId="0" borderId="308" xfId="0" applyBorder="1" applyAlignment="1"/>
    <xf numFmtId="0" fontId="0" fillId="0" borderId="309" xfId="0" applyBorder="1" applyAlignment="1">
      <alignment horizontal="left"/>
    </xf>
    <xf numFmtId="0" fontId="0" fillId="0" borderId="308" xfId="0" applyBorder="1" applyAlignment="1">
      <alignment horizontal="left"/>
    </xf>
    <xf numFmtId="0" fontId="0" fillId="0" borderId="287" xfId="0" applyBorder="1" applyAlignment="1">
      <alignment horizontal="center"/>
    </xf>
    <xf numFmtId="0" fontId="5" fillId="43" borderId="235" xfId="0" applyFont="1" applyFill="1" applyBorder="1" applyAlignment="1">
      <alignment horizontal="center"/>
    </xf>
    <xf numFmtId="0" fontId="60" fillId="0" borderId="290" xfId="0" applyFont="1" applyBorder="1" applyAlignment="1">
      <alignment horizontal="left" vertical="center"/>
    </xf>
    <xf numFmtId="0" fontId="8" fillId="75" borderId="226" xfId="56" applyBorder="1">
      <alignment horizontal="center" vertical="center"/>
    </xf>
    <xf numFmtId="0" fontId="5" fillId="43" borderId="296" xfId="0" applyFont="1" applyFill="1" applyBorder="1" applyAlignment="1">
      <alignment horizontal="center"/>
    </xf>
    <xf numFmtId="0" fontId="5" fillId="43" borderId="217" xfId="0" applyFont="1" applyFill="1" applyBorder="1" applyAlignment="1">
      <alignment horizontal="center"/>
    </xf>
    <xf numFmtId="0" fontId="4" fillId="0" borderId="285" xfId="0" applyFont="1" applyBorder="1" applyAlignment="1">
      <alignment horizontal="left"/>
    </xf>
    <xf numFmtId="0" fontId="5" fillId="0" borderId="288" xfId="0" applyFont="1" applyBorder="1">
      <alignment horizontal="center" vertical="center"/>
    </xf>
    <xf numFmtId="0" fontId="0" fillId="0" borderId="305" xfId="0" applyBorder="1">
      <alignment horizontal="center" vertical="center"/>
    </xf>
    <xf numFmtId="167" fontId="10" fillId="0" borderId="287" xfId="0" applyNumberFormat="1" applyFont="1" applyBorder="1" applyAlignment="1">
      <alignment horizontal="center"/>
    </xf>
    <xf numFmtId="0" fontId="0" fillId="0" borderId="310" xfId="0" applyBorder="1">
      <alignment horizontal="center" vertical="center"/>
    </xf>
    <xf numFmtId="0" fontId="8" fillId="51" borderId="284" xfId="0" applyFont="1" applyFill="1" applyBorder="1" applyAlignment="1">
      <alignment vertical="center"/>
    </xf>
    <xf numFmtId="0" fontId="0" fillId="51" borderId="284" xfId="0" applyFill="1" applyBorder="1" applyAlignment="1">
      <alignment vertical="center"/>
    </xf>
    <xf numFmtId="0" fontId="0" fillId="51" borderId="287" xfId="0" applyFill="1" applyBorder="1">
      <alignment horizontal="center" vertical="center"/>
    </xf>
    <xf numFmtId="49" fontId="8" fillId="0" borderId="225" xfId="0" applyNumberFormat="1" applyFont="1" applyBorder="1">
      <alignment horizontal="center" vertical="center"/>
    </xf>
    <xf numFmtId="0" fontId="4" fillId="0" borderId="297" xfId="0" applyFont="1" applyBorder="1">
      <alignment horizontal="center" vertical="center"/>
    </xf>
    <xf numFmtId="0" fontId="4" fillId="0" borderId="311" xfId="0" applyFont="1" applyBorder="1" applyAlignment="1">
      <alignment horizontal="left" vertical="center"/>
    </xf>
    <xf numFmtId="0" fontId="4" fillId="0" borderId="297" xfId="0" applyFont="1" applyBorder="1" applyAlignment="1">
      <alignment horizontal="left" vertical="center"/>
    </xf>
    <xf numFmtId="0" fontId="4" fillId="0" borderId="311" xfId="0" applyFont="1" applyBorder="1">
      <alignment horizontal="center" vertical="center"/>
    </xf>
    <xf numFmtId="49" fontId="4" fillId="0" borderId="297" xfId="0" applyNumberFormat="1" applyFont="1" applyBorder="1">
      <alignment horizontal="center" vertical="center"/>
    </xf>
    <xf numFmtId="0" fontId="4" fillId="0" borderId="312" xfId="0" applyFont="1" applyBorder="1" applyAlignment="1">
      <alignment horizontal="left" vertical="center"/>
    </xf>
    <xf numFmtId="0" fontId="4" fillId="0" borderId="312" xfId="0" applyFont="1" applyBorder="1">
      <alignment horizontal="center" vertical="center"/>
    </xf>
    <xf numFmtId="49" fontId="8" fillId="0" borderId="297" xfId="0" applyNumberFormat="1" applyFont="1" applyBorder="1">
      <alignment horizontal="center" vertical="center"/>
    </xf>
    <xf numFmtId="0" fontId="8" fillId="0" borderId="311" xfId="0" applyFont="1" applyBorder="1">
      <alignment horizontal="center" vertical="center"/>
    </xf>
    <xf numFmtId="0" fontId="10" fillId="0" borderId="313" xfId="0" applyFont="1" applyBorder="1">
      <alignment horizontal="center" vertical="center"/>
    </xf>
    <xf numFmtId="0" fontId="0" fillId="0" borderId="314" xfId="0" applyBorder="1">
      <alignment horizontal="center" vertical="center"/>
    </xf>
    <xf numFmtId="0" fontId="15" fillId="0" borderId="311" xfId="0" applyFont="1" applyBorder="1">
      <alignment horizontal="center" vertical="center"/>
    </xf>
    <xf numFmtId="49" fontId="15" fillId="0" borderId="297" xfId="0" applyNumberFormat="1" applyFont="1" applyBorder="1">
      <alignment horizontal="center" vertical="center"/>
    </xf>
    <xf numFmtId="0" fontId="15" fillId="0" borderId="312" xfId="0" applyFont="1" applyBorder="1">
      <alignment horizontal="center" vertical="center"/>
    </xf>
    <xf numFmtId="49" fontId="0" fillId="0" borderId="314" xfId="0" applyNumberFormat="1" applyBorder="1">
      <alignment horizontal="center" vertical="center"/>
    </xf>
    <xf numFmtId="0" fontId="10" fillId="0" borderId="315" xfId="0" applyFont="1" applyBorder="1">
      <alignment horizontal="center" vertical="center"/>
    </xf>
    <xf numFmtId="49" fontId="0" fillId="0" borderId="312" xfId="0" applyNumberFormat="1" applyBorder="1">
      <alignment horizontal="center" vertical="center"/>
    </xf>
    <xf numFmtId="49" fontId="0" fillId="0" borderId="297" xfId="0" applyNumberFormat="1" applyBorder="1">
      <alignment horizontal="center" vertical="center"/>
    </xf>
    <xf numFmtId="0" fontId="7" fillId="0" borderId="316" xfId="0" applyFont="1" applyBorder="1" applyAlignment="1">
      <alignment horizontal="center"/>
    </xf>
    <xf numFmtId="0" fontId="0" fillId="51" borderId="296" xfId="0" applyFill="1" applyBorder="1" applyAlignment="1">
      <alignment horizontal="left" vertical="center" wrapText="1"/>
    </xf>
    <xf numFmtId="0" fontId="10" fillId="51" borderId="226" xfId="0" applyFont="1" applyFill="1" applyBorder="1">
      <alignment horizontal="center" vertical="center"/>
    </xf>
    <xf numFmtId="0" fontId="0" fillId="0" borderId="296" xfId="0" applyBorder="1" applyAlignment="1">
      <alignment vertical="center"/>
    </xf>
    <xf numFmtId="0" fontId="0" fillId="0" borderId="297" xfId="0" applyBorder="1" applyAlignment="1">
      <alignment vertical="center"/>
    </xf>
    <xf numFmtId="0" fontId="52" fillId="56" borderId="296" xfId="46" applyBorder="1">
      <alignment horizontal="center" vertical="center"/>
    </xf>
    <xf numFmtId="49" fontId="0" fillId="53" borderId="296" xfId="0" applyNumberFormat="1" applyFill="1" applyBorder="1">
      <alignment horizontal="center" vertical="center"/>
    </xf>
    <xf numFmtId="0" fontId="0" fillId="53" borderId="296" xfId="0" applyFill="1" applyBorder="1">
      <alignment horizontal="center" vertical="center"/>
    </xf>
    <xf numFmtId="0" fontId="5" fillId="0" borderId="296" xfId="0" applyFont="1" applyBorder="1" applyAlignment="1">
      <alignment horizontal="center"/>
    </xf>
    <xf numFmtId="0" fontId="5" fillId="0" borderId="228" xfId="0" applyFont="1" applyBorder="1" applyAlignment="1">
      <alignment horizontal="left" vertical="center"/>
    </xf>
    <xf numFmtId="0" fontId="0" fillId="0" borderId="229" xfId="0" applyBorder="1" applyAlignment="1">
      <alignment horizontal="left" vertical="center"/>
    </xf>
    <xf numFmtId="0" fontId="5" fillId="0" borderId="230" xfId="0" applyFont="1" applyBorder="1" applyAlignment="1">
      <alignment horizontal="left" vertical="center"/>
    </xf>
    <xf numFmtId="0" fontId="5" fillId="0" borderId="316" xfId="0" applyFont="1" applyBorder="1" applyAlignment="1">
      <alignment horizontal="center"/>
    </xf>
    <xf numFmtId="0" fontId="5" fillId="0" borderId="288" xfId="0" applyFont="1" applyBorder="1" applyAlignment="1">
      <alignment horizontal="left"/>
    </xf>
    <xf numFmtId="0" fontId="0" fillId="0" borderId="302" xfId="0" applyBorder="1" applyAlignment="1">
      <alignment horizontal="left" vertical="center"/>
    </xf>
    <xf numFmtId="0" fontId="0" fillId="0" borderId="317" xfId="0" applyBorder="1" applyAlignment="1">
      <alignment horizontal="left" vertical="center"/>
    </xf>
    <xf numFmtId="49" fontId="0" fillId="0" borderId="285" xfId="0" applyNumberFormat="1" applyBorder="1" applyAlignment="1">
      <alignment horizontal="left"/>
    </xf>
    <xf numFmtId="49" fontId="0" fillId="0" borderId="285" xfId="0" applyNumberFormat="1" applyBorder="1" applyAlignment="1">
      <alignment horizontal="left" vertical="center"/>
    </xf>
    <xf numFmtId="0" fontId="4" fillId="0" borderId="296" xfId="0" applyFont="1" applyBorder="1" applyAlignment="1">
      <alignment horizontal="center"/>
    </xf>
    <xf numFmtId="0" fontId="0" fillId="0" borderId="318" xfId="0" applyBorder="1" applyAlignment="1">
      <alignment horizontal="left" vertical="center"/>
    </xf>
    <xf numFmtId="49" fontId="0" fillId="0" borderId="287" xfId="0" applyNumberFormat="1" applyBorder="1" applyAlignment="1">
      <alignment horizontal="left"/>
    </xf>
    <xf numFmtId="0" fontId="5" fillId="0" borderId="235" xfId="0" applyFont="1" applyBorder="1" applyAlignment="1" applyProtection="1">
      <alignment horizontal="center"/>
      <protection locked="0"/>
    </xf>
    <xf numFmtId="0" fontId="0" fillId="0" borderId="235" xfId="0" applyBorder="1" applyAlignment="1">
      <alignment horizontal="left"/>
    </xf>
    <xf numFmtId="0" fontId="10" fillId="60" borderId="234" xfId="0" applyFont="1" applyFill="1" applyBorder="1" applyAlignment="1">
      <alignment horizontal="center" wrapText="1"/>
    </xf>
    <xf numFmtId="0" fontId="5" fillId="0" borderId="296" xfId="0" applyFont="1" applyBorder="1" applyAlignment="1" applyProtection="1">
      <alignment horizontal="center"/>
      <protection locked="0"/>
    </xf>
    <xf numFmtId="0" fontId="5" fillId="0" borderId="296" xfId="0" applyFont="1" applyBorder="1" applyAlignment="1">
      <alignment horizontal="left"/>
    </xf>
    <xf numFmtId="0" fontId="10" fillId="60" borderId="295" xfId="0" applyFont="1" applyFill="1" applyBorder="1" applyAlignment="1">
      <alignment horizontal="center" wrapText="1"/>
    </xf>
    <xf numFmtId="0" fontId="0" fillId="0" borderId="296" xfId="0" applyBorder="1" applyAlignment="1" applyProtection="1">
      <alignment horizontal="center"/>
      <protection locked="0"/>
    </xf>
    <xf numFmtId="0" fontId="0" fillId="0" borderId="296" xfId="0" applyBorder="1" applyAlignment="1">
      <alignment horizontal="left"/>
    </xf>
    <xf numFmtId="0" fontId="5" fillId="76" borderId="296" xfId="0" applyFont="1" applyFill="1" applyBorder="1" applyAlignment="1">
      <alignment vertical="center"/>
    </xf>
    <xf numFmtId="0" fontId="0" fillId="76" borderId="296" xfId="43" applyFont="1" applyFill="1" applyBorder="1">
      <alignment horizontal="center" vertical="center"/>
    </xf>
    <xf numFmtId="0" fontId="0" fillId="76" borderId="296" xfId="0" applyFill="1" applyBorder="1">
      <alignment horizontal="center" vertical="center"/>
    </xf>
    <xf numFmtId="0" fontId="0" fillId="76" borderId="297" xfId="43" applyFont="1" applyFill="1" applyBorder="1">
      <alignment horizontal="center" vertical="center"/>
    </xf>
    <xf numFmtId="0" fontId="8" fillId="54" borderId="284" xfId="50" applyBorder="1">
      <alignment horizontal="center" vertical="center"/>
    </xf>
    <xf numFmtId="0" fontId="8" fillId="54" borderId="285" xfId="50" applyBorder="1">
      <alignment horizontal="center" vertical="center"/>
    </xf>
    <xf numFmtId="0" fontId="0" fillId="73" borderId="285" xfId="44" applyFont="1" applyBorder="1">
      <alignment horizontal="center" vertical="center"/>
    </xf>
    <xf numFmtId="0" fontId="4" fillId="0" borderId="296" xfId="0" applyFont="1" applyBorder="1" applyAlignment="1" applyProtection="1">
      <alignment horizontal="center"/>
      <protection locked="0"/>
    </xf>
    <xf numFmtId="0" fontId="0" fillId="51" borderId="284" xfId="50" applyFont="1" applyFill="1" applyBorder="1">
      <alignment horizontal="center" vertical="center"/>
    </xf>
    <xf numFmtId="0" fontId="0" fillId="53" borderId="284" xfId="43" applyFont="1" applyBorder="1">
      <alignment horizontal="center" vertical="center"/>
    </xf>
    <xf numFmtId="0" fontId="5" fillId="0" borderId="304" xfId="0" applyFont="1" applyBorder="1" applyAlignment="1">
      <alignment horizontal="center"/>
    </xf>
    <xf numFmtId="0" fontId="5" fillId="0" borderId="307" xfId="0" applyFont="1" applyBorder="1" applyAlignment="1">
      <alignment horizontal="center"/>
    </xf>
    <xf numFmtId="0" fontId="4" fillId="0" borderId="288" xfId="0" applyFont="1" applyBorder="1" applyAlignment="1">
      <alignment horizontal="left"/>
    </xf>
    <xf numFmtId="0" fontId="0" fillId="0" borderId="232" xfId="0" applyBorder="1" applyAlignment="1" applyProtection="1">
      <alignment horizontal="center"/>
      <protection locked="0"/>
    </xf>
    <xf numFmtId="0" fontId="8" fillId="73" borderId="297" xfId="44" applyBorder="1">
      <alignment horizontal="center" vertical="center"/>
    </xf>
    <xf numFmtId="0" fontId="0" fillId="24" borderId="284" xfId="0" applyFill="1" applyBorder="1" applyAlignment="1" applyProtection="1">
      <alignment horizontal="center"/>
      <protection locked="0"/>
    </xf>
    <xf numFmtId="0" fontId="5" fillId="77" borderId="284" xfId="0" applyFont="1" applyFill="1" applyBorder="1">
      <alignment horizontal="center" vertical="center"/>
    </xf>
    <xf numFmtId="0" fontId="0" fillId="76" borderId="284" xfId="0" applyFill="1" applyBorder="1">
      <alignment horizontal="center" vertical="center"/>
    </xf>
    <xf numFmtId="0" fontId="0" fillId="76" borderId="285" xfId="0" applyFill="1" applyBorder="1">
      <alignment horizontal="center" vertical="center"/>
    </xf>
    <xf numFmtId="0" fontId="0" fillId="0" borderId="284" xfId="0" applyBorder="1" applyAlignment="1" applyProtection="1">
      <alignment horizontal="center"/>
      <protection locked="0"/>
    </xf>
    <xf numFmtId="0" fontId="0" fillId="0" borderId="286" xfId="0" applyBorder="1" applyAlignment="1" applyProtection="1">
      <alignment horizontal="center"/>
      <protection locked="0"/>
    </xf>
    <xf numFmtId="0" fontId="8" fillId="53" borderId="286" xfId="43" applyBorder="1">
      <alignment horizontal="center" vertical="center"/>
    </xf>
    <xf numFmtId="0" fontId="0" fillId="51" borderId="287" xfId="48" applyFont="1" applyFill="1" applyBorder="1">
      <alignment horizontal="center" vertical="center"/>
    </xf>
    <xf numFmtId="49" fontId="0" fillId="0" borderId="285" xfId="0" applyNumberFormat="1" applyBorder="1" applyAlignment="1"/>
    <xf numFmtId="0" fontId="0" fillId="0" borderId="235" xfId="0" applyBorder="1" applyAlignment="1" applyProtection="1">
      <alignment horizontal="center"/>
      <protection locked="0"/>
    </xf>
    <xf numFmtId="0" fontId="0" fillId="0" borderId="235" xfId="0" applyBorder="1" applyAlignment="1">
      <alignment horizontal="left" vertical="center"/>
    </xf>
    <xf numFmtId="0" fontId="10" fillId="51" borderId="234" xfId="0" applyFont="1" applyFill="1" applyBorder="1" applyAlignment="1">
      <alignment horizontal="center" vertical="center" wrapText="1"/>
    </xf>
    <xf numFmtId="0" fontId="0" fillId="0" borderId="296" xfId="0" applyBorder="1" applyAlignment="1" applyProtection="1">
      <alignment horizontal="left"/>
      <protection locked="0"/>
    </xf>
    <xf numFmtId="0" fontId="10" fillId="51" borderId="295" xfId="0" applyFont="1" applyFill="1" applyBorder="1" applyAlignment="1">
      <alignment horizontal="center" vertical="center" wrapText="1"/>
    </xf>
    <xf numFmtId="0" fontId="0" fillId="51" borderId="296" xfId="46" applyFont="1" applyFill="1" applyBorder="1">
      <alignment horizontal="center" vertical="center"/>
    </xf>
    <xf numFmtId="0" fontId="0" fillId="51" borderId="297" xfId="46" applyFont="1" applyFill="1" applyBorder="1">
      <alignment horizontal="center" vertical="center"/>
    </xf>
    <xf numFmtId="0" fontId="0" fillId="0" borderId="316" xfId="0" applyBorder="1" applyAlignment="1" applyProtection="1">
      <alignment horizontal="center"/>
      <protection locked="0"/>
    </xf>
    <xf numFmtId="0" fontId="0" fillId="51" borderId="316" xfId="0" applyFill="1" applyBorder="1">
      <alignment horizontal="center" vertical="center"/>
    </xf>
    <xf numFmtId="0" fontId="0" fillId="51" borderId="314" xfId="0" applyFill="1" applyBorder="1">
      <alignment horizontal="center" vertical="center"/>
    </xf>
    <xf numFmtId="0" fontId="7" fillId="44" borderId="285" xfId="0" applyFont="1" applyFill="1" applyBorder="1" applyAlignment="1">
      <alignment horizontal="left"/>
    </xf>
    <xf numFmtId="0" fontId="7" fillId="25" borderId="285" xfId="0" applyFont="1" applyFill="1" applyBorder="1">
      <alignment horizontal="center" vertical="center"/>
    </xf>
    <xf numFmtId="0" fontId="8" fillId="25" borderId="288" xfId="0" applyFont="1" applyFill="1" applyBorder="1">
      <alignment horizontal="center" vertical="center"/>
    </xf>
    <xf numFmtId="0" fontId="7" fillId="29" borderId="285" xfId="0" applyFont="1" applyFill="1" applyBorder="1" applyAlignment="1">
      <alignment horizontal="left"/>
    </xf>
    <xf numFmtId="0" fontId="7" fillId="29" borderId="288" xfId="0" applyFont="1" applyFill="1" applyBorder="1" applyAlignment="1">
      <alignment horizontal="left"/>
    </xf>
    <xf numFmtId="0" fontId="8" fillId="29" borderId="288" xfId="0" applyFont="1" applyFill="1" applyBorder="1">
      <alignment horizontal="center" vertical="center"/>
    </xf>
    <xf numFmtId="0" fontId="8" fillId="51" borderId="288" xfId="0" applyFont="1" applyFill="1" applyBorder="1">
      <alignment horizontal="center" vertical="center"/>
    </xf>
    <xf numFmtId="0" fontId="8" fillId="29" borderId="302" xfId="0" applyFont="1" applyFill="1" applyBorder="1">
      <alignment horizontal="center" vertical="center"/>
    </xf>
    <xf numFmtId="0" fontId="7" fillId="37" borderId="285" xfId="0" applyFont="1" applyFill="1" applyBorder="1" applyAlignment="1">
      <alignment horizontal="left"/>
    </xf>
    <xf numFmtId="0" fontId="7" fillId="37" borderId="288" xfId="0" applyFont="1" applyFill="1" applyBorder="1" applyAlignment="1">
      <alignment horizontal="left"/>
    </xf>
    <xf numFmtId="0" fontId="0" fillId="37" borderId="288" xfId="0" applyFill="1" applyBorder="1">
      <alignment horizontal="center" vertical="center"/>
    </xf>
    <xf numFmtId="0" fontId="7" fillId="45" borderId="285" xfId="0" applyFont="1" applyFill="1" applyBorder="1" applyAlignment="1">
      <alignment horizontal="left"/>
    </xf>
    <xf numFmtId="0" fontId="0" fillId="45" borderId="288" xfId="0" applyFill="1" applyBorder="1">
      <alignment horizontal="center" vertical="center"/>
    </xf>
    <xf numFmtId="0" fontId="8" fillId="45" borderId="288" xfId="0" applyFont="1" applyFill="1" applyBorder="1">
      <alignment horizontal="center" vertical="center"/>
    </xf>
    <xf numFmtId="0" fontId="8" fillId="77" borderId="302" xfId="0" applyFont="1" applyFill="1" applyBorder="1">
      <alignment horizontal="center" vertical="center"/>
    </xf>
    <xf numFmtId="0" fontId="7" fillId="24" borderId="285" xfId="0" applyFont="1" applyFill="1" applyBorder="1">
      <alignment horizontal="center" vertical="center"/>
    </xf>
    <xf numFmtId="0" fontId="0" fillId="24" borderId="288" xfId="0" applyFill="1" applyBorder="1">
      <alignment horizontal="center" vertical="center"/>
    </xf>
    <xf numFmtId="0" fontId="8" fillId="24" borderId="288" xfId="0" applyFont="1" applyFill="1" applyBorder="1">
      <alignment horizontal="center" vertical="center"/>
    </xf>
    <xf numFmtId="0" fontId="7" fillId="40" borderId="285" xfId="0" applyFont="1" applyFill="1" applyBorder="1" applyAlignment="1">
      <alignment horizontal="left"/>
    </xf>
    <xf numFmtId="0" fontId="8" fillId="40" borderId="288" xfId="0" applyFont="1" applyFill="1" applyBorder="1">
      <alignment horizontal="center" vertical="center"/>
    </xf>
    <xf numFmtId="0" fontId="0" fillId="40" borderId="302" xfId="0" applyFill="1" applyBorder="1">
      <alignment horizontal="center" vertical="center"/>
    </xf>
    <xf numFmtId="0" fontId="0" fillId="46" borderId="291" xfId="0" applyFill="1" applyBorder="1">
      <alignment horizontal="center" vertical="center"/>
    </xf>
    <xf numFmtId="0" fontId="8" fillId="46" borderId="291" xfId="0" applyFont="1" applyFill="1" applyBorder="1">
      <alignment horizontal="center" vertical="center"/>
    </xf>
    <xf numFmtId="0" fontId="8" fillId="46" borderId="289" xfId="0" applyFont="1" applyFill="1" applyBorder="1">
      <alignment horizontal="center" vertical="center"/>
    </xf>
    <xf numFmtId="0" fontId="7" fillId="0" borderId="290" xfId="0" applyFont="1" applyBorder="1" applyAlignment="1">
      <alignment horizontal="left" vertical="center"/>
    </xf>
    <xf numFmtId="0" fontId="8" fillId="0" borderId="291" xfId="0" applyFont="1" applyBorder="1">
      <alignment horizontal="center" vertical="center"/>
    </xf>
    <xf numFmtId="0" fontId="62" fillId="58" borderId="284" xfId="49" applyBorder="1">
      <alignment horizontal="center" vertical="center"/>
    </xf>
    <xf numFmtId="0" fontId="62" fillId="59" borderId="285" xfId="51" applyBorder="1" applyAlignment="1">
      <alignment horizontal="center" vertical="center"/>
    </xf>
    <xf numFmtId="0" fontId="62" fillId="59" borderId="288" xfId="51" applyBorder="1" applyAlignment="1">
      <alignment horizontal="center" vertical="center"/>
    </xf>
    <xf numFmtId="0" fontId="62" fillId="59" borderId="302" xfId="51" applyBorder="1" applyAlignment="1">
      <alignment horizontal="center" vertical="center"/>
    </xf>
    <xf numFmtId="0" fontId="8" fillId="0" borderId="285" xfId="0" applyFont="1" applyBorder="1" applyAlignment="1">
      <alignment horizontal="left"/>
    </xf>
    <xf numFmtId="0" fontId="0" fillId="0" borderId="288" xfId="0" applyBorder="1">
      <alignment horizontal="center" vertical="center"/>
    </xf>
    <xf numFmtId="0" fontId="8" fillId="0" borderId="288" xfId="0" applyFont="1" applyBorder="1" applyAlignment="1">
      <alignment horizontal="left"/>
    </xf>
    <xf numFmtId="0" fontId="8" fillId="48" borderId="285" xfId="0" applyFont="1" applyFill="1" applyBorder="1" applyAlignment="1">
      <alignment horizontal="left" vertical="center"/>
    </xf>
    <xf numFmtId="0" fontId="8" fillId="48" borderId="288" xfId="0" applyFont="1" applyFill="1" applyBorder="1">
      <alignment horizontal="center" vertical="center"/>
    </xf>
    <xf numFmtId="0" fontId="0" fillId="75" borderId="297" xfId="56" applyFont="1" applyBorder="1" applyAlignment="1">
      <alignment horizontal="center" vertical="center"/>
    </xf>
    <xf numFmtId="0" fontId="0" fillId="75" borderId="312" xfId="56" applyFont="1" applyBorder="1" applyAlignment="1">
      <alignment horizontal="center" vertical="center"/>
    </xf>
    <xf numFmtId="0" fontId="0" fillId="0" borderId="303" xfId="0" applyBorder="1">
      <alignment horizontal="center" vertical="center"/>
    </xf>
    <xf numFmtId="0" fontId="5" fillId="0" borderId="303" xfId="0" applyFont="1" applyBorder="1" applyAlignment="1">
      <alignment horizontal="center"/>
    </xf>
    <xf numFmtId="0" fontId="8" fillId="0" borderId="303" xfId="0" applyFont="1" applyBorder="1">
      <alignment horizontal="center" vertical="center"/>
    </xf>
    <xf numFmtId="0" fontId="8" fillId="51" borderId="303" xfId="0" applyFont="1" applyFill="1" applyBorder="1">
      <alignment horizontal="center" vertical="center"/>
    </xf>
    <xf numFmtId="0" fontId="8" fillId="0" borderId="284" xfId="0" applyFont="1" applyBorder="1">
      <alignment horizontal="center" vertical="center"/>
    </xf>
    <xf numFmtId="0" fontId="0" fillId="0" borderId="284" xfId="0" applyBorder="1">
      <alignment horizontal="center" vertical="center"/>
    </xf>
    <xf numFmtId="0" fontId="5" fillId="0" borderId="284" xfId="0" applyFont="1" applyBorder="1" applyAlignment="1">
      <alignment horizontal="center"/>
    </xf>
    <xf numFmtId="0" fontId="5" fillId="0" borderId="297" xfId="0" applyFont="1" applyBorder="1" applyAlignment="1">
      <alignment horizontal="left" vertical="center"/>
    </xf>
    <xf numFmtId="0" fontId="0" fillId="0" borderId="297" xfId="0" applyBorder="1">
      <alignment horizontal="center" vertical="center"/>
    </xf>
    <xf numFmtId="0" fontId="60" fillId="0" borderId="319" xfId="0" applyFont="1" applyBorder="1" applyAlignment="1">
      <alignment horizontal="left" vertical="center"/>
    </xf>
    <xf numFmtId="0" fontId="5" fillId="0" borderId="312" xfId="0" applyFont="1" applyBorder="1" applyAlignment="1">
      <alignment horizontal="left" vertical="center"/>
    </xf>
    <xf numFmtId="0" fontId="0" fillId="0" borderId="311" xfId="0" applyBorder="1">
      <alignment horizontal="center" vertical="center"/>
    </xf>
    <xf numFmtId="0" fontId="0" fillId="0" borderId="312" xfId="0" applyBorder="1">
      <alignment horizontal="center" vertical="center"/>
    </xf>
    <xf numFmtId="0" fontId="0" fillId="51" borderId="312" xfId="0" applyFill="1" applyBorder="1">
      <alignment horizontal="center" vertical="center"/>
    </xf>
    <xf numFmtId="0" fontId="14" fillId="0" borderId="312" xfId="0" applyFont="1" applyBorder="1">
      <alignment horizontal="center" vertical="center"/>
    </xf>
    <xf numFmtId="0" fontId="60" fillId="0" borderId="297" xfId="0" applyFont="1" applyBorder="1" applyAlignment="1">
      <alignment horizontal="left" vertical="center"/>
    </xf>
    <xf numFmtId="0" fontId="0" fillId="0" borderId="312" xfId="0" applyBorder="1" applyAlignment="1">
      <alignment horizontal="left" vertical="center"/>
    </xf>
    <xf numFmtId="0" fontId="0" fillId="0" borderId="311" xfId="0" applyBorder="1" applyAlignment="1">
      <alignment horizontal="left" vertical="center"/>
    </xf>
    <xf numFmtId="0" fontId="0" fillId="51" borderId="312" xfId="0" applyFill="1" applyBorder="1" applyAlignment="1">
      <alignment horizontal="left" vertical="center"/>
    </xf>
    <xf numFmtId="0" fontId="60" fillId="0" borderId="314" xfId="0" applyFont="1" applyBorder="1" applyAlignment="1">
      <alignment horizontal="left" vertical="center"/>
    </xf>
    <xf numFmtId="0" fontId="5" fillId="0" borderId="312" xfId="0" applyFont="1" applyBorder="1">
      <alignment horizontal="center" vertical="center"/>
    </xf>
    <xf numFmtId="0" fontId="60" fillId="0" borderId="313" xfId="0" applyFont="1" applyBorder="1" applyAlignment="1">
      <alignment horizontal="left" vertical="center"/>
    </xf>
    <xf numFmtId="1" fontId="0" fillId="51" borderId="284" xfId="0" applyNumberFormat="1" applyFill="1" applyBorder="1">
      <alignment horizontal="center" vertical="center"/>
    </xf>
    <xf numFmtId="0" fontId="0" fillId="52" borderId="232" xfId="48" applyFont="1" applyBorder="1">
      <alignment horizontal="center" vertical="center"/>
    </xf>
    <xf numFmtId="0" fontId="0" fillId="43" borderId="284" xfId="0" applyFill="1" applyBorder="1" applyAlignment="1" applyProtection="1">
      <alignment horizontal="center"/>
      <protection locked="0"/>
    </xf>
    <xf numFmtId="0" fontId="0" fillId="0" borderId="284" xfId="0" applyBorder="1" applyAlignment="1">
      <alignment horizontal="left" vertical="center"/>
    </xf>
    <xf numFmtId="0" fontId="0" fillId="51" borderId="284" xfId="32" applyFont="1" applyFill="1" applyBorder="1" applyAlignment="1">
      <alignment horizontal="center" vertical="center"/>
    </xf>
    <xf numFmtId="0" fontId="0" fillId="51" borderId="284" xfId="48" applyFont="1" applyFill="1" applyBorder="1">
      <alignment horizontal="center" vertical="center"/>
    </xf>
    <xf numFmtId="0" fontId="0" fillId="51" borderId="284" xfId="43" applyFont="1" applyFill="1" applyBorder="1">
      <alignment horizontal="center" vertical="center"/>
    </xf>
    <xf numFmtId="0" fontId="0" fillId="55" borderId="284" xfId="43" applyFont="1" applyFill="1" applyBorder="1">
      <alignment horizontal="center" vertical="center"/>
    </xf>
    <xf numFmtId="0" fontId="0" fillId="0" borderId="286" xfId="0" applyBorder="1" applyAlignment="1">
      <alignment horizontal="left" vertical="center"/>
    </xf>
    <xf numFmtId="0" fontId="0" fillId="51" borderId="286" xfId="32" applyFont="1" applyFill="1" applyBorder="1" applyAlignment="1">
      <alignment horizontal="center" vertical="center"/>
    </xf>
    <xf numFmtId="0" fontId="0" fillId="51" borderId="286" xfId="48" applyFont="1" applyFill="1" applyBorder="1">
      <alignment horizontal="center" vertical="center"/>
    </xf>
    <xf numFmtId="0" fontId="0" fillId="51" borderId="286" xfId="43" applyFont="1" applyFill="1" applyBorder="1">
      <alignment horizontal="center" vertical="center"/>
    </xf>
    <xf numFmtId="0" fontId="8" fillId="55" borderId="286" xfId="45" applyBorder="1">
      <alignment horizontal="center" vertical="center"/>
    </xf>
    <xf numFmtId="0" fontId="8" fillId="52" borderId="286" xfId="48" applyBorder="1">
      <alignment horizontal="center" vertical="center"/>
    </xf>
    <xf numFmtId="0" fontId="5" fillId="77" borderId="303" xfId="0" applyFont="1" applyFill="1" applyBorder="1" applyAlignment="1">
      <alignment horizontal="left" vertical="center"/>
    </xf>
    <xf numFmtId="0" fontId="7" fillId="77" borderId="284" xfId="0" applyFont="1" applyFill="1" applyBorder="1">
      <alignment horizontal="center" vertical="center"/>
    </xf>
    <xf numFmtId="0" fontId="0" fillId="51" borderId="284" xfId="44" applyFont="1" applyFill="1" applyBorder="1">
      <alignment horizontal="center" vertical="center"/>
    </xf>
    <xf numFmtId="0" fontId="0" fillId="53" borderId="284" xfId="56" applyFont="1" applyFill="1" applyBorder="1">
      <alignment horizontal="center" vertical="center"/>
    </xf>
    <xf numFmtId="1" fontId="0" fillId="53" borderId="284" xfId="0" applyNumberFormat="1" applyFill="1" applyBorder="1">
      <alignment horizontal="center" vertical="center"/>
    </xf>
    <xf numFmtId="0" fontId="8" fillId="53" borderId="284" xfId="43" applyBorder="1">
      <alignment horizontal="center" vertical="center"/>
    </xf>
    <xf numFmtId="0" fontId="8" fillId="0" borderId="284" xfId="0" applyFont="1" applyBorder="1" applyAlignment="1">
      <alignment horizontal="left" vertical="center"/>
    </xf>
    <xf numFmtId="0" fontId="8" fillId="74" borderId="284" xfId="47" applyBorder="1">
      <alignment horizontal="center" vertical="center"/>
    </xf>
    <xf numFmtId="0" fontId="8" fillId="0" borderId="284" xfId="53" applyBorder="1">
      <alignment horizontal="center" vertical="center"/>
    </xf>
    <xf numFmtId="0" fontId="8" fillId="51" borderId="284" xfId="53" applyFill="1" applyBorder="1">
      <alignment horizontal="center" vertical="center"/>
    </xf>
    <xf numFmtId="0" fontId="8" fillId="55" borderId="302" xfId="45" applyBorder="1">
      <alignment horizontal="center" vertical="center"/>
    </xf>
    <xf numFmtId="0" fontId="8" fillId="55" borderId="284" xfId="45" applyBorder="1">
      <alignment horizontal="center" vertical="center"/>
    </xf>
    <xf numFmtId="1" fontId="0" fillId="51" borderId="284" xfId="32" applyNumberFormat="1" applyFont="1" applyFill="1" applyBorder="1" applyAlignment="1">
      <alignment horizontal="center" vertical="center"/>
    </xf>
    <xf numFmtId="0" fontId="0" fillId="51" borderId="284" xfId="0" applyFill="1" applyBorder="1">
      <alignment horizontal="center" vertical="center"/>
    </xf>
    <xf numFmtId="0" fontId="0" fillId="55" borderId="284" xfId="0" applyFill="1" applyBorder="1">
      <alignment horizontal="center" vertical="center"/>
    </xf>
    <xf numFmtId="0" fontId="8" fillId="51" borderId="284" xfId="56" applyFill="1" applyBorder="1">
      <alignment horizontal="center" vertical="center"/>
    </xf>
    <xf numFmtId="1" fontId="0" fillId="51" borderId="284" xfId="20" applyNumberFormat="1" applyFont="1" applyFill="1" applyBorder="1" applyAlignment="1">
      <alignment horizontal="center" vertical="center"/>
    </xf>
    <xf numFmtId="0" fontId="0" fillId="73" borderId="284" xfId="20" applyFont="1" applyFill="1" applyBorder="1" applyAlignment="1">
      <alignment horizontal="center" vertical="center"/>
    </xf>
    <xf numFmtId="0" fontId="8" fillId="73" borderId="284" xfId="44" applyBorder="1">
      <alignment horizontal="center" vertical="center"/>
    </xf>
    <xf numFmtId="0" fontId="8" fillId="75" borderId="284" xfId="56" applyBorder="1">
      <alignment horizontal="center" vertical="center"/>
    </xf>
    <xf numFmtId="0" fontId="0" fillId="53" borderId="303" xfId="44" applyFont="1" applyFill="1" applyBorder="1">
      <alignment horizontal="center" vertical="center"/>
    </xf>
    <xf numFmtId="0" fontId="0" fillId="53" borderId="284" xfId="44" applyFont="1" applyFill="1" applyBorder="1">
      <alignment horizontal="center" vertical="center"/>
    </xf>
    <xf numFmtId="0" fontId="8" fillId="52" borderId="284" xfId="48" applyBorder="1">
      <alignment horizontal="center" vertical="center"/>
    </xf>
    <xf numFmtId="0" fontId="0" fillId="0" borderId="296" xfId="0" applyBorder="1">
      <alignment horizontal="center" vertical="center"/>
    </xf>
    <xf numFmtId="0" fontId="0" fillId="43" borderId="303" xfId="0" applyFill="1" applyBorder="1" applyAlignment="1" applyProtection="1">
      <alignment horizontal="center"/>
      <protection locked="0"/>
    </xf>
    <xf numFmtId="0" fontId="0" fillId="0" borderId="303" xfId="0" applyBorder="1" applyAlignment="1">
      <alignment horizontal="left" vertical="center"/>
    </xf>
    <xf numFmtId="1" fontId="0" fillId="51" borderId="303" xfId="20" applyNumberFormat="1" applyFont="1" applyFill="1" applyBorder="1" applyAlignment="1">
      <alignment horizontal="center" vertical="center"/>
    </xf>
    <xf numFmtId="0" fontId="8" fillId="55" borderId="232" xfId="53" applyFill="1" applyBorder="1">
      <alignment horizontal="center" vertical="center"/>
    </xf>
    <xf numFmtId="0" fontId="0" fillId="55" borderId="232" xfId="32" applyFont="1" applyFill="1" applyBorder="1" applyAlignment="1">
      <alignment horizontal="center" vertical="center"/>
    </xf>
    <xf numFmtId="0" fontId="0" fillId="51" borderId="232" xfId="45" applyFont="1" applyFill="1" applyBorder="1">
      <alignment horizontal="center" vertical="center"/>
    </xf>
    <xf numFmtId="0" fontId="0" fillId="55" borderId="284" xfId="44" applyFont="1" applyFill="1" applyBorder="1">
      <alignment horizontal="center" vertical="center"/>
    </xf>
    <xf numFmtId="0" fontId="0" fillId="51" borderId="284" xfId="49" applyFont="1" applyFill="1" applyBorder="1">
      <alignment horizontal="center" vertical="center"/>
    </xf>
    <xf numFmtId="0" fontId="0" fillId="51" borderId="284" xfId="20" applyFont="1" applyFill="1" applyBorder="1" applyAlignment="1">
      <alignment horizontal="center" vertical="center"/>
    </xf>
    <xf numFmtId="0" fontId="8" fillId="51" borderId="284" xfId="44" applyFill="1" applyBorder="1">
      <alignment horizontal="center" vertical="center"/>
    </xf>
    <xf numFmtId="0" fontId="52" fillId="56" borderId="284" xfId="46" applyBorder="1">
      <alignment horizontal="center" vertical="center"/>
    </xf>
    <xf numFmtId="0" fontId="0" fillId="43" borderId="286" xfId="0" applyFill="1" applyBorder="1" applyAlignment="1" applyProtection="1">
      <alignment horizontal="center"/>
      <protection locked="0"/>
    </xf>
    <xf numFmtId="0" fontId="0" fillId="0" borderId="286" xfId="0" applyBorder="1" applyAlignment="1">
      <alignment vertical="center"/>
    </xf>
    <xf numFmtId="0" fontId="0" fillId="51" borderId="286" xfId="0" applyFill="1" applyBorder="1">
      <alignment horizontal="center" vertical="center"/>
    </xf>
    <xf numFmtId="0" fontId="8" fillId="51" borderId="286" xfId="44" applyFill="1" applyBorder="1">
      <alignment horizontal="center" vertical="center"/>
    </xf>
    <xf numFmtId="49" fontId="0" fillId="51" borderId="286" xfId="0" applyNumberFormat="1" applyFill="1" applyBorder="1">
      <alignment horizontal="center" vertical="center"/>
    </xf>
    <xf numFmtId="0" fontId="0" fillId="51" borderId="286" xfId="46" applyFont="1" applyFill="1" applyBorder="1">
      <alignment horizontal="center" vertical="center"/>
    </xf>
    <xf numFmtId="0" fontId="8" fillId="73" borderId="286" xfId="44" applyBorder="1">
      <alignment horizontal="center" vertical="center"/>
    </xf>
    <xf numFmtId="0" fontId="8" fillId="0" borderId="293" xfId="48" applyFill="1" applyBorder="1">
      <alignment horizontal="center" vertical="center"/>
    </xf>
    <xf numFmtId="0" fontId="8" fillId="0" borderId="316" xfId="48" applyFill="1" applyBorder="1">
      <alignment horizontal="center" vertical="center"/>
    </xf>
    <xf numFmtId="0" fontId="5" fillId="0" borderId="320" xfId="0" applyFont="1" applyBorder="1" applyAlignment="1">
      <alignment horizontal="left" vertical="center"/>
    </xf>
    <xf numFmtId="0" fontId="0" fillId="0" borderId="291" xfId="0" applyBorder="1">
      <alignment horizontal="center" vertical="center"/>
    </xf>
    <xf numFmtId="0" fontId="5" fillId="0" borderId="285" xfId="0" applyFont="1" applyBorder="1" applyAlignment="1">
      <alignment vertical="center"/>
    </xf>
    <xf numFmtId="0" fontId="14" fillId="0" borderId="288" xfId="0" applyFont="1" applyBorder="1">
      <alignment horizontal="center" vertical="center"/>
    </xf>
    <xf numFmtId="0" fontId="0" fillId="51" borderId="288" xfId="0" applyFill="1" applyBorder="1">
      <alignment horizontal="center" vertical="center"/>
    </xf>
    <xf numFmtId="0" fontId="0" fillId="0" borderId="302" xfId="0" applyBorder="1">
      <alignment horizontal="center" vertical="center"/>
    </xf>
    <xf numFmtId="0" fontId="5" fillId="0" borderId="290" xfId="0" applyFont="1" applyBorder="1" applyAlignment="1">
      <alignment horizontal="left" vertical="center"/>
    </xf>
    <xf numFmtId="0" fontId="14" fillId="0" borderId="291" xfId="0" applyFont="1" applyBorder="1">
      <alignment horizontal="center" vertical="center"/>
    </xf>
    <xf numFmtId="0" fontId="5" fillId="0" borderId="291" xfId="0" applyFont="1" applyBorder="1">
      <alignment horizontal="center" vertical="center"/>
    </xf>
    <xf numFmtId="0" fontId="5" fillId="0" borderId="304" xfId="0" applyFont="1" applyBorder="1" applyAlignment="1">
      <alignment horizontal="left" vertical="center"/>
    </xf>
    <xf numFmtId="0" fontId="0" fillId="0" borderId="285" xfId="0" applyBorder="1" applyAlignment="1">
      <alignment vertical="center"/>
    </xf>
    <xf numFmtId="0" fontId="5" fillId="51" borderId="285" xfId="0" applyFont="1" applyFill="1" applyBorder="1">
      <alignment horizontal="center" vertical="center"/>
    </xf>
    <xf numFmtId="0" fontId="0" fillId="0" borderId="288" xfId="0" applyBorder="1" applyAlignment="1">
      <alignment horizontal="left" vertical="center"/>
    </xf>
    <xf numFmtId="0" fontId="5" fillId="0" borderId="307" xfId="0" applyFont="1" applyBorder="1" applyAlignment="1">
      <alignment horizontal="left" vertical="center"/>
    </xf>
    <xf numFmtId="0" fontId="0" fillId="0" borderId="308" xfId="0" applyBorder="1">
      <alignment horizontal="center" vertical="center"/>
    </xf>
    <xf numFmtId="0" fontId="0" fillId="0" borderId="287" xfId="0" applyBorder="1" applyAlignment="1">
      <alignment vertical="center"/>
    </xf>
    <xf numFmtId="0" fontId="0" fillId="0" borderId="309" xfId="0" applyBorder="1">
      <alignment horizontal="center" vertical="center"/>
    </xf>
    <xf numFmtId="0" fontId="5" fillId="51" borderId="287" xfId="0" applyFont="1" applyFill="1" applyBorder="1">
      <alignment horizontal="center" vertical="center"/>
    </xf>
    <xf numFmtId="0" fontId="0" fillId="0" borderId="308" xfId="0" applyBorder="1" applyAlignment="1">
      <alignment horizontal="left" vertical="center"/>
    </xf>
    <xf numFmtId="0" fontId="14" fillId="0" borderId="308" xfId="0" applyFont="1" applyBorder="1">
      <alignment horizontal="center" vertical="center"/>
    </xf>
    <xf numFmtId="0" fontId="5" fillId="0" borderId="308" xfId="0" applyFont="1" applyBorder="1" applyAlignment="1">
      <alignment horizontal="left" vertical="center"/>
    </xf>
    <xf numFmtId="0" fontId="0" fillId="0" borderId="303" xfId="0" applyBorder="1" applyAlignment="1" applyProtection="1">
      <alignment horizontal="center"/>
      <protection locked="0"/>
    </xf>
    <xf numFmtId="0" fontId="7" fillId="0" borderId="303" xfId="0" applyFont="1" applyBorder="1" applyAlignment="1">
      <alignment horizontal="center"/>
    </xf>
    <xf numFmtId="0" fontId="0" fillId="73" borderId="232" xfId="44" applyFont="1" applyBorder="1">
      <alignment horizontal="center" vertical="center"/>
    </xf>
    <xf numFmtId="0" fontId="0" fillId="43" borderId="301" xfId="0" applyFill="1" applyBorder="1" applyAlignment="1" applyProtection="1">
      <alignment horizontal="center"/>
      <protection locked="0"/>
    </xf>
    <xf numFmtId="0" fontId="0" fillId="43" borderId="321" xfId="0" applyFill="1" applyBorder="1" applyAlignment="1" applyProtection="1">
      <alignment horizontal="center"/>
      <protection locked="0"/>
    </xf>
    <xf numFmtId="0" fontId="0" fillId="51" borderId="286" xfId="53" applyFont="1" applyFill="1" applyBorder="1">
      <alignment horizontal="center" vertical="center"/>
    </xf>
    <xf numFmtId="0" fontId="8" fillId="0" borderId="286" xfId="53" applyBorder="1">
      <alignment horizontal="center" vertical="center"/>
    </xf>
    <xf numFmtId="49" fontId="0" fillId="84" borderId="286" xfId="0" applyNumberFormat="1" applyFill="1" applyBorder="1">
      <alignment horizontal="center" vertical="center"/>
    </xf>
    <xf numFmtId="49" fontId="0" fillId="73" borderId="286" xfId="0" applyNumberFormat="1" applyFill="1" applyBorder="1">
      <alignment horizontal="center" vertical="center"/>
    </xf>
    <xf numFmtId="49" fontId="72" fillId="73" borderId="286" xfId="0" applyNumberFormat="1" applyFont="1" applyFill="1" applyBorder="1">
      <alignment horizontal="center" vertical="center"/>
    </xf>
    <xf numFmtId="0" fontId="0" fillId="0" borderId="297" xfId="0" applyBorder="1" applyAlignment="1">
      <alignment horizontal="left" vertical="center"/>
    </xf>
    <xf numFmtId="0" fontId="8" fillId="53" borderId="232" xfId="43" applyBorder="1">
      <alignment horizontal="center" vertical="center"/>
    </xf>
    <xf numFmtId="49" fontId="0" fillId="51" borderId="284" xfId="0" applyNumberFormat="1" applyFill="1" applyBorder="1">
      <alignment horizontal="center" vertical="center"/>
    </xf>
    <xf numFmtId="0" fontId="0" fillId="51" borderId="284" xfId="46" applyFont="1" applyFill="1" applyBorder="1">
      <alignment horizontal="center" vertical="center"/>
    </xf>
    <xf numFmtId="1" fontId="0" fillId="51" borderId="285" xfId="0" applyNumberFormat="1" applyFill="1" applyBorder="1">
      <alignment horizontal="center" vertical="center"/>
    </xf>
    <xf numFmtId="0" fontId="0" fillId="51" borderId="286" xfId="0" applyFill="1" applyBorder="1" applyAlignment="1">
      <alignment horizontal="left" vertical="center"/>
    </xf>
    <xf numFmtId="0" fontId="8" fillId="75" borderId="286" xfId="56" applyBorder="1">
      <alignment horizontal="center" vertical="center"/>
    </xf>
    <xf numFmtId="0" fontId="0" fillId="51" borderId="286" xfId="44" applyFont="1" applyFill="1" applyBorder="1">
      <alignment horizontal="center" vertical="center"/>
    </xf>
    <xf numFmtId="0" fontId="8" fillId="51" borderId="232" xfId="53" applyFill="1" applyBorder="1">
      <alignment horizontal="center" vertical="center"/>
    </xf>
    <xf numFmtId="0" fontId="0" fillId="43" borderId="322" xfId="0" applyFill="1" applyBorder="1" applyAlignment="1" applyProtection="1">
      <alignment horizontal="center"/>
      <protection locked="0"/>
    </xf>
    <xf numFmtId="0" fontId="0" fillId="51" borderId="303" xfId="44" applyFont="1" applyFill="1" applyBorder="1">
      <alignment horizontal="center" vertical="center"/>
    </xf>
    <xf numFmtId="0" fontId="8" fillId="55" borderId="303" xfId="45" applyBorder="1">
      <alignment horizontal="center" vertical="center"/>
    </xf>
    <xf numFmtId="0" fontId="8" fillId="51" borderId="303" xfId="56" applyFill="1" applyBorder="1">
      <alignment horizontal="center" vertical="center"/>
    </xf>
    <xf numFmtId="0" fontId="0" fillId="51" borderId="303" xfId="43" applyFont="1" applyFill="1" applyBorder="1">
      <alignment horizontal="center" vertical="center"/>
    </xf>
    <xf numFmtId="0" fontId="0" fillId="51" borderId="303" xfId="48" applyFont="1" applyFill="1" applyBorder="1">
      <alignment horizontal="center" vertical="center"/>
    </xf>
    <xf numFmtId="49" fontId="0" fillId="51" borderId="303" xfId="0" applyNumberFormat="1" applyFill="1" applyBorder="1">
      <alignment horizontal="center" vertical="center"/>
    </xf>
    <xf numFmtId="0" fontId="0" fillId="43" borderId="296" xfId="0" applyFill="1" applyBorder="1" applyAlignment="1" applyProtection="1">
      <alignment horizontal="center"/>
      <protection locked="0"/>
    </xf>
    <xf numFmtId="0" fontId="0" fillId="0" borderId="296" xfId="0" applyBorder="1" applyAlignment="1">
      <alignment horizontal="left" vertical="center"/>
    </xf>
    <xf numFmtId="49" fontId="0" fillId="51" borderId="296" xfId="0" applyNumberFormat="1" applyFill="1" applyBorder="1">
      <alignment horizontal="center" vertical="center"/>
    </xf>
    <xf numFmtId="0" fontId="0" fillId="51" borderId="296" xfId="44" applyFont="1" applyFill="1" applyBorder="1">
      <alignment horizontal="center" vertical="center"/>
    </xf>
    <xf numFmtId="0" fontId="0" fillId="51" borderId="296" xfId="0" applyFill="1" applyBorder="1">
      <alignment horizontal="center" vertical="center"/>
    </xf>
    <xf numFmtId="0" fontId="0" fillId="51" borderId="296" xfId="48" applyFont="1" applyFill="1" applyBorder="1">
      <alignment horizontal="center" vertical="center"/>
    </xf>
    <xf numFmtId="0" fontId="8" fillId="51" borderId="284" xfId="0" applyFont="1" applyFill="1" applyBorder="1">
      <alignment horizontal="center" vertical="center"/>
    </xf>
    <xf numFmtId="0" fontId="7" fillId="0" borderId="284" xfId="0" applyFont="1" applyBorder="1" applyAlignment="1">
      <alignment horizontal="left"/>
    </xf>
    <xf numFmtId="0" fontId="8" fillId="0" borderId="285" xfId="0" applyFont="1" applyBorder="1">
      <alignment horizontal="center" vertical="center"/>
    </xf>
    <xf numFmtId="0" fontId="8" fillId="0" borderId="302" xfId="0" applyFont="1" applyBorder="1" applyAlignment="1">
      <alignment horizontal="left"/>
    </xf>
    <xf numFmtId="0" fontId="8" fillId="51" borderId="302" xfId="0" applyFont="1" applyFill="1" applyBorder="1" applyAlignment="1">
      <alignment horizontal="left"/>
    </xf>
    <xf numFmtId="0" fontId="7" fillId="0" borderId="285" xfId="0" applyFont="1" applyBorder="1" applyAlignment="1">
      <alignment horizontal="left"/>
    </xf>
    <xf numFmtId="0" fontId="5" fillId="0" borderId="286" xfId="0" applyFont="1" applyBorder="1" applyAlignment="1" applyProtection="1">
      <alignment horizontal="center"/>
      <protection locked="0"/>
    </xf>
    <xf numFmtId="0" fontId="7" fillId="0" borderId="286" xfId="0" applyFont="1" applyBorder="1" applyAlignment="1">
      <alignment horizontal="center"/>
    </xf>
    <xf numFmtId="0" fontId="0" fillId="55" borderId="232" xfId="0" applyFill="1" applyBorder="1">
      <alignment horizontal="center" vertical="center"/>
    </xf>
    <xf numFmtId="1" fontId="0" fillId="51" borderId="232" xfId="0" applyNumberFormat="1" applyFill="1" applyBorder="1">
      <alignment horizontal="center" vertical="center"/>
    </xf>
    <xf numFmtId="0" fontId="8" fillId="51" borderId="284" xfId="43" applyFill="1" applyBorder="1">
      <alignment horizontal="center" vertical="center"/>
    </xf>
    <xf numFmtId="0" fontId="8" fillId="0" borderId="284" xfId="48" applyFill="1" applyBorder="1">
      <alignment horizontal="center" vertical="center"/>
    </xf>
    <xf numFmtId="0" fontId="0" fillId="51" borderId="323" xfId="48" applyFont="1" applyFill="1" applyBorder="1">
      <alignment horizontal="center" vertical="center"/>
    </xf>
    <xf numFmtId="0" fontId="0" fillId="73" borderId="284" xfId="0" applyFill="1" applyBorder="1">
      <alignment horizontal="center" vertical="center"/>
    </xf>
    <xf numFmtId="0" fontId="0" fillId="0" borderId="284" xfId="53" applyFont="1" applyBorder="1">
      <alignment horizontal="center" vertical="center"/>
    </xf>
    <xf numFmtId="0" fontId="0" fillId="51" borderId="297" xfId="0" applyFill="1" applyBorder="1" applyAlignment="1">
      <alignment horizontal="left" vertical="center" wrapText="1"/>
    </xf>
    <xf numFmtId="0" fontId="0" fillId="51" borderId="284" xfId="53" applyFont="1" applyFill="1" applyBorder="1">
      <alignment horizontal="center" vertical="center"/>
    </xf>
    <xf numFmtId="0" fontId="65" fillId="0" borderId="314" xfId="0" applyFont="1" applyBorder="1" applyAlignment="1" applyProtection="1">
      <alignment horizontal="left"/>
      <protection locked="0"/>
    </xf>
    <xf numFmtId="0" fontId="0" fillId="51" borderId="284" xfId="47" applyFont="1" applyFill="1" applyBorder="1">
      <alignment horizontal="center" vertical="center"/>
    </xf>
    <xf numFmtId="0" fontId="8" fillId="0" borderId="284" xfId="51" applyFont="1" applyFill="1" applyBorder="1">
      <alignment horizontal="center" vertical="center"/>
    </xf>
    <xf numFmtId="0" fontId="0" fillId="53" borderId="284" xfId="53" applyFont="1" applyFill="1" applyBorder="1">
      <alignment horizontal="center" vertical="center"/>
    </xf>
    <xf numFmtId="0" fontId="8" fillId="51" borderId="284" xfId="48" applyFill="1" applyBorder="1">
      <alignment horizontal="center" vertical="center"/>
    </xf>
    <xf numFmtId="0" fontId="0" fillId="0" borderId="284" xfId="44" applyFont="1" applyFill="1" applyBorder="1">
      <alignment horizontal="center" vertical="center"/>
    </xf>
    <xf numFmtId="49" fontId="0" fillId="0" borderId="284" xfId="0" applyNumberFormat="1" applyBorder="1">
      <alignment horizontal="center" vertical="center"/>
    </xf>
    <xf numFmtId="0" fontId="0" fillId="55" borderId="284" xfId="45" applyFont="1" applyBorder="1">
      <alignment horizontal="center" vertical="center"/>
    </xf>
    <xf numFmtId="0" fontId="19" fillId="0" borderId="296" xfId="0" applyFont="1" applyBorder="1" applyAlignment="1" applyProtection="1">
      <alignment horizontal="center"/>
      <protection locked="0"/>
    </xf>
    <xf numFmtId="0" fontId="0" fillId="69" borderId="297" xfId="0" applyFill="1" applyBorder="1" applyAlignment="1"/>
    <xf numFmtId="0" fontId="8" fillId="53" borderId="235" xfId="43" applyBorder="1">
      <alignment horizontal="center" vertical="center"/>
    </xf>
    <xf numFmtId="0" fontId="19" fillId="0" borderId="314" xfId="0" applyFont="1" applyBorder="1" applyAlignment="1" applyProtection="1">
      <alignment horizontal="center"/>
      <protection locked="0"/>
    </xf>
    <xf numFmtId="0" fontId="0" fillId="0" borderId="316" xfId="0" applyBorder="1" applyAlignment="1">
      <alignment horizontal="left" vertical="center"/>
    </xf>
    <xf numFmtId="0" fontId="0" fillId="51" borderId="324" xfId="0" applyFill="1" applyBorder="1">
      <alignment horizontal="center" vertical="center"/>
    </xf>
    <xf numFmtId="0" fontId="8" fillId="52" borderId="217" xfId="48" applyBorder="1">
      <alignment horizontal="center" vertical="center"/>
    </xf>
    <xf numFmtId="0" fontId="5" fillId="0" borderId="325" xfId="0" applyFont="1" applyBorder="1" applyAlignment="1" applyProtection="1">
      <alignment horizontal="center"/>
      <protection locked="0"/>
    </xf>
    <xf numFmtId="0" fontId="0" fillId="53" borderId="326" xfId="48" applyFont="1" applyFill="1" applyBorder="1">
      <alignment horizontal="center" vertical="center"/>
    </xf>
    <xf numFmtId="0" fontId="8" fillId="53" borderId="326" xfId="53" applyFill="1" applyBorder="1">
      <alignment horizontal="center" vertical="center"/>
    </xf>
    <xf numFmtId="0" fontId="8" fillId="51" borderId="326" xfId="53" applyFill="1" applyBorder="1">
      <alignment horizontal="center" vertical="center"/>
    </xf>
    <xf numFmtId="0" fontId="8" fillId="0" borderId="326" xfId="53" applyBorder="1">
      <alignment horizontal="center" vertical="center"/>
    </xf>
    <xf numFmtId="0" fontId="8" fillId="0" borderId="326" xfId="44" applyFill="1" applyBorder="1">
      <alignment horizontal="center" vertical="center"/>
    </xf>
    <xf numFmtId="0" fontId="8" fillId="53" borderId="326" xfId="43" applyBorder="1">
      <alignment horizontal="center" vertical="center"/>
    </xf>
    <xf numFmtId="0" fontId="5" fillId="0" borderId="327" xfId="0" applyFont="1" applyBorder="1" applyAlignment="1" applyProtection="1">
      <alignment horizontal="center"/>
      <protection locked="0"/>
    </xf>
    <xf numFmtId="0" fontId="0" fillId="0" borderId="328" xfId="0" applyBorder="1" applyAlignment="1">
      <alignment horizontal="left" vertical="center"/>
    </xf>
    <xf numFmtId="0" fontId="0" fillId="51" borderId="329" xfId="44" applyFont="1" applyFill="1" applyBorder="1">
      <alignment horizontal="center" vertical="center"/>
    </xf>
    <xf numFmtId="49" fontId="0" fillId="51" borderId="329" xfId="0" applyNumberFormat="1" applyFill="1" applyBorder="1">
      <alignment horizontal="center" vertical="center"/>
    </xf>
    <xf numFmtId="49" fontId="69" fillId="83" borderId="329" xfId="0" applyNumberFormat="1" applyFont="1" applyFill="1" applyBorder="1">
      <alignment horizontal="center" vertical="center"/>
    </xf>
    <xf numFmtId="49" fontId="0" fillId="53" borderId="329" xfId="0" applyNumberFormat="1" applyFill="1" applyBorder="1">
      <alignment horizontal="center" vertical="center"/>
    </xf>
    <xf numFmtId="49" fontId="71" fillId="53" borderId="329" xfId="0" applyNumberFormat="1" applyFont="1" applyFill="1" applyBorder="1">
      <alignment horizontal="center" vertical="center"/>
    </xf>
    <xf numFmtId="49" fontId="0" fillId="52" borderId="329" xfId="0" applyNumberFormat="1" applyFill="1" applyBorder="1">
      <alignment horizontal="center" vertical="center"/>
    </xf>
    <xf numFmtId="0" fontId="0" fillId="53" borderId="329" xfId="44" applyFont="1" applyFill="1" applyBorder="1">
      <alignment horizontal="center" vertical="center"/>
    </xf>
    <xf numFmtId="0" fontId="8" fillId="53" borderId="329" xfId="43" applyBorder="1">
      <alignment horizontal="center" vertical="center"/>
    </xf>
    <xf numFmtId="0" fontId="8" fillId="52" borderId="330" xfId="48" applyBorder="1">
      <alignment horizontal="center" vertical="center"/>
    </xf>
    <xf numFmtId="0" fontId="5" fillId="0" borderId="331" xfId="0" applyFont="1" applyBorder="1" applyAlignment="1" applyProtection="1">
      <alignment horizontal="center"/>
      <protection locked="0"/>
    </xf>
    <xf numFmtId="0" fontId="0" fillId="51" borderId="332" xfId="47" applyFont="1" applyFill="1" applyBorder="1">
      <alignment horizontal="center" vertical="center"/>
    </xf>
    <xf numFmtId="0" fontId="0" fillId="43" borderId="325" xfId="0" applyFill="1" applyBorder="1" applyAlignment="1" applyProtection="1">
      <alignment horizontal="center"/>
      <protection locked="0"/>
    </xf>
    <xf numFmtId="20" fontId="0" fillId="0" borderId="325" xfId="0" applyNumberFormat="1" applyBorder="1" applyAlignment="1">
      <alignment horizontal="left"/>
    </xf>
    <xf numFmtId="0" fontId="0" fillId="51" borderId="333" xfId="0" applyFill="1" applyBorder="1" applyAlignment="1">
      <alignment horizontal="left"/>
    </xf>
    <xf numFmtId="0" fontId="0" fillId="0" borderId="334" xfId="0" applyBorder="1" applyAlignment="1">
      <alignment horizontal="left"/>
    </xf>
    <xf numFmtId="0" fontId="0" fillId="0" borderId="335" xfId="0" applyBorder="1" applyAlignment="1">
      <alignment horizontal="left"/>
    </xf>
    <xf numFmtId="0" fontId="0" fillId="0" borderId="336" xfId="0" applyBorder="1" applyAlignment="1">
      <alignment horizontal="left"/>
    </xf>
    <xf numFmtId="0" fontId="0" fillId="51" borderId="336" xfId="0" applyFill="1" applyBorder="1" applyAlignment="1">
      <alignment horizontal="left"/>
    </xf>
    <xf numFmtId="0" fontId="0" fillId="0" borderId="325" xfId="0" applyBorder="1" applyAlignment="1">
      <alignment horizontal="left" vertical="center"/>
    </xf>
    <xf numFmtId="0" fontId="0" fillId="0" borderId="337" xfId="0" applyBorder="1">
      <alignment horizontal="center" vertical="center"/>
    </xf>
    <xf numFmtId="0" fontId="0" fillId="0" borderId="338" xfId="0" applyBorder="1">
      <alignment horizontal="center" vertical="center"/>
    </xf>
    <xf numFmtId="0" fontId="62" fillId="59" borderId="331" xfId="51" applyBorder="1">
      <alignment horizontal="center" vertical="center"/>
    </xf>
    <xf numFmtId="0" fontId="62" fillId="51" borderId="331" xfId="51" applyFill="1" applyBorder="1">
      <alignment horizontal="center" vertical="center"/>
    </xf>
    <xf numFmtId="0" fontId="0" fillId="53" borderId="331" xfId="47" applyFont="1" applyFill="1" applyBorder="1">
      <alignment horizontal="center" vertical="center"/>
    </xf>
    <xf numFmtId="0" fontId="0" fillId="55" borderId="331" xfId="47" applyFont="1" applyFill="1" applyBorder="1">
      <alignment horizontal="center" vertical="center"/>
    </xf>
    <xf numFmtId="0" fontId="59" fillId="0" borderId="339" xfId="0" applyFont="1" applyBorder="1" applyAlignment="1"/>
    <xf numFmtId="0" fontId="0" fillId="0" borderId="326" xfId="0" applyBorder="1" applyAlignment="1"/>
    <xf numFmtId="0" fontId="62" fillId="59" borderId="326" xfId="51" applyBorder="1">
      <alignment horizontal="center" vertical="center"/>
    </xf>
    <xf numFmtId="0" fontId="62" fillId="59" borderId="340" xfId="51" applyBorder="1">
      <alignment horizontal="center" vertical="center"/>
    </xf>
    <xf numFmtId="0" fontId="0" fillId="71" borderId="326" xfId="0" applyFill="1" applyBorder="1" applyAlignment="1"/>
    <xf numFmtId="49" fontId="0" fillId="0" borderId="326" xfId="0" applyNumberFormat="1" applyBorder="1">
      <alignment horizontal="center" vertical="center"/>
    </xf>
    <xf numFmtId="1" fontId="0" fillId="0" borderId="326" xfId="32" applyNumberFormat="1" applyFont="1" applyFill="1" applyBorder="1" applyAlignment="1">
      <alignment horizontal="center" vertical="center"/>
    </xf>
    <xf numFmtId="0" fontId="8" fillId="75" borderId="326" xfId="56" applyBorder="1">
      <alignment horizontal="center" vertical="center"/>
    </xf>
    <xf numFmtId="0" fontId="0" fillId="51" borderId="341" xfId="0" applyFill="1" applyBorder="1" applyAlignment="1" applyProtection="1">
      <alignment horizontal="left" vertical="center"/>
      <protection locked="0"/>
    </xf>
    <xf numFmtId="0" fontId="8" fillId="52" borderId="325" xfId="48" applyBorder="1">
      <alignment horizontal="center" vertical="center"/>
    </xf>
    <xf numFmtId="0" fontId="8" fillId="52" borderId="326" xfId="48" applyBorder="1">
      <alignment horizontal="center" vertical="center"/>
    </xf>
    <xf numFmtId="0" fontId="8" fillId="73" borderId="326" xfId="44" applyBorder="1">
      <alignment horizontal="center" vertical="center"/>
    </xf>
    <xf numFmtId="0" fontId="0" fillId="53" borderId="235" xfId="0" applyFill="1" applyBorder="1">
      <alignment horizontal="center" vertical="center"/>
    </xf>
    <xf numFmtId="49" fontId="0" fillId="53" borderId="235" xfId="0" applyNumberFormat="1" applyFill="1" applyBorder="1">
      <alignment horizontal="center" vertical="center"/>
    </xf>
    <xf numFmtId="49" fontId="0" fillId="55" borderId="326" xfId="0" applyNumberFormat="1" applyFill="1" applyBorder="1">
      <alignment horizontal="center" vertical="center"/>
    </xf>
    <xf numFmtId="0" fontId="8" fillId="0" borderId="326" xfId="43" applyFill="1" applyBorder="1">
      <alignment horizontal="center" vertical="center"/>
    </xf>
    <xf numFmtId="0" fontId="8" fillId="55" borderId="326" xfId="45" applyBorder="1">
      <alignment horizontal="center" vertical="center"/>
    </xf>
    <xf numFmtId="0" fontId="0" fillId="51" borderId="229" xfId="0" applyFill="1" applyBorder="1">
      <alignment horizontal="center" vertical="center"/>
    </xf>
    <xf numFmtId="0" fontId="5" fillId="0" borderId="342" xfId="0" applyFont="1" applyBorder="1" applyAlignment="1">
      <alignment horizontal="center"/>
    </xf>
    <xf numFmtId="0" fontId="0" fillId="51" borderId="343" xfId="0" applyFill="1" applyBorder="1">
      <alignment horizontal="center" vertical="center"/>
    </xf>
    <xf numFmtId="0" fontId="5" fillId="0" borderId="344" xfId="0" applyFont="1" applyBorder="1" applyAlignment="1" applyProtection="1">
      <alignment horizontal="center"/>
      <protection locked="0"/>
    </xf>
    <xf numFmtId="0" fontId="5" fillId="51" borderId="230" xfId="0" applyFont="1" applyFill="1" applyBorder="1" applyAlignment="1">
      <alignment horizontal="left"/>
    </xf>
    <xf numFmtId="0" fontId="0" fillId="0" borderId="345" xfId="0" applyBorder="1" applyAlignment="1">
      <alignment horizontal="center"/>
    </xf>
    <xf numFmtId="0" fontId="5" fillId="0" borderId="325" xfId="0" applyFont="1" applyBorder="1" applyAlignment="1">
      <alignment horizontal="left"/>
    </xf>
    <xf numFmtId="0" fontId="0" fillId="0" borderId="333" xfId="0" applyBorder="1" applyAlignment="1"/>
    <xf numFmtId="0" fontId="0" fillId="0" borderId="343" xfId="0" applyBorder="1" applyAlignment="1">
      <alignment horizontal="left"/>
    </xf>
    <xf numFmtId="0" fontId="0" fillId="51" borderId="333" xfId="0" applyFill="1" applyBorder="1" applyAlignment="1"/>
    <xf numFmtId="0" fontId="5" fillId="0" borderId="333" xfId="0" applyFont="1" applyBorder="1" applyAlignment="1"/>
    <xf numFmtId="0" fontId="5" fillId="0" borderId="343" xfId="0" applyFont="1" applyBorder="1" applyAlignment="1">
      <alignment horizontal="left"/>
    </xf>
    <xf numFmtId="0" fontId="0" fillId="0" borderId="325" xfId="0" applyBorder="1" applyAlignment="1">
      <alignment horizontal="center"/>
    </xf>
    <xf numFmtId="0" fontId="5" fillId="0" borderId="335" xfId="0" applyFont="1" applyBorder="1" applyAlignment="1">
      <alignment horizontal="left"/>
    </xf>
    <xf numFmtId="0" fontId="0" fillId="0" borderId="336" xfId="0" applyBorder="1" applyAlignment="1"/>
    <xf numFmtId="0" fontId="0" fillId="51" borderId="336" xfId="0" applyFill="1" applyBorder="1" applyAlignment="1"/>
    <xf numFmtId="0" fontId="10" fillId="0" borderId="335" xfId="0" applyFont="1" applyBorder="1" applyAlignment="1">
      <alignment horizontal="center"/>
    </xf>
    <xf numFmtId="0" fontId="0" fillId="0" borderId="346" xfId="0" applyBorder="1" applyAlignment="1">
      <alignment horizontal="center"/>
    </xf>
    <xf numFmtId="0" fontId="5" fillId="0" borderId="327" xfId="0" applyFont="1" applyBorder="1" applyAlignment="1">
      <alignment horizontal="left"/>
    </xf>
    <xf numFmtId="0" fontId="8" fillId="0" borderId="347" xfId="0" applyFont="1" applyBorder="1" applyAlignment="1">
      <alignment horizontal="left" vertical="center"/>
    </xf>
    <xf numFmtId="0" fontId="8" fillId="0" borderId="347" xfId="0" applyFont="1" applyBorder="1">
      <alignment horizontal="center" vertical="center"/>
    </xf>
    <xf numFmtId="0" fontId="8" fillId="51" borderId="347" xfId="0" applyFont="1" applyFill="1" applyBorder="1" applyAlignment="1">
      <alignment horizontal="left" vertical="center"/>
    </xf>
    <xf numFmtId="0" fontId="8" fillId="0" borderId="348" xfId="0" applyFont="1" applyBorder="1">
      <alignment horizontal="center" vertical="center"/>
    </xf>
    <xf numFmtId="0" fontId="8" fillId="0" borderId="327" xfId="0" applyFont="1" applyBorder="1" applyAlignment="1">
      <alignment horizontal="left" vertical="center"/>
    </xf>
    <xf numFmtId="0" fontId="8" fillId="0" borderId="347" xfId="0" applyFont="1" applyBorder="1" applyAlignment="1">
      <alignment horizontal="left"/>
    </xf>
    <xf numFmtId="0" fontId="8" fillId="0" borderId="348" xfId="0" applyFont="1" applyBorder="1" applyAlignment="1">
      <alignment horizontal="left" vertical="center"/>
    </xf>
    <xf numFmtId="0" fontId="0" fillId="0" borderId="347" xfId="0" applyBorder="1" applyAlignment="1"/>
    <xf numFmtId="0" fontId="8" fillId="73" borderId="232" xfId="56" applyFill="1" applyBorder="1">
      <alignment horizontal="center" vertical="center"/>
    </xf>
    <xf numFmtId="0" fontId="62" fillId="59" borderId="232" xfId="51" applyBorder="1">
      <alignment horizontal="center" vertical="center"/>
    </xf>
    <xf numFmtId="0" fontId="5" fillId="43" borderId="331" xfId="0" applyFont="1" applyFill="1" applyBorder="1" applyAlignment="1">
      <alignment horizontal="center"/>
    </xf>
    <xf numFmtId="0" fontId="0" fillId="51" borderId="331" xfId="0" applyFill="1" applyBorder="1" applyAlignment="1">
      <alignment horizontal="left" vertical="center"/>
    </xf>
    <xf numFmtId="0" fontId="0" fillId="51" borderId="331" xfId="51" applyFont="1" applyFill="1" applyBorder="1">
      <alignment horizontal="center" vertical="center"/>
    </xf>
    <xf numFmtId="0" fontId="5" fillId="43" borderId="332" xfId="0" applyFont="1" applyFill="1" applyBorder="1" applyAlignment="1">
      <alignment horizontal="center"/>
    </xf>
    <xf numFmtId="0" fontId="8" fillId="54" borderId="332" xfId="50" applyBorder="1">
      <alignment horizontal="center" vertical="center"/>
    </xf>
    <xf numFmtId="0" fontId="10" fillId="51" borderId="349" xfId="20" applyFont="1" applyFill="1" applyBorder="1" applyAlignment="1">
      <alignment horizontal="center" vertical="center"/>
    </xf>
    <xf numFmtId="0" fontId="0" fillId="0" borderId="327" xfId="0" applyBorder="1" applyAlignment="1">
      <alignment horizontal="left"/>
    </xf>
    <xf numFmtId="0" fontId="0" fillId="0" borderId="348" xfId="0" applyBorder="1" applyAlignment="1">
      <alignment horizontal="left"/>
    </xf>
    <xf numFmtId="0" fontId="0" fillId="51" borderId="347" xfId="0" applyFill="1" applyBorder="1" applyAlignment="1"/>
    <xf numFmtId="0" fontId="0" fillId="0" borderId="347" xfId="0" applyBorder="1" applyAlignment="1">
      <alignment horizontal="left"/>
    </xf>
    <xf numFmtId="0" fontId="0" fillId="0" borderId="327" xfId="0" applyBorder="1" applyAlignment="1">
      <alignment horizontal="center"/>
    </xf>
    <xf numFmtId="0" fontId="5" fillId="43" borderId="326" xfId="0" applyFont="1" applyFill="1" applyBorder="1" applyAlignment="1">
      <alignment horizontal="center"/>
    </xf>
    <xf numFmtId="0" fontId="0" fillId="53" borderId="326" xfId="44" applyFont="1" applyFill="1" applyBorder="1">
      <alignment horizontal="center" vertical="center"/>
    </xf>
    <xf numFmtId="0" fontId="0" fillId="51" borderId="326" xfId="43" applyFont="1" applyFill="1" applyBorder="1">
      <alignment horizontal="center" vertical="center"/>
    </xf>
    <xf numFmtId="0" fontId="0" fillId="51" borderId="326" xfId="46" applyFont="1" applyFill="1" applyBorder="1">
      <alignment horizontal="center" vertical="center"/>
    </xf>
    <xf numFmtId="0" fontId="60" fillId="0" borderId="335" xfId="0" applyFont="1" applyBorder="1" applyAlignment="1">
      <alignment horizontal="left" vertical="center"/>
    </xf>
    <xf numFmtId="0" fontId="8" fillId="0" borderId="326" xfId="48" applyFill="1" applyBorder="1">
      <alignment horizontal="center" vertical="center"/>
    </xf>
    <xf numFmtId="0" fontId="8" fillId="55" borderId="326" xfId="48" applyFill="1" applyBorder="1">
      <alignment horizontal="center" vertical="center"/>
    </xf>
    <xf numFmtId="0" fontId="0" fillId="73" borderId="326" xfId="44" applyFont="1" applyBorder="1">
      <alignment horizontal="center" vertical="center"/>
    </xf>
    <xf numFmtId="0" fontId="0" fillId="51" borderId="340" xfId="0" applyFill="1" applyBorder="1" applyAlignment="1">
      <alignment horizontal="left" vertical="center"/>
    </xf>
    <xf numFmtId="0" fontId="4" fillId="0" borderId="325" xfId="0" applyFont="1" applyBorder="1" applyAlignment="1">
      <alignment horizontal="left"/>
    </xf>
    <xf numFmtId="0" fontId="5" fillId="0" borderId="333" xfId="0" applyFont="1" applyBorder="1">
      <alignment horizontal="center" vertical="center"/>
    </xf>
    <xf numFmtId="0" fontId="0" fillId="51" borderId="347" xfId="0" applyFill="1" applyBorder="1">
      <alignment horizontal="center" vertical="center"/>
    </xf>
    <xf numFmtId="167" fontId="10" fillId="0" borderId="327" xfId="0" applyNumberFormat="1" applyFont="1" applyBorder="1" applyAlignment="1">
      <alignment horizontal="center"/>
    </xf>
    <xf numFmtId="0" fontId="8" fillId="51" borderId="331" xfId="0" applyFont="1" applyFill="1" applyBorder="1" applyAlignment="1">
      <alignment vertical="center"/>
    </xf>
    <xf numFmtId="0" fontId="0" fillId="51" borderId="331" xfId="0" applyFill="1" applyBorder="1" applyAlignment="1">
      <alignment vertical="center"/>
    </xf>
    <xf numFmtId="0" fontId="5" fillId="51" borderId="222" xfId="0" applyFont="1" applyFill="1" applyBorder="1" applyAlignment="1">
      <alignment horizontal="left"/>
    </xf>
    <xf numFmtId="0" fontId="4" fillId="0" borderId="340" xfId="0" applyFont="1" applyBorder="1">
      <alignment horizontal="center" vertical="center"/>
    </xf>
    <xf numFmtId="0" fontId="4" fillId="0" borderId="350" xfId="0" applyFont="1" applyBorder="1" applyAlignment="1">
      <alignment horizontal="left" vertical="center"/>
    </xf>
    <xf numFmtId="0" fontId="4" fillId="0" borderId="340" xfId="0" applyFont="1" applyBorder="1" applyAlignment="1">
      <alignment horizontal="left" vertical="center"/>
    </xf>
    <xf numFmtId="0" fontId="4" fillId="0" borderId="350" xfId="0" applyFont="1" applyBorder="1">
      <alignment horizontal="center" vertical="center"/>
    </xf>
    <xf numFmtId="49" fontId="4" fillId="0" borderId="340" xfId="0" applyNumberFormat="1" applyFont="1" applyBorder="1">
      <alignment horizontal="center" vertical="center"/>
    </xf>
    <xf numFmtId="0" fontId="4" fillId="51" borderId="351" xfId="0" applyFont="1" applyFill="1" applyBorder="1" applyAlignment="1">
      <alignment horizontal="left" vertical="center"/>
    </xf>
    <xf numFmtId="0" fontId="4" fillId="0" borderId="351" xfId="0" applyFont="1" applyBorder="1">
      <alignment horizontal="center" vertical="center"/>
    </xf>
    <xf numFmtId="0" fontId="4" fillId="0" borderId="351" xfId="0" applyFont="1" applyBorder="1" applyAlignment="1">
      <alignment horizontal="left" vertical="center"/>
    </xf>
    <xf numFmtId="49" fontId="8" fillId="0" borderId="340" xfId="0" applyNumberFormat="1" applyFont="1" applyBorder="1">
      <alignment horizontal="center" vertical="center"/>
    </xf>
    <xf numFmtId="0" fontId="8" fillId="0" borderId="350" xfId="0" applyFont="1" applyBorder="1">
      <alignment horizontal="center" vertical="center"/>
    </xf>
    <xf numFmtId="0" fontId="4" fillId="51" borderId="350" xfId="0" applyFont="1" applyFill="1" applyBorder="1" applyAlignment="1">
      <alignment horizontal="left" vertical="center"/>
    </xf>
    <xf numFmtId="0" fontId="0" fillId="0" borderId="352" xfId="0" applyBorder="1">
      <alignment horizontal="center" vertical="center"/>
    </xf>
    <xf numFmtId="0" fontId="15" fillId="0" borderId="350" xfId="0" applyFont="1" applyBorder="1">
      <alignment horizontal="center" vertical="center"/>
    </xf>
    <xf numFmtId="49" fontId="15" fillId="0" borderId="340" xfId="0" applyNumberFormat="1" applyFont="1" applyBorder="1">
      <alignment horizontal="center" vertical="center"/>
    </xf>
    <xf numFmtId="0" fontId="15" fillId="0" borderId="351" xfId="0" applyFont="1" applyBorder="1">
      <alignment horizontal="center" vertical="center"/>
    </xf>
    <xf numFmtId="49" fontId="0" fillId="0" borderId="352" xfId="0" applyNumberFormat="1" applyBorder="1">
      <alignment horizontal="center" vertical="center"/>
    </xf>
    <xf numFmtId="0" fontId="0" fillId="0" borderId="353" xfId="0" applyBorder="1">
      <alignment horizontal="center" vertical="center"/>
    </xf>
    <xf numFmtId="49" fontId="0" fillId="0" borderId="351" xfId="0" applyNumberFormat="1" applyBorder="1">
      <alignment horizontal="center" vertical="center"/>
    </xf>
    <xf numFmtId="49" fontId="0" fillId="0" borderId="340" xfId="0" applyNumberFormat="1" applyBorder="1">
      <alignment horizontal="center" vertical="center"/>
    </xf>
    <xf numFmtId="0" fontId="10" fillId="0" borderId="351" xfId="0" applyFont="1" applyBorder="1">
      <alignment horizontal="center" vertical="center"/>
    </xf>
    <xf numFmtId="0" fontId="7" fillId="0" borderId="339" xfId="0" applyFont="1" applyBorder="1" applyAlignment="1">
      <alignment horizontal="center"/>
    </xf>
    <xf numFmtId="0" fontId="0" fillId="51" borderId="326" xfId="0" applyFill="1" applyBorder="1" applyAlignment="1">
      <alignment horizontal="left" vertical="center" wrapText="1"/>
    </xf>
    <xf numFmtId="0" fontId="8" fillId="51" borderId="326" xfId="48" applyFill="1" applyBorder="1">
      <alignment horizontal="center" vertical="center"/>
    </xf>
    <xf numFmtId="0" fontId="0" fillId="53" borderId="326" xfId="43" applyFont="1" applyBorder="1">
      <alignment horizontal="center" vertical="center"/>
    </xf>
    <xf numFmtId="0" fontId="0" fillId="0" borderId="326" xfId="0" applyBorder="1" applyAlignment="1">
      <alignment vertical="center"/>
    </xf>
    <xf numFmtId="0" fontId="0" fillId="0" borderId="340" xfId="0" applyBorder="1" applyAlignment="1">
      <alignment vertical="center"/>
    </xf>
    <xf numFmtId="0" fontId="0" fillId="51" borderId="326" xfId="0" applyFill="1" applyBorder="1" applyAlignment="1">
      <alignment horizontal="left" vertical="center"/>
    </xf>
    <xf numFmtId="0" fontId="5" fillId="0" borderId="326" xfId="0" applyFont="1" applyBorder="1" applyAlignment="1">
      <alignment horizontal="center"/>
    </xf>
    <xf numFmtId="0" fontId="0" fillId="51" borderId="230" xfId="0" applyFill="1" applyBorder="1" applyAlignment="1">
      <alignment horizontal="left" vertical="center"/>
    </xf>
    <xf numFmtId="0" fontId="5" fillId="0" borderId="339" xfId="0" applyFont="1" applyBorder="1" applyAlignment="1">
      <alignment horizontal="center"/>
    </xf>
    <xf numFmtId="0" fontId="5" fillId="0" borderId="333" xfId="0" applyFont="1" applyBorder="1" applyAlignment="1">
      <alignment horizontal="left"/>
    </xf>
    <xf numFmtId="0" fontId="0" fillId="0" borderId="343" xfId="0" applyBorder="1" applyAlignment="1">
      <alignment horizontal="left" vertical="center"/>
    </xf>
    <xf numFmtId="0" fontId="0" fillId="0" borderId="354" xfId="0" applyBorder="1" applyAlignment="1">
      <alignment horizontal="left" vertical="center"/>
    </xf>
    <xf numFmtId="0" fontId="0" fillId="51" borderId="333" xfId="0" applyFill="1" applyBorder="1" applyAlignment="1">
      <alignment horizontal="left" vertical="center"/>
    </xf>
    <xf numFmtId="49" fontId="0" fillId="0" borderId="325" xfId="0" applyNumberFormat="1" applyBorder="1" applyAlignment="1">
      <alignment horizontal="left"/>
    </xf>
    <xf numFmtId="49" fontId="0" fillId="0" borderId="325" xfId="0" applyNumberFormat="1" applyBorder="1" applyAlignment="1">
      <alignment horizontal="left" vertical="center"/>
    </xf>
    <xf numFmtId="0" fontId="4" fillId="0" borderId="326" xfId="0" applyFont="1" applyBorder="1" applyAlignment="1">
      <alignment horizontal="center"/>
    </xf>
    <xf numFmtId="0" fontId="0" fillId="0" borderId="355" xfId="0" applyBorder="1" applyAlignment="1">
      <alignment horizontal="left" vertical="center"/>
    </xf>
    <xf numFmtId="0" fontId="0" fillId="51" borderId="347" xfId="0" applyFill="1" applyBorder="1" applyAlignment="1">
      <alignment horizontal="left" vertical="center"/>
    </xf>
    <xf numFmtId="0" fontId="0" fillId="0" borderId="327" xfId="0" applyBorder="1" applyAlignment="1">
      <alignment horizontal="left" vertical="center"/>
    </xf>
    <xf numFmtId="49" fontId="0" fillId="0" borderId="327" xfId="0" applyNumberFormat="1" applyBorder="1" applyAlignment="1">
      <alignment horizontal="left"/>
    </xf>
    <xf numFmtId="0" fontId="5" fillId="0" borderId="326" xfId="0" applyFont="1" applyBorder="1" applyAlignment="1" applyProtection="1">
      <alignment horizontal="center"/>
      <protection locked="0"/>
    </xf>
    <xf numFmtId="0" fontId="5" fillId="0" borderId="326" xfId="0" applyFont="1" applyBorder="1" applyAlignment="1">
      <alignment horizontal="left"/>
    </xf>
    <xf numFmtId="0" fontId="0" fillId="0" borderId="326" xfId="0" applyBorder="1" applyAlignment="1" applyProtection="1">
      <alignment horizontal="center"/>
      <protection locked="0"/>
    </xf>
    <xf numFmtId="0" fontId="0" fillId="0" borderId="326" xfId="0" applyBorder="1" applyAlignment="1">
      <alignment horizontal="left"/>
    </xf>
    <xf numFmtId="0" fontId="5" fillId="76" borderId="326" xfId="0" applyFont="1" applyFill="1" applyBorder="1" applyAlignment="1">
      <alignment vertical="center"/>
    </xf>
    <xf numFmtId="0" fontId="0" fillId="76" borderId="326" xfId="43" applyFont="1" applyFill="1" applyBorder="1">
      <alignment horizontal="center" vertical="center"/>
    </xf>
    <xf numFmtId="0" fontId="0" fillId="76" borderId="326" xfId="0" applyFill="1" applyBorder="1">
      <alignment horizontal="center" vertical="center"/>
    </xf>
    <xf numFmtId="0" fontId="0" fillId="53" borderId="331" xfId="0" applyFill="1" applyBorder="1">
      <alignment horizontal="center" vertical="center"/>
    </xf>
    <xf numFmtId="0" fontId="4" fillId="0" borderId="326" xfId="0" applyFont="1" applyBorder="1" applyAlignment="1" applyProtection="1">
      <alignment horizontal="center"/>
      <protection locked="0"/>
    </xf>
    <xf numFmtId="0" fontId="0" fillId="51" borderId="331" xfId="50" applyFont="1" applyFill="1" applyBorder="1">
      <alignment horizontal="center" vertical="center"/>
    </xf>
    <xf numFmtId="0" fontId="8" fillId="51" borderId="331" xfId="50" applyFill="1" applyBorder="1">
      <alignment horizontal="center" vertical="center"/>
    </xf>
    <xf numFmtId="0" fontId="5" fillId="0" borderId="345" xfId="0" applyFont="1" applyBorder="1" applyAlignment="1">
      <alignment horizontal="center"/>
    </xf>
    <xf numFmtId="0" fontId="5" fillId="0" borderId="346" xfId="0" applyFont="1" applyBorder="1" applyAlignment="1">
      <alignment horizontal="center"/>
    </xf>
    <xf numFmtId="0" fontId="4" fillId="0" borderId="333" xfId="0" applyFont="1" applyBorder="1" applyAlignment="1">
      <alignment horizontal="left"/>
    </xf>
    <xf numFmtId="0" fontId="4" fillId="51" borderId="333" xfId="0" applyFont="1" applyFill="1" applyBorder="1" applyAlignment="1">
      <alignment horizontal="left"/>
    </xf>
    <xf numFmtId="0" fontId="0" fillId="43" borderId="331" xfId="0" applyFill="1" applyBorder="1" applyAlignment="1">
      <alignment horizontal="center"/>
    </xf>
    <xf numFmtId="0" fontId="47" fillId="0" borderId="331" xfId="0" applyFont="1" applyBorder="1" applyAlignment="1">
      <alignment horizontal="left" vertical="center"/>
    </xf>
    <xf numFmtId="0" fontId="0" fillId="24" borderId="331" xfId="0" applyFill="1" applyBorder="1" applyAlignment="1" applyProtection="1">
      <alignment horizontal="center"/>
      <protection locked="0"/>
    </xf>
    <xf numFmtId="0" fontId="5" fillId="77" borderId="331" xfId="0" applyFont="1" applyFill="1" applyBorder="1">
      <alignment horizontal="center" vertical="center"/>
    </xf>
    <xf numFmtId="0" fontId="0" fillId="76" borderId="331" xfId="0" applyFill="1" applyBorder="1">
      <alignment horizontal="center" vertical="center"/>
    </xf>
    <xf numFmtId="0" fontId="0" fillId="0" borderId="331" xfId="0" applyBorder="1" applyAlignment="1" applyProtection="1">
      <alignment horizontal="center"/>
      <protection locked="0"/>
    </xf>
    <xf numFmtId="0" fontId="0" fillId="0" borderId="332" xfId="0" applyBorder="1" applyAlignment="1" applyProtection="1">
      <alignment horizontal="center"/>
      <protection locked="0"/>
    </xf>
    <xf numFmtId="0" fontId="0" fillId="54" borderId="332" xfId="48" applyFont="1" applyFill="1" applyBorder="1">
      <alignment horizontal="center" vertical="center"/>
    </xf>
    <xf numFmtId="0" fontId="0" fillId="53" borderId="332" xfId="48" applyFont="1" applyFill="1" applyBorder="1">
      <alignment horizontal="center" vertical="center"/>
    </xf>
    <xf numFmtId="49" fontId="0" fillId="0" borderId="325" xfId="0" applyNumberFormat="1" applyBorder="1" applyAlignment="1"/>
    <xf numFmtId="0" fontId="0" fillId="0" borderId="326" xfId="0" applyBorder="1" applyAlignment="1" applyProtection="1">
      <alignment horizontal="left"/>
      <protection locked="0"/>
    </xf>
    <xf numFmtId="0" fontId="0" fillId="0" borderId="339" xfId="0" applyBorder="1" applyAlignment="1" applyProtection="1">
      <alignment horizontal="center"/>
      <protection locked="0"/>
    </xf>
    <xf numFmtId="0" fontId="0" fillId="51" borderId="339" xfId="0" applyFill="1" applyBorder="1">
      <alignment horizontal="center" vertical="center"/>
    </xf>
    <xf numFmtId="0" fontId="7" fillId="44" borderId="325" xfId="0" applyFont="1" applyFill="1" applyBorder="1" applyAlignment="1">
      <alignment horizontal="left"/>
    </xf>
    <xf numFmtId="0" fontId="7" fillId="25" borderId="325" xfId="0" applyFont="1" applyFill="1" applyBorder="1">
      <alignment horizontal="center" vertical="center"/>
    </xf>
    <xf numFmtId="0" fontId="8" fillId="25" borderId="333" xfId="0" applyFont="1" applyFill="1" applyBorder="1">
      <alignment horizontal="center" vertical="center"/>
    </xf>
    <xf numFmtId="0" fontId="7" fillId="29" borderId="325" xfId="0" applyFont="1" applyFill="1" applyBorder="1" applyAlignment="1">
      <alignment horizontal="left"/>
    </xf>
    <xf numFmtId="0" fontId="7" fillId="29" borderId="333" xfId="0" applyFont="1" applyFill="1" applyBorder="1" applyAlignment="1">
      <alignment horizontal="left"/>
    </xf>
    <xf numFmtId="0" fontId="8" fillId="29" borderId="333" xfId="0" applyFont="1" applyFill="1" applyBorder="1">
      <alignment horizontal="center" vertical="center"/>
    </xf>
    <xf numFmtId="0" fontId="8" fillId="29" borderId="343" xfId="0" applyFont="1" applyFill="1" applyBorder="1">
      <alignment horizontal="center" vertical="center"/>
    </xf>
    <xf numFmtId="0" fontId="7" fillId="37" borderId="325" xfId="0" applyFont="1" applyFill="1" applyBorder="1" applyAlignment="1">
      <alignment horizontal="left"/>
    </xf>
    <xf numFmtId="0" fontId="7" fillId="37" borderId="333" xfId="0" applyFont="1" applyFill="1" applyBorder="1" applyAlignment="1">
      <alignment horizontal="left"/>
    </xf>
    <xf numFmtId="0" fontId="0" fillId="37" borderId="333" xfId="0" applyFill="1" applyBorder="1">
      <alignment horizontal="center" vertical="center"/>
    </xf>
    <xf numFmtId="0" fontId="7" fillId="45" borderId="325" xfId="0" applyFont="1" applyFill="1" applyBorder="1" applyAlignment="1">
      <alignment horizontal="left"/>
    </xf>
    <xf numFmtId="0" fontId="0" fillId="45" borderId="333" xfId="0" applyFill="1" applyBorder="1">
      <alignment horizontal="center" vertical="center"/>
    </xf>
    <xf numFmtId="0" fontId="8" fillId="45" borderId="333" xfId="0" applyFont="1" applyFill="1" applyBorder="1">
      <alignment horizontal="center" vertical="center"/>
    </xf>
    <xf numFmtId="0" fontId="8" fillId="77" borderId="343" xfId="0" applyFont="1" applyFill="1" applyBorder="1">
      <alignment horizontal="center" vertical="center"/>
    </xf>
    <xf numFmtId="0" fontId="7" fillId="24" borderId="325" xfId="0" applyFont="1" applyFill="1" applyBorder="1">
      <alignment horizontal="center" vertical="center"/>
    </xf>
    <xf numFmtId="0" fontId="0" fillId="24" borderId="333" xfId="0" applyFill="1" applyBorder="1">
      <alignment horizontal="center" vertical="center"/>
    </xf>
    <xf numFmtId="0" fontId="8" fillId="24" borderId="333" xfId="0" applyFont="1" applyFill="1" applyBorder="1">
      <alignment horizontal="center" vertical="center"/>
    </xf>
    <xf numFmtId="0" fontId="7" fillId="40" borderId="325" xfId="0" applyFont="1" applyFill="1" applyBorder="1" applyAlignment="1">
      <alignment horizontal="left"/>
    </xf>
    <xf numFmtId="0" fontId="8" fillId="40" borderId="333" xfId="0" applyFont="1" applyFill="1" applyBorder="1">
      <alignment horizontal="center" vertical="center"/>
    </xf>
    <xf numFmtId="0" fontId="0" fillId="40" borderId="343" xfId="0" applyFill="1" applyBorder="1">
      <alignment horizontal="center" vertical="center"/>
    </xf>
    <xf numFmtId="0" fontId="0" fillId="46" borderId="336" xfId="0" applyFill="1" applyBorder="1">
      <alignment horizontal="center" vertical="center"/>
    </xf>
    <xf numFmtId="0" fontId="8" fillId="46" borderId="336" xfId="0" applyFont="1" applyFill="1" applyBorder="1">
      <alignment horizontal="center" vertical="center"/>
    </xf>
    <xf numFmtId="0" fontId="8" fillId="46" borderId="334" xfId="0" applyFont="1" applyFill="1" applyBorder="1">
      <alignment horizontal="center" vertical="center"/>
    </xf>
    <xf numFmtId="0" fontId="7" fillId="0" borderId="335" xfId="0" applyFont="1" applyBorder="1" applyAlignment="1">
      <alignment horizontal="left" vertical="center"/>
    </xf>
    <xf numFmtId="0" fontId="8" fillId="0" borderId="336" xfId="0" applyFont="1" applyBorder="1">
      <alignment horizontal="center" vertical="center"/>
    </xf>
    <xf numFmtId="0" fontId="62" fillId="58" borderId="331" xfId="49" applyBorder="1">
      <alignment horizontal="center" vertical="center"/>
    </xf>
    <xf numFmtId="0" fontId="62" fillId="59" borderId="325" xfId="51" applyBorder="1" applyAlignment="1">
      <alignment horizontal="center" vertical="center"/>
    </xf>
    <xf numFmtId="0" fontId="62" fillId="59" borderId="333" xfId="51" applyBorder="1" applyAlignment="1">
      <alignment horizontal="center" vertical="center"/>
    </xf>
    <xf numFmtId="0" fontId="62" fillId="59" borderId="343" xfId="51" applyBorder="1" applyAlignment="1">
      <alignment horizontal="center" vertical="center"/>
    </xf>
    <xf numFmtId="0" fontId="8" fillId="0" borderId="325" xfId="0" applyFont="1" applyBorder="1" applyAlignment="1">
      <alignment horizontal="left"/>
    </xf>
    <xf numFmtId="0" fontId="0" fillId="0" borderId="333" xfId="0" applyBorder="1">
      <alignment horizontal="center" vertical="center"/>
    </xf>
    <xf numFmtId="0" fontId="8" fillId="0" borderId="333" xfId="0" applyFont="1" applyBorder="1" applyAlignment="1">
      <alignment horizontal="left"/>
    </xf>
    <xf numFmtId="0" fontId="8" fillId="48" borderId="325" xfId="0" applyFont="1" applyFill="1" applyBorder="1" applyAlignment="1">
      <alignment horizontal="left" vertical="center"/>
    </xf>
    <xf numFmtId="0" fontId="8" fillId="48" borderId="333" xfId="0" applyFont="1" applyFill="1" applyBorder="1">
      <alignment horizontal="center" vertical="center"/>
    </xf>
    <xf numFmtId="0" fontId="0" fillId="75" borderId="340" xfId="56" applyFont="1" applyBorder="1" applyAlignment="1">
      <alignment horizontal="center" vertical="center"/>
    </xf>
    <xf numFmtId="0" fontId="0" fillId="75" borderId="351" xfId="56" applyFont="1" applyBorder="1" applyAlignment="1">
      <alignment horizontal="center" vertical="center"/>
    </xf>
    <xf numFmtId="0" fontId="0" fillId="0" borderId="344" xfId="0" applyBorder="1">
      <alignment horizontal="center" vertical="center"/>
    </xf>
    <xf numFmtId="0" fontId="5" fillId="0" borderId="344" xfId="0" applyFont="1" applyBorder="1" applyAlignment="1">
      <alignment horizontal="center"/>
    </xf>
    <xf numFmtId="0" fontId="8" fillId="0" borderId="344" xfId="0" applyFont="1" applyBorder="1">
      <alignment horizontal="center" vertical="center"/>
    </xf>
    <xf numFmtId="0" fontId="8" fillId="0" borderId="331" xfId="0" applyFont="1" applyBorder="1">
      <alignment horizontal="center" vertical="center"/>
    </xf>
    <xf numFmtId="0" fontId="0" fillId="0" borderId="331" xfId="0" applyBorder="1">
      <alignment horizontal="center" vertical="center"/>
    </xf>
    <xf numFmtId="0" fontId="5" fillId="0" borderId="331" xfId="0" applyFont="1" applyBorder="1" applyAlignment="1">
      <alignment horizontal="center"/>
    </xf>
    <xf numFmtId="0" fontId="5" fillId="0" borderId="340" xfId="0" applyFont="1" applyBorder="1" applyAlignment="1">
      <alignment horizontal="left" vertical="center"/>
    </xf>
    <xf numFmtId="0" fontId="0" fillId="0" borderId="340" xfId="0" applyBorder="1">
      <alignment horizontal="center" vertical="center"/>
    </xf>
    <xf numFmtId="0" fontId="60" fillId="0" borderId="356" xfId="0" applyFont="1" applyBorder="1" applyAlignment="1">
      <alignment horizontal="left" vertical="center"/>
    </xf>
    <xf numFmtId="0" fontId="5" fillId="0" borderId="351" xfId="0" applyFont="1" applyBorder="1" applyAlignment="1">
      <alignment horizontal="left" vertical="center"/>
    </xf>
    <xf numFmtId="0" fontId="0" fillId="0" borderId="350" xfId="0" applyBorder="1">
      <alignment horizontal="center" vertical="center"/>
    </xf>
    <xf numFmtId="0" fontId="0" fillId="0" borderId="351" xfId="0" applyBorder="1">
      <alignment horizontal="center" vertical="center"/>
    </xf>
    <xf numFmtId="0" fontId="14" fillId="0" borderId="351" xfId="0" applyFont="1" applyBorder="1">
      <alignment horizontal="center" vertical="center"/>
    </xf>
    <xf numFmtId="0" fontId="60" fillId="0" borderId="340" xfId="0" applyFont="1" applyBorder="1" applyAlignment="1">
      <alignment horizontal="left" vertical="center"/>
    </xf>
    <xf numFmtId="0" fontId="0" fillId="0" borderId="351" xfId="0" applyBorder="1" applyAlignment="1">
      <alignment horizontal="left" vertical="center"/>
    </xf>
    <xf numFmtId="0" fontId="0" fillId="0" borderId="350" xfId="0" applyBorder="1" applyAlignment="1">
      <alignment horizontal="left" vertical="center"/>
    </xf>
    <xf numFmtId="0" fontId="60" fillId="0" borderId="352" xfId="0" applyFont="1" applyBorder="1" applyAlignment="1">
      <alignment horizontal="left" vertical="center"/>
    </xf>
    <xf numFmtId="0" fontId="74" fillId="0" borderId="351" xfId="0" applyFont="1" applyBorder="1">
      <alignment horizontal="center" vertical="center"/>
    </xf>
    <xf numFmtId="0" fontId="5" fillId="0" borderId="351" xfId="0" applyFont="1" applyBorder="1">
      <alignment horizontal="center" vertical="center"/>
    </xf>
    <xf numFmtId="0" fontId="60" fillId="0" borderId="357" xfId="0" applyFont="1" applyBorder="1" applyAlignment="1">
      <alignment horizontal="left" vertical="center"/>
    </xf>
    <xf numFmtId="0" fontId="0" fillId="52" borderId="232" xfId="43" applyFont="1" applyFill="1" applyBorder="1">
      <alignment horizontal="center" vertical="center"/>
    </xf>
    <xf numFmtId="0" fontId="0" fillId="51" borderId="331" xfId="44" applyFont="1" applyFill="1" applyBorder="1">
      <alignment horizontal="center" vertical="center"/>
    </xf>
    <xf numFmtId="0" fontId="0" fillId="43" borderId="331" xfId="0" applyFill="1" applyBorder="1" applyAlignment="1" applyProtection="1">
      <alignment horizontal="center"/>
      <protection locked="0"/>
    </xf>
    <xf numFmtId="0" fontId="0" fillId="0" borderId="331" xfId="0" applyBorder="1" applyAlignment="1">
      <alignment horizontal="left" vertical="center"/>
    </xf>
    <xf numFmtId="0" fontId="0" fillId="51" borderId="331" xfId="48" applyFont="1" applyFill="1" applyBorder="1">
      <alignment horizontal="center" vertical="center"/>
    </xf>
    <xf numFmtId="0" fontId="0" fillId="51" borderId="331" xfId="43" applyFont="1" applyFill="1" applyBorder="1">
      <alignment horizontal="center" vertical="center"/>
    </xf>
    <xf numFmtId="0" fontId="0" fillId="84" borderId="331" xfId="43" applyFont="1" applyFill="1" applyBorder="1">
      <alignment horizontal="center" vertical="center"/>
    </xf>
    <xf numFmtId="0" fontId="8" fillId="52" borderId="331" xfId="48" applyBorder="1">
      <alignment horizontal="center" vertical="center"/>
    </xf>
    <xf numFmtId="0" fontId="0" fillId="0" borderId="332" xfId="0" applyBorder="1" applyAlignment="1">
      <alignment horizontal="left" vertical="center"/>
    </xf>
    <xf numFmtId="0" fontId="8" fillId="52" borderId="332" xfId="48" applyBorder="1">
      <alignment horizontal="center" vertical="center"/>
    </xf>
    <xf numFmtId="0" fontId="0" fillId="51" borderId="332" xfId="43" applyFont="1" applyFill="1" applyBorder="1">
      <alignment horizontal="center" vertical="center"/>
    </xf>
    <xf numFmtId="0" fontId="0" fillId="51" borderId="358" xfId="43" applyFont="1" applyFill="1" applyBorder="1">
      <alignment horizontal="center" vertical="center"/>
    </xf>
    <xf numFmtId="0" fontId="0" fillId="51" borderId="358" xfId="44" applyFont="1" applyFill="1" applyBorder="1">
      <alignment horizontal="center" vertical="center"/>
    </xf>
    <xf numFmtId="0" fontId="0" fillId="51" borderId="205" xfId="43" applyFont="1" applyFill="1" applyBorder="1">
      <alignment horizontal="center" vertical="center"/>
    </xf>
    <xf numFmtId="0" fontId="8" fillId="55" borderId="332" xfId="45" applyBorder="1">
      <alignment horizontal="center" vertical="center"/>
    </xf>
    <xf numFmtId="0" fontId="0" fillId="51" borderId="332" xfId="48" applyFont="1" applyFill="1" applyBorder="1">
      <alignment horizontal="center" vertical="center"/>
    </xf>
    <xf numFmtId="0" fontId="5" fillId="77" borderId="359" xfId="0" applyFont="1" applyFill="1" applyBorder="1" applyAlignment="1">
      <alignment horizontal="left" vertical="center"/>
    </xf>
    <xf numFmtId="0" fontId="0" fillId="77" borderId="360" xfId="0" applyFill="1" applyBorder="1">
      <alignment horizontal="center" vertical="center"/>
    </xf>
    <xf numFmtId="0" fontId="8" fillId="53" borderId="360" xfId="43" applyBorder="1">
      <alignment horizontal="center" vertical="center"/>
    </xf>
    <xf numFmtId="0" fontId="8" fillId="0" borderId="360" xfId="0" applyFont="1" applyBorder="1" applyAlignment="1">
      <alignment horizontal="left" vertical="center"/>
    </xf>
    <xf numFmtId="0" fontId="8" fillId="55" borderId="360" xfId="53" applyFill="1" applyBorder="1">
      <alignment horizontal="center" vertical="center"/>
    </xf>
    <xf numFmtId="0" fontId="0" fillId="51" borderId="360" xfId="0" applyFill="1" applyBorder="1">
      <alignment horizontal="center" vertical="center"/>
    </xf>
    <xf numFmtId="0" fontId="0" fillId="55" borderId="360" xfId="0" applyFill="1" applyBorder="1">
      <alignment horizontal="center" vertical="center"/>
    </xf>
    <xf numFmtId="1" fontId="0" fillId="51" borderId="360" xfId="0" applyNumberFormat="1" applyFill="1" applyBorder="1">
      <alignment horizontal="center" vertical="center"/>
    </xf>
    <xf numFmtId="1" fontId="0" fillId="51" borderId="360" xfId="32" applyNumberFormat="1" applyFont="1" applyFill="1" applyBorder="1" applyAlignment="1">
      <alignment horizontal="center" vertical="center"/>
    </xf>
    <xf numFmtId="0" fontId="8" fillId="75" borderId="360" xfId="56" applyBorder="1">
      <alignment horizontal="center" vertical="center"/>
    </xf>
    <xf numFmtId="0" fontId="8" fillId="0" borderId="360" xfId="53" applyBorder="1">
      <alignment horizontal="center" vertical="center"/>
    </xf>
    <xf numFmtId="1" fontId="0" fillId="51" borderId="360" xfId="20" applyNumberFormat="1" applyFont="1" applyFill="1" applyBorder="1" applyAlignment="1">
      <alignment horizontal="center" vertical="center"/>
    </xf>
    <xf numFmtId="0" fontId="0" fillId="51" borderId="360" xfId="20" applyFont="1" applyFill="1" applyBorder="1" applyAlignment="1">
      <alignment horizontal="center" vertical="center"/>
    </xf>
    <xf numFmtId="0" fontId="8" fillId="74" borderId="360" xfId="47" applyBorder="1">
      <alignment horizontal="center" vertical="center"/>
    </xf>
    <xf numFmtId="0" fontId="0" fillId="43" borderId="359" xfId="0" applyFill="1" applyBorder="1" applyAlignment="1" applyProtection="1">
      <alignment horizontal="center"/>
      <protection locked="0"/>
    </xf>
    <xf numFmtId="0" fontId="0" fillId="0" borderId="359" xfId="0" applyBorder="1" applyAlignment="1">
      <alignment horizontal="left" vertical="center"/>
    </xf>
    <xf numFmtId="0" fontId="0" fillId="51" borderId="339" xfId="48" applyFont="1" applyFill="1" applyBorder="1">
      <alignment horizontal="center" vertical="center"/>
    </xf>
    <xf numFmtId="0" fontId="0" fillId="55" borderId="360" xfId="48" applyFont="1" applyFill="1" applyBorder="1">
      <alignment horizontal="center" vertical="center"/>
    </xf>
    <xf numFmtId="1" fontId="0" fillId="55" borderId="360" xfId="0" applyNumberFormat="1" applyFill="1" applyBorder="1">
      <alignment horizontal="center" vertical="center"/>
    </xf>
    <xf numFmtId="0" fontId="8" fillId="55" borderId="360" xfId="45" applyBorder="1">
      <alignment horizontal="center" vertical="center"/>
    </xf>
    <xf numFmtId="1" fontId="0" fillId="51" borderId="360" xfId="44" applyNumberFormat="1" applyFont="1" applyFill="1" applyBorder="1">
      <alignment horizontal="center" vertical="center"/>
    </xf>
    <xf numFmtId="49" fontId="0" fillId="51" borderId="360" xfId="0" applyNumberFormat="1" applyFill="1" applyBorder="1">
      <alignment horizontal="center" vertical="center"/>
    </xf>
    <xf numFmtId="0" fontId="8" fillId="73" borderId="360" xfId="44" applyBorder="1">
      <alignment horizontal="center" vertical="center"/>
    </xf>
    <xf numFmtId="0" fontId="52" fillId="56" borderId="360" xfId="46" applyBorder="1">
      <alignment horizontal="center" vertical="center"/>
    </xf>
    <xf numFmtId="0" fontId="0" fillId="43" borderId="361" xfId="0" applyFill="1" applyBorder="1" applyAlignment="1" applyProtection="1">
      <alignment horizontal="center"/>
      <protection locked="0"/>
    </xf>
    <xf numFmtId="0" fontId="0" fillId="0" borderId="361" xfId="0" applyBorder="1" applyAlignment="1">
      <alignment vertical="center"/>
    </xf>
    <xf numFmtId="0" fontId="0" fillId="51" borderId="361" xfId="32" applyFont="1" applyFill="1" applyBorder="1" applyAlignment="1">
      <alignment horizontal="center" vertical="center"/>
    </xf>
    <xf numFmtId="0" fontId="8" fillId="73" borderId="361" xfId="44" applyBorder="1">
      <alignment horizontal="center" vertical="center"/>
    </xf>
    <xf numFmtId="0" fontId="0" fillId="51" borderId="362" xfId="0" applyFill="1" applyBorder="1">
      <alignment horizontal="center" vertical="center"/>
    </xf>
    <xf numFmtId="0" fontId="0" fillId="51" borderId="362" xfId="32" applyFont="1" applyFill="1" applyBorder="1" applyAlignment="1">
      <alignment horizontal="center" vertical="center"/>
    </xf>
    <xf numFmtId="0" fontId="0" fillId="53" borderId="362" xfId="43" applyFont="1" applyBorder="1">
      <alignment horizontal="center" vertical="center"/>
    </xf>
    <xf numFmtId="0" fontId="74" fillId="53" borderId="362" xfId="43" applyFont="1" applyBorder="1">
      <alignment horizontal="center" vertical="center"/>
    </xf>
    <xf numFmtId="49" fontId="0" fillId="51" borderId="362" xfId="0" applyNumberFormat="1" applyFill="1" applyBorder="1">
      <alignment horizontal="center" vertical="center"/>
    </xf>
    <xf numFmtId="0" fontId="0" fillId="51" borderId="361" xfId="46" applyFont="1" applyFill="1" applyBorder="1">
      <alignment horizontal="center" vertical="center"/>
    </xf>
    <xf numFmtId="49" fontId="0" fillId="51" borderId="326" xfId="0" applyNumberFormat="1" applyFill="1" applyBorder="1">
      <alignment horizontal="center" vertical="center"/>
    </xf>
    <xf numFmtId="0" fontId="0" fillId="51" borderId="326" xfId="0" applyFill="1" applyBorder="1">
      <alignment horizontal="center" vertical="center"/>
    </xf>
    <xf numFmtId="0" fontId="0" fillId="51" borderId="326" xfId="32" applyFont="1" applyFill="1" applyBorder="1" applyAlignment="1">
      <alignment horizontal="center" vertical="center"/>
    </xf>
    <xf numFmtId="0" fontId="5" fillId="0" borderId="363" xfId="0" applyFont="1" applyBorder="1" applyAlignment="1">
      <alignment horizontal="left" vertical="center"/>
    </xf>
    <xf numFmtId="0" fontId="0" fillId="0" borderId="364" xfId="0" applyBorder="1">
      <alignment horizontal="center" vertical="center"/>
    </xf>
    <xf numFmtId="0" fontId="5" fillId="0" borderId="365" xfId="0" applyFont="1" applyBorder="1" applyAlignment="1">
      <alignment vertical="center"/>
    </xf>
    <xf numFmtId="0" fontId="14" fillId="0" borderId="366" xfId="0" applyFont="1" applyBorder="1">
      <alignment horizontal="center" vertical="center"/>
    </xf>
    <xf numFmtId="0" fontId="0" fillId="0" borderId="367" xfId="0" applyBorder="1">
      <alignment horizontal="center" vertical="center"/>
    </xf>
    <xf numFmtId="0" fontId="5" fillId="0" borderId="368" xfId="0" applyFont="1" applyBorder="1" applyAlignment="1">
      <alignment horizontal="left" vertical="center"/>
    </xf>
    <xf numFmtId="0" fontId="14" fillId="0" borderId="364" xfId="0" applyFont="1" applyBorder="1">
      <alignment horizontal="center" vertical="center"/>
    </xf>
    <xf numFmtId="0" fontId="5" fillId="0" borderId="364" xfId="0" applyFont="1" applyBorder="1">
      <alignment horizontal="center" vertical="center"/>
    </xf>
    <xf numFmtId="0" fontId="5" fillId="0" borderId="369" xfId="0" applyFont="1" applyBorder="1" applyAlignment="1">
      <alignment horizontal="left" vertical="center"/>
    </xf>
    <xf numFmtId="0" fontId="0" fillId="0" borderId="365" xfId="0" applyBorder="1" applyAlignment="1">
      <alignment vertical="center"/>
    </xf>
    <xf numFmtId="0" fontId="5" fillId="0" borderId="365" xfId="0" applyFont="1" applyBorder="1">
      <alignment horizontal="center" vertical="center"/>
    </xf>
    <xf numFmtId="0" fontId="0" fillId="0" borderId="366" xfId="0" applyBorder="1" applyAlignment="1">
      <alignment horizontal="left" vertical="center"/>
    </xf>
    <xf numFmtId="0" fontId="5" fillId="0" borderId="370" xfId="0" applyFont="1" applyBorder="1" applyAlignment="1">
      <alignment horizontal="left" vertical="center"/>
    </xf>
    <xf numFmtId="0" fontId="0" fillId="0" borderId="371" xfId="0" applyBorder="1">
      <alignment horizontal="center" vertical="center"/>
    </xf>
    <xf numFmtId="0" fontId="0" fillId="0" borderId="372" xfId="0" applyBorder="1" applyAlignment="1">
      <alignment vertical="center"/>
    </xf>
    <xf numFmtId="0" fontId="0" fillId="0" borderId="373" xfId="0" applyBorder="1">
      <alignment horizontal="center" vertical="center"/>
    </xf>
    <xf numFmtId="0" fontId="5" fillId="0" borderId="372" xfId="0" applyFont="1" applyBorder="1">
      <alignment horizontal="center" vertical="center"/>
    </xf>
    <xf numFmtId="0" fontId="0" fillId="0" borderId="371" xfId="0" applyBorder="1" applyAlignment="1">
      <alignment horizontal="left" vertical="center"/>
    </xf>
    <xf numFmtId="0" fontId="14" fillId="0" borderId="371" xfId="0" applyFont="1" applyBorder="1">
      <alignment horizontal="center" vertical="center"/>
    </xf>
    <xf numFmtId="0" fontId="5" fillId="0" borderId="371" xfId="0" applyFont="1" applyBorder="1" applyAlignment="1">
      <alignment horizontal="left" vertical="center"/>
    </xf>
    <xf numFmtId="0" fontId="0" fillId="0" borderId="359" xfId="0" applyBorder="1" applyAlignment="1" applyProtection="1">
      <alignment horizontal="center"/>
      <protection locked="0"/>
    </xf>
    <xf numFmtId="0" fontId="7" fillId="0" borderId="359" xfId="0" applyFont="1" applyBorder="1" applyAlignment="1">
      <alignment horizontal="center"/>
    </xf>
    <xf numFmtId="49" fontId="0" fillId="55" borderId="232" xfId="0" applyNumberFormat="1" applyFill="1" applyBorder="1">
      <alignment horizontal="center" vertical="center"/>
    </xf>
    <xf numFmtId="0" fontId="0" fillId="55" borderId="359" xfId="48" applyFont="1" applyFill="1" applyBorder="1">
      <alignment horizontal="center" vertical="center"/>
    </xf>
    <xf numFmtId="0" fontId="8" fillId="55" borderId="232" xfId="45" applyBorder="1">
      <alignment horizontal="center" vertical="center"/>
    </xf>
    <xf numFmtId="0" fontId="0" fillId="43" borderId="374" xfId="0" applyFill="1" applyBorder="1" applyAlignment="1" applyProtection="1">
      <alignment horizontal="center"/>
      <protection locked="0"/>
    </xf>
    <xf numFmtId="0" fontId="0" fillId="43" borderId="375" xfId="0" applyFill="1" applyBorder="1" applyAlignment="1" applyProtection="1">
      <alignment horizontal="center"/>
      <protection locked="0"/>
    </xf>
    <xf numFmtId="49" fontId="0" fillId="51" borderId="361" xfId="0" applyNumberFormat="1" applyFill="1" applyBorder="1">
      <alignment horizontal="center" vertical="center"/>
    </xf>
    <xf numFmtId="0" fontId="0" fillId="51" borderId="361" xfId="53" applyFont="1" applyFill="1" applyBorder="1">
      <alignment horizontal="center" vertical="center"/>
    </xf>
    <xf numFmtId="49" fontId="0" fillId="55" borderId="361" xfId="0" applyNumberFormat="1" applyFill="1" applyBorder="1">
      <alignment horizontal="center" vertical="center"/>
    </xf>
    <xf numFmtId="0" fontId="8" fillId="53" borderId="361" xfId="43" applyBorder="1">
      <alignment horizontal="center" vertical="center"/>
    </xf>
    <xf numFmtId="0" fontId="0" fillId="0" borderId="340" xfId="0" applyBorder="1" applyAlignment="1">
      <alignment horizontal="left" vertical="center"/>
    </xf>
    <xf numFmtId="0" fontId="8" fillId="53" borderId="360" xfId="47" applyFill="1" applyBorder="1">
      <alignment horizontal="center" vertical="center"/>
    </xf>
    <xf numFmtId="0" fontId="0" fillId="51" borderId="361" xfId="0" applyFill="1" applyBorder="1" applyAlignment="1">
      <alignment horizontal="left" vertical="center"/>
    </xf>
    <xf numFmtId="0" fontId="0" fillId="51" borderId="360" xfId="46" applyFont="1" applyFill="1" applyBorder="1">
      <alignment horizontal="center" vertical="center"/>
    </xf>
    <xf numFmtId="0" fontId="0" fillId="51" borderId="361" xfId="0" applyFill="1" applyBorder="1">
      <alignment horizontal="center" vertical="center"/>
    </xf>
    <xf numFmtId="0" fontId="0" fillId="51" borderId="361" xfId="44" applyFont="1" applyFill="1" applyBorder="1">
      <alignment horizontal="center" vertical="center"/>
    </xf>
    <xf numFmtId="49" fontId="0" fillId="51" borderId="228" xfId="0" applyNumberFormat="1" applyFill="1" applyBorder="1">
      <alignment horizontal="center" vertical="center"/>
    </xf>
    <xf numFmtId="49" fontId="0" fillId="51" borderId="229" xfId="0" applyNumberFormat="1" applyFill="1" applyBorder="1">
      <alignment horizontal="center" vertical="center"/>
    </xf>
    <xf numFmtId="0" fontId="8" fillId="0" borderId="376" xfId="53" applyBorder="1">
      <alignment horizontal="center" vertical="center"/>
    </xf>
    <xf numFmtId="0" fontId="7" fillId="0" borderId="360" xfId="0" applyFont="1" applyBorder="1" applyAlignment="1">
      <alignment horizontal="left"/>
    </xf>
    <xf numFmtId="0" fontId="8" fillId="0" borderId="365" xfId="0" applyFont="1" applyBorder="1">
      <alignment horizontal="center" vertical="center"/>
    </xf>
    <xf numFmtId="0" fontId="8" fillId="0" borderId="366" xfId="0" applyFont="1" applyBorder="1">
      <alignment horizontal="center" vertical="center"/>
    </xf>
    <xf numFmtId="0" fontId="8" fillId="0" borderId="367" xfId="0" applyFont="1" applyBorder="1">
      <alignment horizontal="center" vertical="center"/>
    </xf>
    <xf numFmtId="0" fontId="0" fillId="0" borderId="365" xfId="0" applyBorder="1" applyAlignment="1">
      <alignment horizontal="left"/>
    </xf>
    <xf numFmtId="0" fontId="0" fillId="0" borderId="366" xfId="0" applyBorder="1" applyAlignment="1">
      <alignment horizontal="left"/>
    </xf>
    <xf numFmtId="0" fontId="8" fillId="0" borderId="367" xfId="0" applyFont="1" applyBorder="1" applyAlignment="1">
      <alignment horizontal="left"/>
    </xf>
    <xf numFmtId="0" fontId="7" fillId="0" borderId="365" xfId="0" applyFont="1" applyBorder="1" applyAlignment="1">
      <alignment horizontal="left"/>
    </xf>
    <xf numFmtId="0" fontId="5" fillId="0" borderId="361" xfId="0" applyFont="1" applyBorder="1" applyAlignment="1" applyProtection="1">
      <alignment horizontal="center"/>
      <protection locked="0"/>
    </xf>
    <xf numFmtId="0" fontId="7" fillId="0" borderId="361" xfId="0" applyFont="1" applyBorder="1" applyAlignment="1">
      <alignment horizontal="center"/>
    </xf>
    <xf numFmtId="0" fontId="0" fillId="0" borderId="326" xfId="0" applyBorder="1" applyAlignment="1">
      <alignment horizontal="left" vertical="center"/>
    </xf>
    <xf numFmtId="0" fontId="0" fillId="0" borderId="326" xfId="0" applyBorder="1">
      <alignment horizontal="center" vertical="center"/>
    </xf>
    <xf numFmtId="0" fontId="0" fillId="55" borderId="326" xfId="0" applyFill="1" applyBorder="1">
      <alignment horizontal="center" vertical="center"/>
    </xf>
    <xf numFmtId="0" fontId="8" fillId="0" borderId="213" xfId="53" applyBorder="1">
      <alignment horizontal="center" vertical="center"/>
    </xf>
    <xf numFmtId="0" fontId="8" fillId="73" borderId="360" xfId="53" applyFill="1" applyBorder="1">
      <alignment horizontal="center" vertical="center"/>
    </xf>
    <xf numFmtId="0" fontId="0" fillId="0" borderId="360" xfId="48" applyFont="1" applyFill="1" applyBorder="1">
      <alignment horizontal="center" vertical="center"/>
    </xf>
    <xf numFmtId="0" fontId="0" fillId="73" borderId="360" xfId="0" applyFill="1" applyBorder="1">
      <alignment horizontal="center" vertical="center"/>
    </xf>
    <xf numFmtId="0" fontId="8" fillId="75" borderId="361" xfId="56" applyBorder="1">
      <alignment horizontal="center" vertical="center"/>
    </xf>
    <xf numFmtId="0" fontId="8" fillId="52" borderId="365" xfId="48" applyBorder="1">
      <alignment horizontal="center" vertical="center"/>
    </xf>
    <xf numFmtId="0" fontId="8" fillId="0" borderId="377" xfId="53" applyBorder="1">
      <alignment horizontal="center" vertical="center"/>
    </xf>
    <xf numFmtId="0" fontId="0" fillId="51" borderId="359" xfId="48" applyFont="1" applyFill="1" applyBorder="1">
      <alignment horizontal="center" vertical="center"/>
    </xf>
    <xf numFmtId="0" fontId="8" fillId="74" borderId="326" xfId="47" applyBorder="1">
      <alignment horizontal="center" vertical="center"/>
    </xf>
    <xf numFmtId="0" fontId="0" fillId="51" borderId="359" xfId="0" applyFill="1" applyBorder="1">
      <alignment horizontal="center" vertical="center"/>
    </xf>
    <xf numFmtId="0" fontId="0" fillId="51" borderId="359" xfId="44" applyFont="1" applyFill="1" applyBorder="1">
      <alignment horizontal="center" vertical="center"/>
    </xf>
    <xf numFmtId="49" fontId="0" fillId="51" borderId="359" xfId="0" applyNumberFormat="1" applyFill="1" applyBorder="1">
      <alignment horizontal="center" vertical="center"/>
    </xf>
    <xf numFmtId="0" fontId="8" fillId="52" borderId="359" xfId="48" applyBorder="1">
      <alignment horizontal="center" vertical="center"/>
    </xf>
    <xf numFmtId="0" fontId="0" fillId="51" borderId="360" xfId="47" applyFont="1" applyFill="1" applyBorder="1">
      <alignment horizontal="center" vertical="center"/>
    </xf>
    <xf numFmtId="0" fontId="0" fillId="51" borderId="359" xfId="47" applyFont="1" applyFill="1" applyBorder="1">
      <alignment horizontal="center" vertical="center"/>
    </xf>
    <xf numFmtId="49" fontId="0" fillId="51" borderId="368" xfId="0" applyNumberFormat="1" applyFill="1" applyBorder="1">
      <alignment horizontal="center" vertical="center"/>
    </xf>
    <xf numFmtId="0" fontId="0" fillId="55" borderId="326" xfId="48" applyFont="1" applyFill="1" applyBorder="1">
      <alignment horizontal="center" vertical="center"/>
    </xf>
    <xf numFmtId="0" fontId="0" fillId="0" borderId="326" xfId="48" applyFont="1" applyFill="1" applyBorder="1">
      <alignment horizontal="center" vertical="center"/>
    </xf>
    <xf numFmtId="0" fontId="0" fillId="51" borderId="368" xfId="48" applyFont="1" applyFill="1" applyBorder="1">
      <alignment horizontal="center" vertical="center"/>
    </xf>
    <xf numFmtId="0" fontId="8" fillId="52" borderId="378" xfId="48" applyBorder="1">
      <alignment horizontal="center" vertical="center"/>
    </xf>
    <xf numFmtId="0" fontId="0" fillId="0" borderId="360" xfId="51" applyFont="1" applyFill="1" applyBorder="1">
      <alignment horizontal="center" vertical="center"/>
    </xf>
    <xf numFmtId="0" fontId="0" fillId="0" borderId="235" xfId="48" applyFont="1" applyFill="1" applyBorder="1">
      <alignment horizontal="center" vertical="center"/>
    </xf>
    <xf numFmtId="0" fontId="0" fillId="0" borderId="359" xfId="48" applyFont="1" applyFill="1" applyBorder="1">
      <alignment horizontal="center" vertical="center"/>
    </xf>
    <xf numFmtId="0" fontId="8" fillId="0" borderId="359" xfId="53" applyBorder="1">
      <alignment horizontal="center" vertical="center"/>
    </xf>
    <xf numFmtId="0" fontId="8" fillId="0" borderId="368" xfId="53" applyBorder="1">
      <alignment horizontal="center" vertical="center"/>
    </xf>
    <xf numFmtId="0" fontId="0" fillId="0" borderId="339" xfId="0" applyBorder="1">
      <alignment horizontal="center" vertical="center"/>
    </xf>
    <xf numFmtId="0" fontId="0" fillId="51" borderId="326" xfId="44" applyFont="1" applyFill="1" applyBorder="1">
      <alignment horizontal="center" vertical="center"/>
    </xf>
    <xf numFmtId="0" fontId="0" fillId="51" borderId="326" xfId="48" applyFont="1" applyFill="1" applyBorder="1">
      <alignment horizontal="center" vertical="center"/>
    </xf>
    <xf numFmtId="0" fontId="19" fillId="0" borderId="326" xfId="0" applyFont="1" applyBorder="1" applyAlignment="1" applyProtection="1">
      <alignment horizontal="center"/>
      <protection locked="0"/>
    </xf>
    <xf numFmtId="0" fontId="0" fillId="69" borderId="340" xfId="0" applyFill="1" applyBorder="1" applyAlignment="1"/>
    <xf numFmtId="0" fontId="0" fillId="51" borderId="359" xfId="53" applyFont="1" applyFill="1" applyBorder="1">
      <alignment horizontal="center" vertical="center"/>
    </xf>
    <xf numFmtId="0" fontId="8" fillId="55" borderId="368" xfId="45" applyBorder="1">
      <alignment horizontal="center" vertical="center"/>
    </xf>
    <xf numFmtId="0" fontId="0" fillId="51" borderId="367" xfId="48" applyFont="1" applyFill="1" applyBorder="1">
      <alignment horizontal="center" vertical="center"/>
    </xf>
    <xf numFmtId="0" fontId="0" fillId="51" borderId="368" xfId="53" applyFont="1" applyFill="1" applyBorder="1">
      <alignment horizontal="center" vertical="center"/>
    </xf>
    <xf numFmtId="0" fontId="0" fillId="51" borderId="378" xfId="53" applyFont="1" applyFill="1" applyBorder="1">
      <alignment horizontal="center" vertical="center"/>
    </xf>
    <xf numFmtId="0" fontId="19" fillId="0" borderId="352" xfId="0" applyFont="1" applyBorder="1" applyAlignment="1" applyProtection="1">
      <alignment horizontal="center"/>
      <protection locked="0"/>
    </xf>
    <xf numFmtId="0" fontId="0" fillId="0" borderId="339" xfId="0" applyBorder="1" applyAlignment="1">
      <alignment horizontal="left" vertical="center"/>
    </xf>
    <xf numFmtId="0" fontId="5" fillId="0" borderId="365" xfId="0" applyFont="1" applyBorder="1" applyAlignment="1" applyProtection="1">
      <alignment horizontal="center"/>
      <protection locked="0"/>
    </xf>
    <xf numFmtId="0" fontId="5" fillId="0" borderId="372" xfId="0" applyFont="1" applyBorder="1" applyAlignment="1" applyProtection="1">
      <alignment horizontal="center"/>
      <protection locked="0"/>
    </xf>
    <xf numFmtId="0" fontId="0" fillId="0" borderId="379" xfId="0" applyBorder="1" applyAlignment="1">
      <alignment horizontal="left" vertical="center"/>
    </xf>
    <xf numFmtId="0" fontId="8" fillId="52" borderId="380" xfId="48" applyBorder="1">
      <alignment horizontal="center" vertical="center"/>
    </xf>
    <xf numFmtId="49" fontId="0" fillId="51" borderId="380" xfId="0" applyNumberFormat="1" applyFill="1" applyBorder="1">
      <alignment horizontal="center" vertical="center"/>
    </xf>
    <xf numFmtId="0" fontId="8" fillId="55" borderId="380" xfId="45" applyBorder="1">
      <alignment horizontal="center" vertical="center"/>
    </xf>
    <xf numFmtId="0" fontId="5" fillId="0" borderId="381" xfId="0" applyFont="1" applyBorder="1" applyAlignment="1" applyProtection="1">
      <alignment horizontal="center"/>
      <protection locked="0"/>
    </xf>
    <xf numFmtId="0" fontId="0" fillId="51" borderId="382" xfId="47" applyFont="1" applyFill="1" applyBorder="1">
      <alignment horizontal="center" vertical="center"/>
    </xf>
    <xf numFmtId="0" fontId="0" fillId="43" borderId="383" xfId="0" applyFill="1" applyBorder="1" applyAlignment="1" applyProtection="1">
      <alignment horizontal="center"/>
      <protection locked="0"/>
    </xf>
    <xf numFmtId="20" fontId="0" fillId="0" borderId="383" xfId="0" applyNumberFormat="1" applyBorder="1" applyAlignment="1">
      <alignment horizontal="left"/>
    </xf>
    <xf numFmtId="0" fontId="0" fillId="0" borderId="384" xfId="0" applyBorder="1" applyAlignment="1">
      <alignment horizontal="left"/>
    </xf>
    <xf numFmtId="0" fontId="0" fillId="0" borderId="385" xfId="0" applyBorder="1" applyAlignment="1">
      <alignment horizontal="left"/>
    </xf>
    <xf numFmtId="0" fontId="0" fillId="0" borderId="386" xfId="0" applyBorder="1" applyAlignment="1">
      <alignment horizontal="left"/>
    </xf>
    <xf numFmtId="0" fontId="0" fillId="0" borderId="383" xfId="0" applyBorder="1" applyAlignment="1">
      <alignment horizontal="left" vertical="center"/>
    </xf>
    <xf numFmtId="0" fontId="0" fillId="0" borderId="387" xfId="0" applyBorder="1">
      <alignment horizontal="center" vertical="center"/>
    </xf>
    <xf numFmtId="0" fontId="62" fillId="59" borderId="381" xfId="51" applyBorder="1">
      <alignment horizontal="center" vertical="center"/>
    </xf>
    <xf numFmtId="0" fontId="59" fillId="0" borderId="388" xfId="0" applyFont="1" applyBorder="1" applyAlignment="1"/>
    <xf numFmtId="0" fontId="62" fillId="59" borderId="389" xfId="51" applyBorder="1">
      <alignment horizontal="center" vertical="center"/>
    </xf>
    <xf numFmtId="0" fontId="0" fillId="0" borderId="389" xfId="0" applyBorder="1" applyAlignment="1"/>
    <xf numFmtId="49" fontId="0" fillId="0" borderId="389" xfId="0" applyNumberFormat="1" applyBorder="1">
      <alignment horizontal="center" vertical="center"/>
    </xf>
    <xf numFmtId="1" fontId="0" fillId="0" borderId="389" xfId="32" applyNumberFormat="1" applyFont="1" applyFill="1" applyBorder="1" applyAlignment="1">
      <alignment horizontal="center" vertical="center"/>
    </xf>
    <xf numFmtId="49" fontId="0" fillId="0" borderId="390" xfId="0" applyNumberFormat="1" applyBorder="1">
      <alignment horizontal="center" vertical="center"/>
    </xf>
    <xf numFmtId="0" fontId="8" fillId="53" borderId="389" xfId="53" applyFill="1" applyBorder="1">
      <alignment horizontal="center" vertical="center"/>
    </xf>
    <xf numFmtId="0" fontId="0" fillId="53" borderId="389" xfId="53" applyFont="1" applyFill="1" applyBorder="1">
      <alignment horizontal="center" vertical="center"/>
    </xf>
    <xf numFmtId="0" fontId="0" fillId="51" borderId="389" xfId="53" applyFont="1" applyFill="1" applyBorder="1">
      <alignment horizontal="center" vertical="center"/>
    </xf>
    <xf numFmtId="0" fontId="8" fillId="51" borderId="389" xfId="53" applyFill="1" applyBorder="1">
      <alignment horizontal="center" vertical="center"/>
    </xf>
    <xf numFmtId="0" fontId="8" fillId="53" borderId="390" xfId="43" applyBorder="1">
      <alignment horizontal="center" vertical="center"/>
    </xf>
    <xf numFmtId="0" fontId="0" fillId="71" borderId="389" xfId="0" applyFill="1" applyBorder="1" applyAlignment="1"/>
    <xf numFmtId="0" fontId="8" fillId="75" borderId="389" xfId="56" applyBorder="1">
      <alignment horizontal="center" vertical="center"/>
    </xf>
    <xf numFmtId="0" fontId="8" fillId="52" borderId="235" xfId="48" applyBorder="1">
      <alignment horizontal="center" vertical="center"/>
    </xf>
    <xf numFmtId="0" fontId="8" fillId="52" borderId="391" xfId="48" applyBorder="1">
      <alignment horizontal="center" vertical="center"/>
    </xf>
    <xf numFmtId="0" fontId="74" fillId="0" borderId="392" xfId="0" applyFont="1" applyBorder="1" applyAlignment="1">
      <alignment horizontal="left" vertical="center"/>
    </xf>
    <xf numFmtId="0" fontId="0" fillId="51" borderId="393" xfId="0" applyFill="1" applyBorder="1">
      <alignment horizontal="center" vertical="center"/>
    </xf>
    <xf numFmtId="0" fontId="0" fillId="51" borderId="390" xfId="0" applyFill="1" applyBorder="1" applyAlignment="1" applyProtection="1">
      <alignment horizontal="left" vertical="center"/>
      <protection locked="0"/>
    </xf>
    <xf numFmtId="0" fontId="8" fillId="52" borderId="390" xfId="48" applyBorder="1">
      <alignment horizontal="center" vertical="center"/>
    </xf>
    <xf numFmtId="49" fontId="0" fillId="53" borderId="389" xfId="0" applyNumberFormat="1" applyFill="1" applyBorder="1">
      <alignment horizontal="center" vertical="center"/>
    </xf>
    <xf numFmtId="0" fontId="71" fillId="51" borderId="389" xfId="43" applyFont="1" applyFill="1" applyBorder="1">
      <alignment horizontal="center" vertical="center"/>
    </xf>
    <xf numFmtId="0" fontId="71" fillId="51" borderId="390" xfId="43" applyFont="1" applyFill="1" applyBorder="1">
      <alignment horizontal="center" vertical="center"/>
    </xf>
    <xf numFmtId="0" fontId="1" fillId="0" borderId="394" xfId="57" applyFont="1" applyBorder="1"/>
    <xf numFmtId="0" fontId="0" fillId="68" borderId="393" xfId="0" applyFill="1" applyBorder="1">
      <alignment horizontal="center" vertical="center"/>
    </xf>
    <xf numFmtId="0" fontId="8" fillId="0" borderId="389" xfId="48" applyFill="1" applyBorder="1">
      <alignment horizontal="center" vertical="center"/>
    </xf>
    <xf numFmtId="0" fontId="5" fillId="0" borderId="395" xfId="0" applyFont="1" applyBorder="1" applyAlignment="1">
      <alignment horizontal="center"/>
    </xf>
    <xf numFmtId="0" fontId="0" fillId="0" borderId="396" xfId="0" applyBorder="1">
      <alignment horizontal="center" vertical="center"/>
    </xf>
    <xf numFmtId="0" fontId="5" fillId="0" borderId="396" xfId="0" applyFont="1" applyBorder="1" applyAlignment="1">
      <alignment horizontal="center"/>
    </xf>
    <xf numFmtId="0" fontId="5" fillId="0" borderId="397" xfId="0" applyFont="1" applyBorder="1" applyAlignment="1">
      <alignment horizontal="left"/>
    </xf>
    <xf numFmtId="0" fontId="7" fillId="0" borderId="396" xfId="0" applyFont="1" applyBorder="1" applyAlignment="1">
      <alignment horizontal="center"/>
    </xf>
    <xf numFmtId="0" fontId="0" fillId="0" borderId="397" xfId="0" applyBorder="1">
      <alignment horizontal="center" vertical="center"/>
    </xf>
    <xf numFmtId="0" fontId="0" fillId="0" borderId="396" xfId="0" applyBorder="1" applyAlignment="1">
      <alignment horizontal="center"/>
    </xf>
    <xf numFmtId="0" fontId="5" fillId="0" borderId="397" xfId="0" applyFont="1" applyBorder="1" applyAlignment="1">
      <alignment horizontal="center"/>
    </xf>
    <xf numFmtId="0" fontId="7" fillId="0" borderId="398" xfId="0" applyFont="1" applyBorder="1" applyAlignment="1">
      <alignment horizontal="center"/>
    </xf>
    <xf numFmtId="0" fontId="7" fillId="0" borderId="397" xfId="0" applyFont="1" applyBorder="1" applyAlignment="1">
      <alignment horizontal="center"/>
    </xf>
    <xf numFmtId="0" fontId="0" fillId="0" borderId="397" xfId="0" applyBorder="1" applyAlignment="1">
      <alignment horizontal="center"/>
    </xf>
    <xf numFmtId="0" fontId="8" fillId="0" borderId="398" xfId="0" applyFont="1" applyBorder="1" applyAlignment="1">
      <alignment horizontal="left" vertical="center"/>
    </xf>
    <xf numFmtId="0" fontId="7" fillId="0" borderId="398" xfId="0" applyFont="1" applyBorder="1">
      <alignment horizontal="center" vertical="center"/>
    </xf>
    <xf numFmtId="0" fontId="7" fillId="0" borderId="397" xfId="0" applyFont="1" applyBorder="1">
      <alignment horizontal="center" vertical="center"/>
    </xf>
    <xf numFmtId="0" fontId="0" fillId="0" borderId="399" xfId="0" applyBorder="1" applyAlignment="1">
      <alignment horizontal="left" vertical="center"/>
    </xf>
    <xf numFmtId="0" fontId="7" fillId="0" borderId="400" xfId="0" applyFont="1" applyBorder="1">
      <alignment horizontal="center" vertical="center"/>
    </xf>
    <xf numFmtId="0" fontId="8" fillId="0" borderId="400" xfId="0" applyFont="1" applyBorder="1">
      <alignment horizontal="center" vertical="center"/>
    </xf>
    <xf numFmtId="0" fontId="5" fillId="0" borderId="401" xfId="0" applyFont="1" applyBorder="1" applyAlignment="1">
      <alignment horizontal="center"/>
    </xf>
    <xf numFmtId="0" fontId="8" fillId="0" borderId="383" xfId="0" applyFont="1" applyBorder="1" applyAlignment="1">
      <alignment horizontal="left" vertical="center"/>
    </xf>
    <xf numFmtId="0" fontId="8" fillId="0" borderId="402" xfId="0" applyFont="1" applyBorder="1" applyAlignment="1">
      <alignment horizontal="left" vertical="center"/>
    </xf>
    <xf numFmtId="0" fontId="5" fillId="0" borderId="403" xfId="0" applyFont="1" applyBorder="1" applyAlignment="1" applyProtection="1">
      <alignment horizontal="center"/>
      <protection locked="0"/>
    </xf>
    <xf numFmtId="0" fontId="8" fillId="0" borderId="404" xfId="0" applyFont="1" applyBorder="1">
      <alignment horizontal="center" vertical="center"/>
    </xf>
    <xf numFmtId="0" fontId="8" fillId="0" borderId="404" xfId="0" applyFont="1" applyBorder="1" applyAlignment="1">
      <alignment horizontal="left" vertical="center"/>
    </xf>
    <xf numFmtId="0" fontId="0" fillId="0" borderId="396" xfId="0" applyBorder="1" applyAlignment="1"/>
    <xf numFmtId="0" fontId="5" fillId="0" borderId="398" xfId="0" applyFont="1" applyBorder="1" applyAlignment="1">
      <alignment horizontal="left"/>
    </xf>
    <xf numFmtId="0" fontId="0" fillId="0" borderId="398" xfId="0" applyBorder="1" applyAlignment="1"/>
    <xf numFmtId="0" fontId="0" fillId="0" borderId="397" xfId="0" applyBorder="1" applyAlignment="1"/>
    <xf numFmtId="0" fontId="5" fillId="0" borderId="396" xfId="0" applyFont="1" applyBorder="1" applyAlignment="1">
      <alignment horizontal="left"/>
    </xf>
    <xf numFmtId="0" fontId="0" fillId="0" borderId="405" xfId="0" applyBorder="1" applyAlignment="1"/>
    <xf numFmtId="0" fontId="0" fillId="0" borderId="406" xfId="0" applyBorder="1" applyAlignment="1">
      <alignment horizontal="center"/>
    </xf>
    <xf numFmtId="0" fontId="5" fillId="0" borderId="383" xfId="0" applyFont="1" applyBorder="1" applyAlignment="1">
      <alignment horizontal="left"/>
    </xf>
    <xf numFmtId="0" fontId="0" fillId="0" borderId="402" xfId="0" applyBorder="1" applyAlignment="1"/>
    <xf numFmtId="0" fontId="0" fillId="0" borderId="407" xfId="0" applyBorder="1" applyAlignment="1">
      <alignment horizontal="left"/>
    </xf>
    <xf numFmtId="0" fontId="5" fillId="0" borderId="402" xfId="0" applyFont="1" applyBorder="1" applyAlignment="1"/>
    <xf numFmtId="0" fontId="5" fillId="0" borderId="407" xfId="0" applyFont="1" applyBorder="1" applyAlignment="1">
      <alignment horizontal="left"/>
    </xf>
    <xf numFmtId="0" fontId="0" fillId="0" borderId="383" xfId="0" applyBorder="1" applyAlignment="1">
      <alignment horizontal="center"/>
    </xf>
    <xf numFmtId="0" fontId="0" fillId="0" borderId="408" xfId="0" applyBorder="1" applyAlignment="1"/>
    <xf numFmtId="0" fontId="5" fillId="0" borderId="385" xfId="0" applyFont="1" applyBorder="1" applyAlignment="1">
      <alignment horizontal="left"/>
    </xf>
    <xf numFmtId="0" fontId="0" fillId="0" borderId="386" xfId="0" applyBorder="1" applyAlignment="1"/>
    <xf numFmtId="0" fontId="10" fillId="0" borderId="385" xfId="0" applyFont="1" applyBorder="1" applyAlignment="1">
      <alignment horizontal="center"/>
    </xf>
    <xf numFmtId="0" fontId="0" fillId="0" borderId="409" xfId="0" applyBorder="1" applyAlignment="1"/>
    <xf numFmtId="0" fontId="0" fillId="0" borderId="410" xfId="0" applyBorder="1" applyAlignment="1">
      <alignment horizontal="center"/>
    </xf>
    <xf numFmtId="0" fontId="5" fillId="0" borderId="411" xfId="0" applyFont="1" applyBorder="1" applyAlignment="1">
      <alignment horizontal="left"/>
    </xf>
    <xf numFmtId="0" fontId="8" fillId="0" borderId="412" xfId="0" applyFont="1" applyBorder="1" applyAlignment="1">
      <alignment horizontal="left" vertical="center"/>
    </xf>
    <xf numFmtId="0" fontId="8" fillId="0" borderId="412" xfId="0" applyFont="1" applyBorder="1">
      <alignment horizontal="center" vertical="center"/>
    </xf>
    <xf numFmtId="0" fontId="8" fillId="0" borderId="413" xfId="0" applyFont="1" applyBorder="1">
      <alignment horizontal="center" vertical="center"/>
    </xf>
    <xf numFmtId="0" fontId="8" fillId="0" borderId="411" xfId="0" applyFont="1" applyBorder="1" applyAlignment="1">
      <alignment horizontal="left" vertical="center"/>
    </xf>
    <xf numFmtId="0" fontId="8" fillId="0" borderId="412" xfId="0" applyFont="1" applyBorder="1" applyAlignment="1">
      <alignment horizontal="left"/>
    </xf>
    <xf numFmtId="0" fontId="8" fillId="0" borderId="413" xfId="0" applyFont="1" applyBorder="1" applyAlignment="1">
      <alignment horizontal="left" vertical="center"/>
    </xf>
    <xf numFmtId="0" fontId="0" fillId="0" borderId="414" xfId="0" applyBorder="1" applyAlignment="1"/>
    <xf numFmtId="0" fontId="5" fillId="43" borderId="404" xfId="0" applyFont="1" applyFill="1" applyBorder="1" applyAlignment="1">
      <alignment horizontal="center"/>
    </xf>
    <xf numFmtId="0" fontId="0" fillId="51" borderId="404" xfId="0" applyFill="1" applyBorder="1" applyAlignment="1">
      <alignment horizontal="left" vertical="center"/>
    </xf>
    <xf numFmtId="0" fontId="0" fillId="51" borderId="404" xfId="53" applyFont="1" applyFill="1" applyBorder="1">
      <alignment horizontal="center" vertical="center"/>
    </xf>
    <xf numFmtId="0" fontId="8" fillId="73" borderId="404" xfId="44" applyBorder="1">
      <alignment horizontal="center" vertical="center"/>
    </xf>
    <xf numFmtId="0" fontId="5" fillId="43" borderId="381" xfId="0" applyFont="1" applyFill="1" applyBorder="1" applyAlignment="1">
      <alignment horizontal="center"/>
    </xf>
    <xf numFmtId="0" fontId="0" fillId="51" borderId="381" xfId="0" applyFill="1" applyBorder="1" applyAlignment="1">
      <alignment horizontal="left" vertical="center"/>
    </xf>
    <xf numFmtId="0" fontId="0" fillId="0" borderId="381" xfId="53" applyFont="1" applyBorder="1">
      <alignment horizontal="center" vertical="center"/>
    </xf>
    <xf numFmtId="0" fontId="0" fillId="51" borderId="381" xfId="51" applyFont="1" applyFill="1" applyBorder="1">
      <alignment horizontal="center" vertical="center"/>
    </xf>
    <xf numFmtId="0" fontId="5" fillId="43" borderId="382" xfId="0" applyFont="1" applyFill="1" applyBorder="1" applyAlignment="1">
      <alignment horizontal="center"/>
    </xf>
    <xf numFmtId="0" fontId="0" fillId="0" borderId="411" xfId="0" applyBorder="1" applyAlignment="1">
      <alignment horizontal="left"/>
    </xf>
    <xf numFmtId="0" fontId="0" fillId="0" borderId="412" xfId="0" applyBorder="1" applyAlignment="1"/>
    <xf numFmtId="0" fontId="0" fillId="0" borderId="413" xfId="0" applyBorder="1" applyAlignment="1">
      <alignment horizontal="left"/>
    </xf>
    <xf numFmtId="0" fontId="0" fillId="0" borderId="412" xfId="0" applyBorder="1" applyAlignment="1">
      <alignment horizontal="left"/>
    </xf>
    <xf numFmtId="0" fontId="0" fillId="0" borderId="411" xfId="0" applyBorder="1" applyAlignment="1">
      <alignment horizontal="center"/>
    </xf>
    <xf numFmtId="0" fontId="5" fillId="43" borderId="415" xfId="0" applyFont="1" applyFill="1" applyBorder="1" applyAlignment="1">
      <alignment horizontal="center"/>
    </xf>
    <xf numFmtId="0" fontId="0" fillId="51" borderId="416" xfId="0" applyFill="1" applyBorder="1">
      <alignment horizontal="center" vertical="center"/>
    </xf>
    <xf numFmtId="0" fontId="0" fillId="51" borderId="416" xfId="48" applyFont="1" applyFill="1" applyBorder="1">
      <alignment horizontal="center" vertical="center"/>
    </xf>
    <xf numFmtId="0" fontId="0" fillId="51" borderId="416" xfId="43" applyFont="1" applyFill="1" applyBorder="1">
      <alignment horizontal="center" vertical="center"/>
    </xf>
    <xf numFmtId="0" fontId="0" fillId="51" borderId="416" xfId="44" applyFont="1" applyFill="1" applyBorder="1">
      <alignment horizontal="center" vertical="center"/>
    </xf>
    <xf numFmtId="0" fontId="8" fillId="52" borderId="416" xfId="48" applyBorder="1">
      <alignment horizontal="center" vertical="center"/>
    </xf>
    <xf numFmtId="0" fontId="5" fillId="43" borderId="389" xfId="0" applyFont="1" applyFill="1" applyBorder="1" applyAlignment="1">
      <alignment horizontal="center"/>
    </xf>
    <xf numFmtId="0" fontId="0" fillId="53" borderId="389" xfId="48" applyFont="1" applyFill="1" applyBorder="1">
      <alignment horizontal="center" vertical="center"/>
    </xf>
    <xf numFmtId="0" fontId="0" fillId="53" borderId="389" xfId="0" applyFill="1" applyBorder="1">
      <alignment horizontal="center" vertical="center"/>
    </xf>
    <xf numFmtId="0" fontId="0" fillId="53" borderId="389" xfId="44" applyFont="1" applyFill="1" applyBorder="1">
      <alignment horizontal="center" vertical="center"/>
    </xf>
    <xf numFmtId="0" fontId="60" fillId="0" borderId="385" xfId="0" applyFont="1" applyBorder="1" applyAlignment="1">
      <alignment horizontal="left" vertical="center"/>
    </xf>
    <xf numFmtId="0" fontId="5" fillId="43" borderId="380" xfId="0" applyFont="1" applyFill="1" applyBorder="1" applyAlignment="1">
      <alignment horizontal="center"/>
    </xf>
    <xf numFmtId="0" fontId="0" fillId="51" borderId="380" xfId="48" applyFont="1" applyFill="1" applyBorder="1">
      <alignment horizontal="center" vertical="center"/>
    </xf>
    <xf numFmtId="0" fontId="0" fillId="0" borderId="405" xfId="0" applyBorder="1">
      <alignment horizontal="center" vertical="center"/>
    </xf>
    <xf numFmtId="0" fontId="4" fillId="0" borderId="383" xfId="0" applyFont="1" applyBorder="1" applyAlignment="1">
      <alignment horizontal="left"/>
    </xf>
    <xf numFmtId="0" fontId="5" fillId="0" borderId="402" xfId="0" applyFont="1" applyBorder="1">
      <alignment horizontal="center" vertical="center"/>
    </xf>
    <xf numFmtId="0" fontId="0" fillId="0" borderId="408" xfId="0" applyBorder="1">
      <alignment horizontal="center" vertical="center"/>
    </xf>
    <xf numFmtId="167" fontId="10" fillId="0" borderId="411" xfId="0" applyNumberFormat="1" applyFont="1" applyBorder="1" applyAlignment="1">
      <alignment horizontal="center"/>
    </xf>
    <xf numFmtId="0" fontId="0" fillId="0" borderId="414" xfId="0" applyBorder="1">
      <alignment horizontal="center" vertical="center"/>
    </xf>
    <xf numFmtId="0" fontId="0" fillId="51" borderId="404" xfId="0" applyFill="1" applyBorder="1" applyAlignment="1">
      <alignment vertical="center"/>
    </xf>
    <xf numFmtId="0" fontId="0" fillId="51" borderId="404" xfId="32" applyFont="1" applyFill="1" applyBorder="1" applyAlignment="1">
      <alignment horizontal="center" vertical="center"/>
    </xf>
    <xf numFmtId="0" fontId="8" fillId="51" borderId="381" xfId="0" applyFont="1" applyFill="1" applyBorder="1" applyAlignment="1">
      <alignment vertical="center"/>
    </xf>
    <xf numFmtId="0" fontId="0" fillId="51" borderId="381" xfId="0" applyFill="1" applyBorder="1" applyAlignment="1">
      <alignment vertical="center"/>
    </xf>
    <xf numFmtId="0" fontId="5" fillId="0" borderId="392" xfId="0" applyFont="1" applyBorder="1" applyAlignment="1">
      <alignment horizontal="center"/>
    </xf>
    <xf numFmtId="49" fontId="8" fillId="0" borderId="417" xfId="0" applyNumberFormat="1" applyFont="1" applyBorder="1">
      <alignment horizontal="center" vertical="center"/>
    </xf>
    <xf numFmtId="0" fontId="5" fillId="0" borderId="418" xfId="0" applyFont="1" applyBorder="1" applyAlignment="1">
      <alignment horizontal="left"/>
    </xf>
    <xf numFmtId="0" fontId="0" fillId="0" borderId="419" xfId="0" applyBorder="1">
      <alignment horizontal="center" vertical="center"/>
    </xf>
    <xf numFmtId="0" fontId="0" fillId="0" borderId="420" xfId="0" applyBorder="1">
      <alignment horizontal="center" vertical="center"/>
    </xf>
    <xf numFmtId="0" fontId="5" fillId="0" borderId="420" xfId="0" applyFont="1" applyBorder="1" applyAlignment="1">
      <alignment horizontal="left"/>
    </xf>
    <xf numFmtId="0" fontId="4" fillId="0" borderId="390" xfId="0" applyFont="1" applyBorder="1">
      <alignment horizontal="center" vertical="center"/>
    </xf>
    <xf numFmtId="0" fontId="4" fillId="0" borderId="421" xfId="0" applyFont="1" applyBorder="1" applyAlignment="1">
      <alignment horizontal="left" vertical="center"/>
    </xf>
    <xf numFmtId="0" fontId="4" fillId="0" borderId="390" xfId="0" applyFont="1" applyBorder="1" applyAlignment="1">
      <alignment horizontal="left" vertical="center"/>
    </xf>
    <xf numFmtId="0" fontId="4" fillId="0" borderId="421" xfId="0" applyFont="1" applyBorder="1">
      <alignment horizontal="center" vertical="center"/>
    </xf>
    <xf numFmtId="49" fontId="4" fillId="0" borderId="390" xfId="0" applyNumberFormat="1" applyFont="1" applyBorder="1">
      <alignment horizontal="center" vertical="center"/>
    </xf>
    <xf numFmtId="0" fontId="4" fillId="0" borderId="422" xfId="0" applyFont="1" applyBorder="1">
      <alignment horizontal="center" vertical="center"/>
    </xf>
    <xf numFmtId="0" fontId="4" fillId="0" borderId="422" xfId="0" applyFont="1" applyBorder="1" applyAlignment="1">
      <alignment horizontal="left" vertical="center"/>
    </xf>
    <xf numFmtId="49" fontId="8" fillId="0" borderId="390" xfId="0" applyNumberFormat="1" applyFont="1" applyBorder="1">
      <alignment horizontal="center" vertical="center"/>
    </xf>
    <xf numFmtId="0" fontId="8" fillId="0" borderId="421" xfId="0" applyFont="1" applyBorder="1">
      <alignment horizontal="center" vertical="center"/>
    </xf>
    <xf numFmtId="0" fontId="0" fillId="0" borderId="423" xfId="0" applyBorder="1">
      <alignment horizontal="center" vertical="center"/>
    </xf>
    <xf numFmtId="0" fontId="15" fillId="0" borderId="421" xfId="0" applyFont="1" applyBorder="1">
      <alignment horizontal="center" vertical="center"/>
    </xf>
    <xf numFmtId="49" fontId="15" fillId="0" borderId="390" xfId="0" applyNumberFormat="1" applyFont="1" applyBorder="1">
      <alignment horizontal="center" vertical="center"/>
    </xf>
    <xf numFmtId="0" fontId="15" fillId="0" borderId="422" xfId="0" applyFont="1" applyBorder="1">
      <alignment horizontal="center" vertical="center"/>
    </xf>
    <xf numFmtId="49" fontId="0" fillId="0" borderId="423" xfId="0" applyNumberFormat="1" applyBorder="1">
      <alignment horizontal="center" vertical="center"/>
    </xf>
    <xf numFmtId="0" fontId="0" fillId="0" borderId="424" xfId="0" applyBorder="1">
      <alignment horizontal="center" vertical="center"/>
    </xf>
    <xf numFmtId="0" fontId="0" fillId="0" borderId="425" xfId="0" applyBorder="1">
      <alignment horizontal="center" vertical="center"/>
    </xf>
    <xf numFmtId="49" fontId="0" fillId="0" borderId="422" xfId="0" applyNumberFormat="1" applyBorder="1">
      <alignment horizontal="center" vertical="center"/>
    </xf>
    <xf numFmtId="49" fontId="0" fillId="0" borderId="417" xfId="0" applyNumberFormat="1" applyBorder="1">
      <alignment horizontal="center" vertical="center"/>
    </xf>
    <xf numFmtId="0" fontId="10" fillId="0" borderId="426" xfId="0" applyFont="1" applyBorder="1">
      <alignment horizontal="center" vertical="center"/>
    </xf>
    <xf numFmtId="0" fontId="7" fillId="0" borderId="388" xfId="0" applyFont="1" applyBorder="1" applyAlignment="1">
      <alignment horizontal="center"/>
    </xf>
    <xf numFmtId="49" fontId="0" fillId="51" borderId="390" xfId="0" applyNumberFormat="1" applyFill="1" applyBorder="1">
      <alignment horizontal="center" vertical="center"/>
    </xf>
    <xf numFmtId="0" fontId="0" fillId="0" borderId="389" xfId="0" applyBorder="1" applyAlignment="1">
      <alignment vertical="center"/>
    </xf>
    <xf numFmtId="0" fontId="0" fillId="0" borderId="390" xfId="0" applyBorder="1" applyAlignment="1">
      <alignment vertical="center"/>
    </xf>
    <xf numFmtId="0" fontId="0" fillId="51" borderId="389" xfId="0" applyFill="1" applyBorder="1" applyAlignment="1">
      <alignment horizontal="left" vertical="center"/>
    </xf>
    <xf numFmtId="0" fontId="5" fillId="0" borderId="389" xfId="0" applyFont="1" applyBorder="1" applyAlignment="1">
      <alignment horizontal="center"/>
    </xf>
    <xf numFmtId="0" fontId="5" fillId="0" borderId="396" xfId="0" applyFont="1" applyBorder="1" applyAlignment="1">
      <alignment horizontal="left" vertical="center"/>
    </xf>
    <xf numFmtId="0" fontId="0" fillId="0" borderId="398" xfId="0" applyBorder="1" applyAlignment="1">
      <alignment horizontal="left" vertical="center"/>
    </xf>
    <xf numFmtId="0" fontId="0" fillId="0" borderId="397" xfId="0" applyBorder="1" applyAlignment="1">
      <alignment horizontal="left" vertical="center"/>
    </xf>
    <xf numFmtId="0" fontId="5" fillId="0" borderId="398" xfId="0" applyFont="1" applyBorder="1" applyAlignment="1">
      <alignment horizontal="left" vertical="center"/>
    </xf>
    <xf numFmtId="0" fontId="5" fillId="0" borderId="388" xfId="0" applyFont="1" applyBorder="1" applyAlignment="1">
      <alignment horizontal="center"/>
    </xf>
    <xf numFmtId="0" fontId="5" fillId="0" borderId="402" xfId="0" applyFont="1" applyBorder="1" applyAlignment="1">
      <alignment horizontal="left"/>
    </xf>
    <xf numFmtId="0" fontId="0" fillId="0" borderId="407" xfId="0" applyBorder="1" applyAlignment="1">
      <alignment horizontal="left" vertical="center"/>
    </xf>
    <xf numFmtId="0" fontId="0" fillId="0" borderId="427" xfId="0" applyBorder="1" applyAlignment="1">
      <alignment horizontal="left" vertical="center"/>
    </xf>
    <xf numFmtId="49" fontId="0" fillId="0" borderId="383" xfId="0" applyNumberFormat="1" applyBorder="1" applyAlignment="1">
      <alignment horizontal="left"/>
    </xf>
    <xf numFmtId="49" fontId="0" fillId="0" borderId="383" xfId="0" applyNumberFormat="1" applyBorder="1" applyAlignment="1">
      <alignment horizontal="left" vertical="center"/>
    </xf>
    <xf numFmtId="0" fontId="4" fillId="0" borderId="389" xfId="0" applyFont="1" applyBorder="1" applyAlignment="1">
      <alignment horizontal="center"/>
    </xf>
    <xf numFmtId="0" fontId="0" fillId="0" borderId="428" xfId="0" applyBorder="1" applyAlignment="1">
      <alignment horizontal="left" vertical="center"/>
    </xf>
    <xf numFmtId="0" fontId="0" fillId="0" borderId="411" xfId="0" applyBorder="1" applyAlignment="1">
      <alignment horizontal="left" vertical="center"/>
    </xf>
    <xf numFmtId="49" fontId="0" fillId="0" borderId="411" xfId="0" applyNumberFormat="1" applyBorder="1" applyAlignment="1">
      <alignment horizontal="left"/>
    </xf>
    <xf numFmtId="0" fontId="5" fillId="0" borderId="415" xfId="0" applyFont="1" applyBorder="1" applyAlignment="1" applyProtection="1">
      <alignment horizontal="center"/>
      <protection locked="0"/>
    </xf>
    <xf numFmtId="0" fontId="0" fillId="0" borderId="415" xfId="0" applyBorder="1" applyAlignment="1">
      <alignment horizontal="left"/>
    </xf>
    <xf numFmtId="0" fontId="5" fillId="0" borderId="389" xfId="0" applyFont="1" applyBorder="1" applyAlignment="1" applyProtection="1">
      <alignment horizontal="center"/>
      <protection locked="0"/>
    </xf>
    <xf numFmtId="0" fontId="5" fillId="0" borderId="389" xfId="0" applyFont="1" applyBorder="1" applyAlignment="1">
      <alignment horizontal="left"/>
    </xf>
    <xf numFmtId="0" fontId="0" fillId="0" borderId="389" xfId="0" applyBorder="1" applyAlignment="1" applyProtection="1">
      <alignment horizontal="center"/>
      <protection locked="0"/>
    </xf>
    <xf numFmtId="0" fontId="0" fillId="0" borderId="389" xfId="0" applyBorder="1" applyAlignment="1">
      <alignment horizontal="left"/>
    </xf>
    <xf numFmtId="0" fontId="5" fillId="76" borderId="389" xfId="0" applyFont="1" applyFill="1" applyBorder="1" applyAlignment="1">
      <alignment vertical="center"/>
    </xf>
    <xf numFmtId="0" fontId="0" fillId="76" borderId="389" xfId="43" applyFont="1" applyFill="1" applyBorder="1">
      <alignment horizontal="center" vertical="center"/>
    </xf>
    <xf numFmtId="0" fontId="0" fillId="76" borderId="389" xfId="0" applyFill="1" applyBorder="1">
      <alignment horizontal="center" vertical="center"/>
    </xf>
    <xf numFmtId="0" fontId="4" fillId="0" borderId="389" xfId="0" applyFont="1" applyBorder="1" applyAlignment="1" applyProtection="1">
      <alignment horizontal="center"/>
      <protection locked="0"/>
    </xf>
    <xf numFmtId="0" fontId="0" fillId="53" borderId="381" xfId="0" applyFill="1" applyBorder="1">
      <alignment horizontal="center" vertical="center"/>
    </xf>
    <xf numFmtId="0" fontId="0" fillId="53" borderId="381" xfId="44" applyFont="1" applyFill="1" applyBorder="1">
      <alignment horizontal="center" vertical="center"/>
    </xf>
    <xf numFmtId="0" fontId="5" fillId="0" borderId="429" xfId="0" applyFont="1" applyBorder="1" applyAlignment="1">
      <alignment horizontal="center"/>
    </xf>
    <xf numFmtId="0" fontId="5" fillId="0" borderId="406" xfId="0" applyFont="1" applyBorder="1" applyAlignment="1">
      <alignment horizontal="center"/>
    </xf>
    <xf numFmtId="0" fontId="5" fillId="0" borderId="410" xfId="0" applyFont="1" applyBorder="1" applyAlignment="1">
      <alignment horizontal="center"/>
    </xf>
    <xf numFmtId="0" fontId="4" fillId="0" borderId="402" xfId="0" applyFont="1" applyBorder="1" applyAlignment="1">
      <alignment horizontal="left"/>
    </xf>
    <xf numFmtId="0" fontId="0" fillId="0" borderId="404" xfId="0" applyBorder="1" applyAlignment="1" applyProtection="1">
      <alignment horizontal="center"/>
      <protection locked="0"/>
    </xf>
    <xf numFmtId="0" fontId="0" fillId="0" borderId="404" xfId="0" applyBorder="1" applyAlignment="1">
      <alignment vertical="center"/>
    </xf>
    <xf numFmtId="0" fontId="0" fillId="43" borderId="381" xfId="0" applyFill="1" applyBorder="1" applyAlignment="1">
      <alignment horizontal="center"/>
    </xf>
    <xf numFmtId="0" fontId="47" fillId="0" borderId="381" xfId="0" applyFont="1" applyBorder="1" applyAlignment="1">
      <alignment horizontal="left" vertical="center"/>
    </xf>
    <xf numFmtId="0" fontId="0" fillId="24" borderId="381" xfId="0" applyFill="1" applyBorder="1" applyAlignment="1" applyProtection="1">
      <alignment horizontal="center"/>
      <protection locked="0"/>
    </xf>
    <xf numFmtId="0" fontId="5" fillId="77" borderId="381" xfId="0" applyFont="1" applyFill="1" applyBorder="1">
      <alignment horizontal="center" vertical="center"/>
    </xf>
    <xf numFmtId="0" fontId="0" fillId="76" borderId="381" xfId="0" applyFill="1" applyBorder="1">
      <alignment horizontal="center" vertical="center"/>
    </xf>
    <xf numFmtId="0" fontId="0" fillId="0" borderId="381" xfId="0" applyBorder="1" applyAlignment="1" applyProtection="1">
      <alignment horizontal="center"/>
      <protection locked="0"/>
    </xf>
    <xf numFmtId="0" fontId="0" fillId="0" borderId="382" xfId="0" applyBorder="1" applyAlignment="1" applyProtection="1">
      <alignment horizontal="center"/>
      <protection locked="0"/>
    </xf>
    <xf numFmtId="0" fontId="0" fillId="53" borderId="382" xfId="48" applyFont="1" applyFill="1" applyBorder="1">
      <alignment horizontal="center" vertical="center"/>
    </xf>
    <xf numFmtId="0" fontId="8" fillId="0" borderId="382" xfId="53" applyBorder="1">
      <alignment horizontal="center" vertical="center"/>
    </xf>
    <xf numFmtId="49" fontId="0" fillId="0" borderId="383" xfId="0" applyNumberFormat="1" applyBorder="1" applyAlignment="1"/>
    <xf numFmtId="0" fontId="0" fillId="0" borderId="415" xfId="0" applyBorder="1" applyAlignment="1" applyProtection="1">
      <alignment horizontal="center"/>
      <protection locked="0"/>
    </xf>
    <xf numFmtId="0" fontId="0" fillId="0" borderId="415" xfId="0" applyBorder="1" applyAlignment="1">
      <alignment horizontal="left" vertical="center"/>
    </xf>
    <xf numFmtId="0" fontId="0" fillId="0" borderId="389" xfId="0" applyBorder="1" applyAlignment="1" applyProtection="1">
      <alignment horizontal="left"/>
      <protection locked="0"/>
    </xf>
    <xf numFmtId="0" fontId="0" fillId="0" borderId="388" xfId="0" applyBorder="1" applyAlignment="1" applyProtection="1">
      <alignment horizontal="center"/>
      <protection locked="0"/>
    </xf>
    <xf numFmtId="0" fontId="7" fillId="44" borderId="383" xfId="0" applyFont="1" applyFill="1" applyBorder="1" applyAlignment="1">
      <alignment horizontal="left"/>
    </xf>
    <xf numFmtId="0" fontId="7" fillId="25" borderId="383" xfId="0" applyFont="1" applyFill="1" applyBorder="1">
      <alignment horizontal="center" vertical="center"/>
    </xf>
    <xf numFmtId="0" fontId="8" fillId="25" borderId="402" xfId="0" applyFont="1" applyFill="1" applyBorder="1">
      <alignment horizontal="center" vertical="center"/>
    </xf>
    <xf numFmtId="0" fontId="7" fillId="29" borderId="383" xfId="0" applyFont="1" applyFill="1" applyBorder="1" applyAlignment="1">
      <alignment horizontal="left"/>
    </xf>
    <xf numFmtId="0" fontId="7" fillId="29" borderId="402" xfId="0" applyFont="1" applyFill="1" applyBorder="1" applyAlignment="1">
      <alignment horizontal="left"/>
    </xf>
    <xf numFmtId="0" fontId="8" fillId="29" borderId="402" xfId="0" applyFont="1" applyFill="1" applyBorder="1">
      <alignment horizontal="center" vertical="center"/>
    </xf>
    <xf numFmtId="0" fontId="8" fillId="29" borderId="407" xfId="0" applyFont="1" applyFill="1" applyBorder="1">
      <alignment horizontal="center" vertical="center"/>
    </xf>
    <xf numFmtId="0" fontId="7" fillId="37" borderId="383" xfId="0" applyFont="1" applyFill="1" applyBorder="1" applyAlignment="1">
      <alignment horizontal="left"/>
    </xf>
    <xf numFmtId="0" fontId="7" fillId="37" borderId="402" xfId="0" applyFont="1" applyFill="1" applyBorder="1" applyAlignment="1">
      <alignment horizontal="left"/>
    </xf>
    <xf numFmtId="0" fontId="0" fillId="37" borderId="402" xfId="0" applyFill="1" applyBorder="1">
      <alignment horizontal="center" vertical="center"/>
    </xf>
    <xf numFmtId="0" fontId="7" fillId="45" borderId="383" xfId="0" applyFont="1" applyFill="1" applyBorder="1" applyAlignment="1">
      <alignment horizontal="left"/>
    </xf>
    <xf numFmtId="0" fontId="0" fillId="45" borderId="402" xfId="0" applyFill="1" applyBorder="1">
      <alignment horizontal="center" vertical="center"/>
    </xf>
    <xf numFmtId="0" fontId="8" fillId="45" borderId="402" xfId="0" applyFont="1" applyFill="1" applyBorder="1">
      <alignment horizontal="center" vertical="center"/>
    </xf>
    <xf numFmtId="0" fontId="8" fillId="77" borderId="407" xfId="0" applyFont="1" applyFill="1" applyBorder="1">
      <alignment horizontal="center" vertical="center"/>
    </xf>
    <xf numFmtId="0" fontId="7" fillId="24" borderId="383" xfId="0" applyFont="1" applyFill="1" applyBorder="1">
      <alignment horizontal="center" vertical="center"/>
    </xf>
    <xf numFmtId="0" fontId="0" fillId="24" borderId="402" xfId="0" applyFill="1" applyBorder="1">
      <alignment horizontal="center" vertical="center"/>
    </xf>
    <xf numFmtId="0" fontId="8" fillId="24" borderId="402" xfId="0" applyFont="1" applyFill="1" applyBorder="1">
      <alignment horizontal="center" vertical="center"/>
    </xf>
    <xf numFmtId="0" fontId="7" fillId="40" borderId="383" xfId="0" applyFont="1" applyFill="1" applyBorder="1" applyAlignment="1">
      <alignment horizontal="left"/>
    </xf>
    <xf numFmtId="0" fontId="8" fillId="40" borderId="402" xfId="0" applyFont="1" applyFill="1" applyBorder="1">
      <alignment horizontal="center" vertical="center"/>
    </xf>
    <xf numFmtId="0" fontId="0" fillId="40" borderId="407" xfId="0" applyFill="1" applyBorder="1">
      <alignment horizontal="center" vertical="center"/>
    </xf>
    <xf numFmtId="0" fontId="0" fillId="46" borderId="386" xfId="0" applyFill="1" applyBorder="1">
      <alignment horizontal="center" vertical="center"/>
    </xf>
    <xf numFmtId="0" fontId="8" fillId="46" borderId="386" xfId="0" applyFont="1" applyFill="1" applyBorder="1">
      <alignment horizontal="center" vertical="center"/>
    </xf>
    <xf numFmtId="0" fontId="8" fillId="46" borderId="384" xfId="0" applyFont="1" applyFill="1" applyBorder="1">
      <alignment horizontal="center" vertical="center"/>
    </xf>
    <xf numFmtId="0" fontId="7" fillId="0" borderId="385" xfId="0" applyFont="1" applyBorder="1" applyAlignment="1">
      <alignment horizontal="left" vertical="center"/>
    </xf>
    <xf numFmtId="0" fontId="8" fillId="0" borderId="386" xfId="0" applyFont="1" applyBorder="1">
      <alignment horizontal="center" vertical="center"/>
    </xf>
    <xf numFmtId="0" fontId="62" fillId="58" borderId="381" xfId="49" applyBorder="1">
      <alignment horizontal="center" vertical="center"/>
    </xf>
    <xf numFmtId="0" fontId="62" fillId="59" borderId="383" xfId="51" applyBorder="1" applyAlignment="1">
      <alignment horizontal="center" vertical="center"/>
    </xf>
    <xf numFmtId="0" fontId="62" fillId="59" borderId="402" xfId="51" applyBorder="1" applyAlignment="1">
      <alignment horizontal="center" vertical="center"/>
    </xf>
    <xf numFmtId="0" fontId="62" fillId="59" borderId="407" xfId="51" applyBorder="1" applyAlignment="1">
      <alignment horizontal="center" vertical="center"/>
    </xf>
    <xf numFmtId="0" fontId="8" fillId="0" borderId="383" xfId="0" applyFont="1" applyBorder="1" applyAlignment="1">
      <alignment horizontal="left"/>
    </xf>
    <xf numFmtId="0" fontId="0" fillId="0" borderId="402" xfId="0" applyBorder="1">
      <alignment horizontal="center" vertical="center"/>
    </xf>
    <xf numFmtId="0" fontId="8" fillId="0" borderId="402" xfId="0" applyFont="1" applyBorder="1" applyAlignment="1">
      <alignment horizontal="left"/>
    </xf>
    <xf numFmtId="0" fontId="8" fillId="48" borderId="383" xfId="0" applyFont="1" applyFill="1" applyBorder="1" applyAlignment="1">
      <alignment horizontal="left" vertical="center"/>
    </xf>
    <xf numFmtId="0" fontId="8" fillId="48" borderId="402" xfId="0" applyFont="1" applyFill="1" applyBorder="1">
      <alignment horizontal="center" vertical="center"/>
    </xf>
    <xf numFmtId="0" fontId="0" fillId="75" borderId="390" xfId="56" applyFont="1" applyBorder="1" applyAlignment="1">
      <alignment horizontal="center" vertical="center"/>
    </xf>
    <xf numFmtId="0" fontId="0" fillId="75" borderId="422" xfId="56" applyFont="1" applyBorder="1" applyAlignment="1">
      <alignment horizontal="center" vertical="center"/>
    </xf>
    <xf numFmtId="0" fontId="0" fillId="0" borderId="403" xfId="0" applyBorder="1">
      <alignment horizontal="center" vertical="center"/>
    </xf>
    <xf numFmtId="0" fontId="5" fillId="0" borderId="403" xfId="0" applyFont="1" applyBorder="1" applyAlignment="1">
      <alignment horizontal="center"/>
    </xf>
    <xf numFmtId="0" fontId="8" fillId="0" borderId="403" xfId="0" applyFont="1" applyBorder="1">
      <alignment horizontal="center" vertical="center"/>
    </xf>
    <xf numFmtId="0" fontId="8" fillId="0" borderId="381" xfId="0" applyFont="1" applyBorder="1">
      <alignment horizontal="center" vertical="center"/>
    </xf>
    <xf numFmtId="0" fontId="0" fillId="0" borderId="381" xfId="0" applyBorder="1">
      <alignment horizontal="center" vertical="center"/>
    </xf>
    <xf numFmtId="0" fontId="5" fillId="0" borderId="381" xfId="0" applyFont="1" applyBorder="1" applyAlignment="1">
      <alignment horizontal="center"/>
    </xf>
    <xf numFmtId="0" fontId="5" fillId="0" borderId="390" xfId="0" applyFont="1" applyBorder="1" applyAlignment="1">
      <alignment horizontal="left" vertical="center"/>
    </xf>
    <xf numFmtId="0" fontId="0" fillId="0" borderId="390" xfId="0" applyBorder="1">
      <alignment horizontal="center" vertical="center"/>
    </xf>
    <xf numFmtId="0" fontId="60" fillId="0" borderId="430" xfId="0" applyFont="1" applyBorder="1" applyAlignment="1">
      <alignment horizontal="left" vertical="center"/>
    </xf>
    <xf numFmtId="0" fontId="5" fillId="0" borderId="422" xfId="0" applyFont="1" applyBorder="1" applyAlignment="1">
      <alignment horizontal="left" vertical="center"/>
    </xf>
    <xf numFmtId="0" fontId="0" fillId="0" borderId="421" xfId="0" applyBorder="1">
      <alignment horizontal="center" vertical="center"/>
    </xf>
    <xf numFmtId="0" fontId="0" fillId="0" borderId="422" xfId="0" applyBorder="1">
      <alignment horizontal="center" vertical="center"/>
    </xf>
    <xf numFmtId="0" fontId="14" fillId="0" borderId="422" xfId="0" applyFont="1" applyBorder="1">
      <alignment horizontal="center" vertical="center"/>
    </xf>
    <xf numFmtId="0" fontId="60" fillId="0" borderId="390" xfId="0" applyFont="1" applyBorder="1" applyAlignment="1">
      <alignment horizontal="left" vertical="center"/>
    </xf>
    <xf numFmtId="0" fontId="0" fillId="0" borderId="422" xfId="0" applyBorder="1" applyAlignment="1">
      <alignment horizontal="left" vertical="center"/>
    </xf>
    <xf numFmtId="0" fontId="0" fillId="0" borderId="421" xfId="0" applyBorder="1" applyAlignment="1">
      <alignment horizontal="left" vertical="center"/>
    </xf>
    <xf numFmtId="0" fontId="60" fillId="0" borderId="423" xfId="0" applyFont="1" applyBorder="1" applyAlignment="1">
      <alignment horizontal="left" vertical="center"/>
    </xf>
    <xf numFmtId="0" fontId="5" fillId="0" borderId="422" xfId="0" applyFont="1" applyBorder="1">
      <alignment horizontal="center" vertical="center"/>
    </xf>
    <xf numFmtId="0" fontId="60" fillId="0" borderId="426" xfId="0" applyFont="1" applyBorder="1" applyAlignment="1">
      <alignment horizontal="left" vertical="center"/>
    </xf>
    <xf numFmtId="0" fontId="0" fillId="0" borderId="431" xfId="0" applyBorder="1" applyAlignment="1" applyProtection="1">
      <alignment horizontal="center"/>
      <protection locked="0"/>
    </xf>
    <xf numFmtId="0" fontId="7" fillId="51" borderId="431" xfId="0" applyFont="1" applyFill="1" applyBorder="1">
      <alignment horizontal="center" vertical="center"/>
    </xf>
    <xf numFmtId="0" fontId="0" fillId="51" borderId="431" xfId="0" applyFill="1" applyBorder="1">
      <alignment horizontal="center" vertical="center"/>
    </xf>
    <xf numFmtId="0" fontId="0" fillId="68" borderId="431" xfId="0" applyFill="1" applyBorder="1">
      <alignment horizontal="center" vertical="center"/>
    </xf>
    <xf numFmtId="0" fontId="0" fillId="51" borderId="404" xfId="0" applyFill="1" applyBorder="1" applyProtection="1">
      <alignment horizontal="center" vertical="center"/>
      <protection locked="0"/>
    </xf>
    <xf numFmtId="0" fontId="0" fillId="0" borderId="432" xfId="0" applyBorder="1" applyAlignment="1">
      <alignment horizontal="left" vertical="center"/>
    </xf>
    <xf numFmtId="0" fontId="0" fillId="51" borderId="404" xfId="48" applyFont="1" applyFill="1" applyBorder="1">
      <alignment horizontal="center" vertical="center"/>
    </xf>
    <xf numFmtId="0" fontId="0" fillId="51" borderId="404" xfId="43" applyFont="1" applyFill="1" applyBorder="1">
      <alignment horizontal="center" vertical="center"/>
    </xf>
    <xf numFmtId="0" fontId="0" fillId="43" borderId="433" xfId="0" applyFill="1" applyBorder="1" applyAlignment="1" applyProtection="1">
      <alignment horizontal="center"/>
      <protection locked="0"/>
    </xf>
    <xf numFmtId="0" fontId="0" fillId="0" borderId="433" xfId="0" applyBorder="1" applyAlignment="1">
      <alignment horizontal="left" vertical="center"/>
    </xf>
    <xf numFmtId="0" fontId="8" fillId="52" borderId="433" xfId="48" applyBorder="1">
      <alignment horizontal="center" vertical="center"/>
    </xf>
    <xf numFmtId="0" fontId="8" fillId="0" borderId="433" xfId="53" applyBorder="1">
      <alignment horizontal="center" vertical="center"/>
    </xf>
    <xf numFmtId="0" fontId="8" fillId="55" borderId="433" xfId="53" applyFill="1" applyBorder="1">
      <alignment horizontal="center" vertical="center"/>
    </xf>
    <xf numFmtId="0" fontId="0" fillId="51" borderId="433" xfId="48" applyFont="1" applyFill="1" applyBorder="1">
      <alignment horizontal="center" vertical="center"/>
    </xf>
    <xf numFmtId="0" fontId="0" fillId="51" borderId="433" xfId="43" applyFont="1" applyFill="1" applyBorder="1">
      <alignment horizontal="center" vertical="center"/>
    </xf>
    <xf numFmtId="0" fontId="8" fillId="55" borderId="433" xfId="45" applyBorder="1">
      <alignment horizontal="center" vertical="center"/>
    </xf>
    <xf numFmtId="1" fontId="0" fillId="51" borderId="433" xfId="0" applyNumberFormat="1" applyFill="1" applyBorder="1">
      <alignment horizontal="center" vertical="center"/>
    </xf>
    <xf numFmtId="0" fontId="8" fillId="75" borderId="433" xfId="56" applyBorder="1">
      <alignment horizontal="center" vertical="center"/>
    </xf>
    <xf numFmtId="49" fontId="0" fillId="51" borderId="433" xfId="0" applyNumberFormat="1" applyFill="1" applyBorder="1">
      <alignment horizontal="center" vertical="center"/>
    </xf>
    <xf numFmtId="0" fontId="0" fillId="0" borderId="434" xfId="0" applyBorder="1" applyAlignment="1">
      <alignment horizontal="left" vertical="center"/>
    </xf>
    <xf numFmtId="0" fontId="0" fillId="51" borderId="434" xfId="48" applyFont="1" applyFill="1" applyBorder="1">
      <alignment horizontal="center" vertical="center"/>
    </xf>
    <xf numFmtId="0" fontId="0" fillId="51" borderId="434" xfId="43" applyFont="1" applyFill="1" applyBorder="1">
      <alignment horizontal="center" vertical="center"/>
    </xf>
    <xf numFmtId="0" fontId="8" fillId="0" borderId="434" xfId="53" applyBorder="1">
      <alignment horizontal="center" vertical="center"/>
    </xf>
    <xf numFmtId="0" fontId="8" fillId="52" borderId="434" xfId="48" applyBorder="1">
      <alignment horizontal="center" vertical="center"/>
    </xf>
    <xf numFmtId="0" fontId="8" fillId="85" borderId="434" xfId="48" applyFill="1" applyBorder="1">
      <alignment horizontal="center" vertical="center"/>
    </xf>
    <xf numFmtId="0" fontId="8" fillId="86" borderId="434" xfId="48" applyFill="1" applyBorder="1">
      <alignment horizontal="center" vertical="center"/>
    </xf>
    <xf numFmtId="1" fontId="0" fillId="51" borderId="433" xfId="32" applyNumberFormat="1" applyFont="1" applyFill="1" applyBorder="1" applyAlignment="1">
      <alignment horizontal="center" vertical="center"/>
    </xf>
    <xf numFmtId="0" fontId="5" fillId="77" borderId="435" xfId="0" applyFont="1" applyFill="1" applyBorder="1" applyAlignment="1">
      <alignment horizontal="left" vertical="center"/>
    </xf>
    <xf numFmtId="0" fontId="0" fillId="77" borderId="433" xfId="0" applyFill="1" applyBorder="1">
      <alignment horizontal="center" vertical="center"/>
    </xf>
    <xf numFmtId="0" fontId="0" fillId="43" borderId="404" xfId="0" applyFill="1" applyBorder="1" applyAlignment="1" applyProtection="1">
      <alignment horizontal="center"/>
      <protection locked="0"/>
    </xf>
    <xf numFmtId="0" fontId="8" fillId="53" borderId="433" xfId="43" applyBorder="1">
      <alignment horizontal="center" vertical="center"/>
    </xf>
    <xf numFmtId="0" fontId="8" fillId="53" borderId="436" xfId="43" applyBorder="1">
      <alignment horizontal="center" vertical="center"/>
    </xf>
    <xf numFmtId="0" fontId="8" fillId="0" borderId="433" xfId="0" applyFont="1" applyBorder="1" applyAlignment="1">
      <alignment horizontal="left" vertical="center"/>
    </xf>
    <xf numFmtId="0" fontId="0" fillId="51" borderId="433" xfId="0" applyFill="1" applyBorder="1">
      <alignment horizontal="center" vertical="center"/>
    </xf>
    <xf numFmtId="0" fontId="8" fillId="52" borderId="436" xfId="48" applyBorder="1">
      <alignment horizontal="center" vertical="center"/>
    </xf>
    <xf numFmtId="0" fontId="8" fillId="0" borderId="436" xfId="53" applyBorder="1">
      <alignment horizontal="center" vertical="center"/>
    </xf>
    <xf numFmtId="0" fontId="0" fillId="51" borderId="435" xfId="44" applyFont="1" applyFill="1" applyBorder="1">
      <alignment horizontal="center" vertical="center"/>
    </xf>
    <xf numFmtId="0" fontId="0" fillId="51" borderId="435" xfId="0" applyFill="1" applyBorder="1">
      <alignment horizontal="center" vertical="center"/>
    </xf>
    <xf numFmtId="1" fontId="0" fillId="51" borderId="435" xfId="0" applyNumberFormat="1" applyFill="1" applyBorder="1">
      <alignment horizontal="center" vertical="center"/>
    </xf>
    <xf numFmtId="1" fontId="0" fillId="51" borderId="433" xfId="44" applyNumberFormat="1" applyFont="1" applyFill="1" applyBorder="1">
      <alignment horizontal="center" vertical="center"/>
    </xf>
    <xf numFmtId="0" fontId="8" fillId="73" borderId="433" xfId="44" applyBorder="1">
      <alignment horizontal="center" vertical="center"/>
    </xf>
    <xf numFmtId="0" fontId="8" fillId="0" borderId="435" xfId="53" applyBorder="1">
      <alignment horizontal="center" vertical="center"/>
    </xf>
    <xf numFmtId="0" fontId="8" fillId="0" borderId="437" xfId="53" applyBorder="1">
      <alignment horizontal="center" vertical="center"/>
    </xf>
    <xf numFmtId="0" fontId="0" fillId="0" borderId="436" xfId="0" applyBorder="1" applyAlignment="1">
      <alignment horizontal="left" vertical="center"/>
    </xf>
    <xf numFmtId="0" fontId="0" fillId="0" borderId="438" xfId="0" applyBorder="1">
      <alignment horizontal="center" vertical="center"/>
    </xf>
    <xf numFmtId="1" fontId="0" fillId="51" borderId="438" xfId="0" applyNumberFormat="1" applyFill="1" applyBorder="1">
      <alignment horizontal="center" vertical="center"/>
    </xf>
    <xf numFmtId="1" fontId="0" fillId="51" borderId="439" xfId="0" applyNumberFormat="1" applyFill="1" applyBorder="1">
      <alignment horizontal="center" vertical="center"/>
    </xf>
    <xf numFmtId="1" fontId="0" fillId="51" borderId="436" xfId="32" applyNumberFormat="1" applyFont="1" applyFill="1" applyBorder="1" applyAlignment="1">
      <alignment horizontal="center" vertical="center"/>
    </xf>
    <xf numFmtId="0" fontId="8" fillId="74" borderId="438" xfId="47" applyBorder="1">
      <alignment horizontal="center" vertical="center"/>
    </xf>
    <xf numFmtId="0" fontId="5" fillId="77" borderId="431" xfId="0" applyFont="1" applyFill="1" applyBorder="1" applyAlignment="1" applyProtection="1">
      <alignment horizontal="left"/>
      <protection locked="0"/>
    </xf>
    <xf numFmtId="0" fontId="5" fillId="77" borderId="431" xfId="0" applyFont="1" applyFill="1" applyBorder="1">
      <alignment horizontal="center" vertical="center"/>
    </xf>
    <xf numFmtId="0" fontId="7" fillId="76" borderId="431" xfId="0" applyFont="1" applyFill="1" applyBorder="1">
      <alignment horizontal="center" vertical="center"/>
    </xf>
    <xf numFmtId="0" fontId="0" fillId="0" borderId="404" xfId="0" applyBorder="1" applyAlignment="1">
      <alignment horizontal="left" vertical="center"/>
    </xf>
    <xf numFmtId="0" fontId="0" fillId="51" borderId="440" xfId="48" applyFont="1" applyFill="1" applyBorder="1">
      <alignment horizontal="center" vertical="center"/>
    </xf>
    <xf numFmtId="0" fontId="0" fillId="51" borderId="432" xfId="43" applyFont="1" applyFill="1" applyBorder="1">
      <alignment horizontal="center" vertical="center"/>
    </xf>
    <xf numFmtId="0" fontId="8" fillId="52" borderId="440" xfId="48" applyBorder="1">
      <alignment horizontal="center" vertical="center"/>
    </xf>
    <xf numFmtId="0" fontId="8" fillId="52" borderId="432" xfId="48" applyBorder="1">
      <alignment horizontal="center" vertical="center"/>
    </xf>
    <xf numFmtId="0" fontId="8" fillId="0" borderId="432" xfId="53" applyBorder="1">
      <alignment horizontal="center" vertical="center"/>
    </xf>
    <xf numFmtId="1" fontId="0" fillId="55" borderId="433" xfId="0" applyNumberFormat="1" applyFill="1" applyBorder="1">
      <alignment horizontal="center" vertical="center"/>
    </xf>
    <xf numFmtId="0" fontId="0" fillId="51" borderId="436" xfId="43" applyFont="1" applyFill="1" applyBorder="1">
      <alignment horizontal="center" vertical="center"/>
    </xf>
    <xf numFmtId="0" fontId="0" fillId="55" borderId="438" xfId="0" applyFill="1" applyBorder="1">
      <alignment horizontal="center" vertical="center"/>
    </xf>
    <xf numFmtId="1" fontId="0" fillId="51" borderId="438" xfId="32" applyNumberFormat="1" applyFont="1" applyFill="1" applyBorder="1" applyAlignment="1">
      <alignment horizontal="center" vertical="center"/>
    </xf>
    <xf numFmtId="0" fontId="0" fillId="51" borderId="438" xfId="49" applyFont="1" applyFill="1" applyBorder="1">
      <alignment horizontal="center" vertical="center"/>
    </xf>
    <xf numFmtId="0" fontId="8" fillId="55" borderId="438" xfId="45" applyBorder="1">
      <alignment horizontal="center" vertical="center"/>
    </xf>
    <xf numFmtId="0" fontId="8" fillId="0" borderId="438" xfId="53" applyBorder="1">
      <alignment horizontal="center" vertical="center"/>
    </xf>
    <xf numFmtId="0" fontId="0" fillId="51" borderId="433" xfId="20" applyFont="1" applyFill="1" applyBorder="1" applyAlignment="1">
      <alignment horizontal="center" vertical="center"/>
    </xf>
    <xf numFmtId="0" fontId="0" fillId="43" borderId="434" xfId="0" applyFill="1" applyBorder="1" applyAlignment="1" applyProtection="1">
      <alignment horizontal="center"/>
      <protection locked="0"/>
    </xf>
    <xf numFmtId="0" fontId="0" fillId="0" borderId="434" xfId="0" applyBorder="1" applyAlignment="1">
      <alignment vertical="center"/>
    </xf>
    <xf numFmtId="0" fontId="0" fillId="51" borderId="434" xfId="32" applyFont="1" applyFill="1" applyBorder="1" applyAlignment="1">
      <alignment horizontal="center" vertical="center"/>
    </xf>
    <xf numFmtId="0" fontId="8" fillId="73" borderId="434" xfId="44" applyBorder="1">
      <alignment horizontal="center" vertical="center"/>
    </xf>
    <xf numFmtId="0" fontId="0" fillId="51" borderId="434" xfId="0" applyFill="1" applyBorder="1">
      <alignment horizontal="center" vertical="center"/>
    </xf>
    <xf numFmtId="49" fontId="0" fillId="51" borderId="434" xfId="0" applyNumberFormat="1" applyFill="1" applyBorder="1">
      <alignment horizontal="center" vertical="center"/>
    </xf>
    <xf numFmtId="0" fontId="0" fillId="51" borderId="434" xfId="46" applyFont="1" applyFill="1" applyBorder="1">
      <alignment horizontal="center" vertical="center"/>
    </xf>
    <xf numFmtId="0" fontId="5" fillId="0" borderId="395" xfId="0" applyFont="1" applyBorder="1" applyAlignment="1">
      <alignment horizontal="left" vertical="center"/>
    </xf>
    <xf numFmtId="0" fontId="0" fillId="0" borderId="400" xfId="0" applyBorder="1" applyAlignment="1">
      <alignment horizontal="left"/>
    </xf>
    <xf numFmtId="0" fontId="5" fillId="0" borderId="396" xfId="0" applyFont="1" applyBorder="1" applyAlignment="1">
      <alignment vertical="center"/>
    </xf>
    <xf numFmtId="0" fontId="0" fillId="0" borderId="400" xfId="0" applyBorder="1">
      <alignment horizontal="center" vertical="center"/>
    </xf>
    <xf numFmtId="0" fontId="5" fillId="0" borderId="399" xfId="0" applyFont="1" applyBorder="1" applyAlignment="1">
      <alignment horizontal="left" vertical="center"/>
    </xf>
    <xf numFmtId="0" fontId="5" fillId="0" borderId="399" xfId="0" applyFont="1" applyBorder="1" applyAlignment="1">
      <alignment horizontal="left"/>
    </xf>
    <xf numFmtId="0" fontId="5" fillId="0" borderId="396" xfId="0" applyFont="1" applyBorder="1" applyAlignment="1">
      <alignment wrapText="1"/>
    </xf>
    <xf numFmtId="0" fontId="5" fillId="0" borderId="398" xfId="0" applyFont="1" applyBorder="1" applyAlignment="1">
      <alignment vertical="center"/>
    </xf>
    <xf numFmtId="0" fontId="0" fillId="0" borderId="398" xfId="0" applyBorder="1">
      <alignment horizontal="center" vertical="center"/>
    </xf>
    <xf numFmtId="0" fontId="5" fillId="0" borderId="441" xfId="0" applyFont="1" applyBorder="1" applyAlignment="1">
      <alignment horizontal="left" vertical="center"/>
    </xf>
    <xf numFmtId="0" fontId="0" fillId="0" borderId="442" xfId="0" applyBorder="1">
      <alignment horizontal="center" vertical="center"/>
    </xf>
    <xf numFmtId="0" fontId="5" fillId="0" borderId="436" xfId="0" applyFont="1" applyBorder="1" applyAlignment="1">
      <alignment vertical="center"/>
    </xf>
    <xf numFmtId="0" fontId="14" fillId="0" borderId="443" xfId="0" applyFont="1" applyBorder="1">
      <alignment horizontal="center" vertical="center"/>
    </xf>
    <xf numFmtId="0" fontId="0" fillId="0" borderId="439" xfId="0" applyBorder="1">
      <alignment horizontal="center" vertical="center"/>
    </xf>
    <xf numFmtId="0" fontId="5" fillId="0" borderId="437" xfId="0" applyFont="1" applyBorder="1" applyAlignment="1">
      <alignment horizontal="left" vertical="center"/>
    </xf>
    <xf numFmtId="0" fontId="14" fillId="0" borderId="442" xfId="0" applyFont="1" applyBorder="1">
      <alignment horizontal="center" vertical="center"/>
    </xf>
    <xf numFmtId="0" fontId="5" fillId="0" borderId="442" xfId="0" applyFont="1" applyBorder="1">
      <alignment horizontal="center" vertical="center"/>
    </xf>
    <xf numFmtId="0" fontId="5" fillId="0" borderId="444" xfId="0" applyFont="1" applyBorder="1" applyAlignment="1">
      <alignment horizontal="left" vertical="center"/>
    </xf>
    <xf numFmtId="0" fontId="0" fillId="0" borderId="436" xfId="0" applyBorder="1" applyAlignment="1">
      <alignment vertical="center"/>
    </xf>
    <xf numFmtId="0" fontId="5" fillId="0" borderId="436" xfId="0" applyFont="1" applyBorder="1">
      <alignment horizontal="center" vertical="center"/>
    </xf>
    <xf numFmtId="0" fontId="0" fillId="0" borderId="443" xfId="0" applyBorder="1" applyAlignment="1">
      <alignment horizontal="left" vertical="center"/>
    </xf>
    <xf numFmtId="0" fontId="5" fillId="0" borderId="445" xfId="0" applyFont="1" applyBorder="1" applyAlignment="1">
      <alignment horizontal="left" vertical="center"/>
    </xf>
    <xf numFmtId="0" fontId="0" fillId="0" borderId="446" xfId="0" applyBorder="1">
      <alignment horizontal="center" vertical="center"/>
    </xf>
    <xf numFmtId="0" fontId="0" fillId="0" borderId="447" xfId="0" applyBorder="1" applyAlignment="1">
      <alignment vertical="center"/>
    </xf>
    <xf numFmtId="0" fontId="0" fillId="0" borderId="448" xfId="0" applyBorder="1">
      <alignment horizontal="center" vertical="center"/>
    </xf>
    <xf numFmtId="0" fontId="5" fillId="0" borderId="447" xfId="0" applyFont="1" applyBorder="1">
      <alignment horizontal="center" vertical="center"/>
    </xf>
    <xf numFmtId="0" fontId="0" fillId="0" borderId="446" xfId="0" applyBorder="1" applyAlignment="1">
      <alignment horizontal="left" vertical="center"/>
    </xf>
    <xf numFmtId="0" fontId="14" fillId="0" borderId="446" xfId="0" applyFont="1" applyBorder="1">
      <alignment horizontal="center" vertical="center"/>
    </xf>
    <xf numFmtId="0" fontId="5" fillId="0" borderId="446" xfId="0" applyFont="1" applyBorder="1" applyAlignment="1">
      <alignment horizontal="left" vertical="center"/>
    </xf>
    <xf numFmtId="0" fontId="0" fillId="0" borderId="435" xfId="0" applyBorder="1" applyAlignment="1" applyProtection="1">
      <alignment horizontal="center"/>
      <protection locked="0"/>
    </xf>
    <xf numFmtId="0" fontId="7" fillId="0" borderId="435" xfId="0" applyFont="1" applyBorder="1" applyAlignment="1">
      <alignment horizontal="center"/>
    </xf>
    <xf numFmtId="0" fontId="0" fillId="24" borderId="429" xfId="0" applyFill="1" applyBorder="1" applyAlignment="1" applyProtection="1">
      <alignment horizontal="center"/>
      <protection locked="0"/>
    </xf>
    <xf numFmtId="49" fontId="0" fillId="51" borderId="404" xfId="0" applyNumberFormat="1" applyFill="1" applyBorder="1">
      <alignment horizontal="center" vertical="center"/>
    </xf>
    <xf numFmtId="0" fontId="0" fillId="51" borderId="404" xfId="0" applyFill="1" applyBorder="1">
      <alignment horizontal="center" vertical="center"/>
    </xf>
    <xf numFmtId="0" fontId="0" fillId="51" borderId="404" xfId="44" applyFont="1" applyFill="1" applyBorder="1">
      <alignment horizontal="center" vertical="center"/>
    </xf>
    <xf numFmtId="0" fontId="0" fillId="43" borderId="449" xfId="0" applyFill="1" applyBorder="1" applyAlignment="1" applyProtection="1">
      <alignment horizontal="center"/>
      <protection locked="0"/>
    </xf>
    <xf numFmtId="0" fontId="0" fillId="55" borderId="433" xfId="20" applyFont="1" applyFill="1" applyBorder="1" applyAlignment="1">
      <alignment horizontal="center" vertical="center"/>
    </xf>
    <xf numFmtId="0" fontId="0" fillId="43" borderId="450" xfId="0" applyFill="1" applyBorder="1" applyAlignment="1" applyProtection="1">
      <alignment horizontal="center"/>
      <protection locked="0"/>
    </xf>
    <xf numFmtId="0" fontId="0" fillId="0" borderId="434" xfId="0" applyBorder="1">
      <alignment horizontal="center" vertical="center"/>
    </xf>
    <xf numFmtId="0" fontId="8" fillId="52" borderId="451" xfId="48" applyBorder="1">
      <alignment horizontal="center" vertical="center"/>
    </xf>
    <xf numFmtId="0" fontId="8" fillId="53" borderId="404" xfId="43" applyBorder="1">
      <alignment horizontal="center" vertical="center"/>
    </xf>
    <xf numFmtId="49" fontId="0" fillId="51" borderId="452" xfId="0" applyNumberFormat="1" applyFill="1" applyBorder="1">
      <alignment horizontal="center" vertical="center"/>
    </xf>
    <xf numFmtId="0" fontId="8" fillId="53" borderId="438" xfId="43" applyBorder="1">
      <alignment horizontal="center" vertical="center"/>
    </xf>
    <xf numFmtId="0" fontId="8" fillId="53" borderId="453" xfId="43" applyBorder="1">
      <alignment horizontal="center" vertical="center"/>
    </xf>
    <xf numFmtId="0" fontId="0" fillId="51" borderId="434" xfId="0" applyFill="1" applyBorder="1" applyAlignment="1">
      <alignment horizontal="left" vertical="center"/>
    </xf>
    <xf numFmtId="0" fontId="8" fillId="55" borderId="434" xfId="45" applyBorder="1">
      <alignment horizontal="center" vertical="center"/>
    </xf>
    <xf numFmtId="0" fontId="0" fillId="51" borderId="435" xfId="48" applyFont="1" applyFill="1" applyBorder="1">
      <alignment horizontal="center" vertical="center"/>
    </xf>
    <xf numFmtId="0" fontId="0" fillId="51" borderId="451" xfId="48" applyFont="1" applyFill="1" applyBorder="1">
      <alignment horizontal="center" vertical="center"/>
    </xf>
    <xf numFmtId="0" fontId="0" fillId="51" borderId="404" xfId="0" applyFill="1" applyBorder="1" applyAlignment="1">
      <alignment horizontal="left" vertical="center" wrapText="1"/>
    </xf>
    <xf numFmtId="0" fontId="0" fillId="0" borderId="438" xfId="43" applyFont="1" applyFill="1" applyBorder="1">
      <alignment horizontal="center" vertical="center"/>
    </xf>
    <xf numFmtId="0" fontId="0" fillId="0" borderId="438" xfId="32" applyFont="1" applyFill="1" applyBorder="1" applyAlignment="1">
      <alignment horizontal="center" vertical="center"/>
    </xf>
    <xf numFmtId="0" fontId="0" fillId="51" borderId="433" xfId="44" applyFont="1" applyFill="1" applyBorder="1">
      <alignment horizontal="center" vertical="center"/>
    </xf>
    <xf numFmtId="0" fontId="0" fillId="51" borderId="433" xfId="46" applyFont="1" applyFill="1" applyBorder="1">
      <alignment horizontal="center" vertical="center"/>
    </xf>
    <xf numFmtId="0" fontId="0" fillId="51" borderId="453" xfId="46" applyFont="1" applyFill="1" applyBorder="1">
      <alignment horizontal="center" vertical="center"/>
    </xf>
    <xf numFmtId="0" fontId="0" fillId="51" borderId="434" xfId="44" applyFont="1" applyFill="1" applyBorder="1">
      <alignment horizontal="center" vertical="center"/>
    </xf>
    <xf numFmtId="49" fontId="0" fillId="51" borderId="451" xfId="0" applyNumberFormat="1" applyFill="1" applyBorder="1">
      <alignment horizontal="center" vertical="center"/>
    </xf>
    <xf numFmtId="0" fontId="0" fillId="51" borderId="404" xfId="46" applyFont="1" applyFill="1" applyBorder="1">
      <alignment horizontal="center" vertical="center"/>
    </xf>
    <xf numFmtId="0" fontId="0" fillId="51" borderId="452" xfId="0" applyFill="1" applyBorder="1">
      <alignment horizontal="center" vertical="center"/>
    </xf>
    <xf numFmtId="49" fontId="0" fillId="51" borderId="435" xfId="0" applyNumberFormat="1" applyFill="1" applyBorder="1">
      <alignment horizontal="center" vertical="center"/>
    </xf>
    <xf numFmtId="0" fontId="52" fillId="56" borderId="434" xfId="46" applyBorder="1">
      <alignment horizontal="center" vertical="center"/>
    </xf>
    <xf numFmtId="0" fontId="8" fillId="54" borderId="434" xfId="50" applyBorder="1">
      <alignment horizontal="center" vertical="center"/>
    </xf>
    <xf numFmtId="0" fontId="8" fillId="73" borderId="447" xfId="44" applyBorder="1">
      <alignment horizontal="center" vertical="center"/>
    </xf>
    <xf numFmtId="0" fontId="0" fillId="51" borderId="454" xfId="0" applyFill="1" applyBorder="1">
      <alignment horizontal="center" vertical="center"/>
    </xf>
    <xf numFmtId="0" fontId="0" fillId="51" borderId="448" xfId="0" applyFill="1" applyBorder="1">
      <alignment horizontal="center" vertical="center"/>
    </xf>
    <xf numFmtId="0" fontId="5" fillId="0" borderId="438" xfId="0" applyFont="1" applyBorder="1" applyAlignment="1">
      <alignment horizontal="center"/>
    </xf>
    <xf numFmtId="0" fontId="7" fillId="0" borderId="438" xfId="0" applyFont="1" applyBorder="1" applyAlignment="1">
      <alignment horizontal="left"/>
    </xf>
    <xf numFmtId="0" fontId="0" fillId="43" borderId="438" xfId="0" applyFill="1" applyBorder="1" applyAlignment="1" applyProtection="1">
      <alignment horizontal="center"/>
      <protection locked="0"/>
    </xf>
    <xf numFmtId="0" fontId="0" fillId="0" borderId="438" xfId="0" applyBorder="1" applyAlignment="1">
      <alignment horizontal="left"/>
    </xf>
    <xf numFmtId="0" fontId="0" fillId="0" borderId="438" xfId="0" applyBorder="1" applyAlignment="1">
      <alignment horizontal="left" vertical="center"/>
    </xf>
    <xf numFmtId="0" fontId="0" fillId="51" borderId="438" xfId="0" applyFill="1" applyBorder="1" applyAlignment="1" applyProtection="1">
      <alignment horizontal="left" vertical="center"/>
      <protection locked="0"/>
    </xf>
    <xf numFmtId="0" fontId="0" fillId="51" borderId="439" xfId="48" applyFont="1" applyFill="1" applyBorder="1">
      <alignment horizontal="center" vertical="center"/>
    </xf>
    <xf numFmtId="0" fontId="0" fillId="55" borderId="433" xfId="48" applyFont="1" applyFill="1" applyBorder="1">
      <alignment horizontal="center" vertical="center"/>
    </xf>
    <xf numFmtId="0" fontId="0" fillId="55" borderId="433" xfId="0" applyFill="1" applyBorder="1">
      <alignment horizontal="center" vertical="center"/>
    </xf>
    <xf numFmtId="0" fontId="0" fillId="0" borderId="433" xfId="48" applyFont="1" applyFill="1" applyBorder="1">
      <alignment horizontal="center" vertical="center"/>
    </xf>
    <xf numFmtId="0" fontId="0" fillId="51" borderId="455" xfId="0" applyFill="1" applyBorder="1" applyAlignment="1" applyProtection="1">
      <alignment horizontal="left" vertical="center"/>
      <protection locked="0"/>
    </xf>
    <xf numFmtId="0" fontId="8" fillId="0" borderId="433" xfId="48" applyFill="1" applyBorder="1">
      <alignment horizontal="center" vertical="center"/>
    </xf>
    <xf numFmtId="0" fontId="0" fillId="51" borderId="433" xfId="47" applyFont="1" applyFill="1" applyBorder="1">
      <alignment horizontal="center" vertical="center"/>
    </xf>
    <xf numFmtId="0" fontId="0" fillId="51" borderId="439" xfId="0" applyFill="1" applyBorder="1">
      <alignment horizontal="center" vertical="center"/>
    </xf>
    <xf numFmtId="0" fontId="8" fillId="73" borderId="438" xfId="44" applyBorder="1">
      <alignment horizontal="center" vertical="center"/>
    </xf>
    <xf numFmtId="0" fontId="0" fillId="51" borderId="440" xfId="0" applyFill="1" applyBorder="1" applyAlignment="1">
      <alignment horizontal="left" vertical="center"/>
    </xf>
    <xf numFmtId="0" fontId="0" fillId="51" borderId="433" xfId="56" applyFont="1" applyFill="1" applyBorder="1">
      <alignment horizontal="center" vertical="center"/>
    </xf>
    <xf numFmtId="49" fontId="0" fillId="51" borderId="397" xfId="0" applyNumberFormat="1" applyFill="1" applyBorder="1">
      <alignment horizontal="center" vertical="center"/>
    </xf>
    <xf numFmtId="0" fontId="0" fillId="51" borderId="438" xfId="0" applyFill="1" applyBorder="1" applyAlignment="1">
      <alignment horizontal="left" vertical="center"/>
    </xf>
    <xf numFmtId="0" fontId="0" fillId="51" borderId="435" xfId="43" applyFont="1" applyFill="1" applyBorder="1">
      <alignment horizontal="center" vertical="center"/>
    </xf>
    <xf numFmtId="0" fontId="8" fillId="52" borderId="435" xfId="48" applyBorder="1">
      <alignment horizontal="center" vertical="center"/>
    </xf>
    <xf numFmtId="0" fontId="19" fillId="0" borderId="438" xfId="0" applyFont="1" applyBorder="1" applyAlignment="1" applyProtection="1">
      <alignment horizontal="center"/>
      <protection locked="0"/>
    </xf>
    <xf numFmtId="0" fontId="0" fillId="51" borderId="456" xfId="0" applyFill="1" applyBorder="1" applyAlignment="1" applyProtection="1">
      <alignment horizontal="left" vertical="center"/>
      <protection locked="0"/>
    </xf>
    <xf numFmtId="0" fontId="8" fillId="0" borderId="438" xfId="48" applyFill="1" applyBorder="1">
      <alignment horizontal="center" vertical="center"/>
    </xf>
    <xf numFmtId="0" fontId="0" fillId="51" borderId="438" xfId="0" applyFill="1" applyBorder="1" applyAlignment="1">
      <alignment horizontal="left" vertical="center" wrapText="1"/>
    </xf>
    <xf numFmtId="0" fontId="8" fillId="52" borderId="438" xfId="48" applyBorder="1">
      <alignment horizontal="center" vertical="center"/>
    </xf>
    <xf numFmtId="0" fontId="0" fillId="51" borderId="438" xfId="43" applyFont="1" applyFill="1" applyBorder="1">
      <alignment horizontal="center" vertical="center"/>
    </xf>
    <xf numFmtId="0" fontId="0" fillId="51" borderId="438" xfId="48" applyFont="1" applyFill="1" applyBorder="1">
      <alignment horizontal="center" vertical="center"/>
    </xf>
    <xf numFmtId="0" fontId="0" fillId="51" borderId="439" xfId="43" applyFont="1" applyFill="1" applyBorder="1">
      <alignment horizontal="center" vertical="center"/>
    </xf>
    <xf numFmtId="0" fontId="0" fillId="51" borderId="433" xfId="53" applyFont="1" applyFill="1" applyBorder="1">
      <alignment horizontal="center" vertical="center"/>
    </xf>
    <xf numFmtId="0" fontId="0" fillId="51" borderId="436" xfId="53" applyFont="1" applyFill="1" applyBorder="1">
      <alignment horizontal="center" vertical="center"/>
    </xf>
    <xf numFmtId="0" fontId="8" fillId="53" borderId="438" xfId="48" applyFill="1" applyBorder="1">
      <alignment horizontal="center" vertical="center"/>
    </xf>
    <xf numFmtId="0" fontId="8" fillId="53" borderId="438" xfId="53" applyFill="1" applyBorder="1">
      <alignment horizontal="center" vertical="center"/>
    </xf>
    <xf numFmtId="0" fontId="19" fillId="0" borderId="440" xfId="0" applyFont="1" applyBorder="1" applyAlignment="1" applyProtection="1">
      <alignment horizontal="center"/>
      <protection locked="0"/>
    </xf>
    <xf numFmtId="0" fontId="65" fillId="0" borderId="440" xfId="0" applyFont="1" applyBorder="1" applyAlignment="1" applyProtection="1">
      <alignment horizontal="left"/>
      <protection locked="0"/>
    </xf>
    <xf numFmtId="0" fontId="0" fillId="51" borderId="438" xfId="46" applyFont="1" applyFill="1" applyBorder="1">
      <alignment horizontal="center" vertical="center"/>
    </xf>
    <xf numFmtId="0" fontId="0" fillId="51" borderId="438" xfId="44" applyFont="1" applyFill="1" applyBorder="1">
      <alignment horizontal="center" vertical="center"/>
    </xf>
    <xf numFmtId="0" fontId="0" fillId="51" borderId="436" xfId="48" applyFont="1" applyFill="1" applyBorder="1">
      <alignment horizontal="center" vertical="center"/>
    </xf>
    <xf numFmtId="0" fontId="8" fillId="0" borderId="438" xfId="0" applyFont="1" applyBorder="1">
      <alignment horizontal="center" vertical="center"/>
    </xf>
    <xf numFmtId="0" fontId="8" fillId="51" borderId="433" xfId="45" applyFill="1" applyBorder="1">
      <alignment horizontal="center" vertical="center"/>
    </xf>
    <xf numFmtId="0" fontId="0" fillId="51" borderId="457" xfId="0" applyFill="1" applyBorder="1">
      <alignment horizontal="center" vertical="center"/>
    </xf>
    <xf numFmtId="0" fontId="8" fillId="55" borderId="435" xfId="45" applyBorder="1">
      <alignment horizontal="center" vertical="center"/>
    </xf>
    <xf numFmtId="0" fontId="8" fillId="0" borderId="440" xfId="53" applyBorder="1">
      <alignment horizontal="center" vertical="center"/>
    </xf>
    <xf numFmtId="0" fontId="8" fillId="53" borderId="433" xfId="48" applyFill="1" applyBorder="1">
      <alignment horizontal="center" vertical="center"/>
    </xf>
    <xf numFmtId="0" fontId="0" fillId="51" borderId="438" xfId="0" applyFill="1" applyBorder="1">
      <alignment horizontal="center" vertical="center"/>
    </xf>
    <xf numFmtId="0" fontId="0" fillId="0" borderId="440" xfId="0" applyBorder="1" applyAlignment="1">
      <alignment horizontal="left" vertical="center"/>
    </xf>
    <xf numFmtId="0" fontId="8" fillId="53" borderId="435" xfId="47" applyFill="1" applyBorder="1">
      <alignment horizontal="center" vertical="center"/>
    </xf>
    <xf numFmtId="0" fontId="8" fillId="74" borderId="440" xfId="47" applyBorder="1">
      <alignment horizontal="center" vertical="center"/>
    </xf>
    <xf numFmtId="0" fontId="65" fillId="0" borderId="438" xfId="0" applyFont="1" applyBorder="1" applyAlignment="1" applyProtection="1">
      <alignment horizontal="left"/>
      <protection locked="0"/>
    </xf>
    <xf numFmtId="0" fontId="0" fillId="51" borderId="436" xfId="0" applyFill="1" applyBorder="1">
      <alignment horizontal="center" vertical="center"/>
    </xf>
    <xf numFmtId="0" fontId="0" fillId="0" borderId="456" xfId="0" applyBorder="1" applyAlignment="1">
      <alignment horizontal="left" vertical="center"/>
    </xf>
    <xf numFmtId="49" fontId="0" fillId="51" borderId="438" xfId="0" applyNumberFormat="1" applyFill="1" applyBorder="1">
      <alignment horizontal="center" vertical="center"/>
    </xf>
    <xf numFmtId="0" fontId="0" fillId="55" borderId="433" xfId="47" applyFont="1" applyFill="1" applyBorder="1">
      <alignment horizontal="center" vertical="center"/>
    </xf>
    <xf numFmtId="0" fontId="19" fillId="0" borderId="458" xfId="0" applyFont="1" applyBorder="1" applyAlignment="1" applyProtection="1">
      <alignment horizontal="center"/>
      <protection locked="0"/>
    </xf>
    <xf numFmtId="0" fontId="0" fillId="51" borderId="459" xfId="0" applyFill="1" applyBorder="1">
      <alignment horizontal="center" vertical="center"/>
    </xf>
    <xf numFmtId="1" fontId="0" fillId="51" borderId="460" xfId="32" applyNumberFormat="1" applyFont="1" applyFill="1" applyBorder="1" applyAlignment="1">
      <alignment horizontal="center" vertical="center"/>
    </xf>
    <xf numFmtId="0" fontId="0" fillId="51" borderId="460" xfId="43" applyFont="1" applyFill="1" applyBorder="1">
      <alignment horizontal="center" vertical="center"/>
    </xf>
    <xf numFmtId="0" fontId="8" fillId="0" borderId="460" xfId="53" applyBorder="1">
      <alignment horizontal="center" vertical="center"/>
    </xf>
    <xf numFmtId="0" fontId="5" fillId="0" borderId="438" xfId="0" applyFont="1" applyBorder="1" applyAlignment="1" applyProtection="1">
      <alignment horizontal="center"/>
      <protection locked="0"/>
    </xf>
    <xf numFmtId="0" fontId="8" fillId="0" borderId="461" xfId="48" applyFill="1" applyBorder="1">
      <alignment horizontal="center" vertical="center"/>
    </xf>
    <xf numFmtId="0" fontId="8" fillId="55" borderId="461" xfId="45" applyBorder="1">
      <alignment horizontal="center" vertical="center"/>
    </xf>
    <xf numFmtId="0" fontId="8" fillId="53" borderId="435" xfId="43" applyBorder="1">
      <alignment horizontal="center" vertical="center"/>
    </xf>
    <xf numFmtId="0" fontId="8" fillId="53" borderId="461" xfId="43" applyBorder="1">
      <alignment horizontal="center" vertical="center"/>
    </xf>
    <xf numFmtId="0" fontId="8" fillId="73" borderId="435" xfId="44" applyBorder="1">
      <alignment horizontal="center" vertical="center"/>
    </xf>
    <xf numFmtId="0" fontId="0" fillId="0" borderId="438" xfId="48" applyFont="1" applyFill="1" applyBorder="1">
      <alignment horizontal="center" vertical="center"/>
    </xf>
    <xf numFmtId="0" fontId="0" fillId="0" borderId="438" xfId="20" applyFont="1" applyFill="1" applyBorder="1" applyAlignment="1">
      <alignment horizontal="center" vertical="center"/>
    </xf>
    <xf numFmtId="1" fontId="0" fillId="0" borderId="438" xfId="32" applyNumberFormat="1" applyFont="1" applyFill="1" applyBorder="1" applyAlignment="1">
      <alignment horizontal="center" vertical="center"/>
    </xf>
    <xf numFmtId="0" fontId="8" fillId="0" borderId="439" xfId="48" applyFill="1" applyBorder="1">
      <alignment horizontal="center" vertical="center"/>
    </xf>
    <xf numFmtId="0" fontId="5" fillId="0" borderId="433" xfId="0" applyFont="1" applyBorder="1" applyAlignment="1" applyProtection="1">
      <alignment horizontal="center"/>
      <protection locked="0"/>
    </xf>
    <xf numFmtId="0" fontId="0" fillId="0" borderId="435" xfId="0" applyBorder="1" applyAlignment="1">
      <alignment horizontal="left" vertical="center"/>
    </xf>
    <xf numFmtId="1" fontId="0" fillId="51" borderId="404" xfId="32" applyNumberFormat="1" applyFont="1" applyFill="1" applyBorder="1" applyAlignment="1">
      <alignment horizontal="center" vertical="center"/>
    </xf>
    <xf numFmtId="0" fontId="0" fillId="51" borderId="434" xfId="47" applyFont="1" applyFill="1" applyBorder="1">
      <alignment horizontal="center" vertical="center"/>
    </xf>
    <xf numFmtId="0" fontId="0" fillId="43" borderId="436" xfId="0" applyFill="1" applyBorder="1" applyAlignment="1" applyProtection="1">
      <alignment horizontal="center"/>
      <protection locked="0"/>
    </xf>
    <xf numFmtId="20" fontId="0" fillId="0" borderId="436" xfId="0" applyNumberFormat="1" applyBorder="1" applyAlignment="1">
      <alignment horizontal="left"/>
    </xf>
    <xf numFmtId="0" fontId="0" fillId="0" borderId="443" xfId="0" applyBorder="1" applyAlignment="1">
      <alignment horizontal="left"/>
    </xf>
    <xf numFmtId="0" fontId="0" fillId="0" borderId="436" xfId="0" applyBorder="1" applyAlignment="1">
      <alignment horizontal="left"/>
    </xf>
    <xf numFmtId="0" fontId="0" fillId="0" borderId="457" xfId="0" applyBorder="1" applyAlignment="1">
      <alignment horizontal="left"/>
    </xf>
    <xf numFmtId="0" fontId="0" fillId="0" borderId="437" xfId="0" applyBorder="1" applyAlignment="1">
      <alignment horizontal="left"/>
    </xf>
    <xf numFmtId="0" fontId="0" fillId="0" borderId="442" xfId="0" applyBorder="1" applyAlignment="1">
      <alignment horizontal="left"/>
    </xf>
    <xf numFmtId="0" fontId="0" fillId="0" borderId="462" xfId="0" applyBorder="1">
      <alignment horizontal="center" vertical="center"/>
    </xf>
    <xf numFmtId="0" fontId="7" fillId="0" borderId="431" xfId="0" applyFont="1" applyBorder="1" applyAlignment="1">
      <alignment horizontal="center"/>
    </xf>
    <xf numFmtId="0" fontId="0" fillId="68" borderId="463" xfId="0" applyFill="1" applyBorder="1">
      <alignment horizontal="center" vertical="center"/>
    </xf>
    <xf numFmtId="0" fontId="0" fillId="51" borderId="464" xfId="0" applyFill="1" applyBorder="1" applyAlignment="1" applyProtection="1">
      <alignment horizontal="left" vertical="center"/>
      <protection locked="0"/>
    </xf>
    <xf numFmtId="0" fontId="0" fillId="51" borderId="453" xfId="47" applyFont="1" applyFill="1" applyBorder="1">
      <alignment horizontal="center" vertical="center"/>
    </xf>
    <xf numFmtId="0" fontId="8" fillId="52" borderId="453" xfId="48" applyBorder="1">
      <alignment horizontal="center" vertical="center"/>
    </xf>
    <xf numFmtId="0" fontId="59" fillId="0" borderId="440" xfId="0" applyFont="1" applyBorder="1" applyAlignment="1"/>
    <xf numFmtId="0" fontId="62" fillId="59" borderId="433" xfId="51" applyBorder="1">
      <alignment horizontal="center" vertical="center"/>
    </xf>
    <xf numFmtId="0" fontId="0" fillId="71" borderId="440" xfId="0" applyFill="1" applyBorder="1" applyAlignment="1"/>
    <xf numFmtId="49" fontId="0" fillId="51" borderId="440" xfId="0" applyNumberFormat="1" applyFill="1" applyBorder="1">
      <alignment horizontal="center" vertical="center"/>
    </xf>
    <xf numFmtId="0" fontId="0" fillId="51" borderId="440" xfId="0" applyFill="1" applyBorder="1">
      <alignment horizontal="center" vertical="center"/>
    </xf>
    <xf numFmtId="0" fontId="0" fillId="51" borderId="435" xfId="47" applyFont="1" applyFill="1" applyBorder="1">
      <alignment horizontal="center" vertical="center"/>
    </xf>
    <xf numFmtId="0" fontId="0" fillId="55" borderId="435" xfId="47" applyFont="1" applyFill="1" applyBorder="1">
      <alignment horizontal="center" vertical="center"/>
    </xf>
    <xf numFmtId="0" fontId="0" fillId="51" borderId="454" xfId="0" applyFill="1" applyBorder="1" applyAlignment="1" applyProtection="1">
      <alignment horizontal="left" vertical="center"/>
      <protection locked="0"/>
    </xf>
    <xf numFmtId="0" fontId="8" fillId="53" borderId="454" xfId="43" applyBorder="1">
      <alignment horizontal="center" vertical="center"/>
    </xf>
    <xf numFmtId="0" fontId="0" fillId="0" borderId="454" xfId="0" applyBorder="1">
      <alignment horizontal="center" vertical="center"/>
    </xf>
    <xf numFmtId="0" fontId="8" fillId="52" borderId="454" xfId="48" applyBorder="1">
      <alignment horizontal="center" vertical="center"/>
    </xf>
    <xf numFmtId="0" fontId="0" fillId="51" borderId="454" xfId="47" applyFont="1" applyFill="1" applyBorder="1">
      <alignment horizontal="center" vertical="center"/>
    </xf>
    <xf numFmtId="0" fontId="7" fillId="0" borderId="465" xfId="0" applyFont="1" applyBorder="1" applyAlignment="1"/>
    <xf numFmtId="0" fontId="0" fillId="71" borderId="438" xfId="0" applyFill="1" applyBorder="1" applyAlignment="1"/>
    <xf numFmtId="0" fontId="0" fillId="55" borderId="438" xfId="48" applyFont="1" applyFill="1" applyBorder="1">
      <alignment horizontal="center" vertical="center"/>
    </xf>
    <xf numFmtId="0" fontId="0" fillId="0" borderId="418" xfId="0" applyBorder="1" applyAlignment="1"/>
    <xf numFmtId="0" fontId="0" fillId="51" borderId="418" xfId="0" applyFill="1" applyBorder="1">
      <alignment horizontal="center" vertical="center"/>
    </xf>
    <xf numFmtId="0" fontId="0" fillId="51" borderId="391" xfId="0" applyFill="1" applyBorder="1">
      <alignment horizontal="center" vertical="center"/>
    </xf>
    <xf numFmtId="0" fontId="8" fillId="52" borderId="456" xfId="48" applyBorder="1">
      <alignment horizontal="center" vertical="center"/>
    </xf>
    <xf numFmtId="0" fontId="0" fillId="0" borderId="418" xfId="0" applyBorder="1">
      <alignment horizontal="center" vertical="center"/>
    </xf>
    <xf numFmtId="0" fontId="8" fillId="51" borderId="438" xfId="44" applyFill="1" applyBorder="1">
      <alignment horizontal="center" vertical="center"/>
    </xf>
    <xf numFmtId="0" fontId="8" fillId="51" borderId="438" xfId="48" applyFill="1" applyBorder="1">
      <alignment horizontal="center" vertical="center"/>
    </xf>
    <xf numFmtId="0" fontId="8" fillId="55" borderId="438" xfId="48" applyFill="1" applyBorder="1">
      <alignment horizontal="center" vertical="center"/>
    </xf>
    <xf numFmtId="0" fontId="0" fillId="0" borderId="438" xfId="0" applyBorder="1" applyAlignment="1"/>
    <xf numFmtId="0" fontId="0" fillId="51" borderId="456" xfId="0" applyFill="1" applyBorder="1">
      <alignment horizontal="center" vertical="center"/>
    </xf>
    <xf numFmtId="0" fontId="0" fillId="51" borderId="466" xfId="0" applyFill="1" applyBorder="1">
      <alignment horizontal="center" vertical="center"/>
    </xf>
    <xf numFmtId="0" fontId="5" fillId="0" borderId="449" xfId="0" applyFont="1" applyBorder="1" applyAlignment="1">
      <alignment horizontal="center"/>
    </xf>
    <xf numFmtId="0" fontId="8" fillId="0" borderId="436" xfId="0" applyFont="1" applyBorder="1" applyAlignment="1">
      <alignment horizontal="left" vertical="center"/>
    </xf>
    <xf numFmtId="0" fontId="8" fillId="0" borderId="443" xfId="0" applyFont="1" applyBorder="1">
      <alignment horizontal="center" vertical="center"/>
    </xf>
    <xf numFmtId="0" fontId="8" fillId="0" borderId="439" xfId="0" applyFont="1" applyBorder="1">
      <alignment horizontal="center" vertical="center"/>
    </xf>
    <xf numFmtId="0" fontId="8" fillId="0" borderId="443" xfId="0" applyFont="1" applyBorder="1" applyAlignment="1">
      <alignment horizontal="left" vertical="center"/>
    </xf>
    <xf numFmtId="0" fontId="5" fillId="0" borderId="435" xfId="0" applyFont="1" applyBorder="1" applyAlignment="1" applyProtection="1">
      <alignment horizontal="center"/>
      <protection locked="0"/>
    </xf>
    <xf numFmtId="0" fontId="0" fillId="0" borderId="444" xfId="0" applyBorder="1" applyAlignment="1">
      <alignment horizontal="center"/>
    </xf>
    <xf numFmtId="0" fontId="5" fillId="0" borderId="436" xfId="0" applyFont="1" applyBorder="1" applyAlignment="1">
      <alignment horizontal="left"/>
    </xf>
    <xf numFmtId="0" fontId="0" fillId="0" borderId="443" xfId="0" applyBorder="1" applyAlignment="1"/>
    <xf numFmtId="0" fontId="0" fillId="0" borderId="439" xfId="0" applyBorder="1" applyAlignment="1">
      <alignment horizontal="left"/>
    </xf>
    <xf numFmtId="0" fontId="5" fillId="0" borderId="443" xfId="0" applyFont="1" applyBorder="1" applyAlignment="1"/>
    <xf numFmtId="0" fontId="5" fillId="0" borderId="439" xfId="0" applyFont="1" applyBorder="1" applyAlignment="1">
      <alignment horizontal="left"/>
    </xf>
    <xf numFmtId="0" fontId="0" fillId="0" borderId="436" xfId="0" applyBorder="1" applyAlignment="1">
      <alignment horizontal="center"/>
    </xf>
    <xf numFmtId="0" fontId="0" fillId="0" borderId="467" xfId="0" applyBorder="1" applyAlignment="1"/>
    <xf numFmtId="0" fontId="5" fillId="0" borderId="437" xfId="0" applyFont="1" applyBorder="1" applyAlignment="1">
      <alignment horizontal="left"/>
    </xf>
    <xf numFmtId="0" fontId="0" fillId="0" borderId="442" xfId="0" applyBorder="1" applyAlignment="1"/>
    <xf numFmtId="0" fontId="10" fillId="0" borderId="437" xfId="0" applyFont="1" applyBorder="1" applyAlignment="1">
      <alignment horizontal="center"/>
    </xf>
    <xf numFmtId="0" fontId="0" fillId="0" borderId="468" xfId="0" applyBorder="1" applyAlignment="1"/>
    <xf numFmtId="0" fontId="0" fillId="0" borderId="445" xfId="0" applyBorder="1" applyAlignment="1">
      <alignment horizontal="center"/>
    </xf>
    <xf numFmtId="0" fontId="5" fillId="0" borderId="447" xfId="0" applyFont="1" applyBorder="1" applyAlignment="1">
      <alignment horizontal="left"/>
    </xf>
    <xf numFmtId="0" fontId="8" fillId="0" borderId="446" xfId="0" applyFont="1" applyBorder="1" applyAlignment="1">
      <alignment horizontal="left" vertical="center"/>
    </xf>
    <xf numFmtId="0" fontId="8" fillId="0" borderId="446" xfId="0" applyFont="1" applyBorder="1">
      <alignment horizontal="center" vertical="center"/>
    </xf>
    <xf numFmtId="0" fontId="8" fillId="0" borderId="448" xfId="0" applyFont="1" applyBorder="1">
      <alignment horizontal="center" vertical="center"/>
    </xf>
    <xf numFmtId="0" fontId="8" fillId="0" borderId="447" xfId="0" applyFont="1" applyBorder="1" applyAlignment="1">
      <alignment horizontal="left" vertical="center"/>
    </xf>
    <xf numFmtId="0" fontId="8" fillId="0" borderId="446" xfId="0" applyFont="1" applyBorder="1" applyAlignment="1">
      <alignment horizontal="left"/>
    </xf>
    <xf numFmtId="0" fontId="8" fillId="0" borderId="448" xfId="0" applyFont="1" applyBorder="1" applyAlignment="1">
      <alignment horizontal="left" vertical="center"/>
    </xf>
    <xf numFmtId="0" fontId="0" fillId="0" borderId="469" xfId="0" applyBorder="1" applyAlignment="1"/>
    <xf numFmtId="0" fontId="0" fillId="53" borderId="404" xfId="0" applyFill="1" applyBorder="1">
      <alignment horizontal="center" vertical="center"/>
    </xf>
    <xf numFmtId="0" fontId="0" fillId="53" borderId="404" xfId="44" applyFont="1" applyFill="1" applyBorder="1">
      <alignment horizontal="center" vertical="center"/>
    </xf>
    <xf numFmtId="49" fontId="0" fillId="53" borderId="404" xfId="0" applyNumberFormat="1" applyFill="1" applyBorder="1">
      <alignment horizontal="center" vertical="center"/>
    </xf>
    <xf numFmtId="0" fontId="0" fillId="0" borderId="404" xfId="0" applyBorder="1">
      <alignment horizontal="center" vertical="center"/>
    </xf>
    <xf numFmtId="0" fontId="5" fillId="43" borderId="433" xfId="0" applyFont="1" applyFill="1" applyBorder="1" applyAlignment="1">
      <alignment horizontal="center"/>
    </xf>
    <xf numFmtId="0" fontId="0" fillId="51" borderId="433" xfId="0" applyFill="1" applyBorder="1" applyAlignment="1">
      <alignment horizontal="left" vertical="center"/>
    </xf>
    <xf numFmtId="0" fontId="0" fillId="51" borderId="433" xfId="51" applyFont="1" applyFill="1" applyBorder="1">
      <alignment horizontal="center" vertical="center"/>
    </xf>
    <xf numFmtId="0" fontId="0" fillId="53" borderId="433" xfId="0" applyFill="1" applyBorder="1">
      <alignment horizontal="center" vertical="center"/>
    </xf>
    <xf numFmtId="0" fontId="8" fillId="53" borderId="433" xfId="53" applyFill="1" applyBorder="1">
      <alignment horizontal="center" vertical="center"/>
    </xf>
    <xf numFmtId="0" fontId="5" fillId="43" borderId="434" xfId="0" applyFont="1" applyFill="1" applyBorder="1" applyAlignment="1">
      <alignment horizontal="center"/>
    </xf>
    <xf numFmtId="0" fontId="8" fillId="75" borderId="434" xfId="56" applyBorder="1">
      <alignment horizontal="center" vertical="center"/>
    </xf>
    <xf numFmtId="0" fontId="0" fillId="55" borderId="434" xfId="0" applyFill="1" applyBorder="1">
      <alignment horizontal="center" vertical="center"/>
    </xf>
    <xf numFmtId="0" fontId="0" fillId="0" borderId="447" xfId="0" applyBorder="1" applyAlignment="1">
      <alignment horizontal="left"/>
    </xf>
    <xf numFmtId="0" fontId="0" fillId="0" borderId="446" xfId="0" applyBorder="1" applyAlignment="1"/>
    <xf numFmtId="0" fontId="0" fillId="0" borderId="448" xfId="0" applyBorder="1" applyAlignment="1">
      <alignment horizontal="left"/>
    </xf>
    <xf numFmtId="0" fontId="0" fillId="0" borderId="446" xfId="0" applyBorder="1" applyAlignment="1">
      <alignment horizontal="left"/>
    </xf>
    <xf numFmtId="0" fontId="0" fillId="0" borderId="447" xfId="0" applyBorder="1" applyAlignment="1">
      <alignment horizontal="center"/>
    </xf>
    <xf numFmtId="0" fontId="5" fillId="43" borderId="438" xfId="0" applyFont="1" applyFill="1" applyBorder="1" applyAlignment="1">
      <alignment horizontal="center"/>
    </xf>
    <xf numFmtId="0" fontId="8" fillId="51" borderId="438" xfId="43" applyFill="1" applyBorder="1">
      <alignment horizontal="center" vertical="center"/>
    </xf>
    <xf numFmtId="0" fontId="60" fillId="0" borderId="437" xfId="0" applyFont="1" applyBorder="1" applyAlignment="1">
      <alignment horizontal="left" vertical="center"/>
    </xf>
    <xf numFmtId="0" fontId="0" fillId="51" borderId="438" xfId="53" applyFont="1" applyFill="1" applyBorder="1">
      <alignment horizontal="center" vertical="center"/>
    </xf>
    <xf numFmtId="0" fontId="5" fillId="43" borderId="460" xfId="0" applyFont="1" applyFill="1" applyBorder="1" applyAlignment="1">
      <alignment horizontal="center"/>
    </xf>
    <xf numFmtId="0" fontId="0" fillId="51" borderId="456" xfId="0" applyFill="1" applyBorder="1" applyAlignment="1">
      <alignment horizontal="left" vertical="center"/>
    </xf>
    <xf numFmtId="0" fontId="0" fillId="51" borderId="460" xfId="48" applyFont="1" applyFill="1" applyBorder="1">
      <alignment horizontal="center" vertical="center"/>
    </xf>
    <xf numFmtId="0" fontId="0" fillId="51" borderId="460" xfId="46" applyFont="1" applyFill="1" applyBorder="1">
      <alignment horizontal="center" vertical="center"/>
    </xf>
    <xf numFmtId="0" fontId="0" fillId="51" borderId="460" xfId="44" applyFont="1" applyFill="1" applyBorder="1">
      <alignment horizontal="center" vertical="center"/>
    </xf>
    <xf numFmtId="0" fontId="8" fillId="73" borderId="460" xfId="44" applyBorder="1">
      <alignment horizontal="center" vertical="center"/>
    </xf>
    <xf numFmtId="49" fontId="0" fillId="51" borderId="460" xfId="0" applyNumberFormat="1" applyFill="1" applyBorder="1">
      <alignment horizontal="center" vertical="center"/>
    </xf>
    <xf numFmtId="0" fontId="4" fillId="0" borderId="470" xfId="0" applyFont="1" applyBorder="1" applyAlignment="1">
      <alignment horizontal="left"/>
    </xf>
    <xf numFmtId="0" fontId="5" fillId="0" borderId="471" xfId="0" applyFont="1" applyBorder="1">
      <alignment horizontal="center" vertical="center"/>
    </xf>
    <xf numFmtId="0" fontId="0" fillId="0" borderId="472" xfId="0" applyBorder="1">
      <alignment horizontal="center" vertical="center"/>
    </xf>
    <xf numFmtId="167" fontId="10" fillId="0" borderId="473" xfId="0" applyNumberFormat="1" applyFont="1" applyBorder="1" applyAlignment="1">
      <alignment horizontal="center"/>
    </xf>
    <xf numFmtId="0" fontId="0" fillId="0" borderId="474" xfId="0" applyBorder="1">
      <alignment horizontal="center" vertical="center"/>
    </xf>
    <xf numFmtId="0" fontId="8" fillId="52" borderId="404" xfId="48" applyBorder="1">
      <alignment horizontal="center" vertical="center"/>
    </xf>
    <xf numFmtId="0" fontId="8" fillId="75" borderId="404" xfId="56" applyBorder="1">
      <alignment horizontal="center" vertical="center"/>
    </xf>
    <xf numFmtId="0" fontId="8" fillId="51" borderId="475" xfId="0" applyFont="1" applyFill="1" applyBorder="1" applyAlignment="1">
      <alignment vertical="center"/>
    </xf>
    <xf numFmtId="0" fontId="0" fillId="51" borderId="475" xfId="0" applyFill="1" applyBorder="1" applyAlignment="1">
      <alignment vertical="center"/>
    </xf>
    <xf numFmtId="0" fontId="4" fillId="0" borderId="476" xfId="0" applyFont="1" applyBorder="1">
      <alignment horizontal="center" vertical="center"/>
    </xf>
    <xf numFmtId="0" fontId="4" fillId="0" borderId="477" xfId="0" applyFont="1" applyBorder="1" applyAlignment="1">
      <alignment horizontal="left" vertical="center"/>
    </xf>
    <xf numFmtId="0" fontId="4" fillId="0" borderId="476" xfId="0" applyFont="1" applyBorder="1" applyAlignment="1">
      <alignment horizontal="left" vertical="center"/>
    </xf>
    <xf numFmtId="0" fontId="4" fillId="0" borderId="477" xfId="0" applyFont="1" applyBorder="1">
      <alignment horizontal="center" vertical="center"/>
    </xf>
    <xf numFmtId="49" fontId="4" fillId="0" borderId="476" xfId="0" applyNumberFormat="1" applyFont="1" applyBorder="1">
      <alignment horizontal="center" vertical="center"/>
    </xf>
    <xf numFmtId="0" fontId="4" fillId="0" borderId="478" xfId="0" applyFont="1" applyBorder="1" applyAlignment="1">
      <alignment horizontal="left" vertical="center"/>
    </xf>
    <xf numFmtId="0" fontId="4" fillId="0" borderId="478" xfId="0" applyFont="1" applyBorder="1">
      <alignment horizontal="center" vertical="center"/>
    </xf>
    <xf numFmtId="49" fontId="8" fillId="0" borderId="476" xfId="0" applyNumberFormat="1" applyFont="1" applyBorder="1">
      <alignment horizontal="center" vertical="center"/>
    </xf>
    <xf numFmtId="0" fontId="8" fillId="0" borderId="477" xfId="0" applyFont="1" applyBorder="1">
      <alignment horizontal="center" vertical="center"/>
    </xf>
    <xf numFmtId="0" fontId="0" fillId="0" borderId="479" xfId="0" applyBorder="1">
      <alignment horizontal="center" vertical="center"/>
    </xf>
    <xf numFmtId="0" fontId="15" fillId="0" borderId="477" xfId="0" applyFont="1" applyBorder="1">
      <alignment horizontal="center" vertical="center"/>
    </xf>
    <xf numFmtId="49" fontId="15" fillId="0" borderId="476" xfId="0" applyNumberFormat="1" applyFont="1" applyBorder="1">
      <alignment horizontal="center" vertical="center"/>
    </xf>
    <xf numFmtId="0" fontId="15" fillId="0" borderId="478" xfId="0" applyFont="1" applyBorder="1">
      <alignment horizontal="center" vertical="center"/>
    </xf>
    <xf numFmtId="49" fontId="0" fillId="0" borderId="479" xfId="0" applyNumberFormat="1" applyBorder="1">
      <alignment horizontal="center" vertical="center"/>
    </xf>
    <xf numFmtId="0" fontId="0" fillId="0" borderId="480" xfId="0" applyBorder="1">
      <alignment horizontal="center" vertical="center"/>
    </xf>
    <xf numFmtId="0" fontId="0" fillId="0" borderId="481" xfId="0" applyBorder="1">
      <alignment horizontal="center" vertical="center"/>
    </xf>
    <xf numFmtId="49" fontId="0" fillId="0" borderId="478" xfId="0" applyNumberFormat="1" applyBorder="1">
      <alignment horizontal="center" vertical="center"/>
    </xf>
    <xf numFmtId="49" fontId="0" fillId="0" borderId="476" xfId="0" applyNumberFormat="1" applyBorder="1">
      <alignment horizontal="center" vertical="center"/>
    </xf>
    <xf numFmtId="0" fontId="10" fillId="0" borderId="482" xfId="0" applyFont="1" applyBorder="1">
      <alignment horizontal="center" vertical="center"/>
    </xf>
    <xf numFmtId="0" fontId="10" fillId="0" borderId="483" xfId="0" applyFont="1" applyBorder="1">
      <alignment horizontal="center" vertical="center"/>
    </xf>
    <xf numFmtId="0" fontId="7" fillId="0" borderId="484" xfId="0" applyFont="1" applyBorder="1" applyAlignment="1">
      <alignment horizontal="center"/>
    </xf>
    <xf numFmtId="0" fontId="0" fillId="0" borderId="485" xfId="0" applyBorder="1" applyAlignment="1">
      <alignment vertical="center"/>
    </xf>
    <xf numFmtId="49" fontId="0" fillId="51" borderId="476" xfId="0" applyNumberFormat="1" applyFill="1" applyBorder="1">
      <alignment horizontal="center" vertical="center"/>
    </xf>
    <xf numFmtId="0" fontId="0" fillId="0" borderId="476" xfId="0" applyBorder="1" applyAlignment="1">
      <alignment vertical="center"/>
    </xf>
    <xf numFmtId="0" fontId="5" fillId="0" borderId="484" xfId="0" applyFont="1" applyBorder="1" applyAlignment="1">
      <alignment horizontal="center"/>
    </xf>
    <xf numFmtId="0" fontId="5" fillId="0" borderId="471" xfId="0" applyFont="1" applyBorder="1" applyAlignment="1">
      <alignment horizontal="left"/>
    </xf>
    <xf numFmtId="0" fontId="0" fillId="0" borderId="486" xfId="0" applyBorder="1" applyAlignment="1">
      <alignment horizontal="left" vertical="center"/>
    </xf>
    <xf numFmtId="0" fontId="0" fillId="0" borderId="487" xfId="0" applyBorder="1" applyAlignment="1">
      <alignment horizontal="left" vertical="center"/>
    </xf>
    <xf numFmtId="49" fontId="0" fillId="0" borderId="470" xfId="0" applyNumberFormat="1" applyBorder="1" applyAlignment="1">
      <alignment horizontal="left"/>
    </xf>
    <xf numFmtId="49" fontId="0" fillId="0" borderId="470" xfId="0" applyNumberFormat="1" applyBorder="1" applyAlignment="1">
      <alignment horizontal="left" vertical="center"/>
    </xf>
    <xf numFmtId="0" fontId="4" fillId="0" borderId="485" xfId="0" applyFont="1" applyBorder="1" applyAlignment="1">
      <alignment horizontal="center"/>
    </xf>
    <xf numFmtId="0" fontId="0" fillId="0" borderId="488" xfId="0" applyBorder="1" applyAlignment="1">
      <alignment horizontal="left" vertical="center"/>
    </xf>
    <xf numFmtId="0" fontId="0" fillId="0" borderId="489" xfId="0" applyBorder="1" applyAlignment="1">
      <alignment horizontal="left" vertical="center"/>
    </xf>
    <xf numFmtId="49" fontId="0" fillId="0" borderId="489" xfId="0" applyNumberFormat="1" applyBorder="1" applyAlignment="1">
      <alignment horizontal="left"/>
    </xf>
    <xf numFmtId="0" fontId="5" fillId="0" borderId="485" xfId="0" applyFont="1" applyBorder="1" applyAlignment="1">
      <alignment horizontal="left"/>
    </xf>
    <xf numFmtId="0" fontId="0" fillId="0" borderId="485" xfId="0" applyBorder="1" applyAlignment="1" applyProtection="1">
      <alignment horizontal="center"/>
      <protection locked="0"/>
    </xf>
    <xf numFmtId="0" fontId="5" fillId="76" borderId="485" xfId="0" applyFont="1" applyFill="1" applyBorder="1" applyAlignment="1">
      <alignment vertical="center"/>
    </xf>
    <xf numFmtId="0" fontId="0" fillId="76" borderId="485" xfId="43" applyFont="1" applyFill="1" applyBorder="1">
      <alignment horizontal="center" vertical="center"/>
    </xf>
    <xf numFmtId="0" fontId="0" fillId="76" borderId="485" xfId="0" applyFill="1" applyBorder="1">
      <alignment horizontal="center" vertical="center"/>
    </xf>
    <xf numFmtId="0" fontId="4" fillId="0" borderId="485" xfId="0" applyFont="1" applyBorder="1" applyAlignment="1" applyProtection="1">
      <alignment horizontal="center"/>
      <protection locked="0"/>
    </xf>
    <xf numFmtId="0" fontId="52" fillId="56" borderId="490" xfId="46" applyBorder="1">
      <alignment horizontal="center" vertical="center"/>
    </xf>
    <xf numFmtId="0" fontId="5" fillId="0" borderId="491" xfId="0" applyFont="1" applyBorder="1" applyAlignment="1">
      <alignment horizontal="center"/>
    </xf>
    <xf numFmtId="0" fontId="5" fillId="0" borderId="492" xfId="0" applyFont="1" applyBorder="1" applyAlignment="1">
      <alignment horizontal="center"/>
    </xf>
    <xf numFmtId="0" fontId="4" fillId="0" borderId="493" xfId="0" applyFont="1" applyBorder="1" applyAlignment="1">
      <alignment horizontal="left"/>
    </xf>
    <xf numFmtId="0" fontId="4" fillId="0" borderId="494" xfId="0" applyFont="1" applyBorder="1" applyAlignment="1">
      <alignment horizontal="left"/>
    </xf>
    <xf numFmtId="0" fontId="4" fillId="0" borderId="203" xfId="0" applyFont="1" applyBorder="1" applyAlignment="1">
      <alignment horizontal="left" vertical="center"/>
    </xf>
    <xf numFmtId="0" fontId="5" fillId="0" borderId="203" xfId="0" applyFont="1" applyBorder="1" applyAlignment="1">
      <alignment horizontal="left"/>
    </xf>
    <xf numFmtId="0" fontId="0" fillId="0" borderId="203" xfId="0" applyBorder="1" applyAlignment="1">
      <alignment horizontal="left" vertical="center"/>
    </xf>
    <xf numFmtId="0" fontId="0" fillId="43" borderId="490" xfId="0" applyFill="1" applyBorder="1" applyAlignment="1">
      <alignment horizontal="center"/>
    </xf>
    <xf numFmtId="0" fontId="47" fillId="0" borderId="490" xfId="0" applyFont="1" applyBorder="1" applyAlignment="1">
      <alignment horizontal="left" vertical="center"/>
    </xf>
    <xf numFmtId="0" fontId="0" fillId="24" borderId="490" xfId="0" applyFill="1" applyBorder="1" applyAlignment="1" applyProtection="1">
      <alignment horizontal="center"/>
      <protection locked="0"/>
    </xf>
    <xf numFmtId="0" fontId="5" fillId="77" borderId="490" xfId="0" applyFont="1" applyFill="1" applyBorder="1">
      <alignment horizontal="center" vertical="center"/>
    </xf>
    <xf numFmtId="0" fontId="0" fillId="76" borderId="490" xfId="0" applyFill="1" applyBorder="1">
      <alignment horizontal="center" vertical="center"/>
    </xf>
    <xf numFmtId="0" fontId="0" fillId="0" borderId="490" xfId="0" applyBorder="1" applyAlignment="1" applyProtection="1">
      <alignment horizontal="center"/>
      <protection locked="0"/>
    </xf>
    <xf numFmtId="0" fontId="0" fillId="0" borderId="495" xfId="0" applyBorder="1" applyAlignment="1" applyProtection="1">
      <alignment horizontal="center"/>
      <protection locked="0"/>
    </xf>
    <xf numFmtId="0" fontId="5" fillId="0" borderId="496" xfId="0" applyFont="1" applyBorder="1" applyAlignment="1">
      <alignment horizontal="center"/>
    </xf>
    <xf numFmtId="49" fontId="0" fillId="0" borderId="497" xfId="0" applyNumberFormat="1" applyBorder="1" applyAlignment="1"/>
    <xf numFmtId="0" fontId="0" fillId="0" borderId="485" xfId="0" applyBorder="1" applyAlignment="1" applyProtection="1">
      <alignment horizontal="left"/>
      <protection locked="0"/>
    </xf>
    <xf numFmtId="0" fontId="0" fillId="0" borderId="484" xfId="0" applyBorder="1" applyAlignment="1" applyProtection="1">
      <alignment horizontal="center"/>
      <protection locked="0"/>
    </xf>
    <xf numFmtId="0" fontId="7" fillId="44" borderId="497" xfId="0" applyFont="1" applyFill="1" applyBorder="1" applyAlignment="1">
      <alignment horizontal="left"/>
    </xf>
    <xf numFmtId="0" fontId="7" fillId="25" borderId="497" xfId="0" applyFont="1" applyFill="1" applyBorder="1">
      <alignment horizontal="center" vertical="center"/>
    </xf>
    <xf numFmtId="0" fontId="8" fillId="25" borderId="498" xfId="0" applyFont="1" applyFill="1" applyBorder="1">
      <alignment horizontal="center" vertical="center"/>
    </xf>
    <xf numFmtId="0" fontId="7" fillId="29" borderId="497" xfId="0" applyFont="1" applyFill="1" applyBorder="1" applyAlignment="1">
      <alignment horizontal="left"/>
    </xf>
    <xf numFmtId="0" fontId="7" fillId="29" borderId="498" xfId="0" applyFont="1" applyFill="1" applyBorder="1" applyAlignment="1">
      <alignment horizontal="left"/>
    </xf>
    <xf numFmtId="0" fontId="8" fillId="29" borderId="498" xfId="0" applyFont="1" applyFill="1" applyBorder="1">
      <alignment horizontal="center" vertical="center"/>
    </xf>
    <xf numFmtId="0" fontId="8" fillId="29" borderId="499" xfId="0" applyFont="1" applyFill="1" applyBorder="1">
      <alignment horizontal="center" vertical="center"/>
    </xf>
    <xf numFmtId="0" fontId="7" fillId="37" borderId="497" xfId="0" applyFont="1" applyFill="1" applyBorder="1" applyAlignment="1">
      <alignment horizontal="left"/>
    </xf>
    <xf numFmtId="0" fontId="7" fillId="37" borderId="498" xfId="0" applyFont="1" applyFill="1" applyBorder="1" applyAlignment="1">
      <alignment horizontal="left"/>
    </xf>
    <xf numFmtId="0" fontId="0" fillId="37" borderId="498" xfId="0" applyFill="1" applyBorder="1">
      <alignment horizontal="center" vertical="center"/>
    </xf>
    <xf numFmtId="0" fontId="7" fillId="45" borderId="497" xfId="0" applyFont="1" applyFill="1" applyBorder="1" applyAlignment="1">
      <alignment horizontal="left"/>
    </xf>
    <xf numFmtId="0" fontId="0" fillId="45" borderId="498" xfId="0" applyFill="1" applyBorder="1">
      <alignment horizontal="center" vertical="center"/>
    </xf>
    <xf numFmtId="0" fontId="8" fillId="45" borderId="498" xfId="0" applyFont="1" applyFill="1" applyBorder="1">
      <alignment horizontal="center" vertical="center"/>
    </xf>
    <xf numFmtId="0" fontId="8" fillId="77" borderId="499" xfId="0" applyFont="1" applyFill="1" applyBorder="1">
      <alignment horizontal="center" vertical="center"/>
    </xf>
    <xf numFmtId="0" fontId="7" fillId="24" borderId="497" xfId="0" applyFont="1" applyFill="1" applyBorder="1">
      <alignment horizontal="center" vertical="center"/>
    </xf>
    <xf numFmtId="0" fontId="0" fillId="24" borderId="498" xfId="0" applyFill="1" applyBorder="1">
      <alignment horizontal="center" vertical="center"/>
    </xf>
    <xf numFmtId="0" fontId="8" fillId="24" borderId="498" xfId="0" applyFont="1" applyFill="1" applyBorder="1">
      <alignment horizontal="center" vertical="center"/>
    </xf>
    <xf numFmtId="0" fontId="7" fillId="40" borderId="497" xfId="0" applyFont="1" applyFill="1" applyBorder="1" applyAlignment="1">
      <alignment horizontal="left"/>
    </xf>
    <xf numFmtId="0" fontId="0" fillId="40" borderId="499" xfId="0" applyFill="1" applyBorder="1">
      <alignment horizontal="center" vertical="center"/>
    </xf>
    <xf numFmtId="0" fontId="0" fillId="46" borderId="500" xfId="0" applyFill="1" applyBorder="1">
      <alignment horizontal="center" vertical="center"/>
    </xf>
    <xf numFmtId="0" fontId="8" fillId="46" borderId="500" xfId="0" applyFont="1" applyFill="1" applyBorder="1">
      <alignment horizontal="center" vertical="center"/>
    </xf>
    <xf numFmtId="0" fontId="8" fillId="46" borderId="501" xfId="0" applyFont="1" applyFill="1" applyBorder="1">
      <alignment horizontal="center" vertical="center"/>
    </xf>
    <xf numFmtId="0" fontId="7" fillId="0" borderId="502" xfId="0" applyFont="1" applyBorder="1" applyAlignment="1">
      <alignment horizontal="left" vertical="center"/>
    </xf>
    <xf numFmtId="0" fontId="8" fillId="0" borderId="500" xfId="0" applyFont="1" applyBorder="1">
      <alignment horizontal="center" vertical="center"/>
    </xf>
    <xf numFmtId="0" fontId="62" fillId="58" borderId="490" xfId="49" applyBorder="1">
      <alignment horizontal="center" vertical="center"/>
    </xf>
    <xf numFmtId="0" fontId="62" fillId="59" borderId="497" xfId="51" applyBorder="1" applyAlignment="1">
      <alignment horizontal="center" vertical="center"/>
    </xf>
    <xf numFmtId="0" fontId="62" fillId="59" borderId="498" xfId="51" applyBorder="1" applyAlignment="1">
      <alignment horizontal="center" vertical="center"/>
    </xf>
    <xf numFmtId="0" fontId="62" fillId="59" borderId="499" xfId="51" applyBorder="1" applyAlignment="1">
      <alignment horizontal="center" vertical="center"/>
    </xf>
    <xf numFmtId="0" fontId="8" fillId="0" borderId="497" xfId="0" applyFont="1" applyBorder="1" applyAlignment="1">
      <alignment horizontal="left"/>
    </xf>
    <xf numFmtId="0" fontId="0" fillId="0" borderId="498" xfId="0" applyBorder="1">
      <alignment horizontal="center" vertical="center"/>
    </xf>
    <xf numFmtId="0" fontId="8" fillId="0" borderId="498" xfId="0" applyFont="1" applyBorder="1" applyAlignment="1">
      <alignment horizontal="left"/>
    </xf>
    <xf numFmtId="0" fontId="8" fillId="48" borderId="497" xfId="0" applyFont="1" applyFill="1" applyBorder="1" applyAlignment="1">
      <alignment horizontal="left" vertical="center"/>
    </xf>
    <xf numFmtId="0" fontId="8" fillId="48" borderId="498" xfId="0" applyFont="1" applyFill="1" applyBorder="1">
      <alignment horizontal="center" vertical="center"/>
    </xf>
    <xf numFmtId="0" fontId="0" fillId="75" borderId="476" xfId="56" applyFont="1" applyBorder="1" applyAlignment="1">
      <alignment horizontal="center" vertical="center"/>
    </xf>
    <xf numFmtId="0" fontId="0" fillId="75" borderId="478" xfId="56" applyFont="1" applyBorder="1" applyAlignment="1">
      <alignment horizontal="center" vertical="center"/>
    </xf>
    <xf numFmtId="0" fontId="0" fillId="0" borderId="503" xfId="0" applyBorder="1">
      <alignment horizontal="center" vertical="center"/>
    </xf>
    <xf numFmtId="0" fontId="5" fillId="0" borderId="503" xfId="0" applyFont="1" applyBorder="1" applyAlignment="1">
      <alignment horizontal="center"/>
    </xf>
    <xf numFmtId="0" fontId="8" fillId="0" borderId="503" xfId="0" applyFont="1" applyBorder="1">
      <alignment horizontal="center" vertical="center"/>
    </xf>
    <xf numFmtId="0" fontId="8" fillId="0" borderId="490" xfId="0" applyFont="1" applyBorder="1">
      <alignment horizontal="center" vertical="center"/>
    </xf>
    <xf numFmtId="0" fontId="0" fillId="0" borderId="490" xfId="0" applyBorder="1">
      <alignment horizontal="center" vertical="center"/>
    </xf>
    <xf numFmtId="0" fontId="5" fillId="0" borderId="490" xfId="0" applyFont="1" applyBorder="1" applyAlignment="1">
      <alignment horizontal="center"/>
    </xf>
    <xf numFmtId="0" fontId="5" fillId="0" borderId="476" xfId="0" applyFont="1" applyBorder="1" applyAlignment="1">
      <alignment horizontal="left" vertical="center"/>
    </xf>
    <xf numFmtId="0" fontId="0" fillId="0" borderId="476" xfId="0" applyBorder="1">
      <alignment horizontal="center" vertical="center"/>
    </xf>
    <xf numFmtId="0" fontId="60" fillId="0" borderId="504" xfId="0" applyFont="1" applyBorder="1" applyAlignment="1">
      <alignment horizontal="left" vertical="center"/>
    </xf>
    <xf numFmtId="0" fontId="5" fillId="0" borderId="478" xfId="0" applyFont="1" applyBorder="1" applyAlignment="1">
      <alignment horizontal="left" vertical="center"/>
    </xf>
    <xf numFmtId="0" fontId="0" fillId="0" borderId="477" xfId="0" applyBorder="1">
      <alignment horizontal="center" vertical="center"/>
    </xf>
    <xf numFmtId="0" fontId="0" fillId="0" borderId="478" xfId="0" applyBorder="1">
      <alignment horizontal="center" vertical="center"/>
    </xf>
    <xf numFmtId="0" fontId="68" fillId="0" borderId="478" xfId="0" applyFont="1" applyBorder="1">
      <alignment horizontal="center" vertical="center"/>
    </xf>
    <xf numFmtId="0" fontId="68" fillId="0" borderId="476" xfId="0" applyFont="1" applyBorder="1">
      <alignment horizontal="center" vertical="center"/>
    </xf>
    <xf numFmtId="0" fontId="68" fillId="0" borderId="477" xfId="0" applyFont="1" applyBorder="1">
      <alignment horizontal="center" vertical="center"/>
    </xf>
    <xf numFmtId="0" fontId="14" fillId="0" borderId="478" xfId="0" applyFont="1" applyBorder="1">
      <alignment horizontal="center" vertical="center"/>
    </xf>
    <xf numFmtId="0" fontId="8" fillId="0" borderId="476" xfId="0" applyFont="1" applyBorder="1">
      <alignment horizontal="center" vertical="center"/>
    </xf>
    <xf numFmtId="0" fontId="60" fillId="0" borderId="476" xfId="0" applyFont="1" applyBorder="1" applyAlignment="1">
      <alignment horizontal="left" vertical="center"/>
    </xf>
    <xf numFmtId="0" fontId="0" fillId="0" borderId="478" xfId="0" applyBorder="1" applyAlignment="1">
      <alignment horizontal="left" vertical="center"/>
    </xf>
    <xf numFmtId="0" fontId="0" fillId="0" borderId="477" xfId="0" applyBorder="1" applyAlignment="1">
      <alignment horizontal="left" vertical="center"/>
    </xf>
    <xf numFmtId="0" fontId="76" fillId="0" borderId="482" xfId="0" applyFont="1" applyBorder="1" applyAlignment="1">
      <alignment horizontal="left" vertical="center"/>
    </xf>
    <xf numFmtId="0" fontId="68" fillId="0" borderId="480" xfId="0" applyFont="1" applyBorder="1" applyAlignment="1">
      <alignment horizontal="left" vertical="center"/>
    </xf>
    <xf numFmtId="0" fontId="76" fillId="0" borderId="479" xfId="0" applyFont="1" applyBorder="1" applyAlignment="1">
      <alignment horizontal="left" vertical="center"/>
    </xf>
    <xf numFmtId="0" fontId="68" fillId="0" borderId="481" xfId="0" applyFont="1" applyBorder="1" applyAlignment="1">
      <alignment horizontal="left" vertical="center"/>
    </xf>
    <xf numFmtId="0" fontId="5" fillId="0" borderId="478" xfId="0" applyFont="1" applyBorder="1">
      <alignment horizontal="center" vertical="center"/>
    </xf>
    <xf numFmtId="0" fontId="76" fillId="0" borderId="483" xfId="0" applyFont="1" applyBorder="1" applyAlignment="1">
      <alignment horizontal="left" vertical="center"/>
    </xf>
    <xf numFmtId="0" fontId="76" fillId="0" borderId="504" xfId="0" applyFont="1" applyBorder="1" applyAlignment="1">
      <alignment horizontal="left" vertical="center"/>
    </xf>
    <xf numFmtId="0" fontId="0" fillId="43" borderId="505" xfId="0" applyFill="1" applyBorder="1" applyAlignment="1" applyProtection="1">
      <alignment horizontal="center"/>
      <protection locked="0"/>
    </xf>
    <xf numFmtId="0" fontId="0" fillId="0" borderId="505" xfId="0" applyBorder="1" applyAlignment="1">
      <alignment horizontal="left" vertical="center"/>
    </xf>
    <xf numFmtId="0" fontId="0" fillId="51" borderId="505" xfId="48" applyFont="1" applyFill="1" applyBorder="1">
      <alignment horizontal="center" vertical="center"/>
    </xf>
    <xf numFmtId="0" fontId="0" fillId="51" borderId="505" xfId="43" applyFont="1" applyFill="1" applyBorder="1">
      <alignment horizontal="center" vertical="center"/>
    </xf>
    <xf numFmtId="0" fontId="8" fillId="55" borderId="505" xfId="45" applyBorder="1">
      <alignment horizontal="center" vertical="center"/>
    </xf>
    <xf numFmtId="0" fontId="0" fillId="51" borderId="505" xfId="20" applyFont="1" applyFill="1" applyBorder="1" applyAlignment="1">
      <alignment horizontal="center" vertical="center"/>
    </xf>
    <xf numFmtId="0" fontId="0" fillId="51" borderId="505" xfId="44" applyFont="1" applyFill="1" applyBorder="1">
      <alignment horizontal="center" vertical="center"/>
    </xf>
    <xf numFmtId="1" fontId="0" fillId="51" borderId="505" xfId="0" applyNumberFormat="1" applyFill="1" applyBorder="1">
      <alignment horizontal="center" vertical="center"/>
    </xf>
    <xf numFmtId="0" fontId="0" fillId="0" borderId="506" xfId="0" applyBorder="1" applyAlignment="1">
      <alignment horizontal="left" vertical="center"/>
    </xf>
    <xf numFmtId="0" fontId="0" fillId="51" borderId="506" xfId="43" applyFont="1" applyFill="1" applyBorder="1">
      <alignment horizontal="center" vertical="center"/>
    </xf>
    <xf numFmtId="0" fontId="8" fillId="52" borderId="506" xfId="48" applyBorder="1">
      <alignment horizontal="center" vertical="center"/>
    </xf>
    <xf numFmtId="0" fontId="0" fillId="51" borderId="506" xfId="48" applyFont="1" applyFill="1" applyBorder="1">
      <alignment horizontal="center" vertical="center"/>
    </xf>
    <xf numFmtId="0" fontId="5" fillId="77" borderId="507" xfId="0" applyFont="1" applyFill="1" applyBorder="1" applyAlignment="1">
      <alignment horizontal="left" vertical="center"/>
    </xf>
    <xf numFmtId="0" fontId="0" fillId="77" borderId="505" xfId="0" applyFill="1" applyBorder="1">
      <alignment horizontal="center" vertical="center"/>
    </xf>
    <xf numFmtId="0" fontId="8" fillId="53" borderId="505" xfId="43" applyBorder="1">
      <alignment horizontal="center" vertical="center"/>
    </xf>
    <xf numFmtId="0" fontId="8" fillId="0" borderId="505" xfId="0" applyFont="1" applyBorder="1" applyAlignment="1">
      <alignment horizontal="left" vertical="center"/>
    </xf>
    <xf numFmtId="0" fontId="0" fillId="51" borderId="505" xfId="0" applyFill="1" applyBorder="1">
      <alignment horizontal="center" vertical="center"/>
    </xf>
    <xf numFmtId="0" fontId="0" fillId="53" borderId="505" xfId="0" applyFill="1" applyBorder="1">
      <alignment horizontal="center" vertical="center"/>
    </xf>
    <xf numFmtId="0" fontId="0" fillId="55" borderId="505" xfId="0" applyFill="1" applyBorder="1">
      <alignment horizontal="center" vertical="center"/>
    </xf>
    <xf numFmtId="0" fontId="0" fillId="84" borderId="505" xfId="0" applyFill="1" applyBorder="1">
      <alignment horizontal="center" vertical="center"/>
    </xf>
    <xf numFmtId="0" fontId="8" fillId="75" borderId="505" xfId="56" applyBorder="1">
      <alignment horizontal="center" vertical="center"/>
    </xf>
    <xf numFmtId="0" fontId="8" fillId="0" borderId="505" xfId="53" applyBorder="1">
      <alignment horizontal="center" vertical="center"/>
    </xf>
    <xf numFmtId="0" fontId="8" fillId="53" borderId="505" xfId="53" applyFill="1" applyBorder="1">
      <alignment horizontal="center" vertical="center"/>
    </xf>
    <xf numFmtId="0" fontId="8" fillId="73" borderId="505" xfId="44" applyBorder="1">
      <alignment horizontal="center" vertical="center"/>
    </xf>
    <xf numFmtId="1" fontId="0" fillId="51" borderId="505" xfId="44" applyNumberFormat="1" applyFont="1" applyFill="1" applyBorder="1">
      <alignment horizontal="center" vertical="center"/>
    </xf>
    <xf numFmtId="1" fontId="0" fillId="51" borderId="505" xfId="32" applyNumberFormat="1" applyFont="1" applyFill="1" applyBorder="1" applyAlignment="1">
      <alignment horizontal="center" vertical="center"/>
    </xf>
    <xf numFmtId="1" fontId="0" fillId="85" borderId="505" xfId="0" applyNumberFormat="1" applyFill="1" applyBorder="1">
      <alignment horizontal="center" vertical="center"/>
    </xf>
    <xf numFmtId="0" fontId="0" fillId="85" borderId="505" xfId="44" applyFont="1" applyFill="1" applyBorder="1">
      <alignment horizontal="center" vertical="center"/>
    </xf>
    <xf numFmtId="0" fontId="8" fillId="74" borderId="505" xfId="47" applyBorder="1">
      <alignment horizontal="center" vertical="center"/>
    </xf>
    <xf numFmtId="0" fontId="0" fillId="51" borderId="505" xfId="49" applyFont="1" applyFill="1" applyBorder="1">
      <alignment horizontal="center" vertical="center"/>
    </xf>
    <xf numFmtId="1" fontId="0" fillId="51" borderId="506" xfId="44" applyNumberFormat="1" applyFont="1" applyFill="1" applyBorder="1">
      <alignment horizontal="center" vertical="center"/>
    </xf>
    <xf numFmtId="0" fontId="0" fillId="43" borderId="507" xfId="0" applyFill="1" applyBorder="1" applyAlignment="1" applyProtection="1">
      <alignment horizontal="center"/>
      <protection locked="0"/>
    </xf>
    <xf numFmtId="0" fontId="0" fillId="0" borderId="507" xfId="0" applyBorder="1" applyAlignment="1">
      <alignment horizontal="left" vertical="center"/>
    </xf>
    <xf numFmtId="1" fontId="0" fillId="51" borderId="506" xfId="0" applyNumberFormat="1" applyFill="1" applyBorder="1">
      <alignment horizontal="center" vertical="center"/>
    </xf>
    <xf numFmtId="0" fontId="0" fillId="51" borderId="506" xfId="44" applyFont="1" applyFill="1" applyBorder="1">
      <alignment horizontal="center" vertical="center"/>
    </xf>
    <xf numFmtId="0" fontId="0" fillId="51" borderId="506" xfId="0" applyFill="1" applyBorder="1">
      <alignment horizontal="center" vertical="center"/>
    </xf>
    <xf numFmtId="1" fontId="0" fillId="51" borderId="506" xfId="32" applyNumberFormat="1" applyFont="1" applyFill="1" applyBorder="1" applyAlignment="1">
      <alignment horizontal="center" vertical="center"/>
    </xf>
    <xf numFmtId="0" fontId="0" fillId="55" borderId="404" xfId="45" applyFont="1" applyBorder="1">
      <alignment horizontal="center" vertical="center"/>
    </xf>
    <xf numFmtId="0" fontId="0" fillId="55" borderId="404" xfId="43" applyFont="1" applyFill="1" applyBorder="1">
      <alignment horizontal="center" vertical="center"/>
    </xf>
    <xf numFmtId="0" fontId="8" fillId="55" borderId="404" xfId="45" applyBorder="1">
      <alignment horizontal="center" vertical="center"/>
    </xf>
    <xf numFmtId="1" fontId="0" fillId="55" borderId="505" xfId="0" applyNumberFormat="1" applyFill="1" applyBorder="1">
      <alignment horizontal="center" vertical="center"/>
    </xf>
    <xf numFmtId="1" fontId="0" fillId="51" borderId="508" xfId="32" applyNumberFormat="1" applyFont="1" applyFill="1" applyBorder="1" applyAlignment="1">
      <alignment horizontal="center" vertical="center"/>
    </xf>
    <xf numFmtId="0" fontId="0" fillId="0" borderId="509" xfId="53" applyFont="1" applyBorder="1">
      <alignment horizontal="center" vertical="center"/>
    </xf>
    <xf numFmtId="0" fontId="0" fillId="43" borderId="506" xfId="0" applyFill="1" applyBorder="1" applyAlignment="1" applyProtection="1">
      <alignment horizontal="center"/>
      <protection locked="0"/>
    </xf>
    <xf numFmtId="0" fontId="0" fillId="0" borderId="506" xfId="0" applyBorder="1" applyAlignment="1">
      <alignment vertical="center"/>
    </xf>
    <xf numFmtId="0" fontId="0" fillId="51" borderId="506" xfId="32" applyFont="1" applyFill="1" applyBorder="1" applyAlignment="1">
      <alignment horizontal="center" vertical="center"/>
    </xf>
    <xf numFmtId="0" fontId="0" fillId="55" borderId="506" xfId="43" applyFont="1" applyFill="1" applyBorder="1">
      <alignment horizontal="center" vertical="center"/>
    </xf>
    <xf numFmtId="0" fontId="0" fillId="73" borderId="506" xfId="43" applyFont="1" applyFill="1" applyBorder="1">
      <alignment horizontal="center" vertical="center"/>
    </xf>
    <xf numFmtId="0" fontId="52" fillId="56" borderId="506" xfId="46" applyBorder="1">
      <alignment horizontal="center" vertical="center"/>
    </xf>
    <xf numFmtId="0" fontId="0" fillId="55" borderId="506" xfId="0" applyFill="1" applyBorder="1">
      <alignment horizontal="center" vertical="center"/>
    </xf>
    <xf numFmtId="0" fontId="0" fillId="0" borderId="431" xfId="0" applyBorder="1">
      <alignment horizontal="center" vertical="center"/>
    </xf>
    <xf numFmtId="0" fontId="5" fillId="0" borderId="396" xfId="0" applyFont="1" applyBorder="1" applyAlignment="1">
      <alignment wrapText="1"/>
    </xf>
    <xf numFmtId="0" fontId="5" fillId="0" borderId="398" xfId="0" applyFont="1" applyBorder="1" applyAlignment="1">
      <alignment wrapText="1"/>
    </xf>
    <xf numFmtId="0" fontId="5" fillId="0" borderId="510" xfId="0" applyFont="1" applyBorder="1" applyAlignment="1">
      <alignment horizontal="left" vertical="center"/>
    </xf>
    <xf numFmtId="0" fontId="0" fillId="0" borderId="511" xfId="0" applyBorder="1">
      <alignment horizontal="center" vertical="center"/>
    </xf>
    <xf numFmtId="0" fontId="5" fillId="0" borderId="508" xfId="0" applyFont="1" applyBorder="1" applyAlignment="1">
      <alignment vertical="center"/>
    </xf>
    <xf numFmtId="0" fontId="14" fillId="0" borderId="512" xfId="0" applyFont="1" applyBorder="1">
      <alignment horizontal="center" vertical="center"/>
    </xf>
    <xf numFmtId="0" fontId="0" fillId="0" borderId="513" xfId="0" applyBorder="1">
      <alignment horizontal="center" vertical="center"/>
    </xf>
    <xf numFmtId="0" fontId="5" fillId="0" borderId="514" xfId="0" applyFont="1" applyBorder="1" applyAlignment="1">
      <alignment horizontal="left" vertical="center"/>
    </xf>
    <xf numFmtId="0" fontId="14" fillId="0" borderId="511" xfId="0" applyFont="1" applyBorder="1">
      <alignment horizontal="center" vertical="center"/>
    </xf>
    <xf numFmtId="0" fontId="5" fillId="0" borderId="511" xfId="0" applyFont="1" applyBorder="1">
      <alignment horizontal="center" vertical="center"/>
    </xf>
    <xf numFmtId="0" fontId="5" fillId="0" borderId="515" xfId="0" applyFont="1" applyBorder="1" applyAlignment="1">
      <alignment horizontal="left" vertical="center"/>
    </xf>
    <xf numFmtId="0" fontId="0" fillId="0" borderId="508" xfId="0" applyBorder="1" applyAlignment="1">
      <alignment vertical="center"/>
    </xf>
    <xf numFmtId="0" fontId="5" fillId="0" borderId="508" xfId="0" applyFont="1" applyBorder="1">
      <alignment horizontal="center" vertical="center"/>
    </xf>
    <xf numFmtId="0" fontId="0" fillId="0" borderId="512" xfId="0" applyBorder="1" applyAlignment="1">
      <alignment horizontal="left" vertical="center"/>
    </xf>
    <xf numFmtId="0" fontId="5" fillId="0" borderId="516" xfId="0" applyFont="1" applyBorder="1" applyAlignment="1">
      <alignment horizontal="left" vertical="center"/>
    </xf>
    <xf numFmtId="0" fontId="0" fillId="0" borderId="517" xfId="0" applyBorder="1">
      <alignment horizontal="center" vertical="center"/>
    </xf>
    <xf numFmtId="0" fontId="0" fillId="0" borderId="518" xfId="0" applyBorder="1" applyAlignment="1">
      <alignment vertical="center"/>
    </xf>
    <xf numFmtId="0" fontId="0" fillId="0" borderId="519" xfId="0" applyBorder="1">
      <alignment horizontal="center" vertical="center"/>
    </xf>
    <xf numFmtId="0" fontId="5" fillId="0" borderId="518" xfId="0" applyFont="1" applyBorder="1">
      <alignment horizontal="center" vertical="center"/>
    </xf>
    <xf numFmtId="0" fontId="0" fillId="0" borderId="517" xfId="0" applyBorder="1" applyAlignment="1">
      <alignment horizontal="left" vertical="center"/>
    </xf>
    <xf numFmtId="0" fontId="14" fillId="0" borderId="517" xfId="0" applyFont="1" applyBorder="1">
      <alignment horizontal="center" vertical="center"/>
    </xf>
    <xf numFmtId="0" fontId="5" fillId="0" borderId="517" xfId="0" applyFont="1" applyBorder="1" applyAlignment="1">
      <alignment horizontal="left" vertical="center"/>
    </xf>
    <xf numFmtId="0" fontId="0" fillId="0" borderId="507" xfId="0" applyBorder="1" applyAlignment="1" applyProtection="1">
      <alignment horizontal="center"/>
      <protection locked="0"/>
    </xf>
    <xf numFmtId="0" fontId="7" fillId="0" borderId="507" xfId="0" applyFont="1" applyBorder="1" applyAlignment="1">
      <alignment horizontal="center"/>
    </xf>
    <xf numFmtId="0" fontId="0" fillId="55" borderId="404" xfId="0" applyFill="1" applyBorder="1">
      <alignment horizontal="center" vertical="center"/>
    </xf>
    <xf numFmtId="49" fontId="0" fillId="55" borderId="404" xfId="0" applyNumberFormat="1" applyFill="1" applyBorder="1">
      <alignment horizontal="center" vertical="center"/>
    </xf>
    <xf numFmtId="0" fontId="0" fillId="43" borderId="520" xfId="0" applyFill="1" applyBorder="1" applyAlignment="1" applyProtection="1">
      <alignment horizontal="center"/>
      <protection locked="0"/>
    </xf>
    <xf numFmtId="0" fontId="8" fillId="52" borderId="505" xfId="48" applyBorder="1">
      <alignment horizontal="center" vertical="center"/>
    </xf>
    <xf numFmtId="0" fontId="0" fillId="43" borderId="521" xfId="0" applyFill="1" applyBorder="1" applyAlignment="1" applyProtection="1">
      <alignment horizontal="center"/>
      <protection locked="0"/>
    </xf>
    <xf numFmtId="49" fontId="0" fillId="51" borderId="506" xfId="0" applyNumberFormat="1" applyFill="1" applyBorder="1">
      <alignment horizontal="center" vertical="center"/>
    </xf>
    <xf numFmtId="0" fontId="8" fillId="0" borderId="404" xfId="53" applyBorder="1">
      <alignment horizontal="center" vertical="center"/>
    </xf>
    <xf numFmtId="0" fontId="0" fillId="55" borderId="404" xfId="44" applyFont="1" applyFill="1" applyBorder="1">
      <alignment horizontal="center" vertical="center"/>
    </xf>
    <xf numFmtId="0" fontId="0" fillId="51" borderId="506" xfId="0" applyFill="1" applyBorder="1" applyAlignment="1">
      <alignment horizontal="left" vertical="center"/>
    </xf>
    <xf numFmtId="0" fontId="0" fillId="55" borderId="506" xfId="48" applyFont="1" applyFill="1" applyBorder="1">
      <alignment horizontal="center" vertical="center"/>
    </xf>
    <xf numFmtId="0" fontId="8" fillId="55" borderId="506" xfId="53" applyFill="1" applyBorder="1">
      <alignment horizontal="center" vertical="center"/>
    </xf>
    <xf numFmtId="0" fontId="8" fillId="0" borderId="506" xfId="53" applyBorder="1">
      <alignment horizontal="center" vertical="center"/>
    </xf>
    <xf numFmtId="49" fontId="0" fillId="51" borderId="505" xfId="0" applyNumberFormat="1" applyFill="1" applyBorder="1">
      <alignment horizontal="center" vertical="center"/>
    </xf>
    <xf numFmtId="0" fontId="0" fillId="51" borderId="505" xfId="46" applyFont="1" applyFill="1" applyBorder="1">
      <alignment horizontal="center" vertical="center"/>
    </xf>
    <xf numFmtId="0" fontId="8" fillId="73" borderId="506" xfId="44" applyBorder="1">
      <alignment horizontal="center" vertical="center"/>
    </xf>
    <xf numFmtId="49" fontId="0" fillId="55" borderId="506" xfId="0" applyNumberFormat="1" applyFill="1" applyBorder="1">
      <alignment horizontal="center" vertical="center"/>
    </xf>
    <xf numFmtId="0" fontId="8" fillId="75" borderId="506" xfId="56" applyBorder="1">
      <alignment horizontal="center" vertical="center"/>
    </xf>
    <xf numFmtId="0" fontId="8" fillId="73" borderId="522" xfId="44" applyBorder="1">
      <alignment horizontal="center" vertical="center"/>
    </xf>
    <xf numFmtId="0" fontId="52" fillId="56" borderId="522" xfId="46" applyBorder="1">
      <alignment horizontal="center" vertical="center"/>
    </xf>
    <xf numFmtId="0" fontId="8" fillId="54" borderId="522" xfId="50" applyBorder="1">
      <alignment horizontal="center" vertical="center"/>
    </xf>
    <xf numFmtId="0" fontId="0" fillId="51" borderId="522" xfId="48" applyFont="1" applyFill="1" applyBorder="1">
      <alignment horizontal="center" vertical="center"/>
    </xf>
    <xf numFmtId="0" fontId="8" fillId="54" borderId="506" xfId="50" applyBorder="1">
      <alignment horizontal="center" vertical="center"/>
    </xf>
    <xf numFmtId="0" fontId="8" fillId="54" borderId="507" xfId="50" applyBorder="1">
      <alignment horizontal="center" vertical="center"/>
    </xf>
    <xf numFmtId="0" fontId="8" fillId="52" borderId="522" xfId="48" applyBorder="1">
      <alignment horizontal="center" vertical="center"/>
    </xf>
    <xf numFmtId="0" fontId="5" fillId="0" borderId="506" xfId="0" applyFont="1" applyBorder="1" applyAlignment="1" applyProtection="1">
      <alignment horizontal="center"/>
      <protection locked="0"/>
    </xf>
    <xf numFmtId="0" fontId="7" fillId="0" borderId="506" xfId="0" applyFont="1" applyBorder="1" applyAlignment="1">
      <alignment horizontal="center"/>
    </xf>
    <xf numFmtId="0" fontId="0" fillId="0" borderId="509" xfId="0" applyBorder="1" applyAlignment="1">
      <alignment horizontal="left" vertical="center"/>
    </xf>
    <xf numFmtId="0" fontId="0" fillId="51" borderId="523" xfId="0" applyFill="1" applyBorder="1" applyAlignment="1" applyProtection="1">
      <alignment horizontal="left" vertical="center"/>
      <protection locked="0"/>
    </xf>
    <xf numFmtId="0" fontId="8" fillId="55" borderId="396" xfId="53" applyFill="1" applyBorder="1">
      <alignment horizontal="center" vertical="center"/>
    </xf>
    <xf numFmtId="0" fontId="8" fillId="55" borderId="509" xfId="53" applyFill="1" applyBorder="1">
      <alignment horizontal="center" vertical="center"/>
    </xf>
    <xf numFmtId="49" fontId="0" fillId="51" borderId="509" xfId="0" applyNumberFormat="1" applyFill="1" applyBorder="1">
      <alignment horizontal="center" vertical="center"/>
    </xf>
    <xf numFmtId="0" fontId="0" fillId="55" borderId="507" xfId="48" applyFont="1" applyFill="1" applyBorder="1">
      <alignment horizontal="center" vertical="center"/>
    </xf>
    <xf numFmtId="0" fontId="0" fillId="51" borderId="507" xfId="48" applyFont="1" applyFill="1" applyBorder="1">
      <alignment horizontal="center" vertical="center"/>
    </xf>
    <xf numFmtId="0" fontId="0" fillId="55" borderId="505" xfId="48" applyFont="1" applyFill="1" applyBorder="1">
      <alignment horizontal="center" vertical="center"/>
    </xf>
    <xf numFmtId="0" fontId="0" fillId="51" borderId="509" xfId="0" applyFill="1" applyBorder="1">
      <alignment horizontal="center" vertical="center"/>
    </xf>
    <xf numFmtId="0" fontId="0" fillId="51" borderId="505" xfId="47" applyFont="1" applyFill="1" applyBorder="1">
      <alignment horizontal="center" vertical="center"/>
    </xf>
    <xf numFmtId="0" fontId="8" fillId="0" borderId="505" xfId="47" applyFill="1" applyBorder="1">
      <alignment horizontal="center" vertical="center"/>
    </xf>
    <xf numFmtId="0" fontId="8" fillId="0" borderId="507" xfId="53" applyBorder="1">
      <alignment horizontal="center" vertical="center"/>
    </xf>
    <xf numFmtId="0" fontId="8" fillId="55" borderId="507" xfId="53" applyFill="1" applyBorder="1">
      <alignment horizontal="center" vertical="center"/>
    </xf>
    <xf numFmtId="0" fontId="8" fillId="55" borderId="505" xfId="53" applyFill="1" applyBorder="1">
      <alignment horizontal="center" vertical="center"/>
    </xf>
    <xf numFmtId="0" fontId="8" fillId="0" borderId="514" xfId="53" applyBorder="1">
      <alignment horizontal="center" vertical="center"/>
    </xf>
    <xf numFmtId="0" fontId="8" fillId="0" borderId="524" xfId="53" applyBorder="1">
      <alignment horizontal="center" vertical="center"/>
    </xf>
    <xf numFmtId="0" fontId="0" fillId="51" borderId="514" xfId="48" applyFont="1" applyFill="1" applyBorder="1">
      <alignment horizontal="center" vertical="center"/>
    </xf>
    <xf numFmtId="0" fontId="0" fillId="0" borderId="525" xfId="0" applyBorder="1">
      <alignment horizontal="center" vertical="center"/>
    </xf>
    <xf numFmtId="0" fontId="8" fillId="52" borderId="524" xfId="48" applyBorder="1">
      <alignment horizontal="center" vertical="center"/>
    </xf>
    <xf numFmtId="0" fontId="8" fillId="52" borderId="507" xfId="48" applyBorder="1">
      <alignment horizontal="center" vertical="center"/>
    </xf>
    <xf numFmtId="0" fontId="0" fillId="51" borderId="525" xfId="0" applyFill="1" applyBorder="1" applyAlignment="1">
      <alignment horizontal="left" vertical="center"/>
    </xf>
    <xf numFmtId="0" fontId="0" fillId="51" borderId="526" xfId="0" applyFill="1" applyBorder="1" applyAlignment="1" applyProtection="1">
      <alignment horizontal="left" vertical="center"/>
      <protection locked="0"/>
    </xf>
    <xf numFmtId="0" fontId="0" fillId="53" borderId="505" xfId="43" applyFont="1" applyBorder="1">
      <alignment horizontal="center" vertical="center"/>
    </xf>
    <xf numFmtId="0" fontId="0" fillId="0" borderId="505" xfId="43" applyFont="1" applyFill="1" applyBorder="1">
      <alignment horizontal="center" vertical="center"/>
    </xf>
    <xf numFmtId="0" fontId="0" fillId="51" borderId="513" xfId="0" applyFill="1" applyBorder="1">
      <alignment horizontal="center" vertical="center"/>
    </xf>
    <xf numFmtId="49" fontId="0" fillId="51" borderId="508" xfId="0" applyNumberFormat="1" applyFill="1" applyBorder="1">
      <alignment horizontal="center" vertical="center"/>
    </xf>
    <xf numFmtId="0" fontId="0" fillId="57" borderId="509" xfId="0" applyFill="1" applyBorder="1">
      <alignment horizontal="center" vertical="center"/>
    </xf>
    <xf numFmtId="0" fontId="0" fillId="51" borderId="509" xfId="44" applyFont="1" applyFill="1" applyBorder="1">
      <alignment horizontal="center" vertical="center"/>
    </xf>
    <xf numFmtId="0" fontId="0" fillId="51" borderId="509" xfId="56" applyFont="1" applyFill="1" applyBorder="1">
      <alignment horizontal="center" vertical="center"/>
    </xf>
    <xf numFmtId="0" fontId="0" fillId="51" borderId="512" xfId="0" applyFill="1" applyBorder="1">
      <alignment horizontal="center" vertical="center"/>
    </xf>
    <xf numFmtId="0" fontId="0" fillId="0" borderId="509" xfId="0" applyBorder="1">
      <alignment horizontal="center" vertical="center"/>
    </xf>
    <xf numFmtId="0" fontId="0" fillId="0" borderId="509" xfId="48" applyFont="1" applyFill="1" applyBorder="1">
      <alignment horizontal="center" vertical="center"/>
    </xf>
    <xf numFmtId="0" fontId="8" fillId="0" borderId="509" xfId="53" applyBorder="1">
      <alignment horizontal="center" vertical="center"/>
    </xf>
    <xf numFmtId="0" fontId="0" fillId="51" borderId="509" xfId="48" applyFont="1" applyFill="1" applyBorder="1">
      <alignment horizontal="center" vertical="center"/>
    </xf>
    <xf numFmtId="0" fontId="8" fillId="55" borderId="509" xfId="45" applyBorder="1">
      <alignment horizontal="center" vertical="center"/>
    </xf>
    <xf numFmtId="0" fontId="0" fillId="55" borderId="509" xfId="53" applyFont="1" applyFill="1" applyBorder="1">
      <alignment horizontal="center" vertical="center"/>
    </xf>
    <xf numFmtId="1" fontId="0" fillId="0" borderId="509" xfId="0" applyNumberFormat="1" applyBorder="1">
      <alignment horizontal="center" vertical="center"/>
    </xf>
    <xf numFmtId="0" fontId="0" fillId="51" borderId="509" xfId="43" applyFont="1" applyFill="1" applyBorder="1">
      <alignment horizontal="center" vertical="center"/>
    </xf>
    <xf numFmtId="0" fontId="8" fillId="0" borderId="525" xfId="53" applyBorder="1">
      <alignment horizontal="center" vertical="center"/>
    </xf>
    <xf numFmtId="0" fontId="8" fillId="53" borderId="505" xfId="47" applyFill="1" applyBorder="1">
      <alignment horizontal="center" vertical="center"/>
    </xf>
    <xf numFmtId="0" fontId="8" fillId="53" borderId="508" xfId="53" applyFill="1" applyBorder="1">
      <alignment horizontal="center" vertical="center"/>
    </xf>
    <xf numFmtId="0" fontId="0" fillId="53" borderId="509" xfId="0" applyFill="1" applyBorder="1">
      <alignment horizontal="center" vertical="center"/>
    </xf>
    <xf numFmtId="49" fontId="0" fillId="53" borderId="509" xfId="0" applyNumberFormat="1" applyFill="1" applyBorder="1">
      <alignment horizontal="center" vertical="center"/>
    </xf>
    <xf numFmtId="0" fontId="8" fillId="53" borderId="509" xfId="43" applyBorder="1">
      <alignment horizontal="center" vertical="center"/>
    </xf>
    <xf numFmtId="0" fontId="0" fillId="51" borderId="507" xfId="43" applyFont="1" applyFill="1" applyBorder="1">
      <alignment horizontal="center" vertical="center"/>
    </xf>
    <xf numFmtId="0" fontId="8" fillId="53" borderId="509" xfId="53" applyFill="1" applyBorder="1">
      <alignment horizontal="center" vertical="center"/>
    </xf>
    <xf numFmtId="0" fontId="0" fillId="0" borderId="525" xfId="53" applyFont="1" applyBorder="1">
      <alignment horizontal="center" vertical="center"/>
    </xf>
    <xf numFmtId="0" fontId="0" fillId="55" borderId="525" xfId="53" applyFont="1" applyFill="1" applyBorder="1">
      <alignment horizontal="center" vertical="center"/>
    </xf>
    <xf numFmtId="1" fontId="0" fillId="51" borderId="509" xfId="0" applyNumberFormat="1" applyFill="1" applyBorder="1">
      <alignment horizontal="center" vertical="center"/>
    </xf>
    <xf numFmtId="0" fontId="65" fillId="0" borderId="527" xfId="0" applyFont="1" applyBorder="1" applyAlignment="1" applyProtection="1">
      <alignment horizontal="left"/>
      <protection locked="0"/>
    </xf>
    <xf numFmtId="0" fontId="8" fillId="0" borderId="509" xfId="47" applyFill="1" applyBorder="1">
      <alignment horizontal="center" vertical="center"/>
    </xf>
    <xf numFmtId="0" fontId="8" fillId="51" borderId="509" xfId="47" applyFill="1" applyBorder="1">
      <alignment horizontal="center" vertical="center"/>
    </xf>
    <xf numFmtId="0" fontId="8" fillId="53" borderId="432" xfId="43" applyBorder="1">
      <alignment horizontal="center" vertical="center"/>
    </xf>
    <xf numFmtId="0" fontId="8" fillId="53" borderId="506" xfId="43" applyBorder="1">
      <alignment horizontal="center" vertical="center"/>
    </xf>
    <xf numFmtId="0" fontId="0" fillId="51" borderId="508" xfId="48" applyFont="1" applyFill="1" applyBorder="1">
      <alignment horizontal="center" vertical="center"/>
    </xf>
    <xf numFmtId="0" fontId="8" fillId="52" borderId="513" xfId="48" applyBorder="1">
      <alignment horizontal="center" vertical="center"/>
    </xf>
    <xf numFmtId="0" fontId="0" fillId="53" borderId="505" xfId="44" applyFont="1" applyFill="1" applyBorder="1">
      <alignment horizontal="center" vertical="center"/>
    </xf>
    <xf numFmtId="49" fontId="0" fillId="53" borderId="505" xfId="0" applyNumberFormat="1" applyFill="1" applyBorder="1">
      <alignment horizontal="center" vertical="center"/>
    </xf>
    <xf numFmtId="0" fontId="8" fillId="0" borderId="507" xfId="47" applyFill="1" applyBorder="1">
      <alignment horizontal="center" vertical="center"/>
    </xf>
    <xf numFmtId="0" fontId="0" fillId="88" borderId="509" xfId="48" applyFont="1" applyFill="1" applyBorder="1">
      <alignment horizontal="center" vertical="center"/>
    </xf>
    <xf numFmtId="0" fontId="0" fillId="0" borderId="508" xfId="0" applyBorder="1" applyAlignment="1">
      <alignment horizontal="left" vertical="center"/>
    </xf>
    <xf numFmtId="0" fontId="8" fillId="0" borderId="513" xfId="53" applyBorder="1">
      <alignment horizontal="center" vertical="center"/>
    </xf>
    <xf numFmtId="0" fontId="8" fillId="0" borderId="508" xfId="53" applyBorder="1">
      <alignment horizontal="center" vertical="center"/>
    </xf>
    <xf numFmtId="0" fontId="0" fillId="0" borderId="527" xfId="0" applyBorder="1" applyAlignment="1">
      <alignment horizontal="left" vertical="center"/>
    </xf>
    <xf numFmtId="0" fontId="0" fillId="0" borderId="514" xfId="0" applyBorder="1">
      <alignment horizontal="center" vertical="center"/>
    </xf>
    <xf numFmtId="0" fontId="8" fillId="74" borderId="509" xfId="47" applyBorder="1">
      <alignment horizontal="center" vertical="center"/>
    </xf>
    <xf numFmtId="0" fontId="8" fillId="74" borderId="524" xfId="47" applyBorder="1">
      <alignment horizontal="center" vertical="center"/>
    </xf>
    <xf numFmtId="0" fontId="8" fillId="74" borderId="507" xfId="47" applyBorder="1">
      <alignment horizontal="center" vertical="center"/>
    </xf>
    <xf numFmtId="0" fontId="8" fillId="55" borderId="507" xfId="47" applyFill="1" applyBorder="1">
      <alignment horizontal="center" vertical="center"/>
    </xf>
    <xf numFmtId="0" fontId="65" fillId="0" borderId="525" xfId="0" applyFont="1" applyBorder="1" applyAlignment="1" applyProtection="1">
      <alignment horizontal="left"/>
      <protection locked="0"/>
    </xf>
    <xf numFmtId="0" fontId="0" fillId="51" borderId="507" xfId="44" applyFont="1" applyFill="1" applyBorder="1">
      <alignment horizontal="center" vertical="center"/>
    </xf>
    <xf numFmtId="49" fontId="0" fillId="51" borderId="507" xfId="0" applyNumberFormat="1" applyFill="1" applyBorder="1">
      <alignment horizontal="center" vertical="center"/>
    </xf>
    <xf numFmtId="0" fontId="0" fillId="51" borderId="507" xfId="0" applyFill="1" applyBorder="1">
      <alignment horizontal="center" vertical="center"/>
    </xf>
    <xf numFmtId="49" fontId="0" fillId="51" borderId="514" xfId="0" applyNumberFormat="1" applyFill="1" applyBorder="1">
      <alignment horizontal="center" vertical="center"/>
    </xf>
    <xf numFmtId="49" fontId="0" fillId="87" borderId="505" xfId="0" applyNumberFormat="1" applyFill="1" applyBorder="1">
      <alignment horizontal="center" vertical="center"/>
    </xf>
    <xf numFmtId="0" fontId="0" fillId="51" borderId="509" xfId="0" applyFill="1" applyBorder="1" applyAlignment="1" applyProtection="1">
      <alignment horizontal="left" vertical="center"/>
      <protection locked="0"/>
    </xf>
    <xf numFmtId="0" fontId="0" fillId="51" borderId="524" xfId="0" applyFill="1" applyBorder="1">
      <alignment horizontal="center" vertical="center"/>
    </xf>
    <xf numFmtId="0" fontId="0" fillId="51" borderId="507" xfId="53" applyFont="1" applyFill="1" applyBorder="1">
      <alignment horizontal="center" vertical="center"/>
    </xf>
    <xf numFmtId="0" fontId="0" fillId="51" borderId="507" xfId="47" applyFont="1" applyFill="1" applyBorder="1">
      <alignment horizontal="center" vertical="center"/>
    </xf>
    <xf numFmtId="49" fontId="0" fillId="51" borderId="519" xfId="0" applyNumberFormat="1" applyFill="1" applyBorder="1">
      <alignment horizontal="center" vertical="center"/>
    </xf>
    <xf numFmtId="0" fontId="0" fillId="51" borderId="506" xfId="47" applyFont="1" applyFill="1" applyBorder="1">
      <alignment horizontal="center" vertical="center"/>
    </xf>
    <xf numFmtId="0" fontId="0" fillId="51" borderId="506" xfId="53" applyFont="1" applyFill="1" applyBorder="1">
      <alignment horizontal="center" vertical="center"/>
    </xf>
    <xf numFmtId="0" fontId="0" fillId="51" borderId="432" xfId="0" applyFill="1" applyBorder="1">
      <alignment horizontal="center" vertical="center"/>
    </xf>
    <xf numFmtId="0" fontId="5" fillId="0" borderId="508" xfId="0" applyFont="1" applyBorder="1" applyAlignment="1" applyProtection="1">
      <alignment horizontal="center"/>
      <protection locked="0"/>
    </xf>
    <xf numFmtId="0" fontId="0" fillId="0" borderId="509" xfId="47" applyFont="1" applyFill="1" applyBorder="1">
      <alignment horizontal="center" vertical="center"/>
    </xf>
    <xf numFmtId="0" fontId="0" fillId="55" borderId="509" xfId="47" applyFont="1" applyFill="1" applyBorder="1">
      <alignment horizontal="center" vertical="center"/>
    </xf>
    <xf numFmtId="0" fontId="8" fillId="52" borderId="508" xfId="48" applyBorder="1">
      <alignment horizontal="center" vertical="center"/>
    </xf>
    <xf numFmtId="0" fontId="0" fillId="52" borderId="509" xfId="0" applyFill="1" applyBorder="1">
      <alignment horizontal="center" vertical="center"/>
    </xf>
    <xf numFmtId="0" fontId="0" fillId="73" borderId="509" xfId="0" applyFill="1" applyBorder="1">
      <alignment horizontal="center" vertical="center"/>
    </xf>
    <xf numFmtId="0" fontId="8" fillId="0" borderId="519" xfId="53" applyBorder="1">
      <alignment horizontal="center" vertical="center"/>
    </xf>
    <xf numFmtId="0" fontId="8" fillId="53" borderId="506" xfId="53" applyFill="1" applyBorder="1">
      <alignment horizontal="center" vertical="center"/>
    </xf>
    <xf numFmtId="0" fontId="5" fillId="0" borderId="514" xfId="0" applyFont="1" applyBorder="1" applyAlignment="1" applyProtection="1">
      <alignment horizontal="center"/>
      <protection locked="0"/>
    </xf>
    <xf numFmtId="49" fontId="0" fillId="0" borderId="505" xfId="0" applyNumberFormat="1" applyBorder="1">
      <alignment horizontal="center" vertical="center"/>
    </xf>
    <xf numFmtId="0" fontId="5" fillId="0" borderId="518" xfId="0" applyFont="1" applyBorder="1" applyAlignment="1" applyProtection="1">
      <alignment horizontal="center"/>
      <protection locked="0"/>
    </xf>
    <xf numFmtId="0" fontId="79" fillId="0" borderId="379" xfId="0" applyFont="1" applyBorder="1" applyAlignment="1">
      <alignment horizontal="left" vertical="center"/>
    </xf>
    <xf numFmtId="0" fontId="0" fillId="87" borderId="505" xfId="0" applyFill="1" applyBorder="1">
      <alignment horizontal="center" vertical="center"/>
    </xf>
    <xf numFmtId="49" fontId="0" fillId="55" borderId="505" xfId="0" applyNumberFormat="1" applyFill="1" applyBorder="1">
      <alignment horizontal="center" vertical="center"/>
    </xf>
    <xf numFmtId="0" fontId="0" fillId="55" borderId="505" xfId="44" applyFont="1" applyFill="1" applyBorder="1">
      <alignment horizontal="center" vertical="center"/>
    </xf>
    <xf numFmtId="0" fontId="0" fillId="51" borderId="505" xfId="53" applyFont="1" applyFill="1" applyBorder="1">
      <alignment horizontal="center" vertical="center"/>
    </xf>
    <xf numFmtId="0" fontId="5" fillId="0" borderId="505" xfId="0" applyFont="1" applyBorder="1" applyAlignment="1" applyProtection="1">
      <alignment horizontal="center"/>
      <protection locked="0"/>
    </xf>
    <xf numFmtId="0" fontId="0" fillId="68" borderId="432" xfId="0" applyFill="1" applyBorder="1">
      <alignment horizontal="center" vertical="center"/>
    </xf>
    <xf numFmtId="0" fontId="0" fillId="43" borderId="508" xfId="0" applyFill="1" applyBorder="1" applyAlignment="1" applyProtection="1">
      <alignment horizontal="center"/>
      <protection locked="0"/>
    </xf>
    <xf numFmtId="20" fontId="0" fillId="0" borderId="508" xfId="0" applyNumberFormat="1" applyBorder="1" applyAlignment="1">
      <alignment horizontal="left"/>
    </xf>
    <xf numFmtId="0" fontId="0" fillId="0" borderId="512" xfId="0" applyBorder="1" applyAlignment="1">
      <alignment horizontal="left"/>
    </xf>
    <xf numFmtId="0" fontId="0" fillId="0" borderId="508" xfId="0" applyBorder="1" applyAlignment="1">
      <alignment horizontal="left"/>
    </xf>
    <xf numFmtId="0" fontId="0" fillId="0" borderId="524" xfId="0" applyBorder="1" applyAlignment="1">
      <alignment horizontal="left"/>
    </xf>
    <xf numFmtId="0" fontId="0" fillId="0" borderId="514" xfId="0" applyBorder="1" applyAlignment="1">
      <alignment horizontal="left"/>
    </xf>
    <xf numFmtId="0" fontId="0" fillId="0" borderId="511" xfId="0" applyBorder="1" applyAlignment="1">
      <alignment horizontal="left"/>
    </xf>
    <xf numFmtId="0" fontId="0" fillId="0" borderId="476" xfId="0" applyBorder="1" applyAlignment="1">
      <alignment horizontal="left" vertical="center"/>
    </xf>
    <xf numFmtId="0" fontId="0" fillId="0" borderId="528" xfId="0" applyBorder="1">
      <alignment horizontal="center" vertical="center"/>
    </xf>
    <xf numFmtId="0" fontId="0" fillId="55" borderId="475" xfId="47" applyFont="1" applyFill="1" applyBorder="1">
      <alignment horizontal="center" vertical="center"/>
    </xf>
    <xf numFmtId="0" fontId="0" fillId="0" borderId="484" xfId="0" applyBorder="1" applyAlignment="1">
      <alignment horizontal="left" vertical="center"/>
    </xf>
    <xf numFmtId="0" fontId="0" fillId="0" borderId="475" xfId="47" applyFont="1" applyFill="1" applyBorder="1">
      <alignment horizontal="center" vertical="center"/>
    </xf>
    <xf numFmtId="0" fontId="59" fillId="0" borderId="484" xfId="0" applyFont="1" applyBorder="1" applyAlignment="1"/>
    <xf numFmtId="0" fontId="0" fillId="0" borderId="415" xfId="0" applyBorder="1" applyAlignment="1"/>
    <xf numFmtId="0" fontId="62" fillId="59" borderId="485" xfId="51" applyBorder="1">
      <alignment horizontal="center" vertical="center"/>
    </xf>
    <xf numFmtId="0" fontId="8" fillId="52" borderId="484" xfId="48" applyBorder="1">
      <alignment horizontal="center" vertical="center"/>
    </xf>
    <xf numFmtId="49" fontId="0" fillId="51" borderId="484" xfId="0" applyNumberFormat="1" applyFill="1" applyBorder="1">
      <alignment horizontal="center" vertical="center"/>
    </xf>
    <xf numFmtId="1" fontId="0" fillId="51" borderId="484" xfId="32" applyNumberFormat="1" applyFont="1" applyFill="1" applyBorder="1" applyAlignment="1">
      <alignment horizontal="center" vertical="center"/>
    </xf>
    <xf numFmtId="0" fontId="0" fillId="51" borderId="484" xfId="0" applyFill="1" applyBorder="1">
      <alignment horizontal="center" vertical="center"/>
    </xf>
    <xf numFmtId="49" fontId="0" fillId="0" borderId="484" xfId="0" applyNumberFormat="1" applyBorder="1">
      <alignment horizontal="center" vertical="center"/>
    </xf>
    <xf numFmtId="1" fontId="0" fillId="0" borderId="484" xfId="32" applyNumberFormat="1" applyFont="1" applyFill="1" applyBorder="1" applyAlignment="1">
      <alignment horizontal="center" vertical="center"/>
    </xf>
    <xf numFmtId="0" fontId="0" fillId="51" borderId="529" xfId="0" applyFill="1" applyBorder="1" applyAlignment="1" applyProtection="1">
      <alignment horizontal="left" vertical="center"/>
      <protection locked="0"/>
    </xf>
    <xf numFmtId="0" fontId="0" fillId="71" borderId="485" xfId="0" applyFill="1" applyBorder="1" applyAlignment="1"/>
    <xf numFmtId="0" fontId="8" fillId="52" borderId="485" xfId="48" applyBorder="1">
      <alignment horizontal="center" vertical="center"/>
    </xf>
    <xf numFmtId="0" fontId="0" fillId="71" borderId="415" xfId="0" applyFill="1" applyBorder="1" applyAlignment="1"/>
    <xf numFmtId="0" fontId="8" fillId="55" borderId="415" xfId="45" applyBorder="1">
      <alignment horizontal="center" vertical="center"/>
    </xf>
    <xf numFmtId="0" fontId="0" fillId="51" borderId="415" xfId="0" applyFill="1" applyBorder="1">
      <alignment horizontal="center" vertical="center"/>
    </xf>
    <xf numFmtId="49" fontId="0" fillId="51" borderId="415" xfId="0" applyNumberFormat="1" applyFill="1" applyBorder="1">
      <alignment horizontal="center" vertical="center"/>
    </xf>
    <xf numFmtId="49" fontId="0" fillId="55" borderId="485" xfId="0" applyNumberFormat="1" applyFill="1" applyBorder="1">
      <alignment horizontal="center" vertical="center"/>
    </xf>
    <xf numFmtId="49" fontId="0" fillId="55" borderId="484" xfId="0" applyNumberFormat="1" applyFill="1" applyBorder="1">
      <alignment horizontal="center" vertical="center"/>
    </xf>
    <xf numFmtId="0" fontId="0" fillId="55" borderId="485" xfId="0" applyFill="1" applyBorder="1">
      <alignment horizontal="center" vertical="center"/>
    </xf>
    <xf numFmtId="0" fontId="0" fillId="71" borderId="484" xfId="0" applyFill="1" applyBorder="1" applyAlignment="1"/>
    <xf numFmtId="0" fontId="8" fillId="0" borderId="415" xfId="53" applyBorder="1">
      <alignment horizontal="center" vertical="center"/>
    </xf>
    <xf numFmtId="49" fontId="0" fillId="88" borderId="415" xfId="0" applyNumberFormat="1" applyFill="1" applyBorder="1">
      <alignment horizontal="center" vertical="center"/>
    </xf>
    <xf numFmtId="0" fontId="0" fillId="0" borderId="485" xfId="0" applyBorder="1" applyAlignment="1"/>
    <xf numFmtId="0" fontId="5" fillId="0" borderId="530" xfId="0" applyFont="1" applyBorder="1" applyAlignment="1">
      <alignment horizontal="center"/>
    </xf>
    <xf numFmtId="0" fontId="8" fillId="0" borderId="470" xfId="0" applyFont="1" applyBorder="1" applyAlignment="1">
      <alignment horizontal="left" vertical="center"/>
    </xf>
    <xf numFmtId="0" fontId="8" fillId="0" borderId="486" xfId="0" applyFont="1" applyBorder="1">
      <alignment horizontal="center" vertical="center"/>
    </xf>
    <xf numFmtId="0" fontId="52" fillId="56" borderId="404" xfId="46" applyBorder="1">
      <alignment horizontal="center" vertical="center"/>
    </xf>
    <xf numFmtId="0" fontId="0" fillId="0" borderId="531" xfId="0" applyBorder="1" applyAlignment="1">
      <alignment horizontal="center"/>
    </xf>
    <xf numFmtId="0" fontId="5" fillId="0" borderId="470" xfId="0" applyFont="1" applyBorder="1" applyAlignment="1">
      <alignment horizontal="left"/>
    </xf>
    <xf numFmtId="0" fontId="0" fillId="0" borderId="486" xfId="0" applyBorder="1" applyAlignment="1">
      <alignment horizontal="left"/>
    </xf>
    <xf numFmtId="0" fontId="5" fillId="0" borderId="486" xfId="0" applyFont="1" applyBorder="1" applyAlignment="1">
      <alignment horizontal="left"/>
    </xf>
    <xf numFmtId="0" fontId="0" fillId="0" borderId="470" xfId="0" applyBorder="1" applyAlignment="1">
      <alignment horizontal="center"/>
    </xf>
    <xf numFmtId="0" fontId="0" fillId="0" borderId="472" xfId="0" applyBorder="1" applyAlignment="1"/>
    <xf numFmtId="0" fontId="0" fillId="0" borderId="532" xfId="0" applyBorder="1" applyAlignment="1">
      <alignment horizontal="center"/>
    </xf>
    <xf numFmtId="0" fontId="5" fillId="0" borderId="473" xfId="0" applyFont="1" applyBorder="1" applyAlignment="1">
      <alignment horizontal="left"/>
    </xf>
    <xf numFmtId="0" fontId="8" fillId="0" borderId="533" xfId="0" applyFont="1" applyBorder="1" applyAlignment="1">
      <alignment horizontal="left" vertical="center"/>
    </xf>
    <xf numFmtId="0" fontId="8" fillId="0" borderId="533" xfId="0" applyFont="1" applyBorder="1">
      <alignment horizontal="center" vertical="center"/>
    </xf>
    <xf numFmtId="0" fontId="8" fillId="0" borderId="534" xfId="0" applyFont="1" applyBorder="1">
      <alignment horizontal="center" vertical="center"/>
    </xf>
    <xf numFmtId="0" fontId="8" fillId="0" borderId="473" xfId="0" applyFont="1" applyBorder="1" applyAlignment="1">
      <alignment horizontal="left" vertical="center"/>
    </xf>
    <xf numFmtId="0" fontId="8" fillId="0" borderId="533" xfId="0" applyFont="1" applyBorder="1" applyAlignment="1">
      <alignment horizontal="left"/>
    </xf>
    <xf numFmtId="0" fontId="8" fillId="0" borderId="534" xfId="0" applyFont="1" applyBorder="1" applyAlignment="1">
      <alignment horizontal="left" vertical="center"/>
    </xf>
    <xf numFmtId="0" fontId="5" fillId="43" borderId="475" xfId="0" applyFont="1" applyFill="1" applyBorder="1" applyAlignment="1">
      <alignment horizontal="center"/>
    </xf>
    <xf numFmtId="0" fontId="0" fillId="51" borderId="475" xfId="0" applyFill="1" applyBorder="1" applyAlignment="1">
      <alignment horizontal="left" vertical="center"/>
    </xf>
    <xf numFmtId="0" fontId="0" fillId="51" borderId="475" xfId="51" applyFont="1" applyFill="1" applyBorder="1">
      <alignment horizontal="center" vertical="center"/>
    </xf>
    <xf numFmtId="0" fontId="8" fillId="0" borderId="475" xfId="56" applyFill="1" applyBorder="1">
      <alignment horizontal="center" vertical="center"/>
    </xf>
    <xf numFmtId="0" fontId="5" fillId="43" borderId="535" xfId="0" applyFont="1" applyFill="1" applyBorder="1" applyAlignment="1">
      <alignment horizontal="center"/>
    </xf>
    <xf numFmtId="0" fontId="8" fillId="0" borderId="536" xfId="53" applyBorder="1">
      <alignment horizontal="center" vertical="center"/>
    </xf>
    <xf numFmtId="0" fontId="0" fillId="73" borderId="535" xfId="0" applyFill="1" applyBorder="1">
      <alignment horizontal="center" vertical="center"/>
    </xf>
    <xf numFmtId="0" fontId="0" fillId="0" borderId="473" xfId="0" applyBorder="1" applyAlignment="1">
      <alignment horizontal="left"/>
    </xf>
    <xf numFmtId="0" fontId="0" fillId="0" borderId="533" xfId="0" applyBorder="1" applyAlignment="1"/>
    <xf numFmtId="0" fontId="0" fillId="0" borderId="534" xfId="0" applyBorder="1" applyAlignment="1">
      <alignment horizontal="left"/>
    </xf>
    <xf numFmtId="0" fontId="0" fillId="0" borderId="533" xfId="0" applyBorder="1" applyAlignment="1">
      <alignment horizontal="left"/>
    </xf>
    <xf numFmtId="0" fontId="0" fillId="0" borderId="473" xfId="0" applyBorder="1" applyAlignment="1">
      <alignment horizontal="center"/>
    </xf>
    <xf numFmtId="0" fontId="0" fillId="55" borderId="416" xfId="0" applyFill="1" applyBorder="1">
      <alignment horizontal="center" vertical="center"/>
    </xf>
    <xf numFmtId="0" fontId="0" fillId="53" borderId="416" xfId="48" applyFont="1" applyFill="1" applyBorder="1">
      <alignment horizontal="center" vertical="center"/>
    </xf>
    <xf numFmtId="0" fontId="5" fillId="43" borderId="485" xfId="0" applyFont="1" applyFill="1" applyBorder="1" applyAlignment="1">
      <alignment horizontal="center"/>
    </xf>
    <xf numFmtId="0" fontId="8" fillId="73" borderId="485" xfId="44" applyBorder="1">
      <alignment horizontal="center" vertical="center"/>
    </xf>
    <xf numFmtId="0" fontId="0" fillId="51" borderId="485" xfId="46" applyFont="1" applyFill="1" applyBorder="1">
      <alignment horizontal="center" vertical="center"/>
    </xf>
    <xf numFmtId="0" fontId="0" fillId="55" borderId="485" xfId="48" applyFont="1" applyFill="1" applyBorder="1">
      <alignment horizontal="center" vertical="center"/>
    </xf>
    <xf numFmtId="0" fontId="0" fillId="51" borderId="485" xfId="53" applyFont="1" applyFill="1" applyBorder="1">
      <alignment horizontal="center" vertical="center"/>
    </xf>
    <xf numFmtId="0" fontId="0" fillId="85" borderId="485" xfId="46" applyFont="1" applyFill="1" applyBorder="1">
      <alignment horizontal="center" vertical="center"/>
    </xf>
    <xf numFmtId="0" fontId="0" fillId="55" borderId="485" xfId="44" applyFont="1" applyFill="1" applyBorder="1">
      <alignment horizontal="center" vertical="center"/>
    </xf>
    <xf numFmtId="0" fontId="0" fillId="96" borderId="485" xfId="0" applyFill="1" applyBorder="1">
      <alignment horizontal="center" vertical="center"/>
    </xf>
    <xf numFmtId="0" fontId="5" fillId="43" borderId="529" xfId="0" applyFont="1" applyFill="1" applyBorder="1" applyAlignment="1">
      <alignment horizontal="center"/>
    </xf>
    <xf numFmtId="0" fontId="0" fillId="51" borderId="476" xfId="0" applyFill="1" applyBorder="1" applyAlignment="1">
      <alignment horizontal="left" vertical="center"/>
    </xf>
    <xf numFmtId="0" fontId="0" fillId="51" borderId="529" xfId="0" applyFill="1" applyBorder="1">
      <alignment horizontal="center" vertical="center"/>
    </xf>
    <xf numFmtId="0" fontId="0" fillId="51" borderId="529" xfId="43" applyFont="1" applyFill="1" applyBorder="1">
      <alignment horizontal="center" vertical="center"/>
    </xf>
    <xf numFmtId="0" fontId="0" fillId="55" borderId="529" xfId="48" applyFont="1" applyFill="1" applyBorder="1">
      <alignment horizontal="center" vertical="center"/>
    </xf>
    <xf numFmtId="0" fontId="0" fillId="51" borderId="529" xfId="48" applyFont="1" applyFill="1" applyBorder="1">
      <alignment horizontal="center" vertical="center"/>
    </xf>
    <xf numFmtId="0" fontId="0" fillId="0" borderId="529" xfId="53" applyFont="1" applyBorder="1">
      <alignment horizontal="center" vertical="center"/>
    </xf>
    <xf numFmtId="0" fontId="0" fillId="55" borderId="529" xfId="53" applyFont="1" applyFill="1" applyBorder="1">
      <alignment horizontal="center" vertical="center"/>
    </xf>
    <xf numFmtId="0" fontId="5" fillId="0" borderId="443" xfId="0" applyFont="1" applyBorder="1">
      <alignment horizontal="center" vertical="center"/>
    </xf>
    <xf numFmtId="0" fontId="52" fillId="56" borderId="475" xfId="46" applyBorder="1">
      <alignment horizontal="center" vertical="center"/>
    </xf>
    <xf numFmtId="0" fontId="0" fillId="51" borderId="485" xfId="0" applyFill="1" applyBorder="1" applyAlignment="1">
      <alignment horizontal="left" vertical="center" wrapText="1"/>
    </xf>
    <xf numFmtId="0" fontId="8" fillId="52" borderId="485" xfId="53" applyFill="1" applyBorder="1">
      <alignment horizontal="center" vertical="center"/>
    </xf>
    <xf numFmtId="49" fontId="68" fillId="52" borderId="485" xfId="0" applyNumberFormat="1" applyFont="1" applyFill="1" applyBorder="1">
      <alignment horizontal="center" vertical="center"/>
    </xf>
    <xf numFmtId="0" fontId="52" fillId="56" borderId="485" xfId="46" applyBorder="1">
      <alignment horizontal="center" vertical="center"/>
    </xf>
    <xf numFmtId="0" fontId="0" fillId="51" borderId="485" xfId="0" applyFill="1" applyBorder="1" applyAlignment="1">
      <alignment horizontal="left" vertical="center"/>
    </xf>
    <xf numFmtId="0" fontId="5" fillId="0" borderId="485" xfId="0" applyFont="1" applyBorder="1" applyAlignment="1">
      <alignment horizontal="center"/>
    </xf>
    <xf numFmtId="0" fontId="5" fillId="0" borderId="443" xfId="0" applyFont="1" applyBorder="1" applyAlignment="1">
      <alignment horizontal="left"/>
    </xf>
    <xf numFmtId="0" fontId="0" fillId="0" borderId="537" xfId="0" applyBorder="1" applyAlignment="1">
      <alignment horizontal="left" vertical="center"/>
    </xf>
    <xf numFmtId="0" fontId="0" fillId="0" borderId="473" xfId="0" applyBorder="1" applyAlignment="1">
      <alignment horizontal="left" vertical="center"/>
    </xf>
    <xf numFmtId="49" fontId="0" fillId="0" borderId="473" xfId="0" applyNumberFormat="1" applyBorder="1" applyAlignment="1">
      <alignment horizontal="left"/>
    </xf>
    <xf numFmtId="0" fontId="5" fillId="0" borderId="485" xfId="0" applyFont="1" applyBorder="1" applyAlignment="1" applyProtection="1">
      <alignment horizontal="center"/>
      <protection locked="0"/>
    </xf>
    <xf numFmtId="0" fontId="0" fillId="0" borderId="485" xfId="0" applyBorder="1" applyAlignment="1">
      <alignment horizontal="left"/>
    </xf>
    <xf numFmtId="0" fontId="0" fillId="0" borderId="484" xfId="0" applyBorder="1" applyAlignment="1">
      <alignment vertical="center"/>
    </xf>
    <xf numFmtId="0" fontId="5" fillId="0" borderId="531" xfId="0" applyFont="1" applyBorder="1" applyAlignment="1">
      <alignment horizontal="center"/>
    </xf>
    <xf numFmtId="0" fontId="5" fillId="0" borderId="532" xfId="0" applyFont="1" applyBorder="1" applyAlignment="1">
      <alignment horizontal="center"/>
    </xf>
    <xf numFmtId="0" fontId="4" fillId="0" borderId="443" xfId="0" applyFont="1" applyBorder="1" applyAlignment="1">
      <alignment horizontal="left"/>
    </xf>
    <xf numFmtId="0" fontId="0" fillId="43" borderId="475" xfId="0" applyFill="1" applyBorder="1" applyAlignment="1">
      <alignment horizontal="center"/>
    </xf>
    <xf numFmtId="0" fontId="47" fillId="0" borderId="475" xfId="0" applyFont="1" applyBorder="1" applyAlignment="1">
      <alignment horizontal="left" vertical="center"/>
    </xf>
    <xf numFmtId="0" fontId="0" fillId="24" borderId="475" xfId="0" applyFill="1" applyBorder="1" applyAlignment="1" applyProtection="1">
      <alignment horizontal="center"/>
      <protection locked="0"/>
    </xf>
    <xf numFmtId="0" fontId="5" fillId="77" borderId="475" xfId="0" applyFont="1" applyFill="1" applyBorder="1">
      <alignment horizontal="center" vertical="center"/>
    </xf>
    <xf numFmtId="0" fontId="0" fillId="76" borderId="475" xfId="0" applyFill="1" applyBorder="1">
      <alignment horizontal="center" vertical="center"/>
    </xf>
    <xf numFmtId="0" fontId="0" fillId="0" borderId="475" xfId="0" applyBorder="1" applyAlignment="1" applyProtection="1">
      <alignment horizontal="center"/>
      <protection locked="0"/>
    </xf>
    <xf numFmtId="49" fontId="0" fillId="52" borderId="475" xfId="0" applyNumberFormat="1" applyFill="1" applyBorder="1">
      <alignment horizontal="center" vertical="center"/>
    </xf>
    <xf numFmtId="0" fontId="0" fillId="0" borderId="535" xfId="0" applyBorder="1" applyAlignment="1" applyProtection="1">
      <alignment horizontal="center"/>
      <protection locked="0"/>
    </xf>
    <xf numFmtId="49" fontId="0" fillId="0" borderId="470" xfId="0" applyNumberFormat="1" applyBorder="1" applyAlignment="1"/>
    <xf numFmtId="0" fontId="7" fillId="44" borderId="470" xfId="0" applyFont="1" applyFill="1" applyBorder="1" applyAlignment="1">
      <alignment horizontal="left"/>
    </xf>
    <xf numFmtId="0" fontId="7" fillId="25" borderId="470" xfId="0" applyFont="1" applyFill="1" applyBorder="1">
      <alignment horizontal="center" vertical="center"/>
    </xf>
    <xf numFmtId="0" fontId="8" fillId="25" borderId="443" xfId="0" applyFont="1" applyFill="1" applyBorder="1">
      <alignment horizontal="center" vertical="center"/>
    </xf>
    <xf numFmtId="0" fontId="7" fillId="29" borderId="470" xfId="0" applyFont="1" applyFill="1" applyBorder="1" applyAlignment="1">
      <alignment horizontal="left"/>
    </xf>
    <xf numFmtId="0" fontId="7" fillId="29" borderId="443" xfId="0" applyFont="1" applyFill="1" applyBorder="1" applyAlignment="1">
      <alignment horizontal="left"/>
    </xf>
    <xf numFmtId="0" fontId="8" fillId="29" borderId="443" xfId="0" applyFont="1" applyFill="1" applyBorder="1">
      <alignment horizontal="center" vertical="center"/>
    </xf>
    <xf numFmtId="0" fontId="8" fillId="29" borderId="486" xfId="0" applyFont="1" applyFill="1" applyBorder="1">
      <alignment horizontal="center" vertical="center"/>
    </xf>
    <xf numFmtId="0" fontId="7" fillId="37" borderId="470" xfId="0" applyFont="1" applyFill="1" applyBorder="1" applyAlignment="1">
      <alignment horizontal="left"/>
    </xf>
    <xf numFmtId="0" fontId="7" fillId="37" borderId="443" xfId="0" applyFont="1" applyFill="1" applyBorder="1" applyAlignment="1">
      <alignment horizontal="left"/>
    </xf>
    <xf numFmtId="0" fontId="0" fillId="37" borderId="443" xfId="0" applyFill="1" applyBorder="1">
      <alignment horizontal="center" vertical="center"/>
    </xf>
    <xf numFmtId="0" fontId="7" fillId="45" borderId="470" xfId="0" applyFont="1" applyFill="1" applyBorder="1" applyAlignment="1">
      <alignment horizontal="left"/>
    </xf>
    <xf numFmtId="0" fontId="0" fillId="45" borderId="443" xfId="0" applyFill="1" applyBorder="1">
      <alignment horizontal="center" vertical="center"/>
    </xf>
    <xf numFmtId="0" fontId="8" fillId="45" borderId="443" xfId="0" applyFont="1" applyFill="1" applyBorder="1">
      <alignment horizontal="center" vertical="center"/>
    </xf>
    <xf numFmtId="0" fontId="8" fillId="77" borderId="486" xfId="0" applyFont="1" applyFill="1" applyBorder="1">
      <alignment horizontal="center" vertical="center"/>
    </xf>
    <xf numFmtId="0" fontId="7" fillId="24" borderId="470" xfId="0" applyFont="1" applyFill="1" applyBorder="1">
      <alignment horizontal="center" vertical="center"/>
    </xf>
    <xf numFmtId="0" fontId="0" fillId="24" borderId="443" xfId="0" applyFill="1" applyBorder="1">
      <alignment horizontal="center" vertical="center"/>
    </xf>
    <xf numFmtId="0" fontId="8" fillId="24" borderId="443" xfId="0" applyFont="1" applyFill="1" applyBorder="1">
      <alignment horizontal="center" vertical="center"/>
    </xf>
    <xf numFmtId="0" fontId="7" fillId="40" borderId="470" xfId="0" applyFont="1" applyFill="1" applyBorder="1" applyAlignment="1">
      <alignment horizontal="left"/>
    </xf>
    <xf numFmtId="0" fontId="8" fillId="40" borderId="443" xfId="0" applyFont="1" applyFill="1" applyBorder="1">
      <alignment horizontal="center" vertical="center"/>
    </xf>
    <xf numFmtId="0" fontId="0" fillId="40" borderId="486" xfId="0" applyFill="1" applyBorder="1">
      <alignment horizontal="center" vertical="center"/>
    </xf>
    <xf numFmtId="0" fontId="0" fillId="46" borderId="442" xfId="0" applyFill="1" applyBorder="1">
      <alignment horizontal="center" vertical="center"/>
    </xf>
    <xf numFmtId="0" fontId="8" fillId="46" borderId="442" xfId="0" applyFont="1" applyFill="1" applyBorder="1">
      <alignment horizontal="center" vertical="center"/>
    </xf>
    <xf numFmtId="0" fontId="8" fillId="46" borderId="457" xfId="0" applyFont="1" applyFill="1" applyBorder="1">
      <alignment horizontal="center" vertical="center"/>
    </xf>
    <xf numFmtId="0" fontId="7" fillId="0" borderId="437" xfId="0" applyFont="1" applyBorder="1" applyAlignment="1">
      <alignment horizontal="left" vertical="center"/>
    </xf>
    <xf numFmtId="0" fontId="8" fillId="0" borderId="442" xfId="0" applyFont="1" applyBorder="1">
      <alignment horizontal="center" vertical="center"/>
    </xf>
    <xf numFmtId="0" fontId="62" fillId="58" borderId="475" xfId="49" applyBorder="1">
      <alignment horizontal="center" vertical="center"/>
    </xf>
    <xf numFmtId="0" fontId="62" fillId="59" borderId="470" xfId="51" applyBorder="1" applyAlignment="1">
      <alignment horizontal="center" vertical="center"/>
    </xf>
    <xf numFmtId="0" fontId="62" fillId="59" borderId="443" xfId="51" applyBorder="1" applyAlignment="1">
      <alignment horizontal="center" vertical="center"/>
    </xf>
    <xf numFmtId="0" fontId="62" fillId="59" borderId="486" xfId="51" applyBorder="1" applyAlignment="1">
      <alignment horizontal="center" vertical="center"/>
    </xf>
    <xf numFmtId="0" fontId="8" fillId="0" borderId="470" xfId="0" applyFont="1" applyBorder="1" applyAlignment="1">
      <alignment horizontal="left"/>
    </xf>
    <xf numFmtId="0" fontId="0" fillId="0" borderId="443" xfId="0" applyBorder="1">
      <alignment horizontal="center" vertical="center"/>
    </xf>
    <xf numFmtId="0" fontId="8" fillId="0" borderId="443" xfId="0" applyFont="1" applyBorder="1" applyAlignment="1">
      <alignment horizontal="left"/>
    </xf>
    <xf numFmtId="0" fontId="8" fillId="48" borderId="470" xfId="0" applyFont="1" applyFill="1" applyBorder="1" applyAlignment="1">
      <alignment horizontal="left" vertical="center"/>
    </xf>
    <xf numFmtId="0" fontId="8" fillId="48" borderId="443" xfId="0" applyFont="1" applyFill="1" applyBorder="1">
      <alignment horizontal="center" vertical="center"/>
    </xf>
    <xf numFmtId="0" fontId="0" fillId="0" borderId="435" xfId="0" applyBorder="1">
      <alignment horizontal="center" vertical="center"/>
    </xf>
    <xf numFmtId="0" fontId="5" fillId="0" borderId="435" xfId="0" applyFont="1" applyBorder="1" applyAlignment="1">
      <alignment horizontal="center"/>
    </xf>
    <xf numFmtId="0" fontId="8" fillId="0" borderId="435" xfId="0" applyFont="1" applyBorder="1">
      <alignment horizontal="center" vertical="center"/>
    </xf>
    <xf numFmtId="0" fontId="8" fillId="0" borderId="475" xfId="0" applyFont="1" applyBorder="1">
      <alignment horizontal="center" vertical="center"/>
    </xf>
    <xf numFmtId="0" fontId="0" fillId="0" borderId="475" xfId="0" applyBorder="1">
      <alignment horizontal="center" vertical="center"/>
    </xf>
    <xf numFmtId="0" fontId="5" fillId="0" borderId="475" xfId="0" applyFont="1" applyBorder="1" applyAlignment="1">
      <alignment horizontal="center"/>
    </xf>
    <xf numFmtId="0" fontId="60" fillId="0" borderId="479" xfId="0" applyFont="1" applyBorder="1" applyAlignment="1">
      <alignment horizontal="left" vertical="center"/>
    </xf>
    <xf numFmtId="0" fontId="60" fillId="0" borderId="483" xfId="0" applyFont="1" applyBorder="1" applyAlignment="1">
      <alignment horizontal="left" vertical="center"/>
    </xf>
    <xf numFmtId="0" fontId="0" fillId="52" borderId="404" xfId="43" applyFont="1" applyFill="1" applyBorder="1">
      <alignment horizontal="center" vertical="center"/>
    </xf>
    <xf numFmtId="0" fontId="0" fillId="51" borderId="475" xfId="43" applyFont="1" applyFill="1" applyBorder="1">
      <alignment horizontal="center" vertical="center"/>
    </xf>
    <xf numFmtId="0" fontId="0" fillId="43" borderId="475" xfId="0" applyFill="1" applyBorder="1" applyAlignment="1" applyProtection="1">
      <alignment horizontal="center"/>
      <protection locked="0"/>
    </xf>
    <xf numFmtId="0" fontId="0" fillId="0" borderId="475" xfId="0" applyBorder="1" applyAlignment="1">
      <alignment horizontal="left" vertical="center"/>
    </xf>
    <xf numFmtId="0" fontId="8" fillId="75" borderId="475" xfId="56" applyBorder="1">
      <alignment horizontal="center" vertical="center"/>
    </xf>
    <xf numFmtId="0" fontId="8" fillId="52" borderId="475" xfId="48" applyBorder="1">
      <alignment horizontal="center" vertical="center"/>
    </xf>
    <xf numFmtId="0" fontId="0" fillId="77" borderId="475" xfId="0" applyFill="1" applyBorder="1">
      <alignment horizontal="center" vertical="center"/>
    </xf>
    <xf numFmtId="0" fontId="8" fillId="53" borderId="475" xfId="43" applyBorder="1">
      <alignment horizontal="center" vertical="center"/>
    </xf>
    <xf numFmtId="0" fontId="8" fillId="0" borderId="475" xfId="0" applyFont="1" applyBorder="1" applyAlignment="1">
      <alignment horizontal="left" vertical="center"/>
    </xf>
    <xf numFmtId="0" fontId="0" fillId="51" borderId="475" xfId="0" applyFill="1" applyBorder="1">
      <alignment horizontal="center" vertical="center"/>
    </xf>
    <xf numFmtId="1" fontId="0" fillId="51" borderId="475" xfId="0" applyNumberFormat="1" applyFill="1" applyBorder="1">
      <alignment horizontal="center" vertical="center"/>
    </xf>
    <xf numFmtId="1" fontId="0" fillId="51" borderId="475" xfId="44" applyNumberFormat="1" applyFont="1" applyFill="1" applyBorder="1">
      <alignment horizontal="center" vertical="center"/>
    </xf>
    <xf numFmtId="1" fontId="0" fillId="55" borderId="475" xfId="0" applyNumberFormat="1" applyFill="1" applyBorder="1">
      <alignment horizontal="center" vertical="center"/>
    </xf>
    <xf numFmtId="0" fontId="8" fillId="0" borderId="475" xfId="53" applyBorder="1">
      <alignment horizontal="center" vertical="center"/>
    </xf>
    <xf numFmtId="1" fontId="0" fillId="51" borderId="475" xfId="32" applyNumberFormat="1" applyFont="1" applyFill="1" applyBorder="1" applyAlignment="1">
      <alignment horizontal="center" vertical="center"/>
    </xf>
    <xf numFmtId="1" fontId="0" fillId="51" borderId="475" xfId="20" applyNumberFormat="1" applyFont="1" applyFill="1" applyBorder="1" applyAlignment="1">
      <alignment horizontal="center" vertical="center"/>
    </xf>
    <xf numFmtId="0" fontId="0" fillId="51" borderId="475" xfId="20" applyFont="1" applyFill="1" applyBorder="1" applyAlignment="1">
      <alignment horizontal="center" vertical="center"/>
    </xf>
    <xf numFmtId="0" fontId="0" fillId="51" borderId="475" xfId="44" applyFont="1" applyFill="1" applyBorder="1">
      <alignment horizontal="center" vertical="center"/>
    </xf>
    <xf numFmtId="0" fontId="0" fillId="51" borderId="475" xfId="48" applyFont="1" applyFill="1" applyBorder="1">
      <alignment horizontal="center" vertical="center"/>
    </xf>
    <xf numFmtId="0" fontId="8" fillId="74" borderId="475" xfId="47" applyBorder="1">
      <alignment horizontal="center" vertical="center"/>
    </xf>
    <xf numFmtId="0" fontId="8" fillId="0" borderId="475" xfId="47" applyFill="1" applyBorder="1">
      <alignment horizontal="center" vertical="center"/>
    </xf>
    <xf numFmtId="0" fontId="0" fillId="43" borderId="435" xfId="0" applyFill="1" applyBorder="1" applyAlignment="1" applyProtection="1">
      <alignment horizontal="center"/>
      <protection locked="0"/>
    </xf>
    <xf numFmtId="0" fontId="0" fillId="0" borderId="535" xfId="0" applyBorder="1" applyAlignment="1">
      <alignment horizontal="left" vertical="center"/>
    </xf>
    <xf numFmtId="0" fontId="0" fillId="87" borderId="536" xfId="48" applyFont="1" applyFill="1" applyBorder="1">
      <alignment horizontal="center" vertical="center"/>
    </xf>
    <xf numFmtId="0" fontId="0" fillId="52" borderId="475" xfId="53" applyFont="1" applyFill="1" applyBorder="1">
      <alignment horizontal="center" vertical="center"/>
    </xf>
    <xf numFmtId="0" fontId="0" fillId="52" borderId="432" xfId="43" applyFont="1" applyFill="1" applyBorder="1">
      <alignment horizontal="center" vertical="center"/>
    </xf>
    <xf numFmtId="0" fontId="0" fillId="53" borderId="432" xfId="43" applyFont="1" applyBorder="1">
      <alignment horizontal="center" vertical="center"/>
    </xf>
    <xf numFmtId="0" fontId="8" fillId="0" borderId="470" xfId="53" applyBorder="1">
      <alignment horizontal="center" vertical="center"/>
    </xf>
    <xf numFmtId="0" fontId="0" fillId="51" borderId="485" xfId="43" applyFont="1" applyFill="1" applyBorder="1">
      <alignment horizontal="center" vertical="center"/>
    </xf>
    <xf numFmtId="0" fontId="0" fillId="51" borderId="485" xfId="0" applyFill="1" applyBorder="1">
      <alignment horizontal="center" vertical="center"/>
    </xf>
    <xf numFmtId="0" fontId="8" fillId="75" borderId="485" xfId="56" applyBorder="1">
      <alignment horizontal="center" vertical="center"/>
    </xf>
    <xf numFmtId="0" fontId="8" fillId="91" borderId="485" xfId="56" applyFill="1" applyBorder="1">
      <alignment horizontal="center" vertical="center"/>
    </xf>
    <xf numFmtId="0" fontId="0" fillId="51" borderId="485" xfId="44" applyFont="1" applyFill="1" applyBorder="1">
      <alignment horizontal="center" vertical="center"/>
    </xf>
    <xf numFmtId="0" fontId="0" fillId="0" borderId="485" xfId="0" applyBorder="1">
      <alignment horizontal="center" vertical="center"/>
    </xf>
    <xf numFmtId="0" fontId="8" fillId="0" borderId="485" xfId="56" applyFill="1" applyBorder="1">
      <alignment horizontal="center" vertical="center"/>
    </xf>
    <xf numFmtId="0" fontId="8" fillId="98" borderId="485" xfId="56" applyFill="1" applyBorder="1">
      <alignment horizontal="center" vertical="center"/>
    </xf>
    <xf numFmtId="0" fontId="0" fillId="51" borderId="485" xfId="48" applyFont="1" applyFill="1" applyBorder="1">
      <alignment horizontal="center" vertical="center"/>
    </xf>
    <xf numFmtId="1" fontId="0" fillId="55" borderId="485" xfId="44" applyNumberFormat="1" applyFont="1" applyFill="1" applyBorder="1">
      <alignment horizontal="center" vertical="center"/>
    </xf>
    <xf numFmtId="1" fontId="0" fillId="51" borderId="485" xfId="0" applyNumberFormat="1" applyFill="1" applyBorder="1">
      <alignment horizontal="center" vertical="center"/>
    </xf>
    <xf numFmtId="1" fontId="0" fillId="51" borderId="485" xfId="32" applyNumberFormat="1" applyFont="1" applyFill="1" applyBorder="1" applyAlignment="1">
      <alignment horizontal="center" vertical="center"/>
    </xf>
    <xf numFmtId="0" fontId="0" fillId="55" borderId="485" xfId="53" applyFont="1" applyFill="1" applyBorder="1">
      <alignment horizontal="center" vertical="center"/>
    </xf>
    <xf numFmtId="0" fontId="8" fillId="74" borderId="470" xfId="47" applyBorder="1">
      <alignment horizontal="center" vertical="center"/>
    </xf>
    <xf numFmtId="0" fontId="8" fillId="74" borderId="485" xfId="47" applyBorder="1">
      <alignment horizontal="center" vertical="center"/>
    </xf>
    <xf numFmtId="0" fontId="0" fillId="0" borderId="485" xfId="48" applyFont="1" applyFill="1" applyBorder="1">
      <alignment horizontal="center" vertical="center"/>
    </xf>
    <xf numFmtId="0" fontId="8" fillId="87" borderId="485" xfId="45" applyFill="1" applyBorder="1">
      <alignment horizontal="center" vertical="center"/>
    </xf>
    <xf numFmtId="0" fontId="0" fillId="74" borderId="485" xfId="47" applyFont="1" applyBorder="1">
      <alignment horizontal="center" vertical="center"/>
    </xf>
    <xf numFmtId="0" fontId="0" fillId="0" borderId="485" xfId="53" applyFont="1" applyBorder="1">
      <alignment horizontal="center" vertical="center"/>
    </xf>
    <xf numFmtId="0" fontId="0" fillId="55" borderId="477" xfId="48" applyFont="1" applyFill="1" applyBorder="1">
      <alignment horizontal="center" vertical="center"/>
    </xf>
    <xf numFmtId="0" fontId="0" fillId="51" borderId="435" xfId="20" applyFont="1" applyFill="1" applyBorder="1" applyAlignment="1">
      <alignment horizontal="center" vertical="center"/>
    </xf>
    <xf numFmtId="0" fontId="0" fillId="51" borderId="437" xfId="20" applyFont="1" applyFill="1" applyBorder="1" applyAlignment="1">
      <alignment horizontal="center" vertical="center"/>
    </xf>
    <xf numFmtId="0" fontId="0" fillId="51" borderId="485" xfId="20" applyFont="1" applyFill="1" applyBorder="1" applyAlignment="1">
      <alignment horizontal="center" vertical="center"/>
    </xf>
    <xf numFmtId="0" fontId="8" fillId="55" borderId="485" xfId="45" applyBorder="1">
      <alignment horizontal="center" vertical="center"/>
    </xf>
    <xf numFmtId="49" fontId="0" fillId="51" borderId="485" xfId="0" applyNumberFormat="1" applyFill="1" applyBorder="1">
      <alignment horizontal="center" vertical="center"/>
    </xf>
    <xf numFmtId="0" fontId="0" fillId="52" borderId="485" xfId="43" applyFont="1" applyFill="1" applyBorder="1">
      <alignment horizontal="center" vertical="center"/>
    </xf>
    <xf numFmtId="0" fontId="0" fillId="51" borderId="485" xfId="32" applyFont="1" applyFill="1" applyBorder="1" applyAlignment="1">
      <alignment horizontal="center" vertical="center"/>
    </xf>
    <xf numFmtId="0" fontId="0" fillId="51" borderId="481" xfId="43" applyFont="1" applyFill="1" applyBorder="1">
      <alignment horizontal="center" vertical="center"/>
    </xf>
    <xf numFmtId="0" fontId="0" fillId="43" borderId="538" xfId="0" applyFill="1" applyBorder="1" applyAlignment="1" applyProtection="1">
      <alignment horizontal="center"/>
      <protection locked="0"/>
    </xf>
    <xf numFmtId="0" fontId="0" fillId="0" borderId="539" xfId="0" applyBorder="1" applyAlignment="1">
      <alignment vertical="center"/>
    </xf>
    <xf numFmtId="0" fontId="0" fillId="51" borderId="538" xfId="32" applyFont="1" applyFill="1" applyBorder="1" applyAlignment="1">
      <alignment horizontal="center" vertical="center"/>
    </xf>
    <xf numFmtId="0" fontId="0" fillId="51" borderId="538" xfId="43" applyFont="1" applyFill="1" applyBorder="1">
      <alignment horizontal="center" vertical="center"/>
    </xf>
    <xf numFmtId="0" fontId="0" fillId="51" borderId="538" xfId="0" applyFill="1" applyBorder="1">
      <alignment horizontal="center" vertical="center"/>
    </xf>
    <xf numFmtId="0" fontId="8" fillId="55" borderId="538" xfId="45" applyBorder="1">
      <alignment horizontal="center" vertical="center"/>
    </xf>
    <xf numFmtId="49" fontId="0" fillId="51" borderId="538" xfId="0" applyNumberFormat="1" applyFill="1" applyBorder="1">
      <alignment horizontal="center" vertical="center"/>
    </xf>
    <xf numFmtId="0" fontId="0" fillId="55" borderId="538" xfId="32" applyFont="1" applyFill="1" applyBorder="1" applyAlignment="1">
      <alignment horizontal="center" vertical="center"/>
    </xf>
    <xf numFmtId="0" fontId="0" fillId="55" borderId="538" xfId="43" applyFont="1" applyFill="1" applyBorder="1">
      <alignment horizontal="center" vertical="center"/>
    </xf>
    <xf numFmtId="0" fontId="0" fillId="51" borderId="538" xfId="46" applyFont="1" applyFill="1" applyBorder="1">
      <alignment horizontal="center" vertical="center"/>
    </xf>
    <xf numFmtId="0" fontId="0" fillId="52" borderId="538" xfId="43" applyFont="1" applyFill="1" applyBorder="1">
      <alignment horizontal="center" vertical="center"/>
    </xf>
    <xf numFmtId="0" fontId="0" fillId="51" borderId="539" xfId="43" applyFont="1" applyFill="1" applyBorder="1">
      <alignment horizontal="center" vertical="center"/>
    </xf>
    <xf numFmtId="0" fontId="5" fillId="0" borderId="470" xfId="0" applyFont="1" applyBorder="1" applyAlignment="1">
      <alignment vertical="center"/>
    </xf>
    <xf numFmtId="0" fontId="0" fillId="0" borderId="486" xfId="0" applyBorder="1">
      <alignment horizontal="center" vertical="center"/>
    </xf>
    <xf numFmtId="0" fontId="5" fillId="0" borderId="531" xfId="0" applyFont="1" applyBorder="1" applyAlignment="1">
      <alignment horizontal="left" vertical="center"/>
    </xf>
    <xf numFmtId="0" fontId="0" fillId="0" borderId="470" xfId="0" applyBorder="1" applyAlignment="1">
      <alignment vertical="center"/>
    </xf>
    <xf numFmtId="0" fontId="5" fillId="0" borderId="470" xfId="0" applyFont="1" applyBorder="1">
      <alignment horizontal="center" vertical="center"/>
    </xf>
    <xf numFmtId="0" fontId="5" fillId="0" borderId="532" xfId="0" applyFont="1" applyBorder="1" applyAlignment="1">
      <alignment horizontal="left" vertical="center"/>
    </xf>
    <xf numFmtId="0" fontId="0" fillId="0" borderId="533" xfId="0" applyBorder="1">
      <alignment horizontal="center" vertical="center"/>
    </xf>
    <xf numFmtId="0" fontId="0" fillId="0" borderId="473" xfId="0" applyBorder="1" applyAlignment="1">
      <alignment vertical="center"/>
    </xf>
    <xf numFmtId="0" fontId="0" fillId="0" borderId="534" xfId="0" applyBorder="1">
      <alignment horizontal="center" vertical="center"/>
    </xf>
    <xf numFmtId="0" fontId="5" fillId="0" borderId="473" xfId="0" applyFont="1" applyBorder="1">
      <alignment horizontal="center" vertical="center"/>
    </xf>
    <xf numFmtId="0" fontId="0" fillId="0" borderId="533" xfId="0" applyBorder="1" applyAlignment="1">
      <alignment horizontal="left" vertical="center"/>
    </xf>
    <xf numFmtId="0" fontId="14" fillId="0" borderId="533" xfId="0" applyFont="1" applyBorder="1">
      <alignment horizontal="center" vertical="center"/>
    </xf>
    <xf numFmtId="0" fontId="5" fillId="0" borderId="533" xfId="0" applyFont="1" applyBorder="1" applyAlignment="1">
      <alignment horizontal="left" vertical="center"/>
    </xf>
    <xf numFmtId="0" fontId="14" fillId="94" borderId="435" xfId="0" applyFont="1" applyFill="1" applyBorder="1" applyAlignment="1">
      <alignment horizontal="center"/>
    </xf>
    <xf numFmtId="49" fontId="68" fillId="53" borderId="404" xfId="0" applyNumberFormat="1" applyFont="1" applyFill="1" applyBorder="1">
      <alignment horizontal="center" vertical="center"/>
    </xf>
    <xf numFmtId="0" fontId="0" fillId="0" borderId="404" xfId="44" applyFont="1" applyFill="1" applyBorder="1">
      <alignment horizontal="center" vertical="center"/>
    </xf>
    <xf numFmtId="49" fontId="0" fillId="84" borderId="404" xfId="0" applyNumberFormat="1" applyFill="1" applyBorder="1">
      <alignment horizontal="center" vertical="center"/>
    </xf>
    <xf numFmtId="0" fontId="0" fillId="84" borderId="404" xfId="44" applyFont="1" applyFill="1" applyBorder="1">
      <alignment horizontal="center" vertical="center"/>
    </xf>
    <xf numFmtId="0" fontId="0" fillId="43" borderId="530" xfId="0" applyFill="1" applyBorder="1" applyAlignment="1" applyProtection="1">
      <alignment horizontal="center"/>
      <protection locked="0"/>
    </xf>
    <xf numFmtId="0" fontId="8" fillId="91" borderId="475" xfId="56" applyFill="1" applyBorder="1">
      <alignment horizontal="center" vertical="center"/>
    </xf>
    <xf numFmtId="0" fontId="8" fillId="55" borderId="475" xfId="56" applyFill="1" applyBorder="1">
      <alignment horizontal="center" vertical="center"/>
    </xf>
    <xf numFmtId="0" fontId="0" fillId="43" borderId="540" xfId="0" applyFill="1" applyBorder="1" applyAlignment="1" applyProtection="1">
      <alignment horizontal="center"/>
      <protection locked="0"/>
    </xf>
    <xf numFmtId="49" fontId="0" fillId="51" borderId="535" xfId="0" applyNumberFormat="1" applyFill="1" applyBorder="1">
      <alignment horizontal="center" vertical="center"/>
    </xf>
    <xf numFmtId="0" fontId="0" fillId="51" borderId="535" xfId="53" applyFont="1" applyFill="1" applyBorder="1">
      <alignment horizontal="center" vertical="center"/>
    </xf>
    <xf numFmtId="0" fontId="8" fillId="53" borderId="535" xfId="43" applyBorder="1">
      <alignment horizontal="center" vertical="center"/>
    </xf>
    <xf numFmtId="0" fontId="0" fillId="51" borderId="535" xfId="48" applyFont="1" applyFill="1" applyBorder="1">
      <alignment horizontal="center" vertical="center"/>
    </xf>
    <xf numFmtId="0" fontId="0" fillId="51" borderId="535" xfId="43" applyFont="1" applyFill="1" applyBorder="1">
      <alignment horizontal="center" vertical="center"/>
    </xf>
    <xf numFmtId="0" fontId="8" fillId="51" borderId="535" xfId="47" applyFill="1" applyBorder="1">
      <alignment horizontal="center" vertical="center"/>
    </xf>
    <xf numFmtId="0" fontId="68" fillId="85" borderId="535" xfId="47" applyFont="1" applyFill="1" applyBorder="1">
      <alignment horizontal="center" vertical="center"/>
    </xf>
    <xf numFmtId="0" fontId="0" fillId="51" borderId="535" xfId="44" applyFont="1" applyFill="1" applyBorder="1">
      <alignment horizontal="center" vertical="center"/>
    </xf>
    <xf numFmtId="0" fontId="0" fillId="51" borderId="432" xfId="44" applyFont="1" applyFill="1" applyBorder="1">
      <alignment horizontal="center" vertical="center"/>
    </xf>
    <xf numFmtId="49" fontId="0" fillId="51" borderId="432" xfId="0" applyNumberFormat="1" applyFill="1" applyBorder="1">
      <alignment horizontal="center" vertical="center"/>
    </xf>
    <xf numFmtId="0" fontId="0" fillId="51" borderId="535" xfId="0" applyFill="1" applyBorder="1" applyAlignment="1">
      <alignment horizontal="left" vertical="center"/>
    </xf>
    <xf numFmtId="0" fontId="0" fillId="55" borderId="535" xfId="48" applyFont="1" applyFill="1" applyBorder="1">
      <alignment horizontal="center" vertical="center"/>
    </xf>
    <xf numFmtId="0" fontId="0" fillId="55" borderId="475" xfId="48" applyFont="1" applyFill="1" applyBorder="1">
      <alignment horizontal="center" vertical="center"/>
    </xf>
    <xf numFmtId="49" fontId="0" fillId="51" borderId="475" xfId="0" applyNumberFormat="1" applyFill="1" applyBorder="1">
      <alignment horizontal="center" vertical="center"/>
    </xf>
    <xf numFmtId="0" fontId="0" fillId="51" borderId="475" xfId="46" applyFont="1" applyFill="1" applyBorder="1">
      <alignment horizontal="center" vertical="center"/>
    </xf>
    <xf numFmtId="0" fontId="0" fillId="51" borderId="535" xfId="0" applyFill="1" applyBorder="1">
      <alignment horizontal="center" vertical="center"/>
    </xf>
    <xf numFmtId="0" fontId="8" fillId="0" borderId="535" xfId="53" applyBorder="1">
      <alignment horizontal="center" vertical="center"/>
    </xf>
    <xf numFmtId="0" fontId="8" fillId="51" borderId="535" xfId="48" applyFill="1" applyBorder="1">
      <alignment horizontal="center" vertical="center"/>
    </xf>
    <xf numFmtId="0" fontId="0" fillId="55" borderId="535" xfId="44" applyFont="1" applyFill="1" applyBorder="1">
      <alignment horizontal="center" vertical="center"/>
    </xf>
    <xf numFmtId="49" fontId="0" fillId="55" borderId="535" xfId="0" applyNumberFormat="1" applyFill="1" applyBorder="1">
      <alignment horizontal="center" vertical="center"/>
    </xf>
    <xf numFmtId="0" fontId="8" fillId="74" borderId="404" xfId="47" applyBorder="1">
      <alignment horizontal="center" vertical="center"/>
    </xf>
    <xf numFmtId="0" fontId="8" fillId="0" borderId="404" xfId="47" applyFill="1" applyBorder="1">
      <alignment horizontal="center" vertical="center"/>
    </xf>
    <xf numFmtId="0" fontId="0" fillId="43" borderId="541" xfId="0" applyFill="1" applyBorder="1" applyAlignment="1" applyProtection="1">
      <alignment horizontal="center"/>
      <protection locked="0"/>
    </xf>
    <xf numFmtId="0" fontId="8" fillId="75" borderId="435" xfId="56" applyBorder="1">
      <alignment horizontal="center" vertical="center"/>
    </xf>
    <xf numFmtId="0" fontId="8" fillId="74" borderId="435" xfId="47" applyBorder="1">
      <alignment horizontal="center" vertical="center"/>
    </xf>
    <xf numFmtId="0" fontId="0" fillId="55" borderId="435" xfId="44" applyFont="1" applyFill="1" applyBorder="1">
      <alignment horizontal="center" vertical="center"/>
    </xf>
    <xf numFmtId="0" fontId="0" fillId="0" borderId="539" xfId="0" applyBorder="1" applyAlignment="1">
      <alignment horizontal="left" vertical="center"/>
    </xf>
    <xf numFmtId="0" fontId="0" fillId="0" borderId="217" xfId="0" applyBorder="1">
      <alignment horizontal="center" vertical="center"/>
    </xf>
    <xf numFmtId="0" fontId="0" fillId="51" borderId="542" xfId="44" applyFont="1" applyFill="1" applyBorder="1">
      <alignment horizontal="center" vertical="center"/>
    </xf>
    <xf numFmtId="0" fontId="0" fillId="51" borderId="538" xfId="44" applyFont="1" applyFill="1" applyBorder="1">
      <alignment horizontal="center" vertical="center"/>
    </xf>
    <xf numFmtId="0" fontId="0" fillId="51" borderId="538" xfId="48" applyFont="1" applyFill="1" applyBorder="1">
      <alignment horizontal="center" vertical="center"/>
    </xf>
    <xf numFmtId="0" fontId="8" fillId="73" borderId="538" xfId="44" applyBorder="1">
      <alignment horizontal="center" vertical="center"/>
    </xf>
    <xf numFmtId="49" fontId="0" fillId="52" borderId="538" xfId="0" applyNumberFormat="1" applyFill="1" applyBorder="1">
      <alignment horizontal="center" vertical="center"/>
    </xf>
    <xf numFmtId="0" fontId="8" fillId="0" borderId="538" xfId="53" applyBorder="1">
      <alignment horizontal="center" vertical="center"/>
    </xf>
    <xf numFmtId="0" fontId="0" fillId="0" borderId="475" xfId="0" applyBorder="1" applyAlignment="1">
      <alignment horizontal="center"/>
    </xf>
    <xf numFmtId="0" fontId="0" fillId="43" borderId="470" xfId="0" applyFill="1" applyBorder="1" applyAlignment="1" applyProtection="1">
      <alignment horizontal="center"/>
      <protection locked="0"/>
    </xf>
    <xf numFmtId="0" fontId="0" fillId="0" borderId="470" xfId="0" applyBorder="1" applyAlignment="1">
      <alignment horizontal="left"/>
    </xf>
    <xf numFmtId="0" fontId="8" fillId="0" borderId="457" xfId="0" applyFont="1" applyBorder="1" applyAlignment="1">
      <alignment horizontal="left"/>
    </xf>
    <xf numFmtId="0" fontId="8" fillId="0" borderId="442" xfId="0" applyFont="1" applyBorder="1" applyAlignment="1">
      <alignment horizontal="left"/>
    </xf>
    <xf numFmtId="0" fontId="8" fillId="0" borderId="486" xfId="0" applyFont="1" applyBorder="1" applyAlignment="1">
      <alignment horizontal="left"/>
    </xf>
    <xf numFmtId="0" fontId="7" fillId="0" borderId="470" xfId="0" applyFont="1" applyBorder="1" applyAlignment="1">
      <alignment horizontal="left"/>
    </xf>
    <xf numFmtId="0" fontId="22" fillId="0" borderId="475" xfId="0" applyFont="1" applyBorder="1" applyAlignment="1" applyProtection="1">
      <alignment horizontal="center"/>
      <protection locked="0"/>
    </xf>
    <xf numFmtId="0" fontId="0" fillId="0" borderId="470" xfId="0" applyBorder="1" applyAlignment="1">
      <alignment horizontal="left" vertical="center"/>
    </xf>
    <xf numFmtId="0" fontId="0" fillId="0" borderId="470" xfId="0" applyBorder="1">
      <alignment horizontal="center" vertical="center"/>
    </xf>
    <xf numFmtId="0" fontId="0" fillId="51" borderId="543" xfId="0" applyFill="1" applyBorder="1" applyAlignment="1" applyProtection="1">
      <alignment horizontal="left" vertical="center"/>
      <protection locked="0"/>
    </xf>
    <xf numFmtId="0" fontId="0" fillId="55" borderId="544" xfId="0" applyFill="1" applyBorder="1">
      <alignment horizontal="center" vertical="center"/>
    </xf>
    <xf numFmtId="0" fontId="8" fillId="101" borderId="545" xfId="48" applyFill="1" applyBorder="1">
      <alignment horizontal="center" vertical="center"/>
    </xf>
    <xf numFmtId="0" fontId="8" fillId="52" borderId="546" xfId="48" applyBorder="1">
      <alignment horizontal="center" vertical="center"/>
    </xf>
    <xf numFmtId="49" fontId="0" fillId="55" borderId="544" xfId="0" applyNumberFormat="1" applyFill="1" applyBorder="1">
      <alignment horizontal="center" vertical="center"/>
    </xf>
    <xf numFmtId="0" fontId="0" fillId="51" borderId="545" xfId="0" applyFill="1" applyBorder="1">
      <alignment horizontal="center" vertical="center"/>
    </xf>
    <xf numFmtId="0" fontId="0" fillId="51" borderId="547" xfId="0" applyFill="1" applyBorder="1" applyAlignment="1" applyProtection="1">
      <alignment horizontal="left" vertical="center"/>
      <protection locked="0"/>
    </xf>
    <xf numFmtId="0" fontId="0" fillId="51" borderId="544" xfId="47" applyFont="1" applyFill="1" applyBorder="1">
      <alignment horizontal="center" vertical="center"/>
    </xf>
    <xf numFmtId="0" fontId="0" fillId="51" borderId="544" xfId="56" applyFont="1" applyFill="1" applyBorder="1">
      <alignment horizontal="center" vertical="center"/>
    </xf>
    <xf numFmtId="0" fontId="8" fillId="53" borderId="544" xfId="56" applyFill="1" applyBorder="1">
      <alignment horizontal="center" vertical="center"/>
    </xf>
    <xf numFmtId="0" fontId="8" fillId="53" borderId="544" xfId="53" applyFill="1" applyBorder="1">
      <alignment horizontal="center" vertical="center"/>
    </xf>
    <xf numFmtId="0" fontId="0" fillId="52" borderId="545" xfId="47" applyFont="1" applyFill="1" applyBorder="1">
      <alignment horizontal="center" vertical="center"/>
    </xf>
    <xf numFmtId="1" fontId="0" fillId="96" borderId="544" xfId="0" applyNumberFormat="1" applyFill="1" applyBorder="1">
      <alignment horizontal="center" vertical="center"/>
    </xf>
    <xf numFmtId="0" fontId="68" fillId="73" borderId="544" xfId="0" applyFont="1" applyFill="1" applyBorder="1">
      <alignment horizontal="center" vertical="center"/>
    </xf>
    <xf numFmtId="0" fontId="0" fillId="0" borderId="545" xfId="0" applyBorder="1">
      <alignment horizontal="center" vertical="center"/>
    </xf>
    <xf numFmtId="0" fontId="8" fillId="52" borderId="545" xfId="48" applyBorder="1">
      <alignment horizontal="center" vertical="center"/>
    </xf>
    <xf numFmtId="0" fontId="8" fillId="55" borderId="544" xfId="45" applyBorder="1">
      <alignment horizontal="center" vertical="center"/>
    </xf>
    <xf numFmtId="0" fontId="8" fillId="55" borderId="544" xfId="53" applyFill="1" applyBorder="1">
      <alignment horizontal="center" vertical="center"/>
    </xf>
    <xf numFmtId="0" fontId="0" fillId="51" borderId="548" xfId="0" applyFill="1" applyBorder="1">
      <alignment horizontal="center" vertical="center"/>
    </xf>
    <xf numFmtId="0" fontId="0" fillId="53" borderId="548" xfId="0" applyFill="1" applyBorder="1">
      <alignment horizontal="center" vertical="center"/>
    </xf>
    <xf numFmtId="0" fontId="8" fillId="53" borderId="546" xfId="45" applyFill="1" applyBorder="1">
      <alignment horizontal="center" vertical="center"/>
    </xf>
    <xf numFmtId="0" fontId="8" fillId="0" borderId="549" xfId="53" applyBorder="1">
      <alignment horizontal="center" vertical="center"/>
    </xf>
    <xf numFmtId="0" fontId="0" fillId="52" borderId="544" xfId="0" applyFill="1" applyBorder="1">
      <alignment horizontal="center" vertical="center"/>
    </xf>
    <xf numFmtId="0" fontId="0" fillId="52" borderId="544" xfId="48" applyFont="1" applyBorder="1">
      <alignment horizontal="center" vertical="center"/>
    </xf>
    <xf numFmtId="49" fontId="0" fillId="52" borderId="544" xfId="0" applyNumberFormat="1" applyFill="1" applyBorder="1">
      <alignment horizontal="center" vertical="center"/>
    </xf>
    <xf numFmtId="49" fontId="0" fillId="52" borderId="545" xfId="0" applyNumberFormat="1" applyFill="1" applyBorder="1">
      <alignment horizontal="center" vertical="center"/>
    </xf>
    <xf numFmtId="0" fontId="0" fillId="51" borderId="550" xfId="0" applyFill="1" applyBorder="1" applyAlignment="1" applyProtection="1">
      <alignment horizontal="left" vertical="center"/>
      <protection locked="0"/>
    </xf>
    <xf numFmtId="0" fontId="8" fillId="51" borderId="404" xfId="48" applyFill="1" applyBorder="1">
      <alignment horizontal="center" vertical="center"/>
    </xf>
    <xf numFmtId="0" fontId="8" fillId="55" borderId="404" xfId="48" applyFill="1" applyBorder="1">
      <alignment horizontal="center" vertical="center"/>
    </xf>
    <xf numFmtId="0" fontId="0" fillId="87" borderId="544" xfId="0" applyFill="1" applyBorder="1">
      <alignment horizontal="center" vertical="center"/>
    </xf>
    <xf numFmtId="0" fontId="0" fillId="0" borderId="551" xfId="0" applyBorder="1" applyAlignment="1">
      <alignment horizontal="left" vertical="center"/>
    </xf>
    <xf numFmtId="0" fontId="0" fillId="51" borderId="545" xfId="43" applyFont="1" applyFill="1" applyBorder="1">
      <alignment horizontal="center" vertical="center"/>
    </xf>
    <xf numFmtId="0" fontId="0" fillId="0" borderId="550" xfId="0" applyBorder="1" applyAlignment="1">
      <alignment horizontal="left" vertical="center"/>
    </xf>
    <xf numFmtId="0" fontId="8" fillId="97" borderId="544" xfId="56" applyFill="1" applyBorder="1">
      <alignment horizontal="center" vertical="center"/>
    </xf>
    <xf numFmtId="0" fontId="0" fillId="53" borderId="544" xfId="47" applyFont="1" applyFill="1" applyBorder="1">
      <alignment horizontal="center" vertical="center"/>
    </xf>
    <xf numFmtId="49" fontId="0" fillId="0" borderId="404" xfId="0" applyNumberFormat="1" applyBorder="1">
      <alignment horizontal="center" vertical="center"/>
    </xf>
    <xf numFmtId="0" fontId="0" fillId="55" borderId="404" xfId="48" applyFont="1" applyFill="1" applyBorder="1">
      <alignment horizontal="center" vertical="center"/>
    </xf>
    <xf numFmtId="0" fontId="0" fillId="85" borderId="404" xfId="48" applyFont="1" applyFill="1" applyBorder="1">
      <alignment horizontal="center" vertical="center"/>
    </xf>
    <xf numFmtId="0" fontId="0" fillId="52" borderId="404" xfId="48" applyFont="1" applyBorder="1">
      <alignment horizontal="center" vertical="center"/>
    </xf>
    <xf numFmtId="0" fontId="0" fillId="52" borderId="552" xfId="48" applyFont="1" applyBorder="1">
      <alignment horizontal="center" vertical="center"/>
    </xf>
    <xf numFmtId="0" fontId="0" fillId="87" borderId="546" xfId="43" applyFont="1" applyFill="1" applyBorder="1">
      <alignment horizontal="center" vertical="center"/>
    </xf>
    <xf numFmtId="0" fontId="0" fillId="0" borderId="553" xfId="0" applyBorder="1" applyAlignment="1">
      <alignment horizontal="left" vertical="center"/>
    </xf>
    <xf numFmtId="49" fontId="0" fillId="87" borderId="549" xfId="0" applyNumberFormat="1" applyFill="1" applyBorder="1">
      <alignment horizontal="center" vertical="center"/>
    </xf>
    <xf numFmtId="0" fontId="8" fillId="87" borderId="554" xfId="53" applyFill="1" applyBorder="1">
      <alignment horizontal="center" vertical="center"/>
    </xf>
    <xf numFmtId="0" fontId="8" fillId="90" borderId="549" xfId="56" applyFill="1" applyBorder="1">
      <alignment horizontal="center" vertical="center"/>
    </xf>
    <xf numFmtId="0" fontId="0" fillId="87" borderId="555" xfId="44" applyFont="1" applyFill="1" applyBorder="1">
      <alignment horizontal="center" vertical="center"/>
    </xf>
    <xf numFmtId="0" fontId="0" fillId="0" borderId="404" xfId="53" applyFont="1" applyBorder="1">
      <alignment horizontal="center" vertical="center"/>
    </xf>
    <xf numFmtId="0" fontId="0" fillId="0" borderId="236" xfId="0" applyBorder="1" applyAlignment="1">
      <alignment horizontal="left" vertical="center"/>
    </xf>
    <xf numFmtId="0" fontId="0" fillId="51" borderId="556" xfId="43" applyFont="1" applyFill="1" applyBorder="1">
      <alignment horizontal="center" vertical="center"/>
    </xf>
    <xf numFmtId="0" fontId="8" fillId="74" borderId="556" xfId="47" applyBorder="1">
      <alignment horizontal="center" vertical="center"/>
    </xf>
    <xf numFmtId="0" fontId="8" fillId="74" borderId="454" xfId="47" applyBorder="1">
      <alignment horizontal="center" vertical="center"/>
    </xf>
    <xf numFmtId="49" fontId="0" fillId="51" borderId="556" xfId="0" applyNumberFormat="1" applyFill="1" applyBorder="1">
      <alignment horizontal="center" vertical="center"/>
    </xf>
    <xf numFmtId="0" fontId="0" fillId="51" borderId="556" xfId="44" applyFont="1" applyFill="1" applyBorder="1">
      <alignment horizontal="center" vertical="center"/>
    </xf>
    <xf numFmtId="0" fontId="8" fillId="53" borderId="556" xfId="53" applyFill="1" applyBorder="1">
      <alignment horizontal="center" vertical="center"/>
    </xf>
    <xf numFmtId="0" fontId="0" fillId="53" borderId="557" xfId="53" applyFont="1" applyFill="1" applyBorder="1">
      <alignment horizontal="center" vertical="center"/>
    </xf>
    <xf numFmtId="0" fontId="0" fillId="53" borderId="556" xfId="47" applyFont="1" applyFill="1" applyBorder="1">
      <alignment horizontal="center" vertical="center"/>
    </xf>
    <xf numFmtId="0" fontId="0" fillId="87" borderId="556" xfId="47" applyFont="1" applyFill="1" applyBorder="1">
      <alignment horizontal="center" vertical="center"/>
    </xf>
    <xf numFmtId="0" fontId="0" fillId="51" borderId="556" xfId="47" applyFont="1" applyFill="1" applyBorder="1">
      <alignment horizontal="center" vertical="center"/>
    </xf>
    <xf numFmtId="0" fontId="19" fillId="0" borderId="389" xfId="0" applyFont="1" applyBorder="1" applyAlignment="1" applyProtection="1">
      <alignment horizontal="center"/>
      <protection locked="0"/>
    </xf>
    <xf numFmtId="0" fontId="19" fillId="0" borderId="423" xfId="0" applyFont="1" applyBorder="1" applyAlignment="1" applyProtection="1">
      <alignment horizontal="center"/>
      <protection locked="0"/>
    </xf>
    <xf numFmtId="0" fontId="0" fillId="51" borderId="558" xfId="0" applyFill="1" applyBorder="1">
      <alignment horizontal="center" vertical="center"/>
    </xf>
    <xf numFmtId="1" fontId="0" fillId="51" borderId="454" xfId="32" applyNumberFormat="1" applyFont="1" applyFill="1" applyBorder="1" applyAlignment="1">
      <alignment horizontal="center" vertical="center"/>
    </xf>
    <xf numFmtId="0" fontId="5" fillId="0" borderId="559" xfId="0" applyFont="1" applyBorder="1" applyAlignment="1" applyProtection="1">
      <alignment horizontal="center"/>
      <protection locked="0"/>
    </xf>
    <xf numFmtId="0" fontId="0" fillId="0" borderId="560" xfId="0" applyBorder="1" applyAlignment="1">
      <alignment horizontal="left" vertical="center"/>
    </xf>
    <xf numFmtId="49" fontId="0" fillId="53" borderId="544" xfId="0" applyNumberFormat="1" applyFill="1" applyBorder="1">
      <alignment horizontal="center" vertical="center"/>
    </xf>
    <xf numFmtId="0" fontId="0" fillId="0" borderId="544" xfId="0" applyBorder="1">
      <alignment horizontal="center" vertical="center"/>
    </xf>
    <xf numFmtId="0" fontId="0" fillId="52" borderId="544" xfId="20" applyFont="1" applyFill="1" applyBorder="1" applyAlignment="1">
      <alignment horizontal="center" vertical="center"/>
    </xf>
    <xf numFmtId="0" fontId="5" fillId="0" borderId="437" xfId="0" applyFont="1" applyBorder="1" applyAlignment="1" applyProtection="1">
      <alignment horizontal="center"/>
      <protection locked="0"/>
    </xf>
    <xf numFmtId="0" fontId="8" fillId="74" borderId="555" xfId="47" applyBorder="1">
      <alignment horizontal="center" vertical="center"/>
    </xf>
    <xf numFmtId="0" fontId="0" fillId="0" borderId="561" xfId="0" applyBorder="1" applyAlignment="1">
      <alignment horizontal="left" vertical="center"/>
    </xf>
    <xf numFmtId="0" fontId="5" fillId="0" borderId="544" xfId="0" applyFont="1" applyBorder="1" applyAlignment="1" applyProtection="1">
      <alignment horizontal="center"/>
      <protection locked="0"/>
    </xf>
    <xf numFmtId="0" fontId="0" fillId="51" borderId="555" xfId="47" applyFont="1" applyFill="1" applyBorder="1">
      <alignment horizontal="center" vertical="center"/>
    </xf>
    <xf numFmtId="0" fontId="0" fillId="93" borderId="432" xfId="0" applyFill="1" applyBorder="1">
      <alignment horizontal="center" vertical="center"/>
    </xf>
    <xf numFmtId="0" fontId="0" fillId="0" borderId="432" xfId="0" applyBorder="1">
      <alignment horizontal="center" vertical="center"/>
    </xf>
    <xf numFmtId="0" fontId="0" fillId="0" borderId="399" xfId="0" applyBorder="1">
      <alignment horizontal="center" vertical="center"/>
    </xf>
    <xf numFmtId="20" fontId="0" fillId="0" borderId="559" xfId="0" applyNumberFormat="1" applyBorder="1" applyAlignment="1">
      <alignment horizontal="left"/>
    </xf>
    <xf numFmtId="0" fontId="0" fillId="0" borderId="562" xfId="0" applyBorder="1">
      <alignment horizontal="center" vertical="center"/>
    </xf>
    <xf numFmtId="0" fontId="0" fillId="0" borderId="561" xfId="0" applyBorder="1">
      <alignment horizontal="center" vertical="center"/>
    </xf>
    <xf numFmtId="0" fontId="0" fillId="55" borderId="544" xfId="47" applyFont="1" applyFill="1" applyBorder="1">
      <alignment horizontal="center" vertical="center"/>
    </xf>
    <xf numFmtId="0" fontId="59" fillId="0" borderId="554" xfId="0" applyFont="1" applyBorder="1" applyAlignment="1"/>
    <xf numFmtId="0" fontId="8" fillId="54" borderId="217" xfId="50" applyBorder="1">
      <alignment horizontal="center" vertical="center"/>
    </xf>
    <xf numFmtId="0" fontId="60" fillId="0" borderId="563" xfId="0" applyFont="1" applyBorder="1" applyAlignment="1">
      <alignment horizontal="left" vertical="center"/>
    </xf>
    <xf numFmtId="0" fontId="0" fillId="0" borderId="554" xfId="51" applyFont="1" applyFill="1" applyBorder="1">
      <alignment horizontal="center" vertical="center"/>
    </xf>
    <xf numFmtId="0" fontId="8" fillId="0" borderId="554" xfId="53" applyBorder="1">
      <alignment horizontal="center" vertical="center"/>
    </xf>
    <xf numFmtId="0" fontId="8" fillId="52" borderId="554" xfId="56" applyFill="1" applyBorder="1">
      <alignment horizontal="center" vertical="center"/>
    </xf>
    <xf numFmtId="49" fontId="0" fillId="51" borderId="554" xfId="0" applyNumberFormat="1" applyFill="1" applyBorder="1">
      <alignment horizontal="center" vertical="center"/>
    </xf>
    <xf numFmtId="1" fontId="0" fillId="51" borderId="554" xfId="32" applyNumberFormat="1" applyFont="1" applyFill="1" applyBorder="1" applyAlignment="1">
      <alignment horizontal="center" vertical="center"/>
    </xf>
    <xf numFmtId="0" fontId="0" fillId="51" borderId="554" xfId="0" applyFill="1" applyBorder="1">
      <alignment horizontal="center" vertical="center"/>
    </xf>
    <xf numFmtId="0" fontId="0" fillId="0" borderId="554" xfId="0" applyBorder="1">
      <alignment horizontal="center" vertical="center"/>
    </xf>
    <xf numFmtId="0" fontId="0" fillId="0" borderId="564" xfId="0" applyBorder="1">
      <alignment horizontal="center" vertical="center"/>
    </xf>
    <xf numFmtId="0" fontId="0" fillId="51" borderId="217" xfId="0" applyFill="1" applyBorder="1" applyAlignment="1" applyProtection="1">
      <alignment horizontal="left" vertical="center"/>
      <protection locked="0"/>
    </xf>
    <xf numFmtId="0" fontId="0" fillId="53" borderId="217" xfId="0" applyFill="1" applyBorder="1">
      <alignment horizontal="center" vertical="center"/>
    </xf>
    <xf numFmtId="49" fontId="0" fillId="55" borderId="549" xfId="0" applyNumberFormat="1" applyFill="1" applyBorder="1">
      <alignment horizontal="center" vertical="center"/>
    </xf>
    <xf numFmtId="0" fontId="0" fillId="51" borderId="563" xfId="0" applyFill="1" applyBorder="1" applyAlignment="1" applyProtection="1">
      <alignment horizontal="left" vertical="center"/>
      <protection locked="0"/>
    </xf>
    <xf numFmtId="0" fontId="8" fillId="53" borderId="549" xfId="43" applyBorder="1">
      <alignment horizontal="center" vertical="center"/>
    </xf>
    <xf numFmtId="0" fontId="65" fillId="0" borderId="554" xfId="0" applyFont="1" applyBorder="1" applyAlignment="1" applyProtection="1">
      <alignment horizontal="left"/>
      <protection locked="0"/>
    </xf>
    <xf numFmtId="0" fontId="0" fillId="68" borderId="557" xfId="0" applyFill="1" applyBorder="1">
      <alignment horizontal="center" vertical="center"/>
    </xf>
    <xf numFmtId="0" fontId="0" fillId="51" borderId="557" xfId="0" applyFill="1" applyBorder="1">
      <alignment horizontal="center" vertical="center"/>
    </xf>
    <xf numFmtId="0" fontId="0" fillId="0" borderId="549" xfId="0" applyBorder="1" applyAlignment="1"/>
    <xf numFmtId="0" fontId="5" fillId="0" borderId="565" xfId="0" applyFont="1" applyBorder="1" applyAlignment="1">
      <alignment horizontal="center"/>
    </xf>
    <xf numFmtId="0" fontId="8" fillId="0" borderId="559" xfId="0" applyFont="1" applyBorder="1" applyAlignment="1">
      <alignment horizontal="left" vertical="center"/>
    </xf>
    <xf numFmtId="0" fontId="0" fillId="0" borderId="566" xfId="0" applyBorder="1" applyAlignment="1">
      <alignment horizontal="center"/>
    </xf>
    <xf numFmtId="0" fontId="5" fillId="0" borderId="559" xfId="0" applyFont="1" applyBorder="1" applyAlignment="1">
      <alignment horizontal="left"/>
    </xf>
    <xf numFmtId="0" fontId="0" fillId="0" borderId="548" xfId="0" applyBorder="1" applyAlignment="1">
      <alignment horizontal="left"/>
    </xf>
    <xf numFmtId="0" fontId="5" fillId="0" borderId="548" xfId="0" applyFont="1" applyBorder="1" applyAlignment="1">
      <alignment horizontal="left"/>
    </xf>
    <xf numFmtId="0" fontId="0" fillId="0" borderId="559" xfId="0" applyBorder="1" applyAlignment="1">
      <alignment horizontal="center"/>
    </xf>
    <xf numFmtId="0" fontId="0" fillId="0" borderId="567" xfId="0" applyBorder="1" applyAlignment="1"/>
    <xf numFmtId="0" fontId="0" fillId="0" borderId="568" xfId="0" applyBorder="1" applyAlignment="1">
      <alignment horizontal="center"/>
    </xf>
    <xf numFmtId="0" fontId="5" fillId="0" borderId="569" xfId="0" applyFont="1" applyBorder="1" applyAlignment="1">
      <alignment horizontal="left"/>
    </xf>
    <xf numFmtId="0" fontId="8" fillId="0" borderId="570" xfId="0" applyFont="1" applyBorder="1" applyAlignment="1">
      <alignment horizontal="left" vertical="center"/>
    </xf>
    <xf numFmtId="0" fontId="8" fillId="0" borderId="570" xfId="0" applyFont="1" applyBorder="1">
      <alignment horizontal="center" vertical="center"/>
    </xf>
    <xf numFmtId="0" fontId="8" fillId="0" borderId="571" xfId="0" applyFont="1" applyBorder="1">
      <alignment horizontal="center" vertical="center"/>
    </xf>
    <xf numFmtId="0" fontId="8" fillId="0" borderId="569" xfId="0" applyFont="1" applyBorder="1" applyAlignment="1">
      <alignment horizontal="left" vertical="center"/>
    </xf>
    <xf numFmtId="0" fontId="8" fillId="0" borderId="570" xfId="0" applyFont="1" applyBorder="1" applyAlignment="1">
      <alignment horizontal="left"/>
    </xf>
    <xf numFmtId="0" fontId="8" fillId="0" borderId="571" xfId="0" applyFont="1" applyBorder="1" applyAlignment="1">
      <alignment horizontal="left" vertical="center"/>
    </xf>
    <xf numFmtId="0" fontId="0" fillId="0" borderId="572" xfId="0" applyBorder="1" applyAlignment="1"/>
    <xf numFmtId="0" fontId="5" fillId="43" borderId="544" xfId="0" applyFont="1" applyFill="1" applyBorder="1" applyAlignment="1">
      <alignment horizontal="center"/>
    </xf>
    <xf numFmtId="0" fontId="0" fillId="51" borderId="544" xfId="0" applyFill="1" applyBorder="1" applyAlignment="1">
      <alignment horizontal="left" vertical="center"/>
    </xf>
    <xf numFmtId="0" fontId="0" fillId="51" borderId="573" xfId="0" applyFill="1" applyBorder="1" applyAlignment="1" applyProtection="1">
      <alignment horizontal="left" vertical="center"/>
      <protection locked="0"/>
    </xf>
    <xf numFmtId="0" fontId="0" fillId="51" borderId="544" xfId="51" applyFont="1" applyFill="1" applyBorder="1">
      <alignment horizontal="center" vertical="center"/>
    </xf>
    <xf numFmtId="0" fontId="0" fillId="51" borderId="544" xfId="53" applyFont="1" applyFill="1" applyBorder="1">
      <alignment horizontal="center" vertical="center"/>
    </xf>
    <xf numFmtId="0" fontId="5" fillId="43" borderId="555" xfId="0" applyFont="1" applyFill="1" applyBorder="1" applyAlignment="1">
      <alignment horizontal="center"/>
    </xf>
    <xf numFmtId="0" fontId="8" fillId="75" borderId="555" xfId="56" applyBorder="1">
      <alignment horizontal="center" vertical="center"/>
    </xf>
    <xf numFmtId="0" fontId="0" fillId="0" borderId="555" xfId="0" applyBorder="1">
      <alignment horizontal="center" vertical="center"/>
    </xf>
    <xf numFmtId="0" fontId="0" fillId="84" borderId="555" xfId="47" applyFont="1" applyFill="1" applyBorder="1">
      <alignment horizontal="center" vertical="center"/>
    </xf>
    <xf numFmtId="0" fontId="0" fillId="51" borderId="555" xfId="32" applyFont="1" applyFill="1" applyBorder="1" applyAlignment="1">
      <alignment horizontal="center" vertical="center"/>
    </xf>
    <xf numFmtId="0" fontId="8" fillId="52" borderId="555" xfId="48" applyBorder="1">
      <alignment horizontal="center" vertical="center"/>
    </xf>
    <xf numFmtId="0" fontId="0" fillId="0" borderId="569" xfId="0" applyBorder="1" applyAlignment="1">
      <alignment horizontal="left"/>
    </xf>
    <xf numFmtId="0" fontId="0" fillId="0" borderId="570" xfId="0" applyBorder="1" applyAlignment="1"/>
    <xf numFmtId="0" fontId="0" fillId="0" borderId="571" xfId="0" applyBorder="1" applyAlignment="1">
      <alignment horizontal="left"/>
    </xf>
    <xf numFmtId="0" fontId="0" fillId="0" borderId="570" xfId="0" applyBorder="1" applyAlignment="1">
      <alignment horizontal="left"/>
    </xf>
    <xf numFmtId="0" fontId="0" fillId="0" borderId="569" xfId="0" applyBorder="1" applyAlignment="1">
      <alignment horizontal="center"/>
    </xf>
    <xf numFmtId="0" fontId="0" fillId="0" borderId="549" xfId="0" applyBorder="1" applyAlignment="1">
      <alignment horizontal="left" vertical="center"/>
    </xf>
    <xf numFmtId="0" fontId="0" fillId="0" borderId="416" xfId="48" applyFont="1" applyFill="1" applyBorder="1">
      <alignment horizontal="center" vertical="center"/>
    </xf>
    <xf numFmtId="0" fontId="5" fillId="43" borderId="549" xfId="0" applyFont="1" applyFill="1" applyBorder="1" applyAlignment="1">
      <alignment horizontal="center"/>
    </xf>
    <xf numFmtId="0" fontId="0" fillId="53" borderId="549" xfId="44" applyFont="1" applyFill="1" applyBorder="1">
      <alignment horizontal="center" vertical="center"/>
    </xf>
    <xf numFmtId="0" fontId="0" fillId="55" borderId="549" xfId="43" applyFont="1" applyFill="1" applyBorder="1">
      <alignment horizontal="center" vertical="center"/>
    </xf>
    <xf numFmtId="0" fontId="0" fillId="55" borderId="549" xfId="48" applyFont="1" applyFill="1" applyBorder="1">
      <alignment horizontal="center" vertical="center"/>
    </xf>
    <xf numFmtId="0" fontId="0" fillId="51" borderId="549" xfId="46" applyFont="1" applyFill="1" applyBorder="1">
      <alignment horizontal="center" vertical="center"/>
    </xf>
    <xf numFmtId="0" fontId="0" fillId="55" borderId="549" xfId="44" applyFont="1" applyFill="1" applyBorder="1">
      <alignment horizontal="center" vertical="center"/>
    </xf>
    <xf numFmtId="0" fontId="0" fillId="51" borderId="549" xfId="53" applyFont="1" applyFill="1" applyBorder="1">
      <alignment horizontal="center" vertical="center"/>
    </xf>
    <xf numFmtId="0" fontId="8" fillId="52" borderId="549" xfId="48" applyBorder="1">
      <alignment horizontal="center" vertical="center"/>
    </xf>
    <xf numFmtId="0" fontId="0" fillId="0" borderId="549" xfId="44" applyFont="1" applyFill="1" applyBorder="1">
      <alignment horizontal="center" vertical="center"/>
    </xf>
    <xf numFmtId="0" fontId="0" fillId="51" borderId="563" xfId="0" applyFill="1" applyBorder="1" applyAlignment="1">
      <alignment horizontal="left" vertical="center"/>
    </xf>
    <xf numFmtId="0" fontId="0" fillId="55" borderId="217" xfId="0" applyFill="1" applyBorder="1">
      <alignment horizontal="center" vertical="center"/>
    </xf>
    <xf numFmtId="0" fontId="0" fillId="55" borderId="217" xfId="44" applyFont="1" applyFill="1" applyBorder="1">
      <alignment horizontal="center" vertical="center"/>
    </xf>
    <xf numFmtId="0" fontId="8" fillId="55" borderId="217" xfId="45" applyBorder="1">
      <alignment horizontal="center" vertical="center"/>
    </xf>
    <xf numFmtId="0" fontId="4" fillId="0" borderId="559" xfId="0" applyFont="1" applyBorder="1" applyAlignment="1">
      <alignment horizontal="left"/>
    </xf>
    <xf numFmtId="0" fontId="0" fillId="0" borderId="567" xfId="0" applyBorder="1">
      <alignment horizontal="center" vertical="center"/>
    </xf>
    <xf numFmtId="167" fontId="10" fillId="0" borderId="569" xfId="0" applyNumberFormat="1" applyFont="1" applyBorder="1" applyAlignment="1">
      <alignment horizontal="center"/>
    </xf>
    <xf numFmtId="0" fontId="0" fillId="0" borderId="572" xfId="0" applyBorder="1">
      <alignment horizontal="center" vertical="center"/>
    </xf>
    <xf numFmtId="0" fontId="8" fillId="51" borderId="544" xfId="0" applyFont="1" applyFill="1" applyBorder="1" applyAlignment="1">
      <alignment vertical="center"/>
    </xf>
    <xf numFmtId="0" fontId="0" fillId="51" borderId="544" xfId="0" applyFill="1" applyBorder="1" applyAlignment="1">
      <alignment vertical="center"/>
    </xf>
    <xf numFmtId="0" fontId="0" fillId="0" borderId="563" xfId="0" applyBorder="1">
      <alignment horizontal="center" vertical="center"/>
    </xf>
    <xf numFmtId="0" fontId="4" fillId="0" borderId="563" xfId="0" applyFont="1" applyBorder="1">
      <alignment horizontal="center" vertical="center"/>
    </xf>
    <xf numFmtId="0" fontId="4" fillId="0" borderId="560" xfId="0" applyFont="1" applyBorder="1" applyAlignment="1">
      <alignment horizontal="left" vertical="center"/>
    </xf>
    <xf numFmtId="0" fontId="4" fillId="0" borderId="563" xfId="0" applyFont="1" applyBorder="1" applyAlignment="1">
      <alignment horizontal="left" vertical="center"/>
    </xf>
    <xf numFmtId="0" fontId="4" fillId="0" borderId="560" xfId="0" applyFont="1" applyBorder="1">
      <alignment horizontal="center" vertical="center"/>
    </xf>
    <xf numFmtId="49" fontId="4" fillId="0" borderId="563" xfId="0" applyNumberFormat="1" applyFont="1" applyBorder="1">
      <alignment horizontal="center" vertical="center"/>
    </xf>
    <xf numFmtId="0" fontId="4" fillId="0" borderId="562" xfId="0" applyFont="1" applyBorder="1" applyAlignment="1">
      <alignment horizontal="left" vertical="center"/>
    </xf>
    <xf numFmtId="0" fontId="4" fillId="0" borderId="562" xfId="0" applyFont="1" applyBorder="1">
      <alignment horizontal="center" vertical="center"/>
    </xf>
    <xf numFmtId="49" fontId="8" fillId="0" borderId="563" xfId="0" applyNumberFormat="1" applyFont="1" applyBorder="1">
      <alignment horizontal="center" vertical="center"/>
    </xf>
    <xf numFmtId="0" fontId="8" fillId="0" borderId="560" xfId="0" applyFont="1" applyBorder="1">
      <alignment horizontal="center" vertical="center"/>
    </xf>
    <xf numFmtId="0" fontId="15" fillId="0" borderId="560" xfId="0" applyFont="1" applyBorder="1">
      <alignment horizontal="center" vertical="center"/>
    </xf>
    <xf numFmtId="49" fontId="15" fillId="0" borderId="563" xfId="0" applyNumberFormat="1" applyFont="1" applyBorder="1">
      <alignment horizontal="center" vertical="center"/>
    </xf>
    <xf numFmtId="0" fontId="15" fillId="0" borderId="562" xfId="0" applyFont="1" applyBorder="1">
      <alignment horizontal="center" vertical="center"/>
    </xf>
    <xf numFmtId="49" fontId="0" fillId="0" borderId="564" xfId="0" applyNumberFormat="1" applyBorder="1">
      <alignment horizontal="center" vertical="center"/>
    </xf>
    <xf numFmtId="0" fontId="0" fillId="0" borderId="574" xfId="0" applyBorder="1">
      <alignment horizontal="center" vertical="center"/>
    </xf>
    <xf numFmtId="49" fontId="0" fillId="0" borderId="562" xfId="0" applyNumberFormat="1" applyBorder="1">
      <alignment horizontal="center" vertical="center"/>
    </xf>
    <xf numFmtId="49" fontId="0" fillId="0" borderId="563" xfId="0" applyNumberFormat="1" applyBorder="1">
      <alignment horizontal="center" vertical="center"/>
    </xf>
    <xf numFmtId="0" fontId="10" fillId="0" borderId="575" xfId="0" applyFont="1" applyBorder="1">
      <alignment horizontal="center" vertical="center"/>
    </xf>
    <xf numFmtId="0" fontId="10" fillId="0" borderId="576" xfId="0" applyFont="1" applyBorder="1">
      <alignment horizontal="center" vertical="center"/>
    </xf>
    <xf numFmtId="0" fontId="7" fillId="0" borderId="554" xfId="0" applyFont="1" applyBorder="1" applyAlignment="1">
      <alignment horizontal="center"/>
    </xf>
    <xf numFmtId="0" fontId="0" fillId="51" borderId="549" xfId="0" applyFill="1" applyBorder="1" applyAlignment="1">
      <alignment horizontal="left" vertical="center" wrapText="1"/>
    </xf>
    <xf numFmtId="0" fontId="0" fillId="0" borderId="549" xfId="0" applyBorder="1" applyAlignment="1">
      <alignment vertical="center"/>
    </xf>
    <xf numFmtId="49" fontId="0" fillId="52" borderId="549" xfId="0" applyNumberFormat="1" applyFill="1" applyBorder="1">
      <alignment horizontal="center" vertical="center"/>
    </xf>
    <xf numFmtId="49" fontId="0" fillId="53" borderId="549" xfId="0" applyNumberFormat="1" applyFill="1" applyBorder="1">
      <alignment horizontal="center" vertical="center"/>
    </xf>
    <xf numFmtId="0" fontId="8" fillId="54" borderId="549" xfId="50" applyBorder="1">
      <alignment horizontal="center" vertical="center"/>
    </xf>
    <xf numFmtId="49" fontId="0" fillId="51" borderId="563" xfId="0" applyNumberFormat="1" applyFill="1" applyBorder="1">
      <alignment horizontal="center" vertical="center"/>
    </xf>
    <xf numFmtId="0" fontId="8" fillId="51" borderId="549" xfId="48" applyFill="1" applyBorder="1">
      <alignment horizontal="center" vertical="center"/>
    </xf>
    <xf numFmtId="0" fontId="0" fillId="0" borderId="563" xfId="0" applyBorder="1" applyAlignment="1">
      <alignment vertical="center"/>
    </xf>
    <xf numFmtId="0" fontId="52" fillId="56" borderId="549" xfId="46" applyBorder="1">
      <alignment horizontal="center" vertical="center"/>
    </xf>
    <xf numFmtId="0" fontId="8" fillId="73" borderId="549" xfId="44" applyBorder="1">
      <alignment horizontal="center" vertical="center"/>
    </xf>
    <xf numFmtId="49" fontId="71" fillId="52" borderId="549" xfId="0" applyNumberFormat="1" applyFont="1" applyFill="1" applyBorder="1">
      <alignment horizontal="center" vertical="center"/>
    </xf>
    <xf numFmtId="0" fontId="0" fillId="51" borderId="549" xfId="0" applyFill="1" applyBorder="1" applyAlignment="1">
      <alignment horizontal="left" vertical="center"/>
    </xf>
    <xf numFmtId="0" fontId="8" fillId="0" borderId="549" xfId="43" applyFill="1" applyBorder="1">
      <alignment horizontal="center" vertical="center"/>
    </xf>
    <xf numFmtId="49" fontId="0" fillId="56" borderId="549" xfId="0" applyNumberFormat="1" applyFill="1" applyBorder="1">
      <alignment horizontal="center" vertical="center"/>
    </xf>
    <xf numFmtId="0" fontId="5" fillId="0" borderId="549" xfId="0" applyFont="1" applyBorder="1" applyAlignment="1">
      <alignment horizontal="center"/>
    </xf>
    <xf numFmtId="0" fontId="5" fillId="0" borderId="554" xfId="0" applyFont="1" applyBorder="1" applyAlignment="1">
      <alignment horizontal="center"/>
    </xf>
    <xf numFmtId="0" fontId="0" fillId="0" borderId="548" xfId="0" applyBorder="1" applyAlignment="1">
      <alignment horizontal="left" vertical="center"/>
    </xf>
    <xf numFmtId="0" fontId="0" fillId="0" borderId="577" xfId="0" applyBorder="1" applyAlignment="1">
      <alignment horizontal="left" vertical="center"/>
    </xf>
    <xf numFmtId="49" fontId="0" fillId="0" borderId="559" xfId="0" applyNumberFormat="1" applyBorder="1" applyAlignment="1">
      <alignment horizontal="left"/>
    </xf>
    <xf numFmtId="49" fontId="0" fillId="0" borderId="559" xfId="0" applyNumberFormat="1" applyBorder="1" applyAlignment="1">
      <alignment horizontal="left" vertical="center"/>
    </xf>
    <xf numFmtId="0" fontId="4" fillId="0" borderId="549" xfId="0" applyFont="1" applyBorder="1" applyAlignment="1">
      <alignment horizontal="center"/>
    </xf>
    <xf numFmtId="0" fontId="0" fillId="0" borderId="578" xfId="0" applyBorder="1" applyAlignment="1">
      <alignment horizontal="left" vertical="center"/>
    </xf>
    <xf numFmtId="0" fontId="0" fillId="0" borderId="569" xfId="0" applyBorder="1" applyAlignment="1">
      <alignment horizontal="left" vertical="center"/>
    </xf>
    <xf numFmtId="49" fontId="0" fillId="0" borderId="569" xfId="0" applyNumberFormat="1" applyBorder="1" applyAlignment="1">
      <alignment horizontal="left"/>
    </xf>
    <xf numFmtId="0" fontId="5" fillId="0" borderId="549" xfId="0" applyFont="1" applyBorder="1" applyAlignment="1" applyProtection="1">
      <alignment horizontal="center"/>
      <protection locked="0"/>
    </xf>
    <xf numFmtId="0" fontId="5" fillId="0" borderId="549" xfId="0" applyFont="1" applyBorder="1" applyAlignment="1">
      <alignment horizontal="left"/>
    </xf>
    <xf numFmtId="0" fontId="0" fillId="0" borderId="549" xfId="0" applyBorder="1" applyAlignment="1" applyProtection="1">
      <alignment horizontal="center"/>
      <protection locked="0"/>
    </xf>
    <xf numFmtId="0" fontId="0" fillId="0" borderId="549" xfId="0" applyBorder="1" applyAlignment="1">
      <alignment horizontal="left"/>
    </xf>
    <xf numFmtId="0" fontId="5" fillId="76" borderId="549" xfId="0" applyFont="1" applyFill="1" applyBorder="1" applyAlignment="1">
      <alignment vertical="center"/>
    </xf>
    <xf numFmtId="0" fontId="0" fillId="76" borderId="549" xfId="43" applyFont="1" applyFill="1" applyBorder="1">
      <alignment horizontal="center" vertical="center"/>
    </xf>
    <xf numFmtId="0" fontId="0" fillId="76" borderId="549" xfId="0" applyFill="1" applyBorder="1">
      <alignment horizontal="center" vertical="center"/>
    </xf>
    <xf numFmtId="0" fontId="4" fillId="0" borderId="549" xfId="0" applyFont="1" applyBorder="1" applyAlignment="1" applyProtection="1">
      <alignment horizontal="center"/>
      <protection locked="0"/>
    </xf>
    <xf numFmtId="0" fontId="8" fillId="73" borderId="544" xfId="44" applyBorder="1">
      <alignment horizontal="center" vertical="center"/>
    </xf>
    <xf numFmtId="0" fontId="8" fillId="54" borderId="544" xfId="50" applyBorder="1">
      <alignment horizontal="center" vertical="center"/>
    </xf>
    <xf numFmtId="0" fontId="0" fillId="51" borderId="544" xfId="50" applyFont="1" applyFill="1" applyBorder="1">
      <alignment horizontal="center" vertical="center"/>
    </xf>
    <xf numFmtId="0" fontId="37" fillId="17" borderId="579" xfId="34" applyBorder="1" applyAlignment="1">
      <alignment horizontal="center" vertical="center"/>
    </xf>
    <xf numFmtId="0" fontId="5" fillId="0" borderId="566" xfId="0" applyFont="1" applyBorder="1" applyAlignment="1">
      <alignment horizontal="center"/>
    </xf>
    <xf numFmtId="0" fontId="5" fillId="0" borderId="568" xfId="0" applyFont="1" applyBorder="1" applyAlignment="1">
      <alignment horizontal="center"/>
    </xf>
    <xf numFmtId="0" fontId="0" fillId="43" borderId="544" xfId="0" applyFill="1" applyBorder="1" applyAlignment="1">
      <alignment horizontal="center"/>
    </xf>
    <xf numFmtId="0" fontId="47" fillId="0" borderId="544" xfId="0" applyFont="1" applyBorder="1" applyAlignment="1">
      <alignment horizontal="left" vertical="center"/>
    </xf>
    <xf numFmtId="0" fontId="0" fillId="24" borderId="544" xfId="0" applyFill="1" applyBorder="1" applyAlignment="1" applyProtection="1">
      <alignment horizontal="center"/>
      <protection locked="0"/>
    </xf>
    <xf numFmtId="0" fontId="5" fillId="77" borderId="544" xfId="0" applyFont="1" applyFill="1" applyBorder="1">
      <alignment horizontal="center" vertical="center"/>
    </xf>
    <xf numFmtId="0" fontId="0" fillId="76" borderId="544" xfId="0" applyFill="1" applyBorder="1">
      <alignment horizontal="center" vertical="center"/>
    </xf>
    <xf numFmtId="0" fontId="0" fillId="0" borderId="544" xfId="0" applyBorder="1" applyAlignment="1" applyProtection="1">
      <alignment horizontal="center"/>
      <protection locked="0"/>
    </xf>
    <xf numFmtId="49" fontId="52" fillId="56" borderId="544" xfId="0" applyNumberFormat="1" applyFont="1" applyFill="1" applyBorder="1">
      <alignment horizontal="center" vertical="center"/>
    </xf>
    <xf numFmtId="0" fontId="0" fillId="0" borderId="555" xfId="0" applyBorder="1" applyAlignment="1" applyProtection="1">
      <alignment horizontal="center"/>
      <protection locked="0"/>
    </xf>
    <xf numFmtId="49" fontId="0" fillId="0" borderId="559" xfId="0" applyNumberFormat="1" applyBorder="1" applyAlignment="1"/>
    <xf numFmtId="0" fontId="0" fillId="0" borderId="549" xfId="0" applyBorder="1" applyAlignment="1" applyProtection="1">
      <alignment horizontal="left"/>
      <protection locked="0"/>
    </xf>
    <xf numFmtId="0" fontId="0" fillId="0" borderId="554" xfId="0" applyBorder="1" applyAlignment="1" applyProtection="1">
      <alignment horizontal="center"/>
      <protection locked="0"/>
    </xf>
    <xf numFmtId="49" fontId="14" fillId="51" borderId="431" xfId="0" applyNumberFormat="1" applyFont="1" applyFill="1" applyBorder="1">
      <alignment horizontal="center" vertical="center"/>
    </xf>
    <xf numFmtId="0" fontId="7" fillId="44" borderId="559" xfId="0" applyFont="1" applyFill="1" applyBorder="1" applyAlignment="1">
      <alignment horizontal="left"/>
    </xf>
    <xf numFmtId="0" fontId="7" fillId="25" borderId="559" xfId="0" applyFont="1" applyFill="1" applyBorder="1">
      <alignment horizontal="center" vertical="center"/>
    </xf>
    <xf numFmtId="0" fontId="7" fillId="29" borderId="559" xfId="0" applyFont="1" applyFill="1" applyBorder="1" applyAlignment="1">
      <alignment horizontal="left"/>
    </xf>
    <xf numFmtId="0" fontId="0" fillId="29" borderId="443" xfId="0" applyFill="1" applyBorder="1">
      <alignment horizontal="center" vertical="center"/>
    </xf>
    <xf numFmtId="0" fontId="8" fillId="29" borderId="548" xfId="0" applyFont="1" applyFill="1" applyBorder="1">
      <alignment horizontal="center" vertical="center"/>
    </xf>
    <xf numFmtId="0" fontId="7" fillId="37" borderId="559" xfId="0" applyFont="1" applyFill="1" applyBorder="1" applyAlignment="1">
      <alignment horizontal="left"/>
    </xf>
    <xf numFmtId="0" fontId="7" fillId="45" borderId="559" xfId="0" applyFont="1" applyFill="1" applyBorder="1" applyAlignment="1">
      <alignment horizontal="left"/>
    </xf>
    <xf numFmtId="0" fontId="8" fillId="77" borderId="548" xfId="0" applyFont="1" applyFill="1" applyBorder="1">
      <alignment horizontal="center" vertical="center"/>
    </xf>
    <xf numFmtId="0" fontId="7" fillId="24" borderId="559" xfId="0" applyFont="1" applyFill="1" applyBorder="1">
      <alignment horizontal="center" vertical="center"/>
    </xf>
    <xf numFmtId="0" fontId="7" fillId="40" borderId="559" xfId="0" applyFont="1" applyFill="1" applyBorder="1" applyAlignment="1">
      <alignment horizontal="left"/>
    </xf>
    <xf numFmtId="0" fontId="0" fillId="40" borderId="548" xfId="0" applyFill="1" applyBorder="1">
      <alignment horizontal="center" vertical="center"/>
    </xf>
    <xf numFmtId="0" fontId="62" fillId="58" borderId="544" xfId="49" applyBorder="1">
      <alignment horizontal="center" vertical="center"/>
    </xf>
    <xf numFmtId="0" fontId="62" fillId="59" borderId="559" xfId="51" applyBorder="1" applyAlignment="1">
      <alignment horizontal="center" vertical="center"/>
    </xf>
    <xf numFmtId="0" fontId="62" fillId="59" borderId="548" xfId="51" applyBorder="1" applyAlignment="1">
      <alignment horizontal="center" vertical="center"/>
    </xf>
    <xf numFmtId="0" fontId="8" fillId="0" borderId="559" xfId="0" applyFont="1" applyBorder="1" applyAlignment="1">
      <alignment horizontal="left"/>
    </xf>
    <xf numFmtId="0" fontId="8" fillId="48" borderId="559" xfId="0" applyFont="1" applyFill="1" applyBorder="1" applyAlignment="1">
      <alignment horizontal="left" vertical="center"/>
    </xf>
    <xf numFmtId="0" fontId="0" fillId="75" borderId="563" xfId="56" applyFont="1" applyBorder="1" applyAlignment="1">
      <alignment horizontal="center" vertical="center"/>
    </xf>
    <xf numFmtId="0" fontId="0" fillId="75" borderId="562" xfId="56" applyFont="1" applyBorder="1" applyAlignment="1">
      <alignment horizontal="center" vertical="center"/>
    </xf>
    <xf numFmtId="0" fontId="8" fillId="0" borderId="544" xfId="0" applyFont="1" applyBorder="1">
      <alignment horizontal="center" vertical="center"/>
    </xf>
    <xf numFmtId="0" fontId="5" fillId="0" borderId="544" xfId="0" applyFont="1" applyBorder="1" applyAlignment="1">
      <alignment horizontal="center"/>
    </xf>
    <xf numFmtId="0" fontId="5" fillId="0" borderId="563" xfId="0" applyFont="1" applyBorder="1" applyAlignment="1">
      <alignment horizontal="left" vertical="center"/>
    </xf>
    <xf numFmtId="0" fontId="60" fillId="0" borderId="580" xfId="0" applyFont="1" applyBorder="1" applyAlignment="1">
      <alignment horizontal="left" vertical="center"/>
    </xf>
    <xf numFmtId="0" fontId="5" fillId="0" borderId="562" xfId="0" applyFont="1" applyBorder="1" applyAlignment="1">
      <alignment horizontal="left" vertical="center"/>
    </xf>
    <xf numFmtId="0" fontId="0" fillId="0" borderId="560" xfId="0" applyBorder="1">
      <alignment horizontal="center" vertical="center"/>
    </xf>
    <xf numFmtId="0" fontId="14" fillId="0" borderId="562" xfId="0" applyFont="1" applyBorder="1">
      <alignment horizontal="center" vertical="center"/>
    </xf>
    <xf numFmtId="0" fontId="0" fillId="0" borderId="562" xfId="0" applyBorder="1" applyAlignment="1">
      <alignment horizontal="left" vertical="center"/>
    </xf>
    <xf numFmtId="0" fontId="60" fillId="0" borderId="564" xfId="0" applyFont="1" applyBorder="1" applyAlignment="1">
      <alignment horizontal="left" vertical="center"/>
    </xf>
    <xf numFmtId="0" fontId="5" fillId="0" borderId="562" xfId="0" applyFont="1" applyBorder="1">
      <alignment horizontal="center" vertical="center"/>
    </xf>
    <xf numFmtId="0" fontId="60" fillId="0" borderId="575" xfId="0" applyFont="1" applyBorder="1" applyAlignment="1">
      <alignment horizontal="left" vertical="center"/>
    </xf>
    <xf numFmtId="0" fontId="0" fillId="76" borderId="404" xfId="43" applyFont="1" applyFill="1" applyBorder="1">
      <alignment horizontal="center" vertical="center"/>
    </xf>
    <xf numFmtId="0" fontId="0" fillId="43" borderId="544" xfId="0" applyFill="1" applyBorder="1" applyAlignment="1" applyProtection="1">
      <alignment horizontal="center"/>
      <protection locked="0"/>
    </xf>
    <xf numFmtId="0" fontId="0" fillId="0" borderId="544" xfId="0" applyBorder="1" applyAlignment="1">
      <alignment horizontal="left" vertical="center"/>
    </xf>
    <xf numFmtId="0" fontId="0" fillId="51" borderId="544" xfId="32" applyFont="1" applyFill="1" applyBorder="1" applyAlignment="1">
      <alignment horizontal="center" vertical="center"/>
    </xf>
    <xf numFmtId="0" fontId="0" fillId="51" borderId="544" xfId="48" applyFont="1" applyFill="1" applyBorder="1">
      <alignment horizontal="center" vertical="center"/>
    </xf>
    <xf numFmtId="0" fontId="0" fillId="51" borderId="544" xfId="43" applyFont="1" applyFill="1" applyBorder="1">
      <alignment horizontal="center" vertical="center"/>
    </xf>
    <xf numFmtId="0" fontId="0" fillId="77" borderId="544" xfId="0" applyFill="1" applyBorder="1">
      <alignment horizontal="center" vertical="center"/>
    </xf>
    <xf numFmtId="0" fontId="8" fillId="53" borderId="544" xfId="43" applyBorder="1">
      <alignment horizontal="center" vertical="center"/>
    </xf>
    <xf numFmtId="0" fontId="0" fillId="53" borderId="544" xfId="43" applyFont="1" applyBorder="1">
      <alignment horizontal="center" vertical="center"/>
    </xf>
    <xf numFmtId="0" fontId="8" fillId="53" borderId="544" xfId="50" applyFill="1" applyBorder="1">
      <alignment horizontal="center" vertical="center"/>
    </xf>
    <xf numFmtId="0" fontId="8" fillId="53" borderId="544" xfId="48" applyFill="1" applyBorder="1">
      <alignment horizontal="center" vertical="center"/>
    </xf>
    <xf numFmtId="0" fontId="8" fillId="0" borderId="544" xfId="0" applyFont="1" applyBorder="1" applyAlignment="1">
      <alignment horizontal="left" vertical="center"/>
    </xf>
    <xf numFmtId="0" fontId="0" fillId="51" borderId="544" xfId="0" applyFill="1" applyBorder="1">
      <alignment horizontal="center" vertical="center"/>
    </xf>
    <xf numFmtId="0" fontId="0" fillId="16" borderId="581" xfId="20" applyFont="1" applyBorder="1" applyAlignment="1">
      <alignment horizontal="center" vertical="center"/>
    </xf>
    <xf numFmtId="0" fontId="8" fillId="16" borderId="581" xfId="20" applyFont="1" applyBorder="1" applyAlignment="1">
      <alignment horizontal="center" vertical="center"/>
    </xf>
    <xf numFmtId="0" fontId="8" fillId="52" borderId="544" xfId="48" applyBorder="1">
      <alignment horizontal="center" vertical="center"/>
    </xf>
    <xf numFmtId="1" fontId="0" fillId="51" borderId="544" xfId="20" applyNumberFormat="1" applyFont="1" applyFill="1" applyBorder="1" applyAlignment="1">
      <alignment horizontal="center" vertical="center"/>
    </xf>
    <xf numFmtId="0" fontId="0" fillId="51" borderId="544" xfId="20" applyFont="1" applyFill="1" applyBorder="1" applyAlignment="1">
      <alignment horizontal="center" vertical="center"/>
    </xf>
    <xf numFmtId="0" fontId="0" fillId="51" borderId="544" xfId="44" applyFont="1" applyFill="1" applyBorder="1">
      <alignment horizontal="center" vertical="center"/>
    </xf>
    <xf numFmtId="1" fontId="0" fillId="51" borderId="544" xfId="0" applyNumberFormat="1" applyFill="1" applyBorder="1">
      <alignment horizontal="center" vertical="center"/>
    </xf>
    <xf numFmtId="1" fontId="0" fillId="53" borderId="544" xfId="0" applyNumberFormat="1" applyFill="1" applyBorder="1">
      <alignment horizontal="center" vertical="center"/>
    </xf>
    <xf numFmtId="0" fontId="8" fillId="100" borderId="544" xfId="44" applyFill="1" applyBorder="1">
      <alignment horizontal="center" vertical="center"/>
    </xf>
    <xf numFmtId="1" fontId="0" fillId="51" borderId="544" xfId="44" applyNumberFormat="1" applyFont="1" applyFill="1" applyBorder="1">
      <alignment horizontal="center" vertical="center"/>
    </xf>
    <xf numFmtId="1" fontId="0" fillId="52" borderId="544" xfId="32" applyNumberFormat="1" applyFont="1" applyFill="1" applyBorder="1" applyAlignment="1">
      <alignment horizontal="center" vertical="center"/>
    </xf>
    <xf numFmtId="1" fontId="0" fillId="51" borderId="544" xfId="32" applyNumberFormat="1" applyFont="1" applyFill="1" applyBorder="1" applyAlignment="1">
      <alignment horizontal="center" vertical="center"/>
    </xf>
    <xf numFmtId="0" fontId="0" fillId="55" borderId="544" xfId="44" applyFont="1" applyFill="1" applyBorder="1">
      <alignment horizontal="center" vertical="center"/>
    </xf>
    <xf numFmtId="1" fontId="0" fillId="55" borderId="544" xfId="0" applyNumberFormat="1" applyFill="1" applyBorder="1">
      <alignment horizontal="center" vertical="center"/>
    </xf>
    <xf numFmtId="0" fontId="0" fillId="0" borderId="555" xfId="0" applyBorder="1" applyAlignment="1">
      <alignment horizontal="left" vertical="center"/>
    </xf>
    <xf numFmtId="0" fontId="0" fillId="85" borderId="544" xfId="48" applyFont="1" applyFill="1" applyBorder="1">
      <alignment horizontal="center" vertical="center"/>
    </xf>
    <xf numFmtId="0" fontId="5" fillId="77" borderId="432" xfId="0" applyFont="1" applyFill="1" applyBorder="1" applyAlignment="1" applyProtection="1">
      <alignment horizontal="left"/>
      <protection locked="0"/>
    </xf>
    <xf numFmtId="0" fontId="5" fillId="77" borderId="432" xfId="0" applyFont="1" applyFill="1" applyBorder="1">
      <alignment horizontal="center" vertical="center"/>
    </xf>
    <xf numFmtId="0" fontId="7" fillId="76" borderId="432" xfId="0" applyFont="1" applyFill="1" applyBorder="1">
      <alignment horizontal="center" vertical="center"/>
    </xf>
    <xf numFmtId="0" fontId="0" fillId="43" borderId="582" xfId="0" applyFill="1" applyBorder="1" applyAlignment="1" applyProtection="1">
      <alignment horizontal="center"/>
      <protection locked="0"/>
    </xf>
    <xf numFmtId="1" fontId="0" fillId="51" borderId="559" xfId="0" applyNumberFormat="1" applyFill="1" applyBorder="1">
      <alignment horizontal="center" vertical="center"/>
    </xf>
    <xf numFmtId="0" fontId="8" fillId="0" borderId="548" xfId="53" applyBorder="1">
      <alignment horizontal="center" vertical="center"/>
    </xf>
    <xf numFmtId="0" fontId="8" fillId="0" borderId="544" xfId="53" applyBorder="1">
      <alignment horizontal="center" vertical="center"/>
    </xf>
    <xf numFmtId="0" fontId="0" fillId="0" borderId="549" xfId="53" applyFont="1" applyBorder="1">
      <alignment horizontal="center" vertical="center"/>
    </xf>
    <xf numFmtId="1" fontId="0" fillId="52" borderId="544" xfId="44" applyNumberFormat="1" applyFont="1" applyFill="1" applyBorder="1">
      <alignment horizontal="center" vertical="center"/>
    </xf>
    <xf numFmtId="1" fontId="0" fillId="52" borderId="544" xfId="0" applyNumberFormat="1" applyFill="1" applyBorder="1">
      <alignment horizontal="center" vertical="center"/>
    </xf>
    <xf numFmtId="1" fontId="0" fillId="51" borderId="583" xfId="0" applyNumberFormat="1" applyFill="1" applyBorder="1">
      <alignment horizontal="center" vertical="center"/>
    </xf>
    <xf numFmtId="0" fontId="0" fillId="0" borderId="583" xfId="48" applyFont="1" applyFill="1" applyBorder="1">
      <alignment horizontal="center" vertical="center"/>
    </xf>
    <xf numFmtId="0" fontId="0" fillId="51" borderId="555" xfId="43" applyFont="1" applyFill="1" applyBorder="1">
      <alignment horizontal="center" vertical="center"/>
    </xf>
    <xf numFmtId="0" fontId="0" fillId="51" borderId="555" xfId="0" applyFill="1" applyBorder="1">
      <alignment horizontal="center" vertical="center"/>
    </xf>
    <xf numFmtId="49" fontId="0" fillId="51" borderId="555" xfId="0" applyNumberFormat="1" applyFill="1" applyBorder="1">
      <alignment horizontal="center" vertical="center"/>
    </xf>
    <xf numFmtId="1" fontId="0" fillId="16" borderId="581" xfId="20" applyNumberFormat="1" applyFont="1" applyBorder="1" applyAlignment="1">
      <alignment horizontal="center" vertical="center"/>
    </xf>
    <xf numFmtId="0" fontId="0" fillId="51" borderId="555" xfId="46" applyFont="1" applyFill="1" applyBorder="1">
      <alignment horizontal="center" vertical="center"/>
    </xf>
    <xf numFmtId="0" fontId="0" fillId="0" borderId="584" xfId="0" applyBorder="1">
      <alignment horizontal="center" vertical="center"/>
    </xf>
    <xf numFmtId="0" fontId="0" fillId="0" borderId="582" xfId="0" applyBorder="1">
      <alignment horizontal="center" vertical="center"/>
    </xf>
    <xf numFmtId="0" fontId="0" fillId="51" borderId="583" xfId="48" applyFont="1" applyFill="1" applyBorder="1">
      <alignment horizontal="center" vertical="center"/>
    </xf>
    <xf numFmtId="0" fontId="0" fillId="43" borderId="585" xfId="0" applyFill="1" applyBorder="1" applyAlignment="1" applyProtection="1">
      <alignment horizontal="center"/>
      <protection locked="0"/>
    </xf>
    <xf numFmtId="0" fontId="0" fillId="0" borderId="586" xfId="0" applyBorder="1" applyAlignment="1">
      <alignment vertical="center"/>
    </xf>
    <xf numFmtId="0" fontId="0" fillId="51" borderId="586" xfId="43" applyFont="1" applyFill="1" applyBorder="1">
      <alignment horizontal="center" vertical="center"/>
    </xf>
    <xf numFmtId="0" fontId="0" fillId="51" borderId="586" xfId="0" applyFill="1" applyBorder="1">
      <alignment horizontal="center" vertical="center"/>
    </xf>
    <xf numFmtId="0" fontId="0" fillId="51" borderId="586" xfId="32" applyFont="1" applyFill="1" applyBorder="1" applyAlignment="1">
      <alignment horizontal="center" vertical="center"/>
    </xf>
    <xf numFmtId="49" fontId="0" fillId="51" borderId="586" xfId="0" applyNumberFormat="1" applyFill="1" applyBorder="1">
      <alignment horizontal="center" vertical="center"/>
    </xf>
    <xf numFmtId="0" fontId="0" fillId="73" borderId="586" xfId="46" applyFont="1" applyFill="1" applyBorder="1">
      <alignment horizontal="center" vertical="center"/>
    </xf>
    <xf numFmtId="0" fontId="0" fillId="51" borderId="587" xfId="0" applyFill="1" applyBorder="1">
      <alignment horizontal="center" vertical="center"/>
    </xf>
    <xf numFmtId="0" fontId="0" fillId="0" borderId="588" xfId="0" applyBorder="1">
      <alignment horizontal="center" vertical="center"/>
    </xf>
    <xf numFmtId="0" fontId="5" fillId="0" borderId="589" xfId="0" applyFont="1" applyBorder="1" applyAlignment="1">
      <alignment vertical="center"/>
    </xf>
    <xf numFmtId="0" fontId="14" fillId="0" borderId="590" xfId="0" applyFont="1" applyBorder="1">
      <alignment horizontal="center" vertical="center"/>
    </xf>
    <xf numFmtId="0" fontId="0" fillId="0" borderId="591" xfId="0" applyBorder="1">
      <alignment horizontal="center" vertical="center"/>
    </xf>
    <xf numFmtId="0" fontId="5" fillId="0" borderId="592" xfId="0" applyFont="1" applyBorder="1" applyAlignment="1">
      <alignment horizontal="left" vertical="center"/>
    </xf>
    <xf numFmtId="0" fontId="14" fillId="0" borderId="588" xfId="0" applyFont="1" applyBorder="1">
      <alignment horizontal="center" vertical="center"/>
    </xf>
    <xf numFmtId="0" fontId="5" fillId="0" borderId="588" xfId="0" applyFont="1" applyBorder="1">
      <alignment horizontal="center" vertical="center"/>
    </xf>
    <xf numFmtId="0" fontId="5" fillId="0" borderId="593" xfId="0" applyFont="1" applyBorder="1" applyAlignment="1">
      <alignment horizontal="left" vertical="center"/>
    </xf>
    <xf numFmtId="0" fontId="0" fillId="0" borderId="589" xfId="0" applyBorder="1" applyAlignment="1">
      <alignment vertical="center"/>
    </xf>
    <xf numFmtId="0" fontId="5" fillId="0" borderId="589" xfId="0" applyFont="1" applyBorder="1">
      <alignment horizontal="center" vertical="center"/>
    </xf>
    <xf numFmtId="0" fontId="0" fillId="0" borderId="590" xfId="0" applyBorder="1" applyAlignment="1">
      <alignment horizontal="left" vertical="center"/>
    </xf>
    <xf numFmtId="0" fontId="5" fillId="0" borderId="594" xfId="0" applyFont="1" applyBorder="1" applyAlignment="1">
      <alignment horizontal="left" vertical="center"/>
    </xf>
    <xf numFmtId="0" fontId="0" fillId="0" borderId="595" xfId="0" applyBorder="1">
      <alignment horizontal="center" vertical="center"/>
    </xf>
    <xf numFmtId="0" fontId="0" fillId="0" borderId="596" xfId="0" applyBorder="1" applyAlignment="1">
      <alignment vertical="center"/>
    </xf>
    <xf numFmtId="0" fontId="0" fillId="0" borderId="597" xfId="0" applyBorder="1">
      <alignment horizontal="center" vertical="center"/>
    </xf>
    <xf numFmtId="0" fontId="5" fillId="0" borderId="596" xfId="0" applyFont="1" applyBorder="1">
      <alignment horizontal="center" vertical="center"/>
    </xf>
    <xf numFmtId="0" fontId="0" fillId="0" borderId="595" xfId="0" applyBorder="1" applyAlignment="1">
      <alignment horizontal="left" vertical="center"/>
    </xf>
    <xf numFmtId="0" fontId="14" fillId="0" borderId="595" xfId="0" applyFont="1" applyBorder="1">
      <alignment horizontal="center" vertical="center"/>
    </xf>
    <xf numFmtId="0" fontId="5" fillId="0" borderId="595" xfId="0" applyFont="1" applyBorder="1" applyAlignment="1">
      <alignment horizontal="left" vertical="center"/>
    </xf>
    <xf numFmtId="0" fontId="0" fillId="0" borderId="598" xfId="0" applyBorder="1" applyAlignment="1" applyProtection="1">
      <alignment horizontal="center"/>
      <protection locked="0"/>
    </xf>
    <xf numFmtId="0" fontId="7" fillId="0" borderId="598" xfId="0" applyFont="1" applyBorder="1" applyAlignment="1">
      <alignment horizontal="center"/>
    </xf>
    <xf numFmtId="49" fontId="68" fillId="73" borderId="404" xfId="0" applyNumberFormat="1" applyFont="1" applyFill="1" applyBorder="1">
      <alignment horizontal="center" vertical="center"/>
    </xf>
    <xf numFmtId="0" fontId="0" fillId="43" borderId="599" xfId="0" applyFill="1" applyBorder="1" applyAlignment="1" applyProtection="1">
      <alignment horizontal="center"/>
      <protection locked="0"/>
    </xf>
    <xf numFmtId="0" fontId="0" fillId="0" borderId="554" xfId="0" applyBorder="1" applyAlignment="1">
      <alignment horizontal="left" vertical="center"/>
    </xf>
    <xf numFmtId="0" fontId="0" fillId="84" borderId="600" xfId="20" applyFont="1" applyFill="1" applyBorder="1" applyAlignment="1">
      <alignment horizontal="center" vertical="center"/>
    </xf>
    <xf numFmtId="0" fontId="0" fillId="43" borderId="601" xfId="0" applyFill="1" applyBorder="1" applyAlignment="1" applyProtection="1">
      <alignment horizontal="center"/>
      <protection locked="0"/>
    </xf>
    <xf numFmtId="0" fontId="8" fillId="51" borderId="602" xfId="47" applyFill="1" applyBorder="1">
      <alignment horizontal="center" vertical="center"/>
    </xf>
    <xf numFmtId="0" fontId="0" fillId="51" borderId="602" xfId="47" applyFont="1" applyFill="1" applyBorder="1">
      <alignment horizontal="center" vertical="center"/>
    </xf>
    <xf numFmtId="49" fontId="0" fillId="73" borderId="602" xfId="0" applyNumberFormat="1" applyFill="1" applyBorder="1">
      <alignment horizontal="center" vertical="center"/>
    </xf>
    <xf numFmtId="0" fontId="0" fillId="73" borderId="404" xfId="48" applyFont="1" applyFill="1" applyBorder="1">
      <alignment horizontal="center" vertical="center"/>
    </xf>
    <xf numFmtId="0" fontId="0" fillId="75" borderId="404" xfId="56" applyFont="1" applyBorder="1">
      <alignment horizontal="center" vertical="center"/>
    </xf>
    <xf numFmtId="0" fontId="8" fillId="52" borderId="600" xfId="43" applyFill="1" applyBorder="1">
      <alignment horizontal="center" vertical="center"/>
    </xf>
    <xf numFmtId="0" fontId="8" fillId="51" borderId="600" xfId="43" applyFill="1" applyBorder="1">
      <alignment horizontal="center" vertical="center"/>
    </xf>
    <xf numFmtId="0" fontId="0" fillId="51" borderId="602" xfId="0" applyFill="1" applyBorder="1" applyAlignment="1">
      <alignment horizontal="left" vertical="center"/>
    </xf>
    <xf numFmtId="0" fontId="0" fillId="51" borderId="602" xfId="48" applyFont="1" applyFill="1" applyBorder="1">
      <alignment horizontal="center" vertical="center"/>
    </xf>
    <xf numFmtId="0" fontId="0" fillId="55" borderId="602" xfId="48" applyFont="1" applyFill="1" applyBorder="1">
      <alignment horizontal="center" vertical="center"/>
    </xf>
    <xf numFmtId="0" fontId="8" fillId="75" borderId="602" xfId="56" applyBorder="1">
      <alignment horizontal="center" vertical="center"/>
    </xf>
    <xf numFmtId="0" fontId="8" fillId="55" borderId="602" xfId="45" applyBorder="1">
      <alignment horizontal="center" vertical="center"/>
    </xf>
    <xf numFmtId="0" fontId="0" fillId="84" borderId="602" xfId="48" applyFont="1" applyFill="1" applyBorder="1">
      <alignment horizontal="center" vertical="center"/>
    </xf>
    <xf numFmtId="49" fontId="0" fillId="51" borderId="600" xfId="0" applyNumberFormat="1" applyFill="1" applyBorder="1">
      <alignment horizontal="center" vertical="center"/>
    </xf>
    <xf numFmtId="0" fontId="0" fillId="51" borderId="600" xfId="46" applyFont="1" applyFill="1" applyBorder="1">
      <alignment horizontal="center" vertical="center"/>
    </xf>
    <xf numFmtId="0" fontId="8" fillId="51" borderId="602" xfId="48" applyFill="1" applyBorder="1">
      <alignment horizontal="center" vertical="center"/>
    </xf>
    <xf numFmtId="0" fontId="0" fillId="51" borderId="602" xfId="44" applyFont="1" applyFill="1" applyBorder="1">
      <alignment horizontal="center" vertical="center"/>
    </xf>
    <xf numFmtId="49" fontId="0" fillId="52" borderId="602" xfId="0" applyNumberFormat="1" applyFill="1" applyBorder="1">
      <alignment horizontal="center" vertical="center"/>
    </xf>
    <xf numFmtId="49" fontId="0" fillId="53" borderId="602" xfId="0" applyNumberFormat="1" applyFill="1" applyBorder="1">
      <alignment horizontal="center" vertical="center"/>
    </xf>
    <xf numFmtId="0" fontId="8" fillId="52" borderId="602" xfId="48" applyBorder="1">
      <alignment horizontal="center" vertical="center"/>
    </xf>
    <xf numFmtId="0" fontId="0" fillId="71" borderId="549" xfId="0" applyFill="1" applyBorder="1" applyAlignment="1"/>
    <xf numFmtId="49" fontId="0" fillId="52" borderId="404" xfId="0" applyNumberFormat="1" applyFill="1" applyBorder="1">
      <alignment horizontal="center" vertical="center"/>
    </xf>
    <xf numFmtId="0" fontId="0" fillId="52" borderId="404" xfId="46" applyFont="1" applyFill="1" applyBorder="1">
      <alignment horizontal="center" vertical="center"/>
    </xf>
    <xf numFmtId="0" fontId="0" fillId="52" borderId="404" xfId="0" applyFill="1" applyBorder="1">
      <alignment horizontal="center" vertical="center"/>
    </xf>
    <xf numFmtId="0" fontId="0" fillId="52" borderId="404" xfId="44" applyFont="1" applyFill="1" applyBorder="1">
      <alignment horizontal="center" vertical="center"/>
    </xf>
    <xf numFmtId="0" fontId="0" fillId="55" borderId="600" xfId="48" applyFont="1" applyFill="1" applyBorder="1">
      <alignment horizontal="center" vertical="center"/>
    </xf>
    <xf numFmtId="0" fontId="0" fillId="52" borderId="602" xfId="44" applyFont="1" applyFill="1" applyBorder="1">
      <alignment horizontal="center" vertical="center"/>
    </xf>
    <xf numFmtId="0" fontId="0" fillId="52" borderId="602" xfId="0" applyFill="1" applyBorder="1">
      <alignment horizontal="center" vertical="center"/>
    </xf>
    <xf numFmtId="0" fontId="0" fillId="52" borderId="602" xfId="48" applyFont="1" applyBorder="1">
      <alignment horizontal="center" vertical="center"/>
    </xf>
    <xf numFmtId="0" fontId="8" fillId="74" borderId="602" xfId="47" applyBorder="1">
      <alignment horizontal="center" vertical="center"/>
    </xf>
    <xf numFmtId="0" fontId="0" fillId="87" borderId="602" xfId="48" applyFont="1" applyFill="1" applyBorder="1">
      <alignment horizontal="center" vertical="center"/>
    </xf>
    <xf numFmtId="49" fontId="0" fillId="87" borderId="602" xfId="0" applyNumberFormat="1" applyFill="1" applyBorder="1">
      <alignment horizontal="center" vertical="center"/>
    </xf>
    <xf numFmtId="0" fontId="7" fillId="0" borderId="602" xfId="0" applyFont="1" applyBorder="1" applyAlignment="1">
      <alignment horizontal="center"/>
    </xf>
    <xf numFmtId="0" fontId="8" fillId="51" borderId="600" xfId="48" applyFill="1" applyBorder="1">
      <alignment horizontal="center" vertical="center"/>
    </xf>
    <xf numFmtId="0" fontId="8" fillId="55" borderId="600" xfId="48" applyFill="1" applyBorder="1">
      <alignment horizontal="center" vertical="center"/>
    </xf>
    <xf numFmtId="0" fontId="0" fillId="52" borderId="600" xfId="0" applyFill="1" applyBorder="1">
      <alignment horizontal="center" vertical="center"/>
    </xf>
    <xf numFmtId="0" fontId="0" fillId="55" borderId="600" xfId="0" applyFill="1" applyBorder="1">
      <alignment horizontal="center" vertical="center"/>
    </xf>
    <xf numFmtId="0" fontId="0" fillId="55" borderId="549" xfId="53" applyFont="1" applyFill="1" applyBorder="1">
      <alignment horizontal="center" vertical="center"/>
    </xf>
    <xf numFmtId="0" fontId="0" fillId="0" borderId="600" xfId="44" applyFont="1" applyFill="1" applyBorder="1">
      <alignment horizontal="center" vertical="center"/>
    </xf>
    <xf numFmtId="0" fontId="8" fillId="75" borderId="600" xfId="56" applyBorder="1">
      <alignment horizontal="center" vertical="center"/>
    </xf>
    <xf numFmtId="0" fontId="8" fillId="91" borderId="600" xfId="56" applyFill="1" applyBorder="1">
      <alignment horizontal="center" vertical="center"/>
    </xf>
    <xf numFmtId="0" fontId="0" fillId="53" borderId="600" xfId="48" applyFont="1" applyFill="1" applyBorder="1">
      <alignment horizontal="center" vertical="center"/>
    </xf>
    <xf numFmtId="0" fontId="0" fillId="51" borderId="549" xfId="0" applyFill="1" applyBorder="1">
      <alignment horizontal="center" vertical="center"/>
    </xf>
    <xf numFmtId="0" fontId="8" fillId="0" borderId="416" xfId="53" applyBorder="1">
      <alignment horizontal="center" vertical="center"/>
    </xf>
    <xf numFmtId="0" fontId="8" fillId="73" borderId="549" xfId="53" applyFill="1" applyBorder="1">
      <alignment horizontal="center" vertical="center"/>
    </xf>
    <xf numFmtId="0" fontId="8" fillId="52" borderId="549" xfId="53" applyFill="1" applyBorder="1">
      <alignment horizontal="center" vertical="center"/>
    </xf>
    <xf numFmtId="1" fontId="71" fillId="51" borderId="600" xfId="0" applyNumberFormat="1" applyFont="1" applyFill="1" applyBorder="1">
      <alignment horizontal="center" vertical="center"/>
    </xf>
    <xf numFmtId="0" fontId="8" fillId="73" borderId="600" xfId="44" applyBorder="1">
      <alignment horizontal="center" vertical="center"/>
    </xf>
    <xf numFmtId="0" fontId="0" fillId="73" borderId="600" xfId="44" applyFont="1" applyBorder="1">
      <alignment horizontal="center" vertical="center"/>
    </xf>
    <xf numFmtId="0" fontId="0" fillId="51" borderId="598" xfId="48" applyFont="1" applyFill="1" applyBorder="1">
      <alignment horizontal="center" vertical="center"/>
    </xf>
    <xf numFmtId="49" fontId="0" fillId="55" borderId="598" xfId="0" applyNumberFormat="1" applyFill="1" applyBorder="1">
      <alignment horizontal="center" vertical="center"/>
    </xf>
    <xf numFmtId="49" fontId="0" fillId="51" borderId="549" xfId="0" applyNumberFormat="1" applyFill="1" applyBorder="1">
      <alignment horizontal="center" vertical="center"/>
    </xf>
    <xf numFmtId="0" fontId="8" fillId="55" borderId="589" xfId="45" applyBorder="1">
      <alignment horizontal="center" vertical="center"/>
    </xf>
    <xf numFmtId="0" fontId="0" fillId="51" borderId="591" xfId="0" applyFill="1" applyBorder="1">
      <alignment horizontal="center" vertical="center"/>
    </xf>
    <xf numFmtId="0" fontId="88" fillId="0" borderId="600" xfId="48" applyFont="1" applyFill="1" applyBorder="1">
      <alignment horizontal="center" vertical="center"/>
    </xf>
    <xf numFmtId="0" fontId="0" fillId="55" borderId="600" xfId="47" applyFont="1" applyFill="1" applyBorder="1">
      <alignment horizontal="center" vertical="center"/>
    </xf>
    <xf numFmtId="0" fontId="0" fillId="74" borderId="600" xfId="44" applyFont="1" applyFill="1" applyBorder="1">
      <alignment horizontal="center" vertical="center"/>
    </xf>
    <xf numFmtId="0" fontId="0" fillId="51" borderId="598" xfId="0" applyFill="1" applyBorder="1">
      <alignment horizontal="center" vertical="center"/>
    </xf>
    <xf numFmtId="0" fontId="0" fillId="51" borderId="598" xfId="44" applyFont="1" applyFill="1" applyBorder="1">
      <alignment horizontal="center" vertical="center"/>
    </xf>
    <xf numFmtId="0" fontId="0" fillId="52" borderId="598" xfId="0" applyFill="1" applyBorder="1">
      <alignment horizontal="center" vertical="center"/>
    </xf>
    <xf numFmtId="0" fontId="0" fillId="52" borderId="598" xfId="48" applyFont="1" applyBorder="1">
      <alignment horizontal="center" vertical="center"/>
    </xf>
    <xf numFmtId="0" fontId="0" fillId="52" borderId="598" xfId="20" applyFont="1" applyFill="1" applyBorder="1" applyAlignment="1">
      <alignment horizontal="center" vertical="center"/>
    </xf>
    <xf numFmtId="0" fontId="0" fillId="51" borderId="591" xfId="48" applyFont="1" applyFill="1" applyBorder="1">
      <alignment horizontal="center" vertical="center"/>
    </xf>
    <xf numFmtId="0" fontId="0" fillId="0" borderId="564" xfId="0" applyBorder="1" applyAlignment="1">
      <alignment horizontal="left" vertical="center"/>
    </xf>
    <xf numFmtId="0" fontId="0" fillId="87" borderId="549" xfId="53" applyFont="1" applyFill="1" applyBorder="1">
      <alignment horizontal="center" vertical="center"/>
    </xf>
    <xf numFmtId="0" fontId="0" fillId="87" borderId="600" xfId="47" applyFont="1" applyFill="1" applyBorder="1">
      <alignment horizontal="center" vertical="center"/>
    </xf>
    <xf numFmtId="0" fontId="8" fillId="87" borderId="549" xfId="53" applyFill="1" applyBorder="1">
      <alignment horizontal="center" vertical="center"/>
    </xf>
    <xf numFmtId="0" fontId="0" fillId="53" borderId="600" xfId="0" applyFill="1" applyBorder="1">
      <alignment horizontal="center" vertical="center"/>
    </xf>
    <xf numFmtId="0" fontId="65" fillId="0" borderId="564" xfId="0" applyFont="1" applyBorder="1" applyAlignment="1" applyProtection="1">
      <alignment horizontal="left"/>
      <protection locked="0"/>
    </xf>
    <xf numFmtId="0" fontId="0" fillId="87" borderId="600" xfId="0" applyFill="1" applyBorder="1">
      <alignment horizontal="center" vertical="center"/>
    </xf>
    <xf numFmtId="0" fontId="0" fillId="51" borderId="549" xfId="0" applyFill="1" applyBorder="1" applyAlignment="1" applyProtection="1">
      <alignment horizontal="left" vertical="center"/>
      <protection locked="0"/>
    </xf>
    <xf numFmtId="0" fontId="0" fillId="51" borderId="549" xfId="48" applyFont="1" applyFill="1" applyBorder="1">
      <alignment horizontal="center" vertical="center"/>
    </xf>
    <xf numFmtId="0" fontId="0" fillId="87" borderId="600" xfId="48" applyFont="1" applyFill="1" applyBorder="1">
      <alignment horizontal="center" vertical="center"/>
    </xf>
    <xf numFmtId="0" fontId="0" fillId="0" borderId="600" xfId="48" applyFont="1" applyFill="1" applyBorder="1">
      <alignment horizontal="center" vertical="center"/>
    </xf>
    <xf numFmtId="0" fontId="68" fillId="53" borderId="600" xfId="20" applyFont="1" applyFill="1" applyBorder="1" applyAlignment="1">
      <alignment horizontal="center" vertical="center"/>
    </xf>
    <xf numFmtId="0" fontId="0" fillId="53" borderId="600" xfId="20" applyFont="1" applyFill="1" applyBorder="1" applyAlignment="1">
      <alignment horizontal="center" vertical="center"/>
    </xf>
    <xf numFmtId="0" fontId="0" fillId="0" borderId="563" xfId="0" applyBorder="1" applyAlignment="1">
      <alignment horizontal="left" vertical="center"/>
    </xf>
    <xf numFmtId="0" fontId="8" fillId="74" borderId="600" xfId="47" applyBorder="1">
      <alignment horizontal="center" vertical="center"/>
    </xf>
    <xf numFmtId="0" fontId="0" fillId="51" borderId="603" xfId="0" applyFill="1" applyBorder="1">
      <alignment horizontal="center" vertical="center"/>
    </xf>
    <xf numFmtId="1" fontId="0" fillId="51" borderId="604" xfId="32" applyNumberFormat="1" applyFont="1" applyFill="1" applyBorder="1" applyAlignment="1">
      <alignment horizontal="center" vertical="center"/>
    </xf>
    <xf numFmtId="0" fontId="0" fillId="0" borderId="604" xfId="53" applyFont="1" applyBorder="1">
      <alignment horizontal="center" vertical="center"/>
    </xf>
    <xf numFmtId="0" fontId="8" fillId="0" borderId="604" xfId="53" applyBorder="1">
      <alignment horizontal="center" vertical="center"/>
    </xf>
    <xf numFmtId="0" fontId="0" fillId="51" borderId="604" xfId="43" applyFont="1" applyFill="1" applyBorder="1">
      <alignment horizontal="center" vertical="center"/>
    </xf>
    <xf numFmtId="0" fontId="0" fillId="51" borderId="600" xfId="47" applyFont="1" applyFill="1" applyBorder="1">
      <alignment horizontal="center" vertical="center"/>
    </xf>
    <xf numFmtId="0" fontId="0" fillId="43" borderId="589" xfId="0" applyFill="1" applyBorder="1" applyAlignment="1" applyProtection="1">
      <alignment horizontal="center"/>
      <protection locked="0"/>
    </xf>
    <xf numFmtId="20" fontId="0" fillId="0" borderId="589" xfId="0" applyNumberFormat="1" applyBorder="1" applyAlignment="1">
      <alignment horizontal="left"/>
    </xf>
    <xf numFmtId="0" fontId="0" fillId="0" borderId="590" xfId="0" applyBorder="1" applyAlignment="1">
      <alignment horizontal="left"/>
    </xf>
    <xf numFmtId="0" fontId="0" fillId="0" borderId="589" xfId="0" applyBorder="1" applyAlignment="1">
      <alignment horizontal="left"/>
    </xf>
    <xf numFmtId="0" fontId="0" fillId="0" borderId="605" xfId="0" applyBorder="1" applyAlignment="1">
      <alignment horizontal="left"/>
    </xf>
    <xf numFmtId="0" fontId="0" fillId="0" borderId="592" xfId="0" applyBorder="1" applyAlignment="1">
      <alignment horizontal="left"/>
    </xf>
    <xf numFmtId="0" fontId="0" fillId="0" borderId="588" xfId="0" applyBorder="1" applyAlignment="1">
      <alignment horizontal="left"/>
    </xf>
    <xf numFmtId="0" fontId="0" fillId="0" borderId="589" xfId="0" applyBorder="1" applyAlignment="1">
      <alignment horizontal="left" vertical="center"/>
    </xf>
    <xf numFmtId="0" fontId="0" fillId="0" borderId="606" xfId="0" applyBorder="1">
      <alignment horizontal="center" vertical="center"/>
    </xf>
    <xf numFmtId="0" fontId="0" fillId="52" borderId="600" xfId="47" applyFont="1" applyFill="1" applyBorder="1">
      <alignment horizontal="center" vertical="center"/>
    </xf>
    <xf numFmtId="0" fontId="0" fillId="53" borderId="600" xfId="47" applyFont="1" applyFill="1" applyBorder="1">
      <alignment horizontal="center" vertical="center"/>
    </xf>
    <xf numFmtId="0" fontId="52" fillId="56" borderId="600" xfId="46" applyBorder="1">
      <alignment horizontal="center" vertical="center"/>
    </xf>
    <xf numFmtId="49" fontId="0" fillId="54" borderId="217" xfId="0" applyNumberFormat="1" applyFill="1" applyBorder="1">
      <alignment horizontal="center" vertical="center"/>
    </xf>
    <xf numFmtId="0" fontId="0" fillId="54" borderId="217" xfId="0" applyFill="1" applyBorder="1">
      <alignment horizontal="center" vertical="center"/>
    </xf>
    <xf numFmtId="0" fontId="0" fillId="0" borderId="217" xfId="51" applyFont="1" applyFill="1" applyBorder="1">
      <alignment horizontal="center" vertical="center"/>
    </xf>
    <xf numFmtId="0" fontId="0" fillId="0" borderId="549" xfId="51" applyFont="1" applyFill="1" applyBorder="1">
      <alignment horizontal="center" vertical="center"/>
    </xf>
    <xf numFmtId="0" fontId="0" fillId="0" borderId="416" xfId="51" applyFont="1" applyFill="1" applyBorder="1">
      <alignment horizontal="center" vertical="center"/>
    </xf>
    <xf numFmtId="0" fontId="8" fillId="0" borderId="549" xfId="56" applyFill="1" applyBorder="1">
      <alignment horizontal="center" vertical="center"/>
    </xf>
    <xf numFmtId="49" fontId="0" fillId="53" borderId="217" xfId="0" applyNumberFormat="1" applyFill="1" applyBorder="1">
      <alignment horizontal="center" vertical="center"/>
    </xf>
    <xf numFmtId="0" fontId="0" fillId="52" borderId="549" xfId="0" applyFill="1" applyBorder="1">
      <alignment horizontal="center" vertical="center"/>
    </xf>
    <xf numFmtId="0" fontId="8" fillId="75" borderId="549" xfId="56" applyBorder="1">
      <alignment horizontal="center" vertical="center"/>
    </xf>
    <xf numFmtId="0" fontId="0" fillId="75" borderId="549" xfId="56" applyFont="1" applyBorder="1">
      <alignment horizontal="center" vertical="center"/>
    </xf>
    <xf numFmtId="0" fontId="52" fillId="56" borderId="549" xfId="0" applyFont="1" applyFill="1" applyBorder="1">
      <alignment horizontal="center" vertical="center"/>
    </xf>
    <xf numFmtId="0" fontId="8" fillId="91" borderId="416" xfId="56" applyFill="1" applyBorder="1">
      <alignment horizontal="center" vertical="center"/>
    </xf>
    <xf numFmtId="49" fontId="0" fillId="52" borderId="554" xfId="0" applyNumberFormat="1" applyFill="1" applyBorder="1">
      <alignment horizontal="center" vertical="center"/>
    </xf>
    <xf numFmtId="0" fontId="0" fillId="55" borderId="554" xfId="0" applyFill="1" applyBorder="1">
      <alignment horizontal="center" vertical="center"/>
    </xf>
    <xf numFmtId="49" fontId="0" fillId="55" borderId="554" xfId="0" applyNumberFormat="1" applyFill="1" applyBorder="1">
      <alignment horizontal="center" vertical="center"/>
    </xf>
    <xf numFmtId="0" fontId="0" fillId="51" borderId="607" xfId="0" applyFill="1" applyBorder="1">
      <alignment horizontal="center" vertical="center"/>
    </xf>
    <xf numFmtId="0" fontId="8" fillId="91" borderId="549" xfId="56" applyFill="1" applyBorder="1">
      <alignment horizontal="center" vertical="center"/>
    </xf>
    <xf numFmtId="0" fontId="0" fillId="55" borderId="549" xfId="0" applyFill="1" applyBorder="1">
      <alignment horizontal="center" vertical="center"/>
    </xf>
    <xf numFmtId="0" fontId="0" fillId="69" borderId="529" xfId="0" applyFill="1" applyBorder="1" applyAlignment="1"/>
    <xf numFmtId="0" fontId="0" fillId="0" borderId="549" xfId="48" applyFont="1" applyFill="1" applyBorder="1">
      <alignment horizontal="center" vertical="center"/>
    </xf>
    <xf numFmtId="0" fontId="8" fillId="0" borderId="548" xfId="0" applyFont="1" applyBorder="1">
      <alignment horizontal="center" vertical="center"/>
    </xf>
    <xf numFmtId="0" fontId="5" fillId="0" borderId="598" xfId="0" applyFont="1" applyBorder="1" applyAlignment="1" applyProtection="1">
      <alignment horizontal="center"/>
      <protection locked="0"/>
    </xf>
    <xf numFmtId="0" fontId="5" fillId="0" borderId="592" xfId="0" applyFont="1" applyBorder="1" applyAlignment="1">
      <alignment horizontal="left"/>
    </xf>
    <xf numFmtId="0" fontId="0" fillId="0" borderId="588" xfId="0" applyBorder="1" applyAlignment="1"/>
    <xf numFmtId="0" fontId="10" fillId="0" borderId="592" xfId="0" applyFont="1" applyBorder="1" applyAlignment="1">
      <alignment horizontal="center"/>
    </xf>
    <xf numFmtId="0" fontId="0" fillId="84" borderId="544" xfId="51" applyFont="1" applyFill="1" applyBorder="1">
      <alignment horizontal="center" vertical="center"/>
    </xf>
    <xf numFmtId="0" fontId="0" fillId="0" borderId="544" xfId="51" applyFont="1" applyFill="1" applyBorder="1">
      <alignment horizontal="center" vertical="center"/>
    </xf>
    <xf numFmtId="0" fontId="0" fillId="54" borderId="544" xfId="0" applyFill="1" applyBorder="1">
      <alignment horizontal="center" vertical="center"/>
    </xf>
    <xf numFmtId="49" fontId="0" fillId="55" borderId="555" xfId="0" applyNumberFormat="1" applyFill="1" applyBorder="1">
      <alignment horizontal="center" vertical="center"/>
    </xf>
    <xf numFmtId="0" fontId="8" fillId="75" borderId="416" xfId="56" applyBorder="1">
      <alignment horizontal="center" vertical="center"/>
    </xf>
    <xf numFmtId="0" fontId="0" fillId="55" borderId="416" xfId="44" applyFont="1" applyFill="1" applyBorder="1">
      <alignment horizontal="center" vertical="center"/>
    </xf>
    <xf numFmtId="0" fontId="0" fillId="51" borderId="549" xfId="44" applyFont="1" applyFill="1" applyBorder="1">
      <alignment horizontal="center" vertical="center"/>
    </xf>
    <xf numFmtId="0" fontId="0" fillId="51" borderId="549" xfId="43" applyFont="1" applyFill="1" applyBorder="1">
      <alignment horizontal="center" vertical="center"/>
    </xf>
    <xf numFmtId="0" fontId="0" fillId="52" borderId="549" xfId="48" applyFont="1" applyBorder="1">
      <alignment horizontal="center" vertical="center"/>
    </xf>
    <xf numFmtId="0" fontId="0" fillId="68" borderId="549" xfId="48" applyFont="1" applyFill="1" applyBorder="1">
      <alignment horizontal="center" vertical="center"/>
    </xf>
    <xf numFmtId="0" fontId="0" fillId="75" borderId="416" xfId="56" applyFont="1" applyBorder="1">
      <alignment horizontal="center" vertical="center"/>
    </xf>
    <xf numFmtId="0" fontId="8" fillId="73" borderId="416" xfId="44" applyBorder="1">
      <alignment horizontal="center" vertical="center"/>
    </xf>
    <xf numFmtId="0" fontId="60" fillId="0" borderId="592" xfId="0" applyFont="1" applyBorder="1" applyAlignment="1">
      <alignment horizontal="left" vertical="center"/>
    </xf>
    <xf numFmtId="0" fontId="8" fillId="73" borderId="549" xfId="56" applyFill="1" applyBorder="1">
      <alignment horizontal="center" vertical="center"/>
    </xf>
    <xf numFmtId="0" fontId="0" fillId="55" borderId="549" xfId="46" applyFont="1" applyFill="1" applyBorder="1">
      <alignment horizontal="center" vertical="center"/>
    </xf>
    <xf numFmtId="0" fontId="8" fillId="52" borderId="529" xfId="48" applyBorder="1">
      <alignment horizontal="center" vertical="center"/>
    </xf>
    <xf numFmtId="0" fontId="0" fillId="51" borderId="529" xfId="46" applyFont="1" applyFill="1" applyBorder="1">
      <alignment horizontal="center" vertical="center"/>
    </xf>
    <xf numFmtId="0" fontId="0" fillId="51" borderId="529" xfId="44" applyFont="1" applyFill="1" applyBorder="1">
      <alignment horizontal="center" vertical="center"/>
    </xf>
    <xf numFmtId="49" fontId="0" fillId="51" borderId="529" xfId="0" applyNumberFormat="1" applyFill="1" applyBorder="1">
      <alignment horizontal="center" vertical="center"/>
    </xf>
    <xf numFmtId="0" fontId="52" fillId="99" borderId="416" xfId="56" applyFont="1" applyFill="1" applyBorder="1">
      <alignment horizontal="center" vertical="center"/>
    </xf>
    <xf numFmtId="0" fontId="52" fillId="99" borderId="549" xfId="56" applyFont="1" applyFill="1" applyBorder="1">
      <alignment horizontal="center" vertical="center"/>
    </xf>
    <xf numFmtId="0" fontId="4" fillId="0" borderId="508" xfId="0" applyFont="1" applyBorder="1" applyAlignment="1">
      <alignment horizontal="left"/>
    </xf>
    <xf numFmtId="0" fontId="5" fillId="0" borderId="512" xfId="0" applyFont="1" applyBorder="1">
      <alignment horizontal="center" vertical="center"/>
    </xf>
    <xf numFmtId="167" fontId="10" fillId="0" borderId="518" xfId="0" applyNumberFormat="1" applyFont="1" applyBorder="1" applyAlignment="1">
      <alignment horizontal="center"/>
    </xf>
    <xf numFmtId="0" fontId="8" fillId="51" borderId="505" xfId="0" applyFont="1" applyFill="1" applyBorder="1" applyAlignment="1">
      <alignment vertical="center"/>
    </xf>
    <xf numFmtId="0" fontId="0" fillId="51" borderId="505" xfId="0" applyFill="1" applyBorder="1" applyAlignment="1">
      <alignment vertical="center"/>
    </xf>
    <xf numFmtId="0" fontId="0" fillId="51" borderId="608" xfId="0" applyFill="1" applyBorder="1">
      <alignment horizontal="center" vertical="center"/>
    </xf>
    <xf numFmtId="0" fontId="4" fillId="0" borderId="526" xfId="0" applyFont="1" applyBorder="1">
      <alignment horizontal="center" vertical="center"/>
    </xf>
    <xf numFmtId="0" fontId="4" fillId="0" borderId="609" xfId="0" applyFont="1" applyBorder="1" applyAlignment="1">
      <alignment horizontal="left" vertical="center"/>
    </xf>
    <xf numFmtId="0" fontId="4" fillId="0" borderId="526" xfId="0" applyFont="1" applyBorder="1" applyAlignment="1">
      <alignment horizontal="left" vertical="center"/>
    </xf>
    <xf numFmtId="0" fontId="4" fillId="0" borderId="609" xfId="0" applyFont="1" applyBorder="1">
      <alignment horizontal="center" vertical="center"/>
    </xf>
    <xf numFmtId="49" fontId="4" fillId="0" borderId="526" xfId="0" applyNumberFormat="1" applyFont="1" applyBorder="1">
      <alignment horizontal="center" vertical="center"/>
    </xf>
    <xf numFmtId="0" fontId="4" fillId="0" borderId="610" xfId="0" applyFont="1" applyBorder="1" applyAlignment="1">
      <alignment horizontal="left" vertical="center"/>
    </xf>
    <xf numFmtId="0" fontId="4" fillId="0" borderId="610" xfId="0" applyFont="1" applyBorder="1">
      <alignment horizontal="center" vertical="center"/>
    </xf>
    <xf numFmtId="49" fontId="8" fillId="0" borderId="526" xfId="0" applyNumberFormat="1" applyFont="1" applyBorder="1">
      <alignment horizontal="center" vertical="center"/>
    </xf>
    <xf numFmtId="0" fontId="8" fillId="0" borderId="609" xfId="0" applyFont="1" applyBorder="1">
      <alignment horizontal="center" vertical="center"/>
    </xf>
    <xf numFmtId="0" fontId="0" fillId="0" borderId="527" xfId="0" applyBorder="1">
      <alignment horizontal="center" vertical="center"/>
    </xf>
    <xf numFmtId="0" fontId="15" fillId="0" borderId="609" xfId="0" applyFont="1" applyBorder="1">
      <alignment horizontal="center" vertical="center"/>
    </xf>
    <xf numFmtId="49" fontId="15" fillId="0" borderId="526" xfId="0" applyNumberFormat="1" applyFont="1" applyBorder="1">
      <alignment horizontal="center" vertical="center"/>
    </xf>
    <xf numFmtId="0" fontId="15" fillId="0" borderId="610" xfId="0" applyFont="1" applyBorder="1">
      <alignment horizontal="center" vertical="center"/>
    </xf>
    <xf numFmtId="49" fontId="0" fillId="0" borderId="527" xfId="0" applyNumberFormat="1" applyBorder="1">
      <alignment horizontal="center" vertical="center"/>
    </xf>
    <xf numFmtId="0" fontId="0" fillId="0" borderId="611" xfId="0" applyBorder="1">
      <alignment horizontal="center" vertical="center"/>
    </xf>
    <xf numFmtId="49" fontId="0" fillId="0" borderId="610" xfId="0" applyNumberFormat="1" applyBorder="1">
      <alignment horizontal="center" vertical="center"/>
    </xf>
    <xf numFmtId="49" fontId="0" fillId="0" borderId="526" xfId="0" applyNumberFormat="1" applyBorder="1">
      <alignment horizontal="center" vertical="center"/>
    </xf>
    <xf numFmtId="0" fontId="7" fillId="0" borderId="525" xfId="0" applyFont="1" applyBorder="1" applyAlignment="1">
      <alignment horizontal="center"/>
    </xf>
    <xf numFmtId="0" fontId="0" fillId="51" borderId="509" xfId="0" applyFill="1" applyBorder="1" applyAlignment="1">
      <alignment horizontal="left" vertical="center" wrapText="1"/>
    </xf>
    <xf numFmtId="0" fontId="0" fillId="54" borderId="509" xfId="0" applyFill="1" applyBorder="1">
      <alignment horizontal="center" vertical="center"/>
    </xf>
    <xf numFmtId="0" fontId="68" fillId="57" borderId="509" xfId="43" applyFont="1" applyFill="1" applyBorder="1">
      <alignment horizontal="center" vertical="center"/>
    </xf>
    <xf numFmtId="0" fontId="0" fillId="0" borderId="509" xfId="0" applyBorder="1" applyAlignment="1">
      <alignment vertical="center"/>
    </xf>
    <xf numFmtId="49" fontId="0" fillId="57" borderId="509" xfId="0" applyNumberFormat="1" applyFill="1" applyBorder="1">
      <alignment horizontal="center" vertical="center"/>
    </xf>
    <xf numFmtId="0" fontId="0" fillId="0" borderId="526" xfId="0" applyBorder="1" applyAlignment="1">
      <alignment vertical="center"/>
    </xf>
    <xf numFmtId="0" fontId="0" fillId="51" borderId="509" xfId="0" applyFill="1" applyBorder="1" applyAlignment="1">
      <alignment horizontal="left" vertical="center"/>
    </xf>
    <xf numFmtId="0" fontId="5" fillId="0" borderId="509" xfId="0" applyFont="1" applyBorder="1" applyAlignment="1">
      <alignment horizontal="center"/>
    </xf>
    <xf numFmtId="0" fontId="5" fillId="0" borderId="525" xfId="0" applyFont="1" applyBorder="1" applyAlignment="1">
      <alignment horizontal="center"/>
    </xf>
    <xf numFmtId="0" fontId="5" fillId="0" borderId="512" xfId="0" applyFont="1" applyBorder="1" applyAlignment="1">
      <alignment horizontal="left"/>
    </xf>
    <xf numFmtId="0" fontId="0" fillId="0" borderId="513" xfId="0" applyBorder="1" applyAlignment="1">
      <alignment horizontal="left" vertical="center"/>
    </xf>
    <xf numFmtId="0" fontId="0" fillId="0" borderId="612" xfId="0" applyBorder="1" applyAlignment="1">
      <alignment horizontal="left" vertical="center"/>
    </xf>
    <xf numFmtId="49" fontId="0" fillId="0" borderId="508" xfId="0" applyNumberFormat="1" applyBorder="1" applyAlignment="1">
      <alignment horizontal="left"/>
    </xf>
    <xf numFmtId="49" fontId="0" fillId="0" borderId="508" xfId="0" applyNumberFormat="1" applyBorder="1" applyAlignment="1">
      <alignment horizontal="left" vertical="center"/>
    </xf>
    <xf numFmtId="0" fontId="4" fillId="0" borderId="509" xfId="0" applyFont="1" applyBorder="1" applyAlignment="1">
      <alignment horizontal="center"/>
    </xf>
    <xf numFmtId="0" fontId="0" fillId="0" borderId="613" xfId="0" applyBorder="1" applyAlignment="1">
      <alignment horizontal="left" vertical="center"/>
    </xf>
    <xf numFmtId="0" fontId="0" fillId="0" borderId="518" xfId="0" applyBorder="1" applyAlignment="1">
      <alignment horizontal="left" vertical="center"/>
    </xf>
    <xf numFmtId="49" fontId="0" fillId="0" borderId="518" xfId="0" applyNumberFormat="1" applyBorder="1" applyAlignment="1">
      <alignment horizontal="left"/>
    </xf>
    <xf numFmtId="0" fontId="5" fillId="0" borderId="509" xfId="0" applyFont="1" applyBorder="1" applyAlignment="1" applyProtection="1">
      <alignment horizontal="center"/>
      <protection locked="0"/>
    </xf>
    <xf numFmtId="0" fontId="5" fillId="0" borderId="509" xfId="0" applyFont="1" applyBorder="1" applyAlignment="1">
      <alignment horizontal="left"/>
    </xf>
    <xf numFmtId="0" fontId="0" fillId="0" borderId="509" xfId="0" applyBorder="1" applyAlignment="1" applyProtection="1">
      <alignment horizontal="center"/>
      <protection locked="0"/>
    </xf>
    <xf numFmtId="0" fontId="0" fillId="0" borderId="509" xfId="0" applyBorder="1" applyAlignment="1">
      <alignment horizontal="left"/>
    </xf>
    <xf numFmtId="0" fontId="5" fillId="76" borderId="509" xfId="0" applyFont="1" applyFill="1" applyBorder="1" applyAlignment="1">
      <alignment vertical="center"/>
    </xf>
    <xf numFmtId="0" fontId="0" fillId="76" borderId="509" xfId="43" applyFont="1" applyFill="1" applyBorder="1">
      <alignment horizontal="center" vertical="center"/>
    </xf>
    <xf numFmtId="0" fontId="0" fillId="76" borderId="509" xfId="0" applyFill="1" applyBorder="1">
      <alignment horizontal="center" vertical="center"/>
    </xf>
    <xf numFmtId="0" fontId="0" fillId="73" borderId="505" xfId="48" applyFont="1" applyFill="1" applyBorder="1">
      <alignment horizontal="center" vertical="center"/>
    </xf>
    <xf numFmtId="0" fontId="4" fillId="0" borderId="509" xfId="0" applyFont="1" applyBorder="1" applyAlignment="1" applyProtection="1">
      <alignment horizontal="center"/>
      <protection locked="0"/>
    </xf>
    <xf numFmtId="0" fontId="0" fillId="54" borderId="505" xfId="50" applyFont="1" applyBorder="1">
      <alignment horizontal="center" vertical="center"/>
    </xf>
    <xf numFmtId="0" fontId="5" fillId="0" borderId="515" xfId="0" applyFont="1" applyBorder="1" applyAlignment="1">
      <alignment horizontal="center"/>
    </xf>
    <xf numFmtId="0" fontId="5" fillId="0" borderId="516" xfId="0" applyFont="1" applyBorder="1" applyAlignment="1">
      <alignment horizontal="center"/>
    </xf>
    <xf numFmtId="0" fontId="4" fillId="0" borderId="512" xfId="0" applyFont="1" applyBorder="1" applyAlignment="1">
      <alignment horizontal="left"/>
    </xf>
    <xf numFmtId="0" fontId="0" fillId="43" borderId="505" xfId="0" applyFill="1" applyBorder="1" applyAlignment="1">
      <alignment horizontal="center"/>
    </xf>
    <xf numFmtId="0" fontId="47" fillId="0" borderId="505" xfId="0" applyFont="1" applyBorder="1" applyAlignment="1">
      <alignment horizontal="left" vertical="center"/>
    </xf>
    <xf numFmtId="0" fontId="0" fillId="24" borderId="505" xfId="0" applyFill="1" applyBorder="1" applyAlignment="1" applyProtection="1">
      <alignment horizontal="center"/>
      <protection locked="0"/>
    </xf>
    <xf numFmtId="0" fontId="5" fillId="77" borderId="505" xfId="0" applyFont="1" applyFill="1" applyBorder="1">
      <alignment horizontal="center" vertical="center"/>
    </xf>
    <xf numFmtId="0" fontId="0" fillId="76" borderId="505" xfId="0" applyFill="1" applyBorder="1">
      <alignment horizontal="center" vertical="center"/>
    </xf>
    <xf numFmtId="0" fontId="0" fillId="0" borderId="505" xfId="0" applyBorder="1" applyAlignment="1" applyProtection="1">
      <alignment horizontal="center"/>
      <protection locked="0"/>
    </xf>
    <xf numFmtId="49" fontId="52" fillId="56" borderId="505" xfId="0" applyNumberFormat="1" applyFont="1" applyFill="1" applyBorder="1">
      <alignment horizontal="center" vertical="center"/>
    </xf>
    <xf numFmtId="0" fontId="0" fillId="0" borderId="506" xfId="0" applyBorder="1" applyAlignment="1" applyProtection="1">
      <alignment horizontal="center"/>
      <protection locked="0"/>
    </xf>
    <xf numFmtId="49" fontId="0" fillId="0" borderId="508" xfId="0" applyNumberFormat="1" applyBorder="1" applyAlignment="1"/>
    <xf numFmtId="0" fontId="0" fillId="0" borderId="509" xfId="0" applyBorder="1" applyAlignment="1" applyProtection="1">
      <alignment horizontal="left"/>
      <protection locked="0"/>
    </xf>
    <xf numFmtId="0" fontId="0" fillId="0" borderId="525" xfId="0" applyBorder="1" applyAlignment="1" applyProtection="1">
      <alignment horizontal="center"/>
      <protection locked="0"/>
    </xf>
    <xf numFmtId="0" fontId="7" fillId="25" borderId="37" xfId="0" applyFont="1" applyFill="1" applyBorder="1" applyAlignment="1">
      <alignment horizontal="center" vertical="center"/>
    </xf>
    <xf numFmtId="0" fontId="7" fillId="25" borderId="38" xfId="0" applyFont="1" applyFill="1" applyBorder="1" applyAlignment="1">
      <alignment horizontal="center" vertical="center"/>
    </xf>
    <xf numFmtId="0" fontId="5" fillId="46" borderId="35" xfId="0" applyFont="1" applyFill="1" applyBorder="1" applyAlignment="1">
      <alignment horizontal="center" vertical="center"/>
    </xf>
    <xf numFmtId="0" fontId="89" fillId="58" borderId="35" xfId="49" applyFont="1" applyBorder="1" applyAlignment="1">
      <alignment horizontal="center" vertical="center"/>
    </xf>
    <xf numFmtId="0" fontId="89" fillId="59" borderId="35" xfId="51" applyFont="1" applyBorder="1" applyAlignment="1">
      <alignment horizontal="center" vertical="center"/>
    </xf>
    <xf numFmtId="0" fontId="7" fillId="75" borderId="35" xfId="56" applyFont="1" applyBorder="1" applyAlignment="1">
      <alignment horizontal="center" vertical="center"/>
    </xf>
    <xf numFmtId="0" fontId="0" fillId="0" borderId="507" xfId="0" applyBorder="1">
      <alignment horizontal="center" vertical="center"/>
    </xf>
    <xf numFmtId="0" fontId="5" fillId="0" borderId="507" xfId="0" applyFont="1" applyBorder="1" applyAlignment="1">
      <alignment horizontal="center"/>
    </xf>
    <xf numFmtId="0" fontId="8" fillId="0" borderId="507" xfId="0" applyFont="1" applyBorder="1">
      <alignment horizontal="center" vertical="center"/>
    </xf>
    <xf numFmtId="0" fontId="8" fillId="0" borderId="505" xfId="0" applyFont="1" applyBorder="1">
      <alignment horizontal="center" vertical="center"/>
    </xf>
    <xf numFmtId="0" fontId="0" fillId="0" borderId="505" xfId="0" applyBorder="1">
      <alignment horizontal="center" vertical="center"/>
    </xf>
    <xf numFmtId="0" fontId="5" fillId="0" borderId="505" xfId="0" applyFont="1" applyBorder="1" applyAlignment="1">
      <alignment horizontal="center"/>
    </xf>
    <xf numFmtId="0" fontId="5" fillId="0" borderId="526" xfId="0" applyFont="1" applyBorder="1" applyAlignment="1">
      <alignment horizontal="left" vertical="center"/>
    </xf>
    <xf numFmtId="0" fontId="0" fillId="0" borderId="526" xfId="0" applyBorder="1">
      <alignment horizontal="center" vertical="center"/>
    </xf>
    <xf numFmtId="0" fontId="60" fillId="0" borderId="614" xfId="0" applyFont="1" applyBorder="1" applyAlignment="1">
      <alignment horizontal="left" vertical="center"/>
    </xf>
    <xf numFmtId="0" fontId="5" fillId="0" borderId="610" xfId="0" applyFont="1" applyBorder="1" applyAlignment="1">
      <alignment horizontal="left" vertical="center"/>
    </xf>
    <xf numFmtId="0" fontId="0" fillId="0" borderId="609" xfId="0" applyBorder="1">
      <alignment horizontal="center" vertical="center"/>
    </xf>
    <xf numFmtId="0" fontId="0" fillId="0" borderId="610" xfId="0" applyBorder="1">
      <alignment horizontal="center" vertical="center"/>
    </xf>
    <xf numFmtId="0" fontId="14" fillId="0" borderId="610" xfId="0" applyFont="1" applyBorder="1">
      <alignment horizontal="center" vertical="center"/>
    </xf>
    <xf numFmtId="0" fontId="60" fillId="0" borderId="526" xfId="0" applyFont="1" applyBorder="1" applyAlignment="1">
      <alignment horizontal="left" vertical="center"/>
    </xf>
    <xf numFmtId="0" fontId="0" fillId="0" borderId="610" xfId="0" applyBorder="1" applyAlignment="1">
      <alignment horizontal="left" vertical="center"/>
    </xf>
    <xf numFmtId="0" fontId="0" fillId="0" borderId="609" xfId="0" applyBorder="1" applyAlignment="1">
      <alignment horizontal="left" vertical="center"/>
    </xf>
    <xf numFmtId="0" fontId="60" fillId="0" borderId="615" xfId="0" applyFont="1" applyBorder="1" applyAlignment="1">
      <alignment horizontal="left" vertical="center"/>
    </xf>
    <xf numFmtId="0" fontId="0" fillId="0" borderId="616" xfId="0" applyBorder="1" applyAlignment="1">
      <alignment horizontal="left" vertical="center"/>
    </xf>
    <xf numFmtId="0" fontId="60" fillId="0" borderId="527" xfId="0" applyFont="1" applyBorder="1" applyAlignment="1">
      <alignment horizontal="left" vertical="center"/>
    </xf>
    <xf numFmtId="0" fontId="0" fillId="0" borderId="617" xfId="0" applyBorder="1" applyAlignment="1">
      <alignment horizontal="left" vertical="center"/>
    </xf>
    <xf numFmtId="0" fontId="5" fillId="0" borderId="610" xfId="0" applyFont="1" applyBorder="1">
      <alignment horizontal="center" vertical="center"/>
    </xf>
    <xf numFmtId="0" fontId="60" fillId="0" borderId="618" xfId="0" applyFont="1" applyBorder="1" applyAlignment="1">
      <alignment horizontal="left" vertical="center"/>
    </xf>
    <xf numFmtId="0" fontId="0" fillId="51" borderId="505" xfId="32" applyFont="1" applyFill="1" applyBorder="1" applyAlignment="1">
      <alignment horizontal="center" vertical="center"/>
    </xf>
    <xf numFmtId="1" fontId="0" fillId="53" borderId="505" xfId="0" applyNumberFormat="1" applyFill="1" applyBorder="1">
      <alignment horizontal="center" vertical="center"/>
    </xf>
    <xf numFmtId="1" fontId="0" fillId="53" borderId="505" xfId="32" applyNumberFormat="1" applyFont="1" applyFill="1" applyBorder="1" applyAlignment="1">
      <alignment horizontal="center" vertical="center"/>
    </xf>
    <xf numFmtId="1" fontId="0" fillId="53" borderId="619" xfId="0" applyNumberFormat="1" applyFill="1" applyBorder="1">
      <alignment horizontal="center" vertical="center"/>
    </xf>
    <xf numFmtId="0" fontId="0" fillId="55" borderId="432" xfId="43" applyFont="1" applyFill="1" applyBorder="1">
      <alignment horizontal="center" vertical="center"/>
    </xf>
    <xf numFmtId="0" fontId="0" fillId="53" borderId="619" xfId="0" applyFill="1" applyBorder="1">
      <alignment horizontal="center" vertical="center"/>
    </xf>
    <xf numFmtId="0" fontId="0" fillId="73" borderId="505" xfId="44" applyFont="1" applyBorder="1">
      <alignment horizontal="center" vertical="center"/>
    </xf>
    <xf numFmtId="1" fontId="0" fillId="73" borderId="505" xfId="0" applyNumberFormat="1" applyFill="1" applyBorder="1">
      <alignment horizontal="center" vertical="center"/>
    </xf>
    <xf numFmtId="1" fontId="0" fillId="51" borderId="505" xfId="20" applyNumberFormat="1" applyFont="1" applyFill="1" applyBorder="1" applyAlignment="1">
      <alignment horizontal="center" vertical="center"/>
    </xf>
    <xf numFmtId="0" fontId="0" fillId="51" borderId="619" xfId="44" applyFont="1" applyFill="1" applyBorder="1">
      <alignment horizontal="center" vertical="center"/>
    </xf>
    <xf numFmtId="1" fontId="0" fillId="53" borderId="505" xfId="44" applyNumberFormat="1" applyFont="1" applyFill="1" applyBorder="1">
      <alignment horizontal="center" vertical="center"/>
    </xf>
    <xf numFmtId="0" fontId="0" fillId="53" borderId="505" xfId="48" applyFont="1" applyFill="1" applyBorder="1">
      <alignment horizontal="center" vertical="center"/>
    </xf>
    <xf numFmtId="1" fontId="0" fillId="51" borderId="619" xfId="0" applyNumberFormat="1" applyFill="1" applyBorder="1">
      <alignment horizontal="center" vertical="center"/>
    </xf>
    <xf numFmtId="0" fontId="0" fillId="56" borderId="432" xfId="43" applyFont="1" applyFill="1" applyBorder="1">
      <alignment horizontal="center" vertical="center"/>
    </xf>
    <xf numFmtId="0" fontId="0" fillId="52" borderId="506" xfId="0" applyFill="1" applyBorder="1">
      <alignment horizontal="center" vertical="center"/>
    </xf>
    <xf numFmtId="0" fontId="0" fillId="52" borderId="506" xfId="32" applyFont="1" applyFill="1" applyBorder="1" applyAlignment="1">
      <alignment horizontal="center" vertical="center"/>
    </xf>
    <xf numFmtId="0" fontId="0" fillId="52" borderId="506" xfId="43" applyFont="1" applyFill="1" applyBorder="1">
      <alignment horizontal="center" vertical="center"/>
    </xf>
    <xf numFmtId="49" fontId="0" fillId="52" borderId="506" xfId="0" applyNumberFormat="1" applyFill="1" applyBorder="1">
      <alignment horizontal="center" vertical="center"/>
    </xf>
    <xf numFmtId="0" fontId="0" fillId="73" borderId="506" xfId="44" applyFont="1" applyBorder="1">
      <alignment horizontal="center" vertical="center"/>
    </xf>
    <xf numFmtId="0" fontId="0" fillId="52" borderId="505" xfId="0" applyFill="1" applyBorder="1">
      <alignment horizontal="center" vertical="center"/>
    </xf>
    <xf numFmtId="0" fontId="0" fillId="52" borderId="505" xfId="48" applyFont="1" applyBorder="1">
      <alignment horizontal="center" vertical="center"/>
    </xf>
    <xf numFmtId="0" fontId="8" fillId="55" borderId="506" xfId="45" applyBorder="1">
      <alignment horizontal="center" vertical="center"/>
    </xf>
    <xf numFmtId="0" fontId="0" fillId="55" borderId="506" xfId="45" applyFont="1" applyBorder="1">
      <alignment horizontal="center" vertical="center"/>
    </xf>
    <xf numFmtId="0" fontId="0" fillId="55" borderId="506" xfId="46" applyFont="1" applyFill="1" applyBorder="1">
      <alignment horizontal="center" vertical="center"/>
    </xf>
    <xf numFmtId="0" fontId="0" fillId="0" borderId="505" xfId="20" applyFont="1" applyFill="1" applyBorder="1" applyAlignment="1">
      <alignment horizontal="center" vertical="center"/>
    </xf>
    <xf numFmtId="49" fontId="0" fillId="0" borderId="509" xfId="0" applyNumberFormat="1" applyBorder="1">
      <alignment horizontal="center" vertical="center"/>
    </xf>
    <xf numFmtId="0" fontId="0" fillId="0" borderId="509" xfId="44" applyFont="1" applyFill="1" applyBorder="1">
      <alignment horizontal="center" vertical="center"/>
    </xf>
    <xf numFmtId="1" fontId="0" fillId="0" borderId="505" xfId="0" applyNumberFormat="1" applyBorder="1">
      <alignment horizontal="center" vertical="center"/>
    </xf>
    <xf numFmtId="1" fontId="0" fillId="0" borderId="505" xfId="44" applyNumberFormat="1" applyFont="1" applyFill="1" applyBorder="1">
      <alignment horizontal="center" vertical="center"/>
    </xf>
    <xf numFmtId="0" fontId="84" fillId="0" borderId="395" xfId="0" applyFont="1" applyBorder="1" applyAlignment="1">
      <alignment horizontal="left" vertical="center"/>
    </xf>
    <xf numFmtId="0" fontId="0" fillId="0" borderId="512" xfId="0" applyBorder="1">
      <alignment horizontal="center" vertical="center"/>
    </xf>
    <xf numFmtId="0" fontId="14" fillId="76" borderId="507" xfId="0" applyFont="1" applyFill="1" applyBorder="1" applyAlignment="1">
      <alignment horizontal="center"/>
    </xf>
    <xf numFmtId="0" fontId="0" fillId="24" borderId="620" xfId="0" applyFill="1" applyBorder="1" applyAlignment="1" applyProtection="1">
      <alignment horizontal="center"/>
      <protection locked="0"/>
    </xf>
    <xf numFmtId="0" fontId="0" fillId="43" borderId="515" xfId="0" applyFill="1" applyBorder="1" applyAlignment="1" applyProtection="1">
      <alignment horizontal="center"/>
      <protection locked="0"/>
    </xf>
    <xf numFmtId="0" fontId="0" fillId="52" borderId="505" xfId="20" applyFont="1" applyFill="1" applyBorder="1" applyAlignment="1">
      <alignment horizontal="center" vertical="center"/>
    </xf>
    <xf numFmtId="0" fontId="0" fillId="43" borderId="516" xfId="0" applyFill="1" applyBorder="1" applyAlignment="1" applyProtection="1">
      <alignment horizontal="center"/>
      <protection locked="0"/>
    </xf>
    <xf numFmtId="49" fontId="0" fillId="53" borderId="506" xfId="0" applyNumberFormat="1" applyFill="1" applyBorder="1">
      <alignment horizontal="center" vertical="center"/>
    </xf>
    <xf numFmtId="0" fontId="8" fillId="52" borderId="397" xfId="48" applyBorder="1">
      <alignment horizontal="center" vertical="center"/>
    </xf>
    <xf numFmtId="0" fontId="8" fillId="51" borderId="513" xfId="43" applyFill="1" applyBorder="1">
      <alignment horizontal="center" vertical="center"/>
    </xf>
    <xf numFmtId="0" fontId="8" fillId="51" borderId="505" xfId="43" applyFill="1" applyBorder="1">
      <alignment horizontal="center" vertical="center"/>
    </xf>
    <xf numFmtId="0" fontId="8" fillId="55" borderId="505" xfId="43" applyFill="1" applyBorder="1">
      <alignment horizontal="center" vertical="center"/>
    </xf>
    <xf numFmtId="0" fontId="0" fillId="51" borderId="519" xfId="48" applyFont="1" applyFill="1" applyBorder="1">
      <alignment horizontal="center" vertical="center"/>
    </xf>
    <xf numFmtId="0" fontId="0" fillId="52" borderId="519" xfId="0" applyFill="1" applyBorder="1">
      <alignment horizontal="center" vertical="center"/>
    </xf>
    <xf numFmtId="0" fontId="8" fillId="91" borderId="506" xfId="56" applyFill="1" applyBorder="1">
      <alignment horizontal="center" vertical="center"/>
    </xf>
    <xf numFmtId="49" fontId="0" fillId="51" borderId="513" xfId="48" applyNumberFormat="1" applyFont="1" applyFill="1" applyBorder="1">
      <alignment horizontal="center" vertical="center"/>
    </xf>
    <xf numFmtId="49" fontId="0" fillId="51" borderId="505" xfId="48" applyNumberFormat="1" applyFont="1" applyFill="1" applyBorder="1">
      <alignment horizontal="center" vertical="center"/>
    </xf>
    <xf numFmtId="49" fontId="0" fillId="51" borderId="505" xfId="43" applyNumberFormat="1" applyFont="1" applyFill="1" applyBorder="1">
      <alignment horizontal="center" vertical="center"/>
    </xf>
    <xf numFmtId="49" fontId="0" fillId="51" borderId="505" xfId="44" applyNumberFormat="1" applyFont="1" applyFill="1" applyBorder="1">
      <alignment horizontal="center" vertical="center"/>
    </xf>
    <xf numFmtId="49" fontId="0" fillId="51" borderId="505" xfId="46" applyNumberFormat="1" applyFont="1" applyFill="1" applyBorder="1">
      <alignment horizontal="center" vertical="center"/>
    </xf>
    <xf numFmtId="49" fontId="0" fillId="51" borderId="506" xfId="44" applyNumberFormat="1" applyFont="1" applyFill="1" applyBorder="1">
      <alignment horizontal="center" vertical="center"/>
    </xf>
    <xf numFmtId="49" fontId="52" fillId="56" borderId="506" xfId="48" applyNumberFormat="1" applyFont="1" applyFill="1" applyBorder="1">
      <alignment horizontal="center" vertical="center"/>
    </xf>
    <xf numFmtId="49" fontId="52" fillId="56" borderId="506" xfId="0" applyNumberFormat="1" applyFont="1" applyFill="1" applyBorder="1">
      <alignment horizontal="center" vertical="center"/>
    </xf>
    <xf numFmtId="0" fontId="8" fillId="55" borderId="397" xfId="45" applyBorder="1">
      <alignment horizontal="center" vertical="center"/>
    </xf>
    <xf numFmtId="0" fontId="0" fillId="51" borderId="513" xfId="44" applyFont="1" applyFill="1" applyBorder="1">
      <alignment horizontal="center" vertical="center"/>
    </xf>
    <xf numFmtId="0" fontId="68" fillId="53" borderId="506" xfId="48" applyFont="1" applyFill="1" applyBorder="1">
      <alignment horizontal="center" vertical="center"/>
    </xf>
    <xf numFmtId="0" fontId="0" fillId="0" borderId="506" xfId="0" applyBorder="1">
      <alignment horizontal="center" vertical="center"/>
    </xf>
    <xf numFmtId="0" fontId="14" fillId="68" borderId="506" xfId="0" applyFont="1" applyFill="1" applyBorder="1" applyAlignment="1">
      <alignment horizontal="center"/>
    </xf>
    <xf numFmtId="0" fontId="8" fillId="89" borderId="415" xfId="0" applyFont="1" applyFill="1" applyBorder="1">
      <alignment horizontal="center" vertical="center"/>
    </xf>
    <xf numFmtId="1" fontId="44" fillId="3" borderId="505" xfId="42" applyNumberFormat="1" applyBorder="1" applyAlignment="1">
      <alignment horizontal="center" vertical="center"/>
    </xf>
    <xf numFmtId="1" fontId="0" fillId="51" borderId="523" xfId="0" applyNumberFormat="1" applyFill="1" applyBorder="1">
      <alignment horizontal="center" vertical="center"/>
    </xf>
    <xf numFmtId="1" fontId="0" fillId="52" borderId="523" xfId="0" applyNumberFormat="1" applyFill="1" applyBorder="1">
      <alignment horizontal="center" vertical="center"/>
    </xf>
    <xf numFmtId="0" fontId="0" fillId="52" borderId="505" xfId="44" applyFont="1" applyFill="1" applyBorder="1">
      <alignment horizontal="center" vertical="center"/>
    </xf>
    <xf numFmtId="0" fontId="52" fillId="56" borderId="505" xfId="20" applyFont="1" applyFill="1" applyBorder="1" applyAlignment="1">
      <alignment horizontal="center" vertical="center"/>
    </xf>
    <xf numFmtId="0" fontId="0" fillId="85" borderId="505" xfId="20" applyFont="1" applyFill="1" applyBorder="1" applyAlignment="1">
      <alignment horizontal="center" vertical="center"/>
    </xf>
    <xf numFmtId="1" fontId="0" fillId="52" borderId="505" xfId="0" applyNumberFormat="1" applyFill="1" applyBorder="1">
      <alignment horizontal="center" vertical="center"/>
    </xf>
    <xf numFmtId="1" fontId="0" fillId="52" borderId="505" xfId="44" applyNumberFormat="1" applyFont="1" applyFill="1" applyBorder="1">
      <alignment horizontal="center" vertical="center"/>
    </xf>
    <xf numFmtId="1" fontId="0" fillId="52" borderId="505" xfId="32" applyNumberFormat="1" applyFont="1" applyFill="1" applyBorder="1" applyAlignment="1">
      <alignment horizontal="center" vertical="center"/>
    </xf>
    <xf numFmtId="1" fontId="0" fillId="80" borderId="505" xfId="0" applyNumberFormat="1" applyFill="1" applyBorder="1">
      <alignment horizontal="center" vertical="center"/>
    </xf>
    <xf numFmtId="0" fontId="8" fillId="51" borderId="505" xfId="48" applyFill="1" applyBorder="1">
      <alignment horizontal="center" vertical="center"/>
    </xf>
    <xf numFmtId="1" fontId="52" fillId="56" borderId="505" xfId="0" applyNumberFormat="1" applyFont="1" applyFill="1" applyBorder="1">
      <alignment horizontal="center" vertical="center"/>
    </xf>
    <xf numFmtId="0" fontId="52" fillId="56" borderId="505" xfId="44" applyFont="1" applyFill="1" applyBorder="1">
      <alignment horizontal="center" vertical="center"/>
    </xf>
    <xf numFmtId="0" fontId="0" fillId="55" borderId="505" xfId="47" applyFont="1" applyFill="1" applyBorder="1">
      <alignment horizontal="center" vertical="center"/>
    </xf>
    <xf numFmtId="49" fontId="0" fillId="55" borderId="505" xfId="48" applyNumberFormat="1" applyFont="1" applyFill="1" applyBorder="1">
      <alignment horizontal="center" vertical="center"/>
    </xf>
    <xf numFmtId="1" fontId="0" fillId="55" borderId="523" xfId="0" applyNumberFormat="1" applyFill="1" applyBorder="1">
      <alignment horizontal="center" vertical="center"/>
    </xf>
    <xf numFmtId="0" fontId="8" fillId="53" borderId="523" xfId="43" applyBorder="1">
      <alignment horizontal="center" vertical="center"/>
    </xf>
    <xf numFmtId="0" fontId="8" fillId="55" borderId="523" xfId="43" applyFill="1" applyBorder="1">
      <alignment horizontal="center" vertical="center"/>
    </xf>
    <xf numFmtId="0" fontId="71" fillId="0" borderId="527" xfId="0" applyFont="1" applyBorder="1" applyAlignment="1" applyProtection="1">
      <alignment horizontal="left"/>
      <protection locked="0"/>
    </xf>
    <xf numFmtId="0" fontId="0" fillId="74" borderId="505" xfId="47" applyFont="1" applyBorder="1">
      <alignment horizontal="center" vertical="center"/>
    </xf>
    <xf numFmtId="0" fontId="8" fillId="74" borderId="218" xfId="47" applyBorder="1">
      <alignment horizontal="center" vertical="center"/>
    </xf>
    <xf numFmtId="0" fontId="0" fillId="0" borderId="525" xfId="0" applyBorder="1" applyAlignment="1">
      <alignment horizontal="left" vertical="center"/>
    </xf>
    <xf numFmtId="1" fontId="0" fillId="53" borderId="523" xfId="0" applyNumberFormat="1" applyFill="1" applyBorder="1">
      <alignment horizontal="center" vertical="center"/>
    </xf>
    <xf numFmtId="0" fontId="0" fillId="0" borderId="505" xfId="44" applyFont="1" applyFill="1" applyBorder="1">
      <alignment horizontal="center" vertical="center"/>
    </xf>
    <xf numFmtId="0" fontId="0" fillId="0" borderId="526" xfId="0" applyBorder="1" applyAlignment="1">
      <alignment horizontal="left" vertical="center"/>
    </xf>
    <xf numFmtId="1" fontId="0" fillId="74" borderId="505" xfId="0" applyNumberFormat="1" applyFill="1" applyBorder="1">
      <alignment horizontal="center" vertical="center"/>
    </xf>
    <xf numFmtId="49" fontId="0" fillId="55" borderId="509" xfId="0" applyNumberFormat="1" applyFill="1" applyBorder="1">
      <alignment horizontal="center" vertical="center"/>
    </xf>
    <xf numFmtId="0" fontId="0" fillId="51" borderId="621" xfId="0" applyFill="1" applyBorder="1">
      <alignment horizontal="center" vertical="center"/>
    </xf>
    <xf numFmtId="1" fontId="0" fillId="51" borderId="621" xfId="32" applyNumberFormat="1" applyFont="1" applyFill="1" applyBorder="1" applyAlignment="1">
      <alignment horizontal="center" vertical="center"/>
    </xf>
    <xf numFmtId="0" fontId="0" fillId="51" borderId="622" xfId="0" applyFill="1" applyBorder="1">
      <alignment horizontal="center" vertical="center"/>
    </xf>
    <xf numFmtId="0" fontId="0" fillId="0" borderId="623" xfId="0" applyBorder="1">
      <alignment horizontal="center" vertical="center"/>
    </xf>
    <xf numFmtId="0" fontId="0" fillId="0" borderId="617" xfId="0" applyBorder="1">
      <alignment horizontal="center" vertical="center"/>
    </xf>
    <xf numFmtId="0" fontId="0" fillId="0" borderId="624" xfId="0" applyBorder="1" applyAlignment="1">
      <alignment horizontal="left" vertical="center"/>
    </xf>
    <xf numFmtId="0" fontId="8" fillId="91" borderId="625" xfId="56" applyFill="1" applyBorder="1">
      <alignment horizontal="center" vertical="center"/>
    </xf>
    <xf numFmtId="0" fontId="0" fillId="53" borderId="625" xfId="47" applyFont="1" applyFill="1" applyBorder="1">
      <alignment horizontal="center" vertical="center"/>
    </xf>
    <xf numFmtId="0" fontId="0" fillId="53" borderId="626" xfId="47" applyFont="1" applyFill="1" applyBorder="1">
      <alignment horizontal="center" vertical="center"/>
    </xf>
    <xf numFmtId="0" fontId="0" fillId="0" borderId="627" xfId="0" applyBorder="1" applyAlignment="1">
      <alignment horizontal="left" vertical="center"/>
    </xf>
    <xf numFmtId="0" fontId="8" fillId="55" borderId="625" xfId="48" applyFill="1" applyBorder="1">
      <alignment horizontal="center" vertical="center"/>
    </xf>
    <xf numFmtId="0" fontId="0" fillId="51" borderId="626" xfId="47" applyFont="1" applyFill="1" applyBorder="1">
      <alignment horizontal="center" vertical="center"/>
    </xf>
    <xf numFmtId="0" fontId="0" fillId="51" borderId="628" xfId="47" applyFont="1" applyFill="1" applyBorder="1">
      <alignment horizontal="center" vertical="center"/>
    </xf>
    <xf numFmtId="0" fontId="0" fillId="51" borderId="629" xfId="47" applyFont="1" applyFill="1" applyBorder="1">
      <alignment horizontal="center" vertical="center"/>
    </xf>
    <xf numFmtId="0" fontId="85" fillId="0" borderId="624" xfId="0" applyFont="1" applyBorder="1" applyAlignment="1">
      <alignment horizontal="left" vertical="center"/>
    </xf>
    <xf numFmtId="0" fontId="0" fillId="0" borderId="630" xfId="51" applyFont="1" applyFill="1" applyBorder="1">
      <alignment horizontal="center" vertical="center"/>
    </xf>
    <xf numFmtId="0" fontId="0" fillId="0" borderId="631" xfId="51" applyFont="1" applyFill="1" applyBorder="1">
      <alignment horizontal="center" vertical="center"/>
    </xf>
    <xf numFmtId="0" fontId="8" fillId="0" borderId="218" xfId="48" applyFill="1" applyBorder="1">
      <alignment horizontal="center" vertical="center"/>
    </xf>
    <xf numFmtId="0" fontId="8" fillId="75" borderId="218" xfId="56" applyBorder="1">
      <alignment horizontal="center" vertical="center"/>
    </xf>
    <xf numFmtId="0" fontId="0" fillId="51" borderId="632" xfId="0" applyFill="1" applyBorder="1" applyAlignment="1" applyProtection="1">
      <alignment horizontal="left" vertical="center"/>
      <protection locked="0"/>
    </xf>
    <xf numFmtId="49" fontId="0" fillId="52" borderId="633" xfId="0" applyNumberFormat="1" applyFill="1" applyBorder="1">
      <alignment horizontal="center" vertical="center"/>
    </xf>
    <xf numFmtId="0" fontId="0" fillId="55" borderId="634" xfId="0" applyFill="1" applyBorder="1">
      <alignment horizontal="center" vertical="center"/>
    </xf>
    <xf numFmtId="0" fontId="8" fillId="53" borderId="218" xfId="43" applyBorder="1">
      <alignment horizontal="center" vertical="center"/>
    </xf>
    <xf numFmtId="0" fontId="5" fillId="0" borderId="635" xfId="0" applyFont="1" applyBorder="1" applyAlignment="1">
      <alignment horizontal="center"/>
    </xf>
    <xf numFmtId="0" fontId="8" fillId="0" borderId="636" xfId="0" applyFont="1" applyBorder="1" applyAlignment="1">
      <alignment horizontal="left" vertical="center"/>
    </xf>
    <xf numFmtId="0" fontId="8" fillId="0" borderId="637" xfId="0" applyFont="1" applyBorder="1">
      <alignment horizontal="center" vertical="center"/>
    </xf>
    <xf numFmtId="0" fontId="8" fillId="0" borderId="638" xfId="0" applyFont="1" applyBorder="1">
      <alignment horizontal="center" vertical="center"/>
    </xf>
    <xf numFmtId="0" fontId="8" fillId="0" borderId="637" xfId="0" applyFont="1" applyBorder="1" applyAlignment="1">
      <alignment horizontal="left" vertical="center"/>
    </xf>
    <xf numFmtId="0" fontId="8" fillId="0" borderId="636" xfId="0" applyFont="1" applyBorder="1" applyAlignment="1">
      <alignment horizontal="left"/>
    </xf>
    <xf numFmtId="0" fontId="5" fillId="0" borderId="639" xfId="0" applyFont="1" applyBorder="1" applyAlignment="1" applyProtection="1">
      <alignment horizontal="center"/>
      <protection locked="0"/>
    </xf>
    <xf numFmtId="0" fontId="0" fillId="0" borderId="640" xfId="0" applyBorder="1" applyAlignment="1">
      <alignment horizontal="center"/>
    </xf>
    <xf numFmtId="0" fontId="5" fillId="0" borderId="636" xfId="0" applyFont="1" applyBorder="1" applyAlignment="1">
      <alignment horizontal="left"/>
    </xf>
    <xf numFmtId="0" fontId="0" fillId="0" borderId="637" xfId="0" applyBorder="1" applyAlignment="1"/>
    <xf numFmtId="0" fontId="0" fillId="0" borderId="638" xfId="0" applyBorder="1" applyAlignment="1">
      <alignment horizontal="left"/>
    </xf>
    <xf numFmtId="0" fontId="5" fillId="0" borderId="637" xfId="0" applyFont="1" applyBorder="1" applyAlignment="1"/>
    <xf numFmtId="0" fontId="5" fillId="0" borderId="638" xfId="0" applyFont="1" applyBorder="1" applyAlignment="1">
      <alignment horizontal="left"/>
    </xf>
    <xf numFmtId="0" fontId="0" fillId="0" borderId="636" xfId="0" applyBorder="1" applyAlignment="1">
      <alignment horizontal="center"/>
    </xf>
    <xf numFmtId="0" fontId="0" fillId="0" borderId="641" xfId="0" applyBorder="1" applyAlignment="1"/>
    <xf numFmtId="0" fontId="5" fillId="0" borderId="642" xfId="0" applyFont="1" applyBorder="1" applyAlignment="1">
      <alignment horizontal="left"/>
    </xf>
    <xf numFmtId="0" fontId="0" fillId="0" borderId="643" xfId="0" applyBorder="1" applyAlignment="1"/>
    <xf numFmtId="0" fontId="10" fillId="0" borderId="642" xfId="0" applyFont="1" applyBorder="1" applyAlignment="1">
      <alignment horizontal="center"/>
    </xf>
    <xf numFmtId="0" fontId="0" fillId="0" borderId="644" xfId="0" applyBorder="1" applyAlignment="1"/>
    <xf numFmtId="0" fontId="0" fillId="0" borderId="645" xfId="0" applyBorder="1" applyAlignment="1">
      <alignment horizontal="center"/>
    </xf>
    <xf numFmtId="0" fontId="5" fillId="0" borderId="646" xfId="0" applyFont="1" applyBorder="1" applyAlignment="1">
      <alignment horizontal="left"/>
    </xf>
    <xf numFmtId="0" fontId="8" fillId="0" borderId="647" xfId="0" applyFont="1" applyBorder="1" applyAlignment="1">
      <alignment horizontal="left" vertical="center"/>
    </xf>
    <xf numFmtId="0" fontId="8" fillId="0" borderId="647" xfId="0" applyFont="1" applyBorder="1">
      <alignment horizontal="center" vertical="center"/>
    </xf>
    <xf numFmtId="0" fontId="8" fillId="0" borderId="648" xfId="0" applyFont="1" applyBorder="1">
      <alignment horizontal="center" vertical="center"/>
    </xf>
    <xf numFmtId="0" fontId="8" fillId="0" borderId="646" xfId="0" applyFont="1" applyBorder="1" applyAlignment="1">
      <alignment horizontal="left" vertical="center"/>
    </xf>
    <xf numFmtId="0" fontId="8" fillId="0" borderId="647" xfId="0" applyFont="1" applyBorder="1" applyAlignment="1">
      <alignment horizontal="left"/>
    </xf>
    <xf numFmtId="0" fontId="8" fillId="0" borderId="648" xfId="0" applyFont="1" applyBorder="1" applyAlignment="1">
      <alignment horizontal="left" vertical="center"/>
    </xf>
    <xf numFmtId="0" fontId="0" fillId="0" borderId="649" xfId="0" applyBorder="1" applyAlignment="1"/>
    <xf numFmtId="0" fontId="0" fillId="51" borderId="650" xfId="0" applyFill="1" applyBorder="1" applyAlignment="1">
      <alignment horizontal="left" vertical="center"/>
    </xf>
    <xf numFmtId="0" fontId="0" fillId="51" borderId="651" xfId="44" applyFont="1" applyFill="1" applyBorder="1">
      <alignment horizontal="center" vertical="center"/>
    </xf>
    <xf numFmtId="0" fontId="5" fillId="43" borderId="625" xfId="0" applyFont="1" applyFill="1" applyBorder="1" applyAlignment="1">
      <alignment horizontal="center"/>
    </xf>
    <xf numFmtId="0" fontId="0" fillId="51" borderId="652" xfId="0" applyFill="1" applyBorder="1" applyAlignment="1">
      <alignment horizontal="left" vertical="center"/>
    </xf>
    <xf numFmtId="0" fontId="0" fillId="73" borderId="625" xfId="48" applyFont="1" applyFill="1" applyBorder="1">
      <alignment horizontal="center" vertical="center"/>
    </xf>
    <xf numFmtId="0" fontId="0" fillId="51" borderId="626" xfId="48" applyFont="1" applyFill="1" applyBorder="1">
      <alignment horizontal="center" vertical="center"/>
    </xf>
    <xf numFmtId="0" fontId="0" fillId="51" borderId="625" xfId="51" applyFont="1" applyFill="1" applyBorder="1">
      <alignment horizontal="center" vertical="center"/>
    </xf>
    <xf numFmtId="0" fontId="0" fillId="84" borderId="625" xfId="43" applyFont="1" applyFill="1" applyBorder="1">
      <alignment horizontal="center" vertical="center"/>
    </xf>
    <xf numFmtId="0" fontId="0" fillId="84" borderId="625" xfId="51" applyFont="1" applyFill="1" applyBorder="1">
      <alignment horizontal="center" vertical="center"/>
    </xf>
    <xf numFmtId="0" fontId="0" fillId="51" borderId="625" xfId="53" applyFont="1" applyFill="1" applyBorder="1">
      <alignment horizontal="center" vertical="center"/>
    </xf>
    <xf numFmtId="0" fontId="0" fillId="51" borderId="626" xfId="51" applyFont="1" applyFill="1" applyBorder="1">
      <alignment horizontal="center" vertical="center"/>
    </xf>
    <xf numFmtId="0" fontId="0" fillId="51" borderId="626" xfId="0" applyFill="1" applyBorder="1">
      <alignment horizontal="center" vertical="center"/>
    </xf>
    <xf numFmtId="0" fontId="5" fillId="43" borderId="653" xfId="0" applyFont="1" applyFill="1" applyBorder="1" applyAlignment="1">
      <alignment horizontal="center"/>
    </xf>
    <xf numFmtId="0" fontId="0" fillId="51" borderId="654" xfId="0" applyFill="1" applyBorder="1" applyAlignment="1">
      <alignment horizontal="left" vertical="center"/>
    </xf>
    <xf numFmtId="0" fontId="0" fillId="51" borderId="628" xfId="0" applyFill="1" applyBorder="1">
      <alignment horizontal="center" vertical="center"/>
    </xf>
    <xf numFmtId="0" fontId="0" fillId="51" borderId="628" xfId="48" applyFont="1" applyFill="1" applyBorder="1">
      <alignment horizontal="center" vertical="center"/>
    </xf>
    <xf numFmtId="49" fontId="0" fillId="51" borderId="628" xfId="0" applyNumberFormat="1" applyFill="1" applyBorder="1">
      <alignment horizontal="center" vertical="center"/>
    </xf>
    <xf numFmtId="0" fontId="0" fillId="51" borderId="628" xfId="32" applyFont="1" applyFill="1" applyBorder="1" applyAlignment="1">
      <alignment horizontal="center" vertical="center"/>
    </xf>
    <xf numFmtId="0" fontId="0" fillId="52" borderId="628" xfId="47" applyFont="1" applyFill="1" applyBorder="1">
      <alignment horizontal="center" vertical="center"/>
    </xf>
    <xf numFmtId="0" fontId="0" fillId="84" borderId="628" xfId="47" applyFont="1" applyFill="1" applyBorder="1">
      <alignment horizontal="center" vertical="center"/>
    </xf>
    <xf numFmtId="0" fontId="0" fillId="51" borderId="629" xfId="0" applyFill="1" applyBorder="1">
      <alignment horizontal="center" vertical="center"/>
    </xf>
    <xf numFmtId="0" fontId="0" fillId="0" borderId="646" xfId="0" applyBorder="1" applyAlignment="1">
      <alignment horizontal="left"/>
    </xf>
    <xf numFmtId="0" fontId="0" fillId="0" borderId="647" xfId="0" applyBorder="1" applyAlignment="1"/>
    <xf numFmtId="0" fontId="0" fillId="0" borderId="648" xfId="0" applyBorder="1" applyAlignment="1">
      <alignment horizontal="left"/>
    </xf>
    <xf numFmtId="0" fontId="0" fillId="0" borderId="647" xfId="0" applyBorder="1" applyAlignment="1">
      <alignment horizontal="left"/>
    </xf>
    <xf numFmtId="0" fontId="0" fillId="0" borderId="646" xfId="0" applyBorder="1" applyAlignment="1">
      <alignment horizontal="center"/>
    </xf>
    <xf numFmtId="0" fontId="0" fillId="0" borderId="655" xfId="0" applyBorder="1" applyAlignment="1">
      <alignment horizontal="left" vertical="center"/>
    </xf>
    <xf numFmtId="0" fontId="0" fillId="0" borderId="416" xfId="0" applyBorder="1">
      <alignment horizontal="center" vertical="center"/>
    </xf>
    <xf numFmtId="0" fontId="0" fillId="51" borderId="656" xfId="0" applyFill="1" applyBorder="1">
      <alignment horizontal="center" vertical="center"/>
    </xf>
    <xf numFmtId="0" fontId="5" fillId="43" borderId="633" xfId="0" applyFont="1" applyFill="1" applyBorder="1" applyAlignment="1">
      <alignment horizontal="center"/>
    </xf>
    <xf numFmtId="0" fontId="8" fillId="54" borderId="633" xfId="50" applyBorder="1">
      <alignment horizontal="center" vertical="center"/>
    </xf>
    <xf numFmtId="0" fontId="8" fillId="73" borderId="633" xfId="44" applyBorder="1">
      <alignment horizontal="center" vertical="center"/>
    </xf>
    <xf numFmtId="0" fontId="0" fillId="52" borderId="633" xfId="44" applyFont="1" applyFill="1" applyBorder="1">
      <alignment horizontal="center" vertical="center"/>
    </xf>
    <xf numFmtId="0" fontId="0" fillId="51" borderId="633" xfId="44" applyFont="1" applyFill="1" applyBorder="1">
      <alignment horizontal="center" vertical="center"/>
    </xf>
    <xf numFmtId="0" fontId="0" fillId="51" borderId="633" xfId="43" applyFont="1" applyFill="1" applyBorder="1">
      <alignment horizontal="center" vertical="center"/>
    </xf>
    <xf numFmtId="49" fontId="0" fillId="53" borderId="633" xfId="0" applyNumberFormat="1" applyFill="1" applyBorder="1">
      <alignment horizontal="center" vertical="center"/>
    </xf>
    <xf numFmtId="0" fontId="0" fillId="53" borderId="633" xfId="44" applyFont="1" applyFill="1" applyBorder="1">
      <alignment horizontal="center" vertical="center"/>
    </xf>
    <xf numFmtId="0" fontId="0" fillId="51" borderId="634" xfId="44" applyFont="1" applyFill="1" applyBorder="1">
      <alignment horizontal="center" vertical="center"/>
    </xf>
    <xf numFmtId="0" fontId="0" fillId="52" borderId="633" xfId="48" applyFont="1" applyBorder="1">
      <alignment horizontal="center" vertical="center"/>
    </xf>
    <xf numFmtId="0" fontId="0" fillId="52" borderId="633" xfId="0" applyFill="1" applyBorder="1">
      <alignment horizontal="center" vertical="center"/>
    </xf>
    <xf numFmtId="0" fontId="0" fillId="51" borderId="634" xfId="0" applyFill="1" applyBorder="1">
      <alignment horizontal="center" vertical="center"/>
    </xf>
    <xf numFmtId="0" fontId="8" fillId="52" borderId="633" xfId="48" applyBorder="1">
      <alignment horizontal="center" vertical="center"/>
    </xf>
    <xf numFmtId="0" fontId="0" fillId="51" borderId="633" xfId="46" applyFont="1" applyFill="1" applyBorder="1">
      <alignment horizontal="center" vertical="center"/>
    </xf>
    <xf numFmtId="0" fontId="0" fillId="55" borderId="633" xfId="46" applyFont="1" applyFill="1" applyBorder="1">
      <alignment horizontal="center" vertical="center"/>
    </xf>
    <xf numFmtId="0" fontId="0" fillId="55" borderId="633" xfId="0" applyFill="1" applyBorder="1">
      <alignment horizontal="center" vertical="center"/>
    </xf>
    <xf numFmtId="0" fontId="0" fillId="55" borderId="633" xfId="44" applyFont="1" applyFill="1" applyBorder="1">
      <alignment horizontal="center" vertical="center"/>
    </xf>
    <xf numFmtId="0" fontId="60" fillId="0" borderId="657" xfId="0" applyFont="1" applyBorder="1" applyAlignment="1">
      <alignment horizontal="left" vertical="center"/>
    </xf>
    <xf numFmtId="0" fontId="0" fillId="55" borderId="633" xfId="48" applyFont="1" applyFill="1" applyBorder="1">
      <alignment horizontal="center" vertical="center"/>
    </xf>
    <xf numFmtId="0" fontId="0" fillId="55" borderId="633" xfId="53" applyFont="1" applyFill="1" applyBorder="1">
      <alignment horizontal="center" vertical="center"/>
    </xf>
    <xf numFmtId="0" fontId="0" fillId="51" borderId="633" xfId="53" applyFont="1" applyFill="1" applyBorder="1">
      <alignment horizontal="center" vertical="center"/>
    </xf>
    <xf numFmtId="0" fontId="0" fillId="73" borderId="633" xfId="0" applyFill="1" applyBorder="1">
      <alignment horizontal="center" vertical="center"/>
    </xf>
    <xf numFmtId="0" fontId="8" fillId="0" borderId="633" xfId="53" applyBorder="1">
      <alignment horizontal="center" vertical="center"/>
    </xf>
    <xf numFmtId="0" fontId="4" fillId="0" borderId="636" xfId="0" applyFont="1" applyBorder="1" applyAlignment="1">
      <alignment horizontal="left"/>
    </xf>
    <xf numFmtId="0" fontId="5" fillId="0" borderId="637" xfId="0" applyFont="1" applyBorder="1">
      <alignment horizontal="center" vertical="center"/>
    </xf>
    <xf numFmtId="0" fontId="0" fillId="0" borderId="641" xfId="0" applyBorder="1">
      <alignment horizontal="center" vertical="center"/>
    </xf>
    <xf numFmtId="167" fontId="10" fillId="0" borderId="646" xfId="0" applyNumberFormat="1" applyFont="1" applyBorder="1" applyAlignment="1">
      <alignment horizontal="center"/>
    </xf>
    <xf numFmtId="0" fontId="0" fillId="0" borderId="649" xfId="0" applyBorder="1">
      <alignment horizontal="center" vertical="center"/>
    </xf>
    <xf numFmtId="0" fontId="0" fillId="51" borderId="650" xfId="0" applyFill="1" applyBorder="1" applyAlignment="1">
      <alignment vertical="center"/>
    </xf>
    <xf numFmtId="0" fontId="0" fillId="52" borderId="404" xfId="32" applyFont="1" applyFill="1" applyBorder="1" applyAlignment="1">
      <alignment horizontal="center" vertical="center"/>
    </xf>
    <xf numFmtId="0" fontId="0" fillId="51" borderId="651" xfId="32" applyFont="1" applyFill="1" applyBorder="1" applyAlignment="1">
      <alignment horizontal="center" vertical="center"/>
    </xf>
    <xf numFmtId="0" fontId="8" fillId="51" borderId="652" xfId="0" applyFont="1" applyFill="1" applyBorder="1" applyAlignment="1">
      <alignment vertical="center"/>
    </xf>
    <xf numFmtId="0" fontId="0" fillId="51" borderId="652" xfId="0" applyFill="1" applyBorder="1" applyAlignment="1">
      <alignment vertical="center"/>
    </xf>
    <xf numFmtId="0" fontId="0" fillId="51" borderId="654" xfId="0" applyFill="1" applyBorder="1" applyAlignment="1">
      <alignment vertical="center"/>
    </xf>
    <xf numFmtId="0" fontId="0" fillId="51" borderId="628" xfId="43" applyFont="1" applyFill="1" applyBorder="1">
      <alignment horizontal="center" vertical="center"/>
    </xf>
    <xf numFmtId="0" fontId="8" fillId="53" borderId="628" xfId="43" applyBorder="1">
      <alignment horizontal="center" vertical="center"/>
    </xf>
    <xf numFmtId="0" fontId="0" fillId="53" borderId="628" xfId="0" applyFill="1" applyBorder="1">
      <alignment horizontal="center" vertical="center"/>
    </xf>
    <xf numFmtId="0" fontId="0" fillId="0" borderId="658" xfId="0" applyBorder="1">
      <alignment horizontal="center" vertical="center"/>
    </xf>
    <xf numFmtId="0" fontId="4" fillId="0" borderId="659" xfId="0" applyFont="1" applyBorder="1">
      <alignment horizontal="center" vertical="center"/>
    </xf>
    <xf numFmtId="0" fontId="4" fillId="0" borderId="660" xfId="0" applyFont="1" applyBorder="1" applyAlignment="1">
      <alignment horizontal="left" vertical="center"/>
    </xf>
    <xf numFmtId="0" fontId="4" fillId="0" borderId="659" xfId="0" applyFont="1" applyBorder="1" applyAlignment="1">
      <alignment horizontal="left" vertical="center"/>
    </xf>
    <xf numFmtId="0" fontId="4" fillId="0" borderId="660" xfId="0" applyFont="1" applyBorder="1">
      <alignment horizontal="center" vertical="center"/>
    </xf>
    <xf numFmtId="49" fontId="4" fillId="0" borderId="659" xfId="0" applyNumberFormat="1" applyFont="1" applyBorder="1">
      <alignment horizontal="center" vertical="center"/>
    </xf>
    <xf numFmtId="0" fontId="4" fillId="0" borderId="661" xfId="0" applyFont="1" applyBorder="1" applyAlignment="1">
      <alignment horizontal="left" vertical="center"/>
    </xf>
    <xf numFmtId="0" fontId="4" fillId="0" borderId="661" xfId="0" applyFont="1" applyBorder="1">
      <alignment horizontal="center" vertical="center"/>
    </xf>
    <xf numFmtId="49" fontId="8" fillId="0" borderId="659" xfId="0" applyNumberFormat="1" applyFont="1" applyBorder="1">
      <alignment horizontal="center" vertical="center"/>
    </xf>
    <xf numFmtId="0" fontId="8" fillId="0" borderId="660" xfId="0" applyFont="1" applyBorder="1">
      <alignment horizontal="center" vertical="center"/>
    </xf>
    <xf numFmtId="0" fontId="10" fillId="0" borderId="662" xfId="0" applyFont="1" applyBorder="1">
      <alignment horizontal="center" vertical="center"/>
    </xf>
    <xf numFmtId="0" fontId="0" fillId="0" borderId="663" xfId="0" applyBorder="1">
      <alignment horizontal="center" vertical="center"/>
    </xf>
    <xf numFmtId="0" fontId="15" fillId="0" borderId="660" xfId="0" applyFont="1" applyBorder="1">
      <alignment horizontal="center" vertical="center"/>
    </xf>
    <xf numFmtId="49" fontId="15" fillId="0" borderId="659" xfId="0" applyNumberFormat="1" applyFont="1" applyBorder="1">
      <alignment horizontal="center" vertical="center"/>
    </xf>
    <xf numFmtId="0" fontId="15" fillId="0" borderId="661" xfId="0" applyFont="1" applyBorder="1">
      <alignment horizontal="center" vertical="center"/>
    </xf>
    <xf numFmtId="49" fontId="0" fillId="0" borderId="663" xfId="0" applyNumberFormat="1" applyBorder="1">
      <alignment horizontal="center" vertical="center"/>
    </xf>
    <xf numFmtId="0" fontId="0" fillId="0" borderId="664" xfId="0" applyBorder="1">
      <alignment horizontal="center" vertical="center"/>
    </xf>
    <xf numFmtId="0" fontId="10" fillId="0" borderId="665" xfId="0" applyFont="1" applyBorder="1">
      <alignment horizontal="center" vertical="center"/>
    </xf>
    <xf numFmtId="49" fontId="0" fillId="0" borderId="661" xfId="0" applyNumberFormat="1" applyBorder="1">
      <alignment horizontal="center" vertical="center"/>
    </xf>
    <xf numFmtId="49" fontId="0" fillId="0" borderId="659" xfId="0" applyNumberFormat="1" applyBorder="1">
      <alignment horizontal="center" vertical="center"/>
    </xf>
    <xf numFmtId="0" fontId="0" fillId="51" borderId="655" xfId="0" applyFill="1" applyBorder="1" applyAlignment="1">
      <alignment horizontal="left" vertical="center" wrapText="1"/>
    </xf>
    <xf numFmtId="49" fontId="0" fillId="52" borderId="634" xfId="0" applyNumberFormat="1" applyFill="1" applyBorder="1">
      <alignment horizontal="center" vertical="center"/>
    </xf>
    <xf numFmtId="0" fontId="0" fillId="73" borderId="633" xfId="43" applyFont="1" applyFill="1" applyBorder="1">
      <alignment horizontal="center" vertical="center"/>
    </xf>
    <xf numFmtId="0" fontId="0" fillId="0" borderId="633" xfId="0" applyBorder="1">
      <alignment horizontal="center" vertical="center"/>
    </xf>
    <xf numFmtId="0" fontId="8" fillId="57" borderId="633" xfId="33" applyBorder="1">
      <alignment horizontal="center" vertical="center"/>
    </xf>
    <xf numFmtId="0" fontId="0" fillId="54" borderId="633" xfId="43" applyFont="1" applyFill="1" applyBorder="1">
      <alignment horizontal="center" vertical="center"/>
    </xf>
    <xf numFmtId="0" fontId="0" fillId="54" borderId="634" xfId="43" applyFont="1" applyFill="1" applyBorder="1">
      <alignment horizontal="center" vertical="center"/>
    </xf>
    <xf numFmtId="0" fontId="0" fillId="0" borderId="655" xfId="0" applyBorder="1" applyAlignment="1">
      <alignment vertical="center"/>
    </xf>
    <xf numFmtId="0" fontId="8" fillId="53" borderId="633" xfId="43" applyBorder="1">
      <alignment horizontal="center" vertical="center"/>
    </xf>
    <xf numFmtId="0" fontId="60" fillId="0" borderId="624" xfId="0" applyFont="1" applyBorder="1" applyAlignment="1">
      <alignment horizontal="left" vertical="center"/>
    </xf>
    <xf numFmtId="49" fontId="0" fillId="73" borderId="633" xfId="0" applyNumberFormat="1" applyFill="1" applyBorder="1">
      <alignment horizontal="center" vertical="center"/>
    </xf>
    <xf numFmtId="0" fontId="8" fillId="51" borderId="633" xfId="48" applyFill="1" applyBorder="1">
      <alignment horizontal="center" vertical="center"/>
    </xf>
    <xf numFmtId="49" fontId="71" fillId="52" borderId="633" xfId="0" applyNumberFormat="1" applyFont="1" applyFill="1" applyBorder="1">
      <alignment horizontal="center" vertical="center"/>
    </xf>
    <xf numFmtId="0" fontId="0" fillId="0" borderId="624" xfId="0" applyBorder="1" applyAlignment="1">
      <alignment vertical="center"/>
    </xf>
    <xf numFmtId="49" fontId="0" fillId="84" borderId="633" xfId="0" applyNumberFormat="1" applyFill="1" applyBorder="1">
      <alignment horizontal="center" vertical="center"/>
    </xf>
    <xf numFmtId="49" fontId="0" fillId="84" borderId="634" xfId="0" applyNumberFormat="1" applyFill="1" applyBorder="1">
      <alignment horizontal="center" vertical="center"/>
    </xf>
    <xf numFmtId="0" fontId="0" fillId="51" borderId="655" xfId="0" applyFill="1" applyBorder="1" applyAlignment="1">
      <alignment horizontal="left" vertical="center"/>
    </xf>
    <xf numFmtId="49" fontId="0" fillId="52" borderId="218" xfId="0" applyNumberFormat="1" applyFill="1" applyBorder="1">
      <alignment horizontal="center" vertical="center"/>
    </xf>
    <xf numFmtId="49" fontId="52" fillId="56" borderId="218" xfId="0" applyNumberFormat="1" applyFont="1" applyFill="1" applyBorder="1">
      <alignment horizontal="center" vertical="center"/>
    </xf>
    <xf numFmtId="0" fontId="5" fillId="0" borderId="633" xfId="0" applyFont="1" applyBorder="1" applyAlignment="1">
      <alignment horizontal="center"/>
    </xf>
    <xf numFmtId="0" fontId="5" fillId="0" borderId="666" xfId="0" applyFont="1" applyBorder="1" applyAlignment="1">
      <alignment horizontal="center"/>
    </xf>
    <xf numFmtId="0" fontId="5" fillId="0" borderId="667" xfId="0" applyFont="1" applyBorder="1" applyAlignment="1">
      <alignment horizontal="left"/>
    </xf>
    <xf numFmtId="0" fontId="0" fillId="0" borderId="668" xfId="0" applyBorder="1" applyAlignment="1">
      <alignment horizontal="left" vertical="center"/>
    </xf>
    <xf numFmtId="0" fontId="0" fillId="0" borderId="669" xfId="0" applyBorder="1" applyAlignment="1">
      <alignment horizontal="left" vertical="center"/>
    </xf>
    <xf numFmtId="49" fontId="0" fillId="0" borderId="670" xfId="0" applyNumberFormat="1" applyBorder="1" applyAlignment="1">
      <alignment horizontal="left"/>
    </xf>
    <xf numFmtId="49" fontId="0" fillId="0" borderId="670" xfId="0" applyNumberFormat="1" applyBorder="1" applyAlignment="1">
      <alignment horizontal="left" vertical="center"/>
    </xf>
    <xf numFmtId="0" fontId="4" fillId="0" borderId="633" xfId="0" applyFont="1" applyBorder="1" applyAlignment="1">
      <alignment horizontal="center"/>
    </xf>
    <xf numFmtId="0" fontId="0" fillId="0" borderId="671" xfId="0" applyBorder="1" applyAlignment="1">
      <alignment horizontal="left" vertical="center"/>
    </xf>
    <xf numFmtId="0" fontId="0" fillId="0" borderId="672" xfId="0" applyBorder="1" applyAlignment="1">
      <alignment horizontal="left" vertical="center"/>
    </xf>
    <xf numFmtId="49" fontId="0" fillId="0" borderId="672" xfId="0" applyNumberFormat="1" applyBorder="1" applyAlignment="1">
      <alignment horizontal="left"/>
    </xf>
    <xf numFmtId="0" fontId="7" fillId="0" borderId="673" xfId="0" applyFont="1" applyBorder="1" applyAlignment="1">
      <alignment horizontal="center"/>
    </xf>
    <xf numFmtId="0" fontId="5" fillId="0" borderId="633" xfId="0" applyFont="1" applyBorder="1" applyAlignment="1" applyProtection="1">
      <alignment horizontal="center"/>
      <protection locked="0"/>
    </xf>
    <xf numFmtId="0" fontId="5" fillId="76" borderId="633" xfId="0" applyFont="1" applyFill="1" applyBorder="1" applyAlignment="1">
      <alignment horizontal="left"/>
    </xf>
    <xf numFmtId="0" fontId="0" fillId="76" borderId="633" xfId="43" applyFont="1" applyFill="1" applyBorder="1">
      <alignment horizontal="center" vertical="center"/>
    </xf>
    <xf numFmtId="0" fontId="0" fillId="76" borderId="633" xfId="0" applyFill="1" applyBorder="1">
      <alignment horizontal="center" vertical="center"/>
    </xf>
    <xf numFmtId="0" fontId="0" fillId="0" borderId="633" xfId="0" applyBorder="1" applyAlignment="1" applyProtection="1">
      <alignment horizontal="center"/>
      <protection locked="0"/>
    </xf>
    <xf numFmtId="0" fontId="0" fillId="0" borderId="633" xfId="0" applyBorder="1" applyAlignment="1">
      <alignment horizontal="left"/>
    </xf>
    <xf numFmtId="0" fontId="5" fillId="76" borderId="633" xfId="0" applyFont="1" applyFill="1" applyBorder="1" applyAlignment="1">
      <alignment vertical="center"/>
    </xf>
    <xf numFmtId="0" fontId="0" fillId="0" borderId="633" xfId="0" applyBorder="1" applyAlignment="1">
      <alignment vertical="center"/>
    </xf>
    <xf numFmtId="0" fontId="8" fillId="73" borderId="674" xfId="44" applyBorder="1">
      <alignment horizontal="center" vertical="center"/>
    </xf>
    <xf numFmtId="49" fontId="0" fillId="53" borderId="674" xfId="0" applyNumberFormat="1" applyFill="1" applyBorder="1">
      <alignment horizontal="center" vertical="center"/>
    </xf>
    <xf numFmtId="0" fontId="4" fillId="0" borderId="633" xfId="0" applyFont="1" applyBorder="1" applyAlignment="1" applyProtection="1">
      <alignment horizontal="center"/>
      <protection locked="0"/>
    </xf>
    <xf numFmtId="0" fontId="8" fillId="57" borderId="674" xfId="33" applyBorder="1">
      <alignment horizontal="center" vertical="center"/>
    </xf>
    <xf numFmtId="0" fontId="8" fillId="54" borderId="674" xfId="50" applyBorder="1">
      <alignment horizontal="center" vertical="center"/>
    </xf>
    <xf numFmtId="0" fontId="5" fillId="0" borderId="675" xfId="0" applyFont="1" applyBorder="1" applyAlignment="1">
      <alignment horizontal="center"/>
    </xf>
    <xf numFmtId="0" fontId="5" fillId="0" borderId="676" xfId="0" applyFont="1" applyBorder="1" applyAlignment="1">
      <alignment horizontal="center"/>
    </xf>
    <xf numFmtId="0" fontId="4" fillId="0" borderId="667" xfId="0" applyFont="1" applyBorder="1" applyAlignment="1">
      <alignment horizontal="left"/>
    </xf>
    <xf numFmtId="0" fontId="0" fillId="0" borderId="650" xfId="0" applyBorder="1" applyAlignment="1">
      <alignment vertical="center"/>
    </xf>
    <xf numFmtId="49" fontId="0" fillId="51" borderId="677" xfId="0" applyNumberFormat="1" applyFill="1" applyBorder="1">
      <alignment horizontal="center" vertical="center"/>
    </xf>
    <xf numFmtId="0" fontId="0" fillId="24" borderId="674" xfId="0" applyFill="1" applyBorder="1" applyAlignment="1" applyProtection="1">
      <alignment horizontal="center"/>
      <protection locked="0"/>
    </xf>
    <xf numFmtId="0" fontId="5" fillId="77" borderId="678" xfId="0" applyFont="1" applyFill="1" applyBorder="1">
      <alignment horizontal="center" vertical="center"/>
    </xf>
    <xf numFmtId="0" fontId="0" fillId="76" borderId="674" xfId="0" applyFill="1" applyBorder="1">
      <alignment horizontal="center" vertical="center"/>
    </xf>
    <xf numFmtId="0" fontId="0" fillId="76" borderId="677" xfId="0" applyFill="1" applyBorder="1">
      <alignment horizontal="center" vertical="center"/>
    </xf>
    <xf numFmtId="0" fontId="0" fillId="0" borderId="674" xfId="0" applyBorder="1" applyAlignment="1" applyProtection="1">
      <alignment horizontal="center"/>
      <protection locked="0"/>
    </xf>
    <xf numFmtId="0" fontId="0" fillId="0" borderId="678" xfId="0" applyBorder="1" applyAlignment="1">
      <alignment horizontal="left" vertical="center"/>
    </xf>
    <xf numFmtId="49" fontId="0" fillId="73" borderId="674" xfId="0" applyNumberFormat="1" applyFill="1" applyBorder="1">
      <alignment horizontal="center" vertical="center"/>
    </xf>
    <xf numFmtId="49" fontId="0" fillId="52" borderId="674" xfId="0" applyNumberFormat="1" applyFill="1" applyBorder="1">
      <alignment horizontal="center" vertical="center"/>
    </xf>
    <xf numFmtId="49" fontId="0" fillId="85" borderId="677" xfId="0" applyNumberFormat="1" applyFill="1" applyBorder="1">
      <alignment horizontal="center" vertical="center"/>
    </xf>
    <xf numFmtId="49" fontId="0" fillId="55" borderId="674" xfId="0" applyNumberFormat="1" applyFill="1" applyBorder="1">
      <alignment horizontal="center" vertical="center"/>
    </xf>
    <xf numFmtId="0" fontId="0" fillId="52" borderId="677" xfId="48" applyFont="1" applyBorder="1">
      <alignment horizontal="center" vertical="center"/>
    </xf>
    <xf numFmtId="0" fontId="0" fillId="0" borderId="679" xfId="0" applyBorder="1" applyAlignment="1" applyProtection="1">
      <alignment horizontal="center"/>
      <protection locked="0"/>
    </xf>
    <xf numFmtId="0" fontId="0" fillId="0" borderId="680" xfId="0" applyBorder="1" applyAlignment="1">
      <alignment horizontal="left" vertical="center"/>
    </xf>
    <xf numFmtId="49" fontId="0" fillId="51" borderId="681" xfId="0" applyNumberFormat="1" applyFill="1" applyBorder="1">
      <alignment horizontal="center" vertical="center"/>
    </xf>
    <xf numFmtId="0" fontId="7" fillId="29" borderId="35" xfId="0" applyFont="1" applyFill="1" applyBorder="1" applyAlignment="1">
      <alignment horizontal="center" vertical="center"/>
    </xf>
    <xf numFmtId="0" fontId="62" fillId="58" borderId="35" xfId="49" applyBorder="1" applyAlignment="1">
      <alignment horizontal="center" vertical="center"/>
    </xf>
    <xf numFmtId="0" fontId="62" fillId="59" borderId="35" xfId="51" applyBorder="1" applyAlignment="1">
      <alignment horizontal="center" vertical="center"/>
    </xf>
    <xf numFmtId="0" fontId="0" fillId="75" borderId="35" xfId="56" applyFont="1" applyBorder="1" applyAlignment="1" applyProtection="1">
      <alignment horizontal="center" vertical="center"/>
      <protection locked="0"/>
    </xf>
    <xf numFmtId="0" fontId="60" fillId="0" borderId="682" xfId="0" applyFont="1" applyBorder="1" applyAlignment="1" applyProtection="1">
      <alignment horizontal="left" vertical="center"/>
      <protection locked="0"/>
    </xf>
    <xf numFmtId="0" fontId="5" fillId="0" borderId="683" xfId="0" applyFont="1" applyBorder="1" applyAlignment="1" applyProtection="1">
      <alignment horizontal="left" vertical="center"/>
      <protection locked="0"/>
    </xf>
    <xf numFmtId="0" fontId="0" fillId="0" borderId="684" xfId="0" applyBorder="1" applyProtection="1">
      <alignment horizontal="center" vertical="center"/>
      <protection locked="0"/>
    </xf>
    <xf numFmtId="0" fontId="0" fillId="0" borderId="683" xfId="0" applyBorder="1" applyProtection="1">
      <alignment horizontal="center" vertical="center"/>
      <protection locked="0"/>
    </xf>
    <xf numFmtId="0" fontId="0" fillId="0" borderId="685" xfId="0" applyBorder="1" applyProtection="1">
      <alignment horizontal="center" vertical="center"/>
      <protection locked="0"/>
    </xf>
    <xf numFmtId="0" fontId="0" fillId="0" borderId="686" xfId="0" applyBorder="1" applyProtection="1">
      <alignment horizontal="center" vertical="center"/>
      <protection locked="0"/>
    </xf>
    <xf numFmtId="0" fontId="0" fillId="0" borderId="624" xfId="0" applyBorder="1">
      <alignment horizontal="center" vertical="center"/>
    </xf>
    <xf numFmtId="0" fontId="60" fillId="0" borderId="685" xfId="0" applyFont="1" applyBorder="1" applyAlignment="1" applyProtection="1">
      <alignment horizontal="left" vertical="center"/>
      <protection locked="0"/>
    </xf>
    <xf numFmtId="0" fontId="0" fillId="0" borderId="683" xfId="0" applyBorder="1" applyAlignment="1" applyProtection="1">
      <alignment horizontal="left" vertical="center"/>
      <protection locked="0"/>
    </xf>
    <xf numFmtId="0" fontId="0" fillId="0" borderId="684" xfId="0" applyBorder="1" applyAlignment="1" applyProtection="1">
      <alignment horizontal="left" vertical="center"/>
      <protection locked="0"/>
    </xf>
    <xf numFmtId="0" fontId="60" fillId="0" borderId="665" xfId="0" applyFont="1" applyBorder="1" applyAlignment="1" applyProtection="1">
      <alignment horizontal="left" vertical="center"/>
      <protection locked="0"/>
    </xf>
    <xf numFmtId="0" fontId="0" fillId="0" borderId="664" xfId="0" applyBorder="1" applyAlignment="1" applyProtection="1">
      <alignment horizontal="left" vertical="center"/>
      <protection locked="0"/>
    </xf>
    <xf numFmtId="0" fontId="60" fillId="0" borderId="687" xfId="0" applyFont="1" applyBorder="1" applyAlignment="1" applyProtection="1">
      <alignment horizontal="left" vertical="center"/>
      <protection locked="0"/>
    </xf>
    <xf numFmtId="0" fontId="0" fillId="0" borderId="688" xfId="0" applyBorder="1" applyAlignment="1" applyProtection="1">
      <alignment horizontal="left" vertical="center"/>
      <protection locked="0"/>
    </xf>
    <xf numFmtId="0" fontId="60" fillId="0" borderId="215" xfId="0" applyFont="1" applyBorder="1" applyAlignment="1" applyProtection="1">
      <alignment horizontal="left" vertical="center"/>
      <protection locked="0"/>
    </xf>
    <xf numFmtId="0" fontId="0" fillId="0" borderId="219" xfId="0" applyBorder="1" applyAlignment="1" applyProtection="1">
      <alignment horizontal="left" vertical="center"/>
      <protection locked="0"/>
    </xf>
    <xf numFmtId="0" fontId="0" fillId="0" borderId="220" xfId="0" applyBorder="1" applyAlignment="1" applyProtection="1">
      <alignment horizontal="left" vertical="center"/>
      <protection locked="0"/>
    </xf>
    <xf numFmtId="0" fontId="0" fillId="0" borderId="219" xfId="0" applyBorder="1" applyProtection="1">
      <alignment horizontal="center" vertical="center"/>
      <protection locked="0"/>
    </xf>
    <xf numFmtId="0" fontId="0" fillId="0" borderId="220" xfId="0" applyBorder="1" applyProtection="1">
      <alignment horizontal="center" vertical="center"/>
      <protection locked="0"/>
    </xf>
    <xf numFmtId="0" fontId="60" fillId="0" borderId="216" xfId="0" applyFont="1" applyBorder="1" applyAlignment="1" applyProtection="1">
      <alignment horizontal="left" vertical="center"/>
      <protection locked="0"/>
    </xf>
    <xf numFmtId="0" fontId="0" fillId="0" borderId="221" xfId="0" applyBorder="1" applyProtection="1">
      <alignment horizontal="center" vertical="center"/>
      <protection locked="0"/>
    </xf>
    <xf numFmtId="0" fontId="0" fillId="0" borderId="689" xfId="0" applyBorder="1" applyAlignment="1">
      <alignment horizontal="left" vertical="center"/>
    </xf>
    <xf numFmtId="0" fontId="0" fillId="51" borderId="404" xfId="43" applyFont="1" applyFill="1" applyBorder="1" applyProtection="1">
      <alignment horizontal="center" vertical="center"/>
      <protection locked="0"/>
    </xf>
    <xf numFmtId="0" fontId="0" fillId="52" borderId="404" xfId="43" applyFont="1" applyFill="1" applyBorder="1" applyProtection="1">
      <alignment horizontal="center" vertical="center"/>
      <protection locked="0"/>
    </xf>
    <xf numFmtId="0" fontId="0" fillId="51" borderId="404" xfId="32" applyFont="1" applyFill="1" applyBorder="1" applyAlignment="1" applyProtection="1">
      <alignment horizontal="center" vertical="center"/>
      <protection locked="0"/>
    </xf>
    <xf numFmtId="0" fontId="0" fillId="51" borderId="404" xfId="48" applyFont="1" applyFill="1" applyBorder="1" applyProtection="1">
      <alignment horizontal="center" vertical="center"/>
      <protection locked="0"/>
    </xf>
    <xf numFmtId="0" fontId="0" fillId="51" borderId="651" xfId="43" applyFont="1" applyFill="1" applyBorder="1" applyProtection="1">
      <alignment horizontal="center" vertical="center"/>
      <protection locked="0"/>
    </xf>
    <xf numFmtId="0" fontId="0" fillId="0" borderId="690" xfId="0" applyBorder="1" applyAlignment="1">
      <alignment horizontal="left" vertical="center"/>
    </xf>
    <xf numFmtId="0" fontId="0" fillId="51" borderId="691" xfId="43" applyFont="1" applyFill="1" applyBorder="1" applyProtection="1">
      <alignment horizontal="center" vertical="center"/>
      <protection locked="0"/>
    </xf>
    <xf numFmtId="0" fontId="0" fillId="51" borderId="691" xfId="32" applyFont="1" applyFill="1" applyBorder="1" applyAlignment="1" applyProtection="1">
      <alignment horizontal="center" vertical="center"/>
      <protection locked="0"/>
    </xf>
    <xf numFmtId="0" fontId="0" fillId="51" borderId="691" xfId="48" applyFont="1" applyFill="1" applyBorder="1" applyProtection="1">
      <alignment horizontal="center" vertical="center"/>
      <protection locked="0"/>
    </xf>
    <xf numFmtId="0" fontId="0" fillId="51" borderId="692" xfId="43" applyFont="1" applyFill="1" applyBorder="1" applyProtection="1">
      <alignment horizontal="center" vertical="center"/>
      <protection locked="0"/>
    </xf>
    <xf numFmtId="0" fontId="0" fillId="0" borderId="693" xfId="0" applyBorder="1" applyAlignment="1">
      <alignment horizontal="left" vertical="center"/>
    </xf>
    <xf numFmtId="0" fontId="0" fillId="51" borderId="694" xfId="43" applyFont="1" applyFill="1" applyBorder="1" applyProtection="1">
      <alignment horizontal="center" vertical="center"/>
      <protection locked="0"/>
    </xf>
    <xf numFmtId="0" fontId="0" fillId="51" borderId="694" xfId="32" applyFont="1" applyFill="1" applyBorder="1" applyAlignment="1" applyProtection="1">
      <alignment horizontal="center" vertical="center"/>
      <protection locked="0"/>
    </xf>
    <xf numFmtId="0" fontId="0" fillId="0" borderId="694" xfId="48" applyFont="1" applyFill="1" applyBorder="1" applyProtection="1">
      <alignment horizontal="center" vertical="center"/>
      <protection locked="0"/>
    </xf>
    <xf numFmtId="0" fontId="8" fillId="0" borderId="694" xfId="48" applyFill="1" applyBorder="1" applyProtection="1">
      <alignment horizontal="center" vertical="center"/>
      <protection locked="0"/>
    </xf>
    <xf numFmtId="0" fontId="0" fillId="0" borderId="694" xfId="43" applyFont="1" applyFill="1" applyBorder="1" applyProtection="1">
      <alignment horizontal="center" vertical="center"/>
      <protection locked="0"/>
    </xf>
    <xf numFmtId="0" fontId="0" fillId="51" borderId="694" xfId="48" applyFont="1" applyFill="1" applyBorder="1" applyProtection="1">
      <alignment horizontal="center" vertical="center"/>
      <protection locked="0"/>
    </xf>
    <xf numFmtId="0" fontId="0" fillId="51" borderId="695" xfId="43" applyFont="1" applyFill="1" applyBorder="1" applyProtection="1">
      <alignment horizontal="center" vertical="center"/>
      <protection locked="0"/>
    </xf>
    <xf numFmtId="1" fontId="0" fillId="51" borderId="694" xfId="20" applyNumberFormat="1" applyFont="1" applyFill="1" applyBorder="1" applyAlignment="1" applyProtection="1">
      <alignment horizontal="center" vertical="center"/>
      <protection locked="0"/>
    </xf>
    <xf numFmtId="1" fontId="0" fillId="51" borderId="691" xfId="0" applyNumberFormat="1" applyFill="1" applyBorder="1" applyProtection="1">
      <alignment horizontal="center" vertical="center"/>
      <protection locked="0"/>
    </xf>
    <xf numFmtId="1" fontId="0" fillId="51" borderId="691" xfId="32" applyNumberFormat="1" applyFont="1" applyFill="1" applyBorder="1" applyAlignment="1" applyProtection="1">
      <alignment horizontal="center" vertical="center"/>
      <protection locked="0"/>
    </xf>
    <xf numFmtId="0" fontId="0" fillId="51" borderId="691" xfId="44" applyFont="1" applyFill="1" applyBorder="1" applyProtection="1">
      <alignment horizontal="center" vertical="center"/>
      <protection locked="0"/>
    </xf>
    <xf numFmtId="1" fontId="0" fillId="87" borderId="691" xfId="0" applyNumberFormat="1" applyFill="1" applyBorder="1" applyProtection="1">
      <alignment horizontal="center" vertical="center"/>
      <protection locked="0"/>
    </xf>
    <xf numFmtId="0" fontId="10" fillId="51" borderId="695" xfId="0" applyFont="1" applyFill="1" applyBorder="1" applyProtection="1">
      <alignment horizontal="center" vertical="center"/>
      <protection locked="0"/>
    </xf>
    <xf numFmtId="0" fontId="8" fillId="0" borderId="690" xfId="0" applyFont="1" applyBorder="1" applyAlignment="1">
      <alignment horizontal="left" vertical="center"/>
    </xf>
    <xf numFmtId="0" fontId="0" fillId="51" borderId="691" xfId="0" applyFill="1" applyBorder="1" applyProtection="1">
      <alignment horizontal="center" vertical="center"/>
      <protection locked="0"/>
    </xf>
    <xf numFmtId="0" fontId="0" fillId="0" borderId="691" xfId="0" applyBorder="1" applyProtection="1">
      <alignment horizontal="center" vertical="center"/>
      <protection locked="0"/>
    </xf>
    <xf numFmtId="0" fontId="0" fillId="51" borderId="692" xfId="0" applyFill="1" applyBorder="1" applyProtection="1">
      <alignment horizontal="center" vertical="center"/>
      <protection locked="0"/>
    </xf>
    <xf numFmtId="1" fontId="0" fillId="51" borderId="691" xfId="20" applyNumberFormat="1" applyFont="1" applyFill="1" applyBorder="1" applyAlignment="1" applyProtection="1">
      <alignment horizontal="center" vertical="center"/>
      <protection locked="0"/>
    </xf>
    <xf numFmtId="0" fontId="0" fillId="51" borderId="691" xfId="20" applyFont="1" applyFill="1" applyBorder="1" applyAlignment="1" applyProtection="1">
      <alignment horizontal="center" vertical="center"/>
      <protection locked="0"/>
    </xf>
    <xf numFmtId="0" fontId="10" fillId="60" borderId="692" xfId="0" applyFont="1" applyFill="1" applyBorder="1" applyProtection="1">
      <alignment horizontal="center" vertical="center"/>
      <protection locked="0"/>
    </xf>
    <xf numFmtId="1" fontId="0" fillId="51" borderId="691" xfId="44" applyNumberFormat="1" applyFont="1" applyFill="1" applyBorder="1" applyProtection="1">
      <alignment horizontal="center" vertical="center"/>
      <protection locked="0"/>
    </xf>
    <xf numFmtId="0" fontId="8" fillId="0" borderId="691" xfId="44" applyFill="1" applyBorder="1" applyProtection="1">
      <alignment horizontal="center" vertical="center"/>
      <protection locked="0"/>
    </xf>
    <xf numFmtId="0" fontId="8" fillId="52" borderId="691" xfId="48" applyBorder="1" applyProtection="1">
      <alignment horizontal="center" vertical="center"/>
      <protection locked="0"/>
    </xf>
    <xf numFmtId="0" fontId="10" fillId="51" borderId="692" xfId="0" applyFont="1" applyFill="1" applyBorder="1" applyProtection="1">
      <alignment horizontal="center" vertical="center"/>
      <protection locked="0"/>
    </xf>
    <xf numFmtId="0" fontId="0" fillId="51" borderId="691" xfId="49" applyFont="1" applyFill="1" applyBorder="1" applyProtection="1">
      <alignment horizontal="center" vertical="center"/>
      <protection locked="0"/>
    </xf>
    <xf numFmtId="0" fontId="0" fillId="0" borderId="650" xfId="0" applyBorder="1" applyAlignment="1">
      <alignment horizontal="left" vertical="center"/>
    </xf>
    <xf numFmtId="0" fontId="0" fillId="0" borderId="696" xfId="0" applyBorder="1" applyAlignment="1">
      <alignment horizontal="left" vertical="center"/>
    </xf>
    <xf numFmtId="0" fontId="0" fillId="0" borderId="697" xfId="0" applyBorder="1" applyProtection="1">
      <alignment horizontal="center" vertical="center"/>
      <protection locked="0"/>
    </xf>
    <xf numFmtId="49" fontId="0" fillId="0" borderId="697" xfId="0" applyNumberFormat="1" applyBorder="1" applyProtection="1">
      <alignment horizontal="center" vertical="center"/>
      <protection locked="0"/>
    </xf>
    <xf numFmtId="0" fontId="8" fillId="0" borderId="698" xfId="0" applyFont="1" applyBorder="1" applyAlignment="1">
      <alignment horizontal="left" vertical="center"/>
    </xf>
    <xf numFmtId="49" fontId="0" fillId="51" borderId="691" xfId="0" applyNumberFormat="1" applyFill="1" applyBorder="1" applyProtection="1">
      <alignment horizontal="center" vertical="center"/>
      <protection locked="0"/>
    </xf>
    <xf numFmtId="0" fontId="0" fillId="51" borderId="697" xfId="0" applyFill="1" applyBorder="1" applyProtection="1">
      <alignment horizontal="center" vertical="center"/>
      <protection locked="0"/>
    </xf>
    <xf numFmtId="0" fontId="0" fillId="51" borderId="699" xfId="0" applyFill="1" applyBorder="1" applyProtection="1">
      <alignment horizontal="center" vertical="center"/>
      <protection locked="0"/>
    </xf>
    <xf numFmtId="49" fontId="0" fillId="51" borderId="697" xfId="0" applyNumberFormat="1" applyFill="1" applyBorder="1" applyProtection="1">
      <alignment horizontal="center" vertical="center"/>
      <protection locked="0"/>
    </xf>
    <xf numFmtId="49" fontId="0" fillId="51" borderId="699" xfId="0" applyNumberFormat="1" applyFill="1" applyBorder="1" applyProtection="1">
      <alignment horizontal="center" vertical="center"/>
      <protection locked="0"/>
    </xf>
    <xf numFmtId="0" fontId="0" fillId="51" borderId="700" xfId="0" applyFill="1" applyBorder="1" applyProtection="1">
      <alignment horizontal="center" vertical="center"/>
      <protection locked="0"/>
    </xf>
    <xf numFmtId="0" fontId="0" fillId="0" borderId="400" xfId="0" applyBorder="1" applyAlignment="1" applyProtection="1">
      <alignment horizontal="left"/>
      <protection locked="0"/>
    </xf>
    <xf numFmtId="0" fontId="5" fillId="0" borderId="396" xfId="0" applyFont="1" applyBorder="1" applyAlignment="1" applyProtection="1">
      <alignment vertical="center"/>
      <protection locked="0"/>
    </xf>
    <xf numFmtId="0" fontId="0" fillId="0" borderId="400" xfId="0" applyBorder="1" applyProtection="1">
      <alignment horizontal="center" vertical="center"/>
      <protection locked="0"/>
    </xf>
    <xf numFmtId="0" fontId="5" fillId="0" borderId="399" xfId="0" applyFont="1" applyBorder="1" applyAlignment="1" applyProtection="1">
      <alignment horizontal="left" vertical="center"/>
      <protection locked="0"/>
    </xf>
    <xf numFmtId="0" fontId="5" fillId="0" borderId="399" xfId="0" applyFont="1" applyBorder="1" applyAlignment="1" applyProtection="1">
      <alignment horizontal="left"/>
      <protection locked="0"/>
    </xf>
    <xf numFmtId="0" fontId="84" fillId="0" borderId="396" xfId="0" applyFont="1" applyBorder="1" applyAlignment="1" applyProtection="1">
      <alignment wrapText="1"/>
      <protection locked="0"/>
    </xf>
    <xf numFmtId="0" fontId="5" fillId="0" borderId="396" xfId="0" applyFont="1" applyBorder="1" applyAlignment="1" applyProtection="1">
      <alignment wrapText="1"/>
      <protection locked="0"/>
    </xf>
    <xf numFmtId="0" fontId="5" fillId="0" borderId="398" xfId="0" applyFont="1" applyBorder="1" applyAlignment="1" applyProtection="1">
      <alignment vertical="center"/>
      <protection locked="0"/>
    </xf>
    <xf numFmtId="0" fontId="0" fillId="0" borderId="398" xfId="0" applyBorder="1" applyProtection="1">
      <alignment horizontal="center" vertical="center"/>
      <protection locked="0"/>
    </xf>
    <xf numFmtId="0" fontId="5" fillId="0" borderId="701" xfId="0" applyFont="1" applyBorder="1" applyAlignment="1">
      <alignment horizontal="left" vertical="center"/>
    </xf>
    <xf numFmtId="0" fontId="0" fillId="0" borderId="702" xfId="0" applyBorder="1" applyProtection="1">
      <alignment horizontal="center" vertical="center"/>
      <protection locked="0"/>
    </xf>
    <xf numFmtId="0" fontId="5" fillId="0" borderId="703" xfId="0" applyFont="1" applyBorder="1" applyAlignment="1" applyProtection="1">
      <alignment vertical="center"/>
      <protection locked="0"/>
    </xf>
    <xf numFmtId="0" fontId="14" fillId="0" borderId="704" xfId="0" applyFont="1" applyBorder="1" applyProtection="1">
      <alignment horizontal="center" vertical="center"/>
      <protection locked="0"/>
    </xf>
    <xf numFmtId="0" fontId="0" fillId="0" borderId="704" xfId="0" applyBorder="1" applyProtection="1">
      <alignment horizontal="center" vertical="center"/>
      <protection locked="0"/>
    </xf>
    <xf numFmtId="0" fontId="0" fillId="0" borderId="705" xfId="0" applyBorder="1" applyProtection="1">
      <alignment horizontal="center" vertical="center"/>
      <protection locked="0"/>
    </xf>
    <xf numFmtId="0" fontId="5" fillId="0" borderId="706" xfId="0" applyFont="1" applyBorder="1" applyAlignment="1" applyProtection="1">
      <alignment horizontal="left" vertical="center"/>
      <protection locked="0"/>
    </xf>
    <xf numFmtId="0" fontId="14" fillId="0" borderId="702" xfId="0" applyFont="1" applyBorder="1" applyProtection="1">
      <alignment horizontal="center" vertical="center"/>
      <protection locked="0"/>
    </xf>
    <xf numFmtId="0" fontId="5" fillId="0" borderId="702" xfId="0" applyFont="1" applyBorder="1" applyProtection="1">
      <alignment horizontal="center" vertical="center"/>
      <protection locked="0"/>
    </xf>
    <xf numFmtId="0" fontId="5" fillId="0" borderId="707" xfId="0" applyFont="1" applyBorder="1" applyAlignment="1">
      <alignment horizontal="left" vertical="center"/>
    </xf>
    <xf numFmtId="0" fontId="0" fillId="0" borderId="703" xfId="0" applyBorder="1" applyAlignment="1" applyProtection="1">
      <alignment vertical="center"/>
      <protection locked="0"/>
    </xf>
    <xf numFmtId="0" fontId="5" fillId="0" borderId="703" xfId="0" applyFont="1" applyBorder="1" applyProtection="1">
      <alignment horizontal="center" vertical="center"/>
      <protection locked="0"/>
    </xf>
    <xf numFmtId="0" fontId="0" fillId="0" borderId="704" xfId="0" applyBorder="1" applyAlignment="1" applyProtection="1">
      <alignment horizontal="left" vertical="center"/>
      <protection locked="0"/>
    </xf>
    <xf numFmtId="0" fontId="5" fillId="0" borderId="708" xfId="0" applyFont="1" applyBorder="1" applyAlignment="1">
      <alignment horizontal="left" vertical="center"/>
    </xf>
    <xf numFmtId="0" fontId="0" fillId="0" borderId="709" xfId="0" applyBorder="1" applyProtection="1">
      <alignment horizontal="center" vertical="center"/>
      <protection locked="0"/>
    </xf>
    <xf numFmtId="0" fontId="0" fillId="0" borderId="710" xfId="0" applyBorder="1" applyAlignment="1" applyProtection="1">
      <alignment vertical="center"/>
      <protection locked="0"/>
    </xf>
    <xf numFmtId="0" fontId="0" fillId="0" borderId="711" xfId="0" applyBorder="1" applyProtection="1">
      <alignment horizontal="center" vertical="center"/>
      <protection locked="0"/>
    </xf>
    <xf numFmtId="0" fontId="5" fillId="0" borderId="710" xfId="0" applyFont="1" applyBorder="1" applyProtection="1">
      <alignment horizontal="center" vertical="center"/>
      <protection locked="0"/>
    </xf>
    <xf numFmtId="0" fontId="0" fillId="0" borderId="709" xfId="0" applyBorder="1" applyAlignment="1" applyProtection="1">
      <alignment horizontal="left" vertical="center"/>
      <protection locked="0"/>
    </xf>
    <xf numFmtId="0" fontId="14" fillId="0" borderId="709" xfId="0" applyFont="1" applyBorder="1" applyProtection="1">
      <alignment horizontal="center" vertical="center"/>
      <protection locked="0"/>
    </xf>
    <xf numFmtId="0" fontId="5" fillId="0" borderId="709" xfId="0" applyFont="1" applyBorder="1" applyAlignment="1" applyProtection="1">
      <alignment horizontal="left" vertical="center"/>
      <protection locked="0"/>
    </xf>
    <xf numFmtId="0" fontId="86" fillId="0" borderId="0" xfId="0" applyFont="1" applyBorder="1" applyAlignment="1" applyProtection="1">
      <alignment horizontal="center" vertical="center"/>
      <protection locked="0"/>
    </xf>
    <xf numFmtId="0" fontId="0" fillId="51" borderId="712" xfId="0" applyFill="1" applyBorder="1" applyAlignment="1">
      <alignment horizontal="left" vertical="center"/>
    </xf>
    <xf numFmtId="49" fontId="0" fillId="53" borderId="697" xfId="0" applyNumberFormat="1" applyFill="1" applyBorder="1" applyProtection="1">
      <alignment horizontal="center" vertical="center"/>
      <protection locked="0"/>
    </xf>
    <xf numFmtId="0" fontId="0" fillId="53" borderId="699" xfId="0" applyFill="1" applyBorder="1" applyProtection="1">
      <alignment horizontal="center" vertical="center"/>
      <protection locked="0"/>
    </xf>
    <xf numFmtId="0" fontId="0" fillId="51" borderId="691" xfId="47" applyFont="1" applyFill="1" applyBorder="1" applyProtection="1">
      <alignment horizontal="center" vertical="center"/>
      <protection locked="0"/>
    </xf>
    <xf numFmtId="0" fontId="0" fillId="52" borderId="691" xfId="47" applyFont="1" applyFill="1" applyBorder="1" applyProtection="1">
      <alignment horizontal="center" vertical="center"/>
      <protection locked="0"/>
    </xf>
    <xf numFmtId="0" fontId="0" fillId="52" borderId="691" xfId="0" applyFill="1" applyBorder="1" applyProtection="1">
      <alignment horizontal="center" vertical="center"/>
      <protection locked="0"/>
    </xf>
    <xf numFmtId="0" fontId="0" fillId="52" borderId="692" xfId="0" applyFill="1" applyBorder="1" applyProtection="1">
      <alignment horizontal="center" vertical="center"/>
      <protection locked="0"/>
    </xf>
    <xf numFmtId="0" fontId="8" fillId="54" borderId="691" xfId="50" applyBorder="1" applyProtection="1">
      <alignment horizontal="center" vertical="center"/>
      <protection locked="0"/>
    </xf>
    <xf numFmtId="0" fontId="52" fillId="56" borderId="691" xfId="0" applyFont="1" applyFill="1" applyBorder="1" applyProtection="1">
      <alignment horizontal="center" vertical="center"/>
      <protection locked="0"/>
    </xf>
    <xf numFmtId="0" fontId="52" fillId="56" borderId="691" xfId="48" applyFont="1" applyFill="1" applyBorder="1" applyProtection="1">
      <alignment horizontal="center" vertical="center"/>
      <protection locked="0"/>
    </xf>
    <xf numFmtId="0" fontId="0" fillId="52" borderId="691" xfId="48" applyFont="1" applyBorder="1" applyProtection="1">
      <alignment horizontal="center" vertical="center"/>
      <protection locked="0"/>
    </xf>
    <xf numFmtId="49" fontId="0" fillId="52" borderId="691" xfId="0" applyNumberFormat="1" applyFill="1" applyBorder="1" applyProtection="1">
      <alignment horizontal="center" vertical="center"/>
      <protection locked="0"/>
    </xf>
    <xf numFmtId="0" fontId="0" fillId="0" borderId="691" xfId="48" applyFont="1" applyFill="1" applyBorder="1" applyProtection="1">
      <alignment horizontal="center" vertical="center"/>
      <protection locked="0"/>
    </xf>
    <xf numFmtId="0" fontId="0" fillId="52" borderId="691" xfId="43" applyFont="1" applyFill="1" applyBorder="1" applyProtection="1">
      <alignment horizontal="center" vertical="center"/>
      <protection locked="0"/>
    </xf>
    <xf numFmtId="0" fontId="0" fillId="0" borderId="691" xfId="43" applyFont="1" applyFill="1" applyBorder="1" applyProtection="1">
      <alignment horizontal="center" vertical="center"/>
      <protection locked="0"/>
    </xf>
    <xf numFmtId="0" fontId="0" fillId="0" borderId="691" xfId="56" applyFont="1" applyFill="1" applyBorder="1" applyProtection="1">
      <alignment horizontal="center" vertical="center"/>
      <protection locked="0"/>
    </xf>
    <xf numFmtId="0" fontId="0" fillId="53" borderId="691" xfId="0" applyFill="1" applyBorder="1" applyProtection="1">
      <alignment horizontal="center" vertical="center"/>
      <protection locked="0"/>
    </xf>
    <xf numFmtId="49" fontId="0" fillId="0" borderId="691" xfId="0" applyNumberFormat="1" applyBorder="1" applyProtection="1">
      <alignment horizontal="center" vertical="center"/>
      <protection locked="0"/>
    </xf>
    <xf numFmtId="49" fontId="0" fillId="73" borderId="691" xfId="0" applyNumberFormat="1" applyFill="1" applyBorder="1" applyProtection="1">
      <alignment horizontal="center" vertical="center"/>
      <protection locked="0"/>
    </xf>
    <xf numFmtId="0" fontId="0" fillId="0" borderId="692" xfId="0" applyBorder="1" applyProtection="1">
      <alignment horizontal="center" vertical="center"/>
      <protection locked="0"/>
    </xf>
    <xf numFmtId="0" fontId="0" fillId="55" borderId="691" xfId="0" applyFill="1" applyBorder="1" applyProtection="1">
      <alignment horizontal="center" vertical="center"/>
      <protection locked="0"/>
    </xf>
    <xf numFmtId="0" fontId="0" fillId="51" borderId="713" xfId="20" applyFont="1" applyFill="1" applyBorder="1" applyAlignment="1" applyProtection="1">
      <alignment horizontal="center" vertical="center"/>
      <protection locked="0"/>
    </xf>
    <xf numFmtId="0" fontId="0" fillId="0" borderId="714" xfId="0" applyBorder="1" applyAlignment="1">
      <alignment horizontal="left" vertical="center"/>
    </xf>
    <xf numFmtId="1" fontId="0" fillId="0" borderId="691" xfId="32" applyNumberFormat="1" applyFont="1" applyFill="1" applyBorder="1" applyAlignment="1" applyProtection="1">
      <alignment horizontal="center" vertical="center"/>
      <protection locked="0"/>
    </xf>
    <xf numFmtId="0" fontId="0" fillId="0" borderId="698" xfId="0" applyBorder="1" applyAlignment="1">
      <alignment horizontal="left" vertical="center"/>
    </xf>
    <xf numFmtId="0" fontId="8" fillId="74" borderId="691" xfId="47" applyBorder="1" applyProtection="1">
      <alignment horizontal="center" vertical="center"/>
      <protection locked="0"/>
    </xf>
    <xf numFmtId="0" fontId="0" fillId="74" borderId="691" xfId="47" applyFont="1" applyBorder="1" applyProtection="1">
      <alignment horizontal="center" vertical="center"/>
      <protection locked="0"/>
    </xf>
    <xf numFmtId="0" fontId="8" fillId="91" borderId="697" xfId="56" applyFill="1" applyBorder="1" applyProtection="1">
      <alignment horizontal="center" vertical="center"/>
      <protection locked="0"/>
    </xf>
    <xf numFmtId="0" fontId="0" fillId="51" borderId="715" xfId="0" applyFill="1" applyBorder="1" applyProtection="1">
      <alignment horizontal="center" vertical="center"/>
      <protection locked="0"/>
    </xf>
    <xf numFmtId="0" fontId="65" fillId="0" borderId="698" xfId="0" applyFont="1" applyBorder="1" applyAlignment="1">
      <alignment horizontal="left"/>
    </xf>
    <xf numFmtId="0" fontId="0" fillId="55" borderId="691" xfId="44" applyFont="1" applyFill="1" applyBorder="1" applyProtection="1">
      <alignment horizontal="center" vertical="center"/>
      <protection locked="0"/>
    </xf>
    <xf numFmtId="0" fontId="8" fillId="0" borderId="691" xfId="47" applyFill="1" applyBorder="1" applyProtection="1">
      <alignment horizontal="center" vertical="center"/>
      <protection locked="0"/>
    </xf>
    <xf numFmtId="0" fontId="8" fillId="74" borderId="697" xfId="47" applyBorder="1" applyProtection="1">
      <alignment horizontal="center" vertical="center"/>
      <protection locked="0"/>
    </xf>
    <xf numFmtId="0" fontId="0" fillId="51" borderId="714" xfId="0" applyFill="1" applyBorder="1" applyAlignment="1">
      <alignment horizontal="left" vertical="center"/>
    </xf>
    <xf numFmtId="0" fontId="0" fillId="0" borderId="691" xfId="47" applyFont="1" applyFill="1" applyBorder="1" applyProtection="1">
      <alignment horizontal="center" vertical="center"/>
      <protection locked="0"/>
    </xf>
    <xf numFmtId="49" fontId="0" fillId="16" borderId="713" xfId="20" applyNumberFormat="1" applyFont="1" applyBorder="1" applyAlignment="1" applyProtection="1">
      <alignment horizontal="center" vertical="center"/>
      <protection locked="0"/>
    </xf>
    <xf numFmtId="0" fontId="0" fillId="51" borderId="697" xfId="48" applyFont="1" applyFill="1" applyBorder="1" applyProtection="1">
      <alignment horizontal="center" vertical="center"/>
      <protection locked="0"/>
    </xf>
    <xf numFmtId="0" fontId="0" fillId="55" borderId="694" xfId="48" applyFont="1" applyFill="1" applyBorder="1" applyProtection="1">
      <alignment horizontal="center" vertical="center"/>
      <protection locked="0"/>
    </xf>
    <xf numFmtId="0" fontId="8" fillId="55" borderId="694" xfId="45" applyBorder="1" applyProtection="1">
      <alignment horizontal="center" vertical="center"/>
      <protection locked="0"/>
    </xf>
    <xf numFmtId="0" fontId="8" fillId="74" borderId="694" xfId="47" applyBorder="1" applyProtection="1">
      <alignment horizontal="center" vertical="center"/>
      <protection locked="0"/>
    </xf>
    <xf numFmtId="0" fontId="0" fillId="74" borderId="694" xfId="47" applyFont="1" applyBorder="1" applyProtection="1">
      <alignment horizontal="center" vertical="center"/>
      <protection locked="0"/>
    </xf>
    <xf numFmtId="0" fontId="0" fillId="51" borderId="694" xfId="44" applyFont="1" applyFill="1" applyBorder="1" applyProtection="1">
      <alignment horizontal="center" vertical="center"/>
      <protection locked="0"/>
    </xf>
    <xf numFmtId="0" fontId="0" fillId="51" borderId="694" xfId="47" applyFont="1" applyFill="1" applyBorder="1" applyProtection="1">
      <alignment horizontal="center" vertical="center"/>
      <protection locked="0"/>
    </xf>
    <xf numFmtId="0" fontId="0" fillId="0" borderId="716" xfId="0" applyBorder="1" applyAlignment="1">
      <alignment horizontal="left" vertical="center"/>
    </xf>
    <xf numFmtId="0" fontId="0" fillId="0" borderId="651" xfId="0" applyBorder="1" applyProtection="1">
      <alignment horizontal="center" vertical="center"/>
      <protection locked="0"/>
    </xf>
    <xf numFmtId="49" fontId="0" fillId="51" borderId="717" xfId="0" applyNumberFormat="1" applyFill="1" applyBorder="1" applyProtection="1">
      <alignment horizontal="center" vertical="center"/>
      <protection locked="0"/>
    </xf>
    <xf numFmtId="0" fontId="0" fillId="51" borderId="717" xfId="0" applyFill="1" applyBorder="1" applyProtection="1">
      <alignment horizontal="center" vertical="center"/>
      <protection locked="0"/>
    </xf>
    <xf numFmtId="0" fontId="8" fillId="74" borderId="717" xfId="47" applyBorder="1" applyProtection="1">
      <alignment horizontal="center" vertical="center"/>
      <protection locked="0"/>
    </xf>
    <xf numFmtId="0" fontId="8" fillId="53" borderId="691" xfId="43" applyBorder="1" applyProtection="1">
      <alignment horizontal="center" vertical="center"/>
      <protection locked="0"/>
    </xf>
    <xf numFmtId="0" fontId="0" fillId="0" borderId="691" xfId="0" applyBorder="1">
      <alignment horizontal="center" vertical="center"/>
    </xf>
    <xf numFmtId="0" fontId="8" fillId="53" borderId="691" xfId="43" applyBorder="1">
      <alignment horizontal="center" vertical="center"/>
    </xf>
    <xf numFmtId="0" fontId="0" fillId="53" borderId="691" xfId="48" applyFont="1" applyFill="1" applyBorder="1" applyProtection="1">
      <alignment horizontal="center" vertical="center"/>
      <protection locked="0"/>
    </xf>
    <xf numFmtId="1" fontId="0" fillId="51" borderId="404" xfId="32" applyNumberFormat="1" applyFont="1" applyFill="1" applyBorder="1" applyAlignment="1" applyProtection="1">
      <alignment horizontal="center" vertical="center"/>
      <protection locked="0"/>
    </xf>
    <xf numFmtId="0" fontId="0" fillId="0" borderId="695" xfId="0" applyBorder="1" applyProtection="1">
      <alignment horizontal="center" vertical="center"/>
      <protection locked="0"/>
    </xf>
    <xf numFmtId="20" fontId="0" fillId="0" borderId="703" xfId="0" applyNumberFormat="1" applyBorder="1" applyAlignment="1" applyProtection="1">
      <alignment horizontal="left"/>
      <protection locked="0"/>
    </xf>
    <xf numFmtId="0" fontId="0" fillId="0" borderId="704" xfId="0" applyBorder="1" applyAlignment="1" applyProtection="1">
      <alignment horizontal="left"/>
      <protection locked="0"/>
    </xf>
    <xf numFmtId="0" fontId="0" fillId="0" borderId="703" xfId="0" applyBorder="1" applyAlignment="1" applyProtection="1">
      <alignment horizontal="left"/>
      <protection locked="0"/>
    </xf>
    <xf numFmtId="0" fontId="0" fillId="0" borderId="718" xfId="0" applyBorder="1" applyAlignment="1" applyProtection="1">
      <alignment horizontal="left"/>
      <protection locked="0"/>
    </xf>
    <xf numFmtId="0" fontId="0" fillId="43" borderId="719" xfId="0" applyFill="1" applyBorder="1" applyAlignment="1">
      <alignment horizontal="center"/>
    </xf>
    <xf numFmtId="0" fontId="0" fillId="0" borderId="706" xfId="0" applyBorder="1" applyAlignment="1" applyProtection="1">
      <alignment horizontal="left"/>
      <protection locked="0"/>
    </xf>
    <xf numFmtId="0" fontId="0" fillId="0" borderId="702" xfId="0" applyBorder="1" applyAlignment="1" applyProtection="1">
      <alignment horizontal="left"/>
      <protection locked="0"/>
    </xf>
    <xf numFmtId="0" fontId="0" fillId="0" borderId="720" xfId="0" applyBorder="1" applyAlignment="1" applyProtection="1">
      <alignment horizontal="left"/>
      <protection locked="0"/>
    </xf>
    <xf numFmtId="0" fontId="0" fillId="0" borderId="703" xfId="0" applyBorder="1" applyAlignment="1" applyProtection="1">
      <alignment horizontal="left" vertical="center"/>
      <protection locked="0"/>
    </xf>
    <xf numFmtId="0" fontId="0" fillId="0" borderId="721" xfId="0" applyBorder="1" applyAlignment="1" applyProtection="1">
      <alignment horizontal="left" vertical="center"/>
      <protection locked="0"/>
    </xf>
    <xf numFmtId="0" fontId="0" fillId="0" borderId="722" xfId="0" applyBorder="1" applyProtection="1">
      <alignment horizontal="center" vertical="center"/>
      <protection locked="0"/>
    </xf>
    <xf numFmtId="0" fontId="0" fillId="43" borderId="723" xfId="0" applyFill="1" applyBorder="1" applyAlignment="1">
      <alignment horizontal="center"/>
    </xf>
    <xf numFmtId="0" fontId="0" fillId="0" borderId="724" xfId="0" applyBorder="1" applyAlignment="1" applyProtection="1">
      <alignment horizontal="left" vertical="center"/>
      <protection locked="0"/>
    </xf>
    <xf numFmtId="0" fontId="0" fillId="0" borderId="725" xfId="0" applyBorder="1" applyProtection="1">
      <alignment horizontal="center" vertical="center"/>
      <protection locked="0"/>
    </xf>
    <xf numFmtId="0" fontId="0" fillId="0" borderId="725" xfId="0" applyBorder="1" applyAlignment="1" applyProtection="1">
      <alignment horizontal="left" vertical="center"/>
      <protection locked="0"/>
    </xf>
    <xf numFmtId="0" fontId="0" fillId="0" borderId="726" xfId="0" applyBorder="1" applyAlignment="1" applyProtection="1">
      <alignment horizontal="left" vertical="center"/>
      <protection locked="0"/>
    </xf>
    <xf numFmtId="0" fontId="0" fillId="0" borderId="727" xfId="0" applyBorder="1" applyProtection="1">
      <alignment horizontal="center" vertical="center"/>
      <protection locked="0"/>
    </xf>
    <xf numFmtId="0" fontId="0" fillId="51" borderId="728" xfId="0" applyFill="1" applyBorder="1" applyAlignment="1">
      <alignment horizontal="left" vertical="center"/>
    </xf>
    <xf numFmtId="0" fontId="0" fillId="51" borderId="692" xfId="47" applyFont="1" applyFill="1" applyBorder="1" applyProtection="1">
      <alignment horizontal="center" vertical="center"/>
      <protection locked="0"/>
    </xf>
    <xf numFmtId="0" fontId="0" fillId="53" borderId="691" xfId="47" applyFont="1" applyFill="1" applyBorder="1" applyProtection="1">
      <alignment horizontal="center" vertical="center"/>
      <protection locked="0"/>
    </xf>
    <xf numFmtId="0" fontId="0" fillId="101" borderId="691" xfId="47" applyFont="1" applyFill="1" applyBorder="1" applyProtection="1">
      <alignment horizontal="center" vertical="center"/>
      <protection locked="0"/>
    </xf>
    <xf numFmtId="0" fontId="0" fillId="84" borderId="691" xfId="47" applyFont="1" applyFill="1" applyBorder="1" applyProtection="1">
      <alignment horizontal="center" vertical="center"/>
      <protection locked="0"/>
    </xf>
    <xf numFmtId="0" fontId="0" fillId="0" borderId="729" xfId="0" applyBorder="1" applyAlignment="1">
      <alignment horizontal="left" vertical="center"/>
    </xf>
    <xf numFmtId="0" fontId="0" fillId="73" borderId="691" xfId="47" applyFont="1" applyFill="1" applyBorder="1" applyProtection="1">
      <alignment horizontal="center" vertical="center"/>
      <protection locked="0"/>
    </xf>
    <xf numFmtId="0" fontId="0" fillId="86" borderId="691" xfId="47" applyFont="1" applyFill="1" applyBorder="1" applyProtection="1">
      <alignment horizontal="center" vertical="center"/>
      <protection locked="0"/>
    </xf>
    <xf numFmtId="0" fontId="0" fillId="68" borderId="432" xfId="0" applyFill="1" applyBorder="1" applyProtection="1">
      <alignment horizontal="center" vertical="center"/>
      <protection locked="0"/>
    </xf>
    <xf numFmtId="0" fontId="0" fillId="51" borderId="432" xfId="0" applyFill="1" applyBorder="1" applyProtection="1">
      <alignment horizontal="center" vertical="center"/>
      <protection locked="0"/>
    </xf>
    <xf numFmtId="0" fontId="0" fillId="51" borderId="697" xfId="46" applyFont="1" applyFill="1" applyBorder="1" applyProtection="1">
      <alignment horizontal="center" vertical="center"/>
      <protection locked="0"/>
    </xf>
    <xf numFmtId="0" fontId="0" fillId="51" borderId="726" xfId="44" applyFont="1" applyFill="1" applyBorder="1" applyProtection="1">
      <alignment horizontal="center" vertical="center"/>
      <protection locked="0"/>
    </xf>
    <xf numFmtId="0" fontId="8" fillId="75" borderId="730" xfId="56" applyBorder="1" applyProtection="1">
      <alignment horizontal="center" vertical="center"/>
      <protection locked="0"/>
    </xf>
    <xf numFmtId="0" fontId="8" fillId="75" borderId="697" xfId="56" applyBorder="1" applyProtection="1">
      <alignment horizontal="center" vertical="center"/>
      <protection locked="0"/>
    </xf>
    <xf numFmtId="49" fontId="0" fillId="16" borderId="731" xfId="20" applyNumberFormat="1" applyFont="1" applyBorder="1" applyAlignment="1" applyProtection="1">
      <alignment horizontal="center" vertical="center"/>
      <protection locked="0"/>
    </xf>
    <xf numFmtId="0" fontId="86" fillId="94" borderId="169" xfId="0" applyFont="1" applyFill="1" applyBorder="1" applyAlignment="1">
      <alignment horizontal="center" vertical="center"/>
    </xf>
    <xf numFmtId="0" fontId="86" fillId="94" borderId="170" xfId="0" applyFont="1" applyFill="1" applyBorder="1" applyAlignment="1">
      <alignment horizontal="center" vertical="center"/>
    </xf>
    <xf numFmtId="0" fontId="94" fillId="94" borderId="170" xfId="0" applyFont="1" applyFill="1" applyBorder="1" applyAlignment="1" applyProtection="1">
      <alignment horizontal="center" vertical="center"/>
      <protection locked="0"/>
    </xf>
    <xf numFmtId="0" fontId="94" fillId="94" borderId="171" xfId="0" applyFont="1" applyFill="1" applyBorder="1" applyAlignment="1" applyProtection="1">
      <alignment horizontal="center" vertical="center"/>
      <protection locked="0"/>
    </xf>
    <xf numFmtId="0" fontId="97" fillId="0" borderId="43" xfId="0" applyFont="1" applyBorder="1" applyAlignment="1">
      <alignment horizontal="center" vertical="center"/>
    </xf>
    <xf numFmtId="0" fontId="97" fillId="0" borderId="44" xfId="0" applyFont="1" applyBorder="1" applyAlignment="1">
      <alignment horizontal="center" vertical="center"/>
    </xf>
    <xf numFmtId="0" fontId="98" fillId="0" borderId="44" xfId="0" applyFont="1" applyBorder="1" applyAlignment="1" applyProtection="1">
      <alignment horizontal="center" vertical="center"/>
      <protection locked="0"/>
    </xf>
    <xf numFmtId="0" fontId="98" fillId="0" borderId="45" xfId="0" applyFont="1" applyBorder="1" applyAlignment="1" applyProtection="1">
      <alignment horizontal="center" vertical="center"/>
      <protection locked="0"/>
    </xf>
    <xf numFmtId="0" fontId="95" fillId="0" borderId="48" xfId="0" applyFont="1" applyBorder="1" applyAlignment="1">
      <alignment horizontal="center" vertical="center"/>
    </xf>
    <xf numFmtId="0" fontId="95" fillId="0" borderId="49" xfId="0" applyFont="1" applyBorder="1" applyAlignment="1">
      <alignment horizontal="center" vertical="center"/>
    </xf>
    <xf numFmtId="0" fontId="98" fillId="0" borderId="49" xfId="0" applyFont="1" applyBorder="1" applyAlignment="1" applyProtection="1">
      <alignment horizontal="center" vertical="center"/>
      <protection locked="0"/>
    </xf>
    <xf numFmtId="0" fontId="95" fillId="0" borderId="50" xfId="0" applyFont="1" applyBorder="1" applyAlignment="1">
      <alignment horizontal="center" vertical="center"/>
    </xf>
    <xf numFmtId="49" fontId="0" fillId="55" borderId="699" xfId="0" applyNumberFormat="1" applyFill="1" applyBorder="1" applyProtection="1">
      <alignment horizontal="center" vertical="center"/>
      <protection locked="0"/>
    </xf>
    <xf numFmtId="0" fontId="8" fillId="55" borderId="699" xfId="45" applyBorder="1" applyProtection="1">
      <alignment horizontal="center" vertical="center"/>
      <protection locked="0"/>
    </xf>
    <xf numFmtId="49" fontId="0" fillId="51" borderId="721" xfId="0" applyNumberFormat="1" applyFill="1" applyBorder="1" applyProtection="1">
      <alignment horizontal="center" vertical="center"/>
      <protection locked="0"/>
    </xf>
    <xf numFmtId="49" fontId="0" fillId="51" borderId="715" xfId="0" applyNumberFormat="1" applyFill="1" applyBorder="1" applyProtection="1">
      <alignment horizontal="center" vertical="center"/>
      <protection locked="0"/>
    </xf>
    <xf numFmtId="0" fontId="0" fillId="0" borderId="396" xfId="0" applyBorder="1" applyProtection="1">
      <alignment horizontal="center" vertical="center"/>
      <protection locked="0"/>
    </xf>
    <xf numFmtId="0" fontId="5" fillId="0" borderId="396" xfId="0" applyFont="1" applyBorder="1" applyAlignment="1" applyProtection="1">
      <alignment horizontal="center"/>
      <protection locked="0"/>
    </xf>
    <xf numFmtId="0" fontId="5" fillId="0" borderId="397" xfId="0" applyFont="1" applyBorder="1" applyAlignment="1" applyProtection="1">
      <alignment horizontal="left"/>
      <protection locked="0"/>
    </xf>
    <xf numFmtId="0" fontId="7" fillId="0" borderId="396" xfId="0" applyFont="1" applyBorder="1" applyAlignment="1" applyProtection="1">
      <alignment horizontal="center"/>
      <protection locked="0"/>
    </xf>
    <xf numFmtId="0" fontId="0" fillId="0" borderId="397" xfId="0" applyBorder="1" applyProtection="1">
      <alignment horizontal="center" vertical="center"/>
      <protection locked="0"/>
    </xf>
    <xf numFmtId="0" fontId="0" fillId="0" borderId="396" xfId="0" applyBorder="1" applyAlignment="1" applyProtection="1">
      <alignment horizontal="center"/>
      <protection locked="0"/>
    </xf>
    <xf numFmtId="0" fontId="5" fillId="0" borderId="397" xfId="0" applyFont="1" applyBorder="1" applyAlignment="1" applyProtection="1">
      <alignment horizontal="center"/>
      <protection locked="0"/>
    </xf>
    <xf numFmtId="0" fontId="7" fillId="0" borderId="398" xfId="0" applyFont="1" applyBorder="1" applyAlignment="1" applyProtection="1">
      <alignment horizontal="center"/>
      <protection locked="0"/>
    </xf>
    <xf numFmtId="0" fontId="7" fillId="0" borderId="397" xfId="0" applyFont="1" applyBorder="1" applyAlignment="1" applyProtection="1">
      <alignment horizontal="center"/>
      <protection locked="0"/>
    </xf>
    <xf numFmtId="0" fontId="0" fillId="0" borderId="397" xfId="0" applyBorder="1" applyAlignment="1" applyProtection="1">
      <alignment horizontal="center"/>
      <protection locked="0"/>
    </xf>
    <xf numFmtId="0" fontId="8" fillId="0" borderId="398" xfId="0" applyFont="1" applyBorder="1" applyAlignment="1" applyProtection="1">
      <alignment horizontal="left" vertical="center"/>
      <protection locked="0"/>
    </xf>
    <xf numFmtId="0" fontId="7" fillId="0" borderId="398" xfId="0" applyFont="1" applyBorder="1" applyProtection="1">
      <alignment horizontal="center" vertical="center"/>
      <protection locked="0"/>
    </xf>
    <xf numFmtId="0" fontId="7" fillId="0" borderId="397" xfId="0" applyFont="1" applyBorder="1" applyProtection="1">
      <alignment horizontal="center" vertical="center"/>
      <protection locked="0"/>
    </xf>
    <xf numFmtId="0" fontId="0" fillId="0" borderId="399" xfId="0" applyBorder="1" applyAlignment="1" applyProtection="1">
      <alignment horizontal="left" vertical="center"/>
      <protection locked="0"/>
    </xf>
    <xf numFmtId="0" fontId="7" fillId="0" borderId="400" xfId="0" applyFont="1" applyBorder="1" applyProtection="1">
      <alignment horizontal="center" vertical="center"/>
      <protection locked="0"/>
    </xf>
    <xf numFmtId="0" fontId="8" fillId="0" borderId="400" xfId="0" applyFont="1" applyBorder="1" applyProtection="1">
      <alignment horizontal="center" vertical="center"/>
      <protection locked="0"/>
    </xf>
    <xf numFmtId="0" fontId="5" fillId="0" borderId="732" xfId="0" applyFont="1" applyBorder="1" applyAlignment="1">
      <alignment horizontal="center"/>
    </xf>
    <xf numFmtId="0" fontId="8" fillId="0" borderId="703" xfId="0" applyFont="1" applyBorder="1" applyAlignment="1" applyProtection="1">
      <alignment horizontal="left" vertical="center"/>
      <protection locked="0"/>
    </xf>
    <xf numFmtId="0" fontId="8" fillId="0" borderId="704" xfId="0" applyFont="1" applyBorder="1" applyProtection="1">
      <alignment horizontal="center" vertical="center"/>
      <protection locked="0"/>
    </xf>
    <xf numFmtId="0" fontId="8" fillId="0" borderId="705" xfId="0" applyFont="1" applyBorder="1" applyProtection="1">
      <alignment horizontal="center" vertical="center"/>
      <protection locked="0"/>
    </xf>
    <xf numFmtId="0" fontId="8" fillId="0" borderId="704" xfId="0" applyFont="1" applyBorder="1" applyAlignment="1" applyProtection="1">
      <alignment horizontal="left" vertical="center"/>
      <protection locked="0"/>
    </xf>
    <xf numFmtId="0" fontId="8" fillId="0" borderId="703" xfId="0" applyFont="1" applyBorder="1" applyAlignment="1" applyProtection="1">
      <alignment horizontal="left"/>
      <protection locked="0"/>
    </xf>
    <xf numFmtId="0" fontId="8" fillId="0" borderId="733" xfId="0" applyFont="1" applyBorder="1" applyAlignment="1">
      <alignment horizontal="left" vertical="center"/>
    </xf>
    <xf numFmtId="0" fontId="0" fillId="51" borderId="621" xfId="0" applyFill="1" applyBorder="1" applyProtection="1">
      <alignment horizontal="center" vertical="center"/>
      <protection locked="0"/>
    </xf>
    <xf numFmtId="0" fontId="0" fillId="52" borderId="621" xfId="0" applyFill="1" applyBorder="1" applyProtection="1">
      <alignment horizontal="center" vertical="center"/>
      <protection locked="0"/>
    </xf>
    <xf numFmtId="0" fontId="0" fillId="51" borderId="734" xfId="0" applyFill="1" applyBorder="1" applyProtection="1">
      <alignment horizontal="center" vertical="center"/>
      <protection locked="0"/>
    </xf>
    <xf numFmtId="0" fontId="0" fillId="0" borderId="396" xfId="0" applyBorder="1" applyAlignment="1" applyProtection="1">
      <protection locked="0"/>
    </xf>
    <xf numFmtId="0" fontId="5" fillId="0" borderId="398" xfId="0" applyFont="1" applyBorder="1" applyAlignment="1" applyProtection="1">
      <alignment horizontal="left"/>
      <protection locked="0"/>
    </xf>
    <xf numFmtId="0" fontId="0" fillId="0" borderId="398" xfId="0" applyBorder="1" applyAlignment="1" applyProtection="1">
      <protection locked="0"/>
    </xf>
    <xf numFmtId="0" fontId="0" fillId="0" borderId="397" xfId="0" applyBorder="1" applyAlignment="1" applyProtection="1">
      <protection locked="0"/>
    </xf>
    <xf numFmtId="0" fontId="5" fillId="0" borderId="396" xfId="0" applyFont="1" applyBorder="1" applyAlignment="1" applyProtection="1">
      <alignment horizontal="left"/>
      <protection locked="0"/>
    </xf>
    <xf numFmtId="0" fontId="0" fillId="0" borderId="405" xfId="0" applyBorder="1" applyAlignment="1" applyProtection="1">
      <protection locked="0"/>
    </xf>
    <xf numFmtId="0" fontId="0" fillId="0" borderId="707" xfId="0" applyBorder="1" applyAlignment="1">
      <alignment horizontal="center"/>
    </xf>
    <xf numFmtId="0" fontId="5" fillId="0" borderId="703" xfId="0" applyFont="1" applyBorder="1" applyAlignment="1" applyProtection="1">
      <alignment horizontal="left"/>
      <protection locked="0"/>
    </xf>
    <xf numFmtId="0" fontId="0" fillId="0" borderId="704" xfId="0" applyBorder="1" applyAlignment="1" applyProtection="1">
      <protection locked="0"/>
    </xf>
    <xf numFmtId="0" fontId="0" fillId="0" borderId="705" xfId="0" applyBorder="1" applyAlignment="1" applyProtection="1">
      <alignment horizontal="left"/>
      <protection locked="0"/>
    </xf>
    <xf numFmtId="0" fontId="5" fillId="0" borderId="704" xfId="0" applyFont="1" applyBorder="1" applyAlignment="1" applyProtection="1">
      <protection locked="0"/>
    </xf>
    <xf numFmtId="0" fontId="5" fillId="0" borderId="705" xfId="0" applyFont="1" applyBorder="1" applyAlignment="1" applyProtection="1">
      <alignment horizontal="left"/>
      <protection locked="0"/>
    </xf>
    <xf numFmtId="0" fontId="0" fillId="0" borderId="703" xfId="0" applyBorder="1" applyAlignment="1" applyProtection="1">
      <alignment horizontal="center"/>
      <protection locked="0"/>
    </xf>
    <xf numFmtId="0" fontId="0" fillId="0" borderId="735" xfId="0" applyBorder="1" applyAlignment="1" applyProtection="1">
      <protection locked="0"/>
    </xf>
    <xf numFmtId="0" fontId="5" fillId="0" borderId="706" xfId="0" applyFont="1" applyBorder="1" applyAlignment="1" applyProtection="1">
      <alignment horizontal="left"/>
      <protection locked="0"/>
    </xf>
    <xf numFmtId="0" fontId="0" fillId="0" borderId="702" xfId="0" applyBorder="1" applyAlignment="1" applyProtection="1">
      <protection locked="0"/>
    </xf>
    <xf numFmtId="0" fontId="10" fillId="0" borderId="706" xfId="0" applyFont="1" applyBorder="1" applyAlignment="1" applyProtection="1">
      <alignment horizontal="center"/>
      <protection locked="0"/>
    </xf>
    <xf numFmtId="0" fontId="0" fillId="0" borderId="736" xfId="0" applyBorder="1" applyAlignment="1" applyProtection="1">
      <protection locked="0"/>
    </xf>
    <xf numFmtId="0" fontId="0" fillId="0" borderId="708" xfId="0" applyBorder="1" applyAlignment="1">
      <alignment horizontal="center"/>
    </xf>
    <xf numFmtId="0" fontId="5" fillId="0" borderId="710" xfId="0" applyFont="1" applyBorder="1" applyAlignment="1" applyProtection="1">
      <alignment horizontal="left"/>
      <protection locked="0"/>
    </xf>
    <xf numFmtId="0" fontId="8" fillId="0" borderId="709" xfId="0" applyFont="1" applyBorder="1" applyAlignment="1" applyProtection="1">
      <alignment horizontal="left" vertical="center"/>
      <protection locked="0"/>
    </xf>
    <xf numFmtId="0" fontId="8" fillId="0" borderId="709" xfId="0" applyFont="1" applyBorder="1" applyProtection="1">
      <alignment horizontal="center" vertical="center"/>
      <protection locked="0"/>
    </xf>
    <xf numFmtId="0" fontId="8" fillId="0" borderId="711" xfId="0" applyFont="1" applyBorder="1" applyProtection="1">
      <alignment horizontal="center" vertical="center"/>
      <protection locked="0"/>
    </xf>
    <xf numFmtId="0" fontId="8" fillId="0" borderId="710" xfId="0" applyFont="1" applyBorder="1" applyAlignment="1" applyProtection="1">
      <alignment horizontal="left" vertical="center"/>
      <protection locked="0"/>
    </xf>
    <xf numFmtId="0" fontId="8" fillId="0" borderId="709" xfId="0" applyFont="1" applyBorder="1" applyAlignment="1" applyProtection="1">
      <alignment horizontal="left"/>
      <protection locked="0"/>
    </xf>
    <xf numFmtId="0" fontId="8" fillId="0" borderId="711" xfId="0" applyFont="1" applyBorder="1" applyAlignment="1" applyProtection="1">
      <alignment horizontal="left" vertical="center"/>
      <protection locked="0"/>
    </xf>
    <xf numFmtId="0" fontId="0" fillId="0" borderId="737" xfId="0" applyBorder="1" applyAlignment="1" applyProtection="1">
      <protection locked="0"/>
    </xf>
    <xf numFmtId="49" fontId="0" fillId="51" borderId="404" xfId="0" applyNumberFormat="1" applyFill="1" applyBorder="1" applyProtection="1">
      <alignment horizontal="center" vertical="center"/>
      <protection locked="0"/>
    </xf>
    <xf numFmtId="0" fontId="0" fillId="76" borderId="404" xfId="53" applyFont="1" applyFill="1" applyBorder="1" applyProtection="1">
      <alignment horizontal="center" vertical="center"/>
      <protection locked="0"/>
    </xf>
    <xf numFmtId="0" fontId="0" fillId="51" borderId="404" xfId="44" applyFont="1" applyFill="1" applyBorder="1" applyProtection="1">
      <alignment horizontal="center" vertical="center"/>
      <protection locked="0"/>
    </xf>
    <xf numFmtId="0" fontId="0" fillId="51" borderId="651" xfId="44" applyFont="1" applyFill="1" applyBorder="1" applyProtection="1">
      <alignment horizontal="center" vertical="center"/>
      <protection locked="0"/>
    </xf>
    <xf numFmtId="0" fontId="0" fillId="51" borderId="690" xfId="0" applyFill="1" applyBorder="1" applyAlignment="1">
      <alignment horizontal="left" vertical="center"/>
    </xf>
    <xf numFmtId="0" fontId="0" fillId="73" borderId="691" xfId="0" applyFill="1" applyBorder="1" applyProtection="1">
      <alignment horizontal="center" vertical="center"/>
      <protection locked="0"/>
    </xf>
    <xf numFmtId="0" fontId="0" fillId="51" borderId="692" xfId="48" applyFont="1" applyFill="1" applyBorder="1" applyProtection="1">
      <alignment horizontal="center" vertical="center"/>
      <protection locked="0"/>
    </xf>
    <xf numFmtId="0" fontId="0" fillId="51" borderId="691" xfId="51" applyFont="1" applyFill="1" applyBorder="1" applyProtection="1">
      <alignment horizontal="center" vertical="center"/>
      <protection locked="0"/>
    </xf>
    <xf numFmtId="0" fontId="0" fillId="51" borderId="691" xfId="53" applyFont="1" applyFill="1" applyBorder="1" applyProtection="1">
      <alignment horizontal="center" vertical="center"/>
      <protection locked="0"/>
    </xf>
    <xf numFmtId="0" fontId="8" fillId="75" borderId="691" xfId="56" applyBorder="1" applyProtection="1">
      <alignment horizontal="center" vertical="center"/>
      <protection locked="0"/>
    </xf>
    <xf numFmtId="0" fontId="0" fillId="51" borderId="692" xfId="51" applyFont="1" applyFill="1" applyBorder="1" applyProtection="1">
      <alignment horizontal="center" vertical="center"/>
      <protection locked="0"/>
    </xf>
    <xf numFmtId="49" fontId="0" fillId="55" borderId="691" xfId="0" applyNumberFormat="1" applyFill="1" applyBorder="1" applyProtection="1">
      <alignment horizontal="center" vertical="center"/>
      <protection locked="0"/>
    </xf>
    <xf numFmtId="0" fontId="0" fillId="16" borderId="713" xfId="20" applyFont="1" applyBorder="1" applyAlignment="1" applyProtection="1">
      <alignment horizontal="center" vertical="center"/>
      <protection locked="0"/>
    </xf>
    <xf numFmtId="0" fontId="0" fillId="51" borderId="693" xfId="0" applyFill="1" applyBorder="1" applyAlignment="1">
      <alignment horizontal="left" vertical="center"/>
    </xf>
    <xf numFmtId="0" fontId="0" fillId="51" borderId="694" xfId="0" applyFill="1" applyBorder="1" applyProtection="1">
      <alignment horizontal="center" vertical="center"/>
      <protection locked="0"/>
    </xf>
    <xf numFmtId="49" fontId="0" fillId="51" borderId="694" xfId="0" applyNumberFormat="1" applyFill="1" applyBorder="1" applyProtection="1">
      <alignment horizontal="center" vertical="center"/>
      <protection locked="0"/>
    </xf>
    <xf numFmtId="0" fontId="8" fillId="75" borderId="694" xfId="56" applyBorder="1" applyProtection="1">
      <alignment horizontal="center" vertical="center"/>
      <protection locked="0"/>
    </xf>
    <xf numFmtId="0" fontId="0" fillId="51" borderId="695" xfId="0" applyFill="1" applyBorder="1" applyProtection="1">
      <alignment horizontal="center" vertical="center"/>
      <protection locked="0"/>
    </xf>
    <xf numFmtId="0" fontId="0" fillId="0" borderId="710" xfId="0" applyBorder="1" applyAlignment="1" applyProtection="1">
      <alignment horizontal="left"/>
      <protection locked="0"/>
    </xf>
    <xf numFmtId="0" fontId="0" fillId="0" borderId="709" xfId="0" applyBorder="1" applyAlignment="1" applyProtection="1">
      <protection locked="0"/>
    </xf>
    <xf numFmtId="0" fontId="0" fillId="0" borderId="711" xfId="0" applyBorder="1" applyAlignment="1" applyProtection="1">
      <alignment horizontal="left"/>
      <protection locked="0"/>
    </xf>
    <xf numFmtId="0" fontId="0" fillId="0" borderId="709" xfId="0" applyBorder="1" applyAlignment="1" applyProtection="1">
      <alignment horizontal="left"/>
      <protection locked="0"/>
    </xf>
    <xf numFmtId="0" fontId="0" fillId="0" borderId="710" xfId="0" applyBorder="1" applyAlignment="1" applyProtection="1">
      <alignment horizontal="center"/>
      <protection locked="0"/>
    </xf>
    <xf numFmtId="0" fontId="0" fillId="0" borderId="405" xfId="0" applyBorder="1" applyProtection="1">
      <alignment horizontal="center" vertical="center"/>
      <protection locked="0"/>
    </xf>
    <xf numFmtId="0" fontId="4" fillId="0" borderId="703" xfId="0" applyFont="1" applyBorder="1" applyAlignment="1" applyProtection="1">
      <alignment horizontal="left"/>
      <protection locked="0"/>
    </xf>
    <xf numFmtId="0" fontId="5" fillId="0" borderId="704" xfId="0" applyFont="1" applyBorder="1" applyProtection="1">
      <alignment horizontal="center" vertical="center"/>
      <protection locked="0"/>
    </xf>
    <xf numFmtId="0" fontId="0" fillId="0" borderId="735" xfId="0" applyBorder="1" applyProtection="1">
      <alignment horizontal="center" vertical="center"/>
      <protection locked="0"/>
    </xf>
    <xf numFmtId="167" fontId="10" fillId="0" borderId="710" xfId="0" applyNumberFormat="1" applyFont="1" applyBorder="1" applyAlignment="1" applyProtection="1">
      <alignment horizontal="center"/>
      <protection locked="0"/>
    </xf>
    <xf numFmtId="0" fontId="0" fillId="0" borderId="737" xfId="0" applyBorder="1" applyProtection="1">
      <alignment horizontal="center" vertical="center"/>
      <protection locked="0"/>
    </xf>
    <xf numFmtId="0" fontId="10" fillId="51" borderId="651" xfId="0" applyFont="1" applyFill="1" applyBorder="1" applyProtection="1">
      <alignment horizontal="center" vertical="center"/>
      <protection locked="0"/>
    </xf>
    <xf numFmtId="0" fontId="8" fillId="51" borderId="690" xfId="0" applyFont="1" applyFill="1" applyBorder="1" applyAlignment="1">
      <alignment vertical="center"/>
    </xf>
    <xf numFmtId="0" fontId="0" fillId="51" borderId="690" xfId="0" applyFill="1" applyBorder="1" applyAlignment="1">
      <alignment vertical="center"/>
    </xf>
    <xf numFmtId="0" fontId="0" fillId="51" borderId="693" xfId="0" applyFill="1" applyBorder="1" applyAlignment="1">
      <alignment vertical="center"/>
    </xf>
    <xf numFmtId="0" fontId="4" fillId="0" borderId="721" xfId="0" applyFont="1" applyBorder="1" applyProtection="1">
      <alignment horizontal="center" vertical="center"/>
      <protection locked="0"/>
    </xf>
    <xf numFmtId="0" fontId="4" fillId="0" borderId="738" xfId="0" applyFont="1" applyBorder="1" applyAlignment="1" applyProtection="1">
      <alignment horizontal="center" vertical="center"/>
      <protection locked="0"/>
    </xf>
    <xf numFmtId="0" fontId="4" fillId="0" borderId="700" xfId="0" applyFont="1" applyBorder="1" applyAlignment="1" applyProtection="1">
      <alignment horizontal="center" vertical="center"/>
      <protection locked="0"/>
    </xf>
    <xf numFmtId="0" fontId="4" fillId="0" borderId="721" xfId="0" applyFont="1" applyBorder="1" applyAlignment="1" applyProtection="1">
      <alignment horizontal="center" vertical="center"/>
      <protection locked="0"/>
    </xf>
    <xf numFmtId="0" fontId="4" fillId="0" borderId="739" xfId="0" applyFont="1" applyBorder="1" applyAlignment="1" applyProtection="1">
      <alignment horizontal="center" vertical="center"/>
      <protection locked="0"/>
    </xf>
    <xf numFmtId="0" fontId="0" fillId="0" borderId="698" xfId="0" applyBorder="1">
      <alignment horizontal="center" vertical="center"/>
    </xf>
    <xf numFmtId="0" fontId="4" fillId="0" borderId="726" xfId="0" applyFont="1" applyBorder="1" applyProtection="1">
      <alignment horizontal="center" vertical="center"/>
      <protection locked="0"/>
    </xf>
    <xf numFmtId="0" fontId="4" fillId="0" borderId="740" xfId="0" applyFont="1" applyBorder="1" applyAlignment="1" applyProtection="1">
      <alignment horizontal="center" vertical="center"/>
      <protection locked="0"/>
    </xf>
    <xf numFmtId="0" fontId="4" fillId="0" borderId="730" xfId="0" applyFont="1" applyBorder="1" applyAlignment="1" applyProtection="1">
      <alignment horizontal="center" vertical="center"/>
      <protection locked="0"/>
    </xf>
    <xf numFmtId="0" fontId="4" fillId="0" borderId="726" xfId="0" applyFont="1" applyBorder="1" applyAlignment="1" applyProtection="1">
      <alignment horizontal="center" vertical="center"/>
      <protection locked="0"/>
    </xf>
    <xf numFmtId="0" fontId="4" fillId="0" borderId="741" xfId="0" applyFont="1" applyBorder="1" applyAlignment="1" applyProtection="1">
      <alignment horizontal="center" vertical="center"/>
      <protection locked="0"/>
    </xf>
    <xf numFmtId="0" fontId="4" fillId="0" borderId="738" xfId="0" applyFont="1" applyBorder="1" applyAlignment="1" applyProtection="1">
      <alignment horizontal="left" vertical="center"/>
      <protection locked="0"/>
    </xf>
    <xf numFmtId="0" fontId="4" fillId="0" borderId="700" xfId="0" applyFont="1" applyBorder="1" applyAlignment="1" applyProtection="1">
      <alignment horizontal="left" vertical="center"/>
      <protection locked="0"/>
    </xf>
    <xf numFmtId="0" fontId="4" fillId="0" borderId="700" xfId="0" applyFont="1" applyBorder="1" applyAlignment="1" applyProtection="1">
      <alignment horizontal="left" vertical="center"/>
      <protection locked="0"/>
    </xf>
    <xf numFmtId="0" fontId="4" fillId="0" borderId="721" xfId="0" applyFont="1" applyBorder="1" applyAlignment="1" applyProtection="1">
      <alignment horizontal="left" vertical="center"/>
      <protection locked="0"/>
    </xf>
    <xf numFmtId="0" fontId="4" fillId="0" borderId="700" xfId="0" applyFont="1" applyBorder="1" applyProtection="1">
      <alignment horizontal="center" vertical="center"/>
      <protection locked="0"/>
    </xf>
    <xf numFmtId="0" fontId="4" fillId="0" borderId="730" xfId="0" applyFont="1" applyBorder="1" applyAlignment="1" applyProtection="1">
      <alignment horizontal="left" vertical="center"/>
      <protection locked="0"/>
    </xf>
    <xf numFmtId="0" fontId="4" fillId="0" borderId="726" xfId="0" applyFont="1" applyBorder="1" applyAlignment="1" applyProtection="1">
      <alignment horizontal="left" vertical="center"/>
      <protection locked="0"/>
    </xf>
    <xf numFmtId="0" fontId="4" fillId="0" borderId="730" xfId="0" applyFont="1" applyBorder="1" applyProtection="1">
      <alignment horizontal="center" vertical="center"/>
      <protection locked="0"/>
    </xf>
    <xf numFmtId="0" fontId="0" fillId="51" borderId="700" xfId="0" applyFill="1" applyBorder="1" applyAlignment="1">
      <alignment horizontal="left" vertical="center" wrapText="1"/>
    </xf>
    <xf numFmtId="49" fontId="0" fillId="52" borderId="699" xfId="0" applyNumberFormat="1" applyFill="1" applyBorder="1" applyProtection="1">
      <alignment horizontal="center" vertical="center"/>
      <protection locked="0"/>
    </xf>
    <xf numFmtId="0" fontId="10" fillId="51" borderId="656" xfId="0" applyFont="1" applyFill="1" applyBorder="1" applyProtection="1">
      <alignment horizontal="center" vertical="center"/>
      <protection locked="0"/>
    </xf>
    <xf numFmtId="0" fontId="0" fillId="51" borderId="699" xfId="0" applyFill="1" applyBorder="1" applyAlignment="1">
      <alignment horizontal="left" vertical="center" wrapText="1"/>
    </xf>
    <xf numFmtId="0" fontId="0" fillId="51" borderId="714" xfId="0" applyFill="1" applyBorder="1" applyAlignment="1">
      <alignment horizontal="left" vertical="center" wrapText="1"/>
    </xf>
    <xf numFmtId="0" fontId="0" fillId="54" borderId="699" xfId="43" applyFont="1" applyFill="1" applyBorder="1" applyProtection="1">
      <alignment horizontal="center" vertical="center"/>
      <protection locked="0"/>
    </xf>
    <xf numFmtId="0" fontId="0" fillId="51" borderId="699" xfId="43" applyFont="1" applyFill="1" applyBorder="1" applyProtection="1">
      <alignment horizontal="center" vertical="center"/>
      <protection locked="0"/>
    </xf>
    <xf numFmtId="0" fontId="0" fillId="96" borderId="699" xfId="0" applyFill="1" applyBorder="1" applyProtection="1">
      <alignment horizontal="center" vertical="center"/>
      <protection locked="0"/>
    </xf>
    <xf numFmtId="0" fontId="0" fillId="0" borderId="699" xfId="0" applyBorder="1" applyProtection="1">
      <alignment horizontal="center" vertical="center"/>
      <protection locked="0"/>
    </xf>
    <xf numFmtId="0" fontId="0" fillId="73" borderId="699" xfId="43" applyFont="1" applyFill="1" applyBorder="1" applyProtection="1">
      <alignment horizontal="center" vertical="center"/>
      <protection locked="0"/>
    </xf>
    <xf numFmtId="0" fontId="10" fillId="51" borderId="715" xfId="0" applyFont="1" applyFill="1" applyBorder="1" applyProtection="1">
      <alignment horizontal="center" vertical="center"/>
      <protection locked="0"/>
    </xf>
    <xf numFmtId="0" fontId="0" fillId="0" borderId="714" xfId="0" applyBorder="1" applyAlignment="1">
      <alignment vertical="center"/>
    </xf>
    <xf numFmtId="0" fontId="60" fillId="0" borderId="716" xfId="0" applyFont="1" applyBorder="1" applyAlignment="1">
      <alignment horizontal="left" vertical="center"/>
    </xf>
    <xf numFmtId="0" fontId="0" fillId="0" borderId="716" xfId="0" applyBorder="1" applyAlignment="1">
      <alignment vertical="center"/>
    </xf>
    <xf numFmtId="0" fontId="8" fillId="73" borderId="699" xfId="44" applyBorder="1" applyProtection="1">
      <alignment horizontal="center" vertical="center"/>
      <protection locked="0"/>
    </xf>
    <xf numFmtId="0" fontId="52" fillId="56" borderId="699" xfId="46" applyBorder="1" applyProtection="1">
      <alignment horizontal="center" vertical="center"/>
      <protection locked="0"/>
    </xf>
    <xf numFmtId="0" fontId="8" fillId="52" borderId="699" xfId="48" applyBorder="1" applyProtection="1">
      <alignment horizontal="center" vertical="center"/>
      <protection locked="0"/>
    </xf>
    <xf numFmtId="0" fontId="8" fillId="52" borderId="715" xfId="48" applyBorder="1" applyProtection="1">
      <alignment horizontal="center" vertical="center"/>
      <protection locked="0"/>
    </xf>
    <xf numFmtId="0" fontId="5" fillId="0" borderId="707" xfId="0" applyFont="1" applyBorder="1" applyAlignment="1">
      <alignment horizontal="center"/>
    </xf>
    <xf numFmtId="0" fontId="5" fillId="0" borderId="708" xfId="0" applyFont="1" applyBorder="1" applyAlignment="1">
      <alignment horizontal="center"/>
    </xf>
    <xf numFmtId="0" fontId="4" fillId="0" borderId="704" xfId="0" applyFont="1" applyBorder="1" applyAlignment="1" applyProtection="1">
      <alignment horizontal="left"/>
      <protection locked="0"/>
    </xf>
    <xf numFmtId="0" fontId="14" fillId="94" borderId="717" xfId="0" applyFont="1" applyFill="1" applyBorder="1" applyAlignment="1">
      <alignment horizontal="center"/>
    </xf>
    <xf numFmtId="0" fontId="0" fillId="68" borderId="431" xfId="0" applyFill="1" applyBorder="1" applyProtection="1">
      <alignment horizontal="center" vertical="center"/>
      <protection locked="0"/>
    </xf>
    <xf numFmtId="0" fontId="0" fillId="51" borderId="431" xfId="0" applyFill="1" applyBorder="1" applyProtection="1">
      <alignment horizontal="center" vertical="center"/>
      <protection locked="0"/>
    </xf>
    <xf numFmtId="0" fontId="5" fillId="77" borderId="691" xfId="0" applyFont="1" applyFill="1" applyBorder="1">
      <alignment horizontal="center" vertical="center"/>
    </xf>
    <xf numFmtId="0" fontId="0" fillId="76" borderId="691" xfId="0" applyFill="1" applyBorder="1" applyProtection="1">
      <alignment horizontal="center" vertical="center"/>
      <protection locked="0"/>
    </xf>
    <xf numFmtId="0" fontId="0" fillId="0" borderId="691" xfId="0" applyBorder="1" applyAlignment="1">
      <alignment horizontal="left" vertical="center"/>
    </xf>
    <xf numFmtId="0" fontId="0" fillId="0" borderId="742" xfId="0" applyBorder="1" applyAlignment="1">
      <alignment horizontal="left" vertical="center"/>
    </xf>
    <xf numFmtId="49" fontId="0" fillId="51" borderId="742" xfId="0" applyNumberFormat="1" applyFill="1" applyBorder="1" applyProtection="1">
      <alignment horizontal="center" vertical="center"/>
      <protection locked="0"/>
    </xf>
    <xf numFmtId="0" fontId="5" fillId="76" borderId="714" xfId="0" applyFont="1" applyFill="1" applyBorder="1" applyAlignment="1">
      <alignment horizontal="left"/>
    </xf>
    <xf numFmtId="49" fontId="0" fillId="76" borderId="691" xfId="0" applyNumberFormat="1" applyFill="1" applyBorder="1" applyProtection="1">
      <alignment horizontal="center" vertical="center"/>
      <protection locked="0"/>
    </xf>
    <xf numFmtId="0" fontId="0" fillId="76" borderId="691" xfId="48" applyFont="1" applyFill="1" applyBorder="1" applyProtection="1">
      <alignment horizontal="center" vertical="center"/>
      <protection locked="0"/>
    </xf>
    <xf numFmtId="0" fontId="0" fillId="0" borderId="714" xfId="0" applyBorder="1" applyAlignment="1">
      <alignment horizontal="left"/>
    </xf>
    <xf numFmtId="0" fontId="8" fillId="0" borderId="691" xfId="53" applyBorder="1" applyProtection="1">
      <alignment horizontal="center" vertical="center"/>
      <protection locked="0"/>
    </xf>
    <xf numFmtId="0" fontId="5" fillId="76" borderId="714" xfId="0" applyFont="1" applyFill="1" applyBorder="1" applyAlignment="1">
      <alignment vertical="center"/>
    </xf>
    <xf numFmtId="0" fontId="0" fillId="76" borderId="699" xfId="43" applyFont="1" applyFill="1" applyBorder="1" applyProtection="1">
      <alignment horizontal="center" vertical="center"/>
      <protection locked="0"/>
    </xf>
    <xf numFmtId="0" fontId="0" fillId="76" borderId="699" xfId="0" applyFill="1" applyBorder="1" applyProtection="1">
      <alignment horizontal="center" vertical="center"/>
      <protection locked="0"/>
    </xf>
    <xf numFmtId="49" fontId="0" fillId="53" borderId="691" xfId="0" applyNumberFormat="1" applyFill="1" applyBorder="1" applyProtection="1">
      <alignment horizontal="center" vertical="center"/>
      <protection locked="0"/>
    </xf>
    <xf numFmtId="0" fontId="0" fillId="51" borderId="691" xfId="50" applyFont="1" applyFill="1" applyBorder="1" applyProtection="1">
      <alignment horizontal="center" vertical="center"/>
      <protection locked="0"/>
    </xf>
    <xf numFmtId="0" fontId="0" fillId="57" borderId="691" xfId="50" applyFont="1" applyFill="1" applyBorder="1" applyProtection="1">
      <alignment horizontal="center" vertical="center"/>
      <protection locked="0"/>
    </xf>
    <xf numFmtId="49" fontId="0" fillId="57" borderId="691" xfId="0" applyNumberFormat="1" applyFill="1" applyBorder="1" applyProtection="1">
      <alignment horizontal="center" vertical="center"/>
      <protection locked="0"/>
    </xf>
    <xf numFmtId="0" fontId="8" fillId="52" borderId="694" xfId="48" applyBorder="1" applyProtection="1">
      <alignment horizontal="center" vertical="center"/>
      <protection locked="0"/>
    </xf>
    <xf numFmtId="0" fontId="8" fillId="53" borderId="694" xfId="43" applyBorder="1">
      <alignment horizontal="center" vertical="center"/>
    </xf>
    <xf numFmtId="49" fontId="68" fillId="53" borderId="694" xfId="0" applyNumberFormat="1" applyFont="1" applyFill="1" applyBorder="1" applyProtection="1">
      <alignment horizontal="center" vertical="center"/>
      <protection locked="0"/>
    </xf>
    <xf numFmtId="0" fontId="7" fillId="25" borderId="152" xfId="0" applyFont="1" applyFill="1" applyBorder="1" applyAlignment="1">
      <alignment horizontal="center" vertical="center"/>
    </xf>
    <xf numFmtId="0" fontId="7" fillId="25" borderId="153" xfId="0" applyFont="1" applyFill="1" applyBorder="1" applyAlignment="1">
      <alignment horizontal="center" vertical="center"/>
    </xf>
    <xf numFmtId="0" fontId="7" fillId="29" borderId="68" xfId="0" applyFont="1" applyFill="1" applyBorder="1" applyAlignment="1">
      <alignment horizontal="center" vertical="center"/>
    </xf>
    <xf numFmtId="0" fontId="5" fillId="46" borderId="68" xfId="0" applyFont="1" applyFill="1" applyBorder="1" applyAlignment="1">
      <alignment horizontal="center" vertical="center"/>
    </xf>
    <xf numFmtId="0" fontId="62" fillId="58" borderId="68" xfId="49" applyBorder="1" applyAlignment="1">
      <alignment horizontal="center" vertical="center"/>
    </xf>
    <xf numFmtId="0" fontId="62" fillId="59" borderId="68" xfId="51" applyBorder="1" applyAlignment="1">
      <alignment horizontal="center" vertical="center"/>
    </xf>
    <xf numFmtId="0" fontId="0" fillId="75" borderId="20" xfId="56" applyFont="1" applyBorder="1" applyAlignment="1">
      <alignment horizontal="center" vertical="center"/>
    </xf>
    <xf numFmtId="0" fontId="0" fillId="75" borderId="21" xfId="56" applyFont="1" applyBorder="1" applyAlignment="1">
      <alignment horizontal="center" vertical="center"/>
    </xf>
    <xf numFmtId="0" fontId="0" fillId="0" borderId="716" xfId="0" applyBorder="1">
      <alignment horizontal="center" vertical="center"/>
    </xf>
    <xf numFmtId="0" fontId="0" fillId="0" borderId="743" xfId="0" applyBorder="1">
      <alignment horizontal="center" vertical="center"/>
    </xf>
    <xf numFmtId="0" fontId="0" fillId="0" borderId="744" xfId="0" applyBorder="1" applyAlignment="1">
      <alignment horizontal="left" vertical="center"/>
    </xf>
    <xf numFmtId="0" fontId="60" fillId="0" borderId="745" xfId="0" applyFont="1" applyBorder="1" applyAlignment="1">
      <alignment horizontal="left" vertical="center"/>
    </xf>
    <xf numFmtId="0" fontId="0" fillId="0" borderId="740" xfId="0" applyBorder="1" applyAlignment="1">
      <alignment horizontal="left" vertical="center"/>
    </xf>
    <xf numFmtId="0" fontId="0" fillId="0" borderId="730" xfId="0" applyBorder="1" applyAlignment="1">
      <alignment horizontal="left" vertical="center"/>
    </xf>
    <xf numFmtId="0" fontId="0" fillId="0" borderId="740" xfId="0" applyBorder="1">
      <alignment horizontal="center" vertical="center"/>
    </xf>
    <xf numFmtId="0" fontId="0" fillId="0" borderId="730" xfId="0" applyBorder="1">
      <alignment horizontal="center" vertical="center"/>
    </xf>
    <xf numFmtId="0" fontId="60" fillId="0" borderId="746" xfId="0" applyFont="1" applyBorder="1" applyAlignment="1">
      <alignment horizontal="left" vertical="center"/>
    </xf>
    <xf numFmtId="0" fontId="0" fillId="0" borderId="741" xfId="0" applyBorder="1">
      <alignment horizontal="center" vertical="center"/>
    </xf>
    <xf numFmtId="0" fontId="0" fillId="0" borderId="747" xfId="0" applyBorder="1" applyAlignment="1">
      <alignment horizontal="left" vertical="center"/>
    </xf>
    <xf numFmtId="0" fontId="0" fillId="51" borderId="748" xfId="32" applyFont="1" applyFill="1" applyBorder="1" applyAlignment="1">
      <alignment horizontal="center" vertical="center"/>
    </xf>
    <xf numFmtId="0" fontId="0" fillId="51" borderId="749" xfId="32" applyFont="1" applyFill="1" applyBorder="1" applyAlignment="1">
      <alignment horizontal="center" vertical="center"/>
    </xf>
    <xf numFmtId="0" fontId="0" fillId="0" borderId="750" xfId="0" applyBorder="1" applyAlignment="1">
      <alignment horizontal="left" vertical="center"/>
    </xf>
    <xf numFmtId="0" fontId="8" fillId="0" borderId="747" xfId="0" applyFont="1" applyBorder="1" applyAlignment="1">
      <alignment horizontal="left" vertical="center"/>
    </xf>
    <xf numFmtId="0" fontId="8" fillId="51" borderId="505" xfId="0" applyFont="1" applyFill="1" applyBorder="1">
      <alignment horizontal="center" vertical="center"/>
    </xf>
    <xf numFmtId="0" fontId="0" fillId="51" borderId="748" xfId="0" applyFill="1" applyBorder="1">
      <alignment horizontal="center" vertical="center"/>
    </xf>
    <xf numFmtId="1" fontId="8" fillId="51" borderId="505" xfId="0" applyNumberFormat="1" applyFont="1" applyFill="1" applyBorder="1">
      <alignment horizontal="center" vertical="center"/>
    </xf>
    <xf numFmtId="1" fontId="8" fillId="51" borderId="505" xfId="32" applyNumberFormat="1" applyFont="1" applyFill="1" applyBorder="1" applyAlignment="1">
      <alignment horizontal="center" vertical="center"/>
    </xf>
    <xf numFmtId="0" fontId="0" fillId="51" borderId="748" xfId="20" applyFont="1" applyFill="1" applyBorder="1" applyAlignment="1">
      <alignment horizontal="center" vertical="center"/>
    </xf>
    <xf numFmtId="1" fontId="0" fillId="51" borderId="748" xfId="0" applyNumberFormat="1" applyFill="1" applyBorder="1">
      <alignment horizontal="center" vertical="center"/>
    </xf>
    <xf numFmtId="0" fontId="8" fillId="51" borderId="505" xfId="53" applyFill="1" applyBorder="1">
      <alignment horizontal="center" vertical="center"/>
    </xf>
    <xf numFmtId="0" fontId="0" fillId="51" borderId="748" xfId="49" applyFont="1" applyFill="1" applyBorder="1">
      <alignment horizontal="center" vertical="center"/>
    </xf>
    <xf numFmtId="0" fontId="7" fillId="76" borderId="751" xfId="0" applyFont="1" applyFill="1" applyBorder="1">
      <alignment horizontal="center" vertical="center"/>
    </xf>
    <xf numFmtId="1" fontId="0" fillId="87" borderId="505" xfId="0" applyNumberFormat="1" applyFill="1" applyBorder="1">
      <alignment horizontal="center" vertical="center"/>
    </xf>
    <xf numFmtId="0" fontId="0" fillId="51" borderId="748" xfId="44" applyFont="1" applyFill="1" applyBorder="1">
      <alignment horizontal="center" vertical="center"/>
    </xf>
    <xf numFmtId="0" fontId="0" fillId="51" borderId="752" xfId="48" applyFont="1" applyFill="1" applyBorder="1">
      <alignment horizontal="center" vertical="center"/>
    </xf>
    <xf numFmtId="1" fontId="0" fillId="51" borderId="753" xfId="0" applyNumberFormat="1" applyFill="1" applyBorder="1">
      <alignment horizontal="center" vertical="center"/>
    </xf>
    <xf numFmtId="0" fontId="0" fillId="51" borderId="753" xfId="44" applyFont="1" applyFill="1" applyBorder="1">
      <alignment horizontal="center" vertical="center"/>
    </xf>
    <xf numFmtId="0" fontId="8" fillId="51" borderId="753" xfId="53" applyFill="1" applyBorder="1">
      <alignment horizontal="center" vertical="center"/>
    </xf>
    <xf numFmtId="0" fontId="84" fillId="0" borderId="398" xfId="0" applyFont="1" applyBorder="1" applyAlignment="1">
      <alignment vertical="center"/>
    </xf>
    <xf numFmtId="0" fontId="0" fillId="51" borderId="754" xfId="0" applyFill="1" applyBorder="1" applyAlignment="1">
      <alignment horizontal="left" vertical="center"/>
    </xf>
    <xf numFmtId="0" fontId="0" fillId="51" borderId="753" xfId="48" applyFont="1" applyFill="1" applyBorder="1">
      <alignment horizontal="center" vertical="center"/>
    </xf>
    <xf numFmtId="0" fontId="8" fillId="52" borderId="753" xfId="48" applyBorder="1">
      <alignment horizontal="center" vertical="center"/>
    </xf>
    <xf numFmtId="0" fontId="8" fillId="52" borderId="755" xfId="48" applyBorder="1">
      <alignment horizontal="center" vertical="center"/>
    </xf>
    <xf numFmtId="0" fontId="0" fillId="84" borderId="506" xfId="44" applyFont="1" applyFill="1" applyBorder="1">
      <alignment horizontal="center" vertical="center"/>
    </xf>
    <xf numFmtId="0" fontId="8" fillId="51" borderId="712" xfId="0" applyFont="1" applyFill="1" applyBorder="1" applyAlignment="1" applyProtection="1">
      <alignment horizontal="left" vertical="center"/>
      <protection locked="0"/>
    </xf>
    <xf numFmtId="0" fontId="0" fillId="51" borderId="697" xfId="0" applyFill="1" applyBorder="1">
      <alignment horizontal="center" vertical="center"/>
    </xf>
    <xf numFmtId="1" fontId="0" fillId="51" borderId="507" xfId="0" applyNumberFormat="1" applyFill="1" applyBorder="1">
      <alignment horizontal="center" vertical="center"/>
    </xf>
    <xf numFmtId="0" fontId="0" fillId="51" borderId="508" xfId="0" applyFill="1" applyBorder="1">
      <alignment horizontal="center" vertical="center"/>
    </xf>
    <xf numFmtId="1" fontId="0" fillId="51" borderId="513" xfId="0" applyNumberFormat="1" applyFill="1" applyBorder="1">
      <alignment horizontal="center" vertical="center"/>
    </xf>
    <xf numFmtId="1" fontId="71" fillId="51" borderId="505" xfId="0" applyNumberFormat="1" applyFont="1" applyFill="1" applyBorder="1">
      <alignment horizontal="center" vertical="center"/>
    </xf>
    <xf numFmtId="0" fontId="65" fillId="0" borderId="756" xfId="0" applyFont="1" applyBorder="1" applyAlignment="1" applyProtection="1">
      <alignment horizontal="left"/>
      <protection locked="0"/>
    </xf>
    <xf numFmtId="0" fontId="0" fillId="51" borderId="697" xfId="43" applyFont="1" applyFill="1" applyBorder="1">
      <alignment horizontal="center" vertical="center"/>
    </xf>
    <xf numFmtId="0" fontId="0" fillId="51" borderId="697" xfId="48" applyFont="1" applyFill="1" applyBorder="1">
      <alignment horizontal="center" vertical="center"/>
    </xf>
    <xf numFmtId="0" fontId="0" fillId="51" borderId="697" xfId="46" applyFont="1" applyFill="1" applyBorder="1">
      <alignment horizontal="center" vertical="center"/>
    </xf>
    <xf numFmtId="0" fontId="0" fillId="51" borderId="697" xfId="44" applyFont="1" applyFill="1" applyBorder="1">
      <alignment horizontal="center" vertical="center"/>
    </xf>
    <xf numFmtId="49" fontId="0" fillId="51" borderId="697" xfId="0" applyNumberFormat="1" applyFill="1" applyBorder="1">
      <alignment horizontal="center" vertical="center"/>
    </xf>
    <xf numFmtId="0" fontId="8" fillId="51" borderId="714" xfId="0" applyFont="1" applyFill="1" applyBorder="1" applyAlignment="1" applyProtection="1">
      <alignment horizontal="left" vertical="center"/>
      <protection locked="0"/>
    </xf>
    <xf numFmtId="0" fontId="0" fillId="74" borderId="505" xfId="44" applyFont="1" applyFill="1" applyBorder="1">
      <alignment horizontal="center" vertical="center"/>
    </xf>
    <xf numFmtId="0" fontId="0" fillId="0" borderId="757" xfId="0" applyBorder="1" applyAlignment="1">
      <alignment horizontal="left" vertical="center"/>
    </xf>
    <xf numFmtId="0" fontId="8" fillId="74" borderId="753" xfId="47" applyBorder="1">
      <alignment horizontal="center" vertical="center"/>
    </xf>
    <xf numFmtId="0" fontId="21" fillId="76" borderId="758" xfId="0" applyFont="1" applyFill="1" applyBorder="1">
      <alignment horizontal="center" vertical="center"/>
    </xf>
    <xf numFmtId="0" fontId="0" fillId="68" borderId="759" xfId="0" applyFill="1" applyBorder="1">
      <alignment horizontal="center" vertical="center"/>
    </xf>
    <xf numFmtId="0" fontId="0" fillId="0" borderId="760" xfId="0" applyBorder="1" applyAlignment="1">
      <alignment horizontal="left" vertical="center"/>
    </xf>
    <xf numFmtId="0" fontId="0" fillId="51" borderId="651" xfId="0" applyFill="1" applyBorder="1">
      <alignment horizontal="center" vertical="center"/>
    </xf>
    <xf numFmtId="0" fontId="0" fillId="0" borderId="754" xfId="0" applyBorder="1" applyAlignment="1">
      <alignment horizontal="left" vertical="center"/>
    </xf>
    <xf numFmtId="0" fontId="0" fillId="51" borderId="753" xfId="47" applyFont="1" applyFill="1" applyBorder="1">
      <alignment horizontal="center" vertical="center"/>
    </xf>
    <xf numFmtId="0" fontId="0" fillId="51" borderId="753" xfId="43" applyFont="1" applyFill="1" applyBorder="1">
      <alignment horizontal="center" vertical="center"/>
    </xf>
    <xf numFmtId="0" fontId="0" fillId="51" borderId="753" xfId="0" applyFill="1" applyBorder="1">
      <alignment horizontal="center" vertical="center"/>
    </xf>
    <xf numFmtId="0" fontId="0" fillId="51" borderId="755" xfId="47" applyFont="1" applyFill="1" applyBorder="1">
      <alignment horizontal="center" vertical="center"/>
    </xf>
    <xf numFmtId="0" fontId="0" fillId="43" borderId="761" xfId="0" applyFill="1" applyBorder="1" applyAlignment="1" applyProtection="1">
      <alignment horizontal="center"/>
      <protection locked="0"/>
    </xf>
    <xf numFmtId="0" fontId="0" fillId="0" borderId="762" xfId="0" applyBorder="1" applyAlignment="1">
      <alignment horizontal="left"/>
    </xf>
    <xf numFmtId="0" fontId="0" fillId="43" borderId="763" xfId="0" applyFill="1" applyBorder="1" applyAlignment="1" applyProtection="1">
      <alignment horizontal="center"/>
      <protection locked="0"/>
    </xf>
    <xf numFmtId="0" fontId="0" fillId="0" borderId="764" xfId="0" applyBorder="1" applyAlignment="1">
      <alignment horizontal="left" vertical="center"/>
    </xf>
    <xf numFmtId="0" fontId="0" fillId="0" borderId="765" xfId="0" applyBorder="1">
      <alignment horizontal="center" vertical="center"/>
    </xf>
    <xf numFmtId="0" fontId="0" fillId="0" borderId="765" xfId="0" applyBorder="1" applyAlignment="1">
      <alignment horizontal="left" vertical="center"/>
    </xf>
    <xf numFmtId="0" fontId="0" fillId="0" borderId="726" xfId="0" applyBorder="1" applyAlignment="1">
      <alignment horizontal="left" vertical="center"/>
    </xf>
    <xf numFmtId="0" fontId="0" fillId="0" borderId="727" xfId="0" applyBorder="1">
      <alignment horizontal="center" vertical="center"/>
    </xf>
    <xf numFmtId="0" fontId="0" fillId="51" borderId="728" xfId="0" applyFill="1" applyBorder="1" applyAlignment="1" applyProtection="1">
      <alignment horizontal="left" vertical="center"/>
      <protection locked="0"/>
    </xf>
    <xf numFmtId="0" fontId="0" fillId="51" borderId="748" xfId="47" applyFont="1" applyFill="1" applyBorder="1">
      <alignment horizontal="center" vertical="center"/>
    </xf>
    <xf numFmtId="0" fontId="0" fillId="0" borderId="756" xfId="0" applyBorder="1" applyAlignment="1">
      <alignment horizontal="left" vertical="center"/>
    </xf>
    <xf numFmtId="0" fontId="0" fillId="0" borderId="656" xfId="51" applyFont="1" applyFill="1" applyBorder="1">
      <alignment horizontal="center" vertical="center"/>
    </xf>
    <xf numFmtId="0" fontId="0" fillId="0" borderId="697" xfId="51" applyFont="1" applyFill="1" applyBorder="1">
      <alignment horizontal="center" vertical="center"/>
    </xf>
    <xf numFmtId="0" fontId="0" fillId="71" borderId="714" xfId="0" applyFill="1" applyBorder="1" applyAlignment="1"/>
    <xf numFmtId="0" fontId="8" fillId="52" borderId="509" xfId="48" applyBorder="1">
      <alignment horizontal="center" vertical="center"/>
    </xf>
    <xf numFmtId="49" fontId="0" fillId="51" borderId="715" xfId="0" applyNumberFormat="1" applyFill="1" applyBorder="1">
      <alignment horizontal="center" vertical="center"/>
    </xf>
    <xf numFmtId="0" fontId="5" fillId="0" borderId="520" xfId="0" applyFont="1" applyBorder="1" applyAlignment="1">
      <alignment horizontal="center"/>
    </xf>
    <xf numFmtId="0" fontId="8" fillId="0" borderId="508" xfId="0" applyFont="1" applyBorder="1" applyAlignment="1">
      <alignment horizontal="left" vertical="center"/>
    </xf>
    <xf numFmtId="0" fontId="8" fillId="0" borderId="512" xfId="0" applyFont="1" applyBorder="1">
      <alignment horizontal="center" vertical="center"/>
    </xf>
    <xf numFmtId="0" fontId="8" fillId="0" borderId="513" xfId="0" applyFont="1" applyBorder="1">
      <alignment horizontal="center" vertical="center"/>
    </xf>
    <xf numFmtId="0" fontId="8" fillId="0" borderId="512" xfId="0" applyFont="1" applyBorder="1" applyAlignment="1">
      <alignment horizontal="left" vertical="center"/>
    </xf>
    <xf numFmtId="0" fontId="8" fillId="0" borderId="508" xfId="0" applyFont="1" applyBorder="1" applyAlignment="1">
      <alignment horizontal="left"/>
    </xf>
    <xf numFmtId="49" fontId="0" fillId="51" borderId="753" xfId="0" applyNumberFormat="1" applyFill="1" applyBorder="1">
      <alignment horizontal="center" vertical="center"/>
    </xf>
    <xf numFmtId="0" fontId="0" fillId="0" borderId="761" xfId="0" applyBorder="1" applyAlignment="1">
      <alignment horizontal="center"/>
    </xf>
    <xf numFmtId="0" fontId="5" fillId="0" borderId="508" xfId="0" applyFont="1" applyBorder="1" applyAlignment="1">
      <alignment horizontal="left"/>
    </xf>
    <xf numFmtId="0" fontId="0" fillId="0" borderId="512" xfId="0" applyBorder="1" applyAlignment="1"/>
    <xf numFmtId="0" fontId="0" fillId="0" borderId="513" xfId="0" applyBorder="1" applyAlignment="1">
      <alignment horizontal="left"/>
    </xf>
    <xf numFmtId="0" fontId="5" fillId="0" borderId="512" xfId="0" applyFont="1" applyBorder="1" applyAlignment="1"/>
    <xf numFmtId="0" fontId="5" fillId="0" borderId="513" xfId="0" applyFont="1" applyBorder="1" applyAlignment="1">
      <alignment horizontal="left"/>
    </xf>
    <xf numFmtId="0" fontId="0" fillId="0" borderId="766" xfId="0" applyBorder="1" applyAlignment="1">
      <alignment horizontal="left"/>
    </xf>
    <xf numFmtId="0" fontId="5" fillId="0" borderId="514" xfId="0" applyFont="1" applyBorder="1" applyAlignment="1">
      <alignment horizontal="left"/>
    </xf>
    <xf numFmtId="0" fontId="0" fillId="0" borderId="511" xfId="0" applyBorder="1" applyAlignment="1"/>
    <xf numFmtId="0" fontId="0" fillId="0" borderId="763" xfId="0" applyBorder="1" applyAlignment="1">
      <alignment horizontal="center"/>
    </xf>
    <xf numFmtId="0" fontId="5" fillId="0" borderId="764" xfId="0" applyFont="1" applyBorder="1" applyAlignment="1">
      <alignment horizontal="left"/>
    </xf>
    <xf numFmtId="0" fontId="8" fillId="0" borderId="765" xfId="0" applyFont="1" applyBorder="1" applyAlignment="1">
      <alignment horizontal="left" vertical="center"/>
    </xf>
    <xf numFmtId="0" fontId="8" fillId="0" borderId="765" xfId="0" applyFont="1" applyBorder="1">
      <alignment horizontal="center" vertical="center"/>
    </xf>
    <xf numFmtId="0" fontId="0" fillId="0" borderId="752" xfId="0" applyBorder="1">
      <alignment horizontal="center" vertical="center"/>
    </xf>
    <xf numFmtId="0" fontId="8" fillId="0" borderId="752" xfId="0" applyFont="1" applyBorder="1">
      <alignment horizontal="center" vertical="center"/>
    </xf>
    <xf numFmtId="0" fontId="8" fillId="0" borderId="764" xfId="0" applyFont="1" applyBorder="1" applyAlignment="1">
      <alignment horizontal="left" vertical="center"/>
    </xf>
    <xf numFmtId="0" fontId="8" fillId="0" borderId="765" xfId="0" applyFont="1" applyBorder="1" applyAlignment="1">
      <alignment horizontal="left"/>
    </xf>
    <xf numFmtId="0" fontId="8" fillId="0" borderId="767" xfId="0" applyFont="1" applyBorder="1" applyAlignment="1">
      <alignment horizontal="left" vertical="center"/>
    </xf>
    <xf numFmtId="49" fontId="0" fillId="51" borderId="651" xfId="0" applyNumberFormat="1" applyFill="1" applyBorder="1">
      <alignment horizontal="center" vertical="center"/>
    </xf>
    <xf numFmtId="0" fontId="0" fillId="51" borderId="747" xfId="0" applyFill="1" applyBorder="1" applyAlignment="1">
      <alignment horizontal="left" vertical="center"/>
    </xf>
    <xf numFmtId="0" fontId="0" fillId="51" borderId="748" xfId="48" applyFont="1" applyFill="1" applyBorder="1">
      <alignment horizontal="center" vertical="center"/>
    </xf>
    <xf numFmtId="0" fontId="0" fillId="51" borderId="712" xfId="0" applyFill="1" applyBorder="1" applyAlignment="1" applyProtection="1">
      <alignment horizontal="left" vertical="center"/>
      <protection locked="0"/>
    </xf>
    <xf numFmtId="0" fontId="0" fillId="51" borderId="505" xfId="51" applyFont="1" applyFill="1" applyBorder="1">
      <alignment horizontal="center" vertical="center"/>
    </xf>
    <xf numFmtId="0" fontId="0" fillId="51" borderId="748" xfId="51" applyFont="1" applyFill="1" applyBorder="1">
      <alignment horizontal="center" vertical="center"/>
    </xf>
    <xf numFmtId="0" fontId="0" fillId="51" borderId="753" xfId="32" applyFont="1" applyFill="1" applyBorder="1" applyAlignment="1">
      <alignment horizontal="center" vertical="center"/>
    </xf>
    <xf numFmtId="0" fontId="0" fillId="51" borderId="755" xfId="0" applyFill="1" applyBorder="1">
      <alignment horizontal="center" vertical="center"/>
    </xf>
    <xf numFmtId="0" fontId="0" fillId="0" borderId="764" xfId="0" applyBorder="1" applyAlignment="1">
      <alignment horizontal="left"/>
    </xf>
    <xf numFmtId="0" fontId="0" fillId="0" borderId="765" xfId="0" applyBorder="1" applyAlignment="1"/>
    <xf numFmtId="0" fontId="0" fillId="0" borderId="752" xfId="0" applyBorder="1" applyAlignment="1">
      <alignment horizontal="left"/>
    </xf>
    <xf numFmtId="0" fontId="0" fillId="0" borderId="765" xfId="0" applyBorder="1" applyAlignment="1">
      <alignment horizontal="left"/>
    </xf>
    <xf numFmtId="0" fontId="0" fillId="0" borderId="767" xfId="0" applyBorder="1" applyAlignment="1">
      <alignment horizontal="left"/>
    </xf>
    <xf numFmtId="0" fontId="0" fillId="51" borderId="656" xfId="44" applyFont="1" applyFill="1" applyBorder="1">
      <alignment horizontal="center" vertical="center"/>
    </xf>
    <xf numFmtId="0" fontId="0" fillId="51" borderId="715" xfId="44" applyFont="1" applyFill="1" applyBorder="1">
      <alignment horizontal="center" vertical="center"/>
    </xf>
    <xf numFmtId="0" fontId="0" fillId="51" borderId="715" xfId="0" applyFill="1" applyBorder="1">
      <alignment horizontal="center" vertical="center"/>
    </xf>
    <xf numFmtId="0" fontId="60" fillId="0" borderId="768" xfId="0" applyFont="1" applyBorder="1" applyAlignment="1">
      <alignment horizontal="left" vertical="center"/>
    </xf>
    <xf numFmtId="0" fontId="0" fillId="51" borderId="509" xfId="53" applyFont="1" applyFill="1" applyBorder="1">
      <alignment horizontal="center" vertical="center"/>
    </xf>
    <xf numFmtId="0" fontId="0" fillId="51" borderId="509" xfId="46" applyFont="1" applyFill="1" applyBorder="1">
      <alignment horizontal="center" vertical="center"/>
    </xf>
    <xf numFmtId="0" fontId="8" fillId="51" borderId="747" xfId="0" applyFont="1" applyFill="1" applyBorder="1" applyAlignment="1">
      <alignment vertical="center"/>
    </xf>
    <xf numFmtId="0" fontId="0" fillId="73" borderId="505" xfId="0" applyFill="1" applyBorder="1">
      <alignment horizontal="center" vertical="center"/>
    </xf>
    <xf numFmtId="0" fontId="0" fillId="51" borderId="747" xfId="0" applyFill="1" applyBorder="1" applyAlignment="1">
      <alignment vertical="center"/>
    </xf>
    <xf numFmtId="0" fontId="0" fillId="51" borderId="754" xfId="0" applyFill="1" applyBorder="1" applyAlignment="1">
      <alignment vertical="center"/>
    </xf>
    <xf numFmtId="0" fontId="0" fillId="51" borderId="755" xfId="43" applyFont="1" applyFill="1" applyBorder="1">
      <alignment horizontal="center" vertical="center"/>
    </xf>
    <xf numFmtId="0" fontId="4" fillId="0" borderId="526" xfId="0" applyFont="1" applyBorder="1" applyProtection="1">
      <alignment horizontal="center" vertical="center"/>
      <protection locked="0"/>
    </xf>
    <xf numFmtId="0" fontId="4" fillId="0" borderId="610" xfId="0" applyFont="1" applyBorder="1" applyAlignment="1" applyProtection="1">
      <alignment horizontal="center" vertical="center"/>
      <protection locked="0"/>
    </xf>
    <xf numFmtId="0" fontId="4" fillId="0" borderId="609" xfId="0" applyFont="1" applyBorder="1" applyAlignment="1" applyProtection="1">
      <alignment horizontal="center" vertical="center"/>
      <protection locked="0"/>
    </xf>
    <xf numFmtId="0" fontId="4" fillId="0" borderId="526" xfId="0" applyFont="1" applyBorder="1" applyAlignment="1" applyProtection="1">
      <alignment horizontal="center" vertical="center"/>
      <protection locked="0"/>
    </xf>
    <xf numFmtId="0" fontId="4" fillId="0" borderId="743" xfId="0" applyFont="1" applyBorder="1" applyAlignment="1" applyProtection="1">
      <alignment horizontal="center" vertical="center"/>
      <protection locked="0"/>
    </xf>
    <xf numFmtId="0" fontId="0" fillId="0" borderId="757" xfId="0" applyBorder="1">
      <alignment horizontal="center" vertical="center"/>
    </xf>
    <xf numFmtId="0" fontId="4" fillId="0" borderId="610" xfId="0" applyFont="1" applyBorder="1" applyAlignment="1" applyProtection="1">
      <alignment horizontal="left" vertical="center"/>
      <protection locked="0"/>
    </xf>
    <xf numFmtId="0" fontId="4" fillId="0" borderId="609" xfId="0" applyFont="1" applyBorder="1" applyAlignment="1" applyProtection="1">
      <alignment horizontal="left" vertical="center"/>
      <protection locked="0"/>
    </xf>
    <xf numFmtId="0" fontId="4" fillId="0" borderId="609" xfId="0" applyFont="1" applyBorder="1" applyAlignment="1" applyProtection="1">
      <alignment horizontal="left" vertical="center"/>
      <protection locked="0"/>
    </xf>
    <xf numFmtId="0" fontId="4" fillId="0" borderId="526" xfId="0" applyFont="1" applyBorder="1" applyAlignment="1" applyProtection="1">
      <alignment horizontal="left" vertical="center"/>
      <protection locked="0"/>
    </xf>
    <xf numFmtId="0" fontId="4" fillId="0" borderId="609" xfId="0" applyFont="1" applyBorder="1" applyProtection="1">
      <alignment horizontal="center" vertical="center"/>
      <protection locked="0"/>
    </xf>
    <xf numFmtId="49" fontId="0" fillId="51" borderId="509" xfId="0" applyNumberFormat="1" applyFill="1" applyBorder="1" applyProtection="1">
      <alignment horizontal="center" vertical="center"/>
      <protection locked="0"/>
    </xf>
    <xf numFmtId="0" fontId="0" fillId="51" borderId="715" xfId="43" applyFont="1" applyFill="1" applyBorder="1">
      <alignment horizontal="center" vertical="center"/>
    </xf>
    <xf numFmtId="49" fontId="0" fillId="52" borderId="697" xfId="0" applyNumberFormat="1" applyFill="1" applyBorder="1">
      <alignment horizontal="center" vertical="center"/>
    </xf>
    <xf numFmtId="0" fontId="14" fillId="94" borderId="507" xfId="0" applyFont="1" applyFill="1" applyBorder="1" applyAlignment="1">
      <alignment horizontal="center"/>
    </xf>
    <xf numFmtId="49" fontId="0" fillId="76" borderId="505" xfId="0" applyNumberFormat="1" applyFill="1" applyBorder="1">
      <alignment horizontal="center" vertical="center"/>
    </xf>
    <xf numFmtId="0" fontId="0" fillId="76" borderId="505" xfId="48" applyFont="1" applyFill="1" applyBorder="1">
      <alignment horizontal="center" vertical="center"/>
    </xf>
    <xf numFmtId="49" fontId="0" fillId="76" borderId="748" xfId="0" applyNumberFormat="1" applyFill="1" applyBorder="1">
      <alignment horizontal="center" vertical="center"/>
    </xf>
    <xf numFmtId="0" fontId="0" fillId="0" borderId="505" xfId="53" applyFont="1" applyBorder="1">
      <alignment horizontal="center" vertical="center"/>
    </xf>
    <xf numFmtId="49" fontId="0" fillId="51" borderId="748" xfId="0" applyNumberFormat="1" applyFill="1" applyBorder="1">
      <alignment horizontal="center" vertical="center"/>
    </xf>
    <xf numFmtId="0" fontId="0" fillId="76" borderId="715" xfId="0" applyFill="1" applyBorder="1">
      <alignment horizontal="center" vertical="center"/>
    </xf>
    <xf numFmtId="0" fontId="0" fillId="0" borderId="505" xfId="48" applyFont="1" applyFill="1" applyBorder="1">
      <alignment horizontal="center" vertical="center"/>
    </xf>
    <xf numFmtId="0" fontId="0" fillId="51" borderId="505" xfId="50" applyFont="1" applyFill="1" applyBorder="1">
      <alignment horizontal="center" vertical="center"/>
    </xf>
    <xf numFmtId="0" fontId="0" fillId="0" borderId="753" xfId="48" applyFont="1" applyFill="1" applyBorder="1">
      <alignment horizontal="center" vertical="center"/>
    </xf>
    <xf numFmtId="0" fontId="0" fillId="51" borderId="755" xfId="48" applyFont="1" applyFill="1" applyBorder="1">
      <alignment horizontal="center" vertical="center"/>
    </xf>
    <xf numFmtId="0" fontId="60" fillId="0" borderId="769" xfId="0" applyFont="1" applyBorder="1" applyAlignment="1">
      <alignment horizontal="left" vertical="center"/>
    </xf>
    <xf numFmtId="0" fontId="5" fillId="0" borderId="770" xfId="0" applyFont="1" applyBorder="1" applyAlignment="1">
      <alignment horizontal="left" vertical="center"/>
    </xf>
    <xf numFmtId="0" fontId="0" fillId="0" borderId="771" xfId="0" applyBorder="1">
      <alignment horizontal="center" vertical="center"/>
    </xf>
    <xf numFmtId="0" fontId="0" fillId="0" borderId="770" xfId="0" applyBorder="1">
      <alignment horizontal="center" vertical="center"/>
    </xf>
    <xf numFmtId="0" fontId="0" fillId="0" borderId="772" xfId="0" applyBorder="1">
      <alignment horizontal="center" vertical="center"/>
    </xf>
    <xf numFmtId="0" fontId="0" fillId="0" borderId="773" xfId="0" applyBorder="1">
      <alignment horizontal="center" vertical="center"/>
    </xf>
    <xf numFmtId="0" fontId="60" fillId="0" borderId="772" xfId="0" applyFont="1" applyBorder="1" applyAlignment="1">
      <alignment horizontal="left" vertical="center"/>
    </xf>
    <xf numFmtId="0" fontId="0" fillId="0" borderId="770" xfId="0" applyBorder="1" applyAlignment="1">
      <alignment horizontal="left" vertical="center"/>
    </xf>
    <xf numFmtId="0" fontId="0" fillId="0" borderId="771" xfId="0" applyBorder="1" applyAlignment="1">
      <alignment horizontal="left" vertical="center"/>
    </xf>
    <xf numFmtId="0" fontId="60" fillId="0" borderId="774" xfId="0" applyFont="1" applyBorder="1" applyAlignment="1">
      <alignment horizontal="left" vertical="center"/>
    </xf>
    <xf numFmtId="0" fontId="0" fillId="0" borderId="775" xfId="0" applyBorder="1" applyAlignment="1">
      <alignment horizontal="left" vertical="center"/>
    </xf>
    <xf numFmtId="0" fontId="0" fillId="51" borderId="651" xfId="43" applyFont="1" applyFill="1" applyBorder="1">
      <alignment horizontal="center" vertical="center"/>
    </xf>
    <xf numFmtId="0" fontId="0" fillId="0" borderId="776" xfId="0" applyBorder="1" applyAlignment="1">
      <alignment horizontal="left" vertical="center"/>
    </xf>
    <xf numFmtId="0" fontId="0" fillId="51" borderId="777" xfId="48" applyFont="1" applyFill="1" applyBorder="1">
      <alignment horizontal="center" vertical="center"/>
    </xf>
    <xf numFmtId="0" fontId="0" fillId="51" borderId="777" xfId="43" applyFont="1" applyFill="1" applyBorder="1">
      <alignment horizontal="center" vertical="center"/>
    </xf>
    <xf numFmtId="0" fontId="0" fillId="51" borderId="777" xfId="32" applyFont="1" applyFill="1" applyBorder="1" applyAlignment="1">
      <alignment horizontal="center" vertical="center"/>
    </xf>
    <xf numFmtId="0" fontId="0" fillId="51" borderId="778" xfId="43" applyFont="1" applyFill="1" applyBorder="1">
      <alignment horizontal="center" vertical="center"/>
    </xf>
    <xf numFmtId="0" fontId="0" fillId="51" borderId="779" xfId="48" applyFont="1" applyFill="1" applyBorder="1">
      <alignment horizontal="center" vertical="center"/>
    </xf>
    <xf numFmtId="0" fontId="0" fillId="51" borderId="779" xfId="43" applyFont="1" applyFill="1" applyBorder="1">
      <alignment horizontal="center" vertical="center"/>
    </xf>
    <xf numFmtId="0" fontId="0" fillId="51" borderId="779" xfId="32" applyFont="1" applyFill="1" applyBorder="1" applyAlignment="1">
      <alignment horizontal="center" vertical="center"/>
    </xf>
    <xf numFmtId="0" fontId="0" fillId="51" borderId="780" xfId="43" applyFont="1" applyFill="1" applyBorder="1">
      <alignment horizontal="center" vertical="center"/>
    </xf>
    <xf numFmtId="0" fontId="0" fillId="51" borderId="751" xfId="43" applyFont="1" applyFill="1" applyBorder="1">
      <alignment horizontal="center" vertical="center"/>
    </xf>
    <xf numFmtId="0" fontId="0" fillId="0" borderId="781" xfId="0" applyBorder="1" applyAlignment="1">
      <alignment horizontal="left" vertical="center"/>
    </xf>
    <xf numFmtId="0" fontId="0" fillId="51" borderId="782" xfId="44" applyFont="1" applyFill="1" applyBorder="1">
      <alignment horizontal="center" vertical="center"/>
    </xf>
    <xf numFmtId="1" fontId="0" fillId="51" borderId="782" xfId="0" applyNumberFormat="1" applyFill="1" applyBorder="1">
      <alignment horizontal="center" vertical="center"/>
    </xf>
    <xf numFmtId="0" fontId="0" fillId="51" borderId="782" xfId="0" applyFill="1" applyBorder="1">
      <alignment horizontal="center" vertical="center"/>
    </xf>
    <xf numFmtId="1" fontId="0" fillId="51" borderId="782" xfId="44" applyNumberFormat="1" applyFont="1" applyFill="1" applyBorder="1">
      <alignment horizontal="center" vertical="center"/>
    </xf>
    <xf numFmtId="1" fontId="0" fillId="51" borderId="783" xfId="0" applyNumberFormat="1" applyFill="1" applyBorder="1">
      <alignment horizontal="center" vertical="center"/>
    </xf>
    <xf numFmtId="0" fontId="0" fillId="0" borderId="784" xfId="0" applyBorder="1" applyAlignment="1">
      <alignment vertical="center"/>
    </xf>
    <xf numFmtId="49" fontId="0" fillId="51" borderId="785" xfId="0" applyNumberFormat="1" applyFill="1" applyBorder="1">
      <alignment horizontal="center" vertical="center"/>
    </xf>
    <xf numFmtId="0" fontId="0" fillId="51" borderId="785" xfId="0" applyFill="1" applyBorder="1">
      <alignment horizontal="center" vertical="center"/>
    </xf>
    <xf numFmtId="0" fontId="0" fillId="51" borderId="785" xfId="46" applyFont="1" applyFill="1" applyBorder="1">
      <alignment horizontal="center" vertical="center"/>
    </xf>
    <xf numFmtId="0" fontId="0" fillId="51" borderId="786" xfId="0" applyFill="1" applyBorder="1">
      <alignment horizontal="center" vertical="center"/>
    </xf>
    <xf numFmtId="0" fontId="0" fillId="0" borderId="787" xfId="0" applyBorder="1" applyAlignment="1">
      <alignment horizontal="left" vertical="center"/>
    </xf>
    <xf numFmtId="0" fontId="8" fillId="52" borderId="785" xfId="48" applyBorder="1">
      <alignment horizontal="center" vertical="center"/>
    </xf>
    <xf numFmtId="0" fontId="0" fillId="73" borderId="785" xfId="0" applyFill="1" applyBorder="1">
      <alignment horizontal="center" vertical="center"/>
    </xf>
    <xf numFmtId="0" fontId="5" fillId="0" borderId="788" xfId="0" applyFont="1" applyBorder="1" applyAlignment="1">
      <alignment horizontal="left" vertical="center"/>
    </xf>
    <xf numFmtId="0" fontId="0" fillId="0" borderId="789" xfId="0" applyBorder="1">
      <alignment horizontal="center" vertical="center"/>
    </xf>
    <xf numFmtId="0" fontId="5" fillId="0" borderId="790" xfId="0" applyFont="1" applyBorder="1" applyAlignment="1">
      <alignment vertical="center"/>
    </xf>
    <xf numFmtId="0" fontId="14" fillId="0" borderId="791" xfId="0" applyFont="1" applyBorder="1">
      <alignment horizontal="center" vertical="center"/>
    </xf>
    <xf numFmtId="0" fontId="0" fillId="0" borderId="791" xfId="0" applyBorder="1">
      <alignment horizontal="center" vertical="center"/>
    </xf>
    <xf numFmtId="0" fontId="0" fillId="0" borderId="792" xfId="0" applyBorder="1">
      <alignment horizontal="center" vertical="center"/>
    </xf>
    <xf numFmtId="0" fontId="5" fillId="0" borderId="793" xfId="0" applyFont="1" applyBorder="1" applyAlignment="1">
      <alignment horizontal="left" vertical="center"/>
    </xf>
    <xf numFmtId="0" fontId="14" fillId="0" borderId="789" xfId="0" applyFont="1" applyBorder="1">
      <alignment horizontal="center" vertical="center"/>
    </xf>
    <xf numFmtId="0" fontId="5" fillId="0" borderId="789" xfId="0" applyFont="1" applyBorder="1">
      <alignment horizontal="center" vertical="center"/>
    </xf>
    <xf numFmtId="0" fontId="5" fillId="0" borderId="794" xfId="0" applyFont="1" applyBorder="1" applyAlignment="1">
      <alignment horizontal="left" vertical="center"/>
    </xf>
    <xf numFmtId="0" fontId="0" fillId="0" borderId="790" xfId="0" applyBorder="1" applyAlignment="1">
      <alignment vertical="center"/>
    </xf>
    <xf numFmtId="0" fontId="5" fillId="0" borderId="790" xfId="0" applyFont="1" applyBorder="1">
      <alignment horizontal="center" vertical="center"/>
    </xf>
    <xf numFmtId="0" fontId="0" fillId="0" borderId="791" xfId="0" applyBorder="1" applyAlignment="1">
      <alignment horizontal="left" vertical="center"/>
    </xf>
    <xf numFmtId="0" fontId="5" fillId="0" borderId="795" xfId="0" applyFont="1" applyBorder="1" applyAlignment="1">
      <alignment horizontal="left" vertical="center"/>
    </xf>
    <xf numFmtId="0" fontId="0" fillId="0" borderId="796" xfId="0" applyBorder="1">
      <alignment horizontal="center" vertical="center"/>
    </xf>
    <xf numFmtId="0" fontId="0" fillId="0" borderId="797" xfId="0" applyBorder="1" applyAlignment="1">
      <alignment vertical="center"/>
    </xf>
    <xf numFmtId="0" fontId="0" fillId="0" borderId="798" xfId="0" applyBorder="1">
      <alignment horizontal="center" vertical="center"/>
    </xf>
    <xf numFmtId="0" fontId="5" fillId="0" borderId="797" xfId="0" applyFont="1" applyBorder="1">
      <alignment horizontal="center" vertical="center"/>
    </xf>
    <xf numFmtId="0" fontId="0" fillId="0" borderId="796" xfId="0" applyBorder="1" applyAlignment="1">
      <alignment horizontal="left" vertical="center"/>
    </xf>
    <xf numFmtId="0" fontId="14" fillId="0" borderId="796" xfId="0" applyFont="1" applyBorder="1">
      <alignment horizontal="center" vertical="center"/>
    </xf>
    <xf numFmtId="0" fontId="5" fillId="0" borderId="796" xfId="0" applyFont="1" applyBorder="1" applyAlignment="1">
      <alignment horizontal="left" vertical="center"/>
    </xf>
    <xf numFmtId="0" fontId="0" fillId="51" borderId="782" xfId="48" applyFont="1" applyFill="1" applyBorder="1">
      <alignment horizontal="center" vertical="center"/>
    </xf>
    <xf numFmtId="0" fontId="0" fillId="0" borderId="799" xfId="0" applyBorder="1" applyAlignment="1">
      <alignment horizontal="left" vertical="center"/>
    </xf>
    <xf numFmtId="0" fontId="0" fillId="51" borderId="799" xfId="20" applyFont="1" applyFill="1" applyBorder="1" applyAlignment="1">
      <alignment horizontal="center" vertical="center"/>
    </xf>
    <xf numFmtId="0" fontId="0" fillId="0" borderId="785" xfId="0" applyBorder="1" applyAlignment="1">
      <alignment horizontal="left" vertical="center"/>
    </xf>
    <xf numFmtId="0" fontId="0" fillId="51" borderId="785" xfId="53" applyFont="1" applyFill="1" applyBorder="1">
      <alignment horizontal="center" vertical="center"/>
    </xf>
    <xf numFmtId="1" fontId="0" fillId="51" borderId="799" xfId="32" applyNumberFormat="1" applyFont="1" applyFill="1" applyBorder="1" applyAlignment="1">
      <alignment horizontal="center" vertical="center"/>
    </xf>
    <xf numFmtId="49" fontId="0" fillId="51" borderId="799" xfId="0" applyNumberFormat="1" applyFill="1" applyBorder="1">
      <alignment horizontal="center" vertical="center"/>
    </xf>
    <xf numFmtId="1" fontId="0" fillId="51" borderId="799" xfId="0" applyNumberFormat="1" applyFill="1" applyBorder="1">
      <alignment horizontal="center" vertical="center"/>
    </xf>
    <xf numFmtId="0" fontId="0" fillId="51" borderId="799" xfId="46" applyFont="1" applyFill="1" applyBorder="1">
      <alignment horizontal="center" vertical="center"/>
    </xf>
    <xf numFmtId="0" fontId="0" fillId="0" borderId="799" xfId="0" applyBorder="1">
      <alignment horizontal="center" vertical="center"/>
    </xf>
    <xf numFmtId="0" fontId="0" fillId="51" borderId="799" xfId="0" applyFill="1" applyBorder="1">
      <alignment horizontal="center" vertical="center"/>
    </xf>
    <xf numFmtId="0" fontId="0" fillId="51" borderId="785" xfId="0" applyFill="1" applyBorder="1" applyAlignment="1">
      <alignment horizontal="left" vertical="center"/>
    </xf>
    <xf numFmtId="0" fontId="0" fillId="51" borderId="799" xfId="44" applyFont="1" applyFill="1" applyBorder="1">
      <alignment horizontal="center" vertical="center"/>
    </xf>
    <xf numFmtId="0" fontId="0" fillId="51" borderId="785" xfId="44" applyFont="1" applyFill="1" applyBorder="1">
      <alignment horizontal="center" vertical="center"/>
    </xf>
    <xf numFmtId="0" fontId="0" fillId="51" borderId="400" xfId="46" applyFont="1" applyFill="1" applyBorder="1">
      <alignment horizontal="center" vertical="center"/>
    </xf>
    <xf numFmtId="0" fontId="0" fillId="51" borderId="400" xfId="44" applyFont="1" applyFill="1" applyBorder="1">
      <alignment horizontal="center" vertical="center"/>
    </xf>
    <xf numFmtId="0" fontId="0" fillId="51" borderId="400" xfId="0" applyFill="1" applyBorder="1">
      <alignment horizontal="center" vertical="center"/>
    </xf>
    <xf numFmtId="0" fontId="0" fillId="51" borderId="400" xfId="48" applyFont="1" applyFill="1" applyBorder="1">
      <alignment horizontal="center" vertical="center"/>
    </xf>
    <xf numFmtId="49" fontId="0" fillId="51" borderId="400" xfId="0" applyNumberFormat="1" applyFill="1" applyBorder="1">
      <alignment horizontal="center" vertical="center"/>
    </xf>
    <xf numFmtId="0" fontId="0" fillId="51" borderId="800" xfId="0" applyFill="1" applyBorder="1" applyAlignment="1" applyProtection="1">
      <alignment horizontal="left" vertical="center"/>
      <protection locked="0"/>
    </xf>
    <xf numFmtId="0" fontId="8" fillId="52" borderId="801" xfId="48" applyBorder="1">
      <alignment horizontal="center" vertical="center"/>
    </xf>
    <xf numFmtId="0" fontId="0" fillId="51" borderId="802" xfId="0" applyFill="1" applyBorder="1">
      <alignment horizontal="center" vertical="center"/>
    </xf>
    <xf numFmtId="0" fontId="0" fillId="0" borderId="803" xfId="0" applyBorder="1" applyAlignment="1">
      <alignment horizontal="left" vertical="center"/>
    </xf>
    <xf numFmtId="0" fontId="8" fillId="0" borderId="801" xfId="53" applyBorder="1">
      <alignment horizontal="center" vertical="center"/>
    </xf>
    <xf numFmtId="0" fontId="65" fillId="0" borderId="804" xfId="0" applyFont="1" applyBorder="1" applyAlignment="1" applyProtection="1">
      <alignment horizontal="left"/>
      <protection locked="0"/>
    </xf>
    <xf numFmtId="0" fontId="0" fillId="51" borderId="803" xfId="0" applyFill="1" applyBorder="1" applyAlignment="1" applyProtection="1">
      <alignment horizontal="left" vertical="center"/>
      <protection locked="0"/>
    </xf>
    <xf numFmtId="0" fontId="0" fillId="0" borderId="805" xfId="0" applyBorder="1" applyAlignment="1">
      <alignment horizontal="left" vertical="center"/>
    </xf>
    <xf numFmtId="0" fontId="0" fillId="51" borderId="806" xfId="48" applyFont="1" applyFill="1" applyBorder="1">
      <alignment horizontal="center" vertical="center"/>
    </xf>
    <xf numFmtId="0" fontId="0" fillId="74" borderId="782" xfId="48" applyFont="1" applyFill="1" applyBorder="1">
      <alignment horizontal="center" vertical="center"/>
    </xf>
    <xf numFmtId="49" fontId="0" fillId="51" borderId="806" xfId="0" applyNumberFormat="1" applyFill="1" applyBorder="1">
      <alignment horizontal="center" vertical="center"/>
    </xf>
    <xf numFmtId="0" fontId="0" fillId="74" borderId="806" xfId="0" applyFill="1" applyBorder="1">
      <alignment horizontal="center" vertical="center"/>
    </xf>
    <xf numFmtId="0" fontId="0" fillId="51" borderId="806" xfId="0" applyFill="1" applyBorder="1">
      <alignment horizontal="center" vertical="center"/>
    </xf>
    <xf numFmtId="0" fontId="0" fillId="51" borderId="807" xfId="48" applyFont="1" applyFill="1" applyBorder="1">
      <alignment horizontal="center" vertical="center"/>
    </xf>
    <xf numFmtId="0" fontId="65" fillId="0" borderId="808" xfId="0" applyFont="1" applyBorder="1" applyAlignment="1" applyProtection="1">
      <alignment horizontal="left"/>
      <protection locked="0"/>
    </xf>
    <xf numFmtId="0" fontId="0" fillId="0" borderId="809" xfId="0" applyBorder="1" applyAlignment="1">
      <alignment horizontal="left" vertical="center"/>
    </xf>
    <xf numFmtId="0" fontId="0" fillId="51" borderId="810" xfId="0" applyFill="1" applyBorder="1">
      <alignment horizontal="center" vertical="center"/>
    </xf>
    <xf numFmtId="0" fontId="0" fillId="51" borderId="811" xfId="0" applyFill="1" applyBorder="1">
      <alignment horizontal="center" vertical="center"/>
    </xf>
    <xf numFmtId="0" fontId="0" fillId="43" borderId="812" xfId="0" applyFill="1" applyBorder="1" applyAlignment="1" applyProtection="1">
      <alignment horizontal="center"/>
      <protection locked="0"/>
    </xf>
    <xf numFmtId="20" fontId="0" fillId="0" borderId="790" xfId="0" applyNumberFormat="1" applyBorder="1" applyAlignment="1">
      <alignment horizontal="left"/>
    </xf>
    <xf numFmtId="0" fontId="0" fillId="0" borderId="791" xfId="0" applyBorder="1" applyAlignment="1">
      <alignment horizontal="left"/>
    </xf>
    <xf numFmtId="0" fontId="0" fillId="0" borderId="790" xfId="0" applyBorder="1" applyAlignment="1">
      <alignment horizontal="left"/>
    </xf>
    <xf numFmtId="0" fontId="0" fillId="0" borderId="813" xfId="0" applyBorder="1" applyAlignment="1">
      <alignment horizontal="left"/>
    </xf>
    <xf numFmtId="0" fontId="0" fillId="0" borderId="793" xfId="0" applyBorder="1" applyAlignment="1">
      <alignment horizontal="left"/>
    </xf>
    <xf numFmtId="0" fontId="0" fillId="0" borderId="789" xfId="0" applyBorder="1" applyAlignment="1">
      <alignment horizontal="left"/>
    </xf>
    <xf numFmtId="0" fontId="0" fillId="0" borderId="814" xfId="0" applyBorder="1" applyAlignment="1">
      <alignment horizontal="left"/>
    </xf>
    <xf numFmtId="0" fontId="0" fillId="0" borderId="790" xfId="0" applyBorder="1" applyAlignment="1">
      <alignment horizontal="left" vertical="center"/>
    </xf>
    <xf numFmtId="0" fontId="0" fillId="0" borderId="815" xfId="0" applyBorder="1" applyAlignment="1">
      <alignment horizontal="left" vertical="center"/>
    </xf>
    <xf numFmtId="0" fontId="0" fillId="0" borderId="816" xfId="0" applyBorder="1">
      <alignment horizontal="center" vertical="center"/>
    </xf>
    <xf numFmtId="0" fontId="0" fillId="43" borderId="817" xfId="0" applyFill="1" applyBorder="1" applyAlignment="1" applyProtection="1">
      <alignment horizontal="center"/>
      <protection locked="0"/>
    </xf>
    <xf numFmtId="0" fontId="0" fillId="0" borderId="818" xfId="0" applyBorder="1" applyAlignment="1">
      <alignment horizontal="left" vertical="center"/>
    </xf>
    <xf numFmtId="0" fontId="0" fillId="0" borderId="819" xfId="0" applyBorder="1">
      <alignment horizontal="center" vertical="center"/>
    </xf>
    <xf numFmtId="0" fontId="0" fillId="0" borderId="819" xfId="0" applyBorder="1" applyAlignment="1">
      <alignment horizontal="left" vertical="center"/>
    </xf>
    <xf numFmtId="0" fontId="0" fillId="51" borderId="801" xfId="47" applyFont="1" applyFill="1" applyBorder="1">
      <alignment horizontal="center" vertical="center"/>
    </xf>
    <xf numFmtId="0" fontId="0" fillId="0" borderId="802" xfId="0" applyBorder="1">
      <alignment horizontal="center" vertical="center"/>
    </xf>
    <xf numFmtId="0" fontId="0" fillId="51" borderId="802" xfId="47" applyFont="1" applyFill="1" applyBorder="1">
      <alignment horizontal="center" vertical="center"/>
    </xf>
    <xf numFmtId="0" fontId="0" fillId="0" borderId="808" xfId="0" applyBorder="1" applyAlignment="1">
      <alignment horizontal="left" vertical="center"/>
    </xf>
    <xf numFmtId="0" fontId="0" fillId="51" borderId="810" xfId="47" applyFont="1" applyFill="1" applyBorder="1">
      <alignment horizontal="center" vertical="center"/>
    </xf>
    <xf numFmtId="0" fontId="0" fillId="51" borderId="811" xfId="47" applyFont="1" applyFill="1" applyBorder="1">
      <alignment horizontal="center" vertical="center"/>
    </xf>
    <xf numFmtId="0" fontId="0" fillId="71" borderId="803" xfId="0" applyFill="1" applyBorder="1" applyAlignment="1"/>
    <xf numFmtId="0" fontId="5" fillId="0" borderId="820" xfId="0" applyFont="1" applyBorder="1" applyAlignment="1">
      <alignment horizontal="center"/>
    </xf>
    <xf numFmtId="0" fontId="8" fillId="0" borderId="790" xfId="0" applyFont="1" applyBorder="1" applyAlignment="1">
      <alignment horizontal="left" vertical="center"/>
    </xf>
    <xf numFmtId="0" fontId="8" fillId="0" borderId="791" xfId="0" applyFont="1" applyBorder="1">
      <alignment horizontal="center" vertical="center"/>
    </xf>
    <xf numFmtId="0" fontId="8" fillId="0" borderId="792" xfId="0" applyFont="1" applyBorder="1">
      <alignment horizontal="center" vertical="center"/>
    </xf>
    <xf numFmtId="0" fontId="8" fillId="0" borderId="791" xfId="0" applyFont="1" applyBorder="1" applyAlignment="1">
      <alignment horizontal="left" vertical="center"/>
    </xf>
    <xf numFmtId="0" fontId="8" fillId="0" borderId="790" xfId="0" applyFont="1" applyBorder="1" applyAlignment="1">
      <alignment horizontal="left"/>
    </xf>
    <xf numFmtId="0" fontId="0" fillId="0" borderId="821" xfId="0" applyBorder="1" applyAlignment="1">
      <alignment horizontal="center"/>
    </xf>
    <xf numFmtId="0" fontId="5" fillId="0" borderId="790" xfId="0" applyFont="1" applyBorder="1" applyAlignment="1">
      <alignment horizontal="left"/>
    </xf>
    <xf numFmtId="0" fontId="0" fillId="0" borderId="791" xfId="0" applyBorder="1" applyAlignment="1"/>
    <xf numFmtId="0" fontId="0" fillId="0" borderId="792" xfId="0" applyBorder="1" applyAlignment="1">
      <alignment horizontal="left"/>
    </xf>
    <xf numFmtId="0" fontId="5" fillId="0" borderId="791" xfId="0" applyFont="1" applyBorder="1" applyAlignment="1"/>
    <xf numFmtId="0" fontId="5" fillId="0" borderId="792" xfId="0" applyFont="1" applyBorder="1" applyAlignment="1">
      <alignment horizontal="left"/>
    </xf>
    <xf numFmtId="0" fontId="0" fillId="0" borderId="790" xfId="0" applyBorder="1" applyAlignment="1">
      <alignment horizontal="center"/>
    </xf>
    <xf numFmtId="0" fontId="0" fillId="0" borderId="822" xfId="0" applyBorder="1" applyAlignment="1"/>
    <xf numFmtId="0" fontId="5" fillId="0" borderId="793" xfId="0" applyFont="1" applyBorder="1" applyAlignment="1">
      <alignment horizontal="left"/>
    </xf>
    <xf numFmtId="0" fontId="0" fillId="0" borderId="789" xfId="0" applyBorder="1" applyAlignment="1"/>
    <xf numFmtId="0" fontId="10" fillId="0" borderId="793" xfId="0" applyFont="1" applyBorder="1" applyAlignment="1">
      <alignment horizontal="center"/>
    </xf>
    <xf numFmtId="0" fontId="0" fillId="0" borderId="823" xfId="0" applyBorder="1" applyAlignment="1"/>
    <xf numFmtId="0" fontId="0" fillId="0" borderId="824" xfId="0" applyBorder="1" applyAlignment="1">
      <alignment horizontal="center"/>
    </xf>
    <xf numFmtId="0" fontId="5" fillId="0" borderId="825" xfId="0" applyFont="1" applyBorder="1" applyAlignment="1">
      <alignment horizontal="left"/>
    </xf>
    <xf numFmtId="0" fontId="8" fillId="0" borderId="826" xfId="0" applyFont="1" applyBorder="1" applyAlignment="1">
      <alignment horizontal="left" vertical="center"/>
    </xf>
    <xf numFmtId="0" fontId="8" fillId="0" borderId="826" xfId="0" applyFont="1" applyBorder="1">
      <alignment horizontal="center" vertical="center"/>
    </xf>
    <xf numFmtId="0" fontId="8" fillId="0" borderId="827" xfId="0" applyFont="1" applyBorder="1">
      <alignment horizontal="center" vertical="center"/>
    </xf>
    <xf numFmtId="0" fontId="8" fillId="0" borderId="825" xfId="0" applyFont="1" applyBorder="1" applyAlignment="1">
      <alignment horizontal="left" vertical="center"/>
    </xf>
    <xf numFmtId="0" fontId="8" fillId="0" borderId="826" xfId="0" applyFont="1" applyBorder="1" applyAlignment="1">
      <alignment horizontal="left"/>
    </xf>
    <xf numFmtId="0" fontId="8" fillId="0" borderId="827" xfId="0" applyFont="1" applyBorder="1" applyAlignment="1">
      <alignment horizontal="left" vertical="center"/>
    </xf>
    <xf numFmtId="0" fontId="0" fillId="0" borderId="828" xfId="0" applyBorder="1" applyAlignment="1"/>
    <xf numFmtId="0" fontId="0" fillId="51" borderId="829" xfId="0" applyFill="1" applyBorder="1" applyAlignment="1">
      <alignment horizontal="left" vertical="center"/>
    </xf>
    <xf numFmtId="0" fontId="0" fillId="51" borderId="802" xfId="48" applyFont="1" applyFill="1" applyBorder="1">
      <alignment horizontal="center" vertical="center"/>
    </xf>
    <xf numFmtId="0" fontId="0" fillId="51" borderId="801" xfId="51" applyFont="1" applyFill="1" applyBorder="1">
      <alignment horizontal="center" vertical="center"/>
    </xf>
    <xf numFmtId="0" fontId="0" fillId="51" borderId="802" xfId="51" applyFont="1" applyFill="1" applyBorder="1">
      <alignment horizontal="center" vertical="center"/>
    </xf>
    <xf numFmtId="0" fontId="0" fillId="87" borderId="801" xfId="0" applyFill="1" applyBorder="1">
      <alignment horizontal="center" vertical="center"/>
    </xf>
    <xf numFmtId="0" fontId="0" fillId="51" borderId="809" xfId="0" applyFill="1" applyBorder="1" applyAlignment="1">
      <alignment horizontal="left" vertical="center"/>
    </xf>
    <xf numFmtId="0" fontId="0" fillId="51" borderId="810" xfId="48" applyFont="1" applyFill="1" applyBorder="1">
      <alignment horizontal="center" vertical="center"/>
    </xf>
    <xf numFmtId="49" fontId="0" fillId="51" borderId="810" xfId="0" applyNumberFormat="1" applyFill="1" applyBorder="1">
      <alignment horizontal="center" vertical="center"/>
    </xf>
    <xf numFmtId="0" fontId="0" fillId="51" borderId="810" xfId="32" applyFont="1" applyFill="1" applyBorder="1" applyAlignment="1">
      <alignment horizontal="center" vertical="center"/>
    </xf>
    <xf numFmtId="0" fontId="0" fillId="0" borderId="825" xfId="0" applyBorder="1" applyAlignment="1">
      <alignment horizontal="left"/>
    </xf>
    <xf numFmtId="0" fontId="0" fillId="0" borderId="826" xfId="0" applyBorder="1" applyAlignment="1"/>
    <xf numFmtId="0" fontId="0" fillId="0" borderId="827" xfId="0" applyBorder="1" applyAlignment="1">
      <alignment horizontal="left"/>
    </xf>
    <xf numFmtId="0" fontId="0" fillId="0" borderId="826" xfId="0" applyBorder="1" applyAlignment="1">
      <alignment horizontal="left"/>
    </xf>
    <xf numFmtId="0" fontId="0" fillId="0" borderId="825" xfId="0" applyBorder="1" applyAlignment="1">
      <alignment horizontal="center"/>
    </xf>
    <xf numFmtId="0" fontId="0" fillId="51" borderId="806" xfId="44" applyFont="1" applyFill="1" applyBorder="1">
      <alignment horizontal="center" vertical="center"/>
    </xf>
    <xf numFmtId="0" fontId="0" fillId="51" borderId="806" xfId="43" applyFont="1" applyFill="1" applyBorder="1">
      <alignment horizontal="center" vertical="center"/>
    </xf>
    <xf numFmtId="0" fontId="0" fillId="85" borderId="806" xfId="48" applyFont="1" applyFill="1" applyBorder="1">
      <alignment horizontal="center" vertical="center"/>
    </xf>
    <xf numFmtId="0" fontId="0" fillId="51" borderId="807" xfId="44" applyFont="1" applyFill="1" applyBorder="1">
      <alignment horizontal="center" vertical="center"/>
    </xf>
    <xf numFmtId="0" fontId="0" fillId="51" borderId="807" xfId="0" applyFill="1" applyBorder="1">
      <alignment horizontal="center" vertical="center"/>
    </xf>
    <xf numFmtId="0" fontId="0" fillId="51" borderId="806" xfId="46" applyFont="1" applyFill="1" applyBorder="1">
      <alignment horizontal="center" vertical="center"/>
    </xf>
    <xf numFmtId="0" fontId="60" fillId="0" borderId="830" xfId="0" applyFont="1" applyBorder="1" applyAlignment="1">
      <alignment horizontal="left" vertical="center"/>
    </xf>
    <xf numFmtId="0" fontId="8" fillId="52" borderId="806" xfId="48" applyBorder="1">
      <alignment horizontal="center" vertical="center"/>
    </xf>
    <xf numFmtId="0" fontId="4" fillId="0" borderId="790" xfId="0" applyFont="1" applyBorder="1" applyAlignment="1">
      <alignment horizontal="left"/>
    </xf>
    <xf numFmtId="0" fontId="5" fillId="0" borderId="791" xfId="0" applyFont="1" applyBorder="1">
      <alignment horizontal="center" vertical="center"/>
    </xf>
    <xf numFmtId="0" fontId="0" fillId="0" borderId="822" xfId="0" applyBorder="1">
      <alignment horizontal="center" vertical="center"/>
    </xf>
    <xf numFmtId="167" fontId="10" fillId="0" borderId="825" xfId="0" applyNumberFormat="1" applyFont="1" applyBorder="1" applyAlignment="1">
      <alignment horizontal="center"/>
    </xf>
    <xf numFmtId="0" fontId="0" fillId="0" borderId="828" xfId="0" applyBorder="1">
      <alignment horizontal="center" vertical="center"/>
    </xf>
    <xf numFmtId="0" fontId="8" fillId="51" borderId="829" xfId="0" applyFont="1" applyFill="1" applyBorder="1" applyAlignment="1">
      <alignment vertical="center"/>
    </xf>
    <xf numFmtId="0" fontId="0" fillId="73" borderId="802" xfId="0" applyFill="1" applyBorder="1">
      <alignment horizontal="center" vertical="center"/>
    </xf>
    <xf numFmtId="0" fontId="0" fillId="51" borderId="829" xfId="0" applyFill="1" applyBorder="1" applyAlignment="1">
      <alignment vertical="center"/>
    </xf>
    <xf numFmtId="0" fontId="0" fillId="51" borderId="809" xfId="0" applyFill="1" applyBorder="1" applyAlignment="1">
      <alignment vertical="center"/>
    </xf>
    <xf numFmtId="0" fontId="0" fillId="51" borderId="810" xfId="43" applyFont="1" applyFill="1" applyBorder="1">
      <alignment horizontal="center" vertical="center"/>
    </xf>
    <xf numFmtId="0" fontId="4" fillId="0" borderId="815" xfId="0" applyFont="1" applyBorder="1" applyProtection="1">
      <alignment horizontal="center" vertical="center"/>
      <protection locked="0"/>
    </xf>
    <xf numFmtId="0" fontId="4" fillId="0" borderId="831" xfId="0" applyFont="1" applyBorder="1" applyAlignment="1" applyProtection="1">
      <alignment horizontal="center" vertical="center"/>
      <protection locked="0"/>
    </xf>
    <xf numFmtId="0" fontId="4" fillId="0" borderId="832" xfId="0" applyFont="1" applyBorder="1" applyAlignment="1" applyProtection="1">
      <alignment horizontal="center" vertical="center"/>
      <protection locked="0"/>
    </xf>
    <xf numFmtId="0" fontId="4" fillId="0" borderId="815" xfId="0" applyFont="1" applyBorder="1" applyAlignment="1" applyProtection="1">
      <alignment horizontal="center" vertical="center"/>
      <protection locked="0"/>
    </xf>
    <xf numFmtId="0" fontId="4" fillId="0" borderId="833" xfId="0" applyFont="1" applyBorder="1" applyAlignment="1" applyProtection="1">
      <alignment horizontal="center" vertical="center"/>
      <protection locked="0"/>
    </xf>
    <xf numFmtId="0" fontId="0" fillId="0" borderId="804" xfId="0" applyBorder="1">
      <alignment horizontal="center" vertical="center"/>
    </xf>
    <xf numFmtId="0" fontId="4" fillId="0" borderId="831" xfId="0" applyFont="1" applyBorder="1" applyAlignment="1" applyProtection="1">
      <alignment horizontal="left" vertical="center"/>
      <protection locked="0"/>
    </xf>
    <xf numFmtId="0" fontId="4" fillId="0" borderId="832" xfId="0" applyFont="1" applyBorder="1" applyAlignment="1" applyProtection="1">
      <alignment horizontal="left" vertical="center"/>
      <protection locked="0"/>
    </xf>
    <xf numFmtId="0" fontId="4" fillId="0" borderId="832" xfId="0" applyFont="1" applyBorder="1" applyAlignment="1" applyProtection="1">
      <alignment horizontal="left" vertical="center"/>
      <protection locked="0"/>
    </xf>
    <xf numFmtId="0" fontId="4" fillId="0" borderId="815" xfId="0" applyFont="1" applyBorder="1" applyAlignment="1" applyProtection="1">
      <alignment horizontal="left" vertical="center"/>
      <protection locked="0"/>
    </xf>
    <xf numFmtId="0" fontId="4" fillId="0" borderId="832" xfId="0" applyFont="1" applyBorder="1" applyProtection="1">
      <alignment horizontal="center" vertical="center"/>
      <protection locked="0"/>
    </xf>
    <xf numFmtId="0" fontId="5" fillId="0" borderId="821" xfId="0" applyFont="1" applyBorder="1" applyAlignment="1">
      <alignment horizontal="center"/>
    </xf>
    <xf numFmtId="0" fontId="5" fillId="0" borderId="824" xfId="0" applyFont="1" applyBorder="1" applyAlignment="1">
      <alignment horizontal="center"/>
    </xf>
    <xf numFmtId="0" fontId="4" fillId="0" borderId="791" xfId="0" applyFont="1" applyBorder="1" applyAlignment="1">
      <alignment horizontal="left"/>
    </xf>
    <xf numFmtId="0" fontId="5" fillId="77" borderId="829" xfId="0" applyFont="1" applyFill="1" applyBorder="1">
      <alignment horizontal="center" vertical="center"/>
    </xf>
    <xf numFmtId="0" fontId="0" fillId="76" borderId="801" xfId="0" applyFill="1" applyBorder="1">
      <alignment horizontal="center" vertical="center"/>
    </xf>
    <xf numFmtId="0" fontId="0" fillId="76" borderId="802" xfId="0" applyFill="1" applyBorder="1">
      <alignment horizontal="center" vertical="center"/>
    </xf>
    <xf numFmtId="49" fontId="0" fillId="51" borderId="802" xfId="0" applyNumberFormat="1" applyFill="1" applyBorder="1">
      <alignment horizontal="center" vertical="center"/>
    </xf>
    <xf numFmtId="49" fontId="0" fillId="51" borderId="811" xfId="0" applyNumberFormat="1" applyFill="1" applyBorder="1">
      <alignment horizontal="center" vertical="center"/>
    </xf>
    <xf numFmtId="0" fontId="0" fillId="0" borderId="806" xfId="48" applyFont="1" applyFill="1" applyBorder="1">
      <alignment horizontal="center" vertical="center"/>
    </xf>
    <xf numFmtId="0" fontId="0" fillId="0" borderId="806" xfId="0" applyBorder="1">
      <alignment horizontal="center" vertical="center"/>
    </xf>
    <xf numFmtId="0" fontId="0" fillId="0" borderId="806" xfId="47" applyFont="1" applyFill="1" applyBorder="1">
      <alignment horizontal="center" vertical="center"/>
    </xf>
    <xf numFmtId="49" fontId="0" fillId="0" borderId="806" xfId="0" applyNumberFormat="1" applyBorder="1">
      <alignment horizontal="center" vertical="center"/>
    </xf>
    <xf numFmtId="49" fontId="0" fillId="0" borderId="815" xfId="0" applyNumberFormat="1" applyBorder="1">
      <alignment horizontal="center" vertical="center"/>
    </xf>
    <xf numFmtId="49" fontId="0" fillId="0" borderId="807" xfId="0" applyNumberFormat="1" applyBorder="1">
      <alignment horizontal="center" vertical="center"/>
    </xf>
    <xf numFmtId="0" fontId="5" fillId="94" borderId="803" xfId="0" applyFont="1" applyFill="1" applyBorder="1" applyAlignment="1">
      <alignment horizontal="left"/>
    </xf>
    <xf numFmtId="0" fontId="0" fillId="94" borderId="806" xfId="48" applyFont="1" applyFill="1" applyBorder="1">
      <alignment horizontal="center" vertical="center"/>
    </xf>
    <xf numFmtId="0" fontId="0" fillId="94" borderId="806" xfId="0" applyFill="1" applyBorder="1">
      <alignment horizontal="center" vertical="center"/>
    </xf>
    <xf numFmtId="0" fontId="0" fillId="94" borderId="806" xfId="47" applyFont="1" applyFill="1" applyBorder="1">
      <alignment horizontal="center" vertical="center"/>
    </xf>
    <xf numFmtId="49" fontId="0" fillId="94" borderId="806" xfId="0" applyNumberFormat="1" applyFill="1" applyBorder="1">
      <alignment horizontal="center" vertical="center"/>
    </xf>
    <xf numFmtId="49" fontId="0" fillId="94" borderId="815" xfId="0" applyNumberFormat="1" applyFill="1" applyBorder="1">
      <alignment horizontal="center" vertical="center"/>
    </xf>
    <xf numFmtId="49" fontId="0" fillId="94" borderId="807" xfId="0" applyNumberFormat="1" applyFill="1" applyBorder="1">
      <alignment horizontal="center" vertical="center"/>
    </xf>
    <xf numFmtId="0" fontId="0" fillId="0" borderId="803" xfId="0" applyBorder="1" applyAlignment="1">
      <alignment horizontal="left"/>
    </xf>
    <xf numFmtId="0" fontId="0" fillId="0" borderId="801" xfId="43" applyFont="1" applyFill="1" applyBorder="1">
      <alignment horizontal="center" vertical="center"/>
    </xf>
    <xf numFmtId="0" fontId="0" fillId="0" borderId="801" xfId="44" applyFont="1" applyFill="1" applyBorder="1">
      <alignment horizontal="center" vertical="center"/>
    </xf>
    <xf numFmtId="0" fontId="0" fillId="0" borderId="790" xfId="0" applyBorder="1">
      <alignment horizontal="center" vertical="center"/>
    </xf>
    <xf numFmtId="0" fontId="5" fillId="76" borderId="803" xfId="0" applyFont="1" applyFill="1" applyBorder="1" applyAlignment="1">
      <alignment vertical="center"/>
    </xf>
    <xf numFmtId="0" fontId="0" fillId="76" borderId="806" xfId="43" applyFont="1" applyFill="1" applyBorder="1">
      <alignment horizontal="center" vertical="center"/>
    </xf>
    <xf numFmtId="0" fontId="0" fillId="76" borderId="806" xfId="0" applyFill="1" applyBorder="1">
      <alignment horizontal="center" vertical="center"/>
    </xf>
    <xf numFmtId="0" fontId="0" fillId="76" borderId="807" xfId="0" applyFill="1" applyBorder="1">
      <alignment horizontal="center" vertical="center"/>
    </xf>
    <xf numFmtId="0" fontId="0" fillId="0" borderId="803" xfId="0" applyBorder="1" applyAlignment="1">
      <alignment vertical="center"/>
    </xf>
    <xf numFmtId="0" fontId="0" fillId="0" borderId="801" xfId="48" applyFont="1" applyFill="1" applyBorder="1">
      <alignment horizontal="center" vertical="center"/>
    </xf>
    <xf numFmtId="0" fontId="0" fillId="0" borderId="790" xfId="48" applyFont="1" applyFill="1" applyBorder="1">
      <alignment horizontal="center" vertical="center"/>
    </xf>
    <xf numFmtId="0" fontId="0" fillId="0" borderId="802" xfId="48" applyFont="1" applyFill="1" applyBorder="1">
      <alignment horizontal="center" vertical="center"/>
    </xf>
    <xf numFmtId="0" fontId="0" fillId="0" borderId="790" xfId="50" applyFont="1" applyFill="1" applyBorder="1">
      <alignment horizontal="center" vertical="center"/>
    </xf>
    <xf numFmtId="0" fontId="0" fillId="0" borderId="802" xfId="50" applyFont="1" applyFill="1" applyBorder="1">
      <alignment horizontal="center" vertical="center"/>
    </xf>
    <xf numFmtId="0" fontId="0" fillId="0" borderId="790" xfId="43" applyFont="1" applyFill="1" applyBorder="1">
      <alignment horizontal="center" vertical="center"/>
    </xf>
    <xf numFmtId="0" fontId="0" fillId="0" borderId="802" xfId="43" applyFont="1" applyFill="1" applyBorder="1">
      <alignment horizontal="center" vertical="center"/>
    </xf>
    <xf numFmtId="0" fontId="0" fillId="0" borderId="790" xfId="44" applyFont="1" applyFill="1" applyBorder="1">
      <alignment horizontal="center" vertical="center"/>
    </xf>
    <xf numFmtId="0" fontId="0" fillId="0" borderId="802" xfId="44" applyFont="1" applyFill="1" applyBorder="1">
      <alignment horizontal="center" vertical="center"/>
    </xf>
    <xf numFmtId="0" fontId="0" fillId="0" borderId="801" xfId="50" applyFont="1" applyFill="1" applyBorder="1">
      <alignment horizontal="center" vertical="center"/>
    </xf>
    <xf numFmtId="0" fontId="0" fillId="0" borderId="801" xfId="53" applyFont="1" applyBorder="1">
      <alignment horizontal="center" vertical="center"/>
    </xf>
    <xf numFmtId="0" fontId="0" fillId="0" borderId="810" xfId="43" applyFont="1" applyFill="1" applyBorder="1">
      <alignment horizontal="center" vertical="center"/>
    </xf>
    <xf numFmtId="0" fontId="0" fillId="0" borderId="810" xfId="0" applyBorder="1">
      <alignment horizontal="center" vertical="center"/>
    </xf>
    <xf numFmtId="0" fontId="0" fillId="0" borderId="818" xfId="48" applyFont="1" applyFill="1" applyBorder="1">
      <alignment horizontal="center" vertical="center"/>
    </xf>
    <xf numFmtId="0" fontId="0" fillId="0" borderId="811" xfId="48" applyFont="1" applyFill="1" applyBorder="1">
      <alignment horizontal="center" vertical="center"/>
    </xf>
    <xf numFmtId="49" fontId="14" fillId="51" borderId="432" xfId="0" applyNumberFormat="1" applyFont="1" applyFill="1" applyBorder="1">
      <alignment horizontal="center" vertical="center"/>
    </xf>
    <xf numFmtId="0" fontId="0" fillId="0" borderId="805" xfId="0" applyBorder="1">
      <alignment horizontal="center" vertical="center"/>
    </xf>
    <xf numFmtId="0" fontId="60" fillId="0" borderId="834" xfId="0" applyFont="1" applyBorder="1" applyAlignment="1">
      <alignment horizontal="left" vertical="center"/>
    </xf>
    <xf numFmtId="0" fontId="5" fillId="0" borderId="835" xfId="0" applyFont="1" applyBorder="1" applyAlignment="1">
      <alignment horizontal="left" vertical="center"/>
    </xf>
    <xf numFmtId="0" fontId="0" fillId="0" borderId="836" xfId="0" applyBorder="1">
      <alignment horizontal="center" vertical="center"/>
    </xf>
    <xf numFmtId="0" fontId="0" fillId="0" borderId="835" xfId="0" applyBorder="1">
      <alignment horizontal="center" vertical="center"/>
    </xf>
    <xf numFmtId="0" fontId="0" fillId="0" borderId="837" xfId="0" applyBorder="1">
      <alignment horizontal="center" vertical="center"/>
    </xf>
    <xf numFmtId="0" fontId="0" fillId="0" borderId="838" xfId="0" applyBorder="1">
      <alignment horizontal="center" vertical="center"/>
    </xf>
    <xf numFmtId="0" fontId="60" fillId="0" borderId="837" xfId="0" applyFont="1" applyBorder="1" applyAlignment="1">
      <alignment horizontal="left" vertical="center"/>
    </xf>
    <xf numFmtId="0" fontId="0" fillId="0" borderId="835" xfId="0" applyBorder="1" applyAlignment="1">
      <alignment horizontal="left" vertical="center"/>
    </xf>
    <xf numFmtId="0" fontId="0" fillId="0" borderId="836" xfId="0" applyBorder="1" applyAlignment="1">
      <alignment horizontal="left" vertical="center"/>
    </xf>
    <xf numFmtId="0" fontId="60" fillId="0" borderId="839" xfId="0" applyFont="1" applyBorder="1" applyAlignment="1">
      <alignment horizontal="left" vertical="center"/>
    </xf>
    <xf numFmtId="0" fontId="0" fillId="0" borderId="840" xfId="0" applyBorder="1" applyAlignment="1">
      <alignment horizontal="left" vertical="center"/>
    </xf>
    <xf numFmtId="0" fontId="60" fillId="0" borderId="841" xfId="0" applyFont="1" applyBorder="1" applyAlignment="1">
      <alignment horizontal="left" vertical="center"/>
    </xf>
    <xf numFmtId="0" fontId="0" fillId="0" borderId="842" xfId="0" applyBorder="1" applyAlignment="1">
      <alignment horizontal="left" vertical="center"/>
    </xf>
    <xf numFmtId="0" fontId="0" fillId="0" borderId="843" xfId="0" applyBorder="1" applyAlignment="1">
      <alignment horizontal="left" vertical="center"/>
    </xf>
    <xf numFmtId="0" fontId="0" fillId="51" borderId="844" xfId="43" applyFont="1" applyFill="1" applyBorder="1">
      <alignment horizontal="center" vertical="center"/>
    </xf>
    <xf numFmtId="0" fontId="0" fillId="51" borderId="844" xfId="32" applyFont="1" applyFill="1" applyBorder="1" applyAlignment="1">
      <alignment horizontal="center" vertical="center"/>
    </xf>
    <xf numFmtId="0" fontId="0" fillId="51" borderId="844" xfId="48" applyFont="1" applyFill="1" applyBorder="1">
      <alignment horizontal="center" vertical="center"/>
    </xf>
    <xf numFmtId="0" fontId="0" fillId="51" borderId="845" xfId="43" applyFont="1" applyFill="1" applyBorder="1">
      <alignment horizontal="center" vertical="center"/>
    </xf>
    <xf numFmtId="0" fontId="0" fillId="51" borderId="846" xfId="43" applyFont="1" applyFill="1" applyBorder="1">
      <alignment horizontal="center" vertical="center"/>
    </xf>
    <xf numFmtId="0" fontId="0" fillId="51" borderId="846" xfId="32" applyFont="1" applyFill="1" applyBorder="1" applyAlignment="1">
      <alignment horizontal="center" vertical="center"/>
    </xf>
    <xf numFmtId="0" fontId="0" fillId="51" borderId="846" xfId="48" applyFont="1" applyFill="1" applyBorder="1">
      <alignment horizontal="center" vertical="center"/>
    </xf>
    <xf numFmtId="0" fontId="0" fillId="51" borderId="847" xfId="43" applyFont="1" applyFill="1" applyBorder="1">
      <alignment horizontal="center" vertical="center"/>
    </xf>
    <xf numFmtId="0" fontId="0" fillId="0" borderId="848" xfId="0" applyBorder="1" applyAlignment="1">
      <alignment horizontal="left" vertical="center"/>
    </xf>
    <xf numFmtId="1" fontId="0" fillId="51" borderId="844" xfId="0" applyNumberFormat="1" applyFill="1" applyBorder="1">
      <alignment horizontal="center" vertical="center"/>
    </xf>
    <xf numFmtId="1" fontId="0" fillId="51" borderId="844" xfId="32" applyNumberFormat="1" applyFont="1" applyFill="1" applyBorder="1" applyAlignment="1">
      <alignment horizontal="center" vertical="center"/>
    </xf>
    <xf numFmtId="0" fontId="0" fillId="51" borderId="844" xfId="44" applyFont="1" applyFill="1" applyBorder="1">
      <alignment horizontal="center" vertical="center"/>
    </xf>
    <xf numFmtId="1" fontId="8" fillId="51" borderId="844" xfId="0" applyNumberFormat="1" applyFont="1" applyFill="1" applyBorder="1">
      <alignment horizontal="center" vertical="center"/>
    </xf>
    <xf numFmtId="1" fontId="8" fillId="51" borderId="845" xfId="0" applyNumberFormat="1" applyFont="1" applyFill="1" applyBorder="1">
      <alignment horizontal="center" vertical="center"/>
    </xf>
    <xf numFmtId="0" fontId="8" fillId="0" borderId="843" xfId="0" applyFont="1" applyBorder="1" applyAlignment="1">
      <alignment horizontal="left" vertical="center"/>
    </xf>
    <xf numFmtId="0" fontId="0" fillId="51" borderId="844" xfId="0" applyFill="1" applyBorder="1">
      <alignment horizontal="center" vertical="center"/>
    </xf>
    <xf numFmtId="0" fontId="0" fillId="0" borderId="844" xfId="0" applyBorder="1">
      <alignment horizontal="center" vertical="center"/>
    </xf>
    <xf numFmtId="0" fontId="8" fillId="51" borderId="844" xfId="0" applyFont="1" applyFill="1" applyBorder="1">
      <alignment horizontal="center" vertical="center"/>
    </xf>
    <xf numFmtId="0" fontId="8" fillId="51" borderId="845" xfId="0" applyFont="1" applyFill="1" applyBorder="1">
      <alignment horizontal="center" vertical="center"/>
    </xf>
    <xf numFmtId="0" fontId="8" fillId="0" borderId="844" xfId="53" applyBorder="1">
      <alignment horizontal="center" vertical="center"/>
    </xf>
    <xf numFmtId="0" fontId="0" fillId="51" borderId="844" xfId="20" applyFont="1" applyFill="1" applyBorder="1" applyAlignment="1">
      <alignment horizontal="center" vertical="center"/>
    </xf>
    <xf numFmtId="1" fontId="0" fillId="51" borderId="844" xfId="44" applyNumberFormat="1" applyFont="1" applyFill="1" applyBorder="1">
      <alignment horizontal="center" vertical="center"/>
    </xf>
    <xf numFmtId="0" fontId="0" fillId="51" borderId="844" xfId="49" applyFont="1" applyFill="1" applyBorder="1">
      <alignment horizontal="center" vertical="center"/>
    </xf>
    <xf numFmtId="49" fontId="0" fillId="51" borderId="844" xfId="0" applyNumberFormat="1" applyFill="1" applyBorder="1">
      <alignment horizontal="center" vertical="center"/>
    </xf>
    <xf numFmtId="0" fontId="8" fillId="51" borderId="844" xfId="53" applyFill="1" applyBorder="1">
      <alignment horizontal="center" vertical="center"/>
    </xf>
    <xf numFmtId="0" fontId="8" fillId="51" borderId="845" xfId="53" applyFill="1" applyBorder="1">
      <alignment horizontal="center" vertical="center"/>
    </xf>
    <xf numFmtId="0" fontId="0" fillId="0" borderId="849" xfId="0" applyBorder="1" applyAlignment="1">
      <alignment horizontal="left" vertical="center"/>
    </xf>
    <xf numFmtId="0" fontId="5" fillId="0" borderId="850" xfId="0" applyFont="1" applyBorder="1" applyAlignment="1">
      <alignment horizontal="left" vertical="center"/>
    </xf>
    <xf numFmtId="0" fontId="0" fillId="0" borderId="851" xfId="0" applyBorder="1">
      <alignment horizontal="center" vertical="center"/>
    </xf>
    <xf numFmtId="0" fontId="5" fillId="0" borderId="852" xfId="0" applyFont="1" applyBorder="1" applyAlignment="1">
      <alignment vertical="center"/>
    </xf>
    <xf numFmtId="0" fontId="14" fillId="0" borderId="853" xfId="0" applyFont="1" applyBorder="1">
      <alignment horizontal="center" vertical="center"/>
    </xf>
    <xf numFmtId="0" fontId="0" fillId="0" borderId="853" xfId="0" applyBorder="1">
      <alignment horizontal="center" vertical="center"/>
    </xf>
    <xf numFmtId="0" fontId="0" fillId="0" borderId="854" xfId="0" applyBorder="1">
      <alignment horizontal="center" vertical="center"/>
    </xf>
    <xf numFmtId="0" fontId="5" fillId="0" borderId="855" xfId="0" applyFont="1" applyBorder="1" applyAlignment="1">
      <alignment horizontal="left" vertical="center"/>
    </xf>
    <xf numFmtId="0" fontId="14" fillId="0" borderId="851" xfId="0" applyFont="1" applyBorder="1">
      <alignment horizontal="center" vertical="center"/>
    </xf>
    <xf numFmtId="0" fontId="5" fillId="0" borderId="851" xfId="0" applyFont="1" applyBorder="1">
      <alignment horizontal="center" vertical="center"/>
    </xf>
    <xf numFmtId="0" fontId="5" fillId="0" borderId="856" xfId="0" applyFont="1" applyBorder="1" applyAlignment="1">
      <alignment horizontal="left" vertical="center"/>
    </xf>
    <xf numFmtId="0" fontId="0" fillId="0" borderId="852" xfId="0" applyBorder="1" applyAlignment="1">
      <alignment vertical="center"/>
    </xf>
    <xf numFmtId="0" fontId="5" fillId="0" borderId="852" xfId="0" applyFont="1" applyBorder="1">
      <alignment horizontal="center" vertical="center"/>
    </xf>
    <xf numFmtId="0" fontId="0" fillId="0" borderId="853" xfId="0" applyBorder="1" applyAlignment="1">
      <alignment horizontal="left" vertical="center"/>
    </xf>
    <xf numFmtId="0" fontId="5" fillId="0" borderId="857" xfId="0" applyFont="1" applyBorder="1" applyAlignment="1">
      <alignment horizontal="left" vertical="center"/>
    </xf>
    <xf numFmtId="0" fontId="0" fillId="0" borderId="858" xfId="0" applyBorder="1">
      <alignment horizontal="center" vertical="center"/>
    </xf>
    <xf numFmtId="0" fontId="0" fillId="0" borderId="859" xfId="0" applyBorder="1" applyAlignment="1">
      <alignment vertical="center"/>
    </xf>
    <xf numFmtId="0" fontId="0" fillId="0" borderId="860" xfId="0" applyBorder="1">
      <alignment horizontal="center" vertical="center"/>
    </xf>
    <xf numFmtId="0" fontId="5" fillId="0" borderId="859" xfId="0" applyFont="1" applyBorder="1">
      <alignment horizontal="center" vertical="center"/>
    </xf>
    <xf numFmtId="0" fontId="0" fillId="0" borderId="858" xfId="0" applyBorder="1" applyAlignment="1">
      <alignment horizontal="left" vertical="center"/>
    </xf>
    <xf numFmtId="0" fontId="14" fillId="0" borderId="858" xfId="0" applyFont="1" applyBorder="1">
      <alignment horizontal="center" vertical="center"/>
    </xf>
    <xf numFmtId="0" fontId="5" fillId="0" borderId="858" xfId="0" applyFont="1" applyBorder="1" applyAlignment="1">
      <alignment horizontal="left" vertical="center"/>
    </xf>
    <xf numFmtId="0" fontId="0" fillId="51" borderId="861" xfId="48" applyFont="1" applyFill="1" applyBorder="1">
      <alignment horizontal="center" vertical="center"/>
    </xf>
    <xf numFmtId="0" fontId="0" fillId="51" borderId="845" xfId="20" applyFont="1" applyFill="1" applyBorder="1" applyAlignment="1">
      <alignment horizontal="center" vertical="center"/>
    </xf>
    <xf numFmtId="49" fontId="0" fillId="51" borderId="846" xfId="0" applyNumberFormat="1" applyFill="1" applyBorder="1">
      <alignment horizontal="center" vertical="center"/>
    </xf>
    <xf numFmtId="0" fontId="0" fillId="51" borderId="846" xfId="53" applyFont="1" applyFill="1" applyBorder="1">
      <alignment horizontal="center" vertical="center"/>
    </xf>
    <xf numFmtId="49" fontId="0" fillId="51" borderId="847" xfId="0" applyNumberFormat="1" applyFill="1" applyBorder="1">
      <alignment horizontal="center" vertical="center"/>
    </xf>
    <xf numFmtId="0" fontId="0" fillId="51" borderId="844" xfId="46" applyFont="1" applyFill="1" applyBorder="1">
      <alignment horizontal="center" vertical="center"/>
    </xf>
    <xf numFmtId="49" fontId="0" fillId="51" borderId="845" xfId="0" applyNumberFormat="1" applyFill="1" applyBorder="1">
      <alignment horizontal="center" vertical="center"/>
    </xf>
    <xf numFmtId="0" fontId="8" fillId="52" borderId="846" xfId="48" applyBorder="1">
      <alignment horizontal="center" vertical="center"/>
    </xf>
    <xf numFmtId="0" fontId="0" fillId="51" borderId="847" xfId="48" applyFont="1" applyFill="1" applyBorder="1">
      <alignment horizontal="center" vertical="center"/>
    </xf>
    <xf numFmtId="0" fontId="0" fillId="51" borderId="845" xfId="46" applyFont="1" applyFill="1" applyBorder="1">
      <alignment horizontal="center" vertical="center"/>
    </xf>
    <xf numFmtId="0" fontId="0" fillId="51" borderId="846" xfId="0" applyFill="1" applyBorder="1">
      <alignment horizontal="center" vertical="center"/>
    </xf>
    <xf numFmtId="0" fontId="0" fillId="51" borderId="846" xfId="44" applyFont="1" applyFill="1" applyBorder="1">
      <alignment horizontal="center" vertical="center"/>
    </xf>
    <xf numFmtId="49" fontId="0" fillId="51" borderId="862" xfId="0" applyNumberFormat="1" applyFill="1" applyBorder="1">
      <alignment horizontal="center" vertical="center"/>
    </xf>
    <xf numFmtId="0" fontId="0" fillId="51" borderId="862" xfId="44" applyFont="1" applyFill="1" applyBorder="1">
      <alignment horizontal="center" vertical="center"/>
    </xf>
    <xf numFmtId="0" fontId="0" fillId="51" borderId="862" xfId="0" applyFill="1" applyBorder="1">
      <alignment horizontal="center" vertical="center"/>
    </xf>
    <xf numFmtId="0" fontId="0" fillId="51" borderId="862" xfId="48" applyFont="1" applyFill="1" applyBorder="1">
      <alignment horizontal="center" vertical="center"/>
    </xf>
    <xf numFmtId="0" fontId="8" fillId="52" borderId="862" xfId="48" applyBorder="1">
      <alignment horizontal="center" vertical="center"/>
    </xf>
    <xf numFmtId="0" fontId="8" fillId="52" borderId="863" xfId="48" applyBorder="1">
      <alignment horizontal="center" vertical="center"/>
    </xf>
    <xf numFmtId="0" fontId="0" fillId="51" borderId="864" xfId="0" applyFill="1" applyBorder="1" applyAlignment="1" applyProtection="1">
      <alignment horizontal="left" vertical="center"/>
      <protection locked="0"/>
    </xf>
    <xf numFmtId="0" fontId="0" fillId="51" borderId="845" xfId="48" applyFont="1" applyFill="1" applyBorder="1">
      <alignment horizontal="center" vertical="center"/>
    </xf>
    <xf numFmtId="0" fontId="8" fillId="52" borderId="844" xfId="48" applyBorder="1">
      <alignment horizontal="center" vertical="center"/>
    </xf>
    <xf numFmtId="0" fontId="8" fillId="52" borderId="845" xfId="48" applyBorder="1">
      <alignment horizontal="center" vertical="center"/>
    </xf>
    <xf numFmtId="0" fontId="0" fillId="0" borderId="865" xfId="0" applyBorder="1" applyAlignment="1">
      <alignment horizontal="left" vertical="center"/>
    </xf>
    <xf numFmtId="0" fontId="65" fillId="0" borderId="849" xfId="0" applyFont="1" applyBorder="1" applyAlignment="1" applyProtection="1">
      <alignment horizontal="left"/>
      <protection locked="0"/>
    </xf>
    <xf numFmtId="0" fontId="0" fillId="51" borderId="865" xfId="0" applyFill="1" applyBorder="1" applyAlignment="1" applyProtection="1">
      <alignment horizontal="left" vertical="center"/>
      <protection locked="0"/>
    </xf>
    <xf numFmtId="0" fontId="0" fillId="51" borderId="759" xfId="0" applyFill="1" applyBorder="1">
      <alignment horizontal="center" vertical="center"/>
    </xf>
    <xf numFmtId="0" fontId="0" fillId="0" borderId="866" xfId="0" applyBorder="1" applyAlignment="1">
      <alignment horizontal="left" vertical="center"/>
    </xf>
    <xf numFmtId="0" fontId="21" fillId="76" borderId="758" xfId="0" applyFont="1" applyFill="1" applyBorder="1" applyAlignment="1">
      <alignment vertical="center"/>
    </xf>
    <xf numFmtId="0" fontId="0" fillId="51" borderId="867" xfId="0" applyFill="1" applyBorder="1">
      <alignment horizontal="center" vertical="center"/>
    </xf>
    <xf numFmtId="0" fontId="0" fillId="51" borderId="867" xfId="44" applyFont="1" applyFill="1" applyBorder="1">
      <alignment horizontal="center" vertical="center"/>
    </xf>
    <xf numFmtId="49" fontId="0" fillId="51" borderId="867" xfId="0" applyNumberFormat="1" applyFill="1" applyBorder="1">
      <alignment horizontal="center" vertical="center"/>
    </xf>
    <xf numFmtId="0" fontId="0" fillId="51" borderId="868" xfId="0" applyFill="1" applyBorder="1">
      <alignment horizontal="center" vertical="center"/>
    </xf>
    <xf numFmtId="0" fontId="0" fillId="51" borderId="868" xfId="48" applyFont="1" applyFill="1" applyBorder="1">
      <alignment horizontal="center" vertical="center"/>
    </xf>
    <xf numFmtId="49" fontId="0" fillId="51" borderId="868" xfId="0" applyNumberFormat="1" applyFill="1" applyBorder="1">
      <alignment horizontal="center" vertical="center"/>
    </xf>
    <xf numFmtId="49" fontId="0" fillId="51" borderId="869" xfId="0" applyNumberFormat="1" applyFill="1" applyBorder="1">
      <alignment horizontal="center" vertical="center"/>
    </xf>
    <xf numFmtId="0" fontId="0" fillId="0" borderId="870" xfId="0" applyBorder="1" applyAlignment="1">
      <alignment horizontal="left" vertical="center"/>
    </xf>
    <xf numFmtId="0" fontId="0" fillId="51" borderId="862" xfId="47" applyFont="1" applyFill="1" applyBorder="1">
      <alignment horizontal="center" vertical="center"/>
    </xf>
    <xf numFmtId="0" fontId="0" fillId="51" borderId="862" xfId="43" applyFont="1" applyFill="1" applyBorder="1">
      <alignment horizontal="center" vertical="center"/>
    </xf>
    <xf numFmtId="0" fontId="0" fillId="51" borderId="863" xfId="47" applyFont="1" applyFill="1" applyBorder="1">
      <alignment horizontal="center" vertical="center"/>
    </xf>
    <xf numFmtId="0" fontId="0" fillId="43" borderId="871" xfId="0" applyFill="1" applyBorder="1" applyAlignment="1" applyProtection="1">
      <alignment horizontal="center"/>
      <protection locked="0"/>
    </xf>
    <xf numFmtId="20" fontId="0" fillId="0" borderId="852" xfId="0" applyNumberFormat="1" applyBorder="1" applyAlignment="1">
      <alignment horizontal="left"/>
    </xf>
    <xf numFmtId="0" fontId="0" fillId="0" borderId="853" xfId="0" applyBorder="1" applyAlignment="1">
      <alignment horizontal="left"/>
    </xf>
    <xf numFmtId="0" fontId="0" fillId="0" borderId="852" xfId="0" applyBorder="1" applyAlignment="1">
      <alignment horizontal="left"/>
    </xf>
    <xf numFmtId="0" fontId="0" fillId="0" borderId="872" xfId="0" applyBorder="1" applyAlignment="1">
      <alignment horizontal="left"/>
    </xf>
    <xf numFmtId="0" fontId="0" fillId="0" borderId="855" xfId="0" applyBorder="1" applyAlignment="1">
      <alignment horizontal="left"/>
    </xf>
    <xf numFmtId="0" fontId="0" fillId="0" borderId="851" xfId="0" applyBorder="1" applyAlignment="1">
      <alignment horizontal="left"/>
    </xf>
    <xf numFmtId="0" fontId="0" fillId="0" borderId="873" xfId="0" applyBorder="1" applyAlignment="1">
      <alignment horizontal="left"/>
    </xf>
    <xf numFmtId="0" fontId="0" fillId="0" borderId="852" xfId="0" applyBorder="1" applyAlignment="1">
      <alignment horizontal="left" vertical="center"/>
    </xf>
    <xf numFmtId="0" fontId="0" fillId="0" borderId="874" xfId="0" applyBorder="1" applyAlignment="1">
      <alignment horizontal="left" vertical="center"/>
    </xf>
    <xf numFmtId="0" fontId="0" fillId="0" borderId="875" xfId="0" applyBorder="1">
      <alignment horizontal="center" vertical="center"/>
    </xf>
    <xf numFmtId="0" fontId="0" fillId="43" borderId="876" xfId="0" applyFill="1" applyBorder="1" applyAlignment="1" applyProtection="1">
      <alignment horizontal="center"/>
      <protection locked="0"/>
    </xf>
    <xf numFmtId="0" fontId="0" fillId="0" borderId="877" xfId="0" applyBorder="1" applyAlignment="1">
      <alignment horizontal="left" vertical="center"/>
    </xf>
    <xf numFmtId="0" fontId="0" fillId="0" borderId="878" xfId="0" applyBorder="1">
      <alignment horizontal="center" vertical="center"/>
    </xf>
    <xf numFmtId="0" fontId="0" fillId="0" borderId="878" xfId="0" applyBorder="1" applyAlignment="1">
      <alignment horizontal="left" vertical="center"/>
    </xf>
    <xf numFmtId="0" fontId="0" fillId="0" borderId="879" xfId="0" applyBorder="1" applyAlignment="1">
      <alignment horizontal="left" vertical="center"/>
    </xf>
    <xf numFmtId="0" fontId="0" fillId="0" borderId="880" xfId="0" applyBorder="1">
      <alignment horizontal="center" vertical="center"/>
    </xf>
    <xf numFmtId="0" fontId="0" fillId="51" borderId="844" xfId="47" applyFont="1" applyFill="1" applyBorder="1">
      <alignment horizontal="center" vertical="center"/>
    </xf>
    <xf numFmtId="0" fontId="0" fillId="51" borderId="845" xfId="47" applyFont="1" applyFill="1" applyBorder="1">
      <alignment horizontal="center" vertical="center"/>
    </xf>
    <xf numFmtId="0" fontId="0" fillId="0" borderId="881" xfId="0" applyBorder="1" applyAlignment="1">
      <alignment horizontal="left" vertical="center"/>
    </xf>
    <xf numFmtId="0" fontId="0" fillId="51" borderId="868" xfId="46" applyFont="1" applyFill="1" applyBorder="1">
      <alignment horizontal="center" vertical="center"/>
    </xf>
    <xf numFmtId="0" fontId="0" fillId="51" borderId="868" xfId="44" applyFont="1" applyFill="1" applyBorder="1">
      <alignment horizontal="center" vertical="center"/>
    </xf>
    <xf numFmtId="0" fontId="8" fillId="52" borderId="868" xfId="48" applyBorder="1">
      <alignment horizontal="center" vertical="center"/>
    </xf>
    <xf numFmtId="0" fontId="5" fillId="0" borderId="882" xfId="0" applyFont="1" applyBorder="1" applyAlignment="1">
      <alignment horizontal="center"/>
    </xf>
    <xf numFmtId="0" fontId="8" fillId="0" borderId="852" xfId="0" applyFont="1" applyBorder="1" applyAlignment="1">
      <alignment horizontal="left" vertical="center"/>
    </xf>
    <xf numFmtId="0" fontId="8" fillId="0" borderId="853" xfId="0" applyFont="1" applyBorder="1">
      <alignment horizontal="center" vertical="center"/>
    </xf>
    <xf numFmtId="0" fontId="8" fillId="0" borderId="854" xfId="0" applyFont="1" applyBorder="1">
      <alignment horizontal="center" vertical="center"/>
    </xf>
    <xf numFmtId="0" fontId="8" fillId="0" borderId="853" xfId="0" applyFont="1" applyBorder="1" applyAlignment="1">
      <alignment horizontal="left" vertical="center"/>
    </xf>
    <xf numFmtId="0" fontId="8" fillId="0" borderId="852" xfId="0" applyFont="1" applyBorder="1" applyAlignment="1">
      <alignment horizontal="left"/>
    </xf>
    <xf numFmtId="0" fontId="0" fillId="0" borderId="856" xfId="0" applyBorder="1" applyAlignment="1">
      <alignment horizontal="center"/>
    </xf>
    <xf numFmtId="0" fontId="5" fillId="0" borderId="852" xfId="0" applyFont="1" applyBorder="1" applyAlignment="1">
      <alignment horizontal="left"/>
    </xf>
    <xf numFmtId="0" fontId="0" fillId="0" borderId="853" xfId="0" applyBorder="1" applyAlignment="1"/>
    <xf numFmtId="0" fontId="0" fillId="0" borderId="854" xfId="0" applyBorder="1" applyAlignment="1">
      <alignment horizontal="left"/>
    </xf>
    <xf numFmtId="0" fontId="5" fillId="0" borderId="853" xfId="0" applyFont="1" applyBorder="1" applyAlignment="1"/>
    <xf numFmtId="0" fontId="5" fillId="0" borderId="854" xfId="0" applyFont="1" applyBorder="1" applyAlignment="1">
      <alignment horizontal="left"/>
    </xf>
    <xf numFmtId="0" fontId="0" fillId="0" borderId="852" xfId="0" applyBorder="1" applyAlignment="1">
      <alignment horizontal="center"/>
    </xf>
    <xf numFmtId="0" fontId="5" fillId="0" borderId="855" xfId="0" applyFont="1" applyBorder="1" applyAlignment="1">
      <alignment horizontal="left"/>
    </xf>
    <xf numFmtId="0" fontId="0" fillId="0" borderId="851" xfId="0" applyBorder="1" applyAlignment="1"/>
    <xf numFmtId="0" fontId="10" fillId="0" borderId="855" xfId="0" applyFont="1" applyBorder="1" applyAlignment="1">
      <alignment horizontal="center"/>
    </xf>
    <xf numFmtId="0" fontId="0" fillId="0" borderId="857" xfId="0" applyBorder="1" applyAlignment="1">
      <alignment horizontal="center"/>
    </xf>
    <xf numFmtId="0" fontId="5" fillId="0" borderId="859" xfId="0" applyFont="1" applyBorder="1" applyAlignment="1">
      <alignment horizontal="left"/>
    </xf>
    <xf numFmtId="0" fontId="8" fillId="0" borderId="858" xfId="0" applyFont="1" applyBorder="1" applyAlignment="1">
      <alignment horizontal="left" vertical="center"/>
    </xf>
    <xf numFmtId="0" fontId="8" fillId="0" borderId="858" xfId="0" applyFont="1" applyBorder="1">
      <alignment horizontal="center" vertical="center"/>
    </xf>
    <xf numFmtId="0" fontId="8" fillId="0" borderId="860" xfId="0" applyFont="1" applyBorder="1">
      <alignment horizontal="center" vertical="center"/>
    </xf>
    <xf numFmtId="0" fontId="8" fillId="0" borderId="859" xfId="0" applyFont="1" applyBorder="1" applyAlignment="1">
      <alignment horizontal="left" vertical="center"/>
    </xf>
    <xf numFmtId="0" fontId="8" fillId="0" borderId="858" xfId="0" applyFont="1" applyBorder="1" applyAlignment="1">
      <alignment horizontal="left"/>
    </xf>
    <xf numFmtId="0" fontId="8" fillId="0" borderId="860" xfId="0" applyFont="1" applyBorder="1" applyAlignment="1">
      <alignment horizontal="left" vertical="center"/>
    </xf>
    <xf numFmtId="0" fontId="0" fillId="51" borderId="843" xfId="0" applyFill="1" applyBorder="1" applyAlignment="1">
      <alignment horizontal="left" vertical="center"/>
    </xf>
    <xf numFmtId="0" fontId="0" fillId="51" borderId="844" xfId="51" applyFont="1" applyFill="1" applyBorder="1">
      <alignment horizontal="center" vertical="center"/>
    </xf>
    <xf numFmtId="0" fontId="0" fillId="51" borderId="844" xfId="53" applyFont="1" applyFill="1" applyBorder="1">
      <alignment horizontal="center" vertical="center"/>
    </xf>
    <xf numFmtId="0" fontId="0" fillId="51" borderId="845" xfId="51" applyFont="1" applyFill="1" applyBorder="1">
      <alignment horizontal="center" vertical="center"/>
    </xf>
    <xf numFmtId="0" fontId="0" fillId="51" borderId="845" xfId="0" applyFill="1" applyBorder="1">
      <alignment horizontal="center" vertical="center"/>
    </xf>
    <xf numFmtId="0" fontId="0" fillId="51" borderId="870" xfId="0" applyFill="1" applyBorder="1" applyAlignment="1">
      <alignment horizontal="left" vertical="center"/>
    </xf>
    <xf numFmtId="0" fontId="0" fillId="51" borderId="862" xfId="32" applyFont="1" applyFill="1" applyBorder="1" applyAlignment="1">
      <alignment horizontal="center" vertical="center"/>
    </xf>
    <xf numFmtId="0" fontId="0" fillId="51" borderId="863" xfId="0" applyFill="1" applyBorder="1">
      <alignment horizontal="center" vertical="center"/>
    </xf>
    <xf numFmtId="0" fontId="0" fillId="0" borderId="871" xfId="0" applyBorder="1" applyAlignment="1">
      <alignment horizontal="center"/>
    </xf>
    <xf numFmtId="0" fontId="0" fillId="0" borderId="883" xfId="0" applyBorder="1" applyAlignment="1"/>
    <xf numFmtId="0" fontId="0" fillId="0" borderId="876" xfId="0" applyBorder="1" applyAlignment="1">
      <alignment horizontal="center"/>
    </xf>
    <xf numFmtId="0" fontId="0" fillId="0" borderId="877" xfId="0" applyBorder="1" applyAlignment="1">
      <alignment horizontal="left"/>
    </xf>
    <xf numFmtId="0" fontId="0" fillId="0" borderId="878" xfId="0" applyBorder="1" applyAlignment="1"/>
    <xf numFmtId="0" fontId="0" fillId="0" borderId="884" xfId="0" applyBorder="1" applyAlignment="1">
      <alignment horizontal="left"/>
    </xf>
    <xf numFmtId="0" fontId="0" fillId="0" borderId="878" xfId="0" applyBorder="1" applyAlignment="1">
      <alignment horizontal="left"/>
    </xf>
    <xf numFmtId="0" fontId="0" fillId="0" borderId="877" xfId="0" applyBorder="1" applyAlignment="1">
      <alignment horizontal="center"/>
    </xf>
    <xf numFmtId="0" fontId="0" fillId="0" borderId="885" xfId="0" applyBorder="1" applyAlignment="1"/>
    <xf numFmtId="0" fontId="0" fillId="51" borderId="869" xfId="44" applyFont="1" applyFill="1" applyBorder="1">
      <alignment horizontal="center" vertical="center"/>
    </xf>
    <xf numFmtId="0" fontId="0" fillId="51" borderId="868" xfId="43" applyFont="1" applyFill="1" applyBorder="1">
      <alignment horizontal="center" vertical="center"/>
    </xf>
    <xf numFmtId="0" fontId="0" fillId="51" borderId="869" xfId="0" applyFill="1" applyBorder="1">
      <alignment horizontal="center" vertical="center"/>
    </xf>
    <xf numFmtId="0" fontId="60" fillId="0" borderId="886" xfId="0" applyFont="1" applyBorder="1" applyAlignment="1">
      <alignment horizontal="left" vertical="center"/>
    </xf>
    <xf numFmtId="0" fontId="0" fillId="51" borderId="868" xfId="53" applyFont="1" applyFill="1" applyBorder="1">
      <alignment horizontal="center" vertical="center"/>
    </xf>
    <xf numFmtId="0" fontId="0" fillId="51" borderId="887" xfId="0" applyFill="1" applyBorder="1">
      <alignment horizontal="center" vertical="center"/>
    </xf>
    <xf numFmtId="0" fontId="0" fillId="51" borderId="887" xfId="43" applyFont="1" applyFill="1" applyBorder="1">
      <alignment horizontal="center" vertical="center"/>
    </xf>
    <xf numFmtId="0" fontId="0" fillId="51" borderId="887" xfId="48" applyFont="1" applyFill="1" applyBorder="1">
      <alignment horizontal="center" vertical="center"/>
    </xf>
    <xf numFmtId="0" fontId="0" fillId="51" borderId="887" xfId="46" applyFont="1" applyFill="1" applyBorder="1">
      <alignment horizontal="center" vertical="center"/>
    </xf>
    <xf numFmtId="0" fontId="0" fillId="51" borderId="887" xfId="44" applyFont="1" applyFill="1" applyBorder="1">
      <alignment horizontal="center" vertical="center"/>
    </xf>
    <xf numFmtId="49" fontId="0" fillId="51" borderId="887" xfId="0" applyNumberFormat="1" applyFill="1" applyBorder="1">
      <alignment horizontal="center" vertical="center"/>
    </xf>
    <xf numFmtId="0" fontId="4" fillId="0" borderId="852" xfId="0" applyFont="1" applyBorder="1" applyAlignment="1">
      <alignment horizontal="left"/>
    </xf>
    <xf numFmtId="0" fontId="5" fillId="0" borderId="853" xfId="0" applyFont="1" applyBorder="1">
      <alignment horizontal="center" vertical="center"/>
    </xf>
    <xf numFmtId="0" fontId="0" fillId="0" borderId="883" xfId="0" applyBorder="1">
      <alignment horizontal="center" vertical="center"/>
    </xf>
    <xf numFmtId="167" fontId="10" fillId="0" borderId="877" xfId="0" applyNumberFormat="1" applyFont="1" applyBorder="1" applyAlignment="1">
      <alignment horizontal="center"/>
    </xf>
    <xf numFmtId="0" fontId="0" fillId="0" borderId="885" xfId="0" applyBorder="1">
      <alignment horizontal="center" vertical="center"/>
    </xf>
    <xf numFmtId="0" fontId="8" fillId="51" borderId="843" xfId="0" applyFont="1" applyFill="1" applyBorder="1" applyAlignment="1">
      <alignment vertical="center"/>
    </xf>
    <xf numFmtId="0" fontId="0" fillId="73" borderId="844" xfId="0" applyFill="1" applyBorder="1">
      <alignment horizontal="center" vertical="center"/>
    </xf>
    <xf numFmtId="0" fontId="0" fillId="51" borderId="843" xfId="0" applyFill="1" applyBorder="1" applyAlignment="1">
      <alignment vertical="center"/>
    </xf>
    <xf numFmtId="0" fontId="0" fillId="51" borderId="870" xfId="0" applyFill="1" applyBorder="1" applyAlignment="1">
      <alignment vertical="center"/>
    </xf>
    <xf numFmtId="0" fontId="4" fillId="0" borderId="874" xfId="0" applyFont="1" applyBorder="1" applyProtection="1">
      <alignment horizontal="center" vertical="center"/>
      <protection locked="0"/>
    </xf>
    <xf numFmtId="0" fontId="4" fillId="0" borderId="888" xfId="0" applyFont="1" applyBorder="1" applyAlignment="1" applyProtection="1">
      <alignment horizontal="center" vertical="center"/>
      <protection locked="0"/>
    </xf>
    <xf numFmtId="0" fontId="4" fillId="0" borderId="889" xfId="0" applyFont="1" applyBorder="1" applyAlignment="1" applyProtection="1">
      <alignment horizontal="center" vertical="center"/>
      <protection locked="0"/>
    </xf>
    <xf numFmtId="0" fontId="4" fillId="0" borderId="874" xfId="0" applyFont="1" applyBorder="1" applyAlignment="1" applyProtection="1">
      <alignment horizontal="center" vertical="center"/>
      <protection locked="0"/>
    </xf>
    <xf numFmtId="0" fontId="4" fillId="0" borderId="890" xfId="0" applyFont="1" applyBorder="1" applyAlignment="1" applyProtection="1">
      <alignment horizontal="center" vertical="center"/>
      <protection locked="0"/>
    </xf>
    <xf numFmtId="0" fontId="0" fillId="0" borderId="849" xfId="0" applyBorder="1">
      <alignment horizontal="center" vertical="center"/>
    </xf>
    <xf numFmtId="0" fontId="4" fillId="0" borderId="879" xfId="0" applyFont="1" applyBorder="1" applyProtection="1">
      <alignment horizontal="center" vertical="center"/>
      <protection locked="0"/>
    </xf>
    <xf numFmtId="0" fontId="4" fillId="0" borderId="891" xfId="0" applyFont="1" applyBorder="1" applyAlignment="1" applyProtection="1">
      <alignment horizontal="center" vertical="center"/>
      <protection locked="0"/>
    </xf>
    <xf numFmtId="0" fontId="4" fillId="0" borderId="892" xfId="0" applyFont="1" applyBorder="1" applyAlignment="1" applyProtection="1">
      <alignment horizontal="center" vertical="center"/>
      <protection locked="0"/>
    </xf>
    <xf numFmtId="0" fontId="4" fillId="0" borderId="879" xfId="0" applyFont="1" applyBorder="1" applyAlignment="1" applyProtection="1">
      <alignment horizontal="center" vertical="center"/>
      <protection locked="0"/>
    </xf>
    <xf numFmtId="0" fontId="4" fillId="0" borderId="893" xfId="0" applyFont="1" applyBorder="1" applyAlignment="1" applyProtection="1">
      <alignment horizontal="center" vertical="center"/>
      <protection locked="0"/>
    </xf>
    <xf numFmtId="0" fontId="4" fillId="0" borderId="888" xfId="0" applyFont="1" applyBorder="1" applyAlignment="1" applyProtection="1">
      <alignment horizontal="left" vertical="center"/>
      <protection locked="0"/>
    </xf>
    <xf numFmtId="0" fontId="4" fillId="0" borderId="889" xfId="0" applyFont="1" applyBorder="1" applyAlignment="1" applyProtection="1">
      <alignment horizontal="left" vertical="center"/>
      <protection locked="0"/>
    </xf>
    <xf numFmtId="0" fontId="4" fillId="0" borderId="889" xfId="0" applyFont="1" applyBorder="1" applyAlignment="1" applyProtection="1">
      <alignment horizontal="left" vertical="center"/>
      <protection locked="0"/>
    </xf>
    <xf numFmtId="0" fontId="4" fillId="0" borderId="874" xfId="0" applyFont="1" applyBorder="1" applyAlignment="1" applyProtection="1">
      <alignment horizontal="left" vertical="center"/>
      <protection locked="0"/>
    </xf>
    <xf numFmtId="0" fontId="4" fillId="0" borderId="889" xfId="0" applyFont="1" applyBorder="1" applyProtection="1">
      <alignment horizontal="center" vertical="center"/>
      <protection locked="0"/>
    </xf>
    <xf numFmtId="0" fontId="4" fillId="0" borderId="892" xfId="0" applyFont="1" applyBorder="1" applyAlignment="1" applyProtection="1">
      <alignment horizontal="left" vertical="center"/>
      <protection locked="0"/>
    </xf>
    <xf numFmtId="0" fontId="4" fillId="0" borderId="879" xfId="0" applyFont="1" applyBorder="1" applyAlignment="1" applyProtection="1">
      <alignment horizontal="left" vertical="center"/>
      <protection locked="0"/>
    </xf>
    <xf numFmtId="0" fontId="4" fillId="0" borderId="892" xfId="0" applyFont="1" applyBorder="1" applyProtection="1">
      <alignment horizontal="center" vertical="center"/>
      <protection locked="0"/>
    </xf>
    <xf numFmtId="0" fontId="0" fillId="51" borderId="865" xfId="0" applyFill="1" applyBorder="1" applyAlignment="1">
      <alignment horizontal="left" vertical="center" wrapText="1"/>
    </xf>
    <xf numFmtId="0" fontId="0" fillId="0" borderId="868" xfId="0" applyBorder="1">
      <alignment horizontal="center" vertical="center"/>
    </xf>
    <xf numFmtId="0" fontId="0" fillId="51" borderId="869" xfId="43" applyFont="1" applyFill="1" applyBorder="1">
      <alignment horizontal="center" vertical="center"/>
    </xf>
    <xf numFmtId="0" fontId="0" fillId="0" borderId="865" xfId="0" applyBorder="1" applyAlignment="1">
      <alignment vertical="center"/>
    </xf>
    <xf numFmtId="0" fontId="60" fillId="0" borderId="866" xfId="0" applyFont="1" applyBorder="1" applyAlignment="1">
      <alignment horizontal="left" vertical="center"/>
    </xf>
    <xf numFmtId="0" fontId="0" fillId="0" borderId="866" xfId="0" applyBorder="1" applyAlignment="1">
      <alignment vertical="center"/>
    </xf>
    <xf numFmtId="0" fontId="0" fillId="51" borderId="865" xfId="0" applyFill="1" applyBorder="1" applyAlignment="1">
      <alignment horizontal="left" vertical="center"/>
    </xf>
    <xf numFmtId="0" fontId="5" fillId="0" borderId="856" xfId="0" applyFont="1" applyBorder="1" applyAlignment="1">
      <alignment horizontal="center"/>
    </xf>
    <xf numFmtId="0" fontId="5" fillId="0" borderId="857" xfId="0" applyFont="1" applyBorder="1" applyAlignment="1">
      <alignment horizontal="center"/>
    </xf>
    <xf numFmtId="0" fontId="4" fillId="0" borderId="853" xfId="0" applyFont="1" applyBorder="1" applyAlignment="1">
      <alignment horizontal="left"/>
    </xf>
    <xf numFmtId="0" fontId="5" fillId="77" borderId="843" xfId="0" applyFont="1" applyFill="1" applyBorder="1">
      <alignment horizontal="center" vertical="center"/>
    </xf>
    <xf numFmtId="0" fontId="0" fillId="76" borderId="844" xfId="0" applyFill="1" applyBorder="1">
      <alignment horizontal="center" vertical="center"/>
    </xf>
    <xf numFmtId="0" fontId="0" fillId="76" borderId="845" xfId="0" applyFill="1" applyBorder="1">
      <alignment horizontal="center" vertical="center"/>
    </xf>
    <xf numFmtId="49" fontId="0" fillId="51" borderId="863" xfId="0" applyNumberFormat="1" applyFill="1" applyBorder="1">
      <alignment horizontal="center" vertical="center"/>
    </xf>
    <xf numFmtId="0" fontId="0" fillId="0" borderId="868" xfId="47" applyFont="1" applyFill="1" applyBorder="1">
      <alignment horizontal="center" vertical="center"/>
    </xf>
    <xf numFmtId="0" fontId="0" fillId="0" borderId="868" xfId="48" applyFont="1" applyFill="1" applyBorder="1">
      <alignment horizontal="center" vertical="center"/>
    </xf>
    <xf numFmtId="49" fontId="0" fillId="0" borderId="869" xfId="0" applyNumberFormat="1" applyBorder="1">
      <alignment horizontal="center" vertical="center"/>
    </xf>
    <xf numFmtId="0" fontId="5" fillId="94" borderId="865" xfId="0" applyFont="1" applyFill="1" applyBorder="1" applyAlignment="1">
      <alignment horizontal="left"/>
    </xf>
    <xf numFmtId="0" fontId="0" fillId="94" borderId="868" xfId="47" applyFont="1" applyFill="1" applyBorder="1">
      <alignment horizontal="center" vertical="center"/>
    </xf>
    <xf numFmtId="0" fontId="0" fillId="94" borderId="868" xfId="48" applyFont="1" applyFill="1" applyBorder="1">
      <alignment horizontal="center" vertical="center"/>
    </xf>
    <xf numFmtId="0" fontId="0" fillId="94" borderId="868" xfId="0" applyFill="1" applyBorder="1">
      <alignment horizontal="center" vertical="center"/>
    </xf>
    <xf numFmtId="49" fontId="0" fillId="94" borderId="869" xfId="0" applyNumberFormat="1" applyFill="1" applyBorder="1">
      <alignment horizontal="center" vertical="center"/>
    </xf>
    <xf numFmtId="0" fontId="0" fillId="0" borderId="865" xfId="0" applyBorder="1" applyAlignment="1">
      <alignment horizontal="left"/>
    </xf>
    <xf numFmtId="0" fontId="0" fillId="0" borderId="844" xfId="43" applyFont="1" applyFill="1" applyBorder="1">
      <alignment horizontal="center" vertical="center"/>
    </xf>
    <xf numFmtId="0" fontId="0" fillId="0" borderId="844" xfId="44" applyFont="1" applyFill="1" applyBorder="1">
      <alignment horizontal="center" vertical="center"/>
    </xf>
    <xf numFmtId="0" fontId="0" fillId="0" borderId="845" xfId="0" applyBorder="1">
      <alignment horizontal="center" vertical="center"/>
    </xf>
    <xf numFmtId="0" fontId="5" fillId="76" borderId="865" xfId="0" applyFont="1" applyFill="1" applyBorder="1" applyAlignment="1">
      <alignment vertical="center"/>
    </xf>
    <xf numFmtId="0" fontId="0" fillId="76" borderId="868" xfId="43" applyFont="1" applyFill="1" applyBorder="1">
      <alignment horizontal="center" vertical="center"/>
    </xf>
    <xf numFmtId="0" fontId="0" fillId="76" borderId="868" xfId="0" applyFill="1" applyBorder="1">
      <alignment horizontal="center" vertical="center"/>
    </xf>
    <xf numFmtId="0" fontId="0" fillId="76" borderId="869" xfId="0" applyFill="1" applyBorder="1">
      <alignment horizontal="center" vertical="center"/>
    </xf>
    <xf numFmtId="0" fontId="0" fillId="0" borderId="844" xfId="48" applyFont="1" applyFill="1" applyBorder="1">
      <alignment horizontal="center" vertical="center"/>
    </xf>
    <xf numFmtId="0" fontId="0" fillId="0" borderId="845" xfId="48" applyFont="1" applyFill="1" applyBorder="1">
      <alignment horizontal="center" vertical="center"/>
    </xf>
    <xf numFmtId="0" fontId="0" fillId="0" borderId="845" xfId="50" applyFont="1" applyFill="1" applyBorder="1">
      <alignment horizontal="center" vertical="center"/>
    </xf>
    <xf numFmtId="0" fontId="0" fillId="0" borderId="845" xfId="43" applyFont="1" applyFill="1" applyBorder="1">
      <alignment horizontal="center" vertical="center"/>
    </xf>
    <xf numFmtId="0" fontId="0" fillId="0" borderId="845" xfId="44" applyFont="1" applyFill="1" applyBorder="1">
      <alignment horizontal="center" vertical="center"/>
    </xf>
    <xf numFmtId="0" fontId="0" fillId="0" borderId="844" xfId="50" applyFont="1" applyFill="1" applyBorder="1">
      <alignment horizontal="center" vertical="center"/>
    </xf>
    <xf numFmtId="0" fontId="8" fillId="54" borderId="844" xfId="50" applyBorder="1">
      <alignment horizontal="center" vertical="center"/>
    </xf>
    <xf numFmtId="0" fontId="0" fillId="0" borderId="844" xfId="53" applyFont="1" applyBorder="1">
      <alignment horizontal="center" vertical="center"/>
    </xf>
    <xf numFmtId="0" fontId="0" fillId="75" borderId="400" xfId="56" applyFont="1" applyBorder="1" applyAlignment="1">
      <alignment horizontal="center" vertical="center"/>
    </xf>
    <xf numFmtId="0" fontId="0" fillId="0" borderId="861" xfId="0" applyBorder="1">
      <alignment horizontal="center" vertical="center"/>
    </xf>
    <xf numFmtId="0" fontId="5" fillId="0" borderId="861" xfId="0" applyFont="1" applyBorder="1" applyAlignment="1">
      <alignment horizontal="center"/>
    </xf>
    <xf numFmtId="0" fontId="5" fillId="0" borderId="844" xfId="0" applyFont="1" applyBorder="1" applyAlignment="1">
      <alignment horizontal="center"/>
    </xf>
    <xf numFmtId="0" fontId="0" fillId="0" borderId="874" xfId="0" applyBorder="1">
      <alignment horizontal="center" vertical="center"/>
    </xf>
    <xf numFmtId="0" fontId="60" fillId="0" borderId="894" xfId="0" applyFont="1" applyBorder="1" applyAlignment="1">
      <alignment horizontal="left" vertical="center"/>
    </xf>
    <xf numFmtId="0" fontId="5" fillId="0" borderId="888" xfId="0" applyFont="1" applyBorder="1" applyAlignment="1">
      <alignment horizontal="left" vertical="center"/>
    </xf>
    <xf numFmtId="0" fontId="0" fillId="0" borderId="889" xfId="0" applyBorder="1">
      <alignment horizontal="center" vertical="center"/>
    </xf>
    <xf numFmtId="0" fontId="0" fillId="0" borderId="888" xfId="0" applyBorder="1">
      <alignment horizontal="center" vertical="center"/>
    </xf>
    <xf numFmtId="0" fontId="14" fillId="0" borderId="888" xfId="0" applyFont="1" applyBorder="1">
      <alignment horizontal="center" vertical="center"/>
    </xf>
    <xf numFmtId="0" fontId="60" fillId="0" borderId="874" xfId="0" applyFont="1" applyBorder="1" applyAlignment="1">
      <alignment horizontal="left" vertical="center"/>
    </xf>
    <xf numFmtId="0" fontId="0" fillId="0" borderId="888" xfId="0" applyBorder="1" applyAlignment="1">
      <alignment horizontal="left" vertical="center"/>
    </xf>
    <xf numFmtId="0" fontId="0" fillId="0" borderId="889" xfId="0" applyBorder="1" applyAlignment="1">
      <alignment horizontal="left" vertical="center"/>
    </xf>
    <xf numFmtId="0" fontId="60" fillId="0" borderId="895" xfId="0" applyFont="1" applyBorder="1" applyAlignment="1">
      <alignment horizontal="left" vertical="center"/>
    </xf>
    <xf numFmtId="0" fontId="0" fillId="0" borderId="896" xfId="0" applyBorder="1" applyAlignment="1">
      <alignment horizontal="left" vertical="center"/>
    </xf>
    <xf numFmtId="0" fontId="5" fillId="0" borderId="888" xfId="0" applyFont="1" applyBorder="1">
      <alignment horizontal="center" vertical="center"/>
    </xf>
    <xf numFmtId="0" fontId="60" fillId="0" borderId="897" xfId="0" applyFont="1" applyBorder="1" applyAlignment="1">
      <alignment horizontal="left" vertical="center"/>
    </xf>
    <xf numFmtId="0" fontId="5" fillId="0" borderId="898" xfId="0" applyFont="1" applyBorder="1" applyAlignment="1">
      <alignment horizontal="left" vertical="center"/>
    </xf>
    <xf numFmtId="0" fontId="0" fillId="0" borderId="899" xfId="0" applyBorder="1">
      <alignment horizontal="center" vertical="center"/>
    </xf>
    <xf numFmtId="0" fontId="5" fillId="0" borderId="900" xfId="0" applyFont="1" applyBorder="1" applyAlignment="1">
      <alignment vertical="center"/>
    </xf>
    <xf numFmtId="0" fontId="14" fillId="0" borderId="901" xfId="0" applyFont="1" applyBorder="1">
      <alignment horizontal="center" vertical="center"/>
    </xf>
    <xf numFmtId="0" fontId="0" fillId="0" borderId="901" xfId="0" applyBorder="1">
      <alignment horizontal="center" vertical="center"/>
    </xf>
    <xf numFmtId="0" fontId="0" fillId="0" borderId="902" xfId="0" applyBorder="1">
      <alignment horizontal="center" vertical="center"/>
    </xf>
    <xf numFmtId="0" fontId="5" fillId="0" borderId="903" xfId="0" applyFont="1" applyBorder="1" applyAlignment="1">
      <alignment horizontal="left" vertical="center"/>
    </xf>
    <xf numFmtId="0" fontId="14" fillId="0" borderId="899" xfId="0" applyFont="1" applyBorder="1">
      <alignment horizontal="center" vertical="center"/>
    </xf>
    <xf numFmtId="0" fontId="5" fillId="0" borderId="899" xfId="0" applyFont="1" applyBorder="1">
      <alignment horizontal="center" vertical="center"/>
    </xf>
    <xf numFmtId="0" fontId="5" fillId="0" borderId="904" xfId="0" applyFont="1" applyBorder="1" applyAlignment="1">
      <alignment horizontal="left" vertical="center"/>
    </xf>
    <xf numFmtId="0" fontId="0" fillId="0" borderId="900" xfId="0" applyBorder="1" applyAlignment="1">
      <alignment vertical="center"/>
    </xf>
    <xf numFmtId="0" fontId="5" fillId="0" borderId="900" xfId="0" applyFont="1" applyBorder="1">
      <alignment horizontal="center" vertical="center"/>
    </xf>
    <xf numFmtId="0" fontId="0" fillId="0" borderId="901" xfId="0" applyBorder="1" applyAlignment="1">
      <alignment horizontal="left" vertical="center"/>
    </xf>
    <xf numFmtId="0" fontId="5" fillId="0" borderId="905" xfId="0" applyFont="1" applyBorder="1" applyAlignment="1">
      <alignment horizontal="left" vertical="center"/>
    </xf>
    <xf numFmtId="0" fontId="0" fillId="0" borderId="906" xfId="0" applyBorder="1">
      <alignment horizontal="center" vertical="center"/>
    </xf>
    <xf numFmtId="0" fontId="0" fillId="0" borderId="907" xfId="0" applyBorder="1" applyAlignment="1">
      <alignment vertical="center"/>
    </xf>
    <xf numFmtId="0" fontId="0" fillId="0" borderId="908" xfId="0" applyBorder="1">
      <alignment horizontal="center" vertical="center"/>
    </xf>
    <xf numFmtId="0" fontId="5" fillId="0" borderId="907" xfId="0" applyFont="1" applyBorder="1">
      <alignment horizontal="center" vertical="center"/>
    </xf>
    <xf numFmtId="0" fontId="0" fillId="0" borderId="906" xfId="0" applyBorder="1" applyAlignment="1">
      <alignment horizontal="left" vertical="center"/>
    </xf>
    <xf numFmtId="0" fontId="14" fillId="0" borderId="906" xfId="0" applyFont="1" applyBorder="1">
      <alignment horizontal="center" vertical="center"/>
    </xf>
    <xf numFmtId="0" fontId="5" fillId="0" borderId="906" xfId="0" applyFont="1" applyBorder="1" applyAlignment="1">
      <alignment horizontal="left" vertical="center"/>
    </xf>
    <xf numFmtId="0" fontId="0" fillId="51" borderId="909" xfId="48" applyFont="1" applyFill="1" applyBorder="1">
      <alignment horizontal="center" vertical="center"/>
    </xf>
    <xf numFmtId="0" fontId="0" fillId="51" borderId="910" xfId="20" applyFont="1" applyFill="1" applyBorder="1" applyAlignment="1">
      <alignment horizontal="center" vertical="center"/>
    </xf>
    <xf numFmtId="49" fontId="0" fillId="51" borderId="911" xfId="0" applyNumberFormat="1" applyFill="1" applyBorder="1">
      <alignment horizontal="center" vertical="center"/>
    </xf>
    <xf numFmtId="0" fontId="0" fillId="51" borderId="911" xfId="53" applyFont="1" applyFill="1" applyBorder="1">
      <alignment horizontal="center" vertical="center"/>
    </xf>
    <xf numFmtId="0" fontId="0" fillId="51" borderId="911" xfId="48" applyFont="1" applyFill="1" applyBorder="1">
      <alignment horizontal="center" vertical="center"/>
    </xf>
    <xf numFmtId="0" fontId="0" fillId="51" borderId="911" xfId="43" applyFont="1" applyFill="1" applyBorder="1">
      <alignment horizontal="center" vertical="center"/>
    </xf>
    <xf numFmtId="1" fontId="0" fillId="51" borderId="910" xfId="32" applyNumberFormat="1" applyFont="1" applyFill="1" applyBorder="1" applyAlignment="1">
      <alignment horizontal="center" vertical="center"/>
    </xf>
    <xf numFmtId="1" fontId="0" fillId="51" borderId="910" xfId="0" applyNumberFormat="1" applyFill="1" applyBorder="1">
      <alignment horizontal="center" vertical="center"/>
    </xf>
    <xf numFmtId="49" fontId="0" fillId="51" borderId="910" xfId="0" applyNumberFormat="1" applyFill="1" applyBorder="1">
      <alignment horizontal="center" vertical="center"/>
    </xf>
    <xf numFmtId="0" fontId="0" fillId="51" borderId="910" xfId="0" applyFill="1" applyBorder="1">
      <alignment horizontal="center" vertical="center"/>
    </xf>
    <xf numFmtId="0" fontId="0" fillId="51" borderId="910" xfId="43" applyFont="1" applyFill="1" applyBorder="1">
      <alignment horizontal="center" vertical="center"/>
    </xf>
    <xf numFmtId="0" fontId="0" fillId="51" borderId="910" xfId="46" applyFont="1" applyFill="1" applyBorder="1">
      <alignment horizontal="center" vertical="center"/>
    </xf>
    <xf numFmtId="0" fontId="0" fillId="51" borderId="910" xfId="44" applyFont="1" applyFill="1" applyBorder="1">
      <alignment horizontal="center" vertical="center"/>
    </xf>
    <xf numFmtId="0" fontId="0" fillId="51" borderId="910" xfId="48" applyFont="1" applyFill="1" applyBorder="1">
      <alignment horizontal="center" vertical="center"/>
    </xf>
    <xf numFmtId="0" fontId="0" fillId="51" borderId="911" xfId="0" applyFill="1" applyBorder="1">
      <alignment horizontal="center" vertical="center"/>
    </xf>
    <xf numFmtId="0" fontId="0" fillId="51" borderId="911" xfId="44" applyFont="1" applyFill="1" applyBorder="1">
      <alignment horizontal="center" vertical="center"/>
    </xf>
    <xf numFmtId="0" fontId="8" fillId="52" borderId="911" xfId="48" applyBorder="1">
      <alignment horizontal="center" vertical="center"/>
    </xf>
    <xf numFmtId="0" fontId="0" fillId="51" borderId="899" xfId="46" applyFont="1" applyFill="1" applyBorder="1">
      <alignment horizontal="center" vertical="center"/>
    </xf>
    <xf numFmtId="0" fontId="0" fillId="51" borderId="899" xfId="44" applyFont="1" applyFill="1" applyBorder="1">
      <alignment horizontal="center" vertical="center"/>
    </xf>
    <xf numFmtId="0" fontId="0" fillId="51" borderId="899" xfId="48" applyFont="1" applyFill="1" applyBorder="1">
      <alignment horizontal="center" vertical="center"/>
    </xf>
    <xf numFmtId="49" fontId="0" fillId="51" borderId="899" xfId="0" applyNumberFormat="1" applyFill="1" applyBorder="1">
      <alignment horizontal="center" vertical="center"/>
    </xf>
    <xf numFmtId="0" fontId="0" fillId="51" borderId="912" xfId="48" applyFont="1" applyFill="1" applyBorder="1">
      <alignment horizontal="center" vertical="center"/>
    </xf>
    <xf numFmtId="0" fontId="8" fillId="52" borderId="910" xfId="48" applyBorder="1">
      <alignment horizontal="center" vertical="center"/>
    </xf>
    <xf numFmtId="0" fontId="0" fillId="51" borderId="913" xfId="48" applyFont="1" applyFill="1" applyBorder="1">
      <alignment horizontal="center" vertical="center"/>
    </xf>
    <xf numFmtId="0" fontId="0" fillId="51" borderId="913" xfId="44" applyFont="1" applyFill="1" applyBorder="1">
      <alignment horizontal="center" vertical="center"/>
    </xf>
    <xf numFmtId="0" fontId="0" fillId="51" borderId="913" xfId="0" applyFill="1" applyBorder="1">
      <alignment horizontal="center" vertical="center"/>
    </xf>
    <xf numFmtId="0" fontId="0" fillId="51" borderId="914" xfId="48" applyFont="1" applyFill="1" applyBorder="1">
      <alignment horizontal="center" vertical="center"/>
    </xf>
    <xf numFmtId="0" fontId="0" fillId="43" borderId="900" xfId="0" applyFill="1" applyBorder="1" applyAlignment="1" applyProtection="1">
      <alignment horizontal="center"/>
      <protection locked="0"/>
    </xf>
    <xf numFmtId="20" fontId="0" fillId="0" borderId="900" xfId="0" applyNumberFormat="1" applyBorder="1" applyAlignment="1">
      <alignment horizontal="left"/>
    </xf>
    <xf numFmtId="0" fontId="0" fillId="0" borderId="901" xfId="0" applyBorder="1" applyAlignment="1">
      <alignment horizontal="left"/>
    </xf>
    <xf numFmtId="0" fontId="0" fillId="0" borderId="900" xfId="0" applyBorder="1" applyAlignment="1">
      <alignment horizontal="left"/>
    </xf>
    <xf numFmtId="0" fontId="0" fillId="0" borderId="915" xfId="0" applyBorder="1" applyAlignment="1">
      <alignment horizontal="left"/>
    </xf>
    <xf numFmtId="0" fontId="0" fillId="0" borderId="903" xfId="0" applyBorder="1" applyAlignment="1">
      <alignment horizontal="left"/>
    </xf>
    <xf numFmtId="0" fontId="0" fillId="0" borderId="899" xfId="0" applyBorder="1" applyAlignment="1">
      <alignment horizontal="left"/>
    </xf>
    <xf numFmtId="0" fontId="0" fillId="0" borderId="900" xfId="0" applyBorder="1" applyAlignment="1">
      <alignment horizontal="left" vertical="center"/>
    </xf>
    <xf numFmtId="0" fontId="0" fillId="0" borderId="916" xfId="0" applyBorder="1">
      <alignment horizontal="center" vertical="center"/>
    </xf>
    <xf numFmtId="0" fontId="0" fillId="51" borderId="910" xfId="47" applyFont="1" applyFill="1" applyBorder="1">
      <alignment horizontal="center" vertical="center"/>
    </xf>
    <xf numFmtId="0" fontId="0" fillId="51" borderId="912" xfId="47" applyFont="1" applyFill="1" applyBorder="1">
      <alignment horizontal="center" vertical="center"/>
    </xf>
    <xf numFmtId="0" fontId="0" fillId="0" borderId="917" xfId="0" applyBorder="1" applyAlignment="1">
      <alignment horizontal="left" vertical="center"/>
    </xf>
    <xf numFmtId="0" fontId="0" fillId="0" borderId="918" xfId="0" applyBorder="1" applyAlignment="1">
      <alignment horizontal="left" vertical="center"/>
    </xf>
    <xf numFmtId="0" fontId="0" fillId="51" borderId="913" xfId="47" applyFont="1" applyFill="1" applyBorder="1">
      <alignment horizontal="center" vertical="center"/>
    </xf>
    <xf numFmtId="0" fontId="0" fillId="51" borderId="914" xfId="47" applyFont="1" applyFill="1" applyBorder="1">
      <alignment horizontal="center" vertical="center"/>
    </xf>
    <xf numFmtId="0" fontId="5" fillId="0" borderId="919" xfId="0" applyFont="1" applyBorder="1" applyAlignment="1">
      <alignment horizontal="center"/>
    </xf>
    <xf numFmtId="0" fontId="14" fillId="68" borderId="909" xfId="0" applyFont="1" applyFill="1" applyBorder="1" applyAlignment="1">
      <alignment horizontal="center"/>
    </xf>
    <xf numFmtId="0" fontId="0" fillId="0" borderId="920" xfId="0" applyBorder="1" applyAlignment="1">
      <alignment horizontal="center"/>
    </xf>
    <xf numFmtId="0" fontId="5" fillId="0" borderId="900" xfId="0" applyFont="1" applyBorder="1" applyAlignment="1">
      <alignment horizontal="left"/>
    </xf>
    <xf numFmtId="0" fontId="0" fillId="0" borderId="901" xfId="0" applyBorder="1" applyAlignment="1"/>
    <xf numFmtId="0" fontId="0" fillId="0" borderId="902" xfId="0" applyBorder="1" applyAlignment="1">
      <alignment horizontal="left"/>
    </xf>
    <xf numFmtId="0" fontId="5" fillId="0" borderId="901" xfId="0" applyFont="1" applyBorder="1" applyAlignment="1"/>
    <xf numFmtId="0" fontId="5" fillId="0" borderId="902" xfId="0" applyFont="1" applyBorder="1" applyAlignment="1">
      <alignment horizontal="left"/>
    </xf>
    <xf numFmtId="0" fontId="0" fillId="0" borderId="900" xfId="0" applyBorder="1" applyAlignment="1">
      <alignment horizontal="center"/>
    </xf>
    <xf numFmtId="0" fontId="0" fillId="0" borderId="921" xfId="0" applyBorder="1" applyAlignment="1"/>
    <xf numFmtId="0" fontId="5" fillId="0" borderId="903" xfId="0" applyFont="1" applyBorder="1" applyAlignment="1">
      <alignment horizontal="left"/>
    </xf>
    <xf numFmtId="0" fontId="0" fillId="0" borderId="899" xfId="0" applyBorder="1" applyAlignment="1"/>
    <xf numFmtId="0" fontId="10" fillId="0" borderId="903" xfId="0" applyFont="1" applyBorder="1" applyAlignment="1">
      <alignment horizontal="center"/>
    </xf>
    <xf numFmtId="0" fontId="0" fillId="0" borderId="922" xfId="0" applyBorder="1" applyAlignment="1"/>
    <xf numFmtId="0" fontId="0" fillId="0" borderId="923" xfId="0" applyBorder="1" applyAlignment="1">
      <alignment horizontal="center"/>
    </xf>
    <xf numFmtId="0" fontId="5" fillId="0" borderId="924" xfId="0" applyFont="1" applyBorder="1" applyAlignment="1">
      <alignment horizontal="left"/>
    </xf>
    <xf numFmtId="0" fontId="0" fillId="0" borderId="925" xfId="0" applyBorder="1" applyAlignment="1">
      <alignment horizontal="left" vertical="center"/>
    </xf>
    <xf numFmtId="0" fontId="0" fillId="0" borderId="925" xfId="0" applyBorder="1">
      <alignment horizontal="center" vertical="center"/>
    </xf>
    <xf numFmtId="0" fontId="0" fillId="0" borderId="926" xfId="0" applyBorder="1">
      <alignment horizontal="center" vertical="center"/>
    </xf>
    <xf numFmtId="0" fontId="0" fillId="0" borderId="924" xfId="0" applyBorder="1" applyAlignment="1">
      <alignment horizontal="left" vertical="center"/>
    </xf>
    <xf numFmtId="0" fontId="0" fillId="0" borderId="925" xfId="0" applyBorder="1" applyAlignment="1">
      <alignment horizontal="left"/>
    </xf>
    <xf numFmtId="0" fontId="0" fillId="0" borderId="926" xfId="0" applyBorder="1" applyAlignment="1">
      <alignment horizontal="left" vertical="center"/>
    </xf>
    <xf numFmtId="0" fontId="0" fillId="0" borderId="927" xfId="0" applyBorder="1" applyAlignment="1"/>
    <xf numFmtId="0" fontId="0" fillId="51" borderId="928" xfId="0" applyFill="1" applyBorder="1" applyAlignment="1">
      <alignment horizontal="left" vertical="center"/>
    </xf>
    <xf numFmtId="0" fontId="0" fillId="51" borderId="912" xfId="43" applyFont="1" applyFill="1" applyBorder="1">
      <alignment horizontal="center" vertical="center"/>
    </xf>
    <xf numFmtId="0" fontId="0" fillId="51" borderId="910" xfId="51" applyFont="1" applyFill="1" applyBorder="1">
      <alignment horizontal="center" vertical="center"/>
    </xf>
    <xf numFmtId="0" fontId="0" fillId="51" borderId="910" xfId="53" applyFont="1" applyFill="1" applyBorder="1">
      <alignment horizontal="center" vertical="center"/>
    </xf>
    <xf numFmtId="0" fontId="0" fillId="51" borderId="912" xfId="51" applyFont="1" applyFill="1" applyBorder="1">
      <alignment horizontal="center" vertical="center"/>
    </xf>
    <xf numFmtId="0" fontId="0" fillId="51" borderId="912" xfId="0" applyFill="1" applyBorder="1">
      <alignment horizontal="center" vertical="center"/>
    </xf>
    <xf numFmtId="0" fontId="0" fillId="51" borderId="929" xfId="0" applyFill="1" applyBorder="1" applyAlignment="1">
      <alignment horizontal="left" vertical="center"/>
    </xf>
    <xf numFmtId="0" fontId="8" fillId="52" borderId="913" xfId="48" applyBorder="1">
      <alignment horizontal="center" vertical="center"/>
    </xf>
    <xf numFmtId="49" fontId="0" fillId="51" borderId="913" xfId="0" applyNumberFormat="1" applyFill="1" applyBorder="1">
      <alignment horizontal="center" vertical="center"/>
    </xf>
    <xf numFmtId="0" fontId="0" fillId="51" borderId="913" xfId="32" applyFont="1" applyFill="1" applyBorder="1" applyAlignment="1">
      <alignment horizontal="center" vertical="center"/>
    </xf>
    <xf numFmtId="0" fontId="0" fillId="0" borderId="924" xfId="0" applyBorder="1" applyAlignment="1">
      <alignment horizontal="left"/>
    </xf>
    <xf numFmtId="0" fontId="0" fillId="0" borderId="925" xfId="0" applyBorder="1" applyAlignment="1"/>
    <xf numFmtId="0" fontId="0" fillId="0" borderId="926" xfId="0" applyBorder="1" applyAlignment="1">
      <alignment horizontal="left"/>
    </xf>
    <xf numFmtId="0" fontId="0" fillId="0" borderId="924" xfId="0" applyBorder="1" applyAlignment="1">
      <alignment horizontal="center"/>
    </xf>
    <xf numFmtId="0" fontId="60" fillId="0" borderId="930" xfId="0" applyFont="1" applyBorder="1" applyAlignment="1">
      <alignment horizontal="left" vertical="center"/>
    </xf>
    <xf numFmtId="0" fontId="0" fillId="51" borderId="869" xfId="48" applyFont="1" applyFill="1" applyBorder="1">
      <alignment horizontal="center" vertical="center"/>
    </xf>
    <xf numFmtId="0" fontId="0" fillId="0" borderId="904" xfId="0" applyBorder="1" applyAlignment="1">
      <alignment horizontal="center"/>
    </xf>
    <xf numFmtId="0" fontId="4" fillId="0" borderId="900" xfId="0" applyFont="1" applyBorder="1" applyAlignment="1">
      <alignment horizontal="left"/>
    </xf>
    <xf numFmtId="0" fontId="5" fillId="0" borderId="901" xfId="0" applyFont="1" applyBorder="1">
      <alignment horizontal="center" vertical="center"/>
    </xf>
    <xf numFmtId="0" fontId="0" fillId="0" borderId="931" xfId="0" applyBorder="1">
      <alignment horizontal="center" vertical="center"/>
    </xf>
    <xf numFmtId="0" fontId="0" fillId="0" borderId="907" xfId="0" applyBorder="1" applyAlignment="1">
      <alignment horizontal="left"/>
    </xf>
    <xf numFmtId="0" fontId="0" fillId="0" borderId="908" xfId="0" applyBorder="1" applyAlignment="1">
      <alignment horizontal="left"/>
    </xf>
    <xf numFmtId="0" fontId="0" fillId="0" borderId="906" xfId="0" applyBorder="1" applyAlignment="1">
      <alignment horizontal="left"/>
    </xf>
    <xf numFmtId="167" fontId="10" fillId="0" borderId="907" xfId="0" applyNumberFormat="1" applyFont="1" applyBorder="1" applyAlignment="1">
      <alignment horizontal="center"/>
    </xf>
    <xf numFmtId="0" fontId="0" fillId="0" borderId="932" xfId="0" applyBorder="1">
      <alignment horizontal="center" vertical="center"/>
    </xf>
    <xf numFmtId="0" fontId="0" fillId="51" borderId="928" xfId="0" applyFill="1" applyBorder="1" applyAlignment="1">
      <alignment vertical="center"/>
    </xf>
    <xf numFmtId="0" fontId="0" fillId="84" borderId="910" xfId="0" applyFill="1" applyBorder="1">
      <alignment horizontal="center" vertical="center"/>
    </xf>
    <xf numFmtId="0" fontId="0" fillId="51" borderId="929" xfId="0" applyFill="1" applyBorder="1" applyAlignment="1">
      <alignment vertical="center"/>
    </xf>
    <xf numFmtId="0" fontId="0" fillId="51" borderId="913" xfId="43" applyFont="1" applyFill="1" applyBorder="1">
      <alignment horizontal="center" vertical="center"/>
    </xf>
    <xf numFmtId="0" fontId="0" fillId="51" borderId="914" xfId="0" applyFill="1" applyBorder="1">
      <alignment horizontal="center" vertical="center"/>
    </xf>
    <xf numFmtId="0" fontId="0" fillId="0" borderId="866" xfId="0" applyBorder="1">
      <alignment horizontal="center" vertical="center"/>
    </xf>
    <xf numFmtId="0" fontId="4" fillId="0" borderId="874" xfId="0" applyFont="1" applyBorder="1">
      <alignment horizontal="center" vertical="center"/>
    </xf>
    <xf numFmtId="0" fontId="4" fillId="0" borderId="889" xfId="0" applyFont="1" applyBorder="1" applyAlignment="1">
      <alignment horizontal="left" vertical="center"/>
    </xf>
    <xf numFmtId="0" fontId="4" fillId="0" borderId="874" xfId="0" applyFont="1" applyBorder="1" applyAlignment="1">
      <alignment horizontal="left" vertical="center"/>
    </xf>
    <xf numFmtId="0" fontId="4" fillId="0" borderId="889" xfId="0" applyFont="1" applyBorder="1">
      <alignment horizontal="center" vertical="center"/>
    </xf>
    <xf numFmtId="49" fontId="4" fillId="0" borderId="874" xfId="0" applyNumberFormat="1" applyFont="1" applyBorder="1">
      <alignment horizontal="center" vertical="center"/>
    </xf>
    <xf numFmtId="0" fontId="4" fillId="0" borderId="888" xfId="0" applyFont="1" applyBorder="1" applyAlignment="1">
      <alignment horizontal="left" vertical="center"/>
    </xf>
    <xf numFmtId="0" fontId="4" fillId="0" borderId="888" xfId="0" applyFont="1" applyBorder="1">
      <alignment horizontal="center" vertical="center"/>
    </xf>
    <xf numFmtId="49" fontId="0" fillId="0" borderId="874" xfId="0" applyNumberFormat="1" applyBorder="1">
      <alignment horizontal="center" vertical="center"/>
    </xf>
    <xf numFmtId="0" fontId="10" fillId="0" borderId="890" xfId="0" applyFont="1" applyBorder="1">
      <alignment horizontal="center" vertical="center"/>
    </xf>
    <xf numFmtId="0" fontId="15" fillId="0" borderId="889" xfId="0" applyFont="1" applyBorder="1">
      <alignment horizontal="center" vertical="center"/>
    </xf>
    <xf numFmtId="49" fontId="15" fillId="0" borderId="874" xfId="0" applyNumberFormat="1" applyFont="1" applyBorder="1">
      <alignment horizontal="center" vertical="center"/>
    </xf>
    <xf numFmtId="0" fontId="15" fillId="0" borderId="888" xfId="0" applyFont="1" applyBorder="1">
      <alignment horizontal="center" vertical="center"/>
    </xf>
    <xf numFmtId="49" fontId="0" fillId="0" borderId="895" xfId="0" applyNumberFormat="1" applyBorder="1">
      <alignment horizontal="center" vertical="center"/>
    </xf>
    <xf numFmtId="0" fontId="0" fillId="0" borderId="840" xfId="0" applyBorder="1">
      <alignment horizontal="center" vertical="center"/>
    </xf>
    <xf numFmtId="0" fontId="10" fillId="0" borderId="933" xfId="0" applyFont="1" applyBorder="1">
      <alignment horizontal="center" vertical="center"/>
    </xf>
    <xf numFmtId="49" fontId="0" fillId="0" borderId="888" xfId="0" applyNumberFormat="1" applyBorder="1">
      <alignment horizontal="center" vertical="center"/>
    </xf>
    <xf numFmtId="0" fontId="4" fillId="0" borderId="879" xfId="0" applyFont="1" applyBorder="1">
      <alignment horizontal="center" vertical="center"/>
    </xf>
    <xf numFmtId="0" fontId="4" fillId="0" borderId="892" xfId="0" applyFont="1" applyBorder="1" applyAlignment="1">
      <alignment horizontal="left" vertical="center"/>
    </xf>
    <xf numFmtId="0" fontId="4" fillId="0" borderId="879" xfId="0" applyFont="1" applyBorder="1" applyAlignment="1">
      <alignment horizontal="left" vertical="center"/>
    </xf>
    <xf numFmtId="0" fontId="4" fillId="0" borderId="892" xfId="0" applyFont="1" applyBorder="1">
      <alignment horizontal="center" vertical="center"/>
    </xf>
    <xf numFmtId="49" fontId="4" fillId="0" borderId="879" xfId="0" applyNumberFormat="1" applyFont="1" applyBorder="1">
      <alignment horizontal="center" vertical="center"/>
    </xf>
    <xf numFmtId="0" fontId="4" fillId="0" borderId="891" xfId="0" applyFont="1" applyBorder="1" applyAlignment="1">
      <alignment horizontal="left" vertical="center"/>
    </xf>
    <xf numFmtId="0" fontId="4" fillId="0" borderId="891" xfId="0" applyFont="1" applyBorder="1">
      <alignment horizontal="center" vertical="center"/>
    </xf>
    <xf numFmtId="0" fontId="0" fillId="0" borderId="879" xfId="0" applyBorder="1">
      <alignment horizontal="center" vertical="center"/>
    </xf>
    <xf numFmtId="0" fontId="0" fillId="0" borderId="891" xfId="0" applyBorder="1">
      <alignment horizontal="center" vertical="center"/>
    </xf>
    <xf numFmtId="0" fontId="0" fillId="0" borderId="892" xfId="0" applyBorder="1">
      <alignment horizontal="center" vertical="center"/>
    </xf>
    <xf numFmtId="49" fontId="0" fillId="0" borderId="891" xfId="0" applyNumberFormat="1" applyBorder="1">
      <alignment horizontal="center" vertical="center"/>
    </xf>
    <xf numFmtId="49" fontId="0" fillId="0" borderId="879" xfId="0" applyNumberFormat="1" applyBorder="1">
      <alignment horizontal="center" vertical="center"/>
    </xf>
    <xf numFmtId="0" fontId="10" fillId="0" borderId="893" xfId="0" applyFont="1" applyBorder="1">
      <alignment horizontal="center" vertical="center"/>
    </xf>
    <xf numFmtId="0" fontId="5" fillId="0" borderId="868" xfId="0" applyFont="1" applyBorder="1" applyAlignment="1">
      <alignment horizontal="center"/>
    </xf>
    <xf numFmtId="0" fontId="5" fillId="0" borderId="917" xfId="0" applyFont="1" applyBorder="1" applyAlignment="1">
      <alignment horizontal="center"/>
    </xf>
    <xf numFmtId="0" fontId="5" fillId="0" borderId="901" xfId="0" applyFont="1" applyBorder="1" applyAlignment="1">
      <alignment horizontal="left"/>
    </xf>
    <xf numFmtId="0" fontId="0" fillId="0" borderId="902" xfId="0" applyBorder="1" applyAlignment="1">
      <alignment horizontal="left" vertical="center"/>
    </xf>
    <xf numFmtId="0" fontId="0" fillId="0" borderId="934" xfId="0" applyBorder="1" applyAlignment="1">
      <alignment horizontal="left" vertical="center"/>
    </xf>
    <xf numFmtId="49" fontId="0" fillId="0" borderId="900" xfId="0" applyNumberFormat="1" applyBorder="1" applyAlignment="1">
      <alignment horizontal="left"/>
    </xf>
    <xf numFmtId="49" fontId="0" fillId="0" borderId="900" xfId="0" applyNumberFormat="1" applyBorder="1" applyAlignment="1">
      <alignment horizontal="left" vertical="center"/>
    </xf>
    <xf numFmtId="0" fontId="4" fillId="0" borderId="868" xfId="0" applyFont="1" applyBorder="1" applyAlignment="1">
      <alignment horizontal="center"/>
    </xf>
    <xf numFmtId="0" fontId="0" fillId="0" borderId="935" xfId="0" applyBorder="1" applyAlignment="1">
      <alignment horizontal="left" vertical="center"/>
    </xf>
    <xf numFmtId="0" fontId="0" fillId="0" borderId="907" xfId="0" applyBorder="1" applyAlignment="1">
      <alignment horizontal="left" vertical="center"/>
    </xf>
    <xf numFmtId="0" fontId="5" fillId="0" borderId="907" xfId="0" applyFont="1" applyBorder="1" applyAlignment="1">
      <alignment horizontal="left"/>
    </xf>
    <xf numFmtId="49" fontId="0" fillId="0" borderId="907" xfId="0" applyNumberFormat="1" applyBorder="1" applyAlignment="1">
      <alignment horizontal="left"/>
    </xf>
    <xf numFmtId="0" fontId="5" fillId="0" borderId="920" xfId="0" applyFont="1" applyBorder="1" applyAlignment="1">
      <alignment horizontal="center"/>
    </xf>
    <xf numFmtId="0" fontId="5" fillId="0" borderId="923" xfId="0" applyFont="1" applyBorder="1" applyAlignment="1">
      <alignment horizontal="center"/>
    </xf>
    <xf numFmtId="0" fontId="4" fillId="0" borderId="924" xfId="0" applyFont="1" applyBorder="1" applyAlignment="1">
      <alignment horizontal="left"/>
    </xf>
    <xf numFmtId="0" fontId="4" fillId="0" borderId="925" xfId="0" applyFont="1" applyBorder="1" applyAlignment="1">
      <alignment horizontal="left"/>
    </xf>
    <xf numFmtId="49" fontId="0" fillId="51" borderId="912" xfId="0" applyNumberFormat="1" applyFill="1" applyBorder="1">
      <alignment horizontal="center" vertical="center"/>
    </xf>
    <xf numFmtId="0" fontId="5" fillId="77" borderId="928" xfId="0" applyFont="1" applyFill="1" applyBorder="1">
      <alignment horizontal="center" vertical="center"/>
    </xf>
    <xf numFmtId="0" fontId="0" fillId="76" borderId="910" xfId="0" applyFill="1" applyBorder="1">
      <alignment horizontal="center" vertical="center"/>
    </xf>
    <xf numFmtId="0" fontId="0" fillId="76" borderId="912" xfId="0" applyFill="1" applyBorder="1">
      <alignment horizontal="center" vertical="center"/>
    </xf>
    <xf numFmtId="0" fontId="0" fillId="0" borderId="928" xfId="0" applyBorder="1" applyAlignment="1">
      <alignment horizontal="left" vertical="center"/>
    </xf>
    <xf numFmtId="0" fontId="0" fillId="0" borderId="929" xfId="0" applyBorder="1" applyAlignment="1">
      <alignment horizontal="left" vertical="center"/>
    </xf>
    <xf numFmtId="0" fontId="0" fillId="94" borderId="868" xfId="43" applyFont="1" applyFill="1" applyBorder="1">
      <alignment horizontal="center" vertical="center"/>
    </xf>
    <xf numFmtId="0" fontId="0" fillId="94" borderId="869" xfId="43" applyFont="1" applyFill="1" applyBorder="1">
      <alignment horizontal="center" vertical="center"/>
    </xf>
    <xf numFmtId="0" fontId="0" fillId="76" borderId="869" xfId="43" applyFont="1" applyFill="1" applyBorder="1">
      <alignment horizontal="center" vertical="center"/>
    </xf>
    <xf numFmtId="0" fontId="0" fillId="0" borderId="909" xfId="0" applyBorder="1">
      <alignment horizontal="center" vertical="center"/>
    </xf>
    <xf numFmtId="0" fontId="5" fillId="0" borderId="909" xfId="0" applyFont="1" applyBorder="1" applyAlignment="1">
      <alignment horizontal="center"/>
    </xf>
    <xf numFmtId="0" fontId="0" fillId="0" borderId="910" xfId="0" applyBorder="1">
      <alignment horizontal="center" vertical="center"/>
    </xf>
    <xf numFmtId="0" fontId="5" fillId="0" borderId="910" xfId="0" applyFont="1" applyBorder="1" applyAlignment="1">
      <alignment horizontal="center"/>
    </xf>
    <xf numFmtId="0" fontId="60" fillId="0" borderId="936" xfId="0" applyFont="1" applyBorder="1" applyAlignment="1">
      <alignment horizontal="left" vertical="center"/>
    </xf>
    <xf numFmtId="0" fontId="0" fillId="0" borderId="937" xfId="0" applyBorder="1" applyAlignment="1">
      <alignment horizontal="left" vertical="center"/>
    </xf>
    <xf numFmtId="0" fontId="0" fillId="0" borderId="916" xfId="0" applyBorder="1" applyAlignment="1">
      <alignment horizontal="left" vertical="center"/>
    </xf>
    <xf numFmtId="0" fontId="0" fillId="51" borderId="910" xfId="32" applyFont="1" applyFill="1" applyBorder="1" applyAlignment="1">
      <alignment horizontal="center" vertical="center"/>
    </xf>
    <xf numFmtId="0" fontId="0" fillId="0" borderId="938" xfId="0" applyBorder="1" applyAlignment="1">
      <alignment horizontal="left" vertical="center"/>
    </xf>
    <xf numFmtId="0" fontId="0" fillId="51" borderId="911" xfId="32" applyFont="1" applyFill="1" applyBorder="1" applyAlignment="1">
      <alignment horizontal="center" vertical="center"/>
    </xf>
    <xf numFmtId="0" fontId="0" fillId="51" borderId="939" xfId="43" applyFont="1" applyFill="1" applyBorder="1">
      <alignment horizontal="center" vertical="center"/>
    </xf>
    <xf numFmtId="1" fontId="0" fillId="51" borderId="912" xfId="0" applyNumberFormat="1" applyFill="1" applyBorder="1">
      <alignment horizontal="center" vertical="center"/>
    </xf>
    <xf numFmtId="0" fontId="8" fillId="0" borderId="928" xfId="0" applyFont="1" applyBorder="1" applyAlignment="1">
      <alignment horizontal="left" vertical="center"/>
    </xf>
    <xf numFmtId="0" fontId="0" fillId="0" borderId="910" xfId="53" applyFont="1" applyBorder="1">
      <alignment horizontal="center" vertical="center"/>
    </xf>
    <xf numFmtId="1" fontId="0" fillId="51" borderId="910" xfId="44" applyNumberFormat="1" applyFont="1" applyFill="1" applyBorder="1">
      <alignment horizontal="center" vertical="center"/>
    </xf>
    <xf numFmtId="0" fontId="0" fillId="51" borderId="910" xfId="49" applyFont="1" applyFill="1" applyBorder="1">
      <alignment horizontal="center" vertical="center"/>
    </xf>
    <xf numFmtId="0" fontId="0" fillId="51" borderId="912" xfId="53" applyFont="1" applyFill="1" applyBorder="1">
      <alignment horizontal="center" vertical="center"/>
    </xf>
    <xf numFmtId="1" fontId="0" fillId="51" borderId="911" xfId="0" applyNumberFormat="1" applyFill="1" applyBorder="1">
      <alignment horizontal="center" vertical="center"/>
    </xf>
    <xf numFmtId="1" fontId="0" fillId="51" borderId="911" xfId="44" applyNumberFormat="1" applyFont="1" applyFill="1" applyBorder="1">
      <alignment horizontal="center" vertical="center"/>
    </xf>
    <xf numFmtId="1" fontId="0" fillId="51" borderId="911" xfId="32" applyNumberFormat="1" applyFont="1" applyFill="1" applyBorder="1" applyAlignment="1">
      <alignment horizontal="center" vertical="center"/>
    </xf>
    <xf numFmtId="0" fontId="7" fillId="76" borderId="759" xfId="0" applyFont="1" applyFill="1" applyBorder="1">
      <alignment horizontal="center" vertical="center"/>
    </xf>
    <xf numFmtId="0" fontId="0" fillId="0" borderId="940" xfId="0" applyBorder="1" applyAlignment="1">
      <alignment horizontal="left" vertical="center"/>
    </xf>
    <xf numFmtId="0" fontId="0" fillId="68" borderId="910" xfId="43" applyFont="1" applyFill="1" applyBorder="1">
      <alignment horizontal="center" vertical="center"/>
    </xf>
    <xf numFmtId="0" fontId="0" fillId="68" borderId="910" xfId="32" applyFont="1" applyFill="1" applyBorder="1" applyAlignment="1">
      <alignment horizontal="center" vertical="center"/>
    </xf>
    <xf numFmtId="0" fontId="0" fillId="68" borderId="910" xfId="48" applyFont="1" applyFill="1" applyBorder="1">
      <alignment horizontal="center" vertical="center"/>
    </xf>
    <xf numFmtId="0" fontId="0" fillId="68" borderId="912" xfId="43" applyFont="1" applyFill="1" applyBorder="1">
      <alignment horizontal="center" vertical="center"/>
    </xf>
    <xf numFmtId="0" fontId="0" fillId="0" borderId="929" xfId="0" applyBorder="1" applyAlignment="1">
      <alignment vertical="center"/>
    </xf>
    <xf numFmtId="0" fontId="0" fillId="51" borderId="914" xfId="43" applyFont="1" applyFill="1" applyBorder="1">
      <alignment horizontal="center" vertical="center"/>
    </xf>
    <xf numFmtId="0" fontId="65" fillId="0" borderId="917" xfId="0" applyFont="1" applyBorder="1" applyAlignment="1" applyProtection="1">
      <alignment horizontal="left"/>
      <protection locked="0"/>
    </xf>
    <xf numFmtId="0" fontId="0" fillId="0" borderId="941" xfId="51" applyFont="1" applyFill="1" applyBorder="1">
      <alignment horizontal="center" vertical="center"/>
    </xf>
    <xf numFmtId="0" fontId="0" fillId="0" borderId="868" xfId="51" applyFont="1" applyFill="1" applyBorder="1">
      <alignment horizontal="center" vertical="center"/>
    </xf>
    <xf numFmtId="0" fontId="0" fillId="71" borderId="868" xfId="0" applyFill="1" applyBorder="1" applyAlignment="1"/>
    <xf numFmtId="0" fontId="0" fillId="0" borderId="927" xfId="0" applyBorder="1" applyAlignment="1">
      <alignment horizontal="left" vertical="center"/>
    </xf>
    <xf numFmtId="0" fontId="0" fillId="51" borderId="910" xfId="0" applyFill="1" applyBorder="1" applyAlignment="1">
      <alignment horizontal="left" vertical="center"/>
    </xf>
    <xf numFmtId="0" fontId="0" fillId="51" borderId="942" xfId="0" applyFill="1" applyBorder="1" applyAlignment="1" applyProtection="1">
      <alignment horizontal="left" vertical="center"/>
      <protection locked="0"/>
    </xf>
    <xf numFmtId="0" fontId="0" fillId="51" borderId="911" xfId="0" applyFill="1" applyBorder="1" applyAlignment="1">
      <alignment horizontal="left" vertical="center"/>
    </xf>
    <xf numFmtId="0" fontId="0" fillId="51" borderId="911" xfId="47" applyFont="1" applyFill="1" applyBorder="1">
      <alignment horizontal="center" vertical="center"/>
    </xf>
    <xf numFmtId="0" fontId="0" fillId="0" borderId="906" xfId="0" applyBorder="1" applyAlignment="1"/>
    <xf numFmtId="0" fontId="0" fillId="0" borderId="907" xfId="0" applyBorder="1" applyAlignment="1">
      <alignment horizontal="center"/>
    </xf>
    <xf numFmtId="0" fontId="0" fillId="52" borderId="910" xfId="0" applyFill="1" applyBorder="1">
      <alignment horizontal="center" vertical="center"/>
    </xf>
    <xf numFmtId="49" fontId="0" fillId="0" borderId="418" xfId="0" applyNumberFormat="1" applyBorder="1">
      <alignment horizontal="center" vertical="center"/>
    </xf>
    <xf numFmtId="0" fontId="0" fillId="0" borderId="895" xfId="0" applyBorder="1">
      <alignment horizontal="center" vertical="center"/>
    </xf>
    <xf numFmtId="0" fontId="0" fillId="0" borderId="869" xfId="0" applyBorder="1">
      <alignment horizontal="center" vertical="center"/>
    </xf>
    <xf numFmtId="0" fontId="5" fillId="0" borderId="904" xfId="0" applyFont="1" applyBorder="1" applyAlignment="1">
      <alignment horizontal="center"/>
    </xf>
    <xf numFmtId="0" fontId="5" fillId="0" borderId="905" xfId="0" applyFont="1" applyBorder="1" applyAlignment="1">
      <alignment horizontal="center"/>
    </xf>
    <xf numFmtId="0" fontId="4" fillId="0" borderId="901" xfId="0" applyFont="1" applyBorder="1" applyAlignment="1">
      <alignment horizontal="left"/>
    </xf>
    <xf numFmtId="0" fontId="14" fillId="94" borderId="909" xfId="0" applyFont="1" applyFill="1" applyBorder="1" applyAlignment="1">
      <alignment horizontal="center"/>
    </xf>
    <xf numFmtId="0" fontId="5" fillId="77" borderId="910" xfId="0" applyFont="1" applyFill="1" applyBorder="1">
      <alignment horizontal="center" vertical="center"/>
    </xf>
    <xf numFmtId="0" fontId="0" fillId="0" borderId="910" xfId="0" applyBorder="1" applyAlignment="1">
      <alignment horizontal="left" vertical="center"/>
    </xf>
    <xf numFmtId="0" fontId="0" fillId="0" borderId="911" xfId="0" applyBorder="1" applyAlignment="1">
      <alignment horizontal="left" vertical="center"/>
    </xf>
    <xf numFmtId="0" fontId="0" fillId="0" borderId="910" xfId="43" applyFont="1" applyFill="1" applyBorder="1">
      <alignment horizontal="center" vertical="center"/>
    </xf>
    <xf numFmtId="0" fontId="0" fillId="0" borderId="910" xfId="44" applyFont="1" applyFill="1" applyBorder="1">
      <alignment horizontal="center" vertical="center"/>
    </xf>
    <xf numFmtId="0" fontId="0" fillId="0" borderId="912" xfId="0" applyBorder="1">
      <alignment horizontal="center" vertical="center"/>
    </xf>
    <xf numFmtId="0" fontId="0" fillId="0" borderId="910" xfId="48" applyFont="1" applyFill="1" applyBorder="1">
      <alignment horizontal="center" vertical="center"/>
    </xf>
    <xf numFmtId="0" fontId="0" fillId="0" borderId="912" xfId="48" applyFont="1" applyFill="1" applyBorder="1">
      <alignment horizontal="center" vertical="center"/>
    </xf>
    <xf numFmtId="0" fontId="0" fillId="0" borderId="912" xfId="50" applyFont="1" applyFill="1" applyBorder="1">
      <alignment horizontal="center" vertical="center"/>
    </xf>
    <xf numFmtId="0" fontId="0" fillId="0" borderId="912" xfId="43" applyFont="1" applyFill="1" applyBorder="1">
      <alignment horizontal="center" vertical="center"/>
    </xf>
    <xf numFmtId="0" fontId="0" fillId="0" borderId="912" xfId="44" applyFont="1" applyFill="1" applyBorder="1">
      <alignment horizontal="center" vertical="center"/>
    </xf>
    <xf numFmtId="0" fontId="0" fillId="0" borderId="910" xfId="50" applyFont="1" applyFill="1" applyBorder="1">
      <alignment horizontal="center" vertical="center"/>
    </xf>
    <xf numFmtId="0" fontId="0" fillId="0" borderId="915" xfId="0" applyBorder="1">
      <alignment horizontal="center" vertical="center"/>
    </xf>
    <xf numFmtId="0" fontId="60" fillId="0" borderId="943" xfId="0" applyFont="1" applyBorder="1" applyAlignment="1">
      <alignment horizontal="left" vertical="center"/>
    </xf>
    <xf numFmtId="0" fontId="5" fillId="0" borderId="944" xfId="0" applyFont="1" applyBorder="1" applyAlignment="1">
      <alignment horizontal="left" vertical="center"/>
    </xf>
    <xf numFmtId="0" fontId="0" fillId="0" borderId="945" xfId="0" applyBorder="1">
      <alignment horizontal="center" vertical="center"/>
    </xf>
    <xf numFmtId="0" fontId="0" fillId="0" borderId="944" xfId="0" applyBorder="1">
      <alignment horizontal="center" vertical="center"/>
    </xf>
    <xf numFmtId="0" fontId="0" fillId="0" borderId="946" xfId="0" applyBorder="1">
      <alignment horizontal="center" vertical="center"/>
    </xf>
    <xf numFmtId="0" fontId="14" fillId="0" borderId="944" xfId="0" applyFont="1" applyBorder="1">
      <alignment horizontal="center" vertical="center"/>
    </xf>
    <xf numFmtId="0" fontId="60" fillId="0" borderId="946" xfId="0" applyFont="1" applyBorder="1" applyAlignment="1">
      <alignment horizontal="left" vertical="center"/>
    </xf>
    <xf numFmtId="0" fontId="0" fillId="0" borderId="944" xfId="0" applyBorder="1" applyAlignment="1">
      <alignment horizontal="left" vertical="center"/>
    </xf>
    <xf numFmtId="0" fontId="0" fillId="0" borderId="945" xfId="0" applyBorder="1" applyAlignment="1">
      <alignment horizontal="left" vertical="center"/>
    </xf>
    <xf numFmtId="0" fontId="60" fillId="0" borderId="947" xfId="0" applyFont="1" applyBorder="1" applyAlignment="1">
      <alignment horizontal="left" vertical="center"/>
    </xf>
    <xf numFmtId="0" fontId="5" fillId="0" borderId="944" xfId="0" applyFont="1" applyBorder="1">
      <alignment horizontal="center" vertical="center"/>
    </xf>
    <xf numFmtId="0" fontId="60" fillId="0" borderId="948" xfId="0" applyFont="1" applyBorder="1" applyAlignment="1">
      <alignment horizontal="left" vertical="center"/>
    </xf>
    <xf numFmtId="0" fontId="5" fillId="0" borderId="949" xfId="0" applyFont="1" applyBorder="1" applyAlignment="1">
      <alignment horizontal="left" vertical="center"/>
    </xf>
    <xf numFmtId="0" fontId="0" fillId="0" borderId="950" xfId="0" applyBorder="1">
      <alignment horizontal="center" vertical="center"/>
    </xf>
    <xf numFmtId="0" fontId="5" fillId="0" borderId="951" xfId="0" applyFont="1" applyBorder="1" applyAlignment="1">
      <alignment vertical="center"/>
    </xf>
    <xf numFmtId="0" fontId="14" fillId="0" borderId="952" xfId="0" applyFont="1" applyBorder="1">
      <alignment horizontal="center" vertical="center"/>
    </xf>
    <xf numFmtId="0" fontId="0" fillId="0" borderId="952" xfId="0" applyBorder="1">
      <alignment horizontal="center" vertical="center"/>
    </xf>
    <xf numFmtId="0" fontId="0" fillId="0" borderId="953" xfId="0" applyBorder="1">
      <alignment horizontal="center" vertical="center"/>
    </xf>
    <xf numFmtId="0" fontId="5" fillId="0" borderId="954" xfId="0" applyFont="1" applyBorder="1" applyAlignment="1">
      <alignment horizontal="left" vertical="center"/>
    </xf>
    <xf numFmtId="0" fontId="14" fillId="0" borderId="950" xfId="0" applyFont="1" applyBorder="1">
      <alignment horizontal="center" vertical="center"/>
    </xf>
    <xf numFmtId="0" fontId="5" fillId="0" borderId="950" xfId="0" applyFont="1" applyBorder="1">
      <alignment horizontal="center" vertical="center"/>
    </xf>
    <xf numFmtId="0" fontId="5" fillId="0" borderId="955" xfId="0" applyFont="1" applyBorder="1" applyAlignment="1">
      <alignment horizontal="left" vertical="center"/>
    </xf>
    <xf numFmtId="0" fontId="0" fillId="0" borderId="951" xfId="0" applyBorder="1" applyAlignment="1">
      <alignment vertical="center"/>
    </xf>
    <xf numFmtId="0" fontId="5" fillId="0" borderId="951" xfId="0" applyFont="1" applyBorder="1">
      <alignment horizontal="center" vertical="center"/>
    </xf>
    <xf numFmtId="0" fontId="0" fillId="0" borderId="952" xfId="0" applyBorder="1" applyAlignment="1">
      <alignment horizontal="left" vertical="center"/>
    </xf>
    <xf numFmtId="0" fontId="5" fillId="0" borderId="956" xfId="0" applyFont="1" applyBorder="1" applyAlignment="1">
      <alignment horizontal="left" vertical="center"/>
    </xf>
    <xf numFmtId="0" fontId="0" fillId="0" borderId="957" xfId="0" applyBorder="1">
      <alignment horizontal="center" vertical="center"/>
    </xf>
    <xf numFmtId="0" fontId="0" fillId="0" borderId="958" xfId="0" applyBorder="1" applyAlignment="1">
      <alignment vertical="center"/>
    </xf>
    <xf numFmtId="0" fontId="0" fillId="0" borderId="959" xfId="0" applyBorder="1">
      <alignment horizontal="center" vertical="center"/>
    </xf>
    <xf numFmtId="0" fontId="5" fillId="0" borderId="958" xfId="0" applyFont="1" applyBorder="1">
      <alignment horizontal="center" vertical="center"/>
    </xf>
    <xf numFmtId="0" fontId="0" fillId="0" borderId="957" xfId="0" applyBorder="1" applyAlignment="1">
      <alignment horizontal="left" vertical="center"/>
    </xf>
    <xf numFmtId="0" fontId="14" fillId="0" borderId="957" xfId="0" applyFont="1" applyBorder="1">
      <alignment horizontal="center" vertical="center"/>
    </xf>
    <xf numFmtId="0" fontId="5" fillId="0" borderId="957" xfId="0" applyFont="1" applyBorder="1" applyAlignment="1">
      <alignment horizontal="left" vertical="center"/>
    </xf>
    <xf numFmtId="0" fontId="0" fillId="51" borderId="960" xfId="48" applyFont="1" applyFill="1" applyBorder="1">
      <alignment horizontal="center" vertical="center"/>
    </xf>
    <xf numFmtId="0" fontId="0" fillId="51" borderId="961" xfId="20" applyFont="1" applyFill="1" applyBorder="1" applyAlignment="1">
      <alignment horizontal="center" vertical="center"/>
    </xf>
    <xf numFmtId="49" fontId="0" fillId="51" borderId="962" xfId="0" applyNumberFormat="1" applyFill="1" applyBorder="1">
      <alignment horizontal="center" vertical="center"/>
    </xf>
    <xf numFmtId="0" fontId="0" fillId="51" borderId="962" xfId="53" applyFont="1" applyFill="1" applyBorder="1">
      <alignment horizontal="center" vertical="center"/>
    </xf>
    <xf numFmtId="0" fontId="0" fillId="51" borderId="962" xfId="48" applyFont="1" applyFill="1" applyBorder="1">
      <alignment horizontal="center" vertical="center"/>
    </xf>
    <xf numFmtId="0" fontId="0" fillId="51" borderId="962" xfId="43" applyFont="1" applyFill="1" applyBorder="1">
      <alignment horizontal="center" vertical="center"/>
    </xf>
    <xf numFmtId="1" fontId="0" fillId="51" borderId="961" xfId="32" applyNumberFormat="1" applyFont="1" applyFill="1" applyBorder="1" applyAlignment="1">
      <alignment horizontal="center" vertical="center"/>
    </xf>
    <xf numFmtId="1" fontId="0" fillId="51" borderId="961" xfId="0" applyNumberFormat="1" applyFill="1" applyBorder="1">
      <alignment horizontal="center" vertical="center"/>
    </xf>
    <xf numFmtId="49" fontId="0" fillId="51" borderId="961" xfId="0" applyNumberFormat="1" applyFill="1" applyBorder="1">
      <alignment horizontal="center" vertical="center"/>
    </xf>
    <xf numFmtId="0" fontId="0" fillId="51" borderId="961" xfId="0" applyFill="1" applyBorder="1">
      <alignment horizontal="center" vertical="center"/>
    </xf>
    <xf numFmtId="0" fontId="0" fillId="51" borderId="961" xfId="43" applyFont="1" applyFill="1" applyBorder="1">
      <alignment horizontal="center" vertical="center"/>
    </xf>
    <xf numFmtId="0" fontId="0" fillId="51" borderId="961" xfId="46" applyFont="1" applyFill="1" applyBorder="1">
      <alignment horizontal="center" vertical="center"/>
    </xf>
    <xf numFmtId="0" fontId="0" fillId="51" borderId="961" xfId="44" applyFont="1" applyFill="1" applyBorder="1">
      <alignment horizontal="center" vertical="center"/>
    </xf>
    <xf numFmtId="0" fontId="0" fillId="51" borderId="961" xfId="48" applyFont="1" applyFill="1" applyBorder="1">
      <alignment horizontal="center" vertical="center"/>
    </xf>
    <xf numFmtId="0" fontId="0" fillId="51" borderId="962" xfId="0" applyFill="1" applyBorder="1">
      <alignment horizontal="center" vertical="center"/>
    </xf>
    <xf numFmtId="0" fontId="0" fillId="51" borderId="962" xfId="44" applyFont="1" applyFill="1" applyBorder="1">
      <alignment horizontal="center" vertical="center"/>
    </xf>
    <xf numFmtId="0" fontId="0" fillId="51" borderId="950" xfId="46" applyFont="1" applyFill="1" applyBorder="1">
      <alignment horizontal="center" vertical="center"/>
    </xf>
    <xf numFmtId="0" fontId="0" fillId="51" borderId="950" xfId="44" applyFont="1" applyFill="1" applyBorder="1">
      <alignment horizontal="center" vertical="center"/>
    </xf>
    <xf numFmtId="0" fontId="0" fillId="51" borderId="950" xfId="48" applyFont="1" applyFill="1" applyBorder="1">
      <alignment horizontal="center" vertical="center"/>
    </xf>
    <xf numFmtId="49" fontId="0" fillId="51" borderId="950" xfId="0" applyNumberFormat="1" applyFill="1" applyBorder="1">
      <alignment horizontal="center" vertical="center"/>
    </xf>
    <xf numFmtId="0" fontId="0" fillId="51" borderId="961" xfId="32" applyFont="1" applyFill="1" applyBorder="1" applyAlignment="1">
      <alignment horizontal="center" vertical="center"/>
    </xf>
    <xf numFmtId="0" fontId="0" fillId="0" borderId="963" xfId="0" applyBorder="1" applyAlignment="1">
      <alignment horizontal="left" vertical="center"/>
    </xf>
    <xf numFmtId="0" fontId="65" fillId="0" borderId="963" xfId="0" applyFont="1" applyBorder="1" applyAlignment="1" applyProtection="1">
      <alignment horizontal="left"/>
      <protection locked="0"/>
    </xf>
    <xf numFmtId="0" fontId="0" fillId="0" borderId="964" xfId="0" applyBorder="1" applyAlignment="1">
      <alignment horizontal="left" vertical="center"/>
    </xf>
    <xf numFmtId="0" fontId="65" fillId="0" borderId="965" xfId="0" applyFont="1" applyBorder="1" applyAlignment="1" applyProtection="1">
      <alignment horizontal="left"/>
      <protection locked="0"/>
    </xf>
    <xf numFmtId="0" fontId="0" fillId="0" borderId="962" xfId="0" applyBorder="1" applyAlignment="1">
      <alignment horizontal="left" vertical="center"/>
    </xf>
    <xf numFmtId="20" fontId="0" fillId="0" borderId="951" xfId="0" applyNumberFormat="1" applyBorder="1" applyAlignment="1">
      <alignment horizontal="left"/>
    </xf>
    <xf numFmtId="0" fontId="0" fillId="0" borderId="952" xfId="0" applyBorder="1" applyAlignment="1">
      <alignment horizontal="left"/>
    </xf>
    <xf numFmtId="0" fontId="0" fillId="0" borderId="951" xfId="0" applyBorder="1" applyAlignment="1">
      <alignment horizontal="left"/>
    </xf>
    <xf numFmtId="0" fontId="0" fillId="0" borderId="966" xfId="0" applyBorder="1" applyAlignment="1">
      <alignment horizontal="left"/>
    </xf>
    <xf numFmtId="0" fontId="0" fillId="43" borderId="951" xfId="0" applyFill="1" applyBorder="1" applyAlignment="1" applyProtection="1">
      <alignment horizontal="center"/>
      <protection locked="0"/>
    </xf>
    <xf numFmtId="0" fontId="0" fillId="0" borderId="954" xfId="0" applyBorder="1" applyAlignment="1">
      <alignment horizontal="left"/>
    </xf>
    <xf numFmtId="0" fontId="0" fillId="0" borderId="950" xfId="0" applyBorder="1" applyAlignment="1">
      <alignment horizontal="left"/>
    </xf>
    <xf numFmtId="0" fontId="0" fillId="0" borderId="951" xfId="0" applyBorder="1" applyAlignment="1">
      <alignment horizontal="left" vertical="center"/>
    </xf>
    <xf numFmtId="0" fontId="0" fillId="51" borderId="961" xfId="47" applyFont="1" applyFill="1" applyBorder="1">
      <alignment horizontal="center" vertical="center"/>
    </xf>
    <xf numFmtId="0" fontId="5" fillId="0" borderId="967" xfId="0" applyFont="1" applyBorder="1" applyAlignment="1">
      <alignment horizontal="center"/>
    </xf>
    <xf numFmtId="0" fontId="0" fillId="0" borderId="955" xfId="0" applyBorder="1" applyAlignment="1">
      <alignment horizontal="center"/>
    </xf>
    <xf numFmtId="0" fontId="5" fillId="0" borderId="951" xfId="0" applyFont="1" applyBorder="1" applyAlignment="1">
      <alignment horizontal="left"/>
    </xf>
    <xf numFmtId="0" fontId="0" fillId="0" borderId="952" xfId="0" applyBorder="1" applyAlignment="1"/>
    <xf numFmtId="0" fontId="0" fillId="0" borderId="953" xfId="0" applyBorder="1" applyAlignment="1">
      <alignment horizontal="left"/>
    </xf>
    <xf numFmtId="0" fontId="5" fillId="0" borderId="952" xfId="0" applyFont="1" applyBorder="1" applyAlignment="1"/>
    <xf numFmtId="0" fontId="5" fillId="0" borderId="953" xfId="0" applyFont="1" applyBorder="1" applyAlignment="1">
      <alignment horizontal="left"/>
    </xf>
    <xf numFmtId="0" fontId="0" fillId="0" borderId="951" xfId="0" applyBorder="1" applyAlignment="1">
      <alignment horizontal="center"/>
    </xf>
    <xf numFmtId="0" fontId="0" fillId="0" borderId="968" xfId="0" applyBorder="1" applyAlignment="1"/>
    <xf numFmtId="0" fontId="5" fillId="0" borderId="954" xfId="0" applyFont="1" applyBorder="1" applyAlignment="1">
      <alignment horizontal="left"/>
    </xf>
    <xf numFmtId="0" fontId="0" fillId="0" borderId="950" xfId="0" applyBorder="1" applyAlignment="1"/>
    <xf numFmtId="0" fontId="10" fillId="0" borderId="954" xfId="0" applyFont="1" applyBorder="1" applyAlignment="1">
      <alignment horizontal="center"/>
    </xf>
    <xf numFmtId="0" fontId="0" fillId="0" borderId="969" xfId="0" applyBorder="1" applyAlignment="1"/>
    <xf numFmtId="0" fontId="0" fillId="0" borderId="956" xfId="0" applyBorder="1" applyAlignment="1">
      <alignment horizontal="center"/>
    </xf>
    <xf numFmtId="0" fontId="5" fillId="0" borderId="958" xfId="0" applyFont="1" applyBorder="1" applyAlignment="1">
      <alignment horizontal="left"/>
    </xf>
    <xf numFmtId="0" fontId="0" fillId="0" borderId="958" xfId="0" applyBorder="1" applyAlignment="1">
      <alignment horizontal="left" vertical="center"/>
    </xf>
    <xf numFmtId="0" fontId="0" fillId="0" borderId="957" xfId="0" applyBorder="1" applyAlignment="1">
      <alignment horizontal="left"/>
    </xf>
    <xf numFmtId="0" fontId="0" fillId="0" borderId="959" xfId="0" applyBorder="1" applyAlignment="1">
      <alignment horizontal="left" vertical="center"/>
    </xf>
    <xf numFmtId="0" fontId="0" fillId="0" borderId="970" xfId="0" applyBorder="1" applyAlignment="1"/>
    <xf numFmtId="0" fontId="0" fillId="51" borderId="961" xfId="0" applyFill="1" applyBorder="1" applyAlignment="1">
      <alignment horizontal="left" vertical="center"/>
    </xf>
    <xf numFmtId="0" fontId="0" fillId="51" borderId="961" xfId="51" applyFont="1" applyFill="1" applyBorder="1">
      <alignment horizontal="center" vertical="center"/>
    </xf>
    <xf numFmtId="0" fontId="0" fillId="51" borderId="961" xfId="53" applyFont="1" applyFill="1" applyBorder="1">
      <alignment horizontal="center" vertical="center"/>
    </xf>
    <xf numFmtId="0" fontId="0" fillId="51" borderId="962" xfId="0" applyFill="1" applyBorder="1" applyAlignment="1">
      <alignment horizontal="left" vertical="center"/>
    </xf>
    <xf numFmtId="0" fontId="0" fillId="51" borderId="962" xfId="47" applyFont="1" applyFill="1" applyBorder="1">
      <alignment horizontal="center" vertical="center"/>
    </xf>
    <xf numFmtId="0" fontId="0" fillId="51" borderId="962" xfId="32" applyFont="1" applyFill="1" applyBorder="1" applyAlignment="1">
      <alignment horizontal="center" vertical="center"/>
    </xf>
    <xf numFmtId="0" fontId="10" fillId="51" borderId="971" xfId="20" applyFont="1" applyFill="1" applyBorder="1" applyAlignment="1">
      <alignment horizontal="center" vertical="center"/>
    </xf>
    <xf numFmtId="0" fontId="0" fillId="0" borderId="958" xfId="0" applyBorder="1" applyAlignment="1">
      <alignment horizontal="left"/>
    </xf>
    <xf numFmtId="0" fontId="0" fillId="0" borderId="957" xfId="0" applyBorder="1" applyAlignment="1"/>
    <xf numFmtId="0" fontId="0" fillId="0" borderId="959" xfId="0" applyBorder="1" applyAlignment="1">
      <alignment horizontal="left"/>
    </xf>
    <xf numFmtId="0" fontId="0" fillId="0" borderId="958" xfId="0" applyBorder="1" applyAlignment="1">
      <alignment horizontal="center"/>
    </xf>
    <xf numFmtId="0" fontId="60" fillId="0" borderId="972" xfId="0" applyFont="1" applyBorder="1" applyAlignment="1">
      <alignment horizontal="left" vertical="center"/>
    </xf>
    <xf numFmtId="0" fontId="4" fillId="0" borderId="951" xfId="0" applyFont="1" applyBorder="1" applyAlignment="1">
      <alignment horizontal="left"/>
    </xf>
    <xf numFmtId="0" fontId="5" fillId="0" borderId="952" xfId="0" applyFont="1" applyBorder="1">
      <alignment horizontal="center" vertical="center"/>
    </xf>
    <xf numFmtId="0" fontId="0" fillId="0" borderId="968" xfId="0" applyBorder="1">
      <alignment horizontal="center" vertical="center"/>
    </xf>
    <xf numFmtId="167" fontId="10" fillId="0" borderId="958" xfId="0" applyNumberFormat="1" applyFont="1" applyBorder="1" applyAlignment="1">
      <alignment horizontal="center"/>
    </xf>
    <xf numFmtId="0" fontId="0" fillId="0" borderId="970" xfId="0" applyBorder="1">
      <alignment horizontal="center" vertical="center"/>
    </xf>
    <xf numFmtId="0" fontId="0" fillId="51" borderId="961" xfId="0" applyFill="1" applyBorder="1" applyAlignment="1">
      <alignment vertical="center"/>
    </xf>
    <xf numFmtId="0" fontId="0" fillId="0" borderId="973" xfId="0" applyBorder="1">
      <alignment horizontal="center" vertical="center"/>
    </xf>
    <xf numFmtId="0" fontId="0" fillId="0" borderId="974" xfId="0" applyBorder="1">
      <alignment horizontal="center" vertical="center"/>
    </xf>
    <xf numFmtId="0" fontId="5" fillId="0" borderId="974" xfId="0" applyFont="1" applyBorder="1" applyAlignment="1">
      <alignment horizontal="left"/>
    </xf>
    <xf numFmtId="0" fontId="0" fillId="0" borderId="975" xfId="0" applyBorder="1">
      <alignment horizontal="center" vertical="center"/>
    </xf>
    <xf numFmtId="0" fontId="10" fillId="0" borderId="897" xfId="0" applyFont="1" applyBorder="1">
      <alignment horizontal="center" vertical="center"/>
    </xf>
    <xf numFmtId="0" fontId="0" fillId="0" borderId="947" xfId="0" applyBorder="1">
      <alignment horizontal="center" vertical="center"/>
    </xf>
    <xf numFmtId="49" fontId="0" fillId="0" borderId="947" xfId="0" applyNumberFormat="1" applyBorder="1">
      <alignment horizontal="center" vertical="center"/>
    </xf>
    <xf numFmtId="0" fontId="0" fillId="0" borderId="976" xfId="0" applyBorder="1">
      <alignment horizontal="center" vertical="center"/>
    </xf>
    <xf numFmtId="0" fontId="0" fillId="0" borderId="977" xfId="0" applyBorder="1">
      <alignment horizontal="center" vertical="center"/>
    </xf>
    <xf numFmtId="0" fontId="10" fillId="0" borderId="978" xfId="0" applyFont="1" applyBorder="1">
      <alignment horizontal="center" vertical="center"/>
    </xf>
    <xf numFmtId="0" fontId="0" fillId="51" borderId="868" xfId="0" applyFill="1" applyBorder="1" applyAlignment="1">
      <alignment horizontal="left" vertical="center" wrapText="1"/>
    </xf>
    <xf numFmtId="0" fontId="0" fillId="0" borderId="868" xfId="0" applyBorder="1" applyAlignment="1">
      <alignment vertical="center"/>
    </xf>
    <xf numFmtId="0" fontId="0" fillId="0" borderId="874" xfId="0" applyBorder="1" applyAlignment="1">
      <alignment vertical="center"/>
    </xf>
    <xf numFmtId="0" fontId="0" fillId="51" borderId="868" xfId="0" applyFill="1" applyBorder="1" applyAlignment="1">
      <alignment horizontal="left" vertical="center"/>
    </xf>
    <xf numFmtId="0" fontId="5" fillId="0" borderId="979" xfId="0" applyFont="1" applyBorder="1" applyAlignment="1">
      <alignment horizontal="center"/>
    </xf>
    <xf numFmtId="0" fontId="5" fillId="0" borderId="955" xfId="0" applyFont="1" applyBorder="1" applyAlignment="1">
      <alignment horizontal="center"/>
    </xf>
    <xf numFmtId="0" fontId="5" fillId="0" borderId="956" xfId="0" applyFont="1" applyBorder="1" applyAlignment="1">
      <alignment horizontal="center"/>
    </xf>
    <xf numFmtId="0" fontId="4" fillId="0" borderId="952" xfId="0" applyFont="1" applyBorder="1" applyAlignment="1">
      <alignment horizontal="left"/>
    </xf>
    <xf numFmtId="0" fontId="14" fillId="94" borderId="960" xfId="0" applyFont="1" applyFill="1" applyBorder="1" applyAlignment="1">
      <alignment horizontal="center"/>
    </xf>
    <xf numFmtId="0" fontId="0" fillId="0" borderId="980" xfId="0" applyBorder="1" applyAlignment="1">
      <alignment vertical="center"/>
    </xf>
    <xf numFmtId="0" fontId="5" fillId="77" borderId="961" xfId="0" applyFont="1" applyFill="1" applyBorder="1">
      <alignment horizontal="center" vertical="center"/>
    </xf>
    <xf numFmtId="0" fontId="0" fillId="76" borderId="961" xfId="0" applyFill="1" applyBorder="1">
      <alignment horizontal="center" vertical="center"/>
    </xf>
    <xf numFmtId="0" fontId="0" fillId="0" borderId="961" xfId="0" applyBorder="1" applyAlignment="1">
      <alignment horizontal="left" vertical="center"/>
    </xf>
    <xf numFmtId="49" fontId="14" fillId="51" borderId="981" xfId="0" applyNumberFormat="1" applyFont="1" applyFill="1" applyBorder="1">
      <alignment horizontal="center" vertical="center"/>
    </xf>
    <xf numFmtId="0" fontId="0" fillId="68" borderId="981" xfId="0" applyFill="1" applyBorder="1">
      <alignment horizontal="center" vertical="center"/>
    </xf>
    <xf numFmtId="0" fontId="0" fillId="51" borderId="981" xfId="0" applyFill="1" applyBorder="1">
      <alignment horizontal="center" vertical="center"/>
    </xf>
    <xf numFmtId="0" fontId="0" fillId="75" borderId="982" xfId="56" applyFont="1" applyBorder="1" applyAlignment="1">
      <alignment horizontal="center" vertical="center"/>
    </xf>
    <xf numFmtId="0" fontId="0" fillId="0" borderId="960" xfId="0" applyBorder="1">
      <alignment horizontal="center" vertical="center"/>
    </xf>
    <xf numFmtId="0" fontId="5" fillId="0" borderId="960" xfId="0" applyFont="1" applyBorder="1" applyAlignment="1">
      <alignment horizontal="center"/>
    </xf>
    <xf numFmtId="0" fontId="0" fillId="0" borderId="961" xfId="0" applyBorder="1">
      <alignment horizontal="center" vertical="center"/>
    </xf>
    <xf numFmtId="0" fontId="5" fillId="0" borderId="961" xfId="0" applyFont="1" applyBorder="1" applyAlignment="1">
      <alignment horizontal="center"/>
    </xf>
    <xf numFmtId="0" fontId="0" fillId="0" borderId="983" xfId="0" applyBorder="1" applyAlignment="1">
      <alignment horizontal="left" vertical="center"/>
    </xf>
    <xf numFmtId="0" fontId="0" fillId="51" borderId="980" xfId="43" applyFont="1" applyFill="1" applyBorder="1">
      <alignment horizontal="center" vertical="center"/>
    </xf>
    <xf numFmtId="0" fontId="0" fillId="51" borderId="983" xfId="43" applyFont="1" applyFill="1" applyBorder="1">
      <alignment horizontal="center" vertical="center"/>
    </xf>
    <xf numFmtId="0" fontId="4" fillId="51" borderId="961" xfId="44" applyFont="1" applyFill="1" applyBorder="1">
      <alignment horizontal="center" vertical="center"/>
    </xf>
    <xf numFmtId="1" fontId="4" fillId="51" borderId="961" xfId="32" applyNumberFormat="1" applyFont="1" applyFill="1" applyBorder="1" applyAlignment="1">
      <alignment horizontal="center" vertical="center"/>
    </xf>
    <xf numFmtId="0" fontId="0" fillId="0" borderId="984" xfId="0" applyBorder="1" applyAlignment="1">
      <alignment horizontal="left" vertical="center"/>
    </xf>
    <xf numFmtId="0" fontId="4" fillId="51" borderId="961" xfId="0" applyFont="1" applyFill="1" applyBorder="1">
      <alignment horizontal="center" vertical="center"/>
    </xf>
    <xf numFmtId="0" fontId="0" fillId="0" borderId="961" xfId="53" applyFont="1" applyBorder="1">
      <alignment horizontal="center" vertical="center"/>
    </xf>
    <xf numFmtId="0" fontId="4" fillId="51" borderId="961" xfId="20" applyFont="1" applyFill="1" applyBorder="1" applyAlignment="1">
      <alignment horizontal="center" vertical="center"/>
    </xf>
    <xf numFmtId="1" fontId="4" fillId="51" borderId="961" xfId="44" applyNumberFormat="1" applyFont="1" applyFill="1" applyBorder="1">
      <alignment horizontal="center" vertical="center"/>
    </xf>
    <xf numFmtId="0" fontId="4" fillId="51" borderId="961" xfId="48" applyFont="1" applyFill="1" applyBorder="1">
      <alignment horizontal="center" vertical="center"/>
    </xf>
    <xf numFmtId="0" fontId="4" fillId="51" borderId="961" xfId="43" applyFont="1" applyFill="1" applyBorder="1">
      <alignment horizontal="center" vertical="center"/>
    </xf>
    <xf numFmtId="0" fontId="4" fillId="51" borderId="961" xfId="49" applyFont="1" applyFill="1" applyBorder="1">
      <alignment horizontal="center" vertical="center"/>
    </xf>
    <xf numFmtId="0" fontId="0" fillId="0" borderId="985" xfId="0" applyBorder="1" applyAlignment="1">
      <alignment horizontal="left" vertical="center"/>
    </xf>
    <xf numFmtId="1" fontId="0" fillId="51" borderId="962" xfId="0" applyNumberFormat="1" applyFill="1" applyBorder="1">
      <alignment horizontal="center" vertical="center"/>
    </xf>
    <xf numFmtId="1" fontId="4" fillId="51" borderId="962" xfId="44" applyNumberFormat="1" applyFont="1" applyFill="1" applyBorder="1">
      <alignment horizontal="center" vertical="center"/>
    </xf>
    <xf numFmtId="1" fontId="4" fillId="51" borderId="962" xfId="32" applyNumberFormat="1" applyFont="1" applyFill="1" applyBorder="1" applyAlignment="1">
      <alignment horizontal="center" vertical="center"/>
    </xf>
    <xf numFmtId="0" fontId="4" fillId="51" borderId="962" xfId="48" applyFont="1" applyFill="1" applyBorder="1">
      <alignment horizontal="center" vertical="center"/>
    </xf>
    <xf numFmtId="0" fontId="4" fillId="51" borderId="962" xfId="44" applyFont="1" applyFill="1" applyBorder="1">
      <alignment horizontal="center" vertical="center"/>
    </xf>
    <xf numFmtId="0" fontId="7" fillId="76" borderId="981" xfId="0" applyFont="1" applyFill="1" applyBorder="1">
      <alignment horizontal="center" vertical="center"/>
    </xf>
    <xf numFmtId="0" fontId="0" fillId="0" borderId="980" xfId="0" applyBorder="1" applyAlignment="1">
      <alignment horizontal="left" vertical="center"/>
    </xf>
    <xf numFmtId="0" fontId="0" fillId="0" borderId="986" xfId="0" applyBorder="1" applyAlignment="1">
      <alignment horizontal="left" vertical="center"/>
    </xf>
    <xf numFmtId="0" fontId="5" fillId="0" borderId="987" xfId="0" applyFont="1" applyBorder="1" applyAlignment="1">
      <alignment horizontal="left" vertical="center"/>
    </xf>
    <xf numFmtId="0" fontId="0" fillId="0" borderId="982" xfId="0" applyBorder="1" applyAlignment="1">
      <alignment horizontal="left"/>
    </xf>
    <xf numFmtId="0" fontId="5" fillId="0" borderId="988" xfId="0" applyFont="1" applyBorder="1" applyAlignment="1">
      <alignment vertical="center"/>
    </xf>
    <xf numFmtId="0" fontId="0" fillId="0" borderId="982" xfId="0" applyBorder="1">
      <alignment horizontal="center" vertical="center"/>
    </xf>
    <xf numFmtId="0" fontId="5" fillId="0" borderId="989" xfId="0" applyFont="1" applyBorder="1" applyAlignment="1">
      <alignment horizontal="left" vertical="center"/>
    </xf>
    <xf numFmtId="0" fontId="5" fillId="0" borderId="989" xfId="0" applyFont="1" applyBorder="1" applyAlignment="1">
      <alignment horizontal="left"/>
    </xf>
    <xf numFmtId="0" fontId="5" fillId="0" borderId="988" xfId="0" applyFont="1" applyBorder="1" applyAlignment="1">
      <alignment wrapText="1"/>
    </xf>
    <xf numFmtId="0" fontId="5" fillId="0" borderId="990" xfId="0" applyFont="1" applyBorder="1" applyAlignment="1">
      <alignment vertical="center"/>
    </xf>
    <xf numFmtId="0" fontId="0" fillId="0" borderId="990" xfId="0" applyBorder="1">
      <alignment horizontal="center" vertical="center"/>
    </xf>
    <xf numFmtId="49" fontId="0" fillId="51" borderId="980" xfId="0" applyNumberFormat="1" applyFill="1" applyBorder="1">
      <alignment horizontal="center" vertical="center"/>
    </xf>
    <xf numFmtId="0" fontId="0" fillId="51" borderId="980" xfId="0" applyFill="1" applyBorder="1">
      <alignment horizontal="center" vertical="center"/>
    </xf>
    <xf numFmtId="0" fontId="0" fillId="51" borderId="980" xfId="44" applyFont="1" applyFill="1" applyBorder="1">
      <alignment horizontal="center" vertical="center"/>
    </xf>
    <xf numFmtId="0" fontId="0" fillId="51" borderId="980" xfId="48" applyFont="1" applyFill="1" applyBorder="1">
      <alignment horizontal="center" vertical="center"/>
    </xf>
    <xf numFmtId="0" fontId="0" fillId="51" borderId="983" xfId="44" applyFont="1" applyFill="1" applyBorder="1">
      <alignment horizontal="center" vertical="center"/>
    </xf>
    <xf numFmtId="49" fontId="0" fillId="51" borderId="983" xfId="0" applyNumberFormat="1" applyFill="1" applyBorder="1">
      <alignment horizontal="center" vertical="center"/>
    </xf>
    <xf numFmtId="0" fontId="0" fillId="51" borderId="980" xfId="46" applyFont="1" applyFill="1" applyBorder="1">
      <alignment horizontal="center" vertical="center"/>
    </xf>
    <xf numFmtId="0" fontId="0" fillId="51" borderId="960" xfId="44" applyFont="1" applyFill="1" applyBorder="1">
      <alignment horizontal="center" vertical="center"/>
    </xf>
    <xf numFmtId="0" fontId="0" fillId="51" borderId="960" xfId="0" applyFill="1" applyBorder="1">
      <alignment horizontal="center" vertical="center"/>
    </xf>
    <xf numFmtId="0" fontId="0" fillId="51" borderId="991" xfId="0" applyFill="1" applyBorder="1" applyAlignment="1" applyProtection="1">
      <alignment horizontal="left" vertical="center"/>
      <protection locked="0"/>
    </xf>
    <xf numFmtId="0" fontId="0" fillId="0" borderId="992" xfId="51" applyFont="1" applyFill="1" applyBorder="1">
      <alignment horizontal="center" vertical="center"/>
    </xf>
    <xf numFmtId="0" fontId="5" fillId="0" borderId="987" xfId="0" applyFont="1" applyBorder="1" applyAlignment="1">
      <alignment horizontal="center"/>
    </xf>
    <xf numFmtId="0" fontId="0" fillId="0" borderId="993" xfId="0" applyBorder="1">
      <alignment horizontal="center" vertical="center"/>
    </xf>
    <xf numFmtId="0" fontId="5" fillId="0" borderId="993" xfId="0" applyFont="1" applyBorder="1" applyAlignment="1">
      <alignment horizontal="center"/>
    </xf>
    <xf numFmtId="0" fontId="5" fillId="0" borderId="994" xfId="0" applyFont="1" applyBorder="1" applyAlignment="1">
      <alignment horizontal="left"/>
    </xf>
    <xf numFmtId="0" fontId="7" fillId="0" borderId="993" xfId="0" applyFont="1" applyBorder="1" applyAlignment="1">
      <alignment horizontal="center"/>
    </xf>
    <xf numFmtId="0" fontId="0" fillId="0" borderId="994" xfId="0" applyBorder="1">
      <alignment horizontal="center" vertical="center"/>
    </xf>
    <xf numFmtId="0" fontId="0" fillId="0" borderId="993" xfId="0" applyBorder="1" applyAlignment="1">
      <alignment horizontal="center"/>
    </xf>
    <xf numFmtId="0" fontId="5" fillId="0" borderId="994" xfId="0" applyFont="1" applyBorder="1" applyAlignment="1">
      <alignment horizontal="center"/>
    </xf>
    <xf numFmtId="0" fontId="7" fillId="0" borderId="995" xfId="0" applyFont="1" applyBorder="1" applyAlignment="1">
      <alignment horizontal="center"/>
    </xf>
    <xf numFmtId="0" fontId="7" fillId="0" borderId="994" xfId="0" applyFont="1" applyBorder="1" applyAlignment="1">
      <alignment horizontal="center"/>
    </xf>
    <xf numFmtId="0" fontId="0" fillId="0" borderId="994" xfId="0" applyBorder="1" applyAlignment="1">
      <alignment horizontal="center"/>
    </xf>
    <xf numFmtId="0" fontId="0" fillId="0" borderId="995" xfId="0" applyBorder="1" applyAlignment="1">
      <alignment horizontal="left" vertical="center"/>
    </xf>
    <xf numFmtId="0" fontId="7" fillId="0" borderId="995" xfId="0" applyFont="1" applyBorder="1">
      <alignment horizontal="center" vertical="center"/>
    </xf>
    <xf numFmtId="0" fontId="7" fillId="0" borderId="994" xfId="0" applyFont="1" applyBorder="1">
      <alignment horizontal="center" vertical="center"/>
    </xf>
    <xf numFmtId="0" fontId="0" fillId="0" borderId="989" xfId="0" applyBorder="1" applyAlignment="1">
      <alignment horizontal="left" vertical="center"/>
    </xf>
    <xf numFmtId="0" fontId="7" fillId="0" borderId="982" xfId="0" applyFont="1" applyBorder="1">
      <alignment horizontal="center" vertical="center"/>
    </xf>
    <xf numFmtId="0" fontId="0" fillId="0" borderId="993" xfId="0" applyBorder="1" applyAlignment="1"/>
    <xf numFmtId="0" fontId="5" fillId="0" borderId="995" xfId="0" applyFont="1" applyBorder="1" applyAlignment="1">
      <alignment horizontal="left"/>
    </xf>
    <xf numFmtId="0" fontId="0" fillId="0" borderId="995" xfId="0" applyBorder="1" applyAlignment="1"/>
    <xf numFmtId="0" fontId="0" fillId="0" borderId="994" xfId="0" applyBorder="1" applyAlignment="1"/>
    <xf numFmtId="0" fontId="5" fillId="0" borderId="993" xfId="0" applyFont="1" applyBorder="1" applyAlignment="1">
      <alignment horizontal="left"/>
    </xf>
    <xf numFmtId="0" fontId="0" fillId="0" borderId="996" xfId="0" applyBorder="1" applyAlignment="1"/>
    <xf numFmtId="0" fontId="0" fillId="51" borderId="997" xfId="0" applyFill="1" applyBorder="1" applyAlignment="1">
      <alignment horizontal="left" vertical="center"/>
    </xf>
    <xf numFmtId="0" fontId="0" fillId="51" borderId="997" xfId="53" applyFont="1" applyFill="1" applyBorder="1">
      <alignment horizontal="center" vertical="center"/>
    </xf>
    <xf numFmtId="0" fontId="0" fillId="0" borderId="868" xfId="0" applyBorder="1" applyAlignment="1">
      <alignment horizontal="left" vertical="center"/>
    </xf>
    <xf numFmtId="0" fontId="0" fillId="51" borderId="992" xfId="0" applyFill="1" applyBorder="1">
      <alignment horizontal="center" vertical="center"/>
    </xf>
    <xf numFmtId="0" fontId="0" fillId="51" borderId="992" xfId="48" applyFont="1" applyFill="1" applyBorder="1">
      <alignment horizontal="center" vertical="center"/>
    </xf>
    <xf numFmtId="0" fontId="0" fillId="51" borderId="992" xfId="43" applyFont="1" applyFill="1" applyBorder="1">
      <alignment horizontal="center" vertical="center"/>
    </xf>
    <xf numFmtId="0" fontId="0" fillId="51" borderId="992" xfId="44" applyFont="1" applyFill="1" applyBorder="1">
      <alignment horizontal="center" vertical="center"/>
    </xf>
    <xf numFmtId="0" fontId="60" fillId="0" borderId="954" xfId="0" applyFont="1" applyBorder="1" applyAlignment="1">
      <alignment horizontal="left" vertical="center"/>
    </xf>
    <xf numFmtId="0" fontId="0" fillId="51" borderId="874" xfId="0" applyFill="1" applyBorder="1" applyAlignment="1">
      <alignment horizontal="left" vertical="center"/>
    </xf>
    <xf numFmtId="0" fontId="0" fillId="51" borderId="867" xfId="43" applyFont="1" applyFill="1" applyBorder="1">
      <alignment horizontal="center" vertical="center"/>
    </xf>
    <xf numFmtId="0" fontId="0" fillId="51" borderId="867" xfId="48" applyFont="1" applyFill="1" applyBorder="1">
      <alignment horizontal="center" vertical="center"/>
    </xf>
    <xf numFmtId="0" fontId="0" fillId="51" borderId="867" xfId="46" applyFont="1" applyFill="1" applyBorder="1">
      <alignment horizontal="center" vertical="center"/>
    </xf>
    <xf numFmtId="0" fontId="0" fillId="0" borderId="996" xfId="0" applyBorder="1">
      <alignment horizontal="center" vertical="center"/>
    </xf>
    <xf numFmtId="0" fontId="0" fillId="51" borderId="997" xfId="0" applyFill="1" applyBorder="1" applyAlignment="1">
      <alignment vertical="center"/>
    </xf>
    <xf numFmtId="0" fontId="0" fillId="51" borderId="997" xfId="32" applyFont="1" applyFill="1" applyBorder="1" applyAlignment="1">
      <alignment horizontal="center" vertical="center"/>
    </xf>
    <xf numFmtId="0" fontId="0" fillId="0" borderId="997" xfId="0" applyBorder="1" applyAlignment="1">
      <alignment vertical="center"/>
    </xf>
    <xf numFmtId="0" fontId="0" fillId="0" borderId="998" xfId="0" applyBorder="1" applyAlignment="1">
      <alignment horizontal="left" vertical="center"/>
    </xf>
    <xf numFmtId="0" fontId="0" fillId="51" borderId="999" xfId="43" applyFont="1" applyFill="1" applyBorder="1">
      <alignment horizontal="center" vertical="center"/>
    </xf>
    <xf numFmtId="0" fontId="0" fillId="51" borderId="999" xfId="32" applyFont="1" applyFill="1" applyBorder="1" applyAlignment="1">
      <alignment horizontal="center" vertical="center"/>
    </xf>
    <xf numFmtId="0" fontId="0" fillId="51" borderId="999" xfId="48" applyFont="1" applyFill="1" applyBorder="1">
      <alignment horizontal="center" vertical="center"/>
    </xf>
    <xf numFmtId="0" fontId="0" fillId="0" borderId="1000" xfId="0" applyBorder="1" applyAlignment="1">
      <alignment horizontal="left" vertical="center"/>
    </xf>
    <xf numFmtId="1" fontId="4" fillId="51" borderId="1001" xfId="32" applyNumberFormat="1" applyFont="1" applyFill="1" applyBorder="1" applyAlignment="1">
      <alignment horizontal="center" vertical="center"/>
    </xf>
    <xf numFmtId="1" fontId="0" fillId="51" borderId="1001" xfId="0" applyNumberFormat="1" applyFill="1" applyBorder="1">
      <alignment horizontal="center" vertical="center"/>
    </xf>
    <xf numFmtId="0" fontId="4" fillId="51" borderId="1001" xfId="44" applyFont="1" applyFill="1" applyBorder="1">
      <alignment horizontal="center" vertical="center"/>
    </xf>
    <xf numFmtId="0" fontId="0" fillId="51" borderId="1001" xfId="0" applyFill="1" applyBorder="1">
      <alignment horizontal="center" vertical="center"/>
    </xf>
    <xf numFmtId="0" fontId="4" fillId="51" borderId="1001" xfId="0" applyFont="1" applyFill="1" applyBorder="1">
      <alignment horizontal="center" vertical="center"/>
    </xf>
    <xf numFmtId="1" fontId="0" fillId="51" borderId="1001" xfId="32" applyNumberFormat="1" applyFont="1" applyFill="1" applyBorder="1" applyAlignment="1">
      <alignment horizontal="center" vertical="center"/>
    </xf>
    <xf numFmtId="0" fontId="0" fillId="0" borderId="1001" xfId="53" applyFont="1" applyBorder="1">
      <alignment horizontal="center" vertical="center"/>
    </xf>
    <xf numFmtId="0" fontId="4" fillId="51" borderId="1001" xfId="20" applyFont="1" applyFill="1" applyBorder="1" applyAlignment="1">
      <alignment horizontal="center" vertical="center"/>
    </xf>
    <xf numFmtId="0" fontId="4" fillId="51" borderId="1001" xfId="48" applyFont="1" applyFill="1" applyBorder="1">
      <alignment horizontal="center" vertical="center"/>
    </xf>
    <xf numFmtId="0" fontId="4" fillId="51" borderId="1001" xfId="43" applyFont="1" applyFill="1" applyBorder="1">
      <alignment horizontal="center" vertical="center"/>
    </xf>
    <xf numFmtId="49" fontId="0" fillId="51" borderId="1001" xfId="0" applyNumberFormat="1" applyFill="1" applyBorder="1">
      <alignment horizontal="center" vertical="center"/>
    </xf>
    <xf numFmtId="0" fontId="0" fillId="51" borderId="1001" xfId="53" applyFont="1" applyFill="1" applyBorder="1">
      <alignment horizontal="center" vertical="center"/>
    </xf>
    <xf numFmtId="1" fontId="4" fillId="51" borderId="1001" xfId="44" applyNumberFormat="1" applyFont="1" applyFill="1" applyBorder="1">
      <alignment horizontal="center" vertical="center"/>
    </xf>
    <xf numFmtId="0" fontId="4" fillId="51" borderId="1001" xfId="49" applyFont="1" applyFill="1" applyBorder="1">
      <alignment horizontal="center" vertical="center"/>
    </xf>
    <xf numFmtId="0" fontId="5" fillId="0" borderId="993" xfId="0" applyFont="1" applyBorder="1" applyAlignment="1">
      <alignment vertical="center"/>
    </xf>
    <xf numFmtId="0" fontId="5" fillId="0" borderId="993" xfId="0" applyFont="1" applyBorder="1" applyAlignment="1">
      <alignment wrapText="1"/>
    </xf>
    <xf numFmtId="0" fontId="5" fillId="0" borderId="995" xfId="0" applyFont="1" applyBorder="1" applyAlignment="1">
      <alignment vertical="center"/>
    </xf>
    <xf numFmtId="0" fontId="0" fillId="0" borderId="995" xfId="0" applyBorder="1">
      <alignment horizontal="center" vertical="center"/>
    </xf>
    <xf numFmtId="0" fontId="5" fillId="0" borderId="1002" xfId="0" applyFont="1" applyBorder="1" applyAlignment="1">
      <alignment horizontal="left" vertical="center"/>
    </xf>
    <xf numFmtId="0" fontId="0" fillId="0" borderId="1003" xfId="0" applyBorder="1">
      <alignment horizontal="center" vertical="center"/>
    </xf>
    <xf numFmtId="0" fontId="5" fillId="0" borderId="1004" xfId="0" applyFont="1" applyBorder="1" applyAlignment="1">
      <alignment vertical="center"/>
    </xf>
    <xf numFmtId="0" fontId="14" fillId="0" borderId="1005" xfId="0" applyFont="1" applyBorder="1">
      <alignment horizontal="center" vertical="center"/>
    </xf>
    <xf numFmtId="0" fontId="0" fillId="0" borderId="1005" xfId="0" applyBorder="1">
      <alignment horizontal="center" vertical="center"/>
    </xf>
    <xf numFmtId="0" fontId="0" fillId="0" borderId="1006" xfId="0" applyBorder="1">
      <alignment horizontal="center" vertical="center"/>
    </xf>
    <xf numFmtId="0" fontId="5" fillId="0" borderId="1007" xfId="0" applyFont="1" applyBorder="1" applyAlignment="1">
      <alignment horizontal="left" vertical="center"/>
    </xf>
    <xf numFmtId="0" fontId="14" fillId="0" borderId="1003" xfId="0" applyFont="1" applyBorder="1">
      <alignment horizontal="center" vertical="center"/>
    </xf>
    <xf numFmtId="0" fontId="5" fillId="0" borderId="1003" xfId="0" applyFont="1" applyBorder="1">
      <alignment horizontal="center" vertical="center"/>
    </xf>
    <xf numFmtId="0" fontId="5" fillId="0" borderId="1008" xfId="0" applyFont="1" applyBorder="1" applyAlignment="1">
      <alignment horizontal="left" vertical="center"/>
    </xf>
    <xf numFmtId="0" fontId="0" fillId="0" borderId="1004" xfId="0" applyBorder="1" applyAlignment="1">
      <alignment vertical="center"/>
    </xf>
    <xf numFmtId="0" fontId="5" fillId="0" borderId="1004" xfId="0" applyFont="1" applyBorder="1">
      <alignment horizontal="center" vertical="center"/>
    </xf>
    <xf numFmtId="0" fontId="0" fillId="0" borderId="1005" xfId="0" applyBorder="1" applyAlignment="1">
      <alignment horizontal="left" vertical="center"/>
    </xf>
    <xf numFmtId="0" fontId="5" fillId="0" borderId="1009" xfId="0" applyFont="1" applyBorder="1" applyAlignment="1">
      <alignment horizontal="left" vertical="center"/>
    </xf>
    <xf numFmtId="0" fontId="0" fillId="0" borderId="1010" xfId="0" applyBorder="1">
      <alignment horizontal="center" vertical="center"/>
    </xf>
    <xf numFmtId="0" fontId="0" fillId="0" borderId="1011" xfId="0" applyBorder="1" applyAlignment="1">
      <alignment vertical="center"/>
    </xf>
    <xf numFmtId="0" fontId="0" fillId="0" borderId="1012" xfId="0" applyBorder="1">
      <alignment horizontal="center" vertical="center"/>
    </xf>
    <xf numFmtId="0" fontId="5" fillId="0" borderId="1011" xfId="0" applyFont="1" applyBorder="1">
      <alignment horizontal="center" vertical="center"/>
    </xf>
    <xf numFmtId="0" fontId="0" fillId="0" borderId="1010" xfId="0" applyBorder="1" applyAlignment="1">
      <alignment horizontal="left" vertical="center"/>
    </xf>
    <xf numFmtId="0" fontId="14" fillId="0" borderId="1010" xfId="0" applyFont="1" applyBorder="1">
      <alignment horizontal="center" vertical="center"/>
    </xf>
    <xf numFmtId="0" fontId="5" fillId="0" borderId="1010" xfId="0" applyFont="1" applyBorder="1" applyAlignment="1">
      <alignment horizontal="left" vertical="center"/>
    </xf>
    <xf numFmtId="49" fontId="0" fillId="51" borderId="997" xfId="0" applyNumberFormat="1" applyFill="1" applyBorder="1">
      <alignment horizontal="center" vertical="center"/>
    </xf>
    <xf numFmtId="0" fontId="0" fillId="51" borderId="997" xfId="0" applyFill="1" applyBorder="1">
      <alignment horizontal="center" vertical="center"/>
    </xf>
    <xf numFmtId="0" fontId="0" fillId="51" borderId="1013" xfId="48" applyFont="1" applyFill="1" applyBorder="1">
      <alignment horizontal="center" vertical="center"/>
    </xf>
    <xf numFmtId="0" fontId="0" fillId="51" borderId="997" xfId="44" applyFont="1" applyFill="1" applyBorder="1">
      <alignment horizontal="center" vertical="center"/>
    </xf>
    <xf numFmtId="0" fontId="0" fillId="51" borderId="1001" xfId="20" applyFont="1" applyFill="1" applyBorder="1" applyAlignment="1">
      <alignment horizontal="center" vertical="center"/>
    </xf>
    <xf numFmtId="49" fontId="0" fillId="51" borderId="999" xfId="0" applyNumberFormat="1" applyFill="1" applyBorder="1">
      <alignment horizontal="center" vertical="center"/>
    </xf>
    <xf numFmtId="0" fontId="0" fillId="51" borderId="999" xfId="53" applyFont="1" applyFill="1" applyBorder="1">
      <alignment horizontal="center" vertical="center"/>
    </xf>
    <xf numFmtId="0" fontId="0" fillId="51" borderId="997" xfId="48" applyFont="1" applyFill="1" applyBorder="1">
      <alignment horizontal="center" vertical="center"/>
    </xf>
    <xf numFmtId="0" fontId="0" fillId="51" borderId="997" xfId="43" applyFont="1" applyFill="1" applyBorder="1">
      <alignment horizontal="center" vertical="center"/>
    </xf>
    <xf numFmtId="0" fontId="0" fillId="51" borderId="1001" xfId="46" applyFont="1" applyFill="1" applyBorder="1">
      <alignment horizontal="center" vertical="center"/>
    </xf>
    <xf numFmtId="0" fontId="0" fillId="51" borderId="1001" xfId="44" applyFont="1" applyFill="1" applyBorder="1">
      <alignment horizontal="center" vertical="center"/>
    </xf>
    <xf numFmtId="0" fontId="0" fillId="51" borderId="999" xfId="0" applyFill="1" applyBorder="1">
      <alignment horizontal="center" vertical="center"/>
    </xf>
    <xf numFmtId="0" fontId="0" fillId="51" borderId="999" xfId="44" applyFont="1" applyFill="1" applyBorder="1">
      <alignment horizontal="center" vertical="center"/>
    </xf>
    <xf numFmtId="0" fontId="0" fillId="51" borderId="997" xfId="46" applyFont="1" applyFill="1" applyBorder="1">
      <alignment horizontal="center" vertical="center"/>
    </xf>
    <xf numFmtId="0" fontId="0" fillId="51" borderId="1003" xfId="46" applyFont="1" applyFill="1" applyBorder="1">
      <alignment horizontal="center" vertical="center"/>
    </xf>
    <xf numFmtId="0" fontId="0" fillId="51" borderId="1003" xfId="44" applyFont="1" applyFill="1" applyBorder="1">
      <alignment horizontal="center" vertical="center"/>
    </xf>
    <xf numFmtId="0" fontId="0" fillId="51" borderId="1003" xfId="48" applyFont="1" applyFill="1" applyBorder="1">
      <alignment horizontal="center" vertical="center"/>
    </xf>
    <xf numFmtId="49" fontId="0" fillId="51" borderId="1003" xfId="0" applyNumberFormat="1" applyFill="1" applyBorder="1">
      <alignment horizontal="center" vertical="center"/>
    </xf>
    <xf numFmtId="0" fontId="0" fillId="0" borderId="965" xfId="0" applyBorder="1" applyAlignment="1">
      <alignment horizontal="left" vertical="center"/>
    </xf>
    <xf numFmtId="0" fontId="21" fillId="76" borderId="1014" xfId="0" applyFont="1" applyFill="1" applyBorder="1" applyAlignment="1">
      <alignment vertical="center"/>
    </xf>
    <xf numFmtId="0" fontId="0" fillId="0" borderId="1013" xfId="0" applyBorder="1" applyAlignment="1">
      <alignment horizontal="left" vertical="center"/>
    </xf>
    <xf numFmtId="0" fontId="0" fillId="0" borderId="999" xfId="0" applyBorder="1" applyAlignment="1">
      <alignment horizontal="left" vertical="center"/>
    </xf>
    <xf numFmtId="0" fontId="0" fillId="43" borderId="1004" xfId="0" applyFill="1" applyBorder="1" applyAlignment="1" applyProtection="1">
      <alignment horizontal="center"/>
      <protection locked="0"/>
    </xf>
    <xf numFmtId="20" fontId="0" fillId="0" borderId="1004" xfId="0" applyNumberFormat="1" applyBorder="1" applyAlignment="1">
      <alignment horizontal="left"/>
    </xf>
    <xf numFmtId="0" fontId="0" fillId="0" borderId="1005" xfId="0" applyBorder="1" applyAlignment="1">
      <alignment horizontal="left"/>
    </xf>
    <xf numFmtId="0" fontId="0" fillId="0" borderId="1004" xfId="0" applyBorder="1" applyAlignment="1">
      <alignment horizontal="left"/>
    </xf>
    <xf numFmtId="0" fontId="0" fillId="0" borderId="1015" xfId="0" applyBorder="1" applyAlignment="1">
      <alignment horizontal="left"/>
    </xf>
    <xf numFmtId="0" fontId="0" fillId="0" borderId="1007" xfId="0" applyBorder="1" applyAlignment="1">
      <alignment horizontal="left"/>
    </xf>
    <xf numFmtId="0" fontId="0" fillId="0" borderId="1003" xfId="0" applyBorder="1" applyAlignment="1">
      <alignment horizontal="left"/>
    </xf>
    <xf numFmtId="0" fontId="0" fillId="0" borderId="1004" xfId="0" applyBorder="1" applyAlignment="1">
      <alignment horizontal="left" vertical="center"/>
    </xf>
    <xf numFmtId="0" fontId="0" fillId="51" borderId="1016" xfId="0" applyFill="1" applyBorder="1" applyAlignment="1" applyProtection="1">
      <alignment horizontal="left" vertical="center"/>
      <protection locked="0"/>
    </xf>
    <xf numFmtId="0" fontId="0" fillId="51" borderId="1001" xfId="47" applyFont="1" applyFill="1" applyBorder="1">
      <alignment horizontal="center" vertical="center"/>
    </xf>
    <xf numFmtId="0" fontId="5" fillId="0" borderId="1017" xfId="0" applyFont="1" applyBorder="1" applyAlignment="1">
      <alignment horizontal="center"/>
    </xf>
    <xf numFmtId="0" fontId="0" fillId="0" borderId="997" xfId="0" applyBorder="1" applyAlignment="1">
      <alignment horizontal="left" vertical="center"/>
    </xf>
    <xf numFmtId="0" fontId="5" fillId="0" borderId="1004" xfId="0" applyFont="1" applyBorder="1" applyAlignment="1">
      <alignment horizontal="left"/>
    </xf>
    <xf numFmtId="0" fontId="0" fillId="0" borderId="1005" xfId="0" applyBorder="1" applyAlignment="1"/>
    <xf numFmtId="0" fontId="0" fillId="0" borderId="1006" xfId="0" applyBorder="1" applyAlignment="1">
      <alignment horizontal="left"/>
    </xf>
    <xf numFmtId="0" fontId="5" fillId="0" borderId="1005" xfId="0" applyFont="1" applyBorder="1" applyAlignment="1"/>
    <xf numFmtId="0" fontId="5" fillId="0" borderId="1006" xfId="0" applyFont="1" applyBorder="1" applyAlignment="1">
      <alignment horizontal="left"/>
    </xf>
    <xf numFmtId="0" fontId="0" fillId="0" borderId="1004" xfId="0" applyBorder="1" applyAlignment="1">
      <alignment horizontal="center"/>
    </xf>
    <xf numFmtId="0" fontId="0" fillId="0" borderId="1008" xfId="0" applyBorder="1" applyAlignment="1">
      <alignment horizontal="center"/>
    </xf>
    <xf numFmtId="0" fontId="5" fillId="0" borderId="1007" xfId="0" applyFont="1" applyBorder="1" applyAlignment="1">
      <alignment horizontal="left"/>
    </xf>
    <xf numFmtId="0" fontId="0" fillId="0" borderId="1003" xfId="0" applyBorder="1" applyAlignment="1"/>
    <xf numFmtId="0" fontId="10" fillId="0" borderId="1007" xfId="0" applyFont="1" applyBorder="1" applyAlignment="1">
      <alignment horizontal="center"/>
    </xf>
    <xf numFmtId="0" fontId="0" fillId="0" borderId="1009" xfId="0" applyBorder="1" applyAlignment="1">
      <alignment horizontal="center"/>
    </xf>
    <xf numFmtId="0" fontId="5" fillId="0" borderId="1011" xfId="0" applyFont="1" applyBorder="1" applyAlignment="1">
      <alignment horizontal="left"/>
    </xf>
    <xf numFmtId="0" fontId="0" fillId="0" borderId="1011" xfId="0" applyBorder="1" applyAlignment="1">
      <alignment horizontal="left" vertical="center"/>
    </xf>
    <xf numFmtId="0" fontId="0" fillId="0" borderId="1010" xfId="0" applyBorder="1" applyAlignment="1">
      <alignment horizontal="left"/>
    </xf>
    <xf numFmtId="0" fontId="0" fillId="0" borderId="1012" xfId="0" applyBorder="1" applyAlignment="1">
      <alignment horizontal="left" vertical="center"/>
    </xf>
    <xf numFmtId="0" fontId="14" fillId="68" borderId="1013" xfId="0" applyFont="1" applyFill="1" applyBorder="1" applyAlignment="1">
      <alignment horizontal="center"/>
    </xf>
    <xf numFmtId="0" fontId="0" fillId="51" borderId="1001" xfId="0" applyFill="1" applyBorder="1" applyAlignment="1">
      <alignment horizontal="left" vertical="center"/>
    </xf>
    <xf numFmtId="0" fontId="0" fillId="51" borderId="1001" xfId="51" applyFont="1" applyFill="1" applyBorder="1">
      <alignment horizontal="center" vertical="center"/>
    </xf>
    <xf numFmtId="0" fontId="0" fillId="51" borderId="999" xfId="0" applyFill="1" applyBorder="1" applyAlignment="1">
      <alignment horizontal="left" vertical="center"/>
    </xf>
    <xf numFmtId="0" fontId="0" fillId="51" borderId="999" xfId="47" applyFont="1" applyFill="1" applyBorder="1">
      <alignment horizontal="center" vertical="center"/>
    </xf>
    <xf numFmtId="0" fontId="0" fillId="0" borderId="1011" xfId="0" applyBorder="1" applyAlignment="1">
      <alignment horizontal="left"/>
    </xf>
    <xf numFmtId="0" fontId="0" fillId="0" borderId="1010" xfId="0" applyBorder="1" applyAlignment="1"/>
    <xf numFmtId="0" fontId="0" fillId="0" borderId="1012" xfId="0" applyBorder="1" applyAlignment="1">
      <alignment horizontal="left"/>
    </xf>
    <xf numFmtId="0" fontId="0" fillId="0" borderId="1011" xfId="0" applyBorder="1" applyAlignment="1">
      <alignment horizontal="center"/>
    </xf>
    <xf numFmtId="0" fontId="60" fillId="0" borderId="1007" xfId="0" applyFont="1" applyBorder="1" applyAlignment="1">
      <alignment horizontal="left" vertical="center"/>
    </xf>
    <xf numFmtId="0" fontId="4" fillId="0" borderId="1004" xfId="0" applyFont="1" applyBorder="1" applyAlignment="1">
      <alignment horizontal="left"/>
    </xf>
    <xf numFmtId="0" fontId="5" fillId="0" borderId="1005" xfId="0" applyFont="1" applyBorder="1">
      <alignment horizontal="center" vertical="center"/>
    </xf>
    <xf numFmtId="167" fontId="10" fillId="0" borderId="1011" xfId="0" applyNumberFormat="1" applyFont="1" applyBorder="1" applyAlignment="1">
      <alignment horizontal="center"/>
    </xf>
    <xf numFmtId="0" fontId="0" fillId="51" borderId="1001" xfId="0" applyFill="1" applyBorder="1" applyAlignment="1">
      <alignment vertical="center"/>
    </xf>
    <xf numFmtId="0" fontId="14" fillId="76" borderId="965" xfId="0" applyFont="1" applyFill="1" applyBorder="1" applyAlignment="1">
      <alignment horizontal="center"/>
    </xf>
    <xf numFmtId="0" fontId="0" fillId="51" borderId="983" xfId="0" applyFill="1" applyBorder="1">
      <alignment horizontal="center" vertical="center"/>
    </xf>
    <xf numFmtId="0" fontId="0" fillId="68" borderId="983" xfId="0" applyFill="1" applyBorder="1">
      <alignment horizontal="center" vertical="center"/>
    </xf>
    <xf numFmtId="0" fontId="5" fillId="0" borderId="1018" xfId="0" applyFont="1" applyBorder="1" applyAlignment="1">
      <alignment horizontal="center"/>
    </xf>
    <xf numFmtId="0" fontId="5" fillId="0" borderId="1008" xfId="0" applyFont="1" applyBorder="1" applyAlignment="1">
      <alignment horizontal="center"/>
    </xf>
    <xf numFmtId="0" fontId="4" fillId="0" borderId="1005" xfId="0" applyFont="1" applyBorder="1" applyAlignment="1">
      <alignment horizontal="left"/>
    </xf>
    <xf numFmtId="0" fontId="5" fillId="0" borderId="1009" xfId="0" applyFont="1" applyBorder="1" applyAlignment="1">
      <alignment horizontal="center"/>
    </xf>
    <xf numFmtId="0" fontId="14" fillId="76" borderId="1013" xfId="0" applyFont="1" applyFill="1" applyBorder="1" applyAlignment="1">
      <alignment horizontal="center"/>
    </xf>
    <xf numFmtId="0" fontId="5" fillId="77" borderId="1001" xfId="0" applyFont="1" applyFill="1" applyBorder="1">
      <alignment horizontal="center" vertical="center"/>
    </xf>
    <xf numFmtId="0" fontId="0" fillId="76" borderId="1001" xfId="0" applyFill="1" applyBorder="1">
      <alignment horizontal="center" vertical="center"/>
    </xf>
    <xf numFmtId="0" fontId="53" fillId="61" borderId="1004" xfId="0" applyFont="1" applyFill="1" applyBorder="1" applyAlignment="1">
      <alignment horizontal="center" wrapText="1"/>
    </xf>
    <xf numFmtId="0" fontId="20" fillId="61" borderId="868" xfId="0" applyFont="1" applyFill="1" applyBorder="1" applyAlignment="1">
      <alignment horizontal="center" wrapText="1"/>
    </xf>
    <xf numFmtId="0" fontId="20" fillId="61" borderId="868" xfId="0" applyFont="1" applyFill="1" applyBorder="1" applyAlignment="1">
      <alignment horizontal="left" wrapText="1"/>
    </xf>
    <xf numFmtId="0" fontId="20" fillId="62" borderId="1019" xfId="0" applyFont="1" applyFill="1" applyBorder="1">
      <alignment horizontal="center" vertical="center"/>
    </xf>
    <xf numFmtId="0" fontId="20" fillId="62" borderId="1019" xfId="0" applyFont="1" applyFill="1" applyBorder="1" applyAlignment="1">
      <alignment horizontal="center" vertical="center" wrapText="1"/>
    </xf>
    <xf numFmtId="171" fontId="20" fillId="0" borderId="868" xfId="0" applyNumberFormat="1" applyFont="1" applyBorder="1" applyAlignment="1">
      <alignment horizontal="left" wrapText="1"/>
    </xf>
    <xf numFmtId="171" fontId="24" fillId="0" borderId="868" xfId="0" applyNumberFormat="1" applyFont="1" applyBorder="1" applyAlignment="1">
      <alignment horizontal="left" wrapText="1"/>
    </xf>
    <xf numFmtId="0" fontId="23" fillId="0" borderId="1004" xfId="0" applyFont="1" applyBorder="1" applyAlignment="1">
      <alignment wrapText="1"/>
    </xf>
    <xf numFmtId="171" fontId="24" fillId="0" borderId="868" xfId="0" applyNumberFormat="1" applyFont="1" applyBorder="1" applyAlignment="1">
      <alignment horizontal="left"/>
    </xf>
    <xf numFmtId="171" fontId="24" fillId="0" borderId="965" xfId="0" applyNumberFormat="1" applyFont="1" applyBorder="1" applyAlignment="1">
      <alignment horizontal="left"/>
    </xf>
    <xf numFmtId="0" fontId="56" fillId="0" borderId="1004" xfId="0" applyFont="1" applyBorder="1" applyAlignment="1">
      <alignment wrapText="1"/>
    </xf>
    <xf numFmtId="171" fontId="24" fillId="0" borderId="947" xfId="0" applyNumberFormat="1" applyFont="1" applyBorder="1" applyAlignment="1">
      <alignment horizontal="left"/>
    </xf>
    <xf numFmtId="0" fontId="20" fillId="0" borderId="947" xfId="0" applyFont="1" applyBorder="1">
      <alignment horizontal="center" vertical="center"/>
    </xf>
    <xf numFmtId="0" fontId="20" fillId="39" borderId="1004" xfId="0" applyFont="1" applyFill="1" applyBorder="1" applyAlignment="1">
      <alignment wrapText="1"/>
    </xf>
    <xf numFmtId="171" fontId="24" fillId="39" borderId="868" xfId="0" applyNumberFormat="1" applyFont="1" applyFill="1" applyBorder="1" applyAlignment="1">
      <alignment horizontal="left" wrapText="1"/>
    </xf>
    <xf numFmtId="0" fontId="23" fillId="39" borderId="1004" xfId="0" applyFont="1" applyFill="1" applyBorder="1" applyAlignment="1">
      <alignment wrapText="1"/>
    </xf>
    <xf numFmtId="0" fontId="23" fillId="0" borderId="1004" xfId="0" applyFont="1" applyBorder="1" applyAlignment="1"/>
    <xf numFmtId="0" fontId="23" fillId="63" borderId="1004" xfId="0" applyFont="1" applyFill="1" applyBorder="1" applyAlignment="1"/>
    <xf numFmtId="171" fontId="24" fillId="63" borderId="868" xfId="0" applyNumberFormat="1" applyFont="1" applyFill="1" applyBorder="1" applyAlignment="1">
      <alignment horizontal="left" wrapText="1"/>
    </xf>
    <xf numFmtId="0" fontId="23" fillId="63" borderId="1004" xfId="0" applyFont="1" applyFill="1" applyBorder="1" applyAlignment="1">
      <alignment horizontal="left" vertical="center"/>
    </xf>
    <xf numFmtId="172" fontId="24" fillId="63" borderId="868" xfId="0" applyNumberFormat="1" applyFont="1" applyFill="1" applyBorder="1" applyAlignment="1">
      <alignment horizontal="left" wrapText="1"/>
    </xf>
    <xf numFmtId="0" fontId="23" fillId="63" borderId="1004" xfId="0" applyFont="1" applyFill="1" applyBorder="1" applyAlignment="1">
      <alignment horizontal="left" vertical="center" wrapText="1"/>
    </xf>
    <xf numFmtId="3" fontId="55" fillId="0" borderId="868" xfId="0" applyNumberFormat="1" applyFont="1" applyBorder="1">
      <alignment horizontal="center" vertical="center"/>
    </xf>
    <xf numFmtId="0" fontId="23" fillId="64" borderId="1004" xfId="0" applyFont="1" applyFill="1" applyBorder="1" applyAlignment="1">
      <alignment horizontal="left" vertical="center" wrapText="1"/>
    </xf>
    <xf numFmtId="172" fontId="24" fillId="64" borderId="868" xfId="0" applyNumberFormat="1" applyFont="1" applyFill="1" applyBorder="1" applyAlignment="1">
      <alignment horizontal="left" wrapText="1"/>
    </xf>
    <xf numFmtId="0" fontId="23" fillId="65" borderId="1004" xfId="0" applyFont="1" applyFill="1" applyBorder="1" applyAlignment="1">
      <alignment horizontal="left" vertical="center" wrapText="1"/>
    </xf>
    <xf numFmtId="172" fontId="24" fillId="64" borderId="965" xfId="0" applyNumberFormat="1" applyFont="1" applyFill="1" applyBorder="1" applyAlignment="1">
      <alignment horizontal="left" wrapText="1"/>
    </xf>
    <xf numFmtId="3" fontId="55" fillId="0" borderId="889" xfId="0" applyNumberFormat="1" applyFont="1" applyBorder="1">
      <alignment horizontal="center" vertical="center"/>
    </xf>
    <xf numFmtId="0" fontId="23" fillId="66" borderId="1004" xfId="0" applyFont="1" applyFill="1" applyBorder="1" applyAlignment="1">
      <alignment horizontal="left" vertical="center"/>
    </xf>
    <xf numFmtId="171" fontId="24" fillId="64" borderId="868" xfId="0" applyNumberFormat="1" applyFont="1" applyFill="1" applyBorder="1" applyAlignment="1">
      <alignment horizontal="left" wrapText="1"/>
    </xf>
    <xf numFmtId="0" fontId="23" fillId="0" borderId="1004" xfId="0" applyFont="1" applyBorder="1">
      <alignment horizontal="center" vertical="center"/>
    </xf>
    <xf numFmtId="0" fontId="23" fillId="38" borderId="1004" xfId="0" applyFont="1" applyFill="1" applyBorder="1" applyAlignment="1">
      <alignment horizontal="left" vertical="center"/>
    </xf>
    <xf numFmtId="171" fontId="24" fillId="38" borderId="1020" xfId="0" applyNumberFormat="1" applyFont="1" applyFill="1" applyBorder="1" applyAlignment="1">
      <alignment horizontal="left" wrapText="1"/>
    </xf>
    <xf numFmtId="0" fontId="20" fillId="38" borderId="1004" xfId="0" applyFont="1" applyFill="1" applyBorder="1" applyAlignment="1">
      <alignment horizontal="left" vertical="center"/>
    </xf>
    <xf numFmtId="171" fontId="24" fillId="38" borderId="868" xfId="0" applyNumberFormat="1" applyFont="1" applyFill="1" applyBorder="1" applyAlignment="1">
      <alignment horizontal="left" wrapText="1"/>
    </xf>
    <xf numFmtId="171" fontId="24" fillId="38" borderId="1021" xfId="0" applyNumberFormat="1" applyFont="1" applyFill="1" applyBorder="1" applyAlignment="1">
      <alignment horizontal="left" wrapText="1"/>
    </xf>
    <xf numFmtId="0" fontId="61" fillId="72" borderId="868" xfId="0" applyFont="1" applyFill="1" applyBorder="1" applyAlignment="1">
      <alignment horizontal="center" vertical="center" wrapText="1"/>
    </xf>
    <xf numFmtId="1" fontId="0" fillId="0" borderId="868" xfId="0" applyNumberFormat="1" applyBorder="1">
      <alignment horizontal="center" vertical="center"/>
    </xf>
    <xf numFmtId="0" fontId="61" fillId="72" borderId="868" xfId="0" applyFont="1" applyFill="1" applyBorder="1" applyAlignment="1">
      <alignment horizontal="left" vertical="center" wrapText="1"/>
    </xf>
    <xf numFmtId="3" fontId="0" fillId="0" borderId="868" xfId="0" applyNumberFormat="1" applyBorder="1">
      <alignment horizontal="center" vertical="center"/>
    </xf>
    <xf numFmtId="0" fontId="0" fillId="0" borderId="868" xfId="0" applyBorder="1" applyAlignment="1">
      <alignment horizontal="left" vertical="center" wrapText="1"/>
    </xf>
    <xf numFmtId="0" fontId="45" fillId="50" borderId="868" xfId="0" applyFont="1" applyFill="1" applyBorder="1" applyAlignment="1">
      <alignment horizontal="center"/>
    </xf>
    <xf numFmtId="0" fontId="45" fillId="50" borderId="965" xfId="0" applyFont="1" applyFill="1" applyBorder="1" applyAlignment="1">
      <alignment horizontal="center"/>
    </xf>
    <xf numFmtId="169" fontId="45" fillId="50" borderId="965" xfId="0" applyNumberFormat="1" applyFont="1" applyFill="1" applyBorder="1" applyAlignment="1">
      <alignment horizontal="center"/>
    </xf>
    <xf numFmtId="0" fontId="0" fillId="24" borderId="1013" xfId="0" applyFill="1" applyBorder="1" applyAlignment="1">
      <alignment horizontal="center"/>
    </xf>
    <xf numFmtId="0" fontId="21" fillId="0" borderId="868" xfId="0" applyFont="1" applyBorder="1">
      <alignment horizontal="center" vertical="center"/>
    </xf>
    <xf numFmtId="0" fontId="21" fillId="0" borderId="868" xfId="0" applyFont="1" applyBorder="1" applyAlignment="1">
      <alignment vertical="center"/>
    </xf>
    <xf numFmtId="49" fontId="45" fillId="0" borderId="868" xfId="0" applyNumberFormat="1" applyFont="1" applyBorder="1">
      <alignment horizontal="center" vertical="center"/>
    </xf>
    <xf numFmtId="0" fontId="21" fillId="0" borderId="997" xfId="0" applyFont="1" applyBorder="1" applyAlignment="1">
      <alignment horizontal="left" vertical="center"/>
    </xf>
    <xf numFmtId="0" fontId="45" fillId="0" borderId="868" xfId="0" applyFont="1" applyBorder="1" applyAlignment="1">
      <alignment vertical="center"/>
    </xf>
    <xf numFmtId="0" fontId="0" fillId="0" borderId="1022" xfId="0" applyBorder="1">
      <alignment horizontal="center" vertical="center"/>
    </xf>
    <xf numFmtId="0" fontId="45" fillId="0" borderId="868" xfId="0" applyFont="1" applyBorder="1">
      <alignment horizontal="center" vertical="center"/>
    </xf>
    <xf numFmtId="0" fontId="45" fillId="0" borderId="1023" xfId="0" applyFont="1" applyBorder="1">
      <alignment horizontal="center" vertical="center"/>
    </xf>
    <xf numFmtId="0" fontId="21" fillId="0" borderId="1001" xfId="0" applyFont="1" applyBorder="1" applyAlignment="1">
      <alignment horizontal="left" vertical="center"/>
    </xf>
    <xf numFmtId="0" fontId="0" fillId="0" borderId="1024" xfId="0" applyBorder="1">
      <alignment horizontal="center" vertical="center"/>
    </xf>
    <xf numFmtId="0" fontId="45" fillId="0" borderId="1025" xfId="0" applyFont="1" applyBorder="1">
      <alignment horizontal="center" vertical="center"/>
    </xf>
    <xf numFmtId="0" fontId="21" fillId="0" borderId="999" xfId="0" applyFont="1" applyBorder="1" applyAlignment="1">
      <alignment horizontal="left" vertical="center"/>
    </xf>
    <xf numFmtId="0" fontId="0" fillId="0" borderId="1026" xfId="0" applyBorder="1">
      <alignment horizontal="center" vertical="center"/>
    </xf>
    <xf numFmtId="0" fontId="21" fillId="51" borderId="868" xfId="0" applyFont="1" applyFill="1" applyBorder="1" applyAlignment="1">
      <alignment horizontal="left" vertical="center"/>
    </xf>
    <xf numFmtId="49" fontId="45" fillId="0" borderId="894" xfId="0" applyNumberFormat="1" applyFont="1" applyBorder="1">
      <alignment horizontal="center" vertical="center"/>
    </xf>
    <xf numFmtId="0" fontId="45" fillId="0" borderId="1027" xfId="0" applyFont="1" applyBorder="1" applyAlignment="1">
      <alignment vertical="center"/>
    </xf>
    <xf numFmtId="0" fontId="21" fillId="0" borderId="917" xfId="0" applyFont="1" applyBorder="1" applyAlignment="1">
      <alignment vertical="center"/>
    </xf>
    <xf numFmtId="49" fontId="45" fillId="0" borderId="1028" xfId="0" applyNumberFormat="1" applyFont="1" applyBorder="1">
      <alignment horizontal="center" vertical="center"/>
    </xf>
    <xf numFmtId="0" fontId="45" fillId="0" borderId="1001" xfId="0" applyFont="1" applyBorder="1" applyAlignment="1">
      <alignment vertical="center"/>
    </xf>
    <xf numFmtId="169" fontId="45" fillId="0" borderId="868" xfId="0" applyNumberFormat="1" applyFont="1" applyBorder="1">
      <alignment horizontal="center" vertical="center"/>
    </xf>
    <xf numFmtId="0" fontId="45" fillId="49" borderId="868" xfId="0" applyFont="1" applyFill="1" applyBorder="1" applyAlignment="1">
      <alignment vertical="center"/>
    </xf>
    <xf numFmtId="0" fontId="45" fillId="0" borderId="1029" xfId="0" applyFont="1" applyBorder="1">
      <alignment horizontal="center" vertical="center"/>
    </xf>
    <xf numFmtId="0" fontId="45" fillId="0" borderId="1030" xfId="0" applyFont="1" applyBorder="1" applyAlignment="1">
      <alignment vertical="center"/>
    </xf>
    <xf numFmtId="0" fontId="0" fillId="0" borderId="1031" xfId="0" applyBorder="1">
      <alignment horizontal="center" vertical="center"/>
    </xf>
    <xf numFmtId="17" fontId="45" fillId="0" borderId="1032" xfId="0" applyNumberFormat="1" applyFont="1" applyBorder="1">
      <alignment horizontal="center" vertical="center"/>
    </xf>
    <xf numFmtId="0" fontId="14" fillId="0" borderId="1032" xfId="0" applyFont="1" applyBorder="1" applyAlignment="1">
      <alignment vertical="center"/>
    </xf>
    <xf numFmtId="0" fontId="21" fillId="51" borderId="1033" xfId="0" applyFont="1" applyFill="1" applyBorder="1" applyAlignment="1">
      <alignment horizontal="left" vertical="center" wrapText="1"/>
    </xf>
    <xf numFmtId="49" fontId="45" fillId="0" borderId="1032" xfId="0" applyNumberFormat="1" applyFont="1" applyBorder="1" applyAlignment="1">
      <alignment horizontal="right"/>
    </xf>
    <xf numFmtId="0" fontId="45" fillId="0" borderId="867" xfId="0" applyFont="1" applyBorder="1">
      <alignment horizontal="center" vertical="center"/>
    </xf>
    <xf numFmtId="0" fontId="21" fillId="0" borderId="1032" xfId="0" applyFont="1" applyBorder="1" applyAlignment="1">
      <alignment horizontal="left" vertical="center"/>
    </xf>
    <xf numFmtId="0" fontId="21" fillId="0" borderId="1032" xfId="0" applyFont="1" applyBorder="1" applyAlignment="1"/>
    <xf numFmtId="0" fontId="21" fillId="0" borderId="1034" xfId="0" applyFont="1" applyBorder="1">
      <alignment horizontal="center" vertical="center"/>
    </xf>
    <xf numFmtId="0" fontId="14" fillId="0" borderId="1032" xfId="0" applyFont="1" applyBorder="1" applyAlignment="1">
      <alignment horizontal="left" vertical="center"/>
    </xf>
    <xf numFmtId="0" fontId="0" fillId="0" borderId="1032" xfId="0" applyBorder="1">
      <alignment horizontal="center" vertical="center"/>
    </xf>
    <xf numFmtId="0" fontId="21" fillId="0" borderId="1034" xfId="0" applyFont="1" applyBorder="1" applyAlignment="1"/>
    <xf numFmtId="0" fontId="21" fillId="0" borderId="867" xfId="0" applyFont="1" applyBorder="1" applyAlignment="1">
      <alignment vertical="center"/>
    </xf>
    <xf numFmtId="0" fontId="21" fillId="0" borderId="1035" xfId="0" applyFont="1" applyBorder="1">
      <alignment horizontal="center" vertical="center"/>
    </xf>
    <xf numFmtId="0" fontId="0" fillId="0" borderId="1032" xfId="0" applyBorder="1" applyAlignment="1">
      <alignment horizontal="left" vertical="center"/>
    </xf>
    <xf numFmtId="0" fontId="21" fillId="51" borderId="1034" xfId="0" applyFont="1" applyFill="1" applyBorder="1" applyAlignment="1">
      <alignment horizontal="left" vertical="center"/>
    </xf>
    <xf numFmtId="0" fontId="0" fillId="0" borderId="1032" xfId="0" applyBorder="1" applyAlignment="1">
      <alignment vertical="center"/>
    </xf>
    <xf numFmtId="0" fontId="21" fillId="0" borderId="1034" xfId="0" applyFont="1" applyBorder="1" applyAlignment="1">
      <alignment horizontal="left" vertical="center"/>
    </xf>
    <xf numFmtId="0" fontId="0" fillId="51" borderId="1027" xfId="0" applyFill="1" applyBorder="1" applyAlignment="1">
      <alignment horizontal="left" vertical="center"/>
    </xf>
    <xf numFmtId="0" fontId="45" fillId="0" borderId="1034" xfId="0" applyFont="1" applyBorder="1" applyAlignment="1">
      <alignment horizontal="center"/>
    </xf>
    <xf numFmtId="0" fontId="45" fillId="51" borderId="1032" xfId="0" applyFont="1" applyFill="1" applyBorder="1" applyAlignment="1">
      <alignment horizontal="left" vertical="center"/>
    </xf>
    <xf numFmtId="0" fontId="0" fillId="0" borderId="1034" xfId="0" applyBorder="1" applyAlignment="1">
      <alignment horizontal="left" vertical="center"/>
    </xf>
    <xf numFmtId="0" fontId="50" fillId="51" borderId="1032" xfId="0" applyFont="1" applyFill="1" applyBorder="1" applyAlignment="1">
      <alignment horizontal="center"/>
    </xf>
    <xf numFmtId="0" fontId="21" fillId="51" borderId="1032" xfId="0" applyFont="1" applyFill="1" applyBorder="1" applyAlignment="1">
      <alignment vertical="center"/>
    </xf>
    <xf numFmtId="0" fontId="49" fillId="51" borderId="1032" xfId="0" applyFont="1" applyFill="1" applyBorder="1" applyAlignment="1">
      <alignment wrapText="1"/>
    </xf>
    <xf numFmtId="0" fontId="46" fillId="51" borderId="1032" xfId="0" applyFont="1" applyFill="1" applyBorder="1" applyAlignment="1">
      <alignment wrapText="1"/>
    </xf>
    <xf numFmtId="0" fontId="45" fillId="0" borderId="1032" xfId="0" applyFont="1" applyBorder="1" applyAlignment="1">
      <alignment horizontal="left" vertical="center"/>
    </xf>
    <xf numFmtId="0" fontId="45" fillId="51" borderId="1032" xfId="0" applyFont="1" applyFill="1" applyBorder="1" applyAlignment="1">
      <alignment wrapText="1"/>
    </xf>
    <xf numFmtId="0" fontId="45" fillId="0" borderId="1032" xfId="0" applyFont="1" applyBorder="1" applyAlignment="1"/>
    <xf numFmtId="0" fontId="21" fillId="51" borderId="1032" xfId="0" applyFont="1" applyFill="1" applyBorder="1" applyAlignment="1" applyProtection="1">
      <alignment horizontal="left" vertical="center"/>
      <protection locked="0"/>
    </xf>
    <xf numFmtId="0" fontId="4" fillId="0" borderId="1032" xfId="0" applyFont="1" applyBorder="1" applyAlignment="1">
      <alignment horizontal="left" vertical="center"/>
    </xf>
    <xf numFmtId="0" fontId="45" fillId="0" borderId="1032" xfId="0" applyFont="1" applyBorder="1" applyAlignment="1">
      <alignment wrapText="1"/>
    </xf>
    <xf numFmtId="0" fontId="21" fillId="0" borderId="1032" xfId="0" applyFont="1" applyBorder="1" applyAlignment="1">
      <alignment horizontal="left"/>
    </xf>
    <xf numFmtId="0" fontId="14" fillId="51" borderId="1001" xfId="0" applyFont="1" applyFill="1" applyBorder="1" applyAlignment="1">
      <alignment vertical="center"/>
    </xf>
    <xf numFmtId="0" fontId="21" fillId="51" borderId="1001" xfId="0" applyFont="1" applyFill="1" applyBorder="1" applyAlignment="1">
      <alignment horizontal="left" vertical="center"/>
    </xf>
    <xf numFmtId="0" fontId="46" fillId="0" borderId="1032" xfId="0" applyFont="1" applyBorder="1" applyAlignment="1">
      <alignment vertical="top" wrapText="1"/>
    </xf>
    <xf numFmtId="0" fontId="21" fillId="0" borderId="1032" xfId="0" applyFont="1" applyBorder="1" applyAlignment="1">
      <alignment vertical="top" wrapText="1"/>
    </xf>
    <xf numFmtId="0" fontId="21" fillId="51" borderId="1032" xfId="0" applyFont="1" applyFill="1" applyBorder="1" applyAlignment="1">
      <alignment horizontal="left" vertical="center" wrapText="1"/>
    </xf>
    <xf numFmtId="0" fontId="21" fillId="51" borderId="867" xfId="0" applyFont="1" applyFill="1" applyBorder="1" applyAlignment="1">
      <alignment horizontal="left" vertical="center"/>
    </xf>
    <xf numFmtId="0" fontId="51" fillId="0" borderId="1032" xfId="0" applyFont="1" applyBorder="1" applyAlignment="1">
      <alignment vertical="top" wrapText="1"/>
    </xf>
    <xf numFmtId="0" fontId="5" fillId="0" borderId="1036" xfId="0" applyFont="1" applyBorder="1" applyAlignment="1">
      <alignment horizontal="center"/>
    </xf>
    <xf numFmtId="0" fontId="5" fillId="0" borderId="997" xfId="0" applyFont="1" applyBorder="1" applyAlignment="1">
      <alignment horizontal="center"/>
    </xf>
    <xf numFmtId="0" fontId="7" fillId="0" borderId="997" xfId="0" applyFont="1" applyBorder="1" applyAlignment="1">
      <alignment horizontal="center"/>
    </xf>
    <xf numFmtId="0" fontId="7" fillId="0" borderId="1022" xfId="0" applyFont="1" applyBorder="1" applyAlignment="1">
      <alignment horizontal="left"/>
    </xf>
    <xf numFmtId="0" fontId="5" fillId="0" borderId="983" xfId="0" applyFont="1" applyBorder="1" applyAlignment="1">
      <alignment horizontal="center"/>
    </xf>
    <xf numFmtId="0" fontId="7" fillId="0" borderId="983" xfId="0" applyFont="1" applyBorder="1" applyAlignment="1">
      <alignment horizontal="center"/>
    </xf>
    <xf numFmtId="0" fontId="7" fillId="0" borderId="989" xfId="0" applyFont="1" applyBorder="1" applyAlignment="1">
      <alignment horizontal="center"/>
    </xf>
    <xf numFmtId="0" fontId="0" fillId="0" borderId="989" xfId="0" applyBorder="1">
      <alignment horizontal="center" vertical="center"/>
    </xf>
    <xf numFmtId="0" fontId="7" fillId="0" borderId="1037" xfId="0" applyFont="1" applyBorder="1" applyAlignment="1">
      <alignment horizontal="left"/>
    </xf>
    <xf numFmtId="0" fontId="0" fillId="0" borderId="1018" xfId="0" applyBorder="1" applyAlignment="1">
      <alignment horizontal="center"/>
    </xf>
    <xf numFmtId="0" fontId="0" fillId="0" borderId="997" xfId="0" applyBorder="1" applyAlignment="1">
      <alignment horizontal="center"/>
    </xf>
    <xf numFmtId="0" fontId="8" fillId="0" borderId="997" xfId="0" applyFont="1" applyBorder="1" applyAlignment="1">
      <alignment horizontal="center"/>
    </xf>
    <xf numFmtId="0" fontId="8" fillId="0" borderId="1022" xfId="0" applyFont="1" applyBorder="1" applyAlignment="1">
      <alignment horizontal="left"/>
    </xf>
    <xf numFmtId="0" fontId="0" fillId="0" borderId="1038" xfId="0" applyBorder="1" applyAlignment="1">
      <alignment horizontal="center"/>
    </xf>
    <xf numFmtId="0" fontId="0" fillId="0" borderId="1039" xfId="0" applyBorder="1" applyAlignment="1">
      <alignment horizontal="center"/>
    </xf>
    <xf numFmtId="0" fontId="0" fillId="0" borderId="1036" xfId="0" applyBorder="1" applyAlignment="1">
      <alignment horizontal="center"/>
    </xf>
    <xf numFmtId="0" fontId="8" fillId="0" borderId="995" xfId="0" applyFont="1" applyBorder="1" applyAlignment="1">
      <alignment horizontal="center"/>
    </xf>
    <xf numFmtId="0" fontId="0" fillId="25" borderId="997" xfId="0" applyFill="1" applyBorder="1" applyAlignment="1">
      <alignment horizontal="center"/>
    </xf>
    <xf numFmtId="0" fontId="0" fillId="25" borderId="997" xfId="0" applyFill="1" applyBorder="1">
      <alignment horizontal="center" vertical="center"/>
    </xf>
    <xf numFmtId="0" fontId="0" fillId="0" borderId="997" xfId="0" applyBorder="1">
      <alignment horizontal="center" vertical="center"/>
    </xf>
    <xf numFmtId="0" fontId="0" fillId="0" borderId="1040" xfId="0" applyBorder="1" applyAlignment="1">
      <alignment horizontal="center"/>
    </xf>
    <xf numFmtId="0" fontId="0" fillId="0" borderId="1041" xfId="0" applyBorder="1" applyAlignment="1">
      <alignment horizontal="center"/>
    </xf>
    <xf numFmtId="0" fontId="0" fillId="0" borderId="1042" xfId="0" applyBorder="1">
      <alignment horizontal="center" vertical="center"/>
    </xf>
    <xf numFmtId="0" fontId="0" fillId="0" borderId="997" xfId="0" applyBorder="1" applyAlignment="1">
      <alignment horizontal="left"/>
    </xf>
    <xf numFmtId="0" fontId="0" fillId="0" borderId="1039" xfId="0" applyBorder="1">
      <alignment horizontal="center" vertical="center"/>
    </xf>
    <xf numFmtId="0" fontId="0" fillId="0" borderId="1041" xfId="0" applyBorder="1">
      <alignment horizontal="center" vertical="center"/>
    </xf>
    <xf numFmtId="0" fontId="0" fillId="0" borderId="1043" xfId="0" applyBorder="1" applyAlignment="1">
      <alignment horizontal="left"/>
    </xf>
    <xf numFmtId="0" fontId="0" fillId="0" borderId="1044" xfId="0" applyBorder="1" applyAlignment="1">
      <alignment horizontal="center"/>
    </xf>
    <xf numFmtId="0" fontId="0" fillId="0" borderId="1044" xfId="0" applyBorder="1">
      <alignment horizontal="center" vertical="center"/>
    </xf>
    <xf numFmtId="0" fontId="5" fillId="0" borderId="1045" xfId="0" applyFont="1" applyBorder="1" applyAlignment="1">
      <alignment horizontal="center"/>
    </xf>
    <xf numFmtId="0" fontId="5" fillId="0" borderId="431" xfId="0" applyFont="1" applyBorder="1" applyAlignment="1">
      <alignment horizontal="center"/>
    </xf>
    <xf numFmtId="0" fontId="7" fillId="0" borderId="1046" xfId="0" applyFont="1" applyBorder="1" applyAlignment="1">
      <alignment horizontal="center"/>
    </xf>
    <xf numFmtId="0" fontId="0" fillId="0" borderId="1046" xfId="0" applyBorder="1">
      <alignment horizontal="center" vertical="center"/>
    </xf>
    <xf numFmtId="0" fontId="7" fillId="0" borderId="1047" xfId="0" applyFont="1" applyBorder="1" applyAlignment="1">
      <alignment horizontal="left"/>
    </xf>
    <xf numFmtId="0" fontId="8" fillId="0" borderId="993" xfId="0" applyFont="1" applyBorder="1" applyAlignment="1">
      <alignment horizontal="left"/>
    </xf>
    <xf numFmtId="0" fontId="0" fillId="24" borderId="1044" xfId="0" applyFill="1" applyBorder="1" applyAlignment="1">
      <alignment horizontal="center"/>
    </xf>
    <xf numFmtId="0" fontId="8" fillId="0" borderId="1044" xfId="0" applyFont="1" applyBorder="1" applyAlignment="1">
      <alignment horizontal="left"/>
    </xf>
    <xf numFmtId="0" fontId="0" fillId="27" borderId="997" xfId="0" applyFill="1" applyBorder="1" applyAlignment="1">
      <alignment horizontal="center"/>
    </xf>
    <xf numFmtId="0" fontId="8" fillId="27" borderId="997" xfId="0" applyFont="1" applyFill="1" applyBorder="1" applyAlignment="1">
      <alignment horizontal="center"/>
    </xf>
    <xf numFmtId="0" fontId="8" fillId="27" borderId="995" xfId="0" applyFont="1" applyFill="1" applyBorder="1" applyAlignment="1">
      <alignment horizontal="center"/>
    </xf>
    <xf numFmtId="0" fontId="5" fillId="0" borderId="1040" xfId="0" applyFont="1" applyBorder="1" applyAlignment="1">
      <alignment horizontal="left"/>
    </xf>
    <xf numFmtId="0" fontId="0" fillId="27" borderId="1039" xfId="0" applyFill="1" applyBorder="1" applyAlignment="1">
      <alignment horizontal="center"/>
    </xf>
    <xf numFmtId="0" fontId="0" fillId="0" borderId="1036" xfId="0" applyBorder="1" applyAlignment="1">
      <alignment horizontal="left"/>
    </xf>
    <xf numFmtId="0" fontId="8" fillId="25" borderId="997" xfId="0" applyFont="1" applyFill="1" applyBorder="1" applyAlignment="1">
      <alignment horizontal="center"/>
    </xf>
    <xf numFmtId="0" fontId="8" fillId="25" borderId="995" xfId="0" applyFont="1" applyFill="1" applyBorder="1" applyAlignment="1">
      <alignment horizontal="center"/>
    </xf>
    <xf numFmtId="0" fontId="0" fillId="24" borderId="1036" xfId="0" applyFill="1" applyBorder="1" applyAlignment="1">
      <alignment horizontal="left"/>
    </xf>
    <xf numFmtId="0" fontId="0" fillId="29" borderId="997" xfId="0" applyFill="1" applyBorder="1" applyAlignment="1">
      <alignment horizontal="center"/>
    </xf>
    <xf numFmtId="0" fontId="0" fillId="30" borderId="997" xfId="0" applyFill="1" applyBorder="1" applyAlignment="1">
      <alignment horizontal="center"/>
    </xf>
    <xf numFmtId="0" fontId="0" fillId="30" borderId="1039" xfId="0" applyFill="1" applyBorder="1" applyAlignment="1">
      <alignment horizontal="center"/>
    </xf>
    <xf numFmtId="0" fontId="9" fillId="31" borderId="1039" xfId="0" applyFont="1" applyFill="1" applyBorder="1" applyAlignment="1">
      <alignment horizontal="center"/>
    </xf>
    <xf numFmtId="0" fontId="9" fillId="31" borderId="1043" xfId="0" applyFont="1" applyFill="1" applyBorder="1" applyAlignment="1">
      <alignment horizontal="center"/>
    </xf>
    <xf numFmtId="0" fontId="0" fillId="24" borderId="997" xfId="0" applyFill="1" applyBorder="1" applyAlignment="1">
      <alignment horizontal="center"/>
    </xf>
    <xf numFmtId="0" fontId="8" fillId="24" borderId="995" xfId="0" applyFont="1" applyFill="1" applyBorder="1" applyAlignment="1">
      <alignment horizontal="center"/>
    </xf>
    <xf numFmtId="0" fontId="0" fillId="28" borderId="997" xfId="0" applyFill="1" applyBorder="1" applyAlignment="1">
      <alignment horizontal="center"/>
    </xf>
    <xf numFmtId="0" fontId="0" fillId="28" borderId="1039" xfId="0" applyFill="1" applyBorder="1" applyAlignment="1">
      <alignment horizontal="center"/>
    </xf>
    <xf numFmtId="0" fontId="0" fillId="0" borderId="1048" xfId="0" applyBorder="1" applyAlignment="1">
      <alignment horizontal="left"/>
    </xf>
    <xf numFmtId="0" fontId="0" fillId="0" borderId="1048" xfId="0" applyBorder="1" applyAlignment="1">
      <alignment horizontal="center"/>
    </xf>
    <xf numFmtId="0" fontId="0" fillId="0" borderId="1049" xfId="0" applyBorder="1" applyAlignment="1">
      <alignment horizontal="center"/>
    </xf>
    <xf numFmtId="0" fontId="0" fillId="0" borderId="1050" xfId="0" applyBorder="1" applyAlignment="1">
      <alignment horizontal="center"/>
    </xf>
    <xf numFmtId="0" fontId="0" fillId="0" borderId="1051" xfId="0" applyBorder="1" applyAlignment="1">
      <alignment horizontal="center"/>
    </xf>
    <xf numFmtId="0" fontId="0" fillId="0" borderId="1052" xfId="0" applyBorder="1" applyAlignment="1">
      <alignment horizontal="center"/>
    </xf>
    <xf numFmtId="0" fontId="0" fillId="0" borderId="1053" xfId="0" applyBorder="1" applyAlignment="1">
      <alignment horizontal="center"/>
    </xf>
    <xf numFmtId="0" fontId="0" fillId="0" borderId="1053" xfId="0" applyBorder="1">
      <alignment horizontal="center" vertical="center"/>
    </xf>
    <xf numFmtId="0" fontId="0" fillId="0" borderId="1054" xfId="0" applyBorder="1">
      <alignment horizontal="center" vertical="center"/>
    </xf>
    <xf numFmtId="0" fontId="0" fillId="0" borderId="1055" xfId="0" applyBorder="1">
      <alignment horizontal="center" vertical="center"/>
    </xf>
    <xf numFmtId="0" fontId="0" fillId="0" borderId="987" xfId="0" applyBorder="1" applyAlignment="1">
      <alignment horizontal="center"/>
    </xf>
    <xf numFmtId="0" fontId="8" fillId="0" borderId="1039" xfId="0" applyFont="1" applyBorder="1" applyAlignment="1">
      <alignment horizontal="center"/>
    </xf>
    <xf numFmtId="0" fontId="0" fillId="24" borderId="1043" xfId="0" applyFill="1" applyBorder="1" applyAlignment="1">
      <alignment horizontal="center"/>
    </xf>
    <xf numFmtId="0" fontId="8" fillId="0" borderId="1042" xfId="0" applyFont="1" applyBorder="1" applyAlignment="1">
      <alignment horizontal="left"/>
    </xf>
    <xf numFmtId="0" fontId="0" fillId="24" borderId="1039" xfId="0" applyFill="1" applyBorder="1" applyAlignment="1">
      <alignment horizontal="center"/>
    </xf>
    <xf numFmtId="0" fontId="5" fillId="0" borderId="1056" xfId="0" applyFont="1" applyBorder="1" applyAlignment="1">
      <alignment horizontal="center"/>
    </xf>
    <xf numFmtId="0" fontId="7" fillId="0" borderId="1047" xfId="0" applyFont="1" applyBorder="1" applyAlignment="1">
      <alignment horizontal="center"/>
    </xf>
    <xf numFmtId="0" fontId="0" fillId="0" borderId="1057" xfId="0" applyBorder="1" applyAlignment="1">
      <alignment horizontal="center"/>
    </xf>
    <xf numFmtId="0" fontId="0" fillId="0" borderId="1050" xfId="0" applyBorder="1">
      <alignment horizontal="center" vertical="center"/>
    </xf>
    <xf numFmtId="0" fontId="0" fillId="0" borderId="1048" xfId="0" applyBorder="1">
      <alignment horizontal="center" vertical="center"/>
    </xf>
    <xf numFmtId="2" fontId="0" fillId="0" borderId="1050" xfId="0" applyNumberFormat="1" applyBorder="1">
      <alignment horizontal="center" vertical="center"/>
    </xf>
    <xf numFmtId="0" fontId="0" fillId="0" borderId="1051" xfId="0" applyBorder="1">
      <alignment horizontal="center" vertical="center"/>
    </xf>
    <xf numFmtId="0" fontId="0" fillId="0" borderId="1058" xfId="0" applyBorder="1">
      <alignment horizontal="center" vertical="center"/>
    </xf>
    <xf numFmtId="2" fontId="0" fillId="24" borderId="1059" xfId="0" applyNumberFormat="1" applyFill="1" applyBorder="1">
      <alignment horizontal="center" vertical="center"/>
    </xf>
    <xf numFmtId="2" fontId="0" fillId="0" borderId="1058" xfId="0" applyNumberFormat="1" applyBorder="1">
      <alignment horizontal="center" vertical="center"/>
    </xf>
    <xf numFmtId="0" fontId="5" fillId="0" borderId="1060" xfId="0" applyFont="1" applyBorder="1" applyAlignment="1">
      <alignment horizontal="center"/>
    </xf>
    <xf numFmtId="0" fontId="8" fillId="0" borderId="1050" xfId="0" applyFont="1" applyBorder="1" applyAlignment="1">
      <alignment horizontal="center"/>
    </xf>
    <xf numFmtId="0" fontId="7" fillId="0" borderId="1050" xfId="0" applyFont="1" applyBorder="1" applyAlignment="1">
      <alignment horizontal="center"/>
    </xf>
    <xf numFmtId="0" fontId="7" fillId="0" borderId="1061" xfId="0" applyFont="1" applyBorder="1" applyAlignment="1">
      <alignment horizontal="left"/>
    </xf>
    <xf numFmtId="0" fontId="9" fillId="32" borderId="1050" xfId="0" applyFont="1" applyFill="1" applyBorder="1" applyAlignment="1">
      <alignment horizontal="center"/>
    </xf>
    <xf numFmtId="2" fontId="0" fillId="0" borderId="1050" xfId="0" applyNumberFormat="1" applyBorder="1" applyAlignment="1">
      <alignment horizontal="center"/>
    </xf>
    <xf numFmtId="0" fontId="10" fillId="0" borderId="1018" xfId="0" applyFont="1" applyBorder="1" applyAlignment="1">
      <alignment horizontal="left"/>
    </xf>
    <xf numFmtId="0" fontId="8" fillId="0" borderId="997" xfId="0" applyFont="1" applyBorder="1">
      <alignment horizontal="center" vertical="center"/>
    </xf>
    <xf numFmtId="0" fontId="7" fillId="24" borderId="1062" xfId="0" applyFont="1" applyFill="1" applyBorder="1">
      <alignment horizontal="center" vertical="center"/>
    </xf>
    <xf numFmtId="0" fontId="0" fillId="0" borderId="987" xfId="0" applyBorder="1">
      <alignment horizontal="center" vertical="center"/>
    </xf>
    <xf numFmtId="0" fontId="0" fillId="0" borderId="1062" xfId="0" applyBorder="1">
      <alignment horizontal="center" vertical="center"/>
    </xf>
    <xf numFmtId="0" fontId="5" fillId="0" borderId="1050" xfId="0" applyFont="1" applyBorder="1">
      <alignment horizontal="center" vertical="center"/>
    </xf>
    <xf numFmtId="0" fontId="0" fillId="0" borderId="1060" xfId="0" applyBorder="1">
      <alignment horizontal="center" vertical="center"/>
    </xf>
    <xf numFmtId="0" fontId="0" fillId="0" borderId="1061" xfId="0" applyBorder="1" applyAlignment="1">
      <alignment horizontal="center"/>
    </xf>
    <xf numFmtId="0" fontId="8" fillId="0" borderId="993" xfId="0" applyFont="1" applyBorder="1">
      <alignment horizontal="center" vertical="center"/>
    </xf>
    <xf numFmtId="0" fontId="7" fillId="24" borderId="1022" xfId="0" applyFont="1" applyFill="1" applyBorder="1" applyAlignment="1">
      <alignment horizontal="left"/>
    </xf>
    <xf numFmtId="0" fontId="8" fillId="0" borderId="1039" xfId="0" applyFont="1" applyBorder="1">
      <alignment horizontal="center" vertical="center"/>
    </xf>
    <xf numFmtId="0" fontId="7" fillId="0" borderId="997" xfId="0" applyFont="1" applyBorder="1">
      <alignment horizontal="center" vertical="center"/>
    </xf>
    <xf numFmtId="0" fontId="7" fillId="0" borderId="1050" xfId="0" applyFont="1" applyBorder="1">
      <alignment horizontal="center" vertical="center"/>
    </xf>
    <xf numFmtId="0" fontId="10" fillId="0" borderId="1036" xfId="0" applyFont="1" applyBorder="1" applyAlignment="1">
      <alignment horizontal="left"/>
    </xf>
    <xf numFmtId="0" fontId="8" fillId="0" borderId="997" xfId="0" applyFont="1" applyBorder="1" applyAlignment="1">
      <alignment horizontal="left"/>
    </xf>
    <xf numFmtId="0" fontId="8" fillId="0" borderId="995" xfId="0" applyFont="1" applyBorder="1">
      <alignment horizontal="center" vertical="center"/>
    </xf>
    <xf numFmtId="0" fontId="0" fillId="0" borderId="1038" xfId="0" applyBorder="1">
      <alignment horizontal="center" vertical="center"/>
    </xf>
    <xf numFmtId="0" fontId="0" fillId="24" borderId="1042" xfId="0" applyFill="1" applyBorder="1" applyAlignment="1">
      <alignment horizontal="center"/>
    </xf>
    <xf numFmtId="0" fontId="8" fillId="0" borderId="1041" xfId="0" applyFont="1" applyBorder="1">
      <alignment horizontal="center" vertical="center"/>
    </xf>
    <xf numFmtId="0" fontId="8" fillId="0" borderId="1043" xfId="0" applyFont="1" applyBorder="1" applyAlignment="1">
      <alignment horizontal="left"/>
    </xf>
    <xf numFmtId="0" fontId="8" fillId="24" borderId="1044" xfId="0" applyFont="1" applyFill="1" applyBorder="1" applyAlignment="1">
      <alignment horizontal="center"/>
    </xf>
    <xf numFmtId="0" fontId="8" fillId="0" borderId="1044" xfId="0" applyFont="1" applyBorder="1" applyAlignment="1">
      <alignment horizontal="center"/>
    </xf>
    <xf numFmtId="2" fontId="0" fillId="24" borderId="1057" xfId="0" applyNumberFormat="1" applyFill="1" applyBorder="1">
      <alignment horizontal="center" vertical="center"/>
    </xf>
    <xf numFmtId="0" fontId="5" fillId="0" borderId="987" xfId="0" applyFont="1" applyBorder="1" applyAlignment="1">
      <alignment horizontal="left"/>
    </xf>
    <xf numFmtId="0" fontId="7" fillId="0" borderId="1063" xfId="0" applyFont="1" applyBorder="1" applyAlignment="1">
      <alignment horizontal="center"/>
    </xf>
    <xf numFmtId="0" fontId="0" fillId="0" borderId="983" xfId="0" applyBorder="1">
      <alignment horizontal="center" vertical="center"/>
    </xf>
    <xf numFmtId="0" fontId="7" fillId="0" borderId="1062" xfId="0" applyFont="1" applyBorder="1" applyAlignment="1">
      <alignment horizontal="left"/>
    </xf>
    <xf numFmtId="0" fontId="0" fillId="0" borderId="1045" xfId="0" applyBorder="1">
      <alignment horizontal="center" vertical="center"/>
    </xf>
    <xf numFmtId="0" fontId="0" fillId="0" borderId="1064" xfId="0" applyBorder="1">
      <alignment horizontal="center" vertical="center"/>
    </xf>
    <xf numFmtId="0" fontId="0" fillId="24" borderId="987" xfId="0" applyFill="1" applyBorder="1" applyAlignment="1">
      <alignment horizontal="left"/>
    </xf>
    <xf numFmtId="0" fontId="5" fillId="33" borderId="983" xfId="0" applyFont="1" applyFill="1" applyBorder="1" applyAlignment="1">
      <alignment horizontal="center"/>
    </xf>
    <xf numFmtId="0" fontId="11" fillId="34" borderId="983" xfId="0" applyFont="1" applyFill="1" applyBorder="1">
      <alignment horizontal="center" vertical="center"/>
    </xf>
    <xf numFmtId="0" fontId="0" fillId="24" borderId="1065" xfId="0" applyFill="1" applyBorder="1" applyAlignment="1">
      <alignment horizontal="left"/>
    </xf>
    <xf numFmtId="0" fontId="5" fillId="40" borderId="1048" xfId="0" applyFont="1" applyFill="1" applyBorder="1">
      <alignment horizontal="center" vertical="center"/>
    </xf>
    <xf numFmtId="0" fontId="0" fillId="40" borderId="1051" xfId="0" applyFill="1" applyBorder="1">
      <alignment horizontal="center" vertical="center"/>
    </xf>
    <xf numFmtId="0" fontId="8" fillId="40" borderId="1051" xfId="0" applyFont="1" applyFill="1" applyBorder="1">
      <alignment horizontal="center" vertical="center"/>
    </xf>
    <xf numFmtId="0" fontId="5" fillId="26" borderId="1048" xfId="0" applyFont="1" applyFill="1" applyBorder="1">
      <alignment horizontal="center" vertical="center"/>
    </xf>
    <xf numFmtId="0" fontId="0" fillId="26" borderId="1051" xfId="0" applyFill="1" applyBorder="1">
      <alignment horizontal="center" vertical="center"/>
    </xf>
    <xf numFmtId="0" fontId="0" fillId="0" borderId="987" xfId="0" applyBorder="1" applyAlignment="1">
      <alignment horizontal="left"/>
    </xf>
    <xf numFmtId="0" fontId="7" fillId="25" borderId="983" xfId="0" applyFont="1" applyFill="1" applyBorder="1" applyAlignment="1">
      <alignment horizontal="center"/>
    </xf>
    <xf numFmtId="0" fontId="11" fillId="35" borderId="983" xfId="0" applyFont="1" applyFill="1" applyBorder="1">
      <alignment horizontal="center" vertical="center"/>
    </xf>
    <xf numFmtId="0" fontId="11" fillId="35" borderId="1063" xfId="0" applyFont="1" applyFill="1" applyBorder="1">
      <alignment horizontal="center" vertical="center"/>
    </xf>
    <xf numFmtId="0" fontId="0" fillId="0" borderId="1065" xfId="0" applyBorder="1" applyAlignment="1">
      <alignment horizontal="left"/>
    </xf>
    <xf numFmtId="0" fontId="5" fillId="42" borderId="1048" xfId="0" applyFont="1" applyFill="1" applyBorder="1" applyAlignment="1">
      <alignment horizontal="left"/>
    </xf>
    <xf numFmtId="0" fontId="0" fillId="42" borderId="1051" xfId="0" applyFill="1" applyBorder="1">
      <alignment horizontal="center" vertical="center"/>
    </xf>
    <xf numFmtId="0" fontId="5" fillId="39" borderId="1048" xfId="0" applyFont="1" applyFill="1" applyBorder="1">
      <alignment horizontal="center" vertical="center"/>
    </xf>
    <xf numFmtId="0" fontId="0" fillId="39" borderId="1051" xfId="0" applyFill="1" applyBorder="1">
      <alignment horizontal="center" vertical="center"/>
    </xf>
    <xf numFmtId="0" fontId="7" fillId="36" borderId="983" xfId="0" applyFont="1" applyFill="1" applyBorder="1" applyAlignment="1">
      <alignment horizontal="center"/>
    </xf>
    <xf numFmtId="0" fontId="8" fillId="0" borderId="983" xfId="0" applyFont="1" applyBorder="1" applyAlignment="1">
      <alignment horizontal="center"/>
    </xf>
    <xf numFmtId="0" fontId="8" fillId="0" borderId="1063" xfId="0" applyFont="1" applyBorder="1" applyAlignment="1">
      <alignment horizontal="center"/>
    </xf>
    <xf numFmtId="0" fontId="0" fillId="0" borderId="983" xfId="0" applyBorder="1" applyAlignment="1">
      <alignment horizontal="center"/>
    </xf>
    <xf numFmtId="0" fontId="5" fillId="37" borderId="1048" xfId="0" applyFont="1" applyFill="1" applyBorder="1">
      <alignment horizontal="center" vertical="center"/>
    </xf>
    <xf numFmtId="0" fontId="0" fillId="37" borderId="1051" xfId="0" applyFill="1" applyBorder="1">
      <alignment horizontal="center" vertical="center"/>
    </xf>
    <xf numFmtId="0" fontId="0" fillId="0" borderId="1063" xfId="0" applyBorder="1">
      <alignment horizontal="center" vertical="center"/>
    </xf>
    <xf numFmtId="0" fontId="5" fillId="37" borderId="983" xfId="0" applyFont="1" applyFill="1" applyBorder="1" applyAlignment="1">
      <alignment horizontal="center"/>
    </xf>
    <xf numFmtId="0" fontId="5" fillId="37" borderId="1063" xfId="0" applyFont="1" applyFill="1" applyBorder="1" applyAlignment="1">
      <alignment horizontal="center"/>
    </xf>
    <xf numFmtId="0" fontId="5" fillId="0" borderId="1065" xfId="0" applyFont="1" applyBorder="1" applyAlignment="1">
      <alignment horizontal="left"/>
    </xf>
    <xf numFmtId="0" fontId="5" fillId="38" borderId="983" xfId="0" applyFont="1" applyFill="1" applyBorder="1" applyAlignment="1">
      <alignment horizontal="center"/>
    </xf>
    <xf numFmtId="0" fontId="5" fillId="41" borderId="1007" xfId="0" applyFont="1" applyFill="1" applyBorder="1" applyAlignment="1">
      <alignment horizontal="left"/>
    </xf>
    <xf numFmtId="0" fontId="5" fillId="24" borderId="983" xfId="0" applyFont="1" applyFill="1" applyBorder="1" applyAlignment="1">
      <alignment horizontal="center"/>
    </xf>
    <xf numFmtId="0" fontId="5" fillId="24" borderId="1007" xfId="0" applyFont="1" applyFill="1" applyBorder="1">
      <alignment horizontal="center" vertical="center"/>
    </xf>
    <xf numFmtId="0" fontId="11" fillId="31" borderId="1007" xfId="0" applyFont="1" applyFill="1" applyBorder="1">
      <alignment horizontal="center" vertical="center"/>
    </xf>
    <xf numFmtId="0" fontId="5" fillId="38" borderId="1048" xfId="0" applyFont="1" applyFill="1" applyBorder="1">
      <alignment horizontal="center" vertical="center"/>
    </xf>
    <xf numFmtId="0" fontId="0" fillId="0" borderId="1013" xfId="0" applyBorder="1" applyAlignment="1">
      <alignment horizontal="center"/>
    </xf>
    <xf numFmtId="0" fontId="5" fillId="25" borderId="1048" xfId="0" applyFont="1" applyFill="1" applyBorder="1">
      <alignment horizontal="center" vertical="center"/>
    </xf>
    <xf numFmtId="0" fontId="5" fillId="36" borderId="1048" xfId="0" applyFont="1" applyFill="1" applyBorder="1">
      <alignment horizontal="center" vertical="center"/>
    </xf>
    <xf numFmtId="0" fontId="5" fillId="33" borderId="1048" xfId="0" applyFont="1" applyFill="1" applyBorder="1">
      <alignment horizontal="center" vertical="center"/>
    </xf>
    <xf numFmtId="0" fontId="7" fillId="39" borderId="983" xfId="0" applyFont="1" applyFill="1" applyBorder="1" applyAlignment="1">
      <alignment horizontal="center"/>
    </xf>
    <xf numFmtId="0" fontId="0" fillId="0" borderId="983" xfId="0" applyBorder="1" applyAlignment="1">
      <alignment horizontal="left"/>
    </xf>
    <xf numFmtId="0" fontId="5" fillId="35" borderId="1048" xfId="0" applyFont="1" applyFill="1" applyBorder="1">
      <alignment horizontal="center" vertical="center"/>
    </xf>
    <xf numFmtId="0" fontId="5" fillId="40" borderId="983" xfId="0" applyFont="1" applyFill="1" applyBorder="1" applyAlignment="1">
      <alignment horizontal="center"/>
    </xf>
    <xf numFmtId="0" fontId="5" fillId="0" borderId="1063" xfId="0" applyFont="1" applyBorder="1" applyAlignment="1">
      <alignment horizontal="center"/>
    </xf>
    <xf numFmtId="0" fontId="5" fillId="41" borderId="1063" xfId="0" applyFont="1" applyFill="1" applyBorder="1" applyAlignment="1">
      <alignment horizontal="center"/>
    </xf>
    <xf numFmtId="0" fontId="0" fillId="0" borderId="1037" xfId="0" applyBorder="1">
      <alignment horizontal="center" vertical="center"/>
    </xf>
    <xf numFmtId="0" fontId="5" fillId="34" borderId="1048" xfId="0" applyFont="1" applyFill="1" applyBorder="1">
      <alignment horizontal="center" vertical="center"/>
    </xf>
    <xf numFmtId="0" fontId="5" fillId="42" borderId="1063" xfId="0" applyFont="1" applyFill="1" applyBorder="1" applyAlignment="1">
      <alignment horizontal="center"/>
    </xf>
    <xf numFmtId="0" fontId="5" fillId="42" borderId="983" xfId="0" applyFont="1" applyFill="1" applyBorder="1" applyAlignment="1">
      <alignment horizontal="center"/>
    </xf>
    <xf numFmtId="0" fontId="0" fillId="0" borderId="1037" xfId="0" applyBorder="1" applyAlignment="1">
      <alignment horizontal="center"/>
    </xf>
    <xf numFmtId="0" fontId="8" fillId="0" borderId="982" xfId="0" applyFont="1" applyBorder="1" applyAlignment="1">
      <alignment horizontal="center"/>
    </xf>
    <xf numFmtId="0" fontId="8" fillId="0" borderId="989" xfId="0" applyFont="1" applyBorder="1" applyAlignment="1">
      <alignment horizontal="center"/>
    </xf>
    <xf numFmtId="0" fontId="5" fillId="0" borderId="982" xfId="0" applyFont="1" applyBorder="1" applyAlignment="1">
      <alignment horizontal="center"/>
    </xf>
    <xf numFmtId="0" fontId="5" fillId="0" borderId="989" xfId="0" applyFont="1" applyBorder="1" applyAlignment="1">
      <alignment horizontal="center"/>
    </xf>
    <xf numFmtId="0" fontId="5" fillId="0" borderId="997" xfId="0" applyFont="1" applyBorder="1" applyAlignment="1">
      <alignment horizontal="left"/>
    </xf>
    <xf numFmtId="0" fontId="5" fillId="0" borderId="1066" xfId="0" applyFont="1" applyBorder="1" applyAlignment="1">
      <alignment horizontal="center"/>
    </xf>
    <xf numFmtId="0" fontId="8" fillId="0" borderId="1013" xfId="0" applyFont="1" applyBorder="1" applyAlignment="1">
      <alignment horizontal="center"/>
    </xf>
    <xf numFmtId="0" fontId="7" fillId="0" borderId="1013" xfId="0" applyFont="1" applyBorder="1" applyAlignment="1">
      <alignment horizontal="center"/>
    </xf>
    <xf numFmtId="0" fontId="8" fillId="0" borderId="1026" xfId="0" applyFont="1" applyBorder="1" applyAlignment="1">
      <alignment horizontal="left"/>
    </xf>
    <xf numFmtId="165" fontId="8" fillId="0" borderId="997" xfId="0" applyNumberFormat="1" applyFont="1" applyBorder="1" applyAlignment="1">
      <alignment horizontal="center"/>
    </xf>
    <xf numFmtId="0" fontId="5" fillId="0" borderId="1038" xfId="0" applyFont="1" applyBorder="1" applyAlignment="1">
      <alignment horizontal="center"/>
    </xf>
    <xf numFmtId="0" fontId="5" fillId="0" borderId="1038" xfId="0" applyFont="1" applyBorder="1" applyAlignment="1">
      <alignment horizontal="left"/>
    </xf>
    <xf numFmtId="0" fontId="5" fillId="0" borderId="1067" xfId="0" applyFont="1" applyBorder="1" applyAlignment="1">
      <alignment horizontal="left"/>
    </xf>
    <xf numFmtId="0" fontId="0" fillId="0" borderId="989" xfId="0" applyBorder="1" applyAlignment="1">
      <alignment horizontal="center"/>
    </xf>
    <xf numFmtId="0" fontId="8" fillId="0" borderId="1037" xfId="0" applyFont="1" applyBorder="1" applyAlignment="1">
      <alignment horizontal="left"/>
    </xf>
    <xf numFmtId="0" fontId="8" fillId="0" borderId="987" xfId="0" applyFont="1" applyBorder="1" applyAlignment="1">
      <alignment horizontal="left"/>
    </xf>
    <xf numFmtId="0" fontId="0" fillId="0" borderId="1066" xfId="0" applyBorder="1">
      <alignment horizontal="center" vertical="center"/>
    </xf>
    <xf numFmtId="0" fontId="0" fillId="0" borderId="1026" xfId="0" applyBorder="1" applyAlignment="1">
      <alignment horizontal="center"/>
    </xf>
    <xf numFmtId="0" fontId="8" fillId="0" borderId="1036" xfId="0" applyFont="1" applyBorder="1" applyAlignment="1">
      <alignment horizontal="left"/>
    </xf>
    <xf numFmtId="0" fontId="8" fillId="40" borderId="1039" xfId="0" applyFont="1" applyFill="1" applyBorder="1" applyAlignment="1">
      <alignment horizontal="center"/>
    </xf>
    <xf numFmtId="0" fontId="8" fillId="24" borderId="987" xfId="0" applyFont="1" applyFill="1" applyBorder="1" applyAlignment="1">
      <alignment horizontal="left"/>
    </xf>
    <xf numFmtId="0" fontId="8" fillId="24" borderId="997" xfId="0" applyFont="1" applyFill="1" applyBorder="1" applyAlignment="1">
      <alignment horizontal="center"/>
    </xf>
    <xf numFmtId="0" fontId="8" fillId="24" borderId="993" xfId="0" applyFont="1" applyFill="1" applyBorder="1">
      <alignment horizontal="center" vertical="center"/>
    </xf>
    <xf numFmtId="0" fontId="8" fillId="24" borderId="1022" xfId="0" applyFont="1" applyFill="1" applyBorder="1" applyAlignment="1">
      <alignment horizontal="left"/>
    </xf>
    <xf numFmtId="0" fontId="8" fillId="24" borderId="1039" xfId="0" applyFont="1" applyFill="1" applyBorder="1" applyAlignment="1">
      <alignment horizontal="center"/>
    </xf>
    <xf numFmtId="0" fontId="7" fillId="24" borderId="997" xfId="0" applyFont="1" applyFill="1" applyBorder="1" applyAlignment="1">
      <alignment horizontal="center"/>
    </xf>
    <xf numFmtId="0" fontId="0" fillId="0" borderId="1036" xfId="0" applyBorder="1">
      <alignment horizontal="center" vertical="center"/>
    </xf>
    <xf numFmtId="0" fontId="0" fillId="0" borderId="1018" xfId="0" applyBorder="1">
      <alignment horizontal="center" vertical="center"/>
    </xf>
    <xf numFmtId="2" fontId="0" fillId="0" borderId="1022" xfId="0" applyNumberFormat="1" applyBorder="1">
      <alignment horizontal="center" vertical="center"/>
    </xf>
    <xf numFmtId="0" fontId="0" fillId="0" borderId="1049" xfId="0" applyBorder="1">
      <alignment horizontal="center" vertical="center"/>
    </xf>
    <xf numFmtId="2" fontId="0" fillId="0" borderId="1061" xfId="0" applyNumberFormat="1" applyBorder="1">
      <alignment horizontal="center" vertical="center"/>
    </xf>
    <xf numFmtId="0" fontId="0" fillId="0" borderId="1004" xfId="0" applyBorder="1">
      <alignment horizontal="center" vertical="center"/>
    </xf>
    <xf numFmtId="0" fontId="0" fillId="0" borderId="1040" xfId="0" applyBorder="1">
      <alignment horizontal="center" vertical="center"/>
    </xf>
    <xf numFmtId="2" fontId="0" fillId="24" borderId="1042" xfId="0" applyNumberFormat="1" applyFill="1" applyBorder="1">
      <alignment horizontal="center" vertical="center"/>
    </xf>
    <xf numFmtId="0" fontId="0" fillId="0" borderId="1018" xfId="0" applyBorder="1" applyAlignment="1" applyProtection="1">
      <alignment horizontal="center"/>
      <protection locked="0"/>
    </xf>
    <xf numFmtId="0" fontId="13" fillId="0" borderId="1038" xfId="0" applyFont="1" applyBorder="1" applyAlignment="1">
      <alignment horizontal="left"/>
    </xf>
    <xf numFmtId="0" fontId="0" fillId="0" borderId="1038" xfId="0" applyBorder="1" applyAlignment="1">
      <alignment horizontal="left"/>
    </xf>
    <xf numFmtId="0" fontId="0" fillId="0" borderId="1001" xfId="0" applyBorder="1" applyAlignment="1" applyProtection="1">
      <alignment horizontal="center"/>
      <protection locked="0"/>
    </xf>
    <xf numFmtId="0" fontId="5" fillId="0" borderId="1039" xfId="0" applyFont="1" applyBorder="1" applyAlignment="1">
      <alignment horizontal="center"/>
    </xf>
    <xf numFmtId="0" fontId="7" fillId="0" borderId="1039" xfId="0" applyFont="1" applyBorder="1" applyAlignment="1">
      <alignment horizontal="center"/>
    </xf>
    <xf numFmtId="0" fontId="7" fillId="0" borderId="1042" xfId="0" applyFont="1" applyBorder="1" applyAlignment="1">
      <alignment horizontal="left"/>
    </xf>
    <xf numFmtId="0" fontId="0" fillId="0" borderId="1001" xfId="0" applyBorder="1" applyAlignment="1">
      <alignment horizontal="center"/>
    </xf>
    <xf numFmtId="2" fontId="0" fillId="0" borderId="1001" xfId="0" applyNumberFormat="1" applyBorder="1" applyAlignment="1">
      <alignment horizontal="center"/>
    </xf>
    <xf numFmtId="0" fontId="0" fillId="0" borderId="1060" xfId="0" applyBorder="1" applyAlignment="1">
      <alignment horizontal="center"/>
    </xf>
    <xf numFmtId="0" fontId="8" fillId="0" borderId="1001" xfId="0" applyFont="1" applyBorder="1" applyAlignment="1">
      <alignment horizontal="center"/>
    </xf>
    <xf numFmtId="0" fontId="8" fillId="0" borderId="1061" xfId="0" applyFont="1" applyBorder="1" applyAlignment="1">
      <alignment horizontal="left"/>
    </xf>
    <xf numFmtId="0" fontId="5" fillId="0" borderId="1066" xfId="0" applyFont="1" applyBorder="1">
      <alignment horizontal="center" vertical="center"/>
    </xf>
    <xf numFmtId="0" fontId="7" fillId="24" borderId="1026" xfId="0" applyFont="1" applyFill="1" applyBorder="1" applyAlignment="1">
      <alignment horizontal="left"/>
    </xf>
    <xf numFmtId="0" fontId="5" fillId="0" borderId="1060" xfId="0" applyFont="1" applyBorder="1">
      <alignment horizontal="center" vertical="center"/>
    </xf>
    <xf numFmtId="0" fontId="8" fillId="0" borderId="1001" xfId="0" applyFont="1" applyBorder="1">
      <alignment horizontal="center" vertical="center"/>
    </xf>
    <xf numFmtId="0" fontId="7" fillId="24" borderId="1061" xfId="0" applyFont="1" applyFill="1" applyBorder="1" applyAlignment="1">
      <alignment horizontal="left"/>
    </xf>
    <xf numFmtId="0" fontId="8" fillId="0" borderId="1013" xfId="0" applyFont="1" applyBorder="1">
      <alignment horizontal="center" vertical="center"/>
    </xf>
    <xf numFmtId="0" fontId="7" fillId="0" borderId="1060" xfId="0" applyFont="1" applyBorder="1">
      <alignment horizontal="center" vertical="center"/>
    </xf>
    <xf numFmtId="0" fontId="0" fillId="0" borderId="1061" xfId="0" applyBorder="1">
      <alignment horizontal="center" vertical="center"/>
    </xf>
    <xf numFmtId="0" fontId="8" fillId="0" borderId="1001" xfId="0" applyFont="1" applyBorder="1" applyAlignment="1">
      <alignment horizontal="left"/>
    </xf>
    <xf numFmtId="0" fontId="8" fillId="0" borderId="1039" xfId="0" applyFont="1" applyBorder="1" applyAlignment="1">
      <alignment horizontal="left"/>
    </xf>
    <xf numFmtId="0" fontId="5" fillId="0" borderId="1013" xfId="0" applyFont="1" applyBorder="1" applyAlignment="1">
      <alignment horizontal="center"/>
    </xf>
    <xf numFmtId="0" fontId="9" fillId="32" borderId="1001" xfId="0" applyFont="1" applyFill="1" applyBorder="1" applyAlignment="1">
      <alignment horizontal="center"/>
    </xf>
    <xf numFmtId="0" fontId="0" fillId="0" borderId="1018" xfId="0" applyBorder="1" applyAlignment="1">
      <alignment horizontal="left"/>
    </xf>
    <xf numFmtId="0" fontId="11" fillId="34" borderId="997" xfId="0" applyFont="1" applyFill="1" applyBorder="1">
      <alignment horizontal="center" vertical="center"/>
    </xf>
    <xf numFmtId="0" fontId="11" fillId="34" borderId="1022" xfId="0" applyFont="1" applyFill="1" applyBorder="1">
      <alignment horizontal="center" vertical="center"/>
    </xf>
    <xf numFmtId="0" fontId="12" fillId="34" borderId="1039" xfId="0" applyFont="1" applyFill="1" applyBorder="1" applyAlignment="1">
      <alignment horizontal="center"/>
    </xf>
    <xf numFmtId="0" fontId="12" fillId="34" borderId="1042" xfId="0" applyFont="1" applyFill="1" applyBorder="1" applyAlignment="1">
      <alignment horizontal="center"/>
    </xf>
    <xf numFmtId="0" fontId="8" fillId="0" borderId="1022" xfId="0" applyFont="1" applyBorder="1" applyAlignment="1">
      <alignment horizontal="center"/>
    </xf>
    <xf numFmtId="0" fontId="8" fillId="0" borderId="1042" xfId="0" applyFont="1" applyBorder="1" applyAlignment="1">
      <alignment horizontal="center"/>
    </xf>
    <xf numFmtId="0" fontId="5" fillId="0" borderId="1022" xfId="0" applyFont="1" applyBorder="1" applyAlignment="1">
      <alignment horizontal="center"/>
    </xf>
    <xf numFmtId="0" fontId="0" fillId="0" borderId="1042" xfId="0" applyBorder="1" applyAlignment="1">
      <alignment horizontal="center"/>
    </xf>
    <xf numFmtId="0" fontId="5" fillId="0" borderId="1018" xfId="0" applyFont="1" applyBorder="1" applyAlignment="1">
      <alignment horizontal="left"/>
    </xf>
    <xf numFmtId="0" fontId="7" fillId="0" borderId="1001" xfId="0" applyFont="1" applyBorder="1" applyAlignment="1">
      <alignment horizontal="center"/>
    </xf>
    <xf numFmtId="0" fontId="0" fillId="0" borderId="1066" xfId="0" applyBorder="1" applyAlignment="1">
      <alignment horizontal="center"/>
    </xf>
    <xf numFmtId="0" fontId="5" fillId="0" borderId="1001" xfId="0" applyFont="1" applyBorder="1" applyAlignment="1">
      <alignment horizontal="center"/>
    </xf>
    <xf numFmtId="0" fontId="0" fillId="0" borderId="1045" xfId="0" applyBorder="1" applyAlignment="1">
      <alignment horizontal="center"/>
    </xf>
    <xf numFmtId="0" fontId="0" fillId="0" borderId="431" xfId="0" applyBorder="1" applyAlignment="1">
      <alignment horizontal="center"/>
    </xf>
    <xf numFmtId="0" fontId="7" fillId="0" borderId="1068" xfId="0" applyFont="1" applyBorder="1" applyAlignment="1">
      <alignment horizontal="center"/>
    </xf>
    <xf numFmtId="0" fontId="0" fillId="0" borderId="1046" xfId="0" applyBorder="1" applyAlignment="1">
      <alignment horizontal="center"/>
    </xf>
    <xf numFmtId="0" fontId="8" fillId="0" borderId="1047" xfId="0" applyFont="1" applyBorder="1" applyAlignment="1">
      <alignment horizontal="left"/>
    </xf>
    <xf numFmtId="0" fontId="5" fillId="29" borderId="997" xfId="0" applyFont="1" applyFill="1" applyBorder="1" applyAlignment="1">
      <alignment horizontal="left"/>
    </xf>
    <xf numFmtId="0" fontId="8" fillId="29" borderId="1001" xfId="0" applyFont="1" applyFill="1" applyBorder="1" applyAlignment="1">
      <alignment horizontal="center"/>
    </xf>
    <xf numFmtId="0" fontId="5" fillId="29" borderId="1013" xfId="0" applyFont="1" applyFill="1" applyBorder="1" applyAlignment="1">
      <alignment horizontal="center"/>
    </xf>
    <xf numFmtId="0" fontId="0" fillId="29" borderId="1001" xfId="0" applyFill="1" applyBorder="1" applyAlignment="1">
      <alignment horizontal="center"/>
    </xf>
    <xf numFmtId="0" fontId="5" fillId="29" borderId="1039" xfId="0" applyFont="1" applyFill="1" applyBorder="1" applyAlignment="1">
      <alignment horizontal="center"/>
    </xf>
    <xf numFmtId="0" fontId="5" fillId="0" borderId="1060" xfId="0" applyFont="1" applyBorder="1" applyAlignment="1">
      <alignment horizontal="left"/>
    </xf>
    <xf numFmtId="0" fontId="5" fillId="0" borderId="1066" xfId="0" applyFont="1" applyBorder="1" applyAlignment="1">
      <alignment horizontal="left"/>
    </xf>
    <xf numFmtId="0" fontId="5" fillId="0" borderId="1067" xfId="0" applyFont="1" applyBorder="1" applyAlignment="1">
      <alignment horizontal="center"/>
    </xf>
    <xf numFmtId="0" fontId="0" fillId="43" borderId="979" xfId="0" applyFill="1" applyBorder="1" applyAlignment="1" applyProtection="1">
      <alignment horizontal="center"/>
      <protection locked="0"/>
    </xf>
    <xf numFmtId="0" fontId="0" fillId="43" borderId="1002" xfId="0" applyFill="1" applyBorder="1" applyAlignment="1" applyProtection="1">
      <alignment horizontal="center"/>
      <protection locked="0"/>
    </xf>
    <xf numFmtId="0" fontId="0" fillId="0" borderId="1001" xfId="0" applyBorder="1" applyAlignment="1">
      <alignment horizontal="left"/>
    </xf>
    <xf numFmtId="0" fontId="0" fillId="0" borderId="1001" xfId="0" applyBorder="1">
      <alignment horizontal="center" vertical="center"/>
    </xf>
    <xf numFmtId="0" fontId="0" fillId="43" borderId="1040" xfId="0" applyFill="1" applyBorder="1" applyAlignment="1" applyProtection="1">
      <alignment horizontal="center"/>
      <protection locked="0"/>
    </xf>
    <xf numFmtId="2" fontId="0" fillId="0" borderId="1039" xfId="0" applyNumberFormat="1" applyBorder="1" applyAlignment="1">
      <alignment horizontal="left"/>
    </xf>
    <xf numFmtId="2" fontId="8" fillId="0" borderId="1039" xfId="0" applyNumberFormat="1" applyFont="1" applyBorder="1" applyAlignment="1">
      <alignment horizontal="left"/>
    </xf>
    <xf numFmtId="2" fontId="8" fillId="0" borderId="1042" xfId="0" applyNumberFormat="1" applyFont="1" applyBorder="1" applyAlignment="1">
      <alignment horizontal="left"/>
    </xf>
    <xf numFmtId="0" fontId="0" fillId="0" borderId="979" xfId="0" applyBorder="1">
      <alignment horizontal="center" vertical="center"/>
    </xf>
    <xf numFmtId="0" fontId="18" fillId="24" borderId="987" xfId="0" applyFont="1" applyFill="1" applyBorder="1">
      <alignment horizontal="center" vertical="center"/>
    </xf>
    <xf numFmtId="0" fontId="18" fillId="24" borderId="982" xfId="0" applyFont="1" applyFill="1" applyBorder="1" applyAlignment="1">
      <alignment horizontal="center"/>
    </xf>
    <xf numFmtId="0" fontId="18" fillId="24" borderId="982" xfId="0" applyFont="1" applyFill="1" applyBorder="1" applyAlignment="1">
      <alignment wrapText="1"/>
    </xf>
    <xf numFmtId="0" fontId="18" fillId="24" borderId="982" xfId="0" applyFont="1" applyFill="1" applyBorder="1">
      <alignment horizontal="center" vertical="center"/>
    </xf>
    <xf numFmtId="0" fontId="18" fillId="24" borderId="1062" xfId="0" applyFont="1" applyFill="1" applyBorder="1">
      <alignment horizontal="center" vertical="center"/>
    </xf>
    <xf numFmtId="0" fontId="22" fillId="39" borderId="1001" xfId="0" applyFont="1" applyFill="1" applyBorder="1" applyAlignment="1">
      <alignment wrapText="1"/>
    </xf>
    <xf numFmtId="0" fontId="8" fillId="0" borderId="1001" xfId="0" applyFont="1" applyBorder="1" applyAlignment="1">
      <alignment wrapText="1"/>
    </xf>
    <xf numFmtId="0" fontId="10" fillId="0" borderId="1006" xfId="0" applyFont="1" applyBorder="1" applyAlignment="1">
      <alignment wrapText="1"/>
    </xf>
    <xf numFmtId="0" fontId="18" fillId="0" borderId="1001" xfId="0" applyFont="1" applyBorder="1" applyAlignment="1">
      <alignment wrapText="1"/>
    </xf>
    <xf numFmtId="0" fontId="25" fillId="0" borderId="1004" xfId="0" applyFont="1" applyBorder="1" applyAlignment="1">
      <alignment horizontal="center" wrapText="1"/>
    </xf>
    <xf numFmtId="3" fontId="25" fillId="0" borderId="1060" xfId="0" applyNumberFormat="1" applyFont="1" applyBorder="1" applyAlignment="1"/>
    <xf numFmtId="3" fontId="25" fillId="0" borderId="1004" xfId="0" applyNumberFormat="1" applyFont="1" applyBorder="1" applyAlignment="1"/>
    <xf numFmtId="3" fontId="25" fillId="0" borderId="1001" xfId="0" applyNumberFormat="1" applyFont="1" applyBorder="1" applyAlignment="1"/>
    <xf numFmtId="3" fontId="25" fillId="0" borderId="1061" xfId="0" applyNumberFormat="1" applyFont="1" applyBorder="1" applyAlignment="1"/>
    <xf numFmtId="0" fontId="18" fillId="0" borderId="1069" xfId="0" applyFont="1" applyBorder="1">
      <alignment horizontal="center" vertical="center"/>
    </xf>
    <xf numFmtId="0" fontId="25" fillId="24" borderId="987" xfId="0" applyFont="1" applyFill="1" applyBorder="1">
      <alignment horizontal="center" vertical="center"/>
    </xf>
    <xf numFmtId="0" fontId="25" fillId="24" borderId="982" xfId="0" applyFont="1" applyFill="1" applyBorder="1">
      <alignment horizontal="center" vertical="center"/>
    </xf>
    <xf numFmtId="0" fontId="25" fillId="24" borderId="1062" xfId="0" applyFont="1" applyFill="1" applyBorder="1">
      <alignment horizontal="center" vertical="center"/>
    </xf>
    <xf numFmtId="0" fontId="10" fillId="0" borderId="1001" xfId="0" applyFont="1" applyBorder="1" applyAlignment="1">
      <alignment wrapText="1"/>
    </xf>
    <xf numFmtId="0" fontId="25" fillId="0" borderId="1004" xfId="0" applyFont="1" applyBorder="1" applyAlignment="1">
      <alignment horizontal="center"/>
    </xf>
    <xf numFmtId="1" fontId="25" fillId="0" borderId="1060" xfId="0" applyNumberFormat="1" applyFont="1" applyBorder="1" applyAlignment="1">
      <alignment horizontal="center"/>
    </xf>
    <xf numFmtId="1" fontId="25" fillId="0" borderId="1001" xfId="0" applyNumberFormat="1" applyFont="1" applyBorder="1" applyAlignment="1">
      <alignment horizontal="center"/>
    </xf>
    <xf numFmtId="1" fontId="25" fillId="0" borderId="1061" xfId="0" applyNumberFormat="1" applyFont="1" applyBorder="1" applyAlignment="1">
      <alignment horizontal="center"/>
    </xf>
    <xf numFmtId="0" fontId="10" fillId="0" borderId="1069" xfId="0" applyFont="1" applyBorder="1" applyAlignment="1">
      <alignment horizontal="center" wrapText="1"/>
    </xf>
    <xf numFmtId="0" fontId="25" fillId="0" borderId="1001" xfId="0" applyFont="1" applyBorder="1" applyAlignment="1">
      <alignment wrapText="1"/>
    </xf>
    <xf numFmtId="0" fontId="10" fillId="0" borderId="1001" xfId="0" applyFont="1" applyBorder="1" applyAlignment="1">
      <alignment vertical="top" wrapText="1"/>
    </xf>
    <xf numFmtId="0" fontId="18" fillId="0" borderId="1069" xfId="0" applyFont="1" applyBorder="1" applyAlignment="1">
      <alignment horizontal="center"/>
    </xf>
    <xf numFmtId="0" fontId="25" fillId="0" borderId="1039" xfId="0" applyFont="1" applyBorder="1" applyAlignment="1">
      <alignment wrapText="1"/>
    </xf>
    <xf numFmtId="0" fontId="10" fillId="0" borderId="1039" xfId="0" applyFont="1" applyBorder="1" applyAlignment="1">
      <alignment vertical="top" wrapText="1"/>
    </xf>
    <xf numFmtId="0" fontId="25" fillId="0" borderId="1043" xfId="0" applyFont="1" applyBorder="1" applyAlignment="1">
      <alignment horizontal="center"/>
    </xf>
    <xf numFmtId="1" fontId="25" fillId="0" borderId="1038" xfId="0" applyNumberFormat="1" applyFont="1" applyBorder="1" applyAlignment="1">
      <alignment horizontal="center"/>
    </xf>
    <xf numFmtId="1" fontId="25" fillId="0" borderId="1039" xfId="0" applyNumberFormat="1" applyFont="1" applyBorder="1" applyAlignment="1">
      <alignment horizontal="center"/>
    </xf>
    <xf numFmtId="1" fontId="25" fillId="0" borderId="1042" xfId="0" applyNumberFormat="1" applyFont="1" applyBorder="1" applyAlignment="1">
      <alignment horizontal="center"/>
    </xf>
    <xf numFmtId="0" fontId="18" fillId="0" borderId="1070" xfId="0" applyFont="1" applyBorder="1" applyAlignment="1">
      <alignment horizontal="center"/>
    </xf>
    <xf numFmtId="170" fontId="25" fillId="0" borderId="1049" xfId="0" applyNumberFormat="1" applyFont="1" applyBorder="1" applyAlignment="1"/>
    <xf numFmtId="170" fontId="25" fillId="0" borderId="1001" xfId="0" applyNumberFormat="1" applyFont="1" applyBorder="1" applyAlignment="1"/>
    <xf numFmtId="170" fontId="25" fillId="0" borderId="1061" xfId="0" applyNumberFormat="1" applyFont="1" applyBorder="1" applyAlignment="1"/>
    <xf numFmtId="0" fontId="10" fillId="0" borderId="1069" xfId="0" applyFont="1" applyBorder="1" applyAlignment="1">
      <alignment wrapText="1"/>
    </xf>
    <xf numFmtId="3" fontId="25" fillId="0" borderId="1038" xfId="0" applyNumberFormat="1" applyFont="1" applyBorder="1" applyAlignment="1"/>
    <xf numFmtId="3" fontId="25" fillId="0" borderId="1039" xfId="0" applyNumberFormat="1" applyFont="1" applyBorder="1" applyAlignment="1"/>
    <xf numFmtId="3" fontId="25" fillId="0" borderId="1042" xfId="0" applyNumberFormat="1" applyFont="1" applyBorder="1" applyAlignment="1"/>
    <xf numFmtId="0" fontId="18" fillId="0" borderId="1070" xfId="0" applyFont="1" applyBorder="1">
      <alignment horizontal="center" vertical="center"/>
    </xf>
  </cellXfs>
  <cellStyles count="58">
    <cellStyle name="20 % - Farve1" xfId="1" builtinId="30" customBuiltin="1"/>
    <cellStyle name="20 % - Farve2" xfId="2" builtinId="34" customBuiltin="1"/>
    <cellStyle name="20 % - Farve3" xfId="3" builtinId="38" customBuiltin="1"/>
    <cellStyle name="20 % - Farve4" xfId="4" builtinId="42" customBuiltin="1"/>
    <cellStyle name="20 % - Farve5" xfId="5" builtinId="46" customBuiltin="1"/>
    <cellStyle name="20 % - Farve6" xfId="6" builtinId="50" customBuiltin="1"/>
    <cellStyle name="40 % - Farve1" xfId="7" builtinId="31" customBuiltin="1"/>
    <cellStyle name="40 % - Farve2" xfId="8" builtinId="35" customBuiltin="1"/>
    <cellStyle name="40 % - Farve3" xfId="9" builtinId="39" customBuiltin="1"/>
    <cellStyle name="40 % - Farve4" xfId="10" builtinId="43" customBuiltin="1"/>
    <cellStyle name="40 % - Farve5" xfId="11" builtinId="47" customBuiltin="1"/>
    <cellStyle name="40 % - Farve6" xfId="12" builtinId="51" customBuiltin="1"/>
    <cellStyle name="60 % - Farve1" xfId="13" builtinId="32" customBuiltin="1"/>
    <cellStyle name="60 % - Farve2" xfId="14" builtinId="36" customBuiltin="1"/>
    <cellStyle name="60 % - Farve3" xfId="15" builtinId="40" customBuiltin="1"/>
    <cellStyle name="60 % - Farve4" xfId="16" builtinId="44" customBuiltin="1"/>
    <cellStyle name="60 % - Farve5" xfId="17" builtinId="48" customBuiltin="1"/>
    <cellStyle name="60 % - Farve6" xfId="18" builtinId="52" customBuiltin="1"/>
    <cellStyle name="Advarselstekst" xfId="19" builtinId="11" customBuiltin="1"/>
    <cellStyle name="Afspadsering" xfId="44" xr:uid="{00000000-0005-0000-0000-000013000000}"/>
    <cellStyle name="Barn Syg" xfId="33" xr:uid="{00000000-0005-0000-0000-000014000000}"/>
    <cellStyle name="Barsel" xfId="51" xr:uid="{00000000-0005-0000-0000-000015000000}"/>
    <cellStyle name="Bemærk!" xfId="20" builtinId="10" customBuiltin="1"/>
    <cellStyle name="Beregning" xfId="21" builtinId="22" customBuiltin="1"/>
    <cellStyle name="Covid-19" xfId="52" xr:uid="{914B8FD2-7F15-4717-AAE9-FC0B1319214C}"/>
    <cellStyle name="Farve1" xfId="26" builtinId="29" customBuiltin="1"/>
    <cellStyle name="Farve2" xfId="27" builtinId="33" customBuiltin="1"/>
    <cellStyle name="Farve3" xfId="28" builtinId="37" customBuiltin="1"/>
    <cellStyle name="Farve4" xfId="29" builtinId="41" customBuiltin="1"/>
    <cellStyle name="Farve5" xfId="30" builtinId="45" customBuiltin="1"/>
    <cellStyle name="Farve6" xfId="31" builtinId="49" customBuiltin="1"/>
    <cellStyle name="Ferie" xfId="48" xr:uid="{00000000-0005-0000-0000-00001E000000}"/>
    <cellStyle name="FerieFridag" xfId="50" xr:uid="{00000000-0005-0000-0000-00001F000000}"/>
    <cellStyle name="Forklarende tekst" xfId="22" builtinId="53" customBuiltin="1"/>
    <cellStyle name="God" xfId="23" builtinId="26" customBuiltin="1"/>
    <cellStyle name="Input" xfId="24" builtinId="20" customBuiltin="1"/>
    <cellStyle name="Kontrollér celle" xfId="25" builtinId="23" customBuiltin="1"/>
    <cellStyle name="Neutral" xfId="32" builtinId="28" customBuiltin="1"/>
    <cellStyle name="Normal" xfId="0" builtinId="0" customBuiltin="1"/>
    <cellStyle name="Normal 2" xfId="53" xr:uid="{130BB17D-D5B0-4A4A-8663-391BA36288D9}"/>
    <cellStyle name="Normal 2 2" xfId="55" xr:uid="{6D9AC72A-5AE7-4CBB-9CDB-3E6B97494505}"/>
    <cellStyle name="Normal 3" xfId="54" xr:uid="{5ECD478F-A4BF-481A-A0D3-98BEA4F3592F}"/>
    <cellStyle name="Normal 4" xfId="57" xr:uid="{B02551E5-6AAD-429F-992E-74F246B19AD7}"/>
    <cellStyle name="Oplæring" xfId="47" xr:uid="{00000000-0005-0000-0000-000029000000}"/>
    <cellStyle name="Oplæring af nye" xfId="56" xr:uid="{73EE5456-7C28-4D48-B345-F808B5E22C57}"/>
    <cellStyle name="Orlov" xfId="49" xr:uid="{00000000-0005-0000-0000-00002A000000}"/>
    <cellStyle name="Output" xfId="34" builtinId="21" customBuiltin="1"/>
    <cellStyle name="Overskrift 1" xfId="35" builtinId="16" customBuiltin="1"/>
    <cellStyle name="Overskrift 2" xfId="36" builtinId="17" customBuiltin="1"/>
    <cellStyle name="Overskrift 3" xfId="37" builtinId="18" customBuiltin="1"/>
    <cellStyle name="Overskrift 4" xfId="38" builtinId="19" customBuiltin="1"/>
    <cellStyle name="OverTid" xfId="45" xr:uid="{00000000-0005-0000-0000-000030000000}"/>
    <cellStyle name="Sammenkædet celle" xfId="39" builtinId="24" customBuiltin="1"/>
    <cellStyle name="Seniordag" xfId="46" xr:uid="{00000000-0005-0000-0000-000032000000}"/>
    <cellStyle name="Syg" xfId="43" xr:uid="{00000000-0005-0000-0000-000033000000}"/>
    <cellStyle name="Titel" xfId="40" builtinId="15" customBuiltin="1"/>
    <cellStyle name="Total" xfId="41" builtinId="25" customBuiltin="1"/>
    <cellStyle name="Ugyldig" xfId="42" builtinId="27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09090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DDAA"/>
      <color rgb="FFFFBA26"/>
      <color rgb="FFFF9900"/>
      <color rgb="FFCC99FF"/>
      <color rgb="FFFFCC99"/>
      <color rgb="FF99CCFF"/>
      <color rgb="FFF79443"/>
      <color rgb="FF0000FF"/>
      <color rgb="FFFFFF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35" Type="http://schemas.openxmlformats.org/officeDocument/2006/relationships/customXml" Target="../customXml/item3.xml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62</xdr:row>
      <xdr:rowOff>9525</xdr:rowOff>
    </xdr:from>
    <xdr:to>
      <xdr:col>24</xdr:col>
      <xdr:colOff>95250</xdr:colOff>
      <xdr:row>63</xdr:row>
      <xdr:rowOff>180975</xdr:rowOff>
    </xdr:to>
    <xdr:pic>
      <xdr:nvPicPr>
        <xdr:cNvPr id="2" name="Billede 1">
          <a:extLst>
            <a:ext uri="{FF2B5EF4-FFF2-40B4-BE49-F238E27FC236}">
              <a16:creationId xmlns:a16="http://schemas.microsoft.com/office/drawing/2014/main" id="{5BB6C9E4-1469-5869-6D22-454E8C45F8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85975" y="13277850"/>
          <a:ext cx="7105650" cy="4000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2076450</xdr:colOff>
      <xdr:row>59</xdr:row>
      <xdr:rowOff>200025</xdr:rowOff>
    </xdr:from>
    <xdr:to>
      <xdr:col>24</xdr:col>
      <xdr:colOff>85725</xdr:colOff>
      <xdr:row>61</xdr:row>
      <xdr:rowOff>142875</xdr:rowOff>
    </xdr:to>
    <xdr:pic>
      <xdr:nvPicPr>
        <xdr:cNvPr id="4" name="Billede 1">
          <a:extLst>
            <a:ext uri="{FF2B5EF4-FFF2-40B4-BE49-F238E27FC236}">
              <a16:creationId xmlns:a16="http://schemas.microsoft.com/office/drawing/2014/main" id="{AC538BCB-C917-6925-89C0-C0C04C7B7D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6450" y="13211175"/>
          <a:ext cx="7105650" cy="4000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5"/>
  <dimension ref="A1"/>
  <sheetViews>
    <sheetView workbookViewId="0"/>
  </sheetViews>
  <sheetFormatPr defaultRowHeight="1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7"/>
  <dimension ref="A1"/>
  <sheetViews>
    <sheetView workbookViewId="0"/>
  </sheetViews>
  <sheetFormatPr defaultRowHeight="1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8"/>
  <dimension ref="A1"/>
  <sheetViews>
    <sheetView workbookViewId="0"/>
  </sheetViews>
  <sheetFormatPr defaultRowHeight="12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Ark23">
    <pageSetUpPr fitToPage="1"/>
  </sheetPr>
  <dimension ref="A1:AM298"/>
  <sheetViews>
    <sheetView topLeftCell="B87" zoomScaleNormal="100" workbookViewId="0">
      <pane xSplit="1" topLeftCell="C1" activePane="topRight" state="frozen"/>
      <selection pane="topRight" activeCell="T37" sqref="T37:Z37"/>
      <selection activeCell="B37" sqref="B37"/>
    </sheetView>
  </sheetViews>
  <sheetFormatPr defaultRowHeight="12"/>
  <cols>
    <col min="1" max="1" width="0" hidden="1" customWidth="1"/>
    <col min="2" max="2" width="32.5703125" customWidth="1"/>
    <col min="3" max="32" width="4.5703125" customWidth="1"/>
    <col min="33" max="33" width="4.28515625" customWidth="1"/>
    <col min="36" max="36" width="10.7109375" customWidth="1"/>
    <col min="37" max="37" width="12.85546875" customWidth="1"/>
    <col min="38" max="38" width="11.28515625" customWidth="1"/>
    <col min="39" max="39" width="12.5703125" customWidth="1"/>
  </cols>
  <sheetData>
    <row r="1" spans="1:33" ht="18" customHeight="1">
      <c r="A1" t="s">
        <v>0</v>
      </c>
      <c r="B1" s="1" t="s">
        <v>1</v>
      </c>
    </row>
    <row r="2" spans="1:33" ht="18" customHeight="1">
      <c r="B2" s="1673" t="s">
        <v>2</v>
      </c>
      <c r="C2" s="1674" t="s">
        <v>3</v>
      </c>
      <c r="D2" s="1675"/>
      <c r="E2" s="1676" t="s">
        <v>4</v>
      </c>
      <c r="F2" s="1677"/>
      <c r="G2" s="1678"/>
      <c r="H2" s="1678"/>
      <c r="I2" s="1678"/>
      <c r="J2" s="1678"/>
      <c r="K2" s="1679"/>
      <c r="L2" s="1680" t="s">
        <v>5</v>
      </c>
      <c r="M2" s="1681"/>
      <c r="N2" s="1682"/>
      <c r="O2" s="1683" t="s">
        <v>6</v>
      </c>
      <c r="P2" s="1684"/>
      <c r="Q2" s="1685"/>
      <c r="R2" s="1686"/>
      <c r="S2" s="1687" t="s">
        <v>7</v>
      </c>
      <c r="T2" s="1688"/>
      <c r="U2" s="1689"/>
      <c r="V2" s="1688"/>
      <c r="W2" s="1690" t="s">
        <v>8</v>
      </c>
      <c r="X2" s="1691"/>
      <c r="Y2" s="1692"/>
      <c r="Z2" s="98" t="s">
        <v>9</v>
      </c>
      <c r="AA2" s="1693"/>
      <c r="AB2" s="1694"/>
      <c r="AC2" s="1695"/>
      <c r="AD2" s="1696" t="s">
        <v>10</v>
      </c>
      <c r="AE2" s="1697"/>
      <c r="AF2" s="1697"/>
    </row>
    <row r="3" spans="1:33" ht="18" customHeight="1">
      <c r="A3" s="1"/>
      <c r="B3" s="1698" t="s">
        <v>11</v>
      </c>
      <c r="C3" s="1699" t="s">
        <v>12</v>
      </c>
      <c r="D3" s="1700"/>
      <c r="E3" s="1700"/>
      <c r="F3" s="1701"/>
      <c r="G3" s="518"/>
      <c r="H3" s="519" t="s">
        <v>10</v>
      </c>
      <c r="I3" s="520"/>
      <c r="J3" s="520"/>
      <c r="K3" s="521"/>
      <c r="L3" s="1702" t="s">
        <v>13</v>
      </c>
      <c r="M3" s="1703"/>
      <c r="N3" s="1704"/>
      <c r="O3" s="520"/>
      <c r="P3" s="520"/>
      <c r="Q3" s="520"/>
      <c r="R3" s="520"/>
      <c r="S3" s="516"/>
      <c r="T3" s="505" t="s">
        <v>14</v>
      </c>
      <c r="U3" s="522"/>
      <c r="V3" s="523"/>
      <c r="W3" s="524"/>
      <c r="X3" s="525"/>
      <c r="Y3" s="1705" t="s">
        <v>15</v>
      </c>
      <c r="Z3" s="1706"/>
      <c r="AA3" s="1706"/>
      <c r="AB3" s="1707" t="s">
        <v>16</v>
      </c>
      <c r="AC3" s="1708"/>
      <c r="AD3" s="1708"/>
      <c r="AE3" s="1708"/>
    </row>
    <row r="4" spans="1:33" ht="18" customHeight="1">
      <c r="A4" s="96" t="s">
        <v>17</v>
      </c>
      <c r="B4" s="22"/>
      <c r="C4" s="4"/>
      <c r="D4" s="48"/>
      <c r="E4" s="48"/>
      <c r="F4" s="48"/>
      <c r="G4" s="48"/>
      <c r="H4" s="4"/>
      <c r="I4" s="48"/>
      <c r="J4" s="48"/>
      <c r="K4" s="6"/>
      <c r="L4" s="48"/>
      <c r="M4" s="6"/>
      <c r="N4" s="6"/>
      <c r="O4" s="48"/>
      <c r="P4" s="48"/>
      <c r="Q4" s="48"/>
      <c r="R4" s="48"/>
      <c r="T4" s="6"/>
      <c r="U4" s="4"/>
      <c r="W4" s="48"/>
      <c r="X4" s="48"/>
      <c r="Y4" s="4"/>
      <c r="Z4" s="48"/>
      <c r="AB4" s="48"/>
      <c r="AC4" s="48"/>
      <c r="AD4" s="48"/>
      <c r="AE4" s="48"/>
      <c r="AF4" s="48"/>
    </row>
    <row r="5" spans="1:33" ht="18" customHeight="1">
      <c r="A5" s="96" t="s">
        <v>18</v>
      </c>
      <c r="B5" s="1"/>
      <c r="C5" s="1709"/>
      <c r="D5" s="1710" t="s">
        <v>19</v>
      </c>
      <c r="E5" s="1711"/>
      <c r="F5" s="1709"/>
      <c r="G5" s="1710" t="s">
        <v>20</v>
      </c>
      <c r="H5" s="1711"/>
      <c r="I5" s="1709"/>
      <c r="J5" s="1710" t="s">
        <v>21</v>
      </c>
      <c r="K5" s="1711"/>
      <c r="L5" s="1709"/>
      <c r="M5" s="1710" t="s">
        <v>22</v>
      </c>
      <c r="N5" s="1711"/>
      <c r="O5" s="1709"/>
      <c r="P5" s="1710" t="s">
        <v>23</v>
      </c>
      <c r="Q5" s="1711"/>
      <c r="R5" s="1709"/>
      <c r="S5" s="1710" t="s">
        <v>24</v>
      </c>
      <c r="T5" s="1712"/>
      <c r="U5" s="1713"/>
      <c r="V5" s="1714" t="s">
        <v>25</v>
      </c>
      <c r="W5" s="1712"/>
    </row>
    <row r="6" spans="1:33" ht="18" customHeight="1">
      <c r="A6" s="1715"/>
      <c r="B6" s="1716" t="s">
        <v>26</v>
      </c>
      <c r="C6" s="1717" t="s">
        <v>27</v>
      </c>
      <c r="D6" s="1718"/>
      <c r="E6" s="1719"/>
      <c r="F6" s="1717" t="s">
        <v>27</v>
      </c>
      <c r="G6" s="1720"/>
      <c r="H6" s="1720"/>
      <c r="I6" s="1717" t="s">
        <v>27</v>
      </c>
      <c r="J6" s="1720"/>
      <c r="K6" s="1719"/>
      <c r="L6" s="1717" t="s">
        <v>27</v>
      </c>
      <c r="M6" s="1720"/>
      <c r="N6" s="1719"/>
      <c r="O6" s="1717" t="s">
        <v>28</v>
      </c>
      <c r="P6" s="1720"/>
      <c r="Q6" s="1719"/>
      <c r="R6" s="1720"/>
      <c r="S6" s="1720"/>
      <c r="T6" s="1720"/>
      <c r="U6" s="1716"/>
      <c r="V6" s="1720"/>
      <c r="W6" s="1719"/>
      <c r="X6" s="1720"/>
      <c r="Y6" s="1720"/>
      <c r="Z6" s="1720"/>
      <c r="AA6" s="1720"/>
      <c r="AB6" s="1721"/>
      <c r="AC6" s="1719"/>
      <c r="AD6" s="111"/>
      <c r="AE6" s="111"/>
      <c r="AF6" s="111"/>
    </row>
    <row r="7" spans="1:33" ht="18" customHeight="1">
      <c r="A7" s="1716"/>
      <c r="B7" s="1716" t="s">
        <v>29</v>
      </c>
      <c r="C7" s="1722" t="s">
        <v>30</v>
      </c>
      <c r="D7" s="1723"/>
      <c r="E7" s="1724"/>
      <c r="F7" s="1722" t="s">
        <v>30</v>
      </c>
      <c r="G7" s="1723"/>
      <c r="H7" s="1723"/>
      <c r="I7" s="1722" t="s">
        <v>30</v>
      </c>
      <c r="J7" s="1723"/>
      <c r="K7" s="1724"/>
      <c r="L7" s="1722" t="s">
        <v>30</v>
      </c>
      <c r="M7" s="1723"/>
      <c r="N7" s="1723"/>
      <c r="O7" s="1722" t="s">
        <v>30</v>
      </c>
      <c r="P7" s="1723"/>
      <c r="Q7" s="1724"/>
      <c r="R7" s="1523" t="s">
        <v>31</v>
      </c>
      <c r="S7" s="1524"/>
      <c r="T7" s="1524"/>
      <c r="U7" s="1725" t="s">
        <v>31</v>
      </c>
      <c r="V7" s="1524"/>
      <c r="W7" s="1525"/>
      <c r="X7" s="1720"/>
      <c r="Y7" s="1720"/>
      <c r="Z7" s="1720"/>
      <c r="AA7" s="1720"/>
      <c r="AB7" s="1726"/>
      <c r="AC7" s="1719"/>
      <c r="AD7" s="111"/>
      <c r="AE7" s="111"/>
      <c r="AF7" s="111"/>
    </row>
    <row r="8" spans="1:33" ht="18" customHeight="1">
      <c r="A8" s="1716"/>
      <c r="B8" s="1716" t="s">
        <v>32</v>
      </c>
      <c r="C8" s="1717" t="s">
        <v>33</v>
      </c>
      <c r="D8" s="1723"/>
      <c r="E8" s="1724"/>
      <c r="F8" s="1717" t="s">
        <v>33</v>
      </c>
      <c r="G8" s="1720"/>
      <c r="H8" s="1720"/>
      <c r="I8" s="1717" t="s">
        <v>33</v>
      </c>
      <c r="J8" s="1720"/>
      <c r="K8" s="1719"/>
      <c r="L8" s="1717" t="s">
        <v>33</v>
      </c>
      <c r="M8" s="1720"/>
      <c r="N8" s="1719"/>
      <c r="O8" s="1717" t="s">
        <v>33</v>
      </c>
      <c r="P8" s="1720"/>
      <c r="Q8" s="1719"/>
      <c r="R8" s="1727" t="s">
        <v>34</v>
      </c>
      <c r="S8" s="1720"/>
      <c r="T8" s="1720"/>
      <c r="U8" s="1717" t="s">
        <v>35</v>
      </c>
      <c r="V8" s="1720"/>
      <c r="W8" s="1719"/>
      <c r="X8" s="1720"/>
      <c r="Y8" s="1720"/>
      <c r="Z8" s="1720"/>
      <c r="AA8" s="1720"/>
      <c r="AB8" s="1726"/>
      <c r="AC8" s="1719"/>
      <c r="AD8" s="111"/>
      <c r="AE8" s="111"/>
      <c r="AF8" s="111"/>
    </row>
    <row r="9" spans="1:33" ht="18" customHeight="1">
      <c r="A9" s="96" t="s">
        <v>10</v>
      </c>
    </row>
    <row r="10" spans="1:33" ht="18" customHeight="1">
      <c r="A10" s="96" t="s">
        <v>10</v>
      </c>
      <c r="AG10" s="103"/>
    </row>
    <row r="11" spans="1:33" ht="18" customHeight="1">
      <c r="AG11" s="105"/>
    </row>
    <row r="12" spans="1:33" ht="18" customHeight="1" thickBot="1">
      <c r="B12" s="60" t="s">
        <v>36</v>
      </c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104"/>
    </row>
    <row r="13" spans="1:33" ht="18" customHeight="1" thickBot="1">
      <c r="A13" s="1728" t="s">
        <v>37</v>
      </c>
      <c r="B13" s="1729" t="s">
        <v>38</v>
      </c>
      <c r="C13" s="1580">
        <v>1</v>
      </c>
      <c r="D13" s="1578">
        <v>2</v>
      </c>
      <c r="E13" s="1580">
        <v>3</v>
      </c>
      <c r="F13" s="1580">
        <v>4</v>
      </c>
      <c r="G13" s="1578">
        <v>5</v>
      </c>
      <c r="H13" s="1578">
        <v>6</v>
      </c>
      <c r="I13" s="1578">
        <v>7</v>
      </c>
      <c r="J13" s="1578">
        <v>8</v>
      </c>
      <c r="K13" s="1578">
        <v>9</v>
      </c>
      <c r="L13" s="1580">
        <v>10</v>
      </c>
      <c r="M13" s="1580">
        <v>11</v>
      </c>
      <c r="N13" s="1578">
        <v>12</v>
      </c>
      <c r="O13" s="1578">
        <v>13</v>
      </c>
      <c r="P13" s="1578">
        <v>14</v>
      </c>
      <c r="Q13" s="1578">
        <v>15</v>
      </c>
      <c r="R13" s="1578">
        <v>16</v>
      </c>
      <c r="S13" s="1580">
        <v>17</v>
      </c>
      <c r="T13" s="1580">
        <v>18</v>
      </c>
      <c r="U13" s="1578">
        <v>19</v>
      </c>
      <c r="V13" s="1578">
        <v>20</v>
      </c>
      <c r="W13" s="1578">
        <v>21</v>
      </c>
      <c r="X13" s="1578">
        <v>22</v>
      </c>
      <c r="Y13" s="1578">
        <v>23</v>
      </c>
      <c r="Z13" s="1580">
        <v>24</v>
      </c>
      <c r="AA13" s="1580">
        <v>25</v>
      </c>
      <c r="AB13" s="1578">
        <v>26</v>
      </c>
      <c r="AC13" s="1578">
        <v>27</v>
      </c>
      <c r="AD13" s="1578">
        <v>28</v>
      </c>
      <c r="AE13" s="1580">
        <v>29</v>
      </c>
      <c r="AF13" s="1578">
        <v>30</v>
      </c>
      <c r="AG13" s="1580">
        <v>31</v>
      </c>
    </row>
    <row r="14" spans="1:33" ht="18" customHeight="1">
      <c r="A14" s="1730">
        <v>8500</v>
      </c>
      <c r="B14" s="1608" t="s">
        <v>39</v>
      </c>
      <c r="C14" s="1639"/>
      <c r="D14" s="1647" t="s">
        <v>40</v>
      </c>
      <c r="E14" s="1648"/>
      <c r="F14" s="1648"/>
      <c r="G14" s="1648" t="s">
        <v>40</v>
      </c>
      <c r="H14" s="1648" t="s">
        <v>40</v>
      </c>
      <c r="I14" s="1648" t="s">
        <v>40</v>
      </c>
      <c r="J14" s="1648" t="s">
        <v>40</v>
      </c>
      <c r="K14" s="1648" t="s">
        <v>40</v>
      </c>
      <c r="L14" s="1648"/>
      <c r="M14" s="1648"/>
      <c r="N14" s="1648" t="s">
        <v>40</v>
      </c>
      <c r="O14" s="1648" t="s">
        <v>40</v>
      </c>
      <c r="P14" s="1648" t="s">
        <v>40</v>
      </c>
      <c r="Q14" s="1648" t="s">
        <v>40</v>
      </c>
      <c r="R14" s="1648" t="s">
        <v>40</v>
      </c>
      <c r="S14" s="1648"/>
      <c r="T14" s="1648"/>
      <c r="U14" s="1648" t="s">
        <v>40</v>
      </c>
      <c r="V14" s="1648" t="s">
        <v>40</v>
      </c>
      <c r="W14" s="1648" t="s">
        <v>40</v>
      </c>
      <c r="X14" s="1648" t="s">
        <v>40</v>
      </c>
      <c r="Y14" s="1648" t="s">
        <v>40</v>
      </c>
      <c r="Z14" s="1648"/>
      <c r="AA14" s="1648"/>
      <c r="AB14" s="1648" t="s">
        <v>40</v>
      </c>
      <c r="AC14" s="1648" t="s">
        <v>40</v>
      </c>
      <c r="AD14" s="1648" t="s">
        <v>40</v>
      </c>
      <c r="AE14" s="1648"/>
      <c r="AF14" s="1731" t="s">
        <v>40</v>
      </c>
      <c r="AG14" s="1732"/>
    </row>
    <row r="15" spans="1:33" ht="18" customHeight="1">
      <c r="A15" s="1733">
        <v>8546</v>
      </c>
      <c r="B15" s="1734" t="s">
        <v>41</v>
      </c>
      <c r="C15" s="1735"/>
      <c r="D15" s="1736" t="s">
        <v>40</v>
      </c>
      <c r="E15" s="1737"/>
      <c r="F15" s="1737"/>
      <c r="G15" s="1737" t="s">
        <v>40</v>
      </c>
      <c r="H15" s="1737" t="s">
        <v>40</v>
      </c>
      <c r="I15" s="1737" t="s">
        <v>40</v>
      </c>
      <c r="J15" s="1737" t="s">
        <v>40</v>
      </c>
      <c r="K15" s="1737" t="s">
        <v>40</v>
      </c>
      <c r="L15" s="1737"/>
      <c r="M15" s="1737"/>
      <c r="N15" s="1737" t="s">
        <v>40</v>
      </c>
      <c r="O15" s="1737" t="s">
        <v>40</v>
      </c>
      <c r="P15" s="1737" t="s">
        <v>40</v>
      </c>
      <c r="Q15" s="1737" t="s">
        <v>40</v>
      </c>
      <c r="R15" s="1737" t="s">
        <v>40</v>
      </c>
      <c r="S15" s="1737"/>
      <c r="T15" s="1737"/>
      <c r="U15" s="1737" t="s">
        <v>40</v>
      </c>
      <c r="V15" s="1737" t="s">
        <v>40</v>
      </c>
      <c r="W15" s="1737" t="s">
        <v>40</v>
      </c>
      <c r="X15" s="1737" t="s">
        <v>40</v>
      </c>
      <c r="Y15" s="1737" t="s">
        <v>40</v>
      </c>
      <c r="Z15" s="1737"/>
      <c r="AA15" s="1737"/>
      <c r="AB15" s="1737" t="s">
        <v>40</v>
      </c>
      <c r="AC15" s="1737" t="s">
        <v>40</v>
      </c>
      <c r="AD15" s="1737" t="s">
        <v>40</v>
      </c>
      <c r="AE15" s="1738"/>
      <c r="AF15" s="1739" t="s">
        <v>40</v>
      </c>
      <c r="AG15" s="1740"/>
    </row>
    <row r="16" spans="1:33" ht="18" customHeight="1" thickBot="1">
      <c r="A16" s="235"/>
      <c r="B16" s="1741" t="s">
        <v>42</v>
      </c>
      <c r="C16" s="1742" t="s">
        <v>26</v>
      </c>
      <c r="D16" s="1743" t="s">
        <v>26</v>
      </c>
      <c r="E16" s="1744"/>
      <c r="F16" s="1744"/>
      <c r="G16" s="1744" t="s">
        <v>40</v>
      </c>
      <c r="H16" s="1744" t="s">
        <v>40</v>
      </c>
      <c r="I16" s="1744" t="s">
        <v>40</v>
      </c>
      <c r="J16" s="1744" t="s">
        <v>40</v>
      </c>
      <c r="K16" s="1744" t="s">
        <v>40</v>
      </c>
      <c r="L16" s="1744"/>
      <c r="M16" s="1744"/>
      <c r="N16" s="1745" t="s">
        <v>26</v>
      </c>
      <c r="O16" s="1746" t="s">
        <v>26</v>
      </c>
      <c r="P16" s="1745" t="s">
        <v>26</v>
      </c>
      <c r="Q16" s="1745" t="s">
        <v>26</v>
      </c>
      <c r="R16" s="1745" t="s">
        <v>26</v>
      </c>
      <c r="S16" s="1744"/>
      <c r="T16" s="1744"/>
      <c r="U16" s="1744" t="s">
        <v>40</v>
      </c>
      <c r="V16" s="1744" t="s">
        <v>40</v>
      </c>
      <c r="W16" s="1744" t="s">
        <v>40</v>
      </c>
      <c r="X16" s="1744" t="s">
        <v>40</v>
      </c>
      <c r="Y16" s="1744" t="s">
        <v>40</v>
      </c>
      <c r="Z16" s="1744"/>
      <c r="AA16" s="1744"/>
      <c r="AB16" s="1744" t="s">
        <v>40</v>
      </c>
      <c r="AC16" s="1744" t="s">
        <v>40</v>
      </c>
      <c r="AD16" s="1747" t="s">
        <v>43</v>
      </c>
      <c r="AE16" s="1748" t="s">
        <v>26</v>
      </c>
      <c r="AF16" s="1749" t="s">
        <v>40</v>
      </c>
      <c r="AG16" s="1740"/>
    </row>
    <row r="17" spans="1:33" ht="18" customHeight="1" thickBot="1">
      <c r="A17" s="1750" t="s">
        <v>44</v>
      </c>
      <c r="B17" s="1751"/>
      <c r="C17" s="506"/>
      <c r="D17" s="506"/>
      <c r="E17" s="506"/>
      <c r="F17" s="506"/>
      <c r="G17" s="506"/>
      <c r="H17" s="506"/>
      <c r="I17" s="506"/>
      <c r="J17" s="506"/>
      <c r="K17" s="506"/>
      <c r="L17" s="506"/>
      <c r="M17" s="506"/>
      <c r="N17" s="506"/>
      <c r="O17" s="506"/>
      <c r="P17" s="506"/>
      <c r="Q17" s="506"/>
      <c r="R17" s="506"/>
      <c r="S17" s="506"/>
      <c r="T17" s="506"/>
      <c r="U17" s="506"/>
      <c r="V17" s="506"/>
      <c r="W17" s="506"/>
      <c r="X17" s="506"/>
      <c r="Y17" s="506"/>
      <c r="Z17" s="506"/>
      <c r="AA17" s="506"/>
      <c r="AB17" s="506"/>
      <c r="AC17" s="506"/>
      <c r="AD17" s="506"/>
      <c r="AE17" s="506"/>
      <c r="AF17" s="526"/>
      <c r="AG17" s="1740"/>
    </row>
    <row r="18" spans="1:33" ht="18" customHeight="1">
      <c r="A18" s="1752">
        <v>8546</v>
      </c>
      <c r="B18" s="507" t="s">
        <v>45</v>
      </c>
      <c r="C18" s="1753" t="s">
        <v>46</v>
      </c>
      <c r="D18" s="1754" t="s">
        <v>46</v>
      </c>
      <c r="E18" s="1755" t="s">
        <v>47</v>
      </c>
      <c r="F18" s="1753" t="s">
        <v>47</v>
      </c>
      <c r="G18" s="1754" t="s">
        <v>26</v>
      </c>
      <c r="H18" s="1754" t="s">
        <v>26</v>
      </c>
      <c r="I18" s="1754" t="s">
        <v>26</v>
      </c>
      <c r="J18" s="1754" t="s">
        <v>26</v>
      </c>
      <c r="K18" s="1756" t="s">
        <v>26</v>
      </c>
      <c r="L18" s="1754" t="s">
        <v>0</v>
      </c>
      <c r="M18" s="1754"/>
      <c r="N18" s="1754" t="s">
        <v>43</v>
      </c>
      <c r="O18" s="1754" t="s">
        <v>43</v>
      </c>
      <c r="P18" s="1757" t="s">
        <v>48</v>
      </c>
      <c r="Q18" s="1713" t="s">
        <v>43</v>
      </c>
      <c r="R18" s="1754" t="s">
        <v>43</v>
      </c>
      <c r="S18" s="1754"/>
      <c r="T18" s="1754"/>
      <c r="U18" s="1754" t="s">
        <v>46</v>
      </c>
      <c r="V18" s="1754" t="s">
        <v>46</v>
      </c>
      <c r="W18" s="1754" t="s">
        <v>46</v>
      </c>
      <c r="X18" s="1754" t="s">
        <v>46</v>
      </c>
      <c r="Y18" s="1754" t="s">
        <v>46</v>
      </c>
      <c r="Z18" s="1755" t="s">
        <v>49</v>
      </c>
      <c r="AA18" s="1754" t="s">
        <v>49</v>
      </c>
      <c r="AB18" s="1754" t="s">
        <v>50</v>
      </c>
      <c r="AC18" s="1755" t="s">
        <v>50</v>
      </c>
      <c r="AD18" s="1754" t="s">
        <v>50</v>
      </c>
      <c r="AE18" s="1754" t="s">
        <v>50</v>
      </c>
      <c r="AF18" s="1758" t="s">
        <v>50</v>
      </c>
      <c r="AG18" s="1740"/>
    </row>
    <row r="19" spans="1:33" ht="18" customHeight="1">
      <c r="A19" s="1733">
        <v>8500</v>
      </c>
      <c r="B19" s="1759" t="s">
        <v>51</v>
      </c>
      <c r="C19" s="1760" t="s">
        <v>46</v>
      </c>
      <c r="D19" s="1761">
        <v>26</v>
      </c>
      <c r="E19" s="1760"/>
      <c r="F19" s="1760"/>
      <c r="G19" s="236">
        <v>22</v>
      </c>
      <c r="H19" s="180">
        <v>9</v>
      </c>
      <c r="I19" s="180">
        <v>9</v>
      </c>
      <c r="J19" s="180">
        <v>10</v>
      </c>
      <c r="K19" s="180">
        <v>11</v>
      </c>
      <c r="L19" s="1761" t="s">
        <v>52</v>
      </c>
      <c r="M19" s="1761" t="s">
        <v>53</v>
      </c>
      <c r="N19" s="1760" t="s">
        <v>46</v>
      </c>
      <c r="O19" s="1760" t="s">
        <v>46</v>
      </c>
      <c r="P19" s="1760" t="s">
        <v>46</v>
      </c>
      <c r="Q19" s="1760" t="s">
        <v>46</v>
      </c>
      <c r="R19" s="1760" t="s">
        <v>46</v>
      </c>
      <c r="U19" s="1761" t="s">
        <v>26</v>
      </c>
      <c r="V19" s="1761" t="s">
        <v>26</v>
      </c>
      <c r="W19" s="1761" t="s">
        <v>43</v>
      </c>
      <c r="X19" s="1761" t="s">
        <v>43</v>
      </c>
      <c r="Y19" s="1761" t="s">
        <v>43</v>
      </c>
      <c r="Z19" s="1761" t="s">
        <v>47</v>
      </c>
      <c r="AA19" s="1761" t="s">
        <v>47</v>
      </c>
      <c r="AB19" s="1760" t="s">
        <v>46</v>
      </c>
      <c r="AC19" s="1760" t="s">
        <v>46</v>
      </c>
      <c r="AD19" s="1760" t="s">
        <v>46</v>
      </c>
      <c r="AE19" s="1760" t="s">
        <v>46</v>
      </c>
      <c r="AF19" s="1762" t="s">
        <v>46</v>
      </c>
      <c r="AG19" s="1740" t="s">
        <v>47</v>
      </c>
    </row>
    <row r="20" spans="1:33" ht="18" customHeight="1">
      <c r="A20" s="1733">
        <v>8500</v>
      </c>
      <c r="B20" s="1759" t="s">
        <v>54</v>
      </c>
      <c r="C20" s="1754" t="s">
        <v>43</v>
      </c>
      <c r="D20" s="1737" t="s">
        <v>43</v>
      </c>
      <c r="E20" s="1754"/>
      <c r="F20" s="1754"/>
      <c r="G20" s="1760" t="s">
        <v>46</v>
      </c>
      <c r="H20" s="1760" t="s">
        <v>46</v>
      </c>
      <c r="I20" s="1760" t="s">
        <v>46</v>
      </c>
      <c r="J20" s="1760" t="s">
        <v>46</v>
      </c>
      <c r="K20" s="1760" t="s">
        <v>46</v>
      </c>
      <c r="L20" s="1755" t="s">
        <v>49</v>
      </c>
      <c r="M20" s="1754" t="s">
        <v>49</v>
      </c>
      <c r="N20" s="1754" t="s">
        <v>50</v>
      </c>
      <c r="O20" s="1755" t="s">
        <v>50</v>
      </c>
      <c r="P20" s="1754" t="s">
        <v>50</v>
      </c>
      <c r="Q20" s="1754" t="s">
        <v>50</v>
      </c>
      <c r="R20" s="1754" t="s">
        <v>50</v>
      </c>
      <c r="S20" s="1760"/>
      <c r="T20" s="1760"/>
      <c r="U20" s="1760" t="s">
        <v>46</v>
      </c>
      <c r="V20" s="1760" t="s">
        <v>46</v>
      </c>
      <c r="W20" s="1760" t="s">
        <v>46</v>
      </c>
      <c r="X20" s="1760" t="s">
        <v>46</v>
      </c>
      <c r="Y20" s="1760" t="s">
        <v>46</v>
      </c>
      <c r="Z20" s="1763" t="s">
        <v>47</v>
      </c>
      <c r="AA20" s="1763" t="s">
        <v>47</v>
      </c>
      <c r="AB20" s="1763" t="s">
        <v>55</v>
      </c>
      <c r="AC20" s="1713" t="s">
        <v>26</v>
      </c>
      <c r="AD20" s="1713" t="s">
        <v>26</v>
      </c>
      <c r="AE20" s="1764" t="s">
        <v>26</v>
      </c>
      <c r="AF20" s="1758" t="s">
        <v>26</v>
      </c>
      <c r="AG20" s="1765"/>
    </row>
    <row r="21" spans="1:33" ht="18" customHeight="1">
      <c r="A21" s="1733">
        <v>8546</v>
      </c>
      <c r="B21" s="1734" t="s">
        <v>56</v>
      </c>
      <c r="C21" s="1754" t="s">
        <v>46</v>
      </c>
      <c r="D21" s="1754" t="s">
        <v>46</v>
      </c>
      <c r="E21" s="1755" t="s">
        <v>49</v>
      </c>
      <c r="F21" s="1754" t="s">
        <v>49</v>
      </c>
      <c r="G21" s="1754" t="s">
        <v>50</v>
      </c>
      <c r="H21" s="1755" t="s">
        <v>50</v>
      </c>
      <c r="I21" s="1754" t="s">
        <v>50</v>
      </c>
      <c r="J21" s="1754" t="s">
        <v>50</v>
      </c>
      <c r="K21" s="1754" t="s">
        <v>50</v>
      </c>
      <c r="L21" s="1760"/>
      <c r="M21" s="1760"/>
      <c r="N21" s="1760" t="s">
        <v>46</v>
      </c>
      <c r="O21" s="1760" t="s">
        <v>46</v>
      </c>
      <c r="P21" s="1760" t="s">
        <v>46</v>
      </c>
      <c r="Q21" s="1760" t="s">
        <v>46</v>
      </c>
      <c r="R21" s="1760" t="s">
        <v>46</v>
      </c>
      <c r="S21" s="1760" t="s">
        <v>47</v>
      </c>
      <c r="T21" s="1766" t="s">
        <v>47</v>
      </c>
      <c r="U21" s="1766" t="s">
        <v>26</v>
      </c>
      <c r="V21" s="1766" t="s">
        <v>26</v>
      </c>
      <c r="W21" s="1754" t="s">
        <v>26</v>
      </c>
      <c r="X21" s="1754" t="s">
        <v>26</v>
      </c>
      <c r="Y21" s="1754" t="s">
        <v>26</v>
      </c>
      <c r="Z21" s="1755"/>
      <c r="AA21" s="1736"/>
      <c r="AB21" s="1754" t="s">
        <v>43</v>
      </c>
      <c r="AC21" s="1755" t="s">
        <v>43</v>
      </c>
      <c r="AD21" s="1766" t="s">
        <v>43</v>
      </c>
      <c r="AE21" s="1766" t="s">
        <v>43</v>
      </c>
      <c r="AF21" s="1767" t="s">
        <v>43</v>
      </c>
      <c r="AG21" s="1740"/>
    </row>
    <row r="22" spans="1:33" ht="18" customHeight="1">
      <c r="B22" s="1734"/>
      <c r="C22" t="s">
        <v>50</v>
      </c>
      <c r="D22" t="s">
        <v>50</v>
      </c>
      <c r="G22" t="s">
        <v>46</v>
      </c>
      <c r="H22" t="s">
        <v>46</v>
      </c>
      <c r="I22" t="s">
        <v>46</v>
      </c>
      <c r="J22" t="s">
        <v>46</v>
      </c>
      <c r="K22" t="s">
        <v>46</v>
      </c>
      <c r="L22" s="1760"/>
      <c r="M22" s="1754"/>
      <c r="S22" s="1755"/>
      <c r="T22" s="1736"/>
      <c r="U22" s="1754" t="s">
        <v>43</v>
      </c>
      <c r="V22" s="1755" t="s">
        <v>43</v>
      </c>
      <c r="W22" s="1736" t="s">
        <v>43</v>
      </c>
      <c r="X22" s="1754" t="s">
        <v>43</v>
      </c>
      <c r="Y22" s="1736" t="s">
        <v>43</v>
      </c>
      <c r="Z22" s="1754"/>
      <c r="AA22" s="1755"/>
      <c r="AB22" s="1754" t="s">
        <v>46</v>
      </c>
      <c r="AC22" s="1754" t="s">
        <v>46</v>
      </c>
      <c r="AD22" s="237" t="s">
        <v>46</v>
      </c>
      <c r="AE22" s="237" t="s">
        <v>46</v>
      </c>
      <c r="AF22" s="237" t="s">
        <v>46</v>
      </c>
      <c r="AG22" s="1740" t="s">
        <v>49</v>
      </c>
    </row>
    <row r="23" spans="1:33" ht="18" customHeight="1" thickBot="1">
      <c r="A23" s="1768">
        <v>8546</v>
      </c>
      <c r="B23" s="1769" t="s">
        <v>57</v>
      </c>
      <c r="C23" s="1738" t="s">
        <v>50</v>
      </c>
      <c r="D23" s="1738" t="s">
        <v>50</v>
      </c>
      <c r="E23" s="1770"/>
      <c r="F23" s="1770"/>
      <c r="G23" s="1771" t="s">
        <v>40</v>
      </c>
      <c r="H23" s="1770" t="s">
        <v>40</v>
      </c>
      <c r="I23" s="1770" t="s">
        <v>40</v>
      </c>
      <c r="J23" s="1772" t="s">
        <v>26</v>
      </c>
      <c r="K23" s="1773" t="s">
        <v>26</v>
      </c>
      <c r="L23" s="1773"/>
      <c r="M23" s="1773"/>
      <c r="N23" s="1773" t="s">
        <v>26</v>
      </c>
      <c r="O23" s="1773" t="s">
        <v>26</v>
      </c>
      <c r="P23" s="1773" t="s">
        <v>26</v>
      </c>
      <c r="Q23" s="1773" t="s">
        <v>26</v>
      </c>
      <c r="R23" s="1773" t="s">
        <v>26</v>
      </c>
      <c r="S23" s="1773"/>
      <c r="T23" s="1773"/>
      <c r="U23" s="1773" t="s">
        <v>40</v>
      </c>
      <c r="V23" s="1773" t="s">
        <v>40</v>
      </c>
      <c r="W23" s="1773" t="s">
        <v>40</v>
      </c>
      <c r="X23" s="1773" t="s">
        <v>40</v>
      </c>
      <c r="Y23" s="1773" t="s">
        <v>40</v>
      </c>
      <c r="Z23" s="1773" t="s">
        <v>0</v>
      </c>
      <c r="AA23" s="1773" t="s">
        <v>0</v>
      </c>
      <c r="AB23" s="1773" t="s">
        <v>40</v>
      </c>
      <c r="AC23" s="1773" t="s">
        <v>40</v>
      </c>
      <c r="AD23" s="1773" t="s">
        <v>40</v>
      </c>
      <c r="AE23" s="1773"/>
      <c r="AF23" s="1774" t="s">
        <v>40</v>
      </c>
      <c r="AG23" s="1740"/>
    </row>
    <row r="24" spans="1:33" ht="18" customHeight="1" thickBot="1">
      <c r="A24" s="1775" t="s">
        <v>58</v>
      </c>
      <c r="B24" s="1776"/>
      <c r="C24" s="1599"/>
      <c r="D24" s="1599"/>
      <c r="E24" s="1599"/>
      <c r="F24" s="1599"/>
      <c r="G24" s="1599"/>
      <c r="H24" s="1599"/>
      <c r="I24" s="1599"/>
      <c r="J24" s="1599"/>
      <c r="K24" s="1599"/>
      <c r="L24" s="1599"/>
      <c r="M24" s="1599"/>
      <c r="N24" s="1599"/>
      <c r="O24" s="1599"/>
      <c r="P24" s="1599"/>
      <c r="Q24" s="1599"/>
      <c r="R24" s="1599"/>
      <c r="S24" s="1599"/>
      <c r="T24" s="1599"/>
      <c r="U24" s="1599"/>
      <c r="V24" s="1599"/>
      <c r="W24" s="1599"/>
      <c r="X24" s="1599"/>
      <c r="Y24" s="1599"/>
      <c r="Z24" s="1599"/>
      <c r="AA24" s="1599"/>
      <c r="AB24" s="1599"/>
      <c r="AC24" s="1599"/>
      <c r="AD24" s="1599"/>
      <c r="AE24" s="1599"/>
      <c r="AF24" s="1777"/>
      <c r="AG24" s="1778"/>
    </row>
    <row r="25" spans="1:33" ht="18" customHeight="1">
      <c r="A25" s="1752">
        <v>8500</v>
      </c>
      <c r="B25" s="1650" t="s">
        <v>59</v>
      </c>
      <c r="C25" s="1779"/>
      <c r="D25" s="1780" t="s">
        <v>40</v>
      </c>
      <c r="E25" s="1579"/>
      <c r="F25" s="1579"/>
      <c r="G25" s="1781" t="s">
        <v>40</v>
      </c>
      <c r="H25" s="1579" t="s">
        <v>40</v>
      </c>
      <c r="I25" s="1579" t="s">
        <v>40</v>
      </c>
      <c r="J25" s="1579" t="s">
        <v>40</v>
      </c>
      <c r="K25" s="1579" t="s">
        <v>40</v>
      </c>
      <c r="L25" s="1579"/>
      <c r="M25" s="1579"/>
      <c r="N25" s="1579" t="s">
        <v>40</v>
      </c>
      <c r="O25" s="1579" t="s">
        <v>40</v>
      </c>
      <c r="P25" s="1579" t="s">
        <v>40</v>
      </c>
      <c r="Q25" s="1579" t="s">
        <v>40</v>
      </c>
      <c r="R25" s="1579" t="s">
        <v>40</v>
      </c>
      <c r="S25" s="1579"/>
      <c r="T25" s="1579"/>
      <c r="U25" s="1579" t="s">
        <v>40</v>
      </c>
      <c r="V25" s="1579" t="s">
        <v>40</v>
      </c>
      <c r="W25" s="1579" t="s">
        <v>40</v>
      </c>
      <c r="X25" s="1579" t="s">
        <v>40</v>
      </c>
      <c r="Y25" s="1579" t="s">
        <v>40</v>
      </c>
      <c r="Z25" s="1579"/>
      <c r="AA25" s="1579"/>
      <c r="AB25" s="1579" t="s">
        <v>40</v>
      </c>
      <c r="AC25" s="1579" t="s">
        <v>40</v>
      </c>
      <c r="AD25" s="1579" t="s">
        <v>40</v>
      </c>
      <c r="AE25" s="1579"/>
      <c r="AF25" s="1782" t="s">
        <v>40</v>
      </c>
      <c r="AG25" s="1778"/>
    </row>
    <row r="26" spans="1:33" ht="18" customHeight="1">
      <c r="A26" s="1733">
        <v>8500</v>
      </c>
      <c r="B26" s="171" t="s">
        <v>60</v>
      </c>
      <c r="C26" s="1754"/>
      <c r="D26" s="1736" t="s">
        <v>40</v>
      </c>
      <c r="E26" s="1736"/>
      <c r="F26" s="1754"/>
      <c r="G26" s="1761">
        <v>25</v>
      </c>
      <c r="H26" s="1761">
        <v>25</v>
      </c>
      <c r="I26" s="1761">
        <v>26</v>
      </c>
      <c r="J26" s="1761">
        <v>26</v>
      </c>
      <c r="K26" s="1761">
        <v>5</v>
      </c>
      <c r="L26" s="1754"/>
      <c r="M26" s="1753"/>
      <c r="N26" s="1761" t="s">
        <v>61</v>
      </c>
      <c r="O26" s="1761">
        <v>21</v>
      </c>
      <c r="P26" s="1761">
        <v>9</v>
      </c>
      <c r="Q26" s="1761">
        <v>10</v>
      </c>
      <c r="R26" s="1761">
        <v>11</v>
      </c>
      <c r="S26" s="1761" t="s">
        <v>52</v>
      </c>
      <c r="T26" s="1761" t="s">
        <v>53</v>
      </c>
      <c r="U26" s="1760" t="s">
        <v>46</v>
      </c>
      <c r="V26" s="1760" t="s">
        <v>46</v>
      </c>
      <c r="W26" s="1760" t="s">
        <v>46</v>
      </c>
      <c r="X26" s="1760" t="s">
        <v>46</v>
      </c>
      <c r="Y26" s="1760" t="s">
        <v>62</v>
      </c>
      <c r="Z26" s="1754"/>
      <c r="AA26" s="1754"/>
      <c r="AB26" s="1761" t="s">
        <v>26</v>
      </c>
      <c r="AC26" s="1761" t="s">
        <v>26</v>
      </c>
      <c r="AD26" s="1761" t="s">
        <v>43</v>
      </c>
      <c r="AE26" s="1761" t="s">
        <v>43</v>
      </c>
      <c r="AF26" s="1783" t="s">
        <v>0</v>
      </c>
      <c r="AG26" s="1778"/>
    </row>
    <row r="27" spans="1:33" ht="18" customHeight="1" thickBot="1">
      <c r="A27" s="1713"/>
      <c r="B27" s="1734" t="s">
        <v>63</v>
      </c>
      <c r="C27" s="1784"/>
      <c r="D27" s="1784" t="s">
        <v>40</v>
      </c>
      <c r="E27" s="1784"/>
      <c r="F27" s="1736"/>
      <c r="G27" s="1736" t="s">
        <v>40</v>
      </c>
      <c r="H27" s="1760">
        <v>4</v>
      </c>
      <c r="I27" t="s">
        <v>40</v>
      </c>
      <c r="J27" s="1736" t="s">
        <v>40</v>
      </c>
      <c r="K27" s="1736" t="s">
        <v>40</v>
      </c>
      <c r="L27" s="1736"/>
      <c r="M27" s="1736"/>
      <c r="N27" s="1736" t="s">
        <v>64</v>
      </c>
      <c r="O27" s="1785" t="s">
        <v>40</v>
      </c>
      <c r="P27" s="1760" t="s">
        <v>64</v>
      </c>
      <c r="Q27" s="1736" t="s">
        <v>40</v>
      </c>
      <c r="R27" s="1736">
        <v>1</v>
      </c>
      <c r="S27" s="1753"/>
      <c r="T27" s="1753"/>
      <c r="U27" s="1753">
        <v>69</v>
      </c>
      <c r="V27" s="1760">
        <v>69</v>
      </c>
      <c r="W27" s="1760">
        <v>69</v>
      </c>
      <c r="X27" s="1760">
        <v>69</v>
      </c>
      <c r="Y27" s="1736">
        <v>69</v>
      </c>
      <c r="Z27" s="1736"/>
      <c r="AA27" s="1736"/>
      <c r="AB27" s="1736" t="s">
        <v>40</v>
      </c>
      <c r="AC27" s="1760" t="s">
        <v>40</v>
      </c>
      <c r="AD27" s="1760" t="s">
        <v>40</v>
      </c>
      <c r="AE27" s="1784"/>
      <c r="AF27" s="1786" t="s">
        <v>40</v>
      </c>
      <c r="AG27" s="1778"/>
    </row>
    <row r="28" spans="1:33" ht="18" customHeight="1" thickBot="1">
      <c r="A28" s="1787"/>
      <c r="B28" s="1788" t="s">
        <v>65</v>
      </c>
      <c r="C28" s="1789"/>
      <c r="D28" s="1790" t="s">
        <v>40</v>
      </c>
      <c r="E28" s="1744"/>
      <c r="F28" s="1791"/>
      <c r="G28" s="1792" t="s">
        <v>40</v>
      </c>
      <c r="H28" s="1792" t="s">
        <v>40</v>
      </c>
      <c r="I28" s="1792" t="s">
        <v>40</v>
      </c>
      <c r="J28" s="1793" t="s">
        <v>40</v>
      </c>
      <c r="K28" s="1791" t="s">
        <v>40</v>
      </c>
      <c r="L28" s="1791"/>
      <c r="M28" s="1791"/>
      <c r="N28" s="1794" t="s">
        <v>40</v>
      </c>
      <c r="O28" s="1792" t="s">
        <v>40</v>
      </c>
      <c r="P28" s="1791" t="s">
        <v>40</v>
      </c>
      <c r="Q28" s="1793" t="s">
        <v>40</v>
      </c>
      <c r="R28" s="1744" t="s">
        <v>40</v>
      </c>
      <c r="S28" s="1744"/>
      <c r="T28" s="1744"/>
      <c r="U28" s="1785" t="s">
        <v>40</v>
      </c>
      <c r="V28" s="1785" t="s">
        <v>40</v>
      </c>
      <c r="W28" s="1744" t="s">
        <v>40</v>
      </c>
      <c r="X28" s="1789" t="s">
        <v>40</v>
      </c>
      <c r="Y28" s="1795" t="s">
        <v>40</v>
      </c>
      <c r="Z28" s="1744"/>
      <c r="AA28" s="1744"/>
      <c r="AB28" s="1785" t="s">
        <v>40</v>
      </c>
      <c r="AC28" s="1785" t="s">
        <v>40</v>
      </c>
      <c r="AD28" s="1744" t="s">
        <v>40</v>
      </c>
      <c r="AE28" s="1789"/>
      <c r="AF28" s="1747" t="s">
        <v>40</v>
      </c>
      <c r="AG28" s="1657"/>
    </row>
    <row r="29" spans="1:33" ht="18" customHeight="1">
      <c r="A29" s="187"/>
      <c r="B29" s="111"/>
      <c r="C29" s="120"/>
      <c r="D29" s="182"/>
      <c r="E29" s="182"/>
      <c r="F29" s="182"/>
      <c r="G29" s="182"/>
      <c r="H29" s="182"/>
      <c r="I29" s="182"/>
      <c r="J29" s="182"/>
      <c r="K29" s="182"/>
      <c r="L29" s="111"/>
      <c r="M29" s="111"/>
      <c r="N29" s="111"/>
      <c r="O29" s="111"/>
      <c r="P29" s="182"/>
      <c r="Q29" s="183"/>
      <c r="R29" s="182">
        <v>4</v>
      </c>
      <c r="S29" s="238"/>
      <c r="T29" s="238"/>
      <c r="U29" s="239"/>
      <c r="V29" s="239"/>
      <c r="W29" s="239"/>
      <c r="X29" s="239"/>
      <c r="Y29" s="239"/>
      <c r="Z29" s="182"/>
      <c r="AA29" s="182"/>
      <c r="AB29" s="111"/>
      <c r="AC29" s="111"/>
      <c r="AD29" s="182"/>
      <c r="AE29" s="183"/>
      <c r="AF29" s="182"/>
    </row>
    <row r="30" spans="1:33" ht="18" customHeight="1">
      <c r="A30" s="188"/>
      <c r="B30" s="111"/>
      <c r="C30" s="111"/>
      <c r="D30" s="111" t="s">
        <v>0</v>
      </c>
      <c r="E30" s="182"/>
      <c r="F30" s="182"/>
      <c r="G30" s="111"/>
      <c r="H30" s="111"/>
      <c r="J30" s="183"/>
      <c r="L30" s="111"/>
      <c r="M30" s="111"/>
      <c r="N30" s="184"/>
      <c r="P30" s="124"/>
      <c r="Q30" s="185"/>
      <c r="R30" s="190"/>
      <c r="S30" s="182"/>
      <c r="T30" s="182"/>
      <c r="U30" s="111"/>
      <c r="V30" s="111"/>
      <c r="W30" s="182"/>
      <c r="X30" s="183"/>
      <c r="Y30" s="182"/>
      <c r="Z30" s="182"/>
      <c r="AA30" s="182"/>
      <c r="AB30" s="111"/>
      <c r="AC30" s="111"/>
      <c r="AD30" s="182"/>
      <c r="AE30" s="183"/>
      <c r="AF30" s="182">
        <v>79</v>
      </c>
    </row>
    <row r="36" spans="1:33" ht="12" customHeight="1" thickBot="1">
      <c r="A36" s="96" t="s">
        <v>66</v>
      </c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 t="s">
        <v>0</v>
      </c>
      <c r="P36" s="48"/>
      <c r="Q36" s="48" t="s">
        <v>67</v>
      </c>
      <c r="R36" s="48" t="s">
        <v>0</v>
      </c>
      <c r="S36" s="48" t="s">
        <v>68</v>
      </c>
      <c r="T36" s="48"/>
      <c r="U36" s="48"/>
      <c r="V36" s="48"/>
      <c r="W36" s="48"/>
      <c r="X36" s="48"/>
      <c r="Y36" s="48"/>
      <c r="Z36" s="48"/>
      <c r="AA36" s="48"/>
      <c r="AB36" s="48"/>
      <c r="AC36" s="48"/>
      <c r="AD36" s="48"/>
      <c r="AE36" s="48"/>
      <c r="AF36" s="48"/>
    </row>
    <row r="37" spans="1:33" ht="18" customHeight="1">
      <c r="A37" s="1595" t="s">
        <v>69</v>
      </c>
      <c r="B37" s="1595" t="s">
        <v>69</v>
      </c>
      <c r="C37" s="1596"/>
      <c r="D37" s="1641" t="s">
        <v>70</v>
      </c>
      <c r="E37" s="1581"/>
      <c r="F37" s="1581"/>
      <c r="G37" s="1581"/>
      <c r="H37" s="1581"/>
      <c r="I37" s="1581"/>
      <c r="J37" s="1581"/>
      <c r="K37" s="1581"/>
      <c r="L37" s="1581"/>
      <c r="M37" s="1597" t="s">
        <v>71</v>
      </c>
      <c r="N37" s="1581"/>
      <c r="O37" s="1581"/>
      <c r="P37" s="1581"/>
      <c r="Q37" s="1581"/>
      <c r="R37" s="1581"/>
      <c r="S37" s="1598"/>
      <c r="T37" s="1796" t="s">
        <v>72</v>
      </c>
      <c r="U37" s="1796"/>
      <c r="V37" s="1796"/>
      <c r="W37" s="1796"/>
      <c r="X37" s="1796"/>
      <c r="Y37" s="1796"/>
      <c r="Z37" s="1796"/>
      <c r="AA37" s="1642" t="s">
        <v>73</v>
      </c>
      <c r="AB37" s="1643"/>
      <c r="AC37" s="1643"/>
      <c r="AD37" s="1643"/>
      <c r="AE37" s="1643"/>
      <c r="AF37" s="1643"/>
    </row>
    <row r="38" spans="1:33" ht="18" customHeight="1">
      <c r="A38" s="1797" t="s">
        <v>74</v>
      </c>
      <c r="B38" s="1797" t="s">
        <v>74</v>
      </c>
      <c r="C38" s="1798"/>
      <c r="D38" s="1799" t="s">
        <v>75</v>
      </c>
      <c r="E38" s="1800"/>
      <c r="F38" s="1703"/>
      <c r="G38" s="1703"/>
      <c r="H38" s="1703"/>
      <c r="I38" s="1703"/>
      <c r="J38" s="1703"/>
      <c r="K38" s="1703"/>
      <c r="L38" s="1801"/>
      <c r="M38" s="1802" t="s">
        <v>76</v>
      </c>
      <c r="N38" s="1798"/>
      <c r="O38" s="1803"/>
      <c r="P38" s="1798"/>
      <c r="Q38" s="1798"/>
      <c r="R38" s="1798"/>
      <c r="S38" s="1804"/>
      <c r="T38" s="1799" t="s">
        <v>77</v>
      </c>
      <c r="U38" s="1703"/>
      <c r="V38" s="1800"/>
      <c r="W38" s="1703"/>
      <c r="X38" s="1703"/>
      <c r="Y38" s="1703"/>
      <c r="Z38" s="1801"/>
      <c r="AA38" s="97" t="s">
        <v>78</v>
      </c>
      <c r="AD38" s="59"/>
    </row>
    <row r="39" spans="1:33" ht="18" customHeight="1">
      <c r="A39" s="1805" t="s">
        <v>79</v>
      </c>
      <c r="B39" s="1805" t="s">
        <v>79</v>
      </c>
      <c r="C39" s="1703"/>
      <c r="D39" s="1806"/>
      <c r="E39" s="1703"/>
      <c r="F39" s="1703"/>
      <c r="G39" s="1801"/>
      <c r="H39" s="1807" t="s">
        <v>80</v>
      </c>
      <c r="I39" s="1703"/>
      <c r="J39" s="1703"/>
      <c r="K39" s="1703"/>
      <c r="L39" s="1703"/>
      <c r="M39" s="1808"/>
      <c r="N39" s="1703"/>
      <c r="O39" s="1703"/>
      <c r="P39" s="1703"/>
      <c r="Q39" s="1703"/>
      <c r="R39" s="1703"/>
      <c r="S39" s="1703"/>
      <c r="T39" s="1806"/>
      <c r="U39" s="96" t="s">
        <v>81</v>
      </c>
      <c r="AA39" s="1803"/>
      <c r="AB39" s="1798"/>
      <c r="AC39" s="1798"/>
      <c r="AD39" s="1798"/>
      <c r="AE39" s="1798"/>
      <c r="AF39" s="1798"/>
    </row>
    <row r="40" spans="1:33" ht="18" customHeight="1" thickBot="1">
      <c r="A40" s="1809" t="s">
        <v>82</v>
      </c>
      <c r="B40" s="1809" t="s">
        <v>82</v>
      </c>
      <c r="C40" s="1810"/>
      <c r="D40" s="1811"/>
      <c r="E40" s="1810"/>
      <c r="F40" s="1810"/>
      <c r="G40" s="1812"/>
      <c r="H40" s="1813" t="s">
        <v>83</v>
      </c>
      <c r="I40" s="1812"/>
      <c r="J40" s="1810"/>
      <c r="K40" s="1810"/>
      <c r="L40" s="1810"/>
      <c r="M40" s="1814"/>
      <c r="N40" s="1810"/>
      <c r="O40" s="1810"/>
      <c r="P40" s="1810"/>
      <c r="Q40" s="1815"/>
      <c r="R40" s="1815"/>
      <c r="S40" s="1815"/>
      <c r="T40" s="1811"/>
      <c r="U40" s="1816" t="s">
        <v>84</v>
      </c>
      <c r="V40" s="1810"/>
      <c r="W40" s="1810"/>
      <c r="X40" s="1810"/>
      <c r="Y40" s="1810"/>
      <c r="Z40" s="1810"/>
      <c r="AA40" s="1810"/>
      <c r="AB40" s="1810"/>
      <c r="AC40" s="1810"/>
      <c r="AD40" s="1810"/>
      <c r="AE40" s="1810"/>
      <c r="AF40" s="1810"/>
    </row>
    <row r="41" spans="1:33" ht="18" customHeight="1" thickBot="1">
      <c r="B41" s="62" t="s">
        <v>36</v>
      </c>
      <c r="C41" s="48"/>
      <c r="D41" s="48"/>
      <c r="E41" s="48"/>
      <c r="F41" s="48"/>
      <c r="G41" s="48"/>
      <c r="H41" s="48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  <c r="AA41" s="48"/>
      <c r="AB41" s="48"/>
      <c r="AC41" s="48"/>
      <c r="AD41" s="48"/>
      <c r="AE41" s="48"/>
      <c r="AF41" s="48"/>
      <c r="AG41" s="103"/>
    </row>
    <row r="42" spans="1:33" ht="18" customHeight="1" thickBot="1">
      <c r="A42" s="1817" t="s">
        <v>37</v>
      </c>
      <c r="B42" s="1572" t="s">
        <v>38</v>
      </c>
      <c r="C42" s="1580">
        <v>1</v>
      </c>
      <c r="D42" s="1578">
        <v>2</v>
      </c>
      <c r="E42" s="1580">
        <v>3</v>
      </c>
      <c r="F42" s="1580">
        <v>4</v>
      </c>
      <c r="G42" s="1578">
        <v>5</v>
      </c>
      <c r="H42" s="1578">
        <v>6</v>
      </c>
      <c r="I42" s="1578">
        <v>7</v>
      </c>
      <c r="J42" s="1578">
        <v>8</v>
      </c>
      <c r="K42" s="1578">
        <v>9</v>
      </c>
      <c r="L42" s="1580">
        <v>10</v>
      </c>
      <c r="M42" s="1580">
        <v>11</v>
      </c>
      <c r="N42" s="1578">
        <v>12</v>
      </c>
      <c r="O42" s="1578">
        <v>13</v>
      </c>
      <c r="P42" s="1578">
        <v>14</v>
      </c>
      <c r="Q42" s="1578">
        <v>15</v>
      </c>
      <c r="R42" s="1578">
        <v>16</v>
      </c>
      <c r="S42" s="1580">
        <v>17</v>
      </c>
      <c r="T42" s="1580">
        <v>18</v>
      </c>
      <c r="U42" s="1578">
        <v>19</v>
      </c>
      <c r="V42" s="1578">
        <v>20</v>
      </c>
      <c r="W42" s="1578">
        <v>21</v>
      </c>
      <c r="X42" s="1578">
        <v>22</v>
      </c>
      <c r="Y42" s="1578">
        <v>23</v>
      </c>
      <c r="Z42" s="1580">
        <v>24</v>
      </c>
      <c r="AA42" s="1580">
        <v>25</v>
      </c>
      <c r="AB42" s="1578">
        <v>26</v>
      </c>
      <c r="AC42" s="1578">
        <v>27</v>
      </c>
      <c r="AD42" s="1578">
        <v>28</v>
      </c>
      <c r="AE42" s="1580">
        <v>29</v>
      </c>
      <c r="AF42" s="1578">
        <v>30</v>
      </c>
      <c r="AG42" s="1580">
        <v>31</v>
      </c>
    </row>
    <row r="43" spans="1:33" ht="18" customHeight="1">
      <c r="A43" s="1818">
        <v>1</v>
      </c>
      <c r="B43" s="1722" t="s">
        <v>85</v>
      </c>
      <c r="C43" s="1644" t="s">
        <v>46</v>
      </c>
      <c r="D43" s="1645" t="s">
        <v>46</v>
      </c>
      <c r="E43" s="1644" t="s">
        <v>86</v>
      </c>
      <c r="F43" s="1644" t="s">
        <v>86</v>
      </c>
      <c r="G43" s="1819">
        <v>7</v>
      </c>
      <c r="H43" s="1819">
        <v>7</v>
      </c>
      <c r="I43" s="1819">
        <v>7</v>
      </c>
      <c r="J43" s="1819">
        <v>7</v>
      </c>
      <c r="K43" s="1819">
        <v>7</v>
      </c>
      <c r="L43" s="1819"/>
      <c r="M43" s="1819"/>
      <c r="N43" s="1819">
        <v>4</v>
      </c>
      <c r="O43" s="1819">
        <v>4</v>
      </c>
      <c r="P43" s="1819">
        <v>4</v>
      </c>
      <c r="Q43" s="1819">
        <v>4</v>
      </c>
      <c r="R43" s="1819">
        <v>4</v>
      </c>
      <c r="S43" s="1819"/>
      <c r="T43" s="1819"/>
      <c r="U43" s="1819">
        <v>3</v>
      </c>
      <c r="V43" s="1819">
        <v>3</v>
      </c>
      <c r="W43" s="1819">
        <v>3</v>
      </c>
      <c r="X43" s="1819">
        <v>3</v>
      </c>
      <c r="Y43" s="1819">
        <v>3</v>
      </c>
      <c r="Z43" s="1819"/>
      <c r="AA43" s="1819"/>
      <c r="AB43" s="1820">
        <v>11</v>
      </c>
      <c r="AC43" s="1820">
        <v>11</v>
      </c>
      <c r="AD43" s="1820">
        <v>11</v>
      </c>
      <c r="AE43" s="1820">
        <v>11</v>
      </c>
      <c r="AF43" s="1820">
        <v>11</v>
      </c>
      <c r="AG43" s="1821" t="s">
        <v>87</v>
      </c>
    </row>
    <row r="44" spans="1:33" ht="18" customHeight="1">
      <c r="A44" s="1822">
        <v>6</v>
      </c>
      <c r="B44" s="1734" t="s">
        <v>88</v>
      </c>
      <c r="C44" s="1784" t="s">
        <v>46</v>
      </c>
      <c r="D44" s="1784" t="s">
        <v>46</v>
      </c>
      <c r="E44" s="1766" t="s">
        <v>89</v>
      </c>
      <c r="F44" s="1766" t="s">
        <v>89</v>
      </c>
      <c r="G44" s="1784">
        <v>8</v>
      </c>
      <c r="H44" s="1784">
        <v>8</v>
      </c>
      <c r="I44" s="1784">
        <v>8</v>
      </c>
      <c r="J44" s="1784">
        <v>8</v>
      </c>
      <c r="K44" s="1784">
        <v>8</v>
      </c>
      <c r="L44" s="1784"/>
      <c r="M44" s="1784"/>
      <c r="N44" s="1784" t="s">
        <v>46</v>
      </c>
      <c r="O44" s="1784" t="s">
        <v>46</v>
      </c>
      <c r="P44" s="1784" t="s">
        <v>46</v>
      </c>
      <c r="Q44" s="1784" t="s">
        <v>46</v>
      </c>
      <c r="R44" s="1784" t="s">
        <v>46</v>
      </c>
      <c r="S44" s="1784"/>
      <c r="T44" s="1784"/>
      <c r="U44" s="1784">
        <v>1</v>
      </c>
      <c r="V44" s="1784">
        <v>1</v>
      </c>
      <c r="W44" s="1784">
        <v>1</v>
      </c>
      <c r="X44" s="1784">
        <v>1</v>
      </c>
      <c r="Y44" s="1784">
        <v>1</v>
      </c>
      <c r="Z44" s="1784"/>
      <c r="AA44" s="1784"/>
      <c r="AB44" s="1784">
        <v>9</v>
      </c>
      <c r="AC44" s="1784">
        <v>9</v>
      </c>
      <c r="AD44" s="1784">
        <v>9</v>
      </c>
      <c r="AE44" s="1784">
        <v>9</v>
      </c>
      <c r="AF44" s="1784">
        <v>9</v>
      </c>
      <c r="AG44" s="1740" t="s">
        <v>52</v>
      </c>
    </row>
    <row r="45" spans="1:33" ht="18" customHeight="1" thickBot="1">
      <c r="A45" s="1823">
        <v>11</v>
      </c>
      <c r="B45" s="1741" t="s">
        <v>90</v>
      </c>
      <c r="C45" s="1824" t="s">
        <v>46</v>
      </c>
      <c r="D45" s="1824" t="s">
        <v>46</v>
      </c>
      <c r="E45" s="1825" t="s">
        <v>91</v>
      </c>
      <c r="F45" s="1824" t="s">
        <v>89</v>
      </c>
      <c r="G45" s="1826">
        <v>6</v>
      </c>
      <c r="H45" s="1826">
        <v>6</v>
      </c>
      <c r="I45" s="1826">
        <v>6</v>
      </c>
      <c r="J45" s="1826">
        <v>6</v>
      </c>
      <c r="K45" s="1826">
        <v>6</v>
      </c>
      <c r="L45" s="1824"/>
      <c r="M45" s="1827"/>
      <c r="N45" s="1824" t="s">
        <v>46</v>
      </c>
      <c r="O45" s="1824" t="s">
        <v>46</v>
      </c>
      <c r="P45" s="1824" t="s">
        <v>46</v>
      </c>
      <c r="Q45" s="1824" t="s">
        <v>46</v>
      </c>
      <c r="R45" s="1824" t="s">
        <v>46</v>
      </c>
      <c r="S45" s="1824"/>
      <c r="T45" s="1744"/>
      <c r="U45" s="1824">
        <v>5</v>
      </c>
      <c r="V45" s="1824">
        <v>5</v>
      </c>
      <c r="W45" s="1824">
        <v>5</v>
      </c>
      <c r="X45" s="1824">
        <v>5</v>
      </c>
      <c r="Y45" s="1828">
        <v>5</v>
      </c>
      <c r="Z45" s="1824"/>
      <c r="AA45" s="1824"/>
      <c r="AB45" s="1824">
        <v>10</v>
      </c>
      <c r="AC45" s="1824">
        <v>10</v>
      </c>
      <c r="AD45" s="1824">
        <v>10</v>
      </c>
      <c r="AE45" s="1824">
        <v>10</v>
      </c>
      <c r="AF45" s="1824">
        <v>10</v>
      </c>
      <c r="AG45" s="1740" t="s">
        <v>53</v>
      </c>
    </row>
    <row r="46" spans="1:33" ht="18" customHeight="1">
      <c r="A46" s="1818">
        <v>2</v>
      </c>
      <c r="B46" s="1829" t="s">
        <v>92</v>
      </c>
      <c r="C46" s="1830">
        <v>7</v>
      </c>
      <c r="D46" s="1831">
        <v>7</v>
      </c>
      <c r="E46" s="1832"/>
      <c r="F46" s="1833"/>
      <c r="G46" s="1834">
        <v>4</v>
      </c>
      <c r="H46" s="1834">
        <v>4</v>
      </c>
      <c r="I46" s="1835">
        <v>4</v>
      </c>
      <c r="J46" s="1836">
        <v>4</v>
      </c>
      <c r="K46" s="1837">
        <v>4</v>
      </c>
      <c r="L46" s="1837"/>
      <c r="M46" s="1837"/>
      <c r="N46" s="1837">
        <v>3</v>
      </c>
      <c r="O46" s="1837">
        <v>3</v>
      </c>
      <c r="P46" s="1837">
        <v>3</v>
      </c>
      <c r="Q46" s="1837">
        <v>3</v>
      </c>
      <c r="R46" s="1837">
        <v>3</v>
      </c>
      <c r="S46" s="1837"/>
      <c r="T46" s="1837"/>
      <c r="U46" s="1837">
        <v>11</v>
      </c>
      <c r="V46" s="1837">
        <v>11</v>
      </c>
      <c r="W46" s="1837">
        <v>11</v>
      </c>
      <c r="X46" s="1837">
        <v>11</v>
      </c>
      <c r="Y46" s="1837">
        <v>11</v>
      </c>
      <c r="Z46" s="1837" t="s">
        <v>87</v>
      </c>
      <c r="AA46" s="1837" t="s">
        <v>87</v>
      </c>
      <c r="AB46" s="1837" t="s">
        <v>46</v>
      </c>
      <c r="AC46" s="1837" t="s">
        <v>46</v>
      </c>
      <c r="AD46" s="1837" t="s">
        <v>46</v>
      </c>
      <c r="AE46" s="1837" t="s">
        <v>46</v>
      </c>
      <c r="AF46" s="1837" t="s">
        <v>46</v>
      </c>
      <c r="AG46" s="1838" t="s">
        <v>89</v>
      </c>
    </row>
    <row r="47" spans="1:33" ht="18" customHeight="1">
      <c r="A47" s="1822">
        <v>7</v>
      </c>
      <c r="B47" s="1734" t="s">
        <v>93</v>
      </c>
      <c r="C47" s="1754">
        <v>8</v>
      </c>
      <c r="D47" s="1839">
        <v>8</v>
      </c>
      <c r="E47" s="1754"/>
      <c r="F47" s="1754"/>
      <c r="G47" s="1760" t="s">
        <v>43</v>
      </c>
      <c r="H47" s="1760" t="s">
        <v>43</v>
      </c>
      <c r="I47" s="1760" t="s">
        <v>43</v>
      </c>
      <c r="J47" s="1760" t="s">
        <v>43</v>
      </c>
      <c r="K47" s="1760" t="s">
        <v>43</v>
      </c>
      <c r="L47" s="1713"/>
      <c r="M47" s="1713"/>
      <c r="N47" s="1755" t="s">
        <v>46</v>
      </c>
      <c r="O47" s="1755" t="s">
        <v>46</v>
      </c>
      <c r="P47" s="1839" t="s">
        <v>46</v>
      </c>
      <c r="Q47" s="1713" t="s">
        <v>46</v>
      </c>
      <c r="R47" s="1755" t="s">
        <v>46</v>
      </c>
      <c r="S47" s="1755" t="s">
        <v>49</v>
      </c>
      <c r="T47" s="1754" t="s">
        <v>49</v>
      </c>
      <c r="U47" s="1713" t="s">
        <v>50</v>
      </c>
      <c r="V47" s="1713" t="s">
        <v>50</v>
      </c>
      <c r="W47" s="1754" t="s">
        <v>50</v>
      </c>
      <c r="X47" s="1754" t="s">
        <v>50</v>
      </c>
      <c r="Y47" s="1754" t="s">
        <v>50</v>
      </c>
      <c r="Z47" s="1760"/>
      <c r="AA47" s="1760"/>
      <c r="AB47" s="1755" t="s">
        <v>46</v>
      </c>
      <c r="AC47" s="1755" t="s">
        <v>46</v>
      </c>
      <c r="AD47" s="1755" t="s">
        <v>46</v>
      </c>
      <c r="AE47" s="1754" t="s">
        <v>46</v>
      </c>
      <c r="AF47" s="1755" t="s">
        <v>46</v>
      </c>
      <c r="AG47" s="1840" t="s">
        <v>49</v>
      </c>
    </row>
    <row r="48" spans="1:33" ht="18" customHeight="1" thickBot="1">
      <c r="A48" s="1823">
        <v>12</v>
      </c>
      <c r="B48" s="1841" t="s">
        <v>94</v>
      </c>
      <c r="C48" s="1827">
        <v>6</v>
      </c>
      <c r="D48" s="1826">
        <v>6</v>
      </c>
      <c r="E48" s="1464"/>
      <c r="F48" s="1464"/>
      <c r="G48" s="1464" t="s">
        <v>46</v>
      </c>
      <c r="H48" s="1464" t="s">
        <v>46</v>
      </c>
      <c r="I48" s="1842" t="s">
        <v>46</v>
      </c>
      <c r="J48" s="1464" t="s">
        <v>46</v>
      </c>
      <c r="K48" s="1842" t="s">
        <v>46</v>
      </c>
      <c r="L48" s="1464"/>
      <c r="M48" s="1464"/>
      <c r="N48" s="1464">
        <v>5</v>
      </c>
      <c r="O48" s="1464">
        <v>5</v>
      </c>
      <c r="P48" s="1465">
        <v>5</v>
      </c>
      <c r="Q48" s="1464">
        <v>5</v>
      </c>
      <c r="R48" s="1464">
        <v>5</v>
      </c>
      <c r="S48" s="1464"/>
      <c r="T48" s="1464"/>
      <c r="U48" s="1466">
        <v>10</v>
      </c>
      <c r="V48" s="1466">
        <v>10</v>
      </c>
      <c r="W48" s="1466">
        <v>10</v>
      </c>
      <c r="X48" s="1466">
        <v>10</v>
      </c>
      <c r="Y48" s="1466">
        <v>10</v>
      </c>
      <c r="Z48" s="1466" t="s">
        <v>53</v>
      </c>
      <c r="AA48" s="1466" t="s">
        <v>53</v>
      </c>
      <c r="AB48" s="1464" t="s">
        <v>46</v>
      </c>
      <c r="AC48" s="1464" t="s">
        <v>46</v>
      </c>
      <c r="AD48" s="1464" t="s">
        <v>46</v>
      </c>
      <c r="AE48" s="1464" t="s">
        <v>46</v>
      </c>
      <c r="AF48" s="1467" t="s">
        <v>46</v>
      </c>
      <c r="AG48" s="1740" t="s">
        <v>91</v>
      </c>
    </row>
    <row r="49" spans="1:39" ht="18" customHeight="1">
      <c r="A49" s="1818">
        <v>3</v>
      </c>
      <c r="B49" s="1843" t="s">
        <v>95</v>
      </c>
      <c r="C49" s="511">
        <v>4</v>
      </c>
      <c r="D49" s="527">
        <v>4</v>
      </c>
      <c r="E49" s="504"/>
      <c r="F49" s="504"/>
      <c r="G49" s="510">
        <v>3</v>
      </c>
      <c r="H49" s="510">
        <v>3</v>
      </c>
      <c r="I49" s="510">
        <v>3</v>
      </c>
      <c r="J49" s="510">
        <v>3</v>
      </c>
      <c r="K49" s="510">
        <v>3</v>
      </c>
      <c r="L49" s="510"/>
      <c r="M49" s="510"/>
      <c r="N49" s="510">
        <v>11</v>
      </c>
      <c r="O49" s="510">
        <v>11</v>
      </c>
      <c r="P49" s="510">
        <v>11</v>
      </c>
      <c r="Q49" s="510">
        <v>11</v>
      </c>
      <c r="R49" s="510">
        <v>11</v>
      </c>
      <c r="S49" s="510" t="s">
        <v>87</v>
      </c>
      <c r="T49" s="510" t="s">
        <v>87</v>
      </c>
      <c r="U49" s="510" t="s">
        <v>46</v>
      </c>
      <c r="V49" s="510" t="s">
        <v>46</v>
      </c>
      <c r="W49" s="510" t="s">
        <v>46</v>
      </c>
      <c r="X49" s="510" t="s">
        <v>46</v>
      </c>
      <c r="Y49" s="510" t="s">
        <v>46</v>
      </c>
      <c r="Z49" s="510" t="s">
        <v>89</v>
      </c>
      <c r="AA49" s="510" t="s">
        <v>89</v>
      </c>
      <c r="AB49" s="504">
        <v>8</v>
      </c>
      <c r="AC49" s="509">
        <v>8</v>
      </c>
      <c r="AD49" s="504">
        <v>8</v>
      </c>
      <c r="AE49" s="504">
        <v>8</v>
      </c>
      <c r="AF49" s="504">
        <v>8</v>
      </c>
      <c r="AG49" s="1740"/>
    </row>
    <row r="50" spans="1:39" ht="18" customHeight="1">
      <c r="A50" s="1822">
        <v>8</v>
      </c>
      <c r="B50" s="1734" t="s">
        <v>96</v>
      </c>
      <c r="C50" s="1736" t="s">
        <v>46</v>
      </c>
      <c r="D50" s="1736" t="s">
        <v>46</v>
      </c>
      <c r="E50" s="1736"/>
      <c r="F50" s="1736"/>
      <c r="G50" s="1766">
        <v>1</v>
      </c>
      <c r="H50" s="1766">
        <v>1</v>
      </c>
      <c r="I50" s="1766">
        <v>1</v>
      </c>
      <c r="J50" s="1844">
        <v>1</v>
      </c>
      <c r="K50" s="1844">
        <v>1</v>
      </c>
      <c r="L50" s="1736"/>
      <c r="M50" s="1736"/>
      <c r="N50" s="1736">
        <v>9</v>
      </c>
      <c r="O50" s="1736">
        <v>9</v>
      </c>
      <c r="P50" s="1766">
        <v>9</v>
      </c>
      <c r="Q50" s="1766">
        <v>9</v>
      </c>
      <c r="R50" s="1766">
        <v>9</v>
      </c>
      <c r="S50" s="1766" t="s">
        <v>52</v>
      </c>
      <c r="T50" s="1766" t="s">
        <v>53</v>
      </c>
      <c r="U50" s="1736" t="s">
        <v>46</v>
      </c>
      <c r="V50" s="1736" t="s">
        <v>46</v>
      </c>
      <c r="W50" s="1736" t="s">
        <v>46</v>
      </c>
      <c r="X50" s="1736" t="s">
        <v>46</v>
      </c>
      <c r="Y50" s="1845" t="s">
        <v>46</v>
      </c>
      <c r="Z50" s="1766" t="s">
        <v>91</v>
      </c>
      <c r="AA50" s="1766" t="s">
        <v>89</v>
      </c>
      <c r="AB50" s="1766">
        <v>6</v>
      </c>
      <c r="AC50" s="1766">
        <v>6</v>
      </c>
      <c r="AD50" s="1766">
        <v>6</v>
      </c>
      <c r="AE50" s="1766">
        <v>6</v>
      </c>
      <c r="AF50" s="1756">
        <v>6</v>
      </c>
      <c r="AG50" s="1740"/>
    </row>
    <row r="51" spans="1:39" ht="18" customHeight="1" thickBot="1">
      <c r="A51" s="1823">
        <v>13</v>
      </c>
      <c r="B51" s="1741" t="s">
        <v>97</v>
      </c>
      <c r="C51" s="1785" t="s">
        <v>46</v>
      </c>
      <c r="D51" s="1785" t="s">
        <v>46</v>
      </c>
      <c r="E51" s="1824"/>
      <c r="F51" s="1824"/>
      <c r="G51" s="1824">
        <v>5</v>
      </c>
      <c r="H51" s="1824">
        <v>5</v>
      </c>
      <c r="I51" s="1824">
        <v>5</v>
      </c>
      <c r="J51" s="1785">
        <v>5</v>
      </c>
      <c r="K51" s="1826">
        <v>5</v>
      </c>
      <c r="L51" s="1846" t="s">
        <v>98</v>
      </c>
      <c r="M51" s="1847" t="s">
        <v>98</v>
      </c>
      <c r="N51" s="1826">
        <v>10</v>
      </c>
      <c r="O51" s="1826">
        <v>10</v>
      </c>
      <c r="P51" s="1826">
        <v>10</v>
      </c>
      <c r="Q51" s="1826">
        <v>10</v>
      </c>
      <c r="R51" s="1824">
        <v>10</v>
      </c>
      <c r="S51" s="1826" t="s">
        <v>53</v>
      </c>
      <c r="T51" s="1826" t="s">
        <v>53</v>
      </c>
      <c r="U51" s="1824" t="s">
        <v>46</v>
      </c>
      <c r="V51" s="1824" t="s">
        <v>46</v>
      </c>
      <c r="W51" s="1824" t="s">
        <v>46</v>
      </c>
      <c r="X51" s="1824" t="s">
        <v>46</v>
      </c>
      <c r="Y51" s="1785" t="s">
        <v>46</v>
      </c>
      <c r="Z51" s="1824" t="s">
        <v>86</v>
      </c>
      <c r="AA51" s="1824" t="s">
        <v>86</v>
      </c>
      <c r="AB51" s="1824">
        <v>7</v>
      </c>
      <c r="AC51" s="1824">
        <v>7</v>
      </c>
      <c r="AD51" s="1824">
        <v>7</v>
      </c>
      <c r="AE51" s="1827">
        <v>7</v>
      </c>
      <c r="AF51" s="1824">
        <v>7</v>
      </c>
      <c r="AG51" s="1740"/>
    </row>
    <row r="52" spans="1:39" ht="18" customHeight="1">
      <c r="A52" s="1818">
        <v>4</v>
      </c>
      <c r="B52" s="1650" t="s">
        <v>99</v>
      </c>
      <c r="C52" s="501">
        <v>3</v>
      </c>
      <c r="D52" s="502">
        <v>3</v>
      </c>
      <c r="E52" s="504"/>
      <c r="F52" s="504"/>
      <c r="G52" s="504">
        <v>11</v>
      </c>
      <c r="H52" s="504">
        <v>11</v>
      </c>
      <c r="I52" s="504" t="s">
        <v>100</v>
      </c>
      <c r="J52" s="508">
        <v>11</v>
      </c>
      <c r="K52" s="503">
        <v>11</v>
      </c>
      <c r="L52" s="508" t="s">
        <v>87</v>
      </c>
      <c r="M52" s="508" t="s">
        <v>87</v>
      </c>
      <c r="N52" s="508" t="s">
        <v>46</v>
      </c>
      <c r="O52" s="508" t="s">
        <v>46</v>
      </c>
      <c r="P52" s="508" t="s">
        <v>46</v>
      </c>
      <c r="Q52" s="508" t="s">
        <v>46</v>
      </c>
      <c r="R52" s="504" t="s">
        <v>46</v>
      </c>
      <c r="S52" s="504" t="s">
        <v>89</v>
      </c>
      <c r="T52" s="504" t="s">
        <v>89</v>
      </c>
      <c r="U52" s="504">
        <v>8</v>
      </c>
      <c r="V52" s="508">
        <v>8</v>
      </c>
      <c r="W52" s="508">
        <v>8</v>
      </c>
      <c r="X52" s="501">
        <v>8</v>
      </c>
      <c r="Y52" s="504">
        <v>8</v>
      </c>
      <c r="Z52" s="504"/>
      <c r="AA52" s="504"/>
      <c r="AB52" s="504" t="s">
        <v>46</v>
      </c>
      <c r="AC52" s="509" t="s">
        <v>46</v>
      </c>
      <c r="AD52" s="504" t="s">
        <v>46</v>
      </c>
      <c r="AE52" s="504" t="s">
        <v>46</v>
      </c>
      <c r="AF52" s="504" t="s">
        <v>46</v>
      </c>
      <c r="AG52" s="1740"/>
    </row>
    <row r="53" spans="1:39" ht="18" customHeight="1">
      <c r="A53" s="1822">
        <v>9</v>
      </c>
      <c r="B53" s="1734" t="s">
        <v>101</v>
      </c>
      <c r="C53" s="1736">
        <v>1</v>
      </c>
      <c r="D53" s="1736">
        <v>1</v>
      </c>
      <c r="E53" s="1736"/>
      <c r="F53" s="1736"/>
      <c r="G53" s="1736">
        <v>9</v>
      </c>
      <c r="H53" s="1766">
        <v>9</v>
      </c>
      <c r="I53" s="1766">
        <v>9</v>
      </c>
      <c r="J53" s="1844">
        <v>9</v>
      </c>
      <c r="K53" s="1736">
        <v>9</v>
      </c>
      <c r="L53" s="1766" t="s">
        <v>52</v>
      </c>
      <c r="M53" s="1766" t="s">
        <v>53</v>
      </c>
      <c r="N53" s="1753" t="s">
        <v>46</v>
      </c>
      <c r="O53" s="1736" t="s">
        <v>46</v>
      </c>
      <c r="P53" s="1736" t="s">
        <v>46</v>
      </c>
      <c r="Q53" s="1736" t="s">
        <v>46</v>
      </c>
      <c r="R53" s="1736" t="s">
        <v>46</v>
      </c>
      <c r="S53" s="1736" t="s">
        <v>91</v>
      </c>
      <c r="T53" s="1736" t="s">
        <v>89</v>
      </c>
      <c r="U53" s="1736">
        <v>6</v>
      </c>
      <c r="V53" s="1845">
        <v>6</v>
      </c>
      <c r="W53" s="1845">
        <v>6</v>
      </c>
      <c r="X53" s="1760">
        <v>6</v>
      </c>
      <c r="Y53" s="1845">
        <v>6</v>
      </c>
      <c r="Z53" s="1845"/>
      <c r="AA53" s="1845"/>
      <c r="AB53" s="1845" t="s">
        <v>46</v>
      </c>
      <c r="AC53" s="1845" t="s">
        <v>46</v>
      </c>
      <c r="AD53" s="1753" t="s">
        <v>46</v>
      </c>
      <c r="AE53" s="1753" t="s">
        <v>46</v>
      </c>
      <c r="AF53" s="1848" t="s">
        <v>46</v>
      </c>
      <c r="AG53" s="1740"/>
    </row>
    <row r="54" spans="1:39" ht="18" customHeight="1" thickBot="1">
      <c r="A54" s="1823">
        <v>14</v>
      </c>
      <c r="B54" s="1741" t="s">
        <v>102</v>
      </c>
      <c r="C54" s="1785"/>
      <c r="D54" s="1849">
        <v>5</v>
      </c>
      <c r="E54" s="1824"/>
      <c r="F54" s="1824"/>
      <c r="G54" s="1824">
        <v>10</v>
      </c>
      <c r="H54" s="1824">
        <v>10</v>
      </c>
      <c r="I54" s="1824">
        <v>10</v>
      </c>
      <c r="J54" s="1826">
        <v>10</v>
      </c>
      <c r="K54" s="1850">
        <v>10</v>
      </c>
      <c r="L54" s="1851" t="s">
        <v>53</v>
      </c>
      <c r="M54" s="1824" t="s">
        <v>53</v>
      </c>
      <c r="N54" s="1851" t="s">
        <v>46</v>
      </c>
      <c r="O54" s="1851" t="s">
        <v>46</v>
      </c>
      <c r="P54" s="1851" t="s">
        <v>46</v>
      </c>
      <c r="Q54" s="1824" t="s">
        <v>46</v>
      </c>
      <c r="R54" s="1824" t="s">
        <v>46</v>
      </c>
      <c r="S54" s="1824" t="s">
        <v>86</v>
      </c>
      <c r="T54" s="1824" t="s">
        <v>86</v>
      </c>
      <c r="U54" s="1824">
        <v>7</v>
      </c>
      <c r="V54" s="1824">
        <v>7</v>
      </c>
      <c r="W54" s="1824">
        <v>7</v>
      </c>
      <c r="X54" s="1827">
        <v>7</v>
      </c>
      <c r="Y54" s="1785">
        <v>7</v>
      </c>
      <c r="Z54" s="1824"/>
      <c r="AA54" s="1824"/>
      <c r="AB54" s="1790">
        <v>4</v>
      </c>
      <c r="AC54" s="1790">
        <v>4</v>
      </c>
      <c r="AD54" s="1790">
        <v>4</v>
      </c>
      <c r="AE54" s="1790">
        <v>4</v>
      </c>
      <c r="AF54" s="1790">
        <v>4</v>
      </c>
      <c r="AG54" s="1740"/>
    </row>
    <row r="55" spans="1:39" ht="18" customHeight="1">
      <c r="A55" s="1818">
        <v>5</v>
      </c>
      <c r="B55" s="1734" t="s">
        <v>103</v>
      </c>
      <c r="C55" s="1645"/>
      <c r="D55" s="1647">
        <v>3</v>
      </c>
      <c r="E55" s="1647"/>
      <c r="F55" s="1647"/>
      <c r="G55" s="1647" t="s">
        <v>46</v>
      </c>
      <c r="H55" s="1647" t="s">
        <v>46</v>
      </c>
      <c r="I55" s="1647" t="s">
        <v>46</v>
      </c>
      <c r="J55" s="1647" t="s">
        <v>46</v>
      </c>
      <c r="K55" s="1644" t="s">
        <v>46</v>
      </c>
      <c r="L55" s="1644" t="s">
        <v>89</v>
      </c>
      <c r="M55" s="1644" t="s">
        <v>89</v>
      </c>
      <c r="N55" s="1649">
        <v>8</v>
      </c>
      <c r="O55" s="1645">
        <v>8</v>
      </c>
      <c r="P55" s="1644">
        <v>8</v>
      </c>
      <c r="Q55" s="1644">
        <v>8</v>
      </c>
      <c r="R55" s="1645">
        <v>8</v>
      </c>
      <c r="S55" s="1644"/>
      <c r="T55" s="1644"/>
      <c r="U55" s="1646" t="s">
        <v>46</v>
      </c>
      <c r="V55" s="1646" t="s">
        <v>46</v>
      </c>
      <c r="W55" s="1646" t="s">
        <v>46</v>
      </c>
      <c r="X55" s="1646" t="s">
        <v>104</v>
      </c>
      <c r="Y55" s="1649" t="s">
        <v>104</v>
      </c>
      <c r="Z55" s="1646" t="s">
        <v>104</v>
      </c>
      <c r="AA55" s="1646" t="s">
        <v>104</v>
      </c>
      <c r="AB55" s="1646">
        <v>1</v>
      </c>
      <c r="AC55" s="1646">
        <v>1</v>
      </c>
      <c r="AD55" s="1644">
        <v>1</v>
      </c>
      <c r="AE55" s="1656">
        <v>1</v>
      </c>
      <c r="AF55" s="1656">
        <v>1</v>
      </c>
      <c r="AG55" s="1778"/>
    </row>
    <row r="56" spans="1:39" ht="18" customHeight="1">
      <c r="A56" s="1822">
        <v>10</v>
      </c>
      <c r="B56" s="1734" t="s">
        <v>105</v>
      </c>
      <c r="C56" s="1753">
        <v>9</v>
      </c>
      <c r="D56" s="1753">
        <v>9</v>
      </c>
      <c r="E56" s="1753" t="s">
        <v>52</v>
      </c>
      <c r="F56" s="1753" t="s">
        <v>53</v>
      </c>
      <c r="G56" s="1753" t="s">
        <v>46</v>
      </c>
      <c r="H56" s="1753" t="s">
        <v>46</v>
      </c>
      <c r="I56" s="1737" t="s">
        <v>46</v>
      </c>
      <c r="J56" s="1737" t="s">
        <v>46</v>
      </c>
      <c r="K56" s="1737" t="s">
        <v>46</v>
      </c>
      <c r="L56" s="1766" t="s">
        <v>91</v>
      </c>
      <c r="M56" s="1766" t="s">
        <v>89</v>
      </c>
      <c r="N56" s="1766">
        <v>6</v>
      </c>
      <c r="O56" s="1766">
        <v>6</v>
      </c>
      <c r="P56" s="1766">
        <v>6</v>
      </c>
      <c r="Q56" s="1766">
        <v>6</v>
      </c>
      <c r="R56" s="1766">
        <v>6</v>
      </c>
      <c r="S56" s="1753"/>
      <c r="T56" s="1737"/>
      <c r="U56" s="1737" t="s">
        <v>46</v>
      </c>
      <c r="V56" s="1736" t="s">
        <v>46</v>
      </c>
      <c r="W56" s="1736" t="s">
        <v>46</v>
      </c>
      <c r="X56" s="1736" t="s">
        <v>46</v>
      </c>
      <c r="Y56" s="1736" t="s">
        <v>46</v>
      </c>
      <c r="Z56" s="1736"/>
      <c r="AA56" s="1736"/>
      <c r="AB56" s="1736">
        <v>5</v>
      </c>
      <c r="AC56" s="1845">
        <v>5</v>
      </c>
      <c r="AD56" s="1845">
        <v>5</v>
      </c>
      <c r="AE56" s="1845"/>
      <c r="AF56" s="1845">
        <v>5</v>
      </c>
      <c r="AG56" s="1740"/>
    </row>
    <row r="57" spans="1:39" ht="18" customHeight="1" thickBot="1">
      <c r="A57" s="1823">
        <v>15</v>
      </c>
      <c r="B57" s="1852" t="s">
        <v>106</v>
      </c>
      <c r="C57" s="1853">
        <v>10</v>
      </c>
      <c r="D57" s="1853">
        <v>10</v>
      </c>
      <c r="E57" s="1853" t="s">
        <v>53</v>
      </c>
      <c r="F57" s="1853" t="s">
        <v>53</v>
      </c>
      <c r="G57" s="1853" t="s">
        <v>46</v>
      </c>
      <c r="H57" s="1853" t="s">
        <v>46</v>
      </c>
      <c r="I57" s="1853" t="s">
        <v>46</v>
      </c>
      <c r="J57" s="1853" t="s">
        <v>46</v>
      </c>
      <c r="K57" s="1853" t="s">
        <v>46</v>
      </c>
      <c r="L57" s="1853" t="s">
        <v>86</v>
      </c>
      <c r="M57" s="1853" t="s">
        <v>86</v>
      </c>
      <c r="N57" s="1853">
        <v>7</v>
      </c>
      <c r="O57" s="1853">
        <v>7</v>
      </c>
      <c r="P57" s="1853">
        <v>7</v>
      </c>
      <c r="Q57" s="1853">
        <v>7</v>
      </c>
      <c r="R57" s="1853">
        <v>7</v>
      </c>
      <c r="S57" s="1853"/>
      <c r="T57" s="1853"/>
      <c r="U57" s="1853">
        <v>4</v>
      </c>
      <c r="V57" s="1853">
        <v>4</v>
      </c>
      <c r="W57" s="1853">
        <v>4</v>
      </c>
      <c r="X57" s="1853">
        <v>4</v>
      </c>
      <c r="Y57" s="1853">
        <v>4</v>
      </c>
      <c r="Z57" s="1853"/>
      <c r="AA57" s="1853"/>
      <c r="AB57" s="1794">
        <v>3</v>
      </c>
      <c r="AC57" s="1794">
        <v>3</v>
      </c>
      <c r="AD57" s="1794">
        <v>3</v>
      </c>
      <c r="AE57" s="1792">
        <v>3</v>
      </c>
      <c r="AF57" s="1792">
        <v>3</v>
      </c>
      <c r="AG57" s="1854"/>
    </row>
    <row r="58" spans="1:39" ht="18" customHeight="1">
      <c r="A58" s="61"/>
      <c r="C58" s="201"/>
      <c r="D58" s="113"/>
      <c r="E58" s="113"/>
      <c r="F58" s="113"/>
      <c r="G58" s="122"/>
      <c r="H58" s="122"/>
      <c r="I58" s="122"/>
      <c r="J58" s="122"/>
      <c r="K58" s="111"/>
      <c r="L58" s="128"/>
      <c r="M58" s="128"/>
      <c r="N58" s="128"/>
      <c r="O58" s="128"/>
      <c r="P58" s="128"/>
      <c r="Q58" s="128"/>
      <c r="R58" s="128"/>
      <c r="S58" s="122"/>
      <c r="T58" s="122"/>
      <c r="U58" s="201"/>
      <c r="V58" s="201"/>
      <c r="W58" s="128"/>
      <c r="X58" s="128"/>
      <c r="Y58" s="124"/>
      <c r="Z58" s="124"/>
      <c r="AA58" s="124"/>
      <c r="AB58" s="124"/>
      <c r="AC58" s="124"/>
      <c r="AD58" s="124"/>
      <c r="AE58" s="124"/>
      <c r="AF58" s="124"/>
      <c r="AH58" s="111"/>
    </row>
    <row r="59" spans="1:39" ht="18" customHeight="1">
      <c r="A59" s="67"/>
      <c r="B59" s="42" t="s">
        <v>107</v>
      </c>
      <c r="D59" s="64"/>
      <c r="E59" s="64"/>
      <c r="F59" s="64"/>
      <c r="G59" s="64"/>
      <c r="H59" s="64"/>
      <c r="I59" s="64"/>
      <c r="J59" s="64"/>
      <c r="K59" s="64"/>
      <c r="N59" s="64"/>
      <c r="O59" s="64"/>
      <c r="P59" s="64"/>
      <c r="Q59" s="64"/>
      <c r="R59" s="64"/>
      <c r="S59" s="64"/>
      <c r="T59" s="64"/>
      <c r="Z59" s="64"/>
      <c r="AA59" s="203"/>
      <c r="AB59" s="203"/>
      <c r="AC59" s="203"/>
      <c r="AD59" s="203"/>
      <c r="AE59" s="203"/>
      <c r="AF59" s="203"/>
      <c r="AG59" s="203"/>
      <c r="AH59" s="1"/>
    </row>
    <row r="60" spans="1:39" ht="18" customHeight="1">
      <c r="A60" s="1714" t="s">
        <v>37</v>
      </c>
      <c r="B60" s="1714"/>
      <c r="C60" s="1713"/>
      <c r="D60" s="1714" t="s">
        <v>19</v>
      </c>
      <c r="E60" s="1712"/>
      <c r="F60" s="1713"/>
      <c r="G60" s="1714" t="s">
        <v>20</v>
      </c>
      <c r="H60" s="1712"/>
      <c r="I60" s="1713"/>
      <c r="J60" s="1714" t="s">
        <v>21</v>
      </c>
      <c r="K60" s="1712"/>
      <c r="L60" s="1713"/>
      <c r="M60" s="1714" t="s">
        <v>22</v>
      </c>
      <c r="N60" s="1712"/>
      <c r="O60" s="1713"/>
      <c r="P60" s="1714" t="s">
        <v>23</v>
      </c>
      <c r="Q60" s="1712"/>
      <c r="R60" s="1709"/>
      <c r="S60" s="1710" t="s">
        <v>24</v>
      </c>
      <c r="T60" s="1712"/>
      <c r="U60" s="1713"/>
      <c r="V60" s="1714" t="s">
        <v>25</v>
      </c>
      <c r="W60" s="1712"/>
      <c r="X60" s="1855" t="s">
        <v>108</v>
      </c>
      <c r="Y60" s="1712"/>
      <c r="Z60" s="1712"/>
      <c r="AA60" s="1856"/>
      <c r="AB60" s="1857"/>
      <c r="AC60" s="1857"/>
      <c r="AD60" s="1857"/>
      <c r="AE60" s="1857"/>
      <c r="AF60" s="1857"/>
      <c r="AG60" s="1858"/>
      <c r="AH60" s="1"/>
    </row>
    <row r="61" spans="1:39" ht="18" customHeight="1" thickBot="1">
      <c r="A61" s="1859"/>
      <c r="B61" s="1860" t="s">
        <v>109</v>
      </c>
      <c r="C61" s="1861" t="s">
        <v>110</v>
      </c>
      <c r="D61" s="1862"/>
      <c r="E61" s="1863"/>
      <c r="F61" s="1861" t="s">
        <v>110</v>
      </c>
      <c r="G61" s="1864"/>
      <c r="H61" s="1863"/>
      <c r="I61" s="1861" t="s">
        <v>110</v>
      </c>
      <c r="J61" s="1862"/>
      <c r="K61" s="1863"/>
      <c r="L61" s="1861" t="s">
        <v>110</v>
      </c>
      <c r="M61" s="1862"/>
      <c r="N61" s="1863"/>
      <c r="O61" s="1861" t="s">
        <v>111</v>
      </c>
      <c r="P61" s="1862"/>
      <c r="Q61" s="1864"/>
      <c r="R61" s="1865" t="s">
        <v>0</v>
      </c>
      <c r="S61" s="1862"/>
      <c r="T61" s="1863"/>
      <c r="U61" s="1862" t="s">
        <v>0</v>
      </c>
      <c r="V61" s="1862"/>
      <c r="W61" s="1864"/>
      <c r="X61" s="1866" t="s">
        <v>0</v>
      </c>
      <c r="Y61" s="1867"/>
      <c r="Z61" s="1867"/>
      <c r="AA61" s="1868"/>
      <c r="AB61" s="1868"/>
      <c r="AC61" s="1868"/>
      <c r="AD61" s="1868"/>
      <c r="AE61" s="1868"/>
      <c r="AF61" s="1868"/>
      <c r="AG61" s="1869"/>
      <c r="AH61" s="1"/>
    </row>
    <row r="62" spans="1:39" ht="18" customHeight="1" thickBot="1">
      <c r="A62" s="579"/>
      <c r="B62" s="580"/>
      <c r="C62" s="1580">
        <v>1</v>
      </c>
      <c r="D62" s="1578">
        <v>2</v>
      </c>
      <c r="E62" s="1580">
        <v>3</v>
      </c>
      <c r="F62" s="1580">
        <v>4</v>
      </c>
      <c r="G62" s="1578">
        <v>5</v>
      </c>
      <c r="H62" s="1578">
        <v>6</v>
      </c>
      <c r="I62" s="1578">
        <v>7</v>
      </c>
      <c r="J62" s="1578">
        <v>8</v>
      </c>
      <c r="K62" s="1578">
        <v>9</v>
      </c>
      <c r="L62" s="1580">
        <v>10</v>
      </c>
      <c r="M62" s="1580">
        <v>11</v>
      </c>
      <c r="N62" s="1578">
        <v>12</v>
      </c>
      <c r="O62" s="1577">
        <v>13</v>
      </c>
      <c r="P62" s="1577">
        <v>14</v>
      </c>
      <c r="Q62" s="1577">
        <v>15</v>
      </c>
      <c r="R62" s="1577">
        <v>16</v>
      </c>
      <c r="S62" s="1580">
        <v>17</v>
      </c>
      <c r="T62" s="1580">
        <v>18</v>
      </c>
      <c r="U62" s="1578">
        <v>19</v>
      </c>
      <c r="V62" s="1578">
        <v>20</v>
      </c>
      <c r="W62" s="1578">
        <v>21</v>
      </c>
      <c r="X62" s="1578">
        <v>22</v>
      </c>
      <c r="Y62" s="1578">
        <v>23</v>
      </c>
      <c r="Z62" s="1580">
        <v>24</v>
      </c>
      <c r="AA62" s="1580">
        <v>25</v>
      </c>
      <c r="AB62" s="1578">
        <v>26</v>
      </c>
      <c r="AC62" s="1578">
        <v>27</v>
      </c>
      <c r="AD62" s="1578">
        <v>28</v>
      </c>
      <c r="AE62" s="1580">
        <v>29</v>
      </c>
      <c r="AF62" s="1578">
        <v>30</v>
      </c>
      <c r="AG62" s="1580">
        <v>31</v>
      </c>
      <c r="AH62" s="1"/>
    </row>
    <row r="63" spans="1:39" ht="18" customHeight="1">
      <c r="A63" s="479"/>
      <c r="B63" s="577" t="s">
        <v>112</v>
      </c>
      <c r="C63" s="501">
        <v>11</v>
      </c>
      <c r="D63" s="502">
        <v>11</v>
      </c>
      <c r="E63" s="502" t="s">
        <v>87</v>
      </c>
      <c r="F63" s="502" t="s">
        <v>87</v>
      </c>
      <c r="G63" s="581">
        <v>99</v>
      </c>
      <c r="H63" s="581" t="s">
        <v>40</v>
      </c>
      <c r="I63" s="501" t="s">
        <v>46</v>
      </c>
      <c r="J63" s="501" t="s">
        <v>46</v>
      </c>
      <c r="K63" s="582" t="s">
        <v>46</v>
      </c>
      <c r="L63" s="480" t="s">
        <v>47</v>
      </c>
      <c r="M63" s="481" t="s">
        <v>47</v>
      </c>
      <c r="N63" s="528" t="s">
        <v>40</v>
      </c>
      <c r="O63" s="1870" t="s">
        <v>64</v>
      </c>
      <c r="P63" s="1870" t="s">
        <v>113</v>
      </c>
      <c r="Q63" s="1870" t="s">
        <v>113</v>
      </c>
      <c r="R63" s="1870" t="s">
        <v>113</v>
      </c>
      <c r="U63" s="501" t="s">
        <v>43</v>
      </c>
      <c r="V63" s="501" t="s">
        <v>43</v>
      </c>
      <c r="W63" s="503" t="s">
        <v>43</v>
      </c>
      <c r="X63" s="503" t="s">
        <v>43</v>
      </c>
      <c r="Y63" s="503" t="s">
        <v>43</v>
      </c>
      <c r="Z63" s="1871">
        <v>22</v>
      </c>
      <c r="AA63" s="1871">
        <v>22</v>
      </c>
      <c r="AB63" s="1760" t="s">
        <v>46</v>
      </c>
      <c r="AC63" s="1760" t="s">
        <v>46</v>
      </c>
      <c r="AD63" s="1760" t="s">
        <v>46</v>
      </c>
      <c r="AE63" s="1760"/>
      <c r="AF63" s="1762" t="s">
        <v>46</v>
      </c>
      <c r="AG63" s="1652"/>
      <c r="AI63" s="1870">
        <f t="shared" ref="AI63:AI83" si="0">$AJ$11</f>
        <v>0</v>
      </c>
      <c r="AJ63" s="1870"/>
      <c r="AK63" s="1870">
        <f t="shared" ref="AK63:AK83" si="1">IF(AI63="","",SUM(AI63:AJ63))</f>
        <v>0</v>
      </c>
      <c r="AL63" s="1872">
        <v>0</v>
      </c>
      <c r="AM63" s="1872">
        <f>IF(AL63="","",AL63+AN63)</f>
        <v>0</v>
      </c>
    </row>
    <row r="64" spans="1:39" ht="18" customHeight="1">
      <c r="A64" s="1653"/>
      <c r="B64" s="1873" t="s">
        <v>114</v>
      </c>
      <c r="C64" s="1736"/>
      <c r="D64" s="1874">
        <v>5</v>
      </c>
      <c r="E64" s="1760" t="s">
        <v>87</v>
      </c>
      <c r="F64" s="1736" t="s">
        <v>87</v>
      </c>
      <c r="G64" s="168" t="s">
        <v>46</v>
      </c>
      <c r="H64" s="168" t="s">
        <v>46</v>
      </c>
      <c r="I64" s="1736">
        <v>99</v>
      </c>
      <c r="J64" s="1736">
        <v>99</v>
      </c>
      <c r="K64" s="1760" t="s">
        <v>46</v>
      </c>
      <c r="L64" s="501"/>
      <c r="M64" s="501"/>
      <c r="N64" s="1760">
        <v>25</v>
      </c>
      <c r="O64" s="501">
        <v>25</v>
      </c>
      <c r="P64" s="501">
        <v>25</v>
      </c>
      <c r="Q64" s="501">
        <v>25</v>
      </c>
      <c r="R64" s="501">
        <v>25</v>
      </c>
      <c r="S64" s="1870" t="s">
        <v>113</v>
      </c>
      <c r="T64" s="1870" t="s">
        <v>113</v>
      </c>
      <c r="U64" s="1736" t="s">
        <v>46</v>
      </c>
      <c r="V64" s="1760" t="s">
        <v>46</v>
      </c>
      <c r="W64" s="1875" t="s">
        <v>46</v>
      </c>
      <c r="X64" s="1875" t="s">
        <v>46</v>
      </c>
      <c r="Y64" s="1876" t="s">
        <v>46</v>
      </c>
      <c r="Z64" s="1877"/>
      <c r="AA64" s="1878"/>
      <c r="AB64" s="1760">
        <v>4</v>
      </c>
      <c r="AC64" s="1760">
        <v>4</v>
      </c>
      <c r="AD64" s="1760">
        <v>4</v>
      </c>
      <c r="AE64" s="1760">
        <v>4</v>
      </c>
      <c r="AF64" s="1760">
        <v>4</v>
      </c>
      <c r="AG64" s="1778"/>
      <c r="AI64" s="1870">
        <f t="shared" si="0"/>
        <v>0</v>
      </c>
      <c r="AJ64" s="1870"/>
      <c r="AK64" s="1870">
        <f t="shared" si="1"/>
        <v>0</v>
      </c>
      <c r="AL64" s="1872">
        <v>0</v>
      </c>
      <c r="AM64" s="1872">
        <f t="shared" ref="AM64:AM85" si="2">IF(AL64="","",AL64+AN64)</f>
        <v>0</v>
      </c>
    </row>
    <row r="65" spans="1:39" ht="18" customHeight="1">
      <c r="A65" s="1879"/>
      <c r="B65" s="1873" t="s">
        <v>115</v>
      </c>
      <c r="C65" s="1736" t="s">
        <v>104</v>
      </c>
      <c r="D65" s="1756" t="s">
        <v>116</v>
      </c>
      <c r="E65" s="1736" t="s">
        <v>104</v>
      </c>
      <c r="F65" s="1736" t="s">
        <v>104</v>
      </c>
      <c r="G65" s="1736" t="s">
        <v>40</v>
      </c>
      <c r="H65" s="1760">
        <v>99</v>
      </c>
      <c r="I65" s="1845" t="s">
        <v>46</v>
      </c>
      <c r="J65" s="1760" t="s">
        <v>46</v>
      </c>
      <c r="K65" s="1880" t="s">
        <v>46</v>
      </c>
      <c r="L65" s="1880" t="s">
        <v>86</v>
      </c>
      <c r="M65" s="1880" t="s">
        <v>86</v>
      </c>
      <c r="N65" s="1880">
        <v>7</v>
      </c>
      <c r="O65" s="1880">
        <v>7</v>
      </c>
      <c r="P65" s="1760">
        <v>7</v>
      </c>
      <c r="Q65" s="1736">
        <v>7</v>
      </c>
      <c r="R65" s="1736">
        <v>7</v>
      </c>
      <c r="S65" s="1736"/>
      <c r="T65" s="1736"/>
      <c r="U65" s="1736">
        <v>22</v>
      </c>
      <c r="V65" s="1762">
        <v>22</v>
      </c>
      <c r="W65" s="1870" t="s">
        <v>46</v>
      </c>
      <c r="X65" s="1870" t="s">
        <v>46</v>
      </c>
      <c r="Y65" s="1881">
        <v>69</v>
      </c>
      <c r="Z65" s="1870"/>
      <c r="AA65" s="1870"/>
      <c r="AB65" s="1882" t="s">
        <v>61</v>
      </c>
      <c r="AC65" s="1760" t="s">
        <v>61</v>
      </c>
      <c r="AD65" s="1760" t="s">
        <v>46</v>
      </c>
      <c r="AE65" s="1736" t="s">
        <v>46</v>
      </c>
      <c r="AF65" s="1883" t="s">
        <v>46</v>
      </c>
      <c r="AG65" s="1778"/>
      <c r="AI65" s="1870">
        <f t="shared" si="0"/>
        <v>0</v>
      </c>
      <c r="AJ65" s="1870"/>
      <c r="AK65" s="1870">
        <f t="shared" si="1"/>
        <v>0</v>
      </c>
      <c r="AL65" s="1872">
        <v>0</v>
      </c>
      <c r="AM65" s="1872">
        <f t="shared" si="2"/>
        <v>0</v>
      </c>
    </row>
    <row r="66" spans="1:39" ht="18" customHeight="1" thickBot="1">
      <c r="A66" s="1884"/>
      <c r="B66" s="1873" t="s">
        <v>117</v>
      </c>
      <c r="C66" s="1737"/>
      <c r="D66" s="1737">
        <v>89</v>
      </c>
      <c r="E66" s="1737"/>
      <c r="F66" s="1736"/>
      <c r="G66" s="1736">
        <v>21</v>
      </c>
      <c r="H66" s="1736">
        <v>21</v>
      </c>
      <c r="I66" s="1760">
        <v>21</v>
      </c>
      <c r="J66" s="1760">
        <v>21</v>
      </c>
      <c r="K66" s="1760">
        <v>21</v>
      </c>
      <c r="L66" s="1845" t="s">
        <v>118</v>
      </c>
      <c r="M66" s="1845" t="s">
        <v>118</v>
      </c>
      <c r="N66" s="1845" t="s">
        <v>46</v>
      </c>
      <c r="O66" s="1845" t="s">
        <v>46</v>
      </c>
      <c r="P66" s="1845" t="s">
        <v>46</v>
      </c>
      <c r="Q66" s="1845" t="s">
        <v>46</v>
      </c>
      <c r="R66" s="1737" t="s">
        <v>46</v>
      </c>
      <c r="S66" s="1737"/>
      <c r="T66" s="1736"/>
      <c r="U66" s="1736">
        <v>4</v>
      </c>
      <c r="V66" s="1885">
        <v>4</v>
      </c>
      <c r="W66" s="583">
        <v>4</v>
      </c>
      <c r="X66" s="583">
        <v>4</v>
      </c>
      <c r="Y66" s="583">
        <v>4</v>
      </c>
      <c r="Z66" s="583" t="s">
        <v>89</v>
      </c>
      <c r="AA66" s="583" t="s">
        <v>89</v>
      </c>
      <c r="AB66" s="1885" t="s">
        <v>46</v>
      </c>
      <c r="AC66" s="1885" t="s">
        <v>46</v>
      </c>
      <c r="AD66" s="1885" t="s">
        <v>46</v>
      </c>
      <c r="AE66" s="1885"/>
      <c r="AF66" s="1886">
        <v>6</v>
      </c>
      <c r="AG66" s="1838"/>
      <c r="AI66" s="1870">
        <f t="shared" si="0"/>
        <v>0</v>
      </c>
      <c r="AJ66" s="1870"/>
      <c r="AK66" s="1870">
        <f t="shared" si="1"/>
        <v>0</v>
      </c>
      <c r="AL66" s="1872">
        <v>0</v>
      </c>
      <c r="AM66" s="1872">
        <f t="shared" si="2"/>
        <v>0</v>
      </c>
    </row>
    <row r="67" spans="1:39" ht="18" customHeight="1">
      <c r="A67" s="1887"/>
      <c r="B67" s="1873" t="s">
        <v>119</v>
      </c>
      <c r="C67" s="1760" t="s">
        <v>120</v>
      </c>
      <c r="D67" s="1760" t="s">
        <v>121</v>
      </c>
      <c r="E67" s="1760" t="s">
        <v>120</v>
      </c>
      <c r="F67" s="1760" t="s">
        <v>120</v>
      </c>
      <c r="G67" s="1760" t="s">
        <v>46</v>
      </c>
      <c r="H67" s="1760" t="s">
        <v>46</v>
      </c>
      <c r="I67" s="1760" t="s">
        <v>46</v>
      </c>
      <c r="J67" s="1760" t="s">
        <v>46</v>
      </c>
      <c r="K67" s="1839" t="s">
        <v>46</v>
      </c>
      <c r="L67" s="1760"/>
      <c r="M67" s="1760"/>
      <c r="N67" s="1875">
        <v>1</v>
      </c>
      <c r="O67" s="1888">
        <v>1</v>
      </c>
      <c r="P67" s="1736">
        <v>1</v>
      </c>
      <c r="Q67" s="1878">
        <v>1</v>
      </c>
      <c r="R67" s="1875">
        <v>1</v>
      </c>
      <c r="S67" s="1760"/>
      <c r="T67" s="1760"/>
      <c r="U67" s="1848">
        <v>9</v>
      </c>
      <c r="V67" s="1848">
        <v>9</v>
      </c>
      <c r="W67" s="1736">
        <v>9</v>
      </c>
      <c r="X67" s="1736">
        <v>9</v>
      </c>
      <c r="Y67" s="1845">
        <v>9</v>
      </c>
      <c r="Z67" s="1845" t="s">
        <v>52</v>
      </c>
      <c r="AA67" s="1845" t="s">
        <v>53</v>
      </c>
      <c r="AB67" s="1736" t="s">
        <v>46</v>
      </c>
      <c r="AC67" s="1736" t="s">
        <v>46</v>
      </c>
      <c r="AD67" s="1736" t="s">
        <v>46</v>
      </c>
      <c r="AE67" s="1760" t="s">
        <v>46</v>
      </c>
      <c r="AF67" s="1883" t="s">
        <v>46</v>
      </c>
      <c r="AG67" s="1652" t="s">
        <v>87</v>
      </c>
      <c r="AI67" s="1870">
        <f t="shared" si="0"/>
        <v>0</v>
      </c>
      <c r="AJ67" s="1870"/>
      <c r="AK67" s="1870">
        <f t="shared" si="1"/>
        <v>0</v>
      </c>
      <c r="AL67" s="1872">
        <v>0</v>
      </c>
      <c r="AM67" s="1872">
        <f t="shared" si="2"/>
        <v>0</v>
      </c>
    </row>
    <row r="68" spans="1:39" ht="18" customHeight="1">
      <c r="A68" s="1887"/>
      <c r="B68" s="1873" t="s">
        <v>122</v>
      </c>
      <c r="C68" s="1737"/>
      <c r="D68" s="1839" t="s">
        <v>116</v>
      </c>
      <c r="E68" s="1737"/>
      <c r="F68" s="1737"/>
      <c r="G68" s="1737" t="s">
        <v>123</v>
      </c>
      <c r="H68" s="1737" t="s">
        <v>123</v>
      </c>
      <c r="I68" s="1737" t="s">
        <v>123</v>
      </c>
      <c r="J68" s="1737" t="s">
        <v>123</v>
      </c>
      <c r="K68" s="1737" t="s">
        <v>123</v>
      </c>
      <c r="L68" t="s">
        <v>113</v>
      </c>
      <c r="M68" t="s">
        <v>113</v>
      </c>
      <c r="N68" s="1845" t="s">
        <v>46</v>
      </c>
      <c r="O68" s="1845" t="s">
        <v>46</v>
      </c>
      <c r="P68" s="1889" t="s">
        <v>46</v>
      </c>
      <c r="Q68" s="1870" t="s">
        <v>46</v>
      </c>
      <c r="R68" s="1890" t="s">
        <v>46</v>
      </c>
      <c r="S68" s="1891" t="s">
        <v>120</v>
      </c>
      <c r="T68" s="1766" t="s">
        <v>120</v>
      </c>
      <c r="U68" s="1844" t="s">
        <v>104</v>
      </c>
      <c r="V68" s="1737" t="s">
        <v>123</v>
      </c>
      <c r="W68" s="1737" t="s">
        <v>123</v>
      </c>
      <c r="X68" s="1737" t="s">
        <v>123</v>
      </c>
      <c r="Y68" s="1737" t="s">
        <v>123</v>
      </c>
      <c r="Z68" s="501" t="s">
        <v>89</v>
      </c>
      <c r="AA68" s="504" t="s">
        <v>89</v>
      </c>
      <c r="AB68" s="1737">
        <v>79</v>
      </c>
      <c r="AC68" s="1737">
        <v>79</v>
      </c>
      <c r="AD68" s="1737">
        <v>79</v>
      </c>
      <c r="AE68" s="1737"/>
      <c r="AF68" s="1892">
        <v>79</v>
      </c>
      <c r="AG68" s="1778"/>
      <c r="AI68" s="1870">
        <f t="shared" si="0"/>
        <v>0</v>
      </c>
      <c r="AJ68" s="1870"/>
      <c r="AK68" s="1870">
        <f t="shared" si="1"/>
        <v>0</v>
      </c>
      <c r="AL68" s="1872">
        <v>0</v>
      </c>
      <c r="AM68" s="1872">
        <f t="shared" si="2"/>
        <v>0</v>
      </c>
    </row>
    <row r="69" spans="1:39" ht="18" customHeight="1" thickBot="1">
      <c r="A69" s="1887"/>
      <c r="B69" s="1873" t="s">
        <v>124</v>
      </c>
      <c r="C69" s="1845" t="s">
        <v>104</v>
      </c>
      <c r="D69" s="1845" t="s">
        <v>46</v>
      </c>
      <c r="E69" s="1845" t="s">
        <v>104</v>
      </c>
      <c r="F69" s="1845" t="s">
        <v>104</v>
      </c>
      <c r="G69" s="1845" t="s">
        <v>125</v>
      </c>
      <c r="H69" s="1845" t="s">
        <v>125</v>
      </c>
      <c r="I69" s="1760">
        <v>7</v>
      </c>
      <c r="J69" s="1760">
        <v>7</v>
      </c>
      <c r="K69" s="1845" t="s">
        <v>125</v>
      </c>
      <c r="L69" s="1760">
        <v>21</v>
      </c>
      <c r="M69" s="1845" t="s">
        <v>126</v>
      </c>
      <c r="N69" s="504" t="s">
        <v>46</v>
      </c>
      <c r="O69" s="504" t="s">
        <v>46</v>
      </c>
      <c r="P69" s="1760" t="s">
        <v>46</v>
      </c>
      <c r="Q69" s="501" t="s">
        <v>64</v>
      </c>
      <c r="R69" s="504" t="s">
        <v>64</v>
      </c>
      <c r="S69" s="1845"/>
      <c r="T69" s="1845"/>
      <c r="U69" s="1760" t="s">
        <v>123</v>
      </c>
      <c r="V69" s="1760" t="s">
        <v>127</v>
      </c>
      <c r="W69" s="1753" t="s">
        <v>40</v>
      </c>
      <c r="X69" s="1760" t="s">
        <v>40</v>
      </c>
      <c r="Y69" s="1883" t="s">
        <v>128</v>
      </c>
      <c r="Z69" s="1870" t="s">
        <v>104</v>
      </c>
      <c r="AA69" s="1870" t="s">
        <v>104</v>
      </c>
      <c r="AB69" s="1882" t="s">
        <v>46</v>
      </c>
      <c r="AC69" s="1755" t="s">
        <v>46</v>
      </c>
      <c r="AD69" s="1845" t="s">
        <v>46</v>
      </c>
      <c r="AE69" s="1845" t="s">
        <v>46</v>
      </c>
      <c r="AF69" s="1893" t="s">
        <v>46</v>
      </c>
      <c r="AG69" s="1740" t="s">
        <v>89</v>
      </c>
      <c r="AI69" s="1870">
        <f t="shared" si="0"/>
        <v>0</v>
      </c>
      <c r="AJ69" s="1870"/>
      <c r="AK69" s="1870">
        <f t="shared" si="1"/>
        <v>0</v>
      </c>
      <c r="AL69" s="1872">
        <v>0</v>
      </c>
      <c r="AM69" s="1872">
        <f t="shared" si="2"/>
        <v>0</v>
      </c>
    </row>
    <row r="70" spans="1:39" ht="18" customHeight="1">
      <c r="A70" s="1887"/>
      <c r="B70" s="1873" t="s">
        <v>129</v>
      </c>
      <c r="C70" s="1760"/>
      <c r="D70" s="1753" t="s">
        <v>130</v>
      </c>
      <c r="E70" s="1845" t="s">
        <v>131</v>
      </c>
      <c r="F70" s="1845"/>
      <c r="G70" s="1736">
        <v>4</v>
      </c>
      <c r="H70" s="1756" t="s">
        <v>40</v>
      </c>
      <c r="I70" s="1736">
        <v>4</v>
      </c>
      <c r="J70" s="1736">
        <v>4</v>
      </c>
      <c r="K70" s="1736">
        <v>4</v>
      </c>
      <c r="L70" s="1894"/>
      <c r="M70" s="1895"/>
      <c r="N70" s="1737" t="s">
        <v>123</v>
      </c>
      <c r="O70" s="1737" t="s">
        <v>123</v>
      </c>
      <c r="P70" s="1585" t="s">
        <v>123</v>
      </c>
      <c r="Q70" s="1585" t="s">
        <v>123</v>
      </c>
      <c r="R70" s="1585" t="s">
        <v>123</v>
      </c>
      <c r="S70" s="1845"/>
      <c r="T70" s="1845"/>
      <c r="U70" s="1896" t="s">
        <v>40</v>
      </c>
      <c r="V70" s="1896" t="s">
        <v>40</v>
      </c>
      <c r="W70" s="1896" t="s">
        <v>40</v>
      </c>
      <c r="X70" s="1896" t="s">
        <v>40</v>
      </c>
      <c r="Y70" s="1897" t="s">
        <v>40</v>
      </c>
      <c r="Z70" s="1898"/>
      <c r="AA70" s="1898"/>
      <c r="AB70" s="1882" t="s">
        <v>132</v>
      </c>
      <c r="AC70" s="1736" t="s">
        <v>40</v>
      </c>
      <c r="AD70" s="1885" t="s">
        <v>40</v>
      </c>
      <c r="AE70" s="1885" t="s">
        <v>133</v>
      </c>
      <c r="AF70" s="1899" t="s">
        <v>130</v>
      </c>
      <c r="AG70" s="1778"/>
      <c r="AI70" s="1870">
        <f>$AJ$11</f>
        <v>0</v>
      </c>
      <c r="AJ70" s="1870"/>
      <c r="AK70" s="1870">
        <f>IF(AI70="","",SUM(AI70:AJ70))</f>
        <v>0</v>
      </c>
      <c r="AL70" s="1872">
        <v>0</v>
      </c>
      <c r="AM70" s="1872">
        <f t="shared" si="2"/>
        <v>0</v>
      </c>
    </row>
    <row r="71" spans="1:39" ht="18" customHeight="1">
      <c r="A71" s="1900"/>
      <c r="B71" s="1873" t="s">
        <v>134</v>
      </c>
      <c r="C71" s="1875">
        <v>10</v>
      </c>
      <c r="D71" s="1895">
        <v>10</v>
      </c>
      <c r="E71" s="1895" t="s">
        <v>53</v>
      </c>
      <c r="F71" s="1894" t="s">
        <v>53</v>
      </c>
      <c r="G71" s="1894" t="s">
        <v>46</v>
      </c>
      <c r="H71" s="1760" t="s">
        <v>46</v>
      </c>
      <c r="I71" s="1760" t="s">
        <v>46</v>
      </c>
      <c r="J71" s="1760" t="s">
        <v>46</v>
      </c>
      <c r="K71" s="1895" t="s">
        <v>46</v>
      </c>
      <c r="L71" s="1895"/>
      <c r="M71" s="1895"/>
      <c r="N71" s="1895">
        <v>11</v>
      </c>
      <c r="O71" s="1839" t="s">
        <v>100</v>
      </c>
      <c r="P71" s="1845" t="s">
        <v>100</v>
      </c>
      <c r="Q71" s="1845" t="s">
        <v>100</v>
      </c>
      <c r="R71" s="1766">
        <v>11</v>
      </c>
      <c r="S71" s="1753" t="s">
        <v>87</v>
      </c>
      <c r="T71" s="1753" t="s">
        <v>87</v>
      </c>
      <c r="U71" s="1753" t="s">
        <v>46</v>
      </c>
      <c r="V71" s="1753" t="s">
        <v>46</v>
      </c>
      <c r="W71" s="1877" t="s">
        <v>46</v>
      </c>
      <c r="X71" s="1845" t="s">
        <v>46</v>
      </c>
      <c r="Y71" s="1901" t="s">
        <v>46</v>
      </c>
      <c r="Z71" s="1902"/>
      <c r="AA71" s="1902"/>
      <c r="AB71" s="1903" t="s">
        <v>40</v>
      </c>
      <c r="AC71" s="1753">
        <v>7</v>
      </c>
      <c r="AD71" s="1845"/>
      <c r="AE71" s="1753" t="s">
        <v>46</v>
      </c>
      <c r="AF71" s="1904" t="s">
        <v>46</v>
      </c>
      <c r="AG71" s="1778" t="s">
        <v>86</v>
      </c>
      <c r="AI71" s="1870">
        <f>$AJ$11</f>
        <v>0</v>
      </c>
      <c r="AJ71" s="1870"/>
      <c r="AK71" s="1870">
        <f>IF(AI71="","",SUM(AI71:AJ71))</f>
        <v>0</v>
      </c>
      <c r="AL71" s="1872">
        <v>0</v>
      </c>
      <c r="AM71" s="1872">
        <f t="shared" si="2"/>
        <v>0</v>
      </c>
    </row>
    <row r="72" spans="1:39" ht="18" customHeight="1" thickBot="1">
      <c r="A72" s="1900"/>
      <c r="B72" s="1653" t="s">
        <v>135</v>
      </c>
      <c r="C72" s="1905"/>
      <c r="D72" s="1906" t="s">
        <v>136</v>
      </c>
      <c r="E72" s="1907"/>
      <c r="F72" s="1907"/>
      <c r="G72" s="1906" t="s">
        <v>137</v>
      </c>
      <c r="H72" s="1906" t="s">
        <v>137</v>
      </c>
      <c r="I72" s="1906" t="s">
        <v>136</v>
      </c>
      <c r="J72" s="1906" t="s">
        <v>136</v>
      </c>
      <c r="K72" s="1906" t="s">
        <v>136</v>
      </c>
      <c r="L72" s="1907"/>
      <c r="M72" s="1761">
        <v>26</v>
      </c>
      <c r="N72" s="1761">
        <v>26</v>
      </c>
      <c r="O72" s="1761">
        <v>26</v>
      </c>
      <c r="P72" s="1761">
        <v>26</v>
      </c>
      <c r="Q72" s="1902" t="s">
        <v>46</v>
      </c>
      <c r="R72" s="1902" t="s">
        <v>46</v>
      </c>
      <c r="T72" s="501">
        <v>26</v>
      </c>
      <c r="U72" s="1875">
        <v>26</v>
      </c>
      <c r="V72" s="1908">
        <v>26</v>
      </c>
      <c r="W72" s="1909">
        <v>26</v>
      </c>
      <c r="X72" s="1910">
        <v>26</v>
      </c>
      <c r="Y72" s="1893" t="s">
        <v>137</v>
      </c>
      <c r="Z72" s="1902"/>
      <c r="AA72" s="1902"/>
      <c r="AB72" s="1911">
        <v>25</v>
      </c>
      <c r="AC72" s="1875">
        <v>25</v>
      </c>
      <c r="AD72" s="1875">
        <v>25</v>
      </c>
      <c r="AE72" s="1875"/>
      <c r="AF72" s="1912">
        <v>25</v>
      </c>
      <c r="AG72" s="1913" t="s">
        <v>104</v>
      </c>
      <c r="AI72" s="1870">
        <f t="shared" ref="AI72:AI76" si="3">$AJ$11</f>
        <v>0</v>
      </c>
      <c r="AJ72" s="1870"/>
      <c r="AK72" s="1870">
        <f t="shared" ref="AK72:AK76" si="4">IF(AI72="","",SUM(AI72:AJ72))</f>
        <v>0</v>
      </c>
      <c r="AL72" s="1872">
        <v>0</v>
      </c>
      <c r="AM72" s="1872">
        <f t="shared" si="2"/>
        <v>0</v>
      </c>
    </row>
    <row r="73" spans="1:39" ht="18" customHeight="1">
      <c r="A73" s="1900"/>
      <c r="B73" s="1653" t="s">
        <v>138</v>
      </c>
      <c r="C73" s="1902"/>
      <c r="D73" s="1906" t="s">
        <v>126</v>
      </c>
      <c r="E73" s="1906">
        <v>21</v>
      </c>
      <c r="F73" s="1906">
        <v>21</v>
      </c>
      <c r="G73" s="1914">
        <v>23</v>
      </c>
      <c r="H73" s="1914">
        <v>23</v>
      </c>
      <c r="I73" s="1915" t="s">
        <v>46</v>
      </c>
      <c r="J73" s="1902" t="s">
        <v>46</v>
      </c>
      <c r="K73" s="1902" t="s">
        <v>46</v>
      </c>
      <c r="L73" s="1916"/>
      <c r="M73" s="1916"/>
      <c r="N73" s="1902" t="s">
        <v>46</v>
      </c>
      <c r="O73" s="1906" t="s">
        <v>61</v>
      </c>
      <c r="P73" s="1906" t="s">
        <v>118</v>
      </c>
      <c r="Q73" s="1906" t="s">
        <v>139</v>
      </c>
      <c r="R73" s="1902" t="s">
        <v>46</v>
      </c>
      <c r="S73" s="1902" t="s">
        <v>104</v>
      </c>
      <c r="T73" s="1902"/>
      <c r="U73" s="1917">
        <v>22</v>
      </c>
      <c r="V73" s="1917">
        <v>22</v>
      </c>
      <c r="W73" s="240" t="s">
        <v>46</v>
      </c>
      <c r="X73" s="240" t="s">
        <v>46</v>
      </c>
      <c r="Y73" s="1883" t="s">
        <v>104</v>
      </c>
      <c r="Z73" s="1870"/>
      <c r="AA73" s="1716"/>
      <c r="AB73" s="1761" t="s">
        <v>127</v>
      </c>
      <c r="AC73" s="1918" t="s">
        <v>128</v>
      </c>
      <c r="AD73" s="1761" t="s">
        <v>123</v>
      </c>
      <c r="AE73" s="1753"/>
      <c r="AF73" s="1845" t="s">
        <v>40</v>
      </c>
      <c r="AG73" s="1778"/>
      <c r="AI73" s="1870">
        <f t="shared" si="3"/>
        <v>0</v>
      </c>
      <c r="AJ73" s="1870"/>
      <c r="AK73" s="1870">
        <f t="shared" si="4"/>
        <v>0</v>
      </c>
      <c r="AL73" s="1872">
        <v>0</v>
      </c>
      <c r="AM73" s="1872">
        <f t="shared" si="2"/>
        <v>0</v>
      </c>
    </row>
    <row r="74" spans="1:39" ht="18" customHeight="1">
      <c r="A74" s="1900"/>
      <c r="B74" s="1653" t="s">
        <v>140</v>
      </c>
      <c r="C74" s="1902"/>
      <c r="D74" s="1902" t="s">
        <v>40</v>
      </c>
      <c r="E74" s="1916"/>
      <c r="F74" s="1916"/>
      <c r="G74" s="1761">
        <v>1</v>
      </c>
      <c r="H74" s="1761">
        <v>1</v>
      </c>
      <c r="I74" s="1839">
        <v>1</v>
      </c>
      <c r="J74" s="1844" t="s">
        <v>46</v>
      </c>
      <c r="K74" s="1844" t="s">
        <v>46</v>
      </c>
      <c r="L74" s="1906" t="s">
        <v>91</v>
      </c>
      <c r="M74" s="1906" t="s">
        <v>89</v>
      </c>
      <c r="N74" s="1761">
        <v>6</v>
      </c>
      <c r="O74" s="1761">
        <v>6</v>
      </c>
      <c r="P74" s="1761">
        <v>6</v>
      </c>
      <c r="Q74" s="1761">
        <v>6</v>
      </c>
      <c r="R74" s="1761">
        <v>6</v>
      </c>
      <c r="S74" s="1902"/>
      <c r="T74" s="1902"/>
      <c r="U74" s="1917" t="s">
        <v>46</v>
      </c>
      <c r="V74" s="1919">
        <v>4</v>
      </c>
      <c r="W74" s="1920" t="s">
        <v>46</v>
      </c>
      <c r="X74" s="1920" t="s">
        <v>46</v>
      </c>
      <c r="Y74" s="1920" t="s">
        <v>46</v>
      </c>
      <c r="Z74" s="1902"/>
      <c r="AA74" s="1921"/>
      <c r="AB74" s="1761">
        <v>11</v>
      </c>
      <c r="AC74" s="1761">
        <v>11</v>
      </c>
      <c r="AD74" s="1761">
        <v>11</v>
      </c>
      <c r="AE74" s="1761">
        <v>11</v>
      </c>
      <c r="AF74" s="1761">
        <v>11</v>
      </c>
      <c r="AG74" s="1922" t="s">
        <v>87</v>
      </c>
      <c r="AI74" s="1870">
        <f t="shared" si="3"/>
        <v>0</v>
      </c>
      <c r="AJ74" s="1870"/>
      <c r="AK74" s="1870">
        <f t="shared" si="4"/>
        <v>0</v>
      </c>
      <c r="AL74" s="1872">
        <v>0</v>
      </c>
      <c r="AM74" s="1872">
        <f t="shared" si="2"/>
        <v>0</v>
      </c>
    </row>
    <row r="75" spans="1:39" ht="18" customHeight="1">
      <c r="A75" s="1900"/>
      <c r="B75" s="1653" t="s">
        <v>141</v>
      </c>
      <c r="C75" s="1876"/>
      <c r="D75" s="1906" t="s">
        <v>142</v>
      </c>
      <c r="E75" s="1923" t="s">
        <v>91</v>
      </c>
      <c r="F75" s="1923" t="s">
        <v>89</v>
      </c>
      <c r="G75" s="1894" t="s">
        <v>46</v>
      </c>
      <c r="H75" s="1894" t="s">
        <v>46</v>
      </c>
      <c r="I75" s="1894" t="s">
        <v>46</v>
      </c>
      <c r="J75" s="181" t="s">
        <v>139</v>
      </c>
      <c r="K75" s="199" t="s">
        <v>139</v>
      </c>
      <c r="L75" s="199" t="s">
        <v>139</v>
      </c>
      <c r="M75" s="199" t="s">
        <v>139</v>
      </c>
      <c r="N75" s="1924" t="s">
        <v>46</v>
      </c>
      <c r="O75" s="1924" t="s">
        <v>143</v>
      </c>
      <c r="P75" s="1916" t="s">
        <v>46</v>
      </c>
      <c r="Q75" s="1906" t="s">
        <v>144</v>
      </c>
      <c r="R75" s="1906" t="s">
        <v>145</v>
      </c>
      <c r="S75" s="1876"/>
      <c r="T75" s="1753"/>
      <c r="U75" s="1925">
        <v>3</v>
      </c>
      <c r="V75" s="1925">
        <v>3</v>
      </c>
      <c r="W75" s="1926">
        <v>3</v>
      </c>
      <c r="X75" s="1926">
        <v>3</v>
      </c>
      <c r="Y75" s="1926">
        <v>3</v>
      </c>
      <c r="Z75" s="1876"/>
      <c r="AA75" s="1927"/>
      <c r="AB75" s="1845" t="s">
        <v>118</v>
      </c>
      <c r="AC75" s="1845" t="s">
        <v>118</v>
      </c>
      <c r="AD75" s="1845" t="s">
        <v>61</v>
      </c>
      <c r="AE75" s="1753" t="s">
        <v>46</v>
      </c>
      <c r="AF75" s="1845" t="s">
        <v>46</v>
      </c>
      <c r="AG75" s="1778" t="s">
        <v>118</v>
      </c>
      <c r="AI75" s="1870">
        <f t="shared" si="3"/>
        <v>0</v>
      </c>
      <c r="AJ75" s="1870"/>
      <c r="AK75" s="1870">
        <f t="shared" si="4"/>
        <v>0</v>
      </c>
      <c r="AL75" s="1872">
        <v>0</v>
      </c>
      <c r="AM75" s="1872">
        <f t="shared" si="2"/>
        <v>0</v>
      </c>
    </row>
    <row r="76" spans="1:39" ht="18" customHeight="1">
      <c r="A76" s="1900"/>
      <c r="B76" s="1653" t="s">
        <v>146</v>
      </c>
      <c r="C76" s="1902"/>
      <c r="D76" s="1928" t="s">
        <v>46</v>
      </c>
      <c r="E76" s="1919"/>
      <c r="F76" s="1919"/>
      <c r="G76" s="1761" t="s">
        <v>121</v>
      </c>
      <c r="H76" s="1761" t="s">
        <v>121</v>
      </c>
      <c r="I76" s="1761" t="s">
        <v>121</v>
      </c>
      <c r="J76" s="1761" t="s">
        <v>121</v>
      </c>
      <c r="K76" s="1761" t="s">
        <v>121</v>
      </c>
      <c r="L76" s="1844"/>
      <c r="M76" s="1844"/>
      <c r="N76" s="1844" t="s">
        <v>121</v>
      </c>
      <c r="O76" s="1844" t="s">
        <v>121</v>
      </c>
      <c r="P76" s="1844" t="s">
        <v>121</v>
      </c>
      <c r="Q76" s="1844" t="s">
        <v>121</v>
      </c>
      <c r="R76" s="1844" t="s">
        <v>121</v>
      </c>
      <c r="S76" s="1761" t="s">
        <v>120</v>
      </c>
      <c r="T76" s="1761" t="s">
        <v>120</v>
      </c>
      <c r="U76" s="1753" t="s">
        <v>46</v>
      </c>
      <c r="V76" s="1753" t="s">
        <v>46</v>
      </c>
      <c r="W76" s="1845" t="s">
        <v>46</v>
      </c>
      <c r="X76" s="1845" t="s">
        <v>46</v>
      </c>
      <c r="Y76" s="1894" t="s">
        <v>46</v>
      </c>
      <c r="Z76" s="1902"/>
      <c r="AA76" s="1921"/>
      <c r="AB76" s="1844" t="s">
        <v>121</v>
      </c>
      <c r="AC76" s="1844" t="s">
        <v>121</v>
      </c>
      <c r="AD76" s="1844" t="s">
        <v>121</v>
      </c>
      <c r="AE76" s="1844" t="s">
        <v>120</v>
      </c>
      <c r="AF76" s="1844" t="s">
        <v>121</v>
      </c>
      <c r="AG76" s="1929" t="s">
        <v>120</v>
      </c>
      <c r="AI76" s="1870">
        <f t="shared" si="3"/>
        <v>0</v>
      </c>
      <c r="AJ76" s="1870"/>
      <c r="AK76" s="1870">
        <f t="shared" si="4"/>
        <v>0</v>
      </c>
      <c r="AL76" s="1872">
        <v>0</v>
      </c>
      <c r="AM76" s="1872">
        <f t="shared" si="2"/>
        <v>0</v>
      </c>
    </row>
    <row r="77" spans="1:39" ht="18" customHeight="1" thickBot="1">
      <c r="A77" s="1900"/>
      <c r="B77" s="1653" t="s">
        <v>147</v>
      </c>
      <c r="C77" s="1902"/>
      <c r="D77" s="1928" t="s">
        <v>40</v>
      </c>
      <c r="E77" s="1902"/>
      <c r="F77" s="1902"/>
      <c r="G77" s="1906" t="s">
        <v>148</v>
      </c>
      <c r="H77" s="1906" t="s">
        <v>148</v>
      </c>
      <c r="I77" s="1906" t="s">
        <v>145</v>
      </c>
      <c r="J77" s="1906">
        <v>89</v>
      </c>
      <c r="K77" s="1906">
        <v>69</v>
      </c>
      <c r="L77" s="1917"/>
      <c r="M77" s="1917"/>
      <c r="N77" s="1906">
        <v>10</v>
      </c>
      <c r="O77" s="1906">
        <v>10</v>
      </c>
      <c r="P77" s="1906">
        <v>10</v>
      </c>
      <c r="Q77" s="1906">
        <v>9</v>
      </c>
      <c r="R77" s="1906" t="s">
        <v>149</v>
      </c>
      <c r="S77" s="1906" t="s">
        <v>53</v>
      </c>
      <c r="T77" s="1906" t="s">
        <v>53</v>
      </c>
      <c r="U77" s="1753" t="s">
        <v>46</v>
      </c>
      <c r="V77" s="1753" t="s">
        <v>46</v>
      </c>
      <c r="W77" s="1845" t="s">
        <v>46</v>
      </c>
      <c r="X77" s="1845" t="s">
        <v>46</v>
      </c>
      <c r="Y77" s="1920" t="s">
        <v>46</v>
      </c>
      <c r="Z77" s="1761" t="s">
        <v>91</v>
      </c>
      <c r="AA77" s="1783" t="s">
        <v>89</v>
      </c>
      <c r="AB77" s="1761">
        <v>6</v>
      </c>
      <c r="AC77" s="1761">
        <v>6</v>
      </c>
      <c r="AD77" s="1761">
        <v>6</v>
      </c>
      <c r="AE77" s="1761">
        <v>6</v>
      </c>
      <c r="AF77" s="1761">
        <v>6</v>
      </c>
      <c r="AG77" s="1778"/>
      <c r="AI77" s="1870"/>
      <c r="AJ77" s="1870"/>
      <c r="AK77" s="1870"/>
      <c r="AL77" s="1872"/>
      <c r="AM77" s="1872"/>
    </row>
    <row r="78" spans="1:39" ht="18" customHeight="1" thickBot="1">
      <c r="A78" s="1900"/>
      <c r="B78" s="1873" t="s">
        <v>150</v>
      </c>
      <c r="C78" s="1902"/>
      <c r="D78" s="1928" t="s">
        <v>40</v>
      </c>
      <c r="E78" s="1902"/>
      <c r="F78" s="1902"/>
      <c r="G78" s="1916" t="s">
        <v>46</v>
      </c>
      <c r="H78" s="1906" t="s">
        <v>142</v>
      </c>
      <c r="I78" s="1906" t="s">
        <v>142</v>
      </c>
      <c r="J78" s="1906">
        <v>6</v>
      </c>
      <c r="K78" s="1906">
        <v>6</v>
      </c>
      <c r="L78" s="1917"/>
      <c r="M78" s="1917"/>
      <c r="N78" s="1930">
        <v>89</v>
      </c>
      <c r="O78" s="1930">
        <v>89</v>
      </c>
      <c r="P78" s="1906">
        <v>79</v>
      </c>
      <c r="Q78" s="1919">
        <v>79</v>
      </c>
      <c r="R78" s="1906">
        <v>4</v>
      </c>
      <c r="S78" s="1902"/>
      <c r="T78" s="1902"/>
      <c r="U78" s="1468">
        <v>10</v>
      </c>
      <c r="V78" s="1468">
        <v>10</v>
      </c>
      <c r="W78" s="1468">
        <v>10</v>
      </c>
      <c r="X78" s="1468">
        <v>10</v>
      </c>
      <c r="Y78" s="1468">
        <v>10</v>
      </c>
      <c r="Z78" s="1468" t="s">
        <v>53</v>
      </c>
      <c r="AA78" s="1562" t="s">
        <v>53</v>
      </c>
      <c r="AB78" s="1736" t="s">
        <v>46</v>
      </c>
      <c r="AC78" s="1755" t="s">
        <v>46</v>
      </c>
      <c r="AD78" s="1845" t="s">
        <v>46</v>
      </c>
      <c r="AE78" s="1839" t="s">
        <v>126</v>
      </c>
      <c r="AF78" s="1839">
        <v>21</v>
      </c>
      <c r="AG78" s="1778"/>
      <c r="AI78" s="1870"/>
      <c r="AJ78" s="1870"/>
      <c r="AK78" s="1870"/>
      <c r="AL78" s="1872"/>
      <c r="AM78" s="1872"/>
    </row>
    <row r="79" spans="1:39" ht="18" customHeight="1">
      <c r="A79" s="1900"/>
      <c r="B79" s="1873" t="s">
        <v>151</v>
      </c>
      <c r="C79" s="1902"/>
      <c r="D79" s="1928" t="s">
        <v>40</v>
      </c>
      <c r="E79" s="1902"/>
      <c r="F79" s="1902"/>
      <c r="G79" s="1906" t="s">
        <v>152</v>
      </c>
      <c r="H79" s="1906" t="s">
        <v>130</v>
      </c>
      <c r="I79" s="1906" t="s">
        <v>153</v>
      </c>
      <c r="J79" s="181" t="s">
        <v>132</v>
      </c>
      <c r="K79" s="181" t="s">
        <v>153</v>
      </c>
      <c r="N79" s="1917" t="s">
        <v>153</v>
      </c>
      <c r="O79" s="1917" t="s">
        <v>46</v>
      </c>
      <c r="P79" s="1906">
        <v>21</v>
      </c>
      <c r="Q79" s="1906">
        <v>21</v>
      </c>
      <c r="R79" s="1906" t="s">
        <v>126</v>
      </c>
      <c r="S79" s="1916">
        <v>23</v>
      </c>
      <c r="T79" s="1916">
        <v>23</v>
      </c>
      <c r="U79" s="1917" t="s">
        <v>46</v>
      </c>
      <c r="V79" s="1917" t="s">
        <v>46</v>
      </c>
      <c r="W79" s="1760">
        <v>22</v>
      </c>
      <c r="X79" s="1885">
        <v>22</v>
      </c>
      <c r="Y79" s="1931"/>
      <c r="Z79" s="1932"/>
      <c r="AA79" s="1933"/>
      <c r="AB79" s="1736"/>
      <c r="AC79" s="1736"/>
      <c r="AD79" s="1736"/>
      <c r="AE79" s="1736"/>
      <c r="AF79" s="1736"/>
      <c r="AG79" s="1934"/>
      <c r="AI79" s="1870"/>
      <c r="AJ79" s="1870"/>
      <c r="AK79" s="1870"/>
      <c r="AL79" s="1872"/>
      <c r="AM79" s="1872"/>
    </row>
    <row r="81" spans="1:39" ht="18" customHeight="1" thickBot="1">
      <c r="A81" s="1563"/>
      <c r="B81" s="1517" t="s">
        <v>154</v>
      </c>
      <c r="C81" s="1580">
        <v>1</v>
      </c>
      <c r="D81" s="1578">
        <v>2</v>
      </c>
      <c r="E81" s="1580">
        <v>3</v>
      </c>
      <c r="F81" s="1580">
        <v>4</v>
      </c>
      <c r="G81" s="1578">
        <v>5</v>
      </c>
      <c r="H81" s="1578">
        <v>6</v>
      </c>
      <c r="I81" s="1578">
        <v>7</v>
      </c>
      <c r="J81" s="1578">
        <v>8</v>
      </c>
      <c r="K81" s="1578">
        <v>9</v>
      </c>
      <c r="L81" s="1580">
        <v>10</v>
      </c>
      <c r="M81" s="1580">
        <v>11</v>
      </c>
      <c r="N81" s="1578">
        <v>12</v>
      </c>
      <c r="O81" s="1578">
        <v>13</v>
      </c>
      <c r="P81" s="1578">
        <v>14</v>
      </c>
      <c r="Q81" s="1578">
        <v>15</v>
      </c>
      <c r="R81" s="1578">
        <v>16</v>
      </c>
      <c r="S81" s="1580">
        <v>17</v>
      </c>
      <c r="T81" s="1935">
        <v>18</v>
      </c>
      <c r="U81" s="1565">
        <v>19</v>
      </c>
      <c r="V81" s="1565">
        <v>20</v>
      </c>
      <c r="W81" s="1565">
        <v>21</v>
      </c>
      <c r="X81" s="1565">
        <v>22</v>
      </c>
      <c r="Y81" s="1936">
        <v>23</v>
      </c>
      <c r="Z81" s="1580">
        <v>24</v>
      </c>
      <c r="AA81" s="1580">
        <v>25</v>
      </c>
      <c r="AB81" s="1578">
        <v>26</v>
      </c>
      <c r="AC81" s="1578">
        <v>27</v>
      </c>
      <c r="AD81" s="1578">
        <v>28</v>
      </c>
      <c r="AE81" s="1580">
        <v>29</v>
      </c>
      <c r="AF81" s="1578">
        <v>30</v>
      </c>
      <c r="AG81" s="1580">
        <v>31</v>
      </c>
      <c r="AI81" s="1870">
        <f t="shared" si="0"/>
        <v>0</v>
      </c>
      <c r="AJ81" s="1870"/>
      <c r="AK81" s="1870">
        <f t="shared" si="1"/>
        <v>0</v>
      </c>
      <c r="AL81" s="1872">
        <v>0</v>
      </c>
      <c r="AM81" s="1872">
        <f t="shared" si="2"/>
        <v>0</v>
      </c>
    </row>
    <row r="82" spans="1:39" ht="18" customHeight="1">
      <c r="A82" s="1887"/>
      <c r="B82" s="1937" t="s">
        <v>155</v>
      </c>
      <c r="C82" s="1875"/>
      <c r="D82" s="1938" t="s">
        <v>61</v>
      </c>
      <c r="E82" s="1938" t="s">
        <v>61</v>
      </c>
      <c r="F82" s="1939" t="s">
        <v>61</v>
      </c>
      <c r="G82" s="1939" t="s">
        <v>46</v>
      </c>
      <c r="H82" s="1940" t="s">
        <v>46</v>
      </c>
      <c r="I82" s="1875" t="s">
        <v>46</v>
      </c>
      <c r="J82" s="1940" t="s">
        <v>46</v>
      </c>
      <c r="K82" s="1938" t="s">
        <v>118</v>
      </c>
      <c r="L82" s="1938" t="s">
        <v>61</v>
      </c>
      <c r="M82" s="1938" t="s">
        <v>61</v>
      </c>
      <c r="N82" s="1875" t="s">
        <v>118</v>
      </c>
      <c r="O82" s="1875" t="s">
        <v>118</v>
      </c>
      <c r="P82" s="1941" t="s">
        <v>118</v>
      </c>
      <c r="Q82" s="1941"/>
      <c r="R82" s="1941"/>
      <c r="S82" s="1942"/>
      <c r="T82" s="1943"/>
      <c r="U82" s="482" t="s">
        <v>128</v>
      </c>
      <c r="V82" s="482"/>
      <c r="W82" s="482"/>
      <c r="X82" s="200" t="s">
        <v>46</v>
      </c>
      <c r="Y82" s="1875" t="s">
        <v>46</v>
      </c>
      <c r="Z82" s="1877"/>
      <c r="AA82" s="1877"/>
      <c r="AB82" s="1875" t="s">
        <v>116</v>
      </c>
      <c r="AC82" s="1875" t="s">
        <v>116</v>
      </c>
      <c r="AD82" s="1875" t="s">
        <v>116</v>
      </c>
      <c r="AE82" s="1875"/>
      <c r="AF82" s="1875" t="s">
        <v>132</v>
      </c>
      <c r="AG82" s="1778" t="s">
        <v>113</v>
      </c>
      <c r="AI82" s="1870">
        <f t="shared" si="0"/>
        <v>0</v>
      </c>
      <c r="AJ82" s="1870"/>
      <c r="AK82" s="1870">
        <f t="shared" si="1"/>
        <v>0</v>
      </c>
      <c r="AL82" s="1872">
        <v>0</v>
      </c>
      <c r="AM82" s="1872">
        <f t="shared" si="2"/>
        <v>0</v>
      </c>
    </row>
    <row r="83" spans="1:39" ht="18" customHeight="1">
      <c r="A83" s="1887"/>
      <c r="B83" s="1716"/>
      <c r="C83" s="1909"/>
      <c r="D83" s="1909"/>
      <c r="E83" s="1902"/>
      <c r="F83" s="1909"/>
      <c r="G83" s="1909"/>
      <c r="H83" s="1909"/>
      <c r="I83" s="1909"/>
      <c r="J83" s="1909"/>
      <c r="K83" s="1909"/>
      <c r="L83" s="1909"/>
      <c r="M83" s="1909"/>
      <c r="N83" s="1909"/>
      <c r="O83" s="1944"/>
      <c r="P83" s="1944"/>
      <c r="Q83" s="1944"/>
      <c r="R83" s="1944"/>
      <c r="S83" s="1944"/>
      <c r="T83" s="1944"/>
      <c r="U83" s="1944"/>
      <c r="V83" s="1944"/>
      <c r="W83" s="1909"/>
      <c r="X83" s="1909"/>
      <c r="Y83" s="1909"/>
      <c r="Z83" s="1909"/>
      <c r="AA83" s="1909"/>
      <c r="AB83" s="1909"/>
      <c r="AC83" s="1909"/>
      <c r="AD83" s="1902"/>
      <c r="AE83" s="1909"/>
      <c r="AF83" s="1945"/>
      <c r="AG83" s="1778"/>
      <c r="AI83" s="1870">
        <f t="shared" si="0"/>
        <v>0</v>
      </c>
      <c r="AJ83" s="1870"/>
      <c r="AK83" s="1870">
        <f t="shared" si="1"/>
        <v>0</v>
      </c>
      <c r="AL83" s="1872">
        <v>0</v>
      </c>
      <c r="AM83" s="1872">
        <f t="shared" si="2"/>
        <v>0</v>
      </c>
    </row>
    <row r="84" spans="1:39" ht="18" customHeight="1" thickBot="1">
      <c r="A84" s="1946"/>
      <c r="B84" s="1947" t="s">
        <v>0</v>
      </c>
      <c r="C84" s="1948"/>
      <c r="D84" s="1586"/>
      <c r="E84" s="1586"/>
      <c r="F84" s="1949"/>
      <c r="G84" s="1949"/>
      <c r="H84" s="1634"/>
      <c r="I84" s="1634"/>
      <c r="J84" s="1634"/>
      <c r="K84" s="1634"/>
      <c r="L84" s="1634"/>
      <c r="M84" s="1634"/>
      <c r="N84" s="1634"/>
      <c r="O84" s="1634"/>
      <c r="P84" s="1634"/>
      <c r="Q84" s="1634"/>
      <c r="R84" s="1634"/>
      <c r="S84" s="1634"/>
      <c r="T84" s="1634"/>
      <c r="U84" s="1634"/>
      <c r="V84" s="1634"/>
      <c r="W84" s="1634"/>
      <c r="X84" s="1634"/>
      <c r="Y84" s="1634"/>
      <c r="Z84" s="1634"/>
      <c r="AA84" s="1634"/>
      <c r="AB84" s="1634"/>
      <c r="AC84" s="1634"/>
      <c r="AD84" s="1634"/>
      <c r="AE84" s="1634"/>
      <c r="AF84" s="1950"/>
      <c r="AG84" s="1778"/>
      <c r="AI84" s="1870">
        <f>$AJ$11</f>
        <v>0</v>
      </c>
      <c r="AJ84" s="1870"/>
      <c r="AK84" s="1870">
        <f>IF(AI84="","",SUM(AI84:AJ84))</f>
        <v>0</v>
      </c>
      <c r="AL84" s="1872">
        <v>0</v>
      </c>
      <c r="AM84" s="1872">
        <f t="shared" si="2"/>
        <v>0</v>
      </c>
    </row>
    <row r="85" spans="1:39" ht="18" customHeight="1" thickBot="1">
      <c r="A85" s="1311"/>
      <c r="B85" s="1481" t="s">
        <v>156</v>
      </c>
      <c r="C85" s="1580">
        <v>1</v>
      </c>
      <c r="D85" s="1578">
        <v>2</v>
      </c>
      <c r="E85" s="1580">
        <v>3</v>
      </c>
      <c r="F85" s="1580">
        <v>4</v>
      </c>
      <c r="G85" s="1578">
        <v>5</v>
      </c>
      <c r="H85" s="1578">
        <v>6</v>
      </c>
      <c r="I85" s="1578">
        <v>7</v>
      </c>
      <c r="J85" s="1578">
        <v>8</v>
      </c>
      <c r="K85" s="1578">
        <v>9</v>
      </c>
      <c r="L85" s="1580">
        <v>10</v>
      </c>
      <c r="M85" s="1580">
        <v>11</v>
      </c>
      <c r="N85" s="1578">
        <v>12</v>
      </c>
      <c r="O85" s="1578">
        <v>13</v>
      </c>
      <c r="P85" s="1578">
        <v>14</v>
      </c>
      <c r="Q85" s="1578">
        <v>15</v>
      </c>
      <c r="R85" s="1578">
        <v>16</v>
      </c>
      <c r="S85" s="1580">
        <v>17</v>
      </c>
      <c r="T85" s="1580">
        <v>18</v>
      </c>
      <c r="U85" s="1578">
        <v>19</v>
      </c>
      <c r="V85" s="1578">
        <v>20</v>
      </c>
      <c r="W85" s="1578">
        <v>21</v>
      </c>
      <c r="X85" s="1578">
        <v>22</v>
      </c>
      <c r="Y85" s="1578">
        <v>23</v>
      </c>
      <c r="Z85" s="1580">
        <v>24</v>
      </c>
      <c r="AA85" s="1580">
        <v>25</v>
      </c>
      <c r="AB85" s="1578">
        <v>26</v>
      </c>
      <c r="AC85" s="1578">
        <v>27</v>
      </c>
      <c r="AD85" s="1578">
        <v>28</v>
      </c>
      <c r="AE85" s="1580">
        <v>29</v>
      </c>
      <c r="AF85" s="1578">
        <v>30</v>
      </c>
      <c r="AG85" s="1580">
        <v>31</v>
      </c>
      <c r="AI85" s="1870">
        <f>$AJ$11</f>
        <v>0</v>
      </c>
      <c r="AJ85" s="1870"/>
      <c r="AK85" s="1870">
        <f>IF(AI85="","",SUM(AI85:AJ85))</f>
        <v>0</v>
      </c>
      <c r="AL85" s="1872">
        <v>0</v>
      </c>
      <c r="AM85" s="1872">
        <f t="shared" si="2"/>
        <v>0</v>
      </c>
    </row>
    <row r="86" spans="1:39" ht="18" customHeight="1">
      <c r="A86" s="1951"/>
      <c r="B86" s="1724" t="s">
        <v>157</v>
      </c>
      <c r="C86" s="1944"/>
      <c r="D86" s="1944" t="s">
        <v>40</v>
      </c>
      <c r="E86" s="1944"/>
      <c r="F86" s="1944"/>
      <c r="G86" s="1944" t="s">
        <v>40</v>
      </c>
      <c r="H86" s="1944" t="s">
        <v>40</v>
      </c>
      <c r="I86" s="1916" t="s">
        <v>40</v>
      </c>
      <c r="J86" s="1916" t="s">
        <v>40</v>
      </c>
      <c r="K86" s="1916" t="s">
        <v>40</v>
      </c>
      <c r="L86" s="1916" t="s">
        <v>104</v>
      </c>
      <c r="M86" s="1916" t="s">
        <v>104</v>
      </c>
      <c r="N86" s="1585">
        <v>3</v>
      </c>
      <c r="O86" s="1584">
        <v>3</v>
      </c>
      <c r="P86" s="1585">
        <v>3</v>
      </c>
      <c r="Q86" s="1584">
        <v>3</v>
      </c>
      <c r="R86" s="1584">
        <v>3</v>
      </c>
      <c r="S86" s="1916"/>
      <c r="T86" s="1916"/>
      <c r="U86" s="1584">
        <v>11</v>
      </c>
      <c r="V86" s="1584">
        <v>11</v>
      </c>
      <c r="W86" s="1584">
        <v>11</v>
      </c>
      <c r="X86" s="1584">
        <v>11</v>
      </c>
      <c r="Y86" s="1585">
        <v>11</v>
      </c>
      <c r="Z86" s="1585" t="s">
        <v>87</v>
      </c>
      <c r="AA86" s="1585" t="s">
        <v>87</v>
      </c>
      <c r="AB86" s="1916" t="s">
        <v>46</v>
      </c>
      <c r="AC86" s="1916" t="s">
        <v>46</v>
      </c>
      <c r="AD86" s="1902" t="s">
        <v>46</v>
      </c>
      <c r="AE86" s="1902"/>
      <c r="AF86" s="202" t="s">
        <v>46</v>
      </c>
      <c r="AG86" s="1778" t="s">
        <v>104</v>
      </c>
      <c r="AI86" s="1952"/>
      <c r="AJ86" s="1952"/>
      <c r="AK86" s="1952"/>
      <c r="AL86" s="1953"/>
      <c r="AM86" s="1953"/>
    </row>
    <row r="87" spans="1:39" ht="18" customHeight="1" thickBot="1">
      <c r="A87" s="1954"/>
      <c r="B87" s="1955" t="s">
        <v>158</v>
      </c>
      <c r="C87" s="1586"/>
      <c r="D87" s="1956" t="s">
        <v>40</v>
      </c>
      <c r="E87" s="1957"/>
      <c r="F87" s="1957"/>
      <c r="G87" s="1957" t="s">
        <v>40</v>
      </c>
      <c r="H87" s="1957" t="s">
        <v>40</v>
      </c>
      <c r="I87" s="1957" t="s">
        <v>40</v>
      </c>
      <c r="J87" s="1957" t="s">
        <v>40</v>
      </c>
      <c r="K87" s="1957" t="s">
        <v>40</v>
      </c>
      <c r="L87" s="1957"/>
      <c r="M87" s="1957"/>
      <c r="N87" s="1957" t="s">
        <v>40</v>
      </c>
      <c r="O87" s="1957" t="s">
        <v>40</v>
      </c>
      <c r="P87" s="1957" t="s">
        <v>40</v>
      </c>
      <c r="Q87" s="1957" t="s">
        <v>40</v>
      </c>
      <c r="R87" s="1957" t="s">
        <v>40</v>
      </c>
      <c r="S87" s="1957"/>
      <c r="T87" s="1957"/>
      <c r="U87" s="1958" t="s">
        <v>40</v>
      </c>
      <c r="V87" s="1928" t="s">
        <v>40</v>
      </c>
      <c r="W87" s="1909">
        <v>4</v>
      </c>
      <c r="X87" s="1944">
        <v>4</v>
      </c>
      <c r="Y87" s="1909">
        <v>4</v>
      </c>
      <c r="Z87" s="1959"/>
      <c r="AA87" s="1957"/>
      <c r="AB87" s="1957" t="s">
        <v>40</v>
      </c>
      <c r="AC87" s="1957" t="s">
        <v>40</v>
      </c>
      <c r="AD87" s="1957" t="s">
        <v>40</v>
      </c>
      <c r="AE87" s="1957"/>
      <c r="AF87" s="1921" t="s">
        <v>159</v>
      </c>
      <c r="AG87" s="1778"/>
    </row>
    <row r="88" spans="1:39" ht="18" customHeight="1" thickBot="1">
      <c r="A88" s="584"/>
      <c r="B88" s="241" t="s">
        <v>38</v>
      </c>
      <c r="C88" s="1580">
        <v>1</v>
      </c>
      <c r="D88" s="1578">
        <v>2</v>
      </c>
      <c r="E88" s="1580">
        <v>3</v>
      </c>
      <c r="F88" s="1580">
        <v>4</v>
      </c>
      <c r="G88" s="1578">
        <v>5</v>
      </c>
      <c r="H88" s="1578">
        <v>6</v>
      </c>
      <c r="I88" s="1578">
        <v>7</v>
      </c>
      <c r="J88" s="1578">
        <v>8</v>
      </c>
      <c r="K88" s="1578">
        <v>9</v>
      </c>
      <c r="L88" s="1580">
        <v>10</v>
      </c>
      <c r="M88" s="1580">
        <v>11</v>
      </c>
      <c r="N88" s="1578">
        <v>12</v>
      </c>
      <c r="O88" s="1578">
        <v>13</v>
      </c>
      <c r="P88" s="1578">
        <v>14</v>
      </c>
      <c r="Q88" s="1578">
        <v>15</v>
      </c>
      <c r="R88" s="1578">
        <v>16</v>
      </c>
      <c r="S88" s="1580">
        <v>17</v>
      </c>
      <c r="T88" s="1580">
        <v>18</v>
      </c>
      <c r="U88" s="1578">
        <v>19</v>
      </c>
      <c r="V88" s="1459">
        <v>20</v>
      </c>
      <c r="W88" s="1459">
        <v>21</v>
      </c>
      <c r="X88" s="1459">
        <v>22</v>
      </c>
      <c r="Y88" s="1459">
        <v>23</v>
      </c>
      <c r="Z88" s="1580">
        <v>24</v>
      </c>
      <c r="AA88" s="1580">
        <v>25</v>
      </c>
      <c r="AB88" s="1578">
        <v>26</v>
      </c>
      <c r="AC88" s="1578">
        <v>27</v>
      </c>
      <c r="AD88" s="1578">
        <v>28</v>
      </c>
      <c r="AE88" s="1580">
        <v>29</v>
      </c>
      <c r="AF88" s="1578">
        <v>30</v>
      </c>
      <c r="AG88" s="1580">
        <v>31</v>
      </c>
    </row>
    <row r="89" spans="1:39" ht="18" customHeight="1">
      <c r="A89" s="1960"/>
      <c r="B89" s="1769" t="s">
        <v>160</v>
      </c>
      <c r="C89" s="1645"/>
      <c r="D89" s="1961"/>
      <c r="E89" s="1645"/>
      <c r="F89" s="1645"/>
      <c r="G89" s="1645"/>
      <c r="H89" s="1645"/>
      <c r="I89" s="1645"/>
      <c r="J89" s="1645"/>
      <c r="K89" s="1645"/>
      <c r="L89" s="1645"/>
      <c r="M89" s="1645"/>
      <c r="N89" s="1645"/>
      <c r="O89" s="1645"/>
      <c r="P89" s="1645"/>
      <c r="Q89" s="1645"/>
      <c r="R89" s="1645"/>
      <c r="S89" s="1645"/>
      <c r="T89" s="1645"/>
      <c r="U89" s="1645"/>
      <c r="V89" s="1645"/>
      <c r="W89" s="1645"/>
      <c r="X89" s="1645"/>
      <c r="Y89" s="1645"/>
      <c r="Z89" s="1645"/>
      <c r="AA89" s="1645"/>
      <c r="AB89" s="1645"/>
      <c r="AC89" s="1645"/>
      <c r="AD89" s="1645"/>
      <c r="AE89" s="1645"/>
      <c r="AF89" s="1962"/>
      <c r="AG89" s="1778"/>
    </row>
    <row r="90" spans="1:39" ht="18" customHeight="1">
      <c r="A90" s="1960"/>
      <c r="B90" s="1734"/>
      <c r="C90" s="1895"/>
      <c r="D90" s="1895"/>
      <c r="E90" s="1895"/>
      <c r="F90" s="1737"/>
      <c r="G90" s="1737"/>
      <c r="H90" s="1895"/>
      <c r="I90" s="1895"/>
      <c r="J90" s="1895"/>
      <c r="K90" s="1895"/>
      <c r="L90" s="1895"/>
      <c r="M90" s="1895"/>
      <c r="N90" s="1895"/>
      <c r="O90" s="1895"/>
      <c r="P90" s="1895"/>
      <c r="Q90" s="1895"/>
      <c r="R90" s="1895"/>
      <c r="S90" s="1895"/>
      <c r="T90" s="1760"/>
      <c r="U90" s="1895"/>
      <c r="V90" s="1895"/>
      <c r="W90" s="1895"/>
      <c r="X90" s="1895"/>
      <c r="Y90" s="1895"/>
      <c r="Z90" s="1895"/>
      <c r="AA90" s="1895"/>
      <c r="AB90" s="1895"/>
      <c r="AC90" s="1895"/>
      <c r="AD90" s="1895"/>
      <c r="AE90" s="1895"/>
      <c r="AF90" s="1963"/>
      <c r="AG90" s="1778"/>
    </row>
    <row r="91" spans="1:39" ht="18" customHeight="1">
      <c r="A91" s="1960"/>
      <c r="B91" s="1734"/>
      <c r="C91" s="1760"/>
      <c r="D91" s="1760"/>
      <c r="E91" s="1760"/>
      <c r="F91" s="1760"/>
      <c r="G91" s="1760"/>
      <c r="H91" s="1760"/>
      <c r="I91" s="1760"/>
      <c r="J91" s="1760"/>
      <c r="K91" s="1760"/>
      <c r="L91" s="1760"/>
      <c r="M91" s="1760"/>
      <c r="N91" s="1760"/>
      <c r="O91" s="1760"/>
      <c r="P91" s="1760"/>
      <c r="Q91" s="1760"/>
      <c r="R91" s="1760"/>
      <c r="S91" s="1760"/>
      <c r="T91" s="1760"/>
      <c r="U91" s="1760"/>
      <c r="V91" s="1760"/>
      <c r="W91" s="1760"/>
      <c r="X91" s="1760"/>
      <c r="Y91" s="1760"/>
      <c r="Z91" s="1760"/>
      <c r="AA91" s="1760"/>
      <c r="AB91" s="1760"/>
      <c r="AC91" s="1760"/>
      <c r="AD91" s="1760"/>
      <c r="AE91" s="1760"/>
      <c r="AF91" s="1762"/>
      <c r="AG91" s="1778"/>
    </row>
    <row r="92" spans="1:39" ht="18" customHeight="1" thickBot="1">
      <c r="A92" s="89"/>
      <c r="B92" s="1741"/>
      <c r="C92" s="1964"/>
      <c r="D92" s="1964"/>
      <c r="E92" s="1964"/>
      <c r="F92" s="1964"/>
      <c r="G92" s="1964"/>
      <c r="H92" s="1964"/>
      <c r="I92" s="1964"/>
      <c r="J92" s="1964"/>
      <c r="K92" s="1964"/>
      <c r="L92" s="1964"/>
      <c r="M92" s="1964"/>
      <c r="N92" s="1964"/>
      <c r="O92" s="1964"/>
      <c r="P92" s="1964"/>
      <c r="Q92" s="1964"/>
      <c r="R92" s="1964"/>
      <c r="S92" s="1964"/>
      <c r="T92" s="1964"/>
      <c r="U92" s="1964"/>
      <c r="V92" s="1964"/>
      <c r="W92" s="1964"/>
      <c r="X92" s="1964"/>
      <c r="Y92" s="1964"/>
      <c r="Z92" s="1964"/>
      <c r="AA92" s="1964"/>
      <c r="AB92" s="1964"/>
      <c r="AC92" s="1964"/>
      <c r="AD92" s="1964"/>
      <c r="AE92" s="1964"/>
      <c r="AF92" s="1965"/>
      <c r="AG92" s="1778"/>
    </row>
    <row r="93" spans="1:39" ht="18" customHeight="1">
      <c r="A93" s="114"/>
      <c r="B93" s="115"/>
      <c r="C93" s="126"/>
      <c r="D93" s="126"/>
      <c r="E93" s="126"/>
      <c r="F93" s="126"/>
      <c r="G93" s="126"/>
      <c r="H93" s="126"/>
      <c r="I93" s="126"/>
      <c r="J93" s="126"/>
      <c r="K93" s="126"/>
      <c r="L93" s="126"/>
      <c r="M93" s="126"/>
      <c r="N93" s="126"/>
      <c r="O93" s="126"/>
      <c r="P93" s="126"/>
      <c r="Q93" s="126"/>
      <c r="R93" s="126"/>
      <c r="S93" s="126"/>
      <c r="T93" s="126"/>
      <c r="U93" s="126"/>
      <c r="V93" s="126"/>
      <c r="W93" s="126"/>
      <c r="X93" s="126"/>
      <c r="Y93" s="126"/>
      <c r="Z93" s="126"/>
      <c r="AA93" s="126"/>
      <c r="AB93" s="126"/>
      <c r="AC93" s="126"/>
      <c r="AD93" s="126"/>
      <c r="AE93" s="126"/>
      <c r="AF93" s="126"/>
    </row>
    <row r="94" spans="1:39" ht="18" customHeight="1">
      <c r="A94" s="42" t="s">
        <v>161</v>
      </c>
      <c r="C94" s="110"/>
      <c r="D94" s="110"/>
      <c r="E94" s="110"/>
      <c r="F94" s="110"/>
      <c r="G94" s="110"/>
      <c r="H94" s="110"/>
      <c r="I94" s="110"/>
      <c r="J94" s="110"/>
      <c r="K94" s="110"/>
      <c r="L94" s="110"/>
      <c r="M94" s="110"/>
      <c r="N94" s="110"/>
      <c r="O94" s="110"/>
      <c r="P94" s="110"/>
      <c r="Q94" s="110"/>
      <c r="R94" s="110"/>
      <c r="S94" s="110"/>
      <c r="T94" s="110"/>
      <c r="U94" s="110"/>
      <c r="V94" s="110"/>
      <c r="W94" s="110"/>
      <c r="X94" s="110"/>
      <c r="Y94" s="110"/>
      <c r="Z94" s="110"/>
      <c r="AA94" s="110"/>
      <c r="AB94" s="110"/>
      <c r="AC94" s="110"/>
      <c r="AD94" s="110"/>
      <c r="AE94" s="110"/>
      <c r="AF94" s="110"/>
    </row>
    <row r="95" spans="1:39" ht="18" customHeight="1">
      <c r="B95" s="1714"/>
      <c r="C95" s="1713"/>
      <c r="D95" s="1714" t="s">
        <v>19</v>
      </c>
      <c r="E95" s="1713"/>
      <c r="F95" s="1713"/>
      <c r="G95" s="1714" t="s">
        <v>20</v>
      </c>
      <c r="H95" s="1713"/>
      <c r="I95" s="1713"/>
      <c r="J95" s="1714" t="s">
        <v>21</v>
      </c>
      <c r="K95" s="1713"/>
      <c r="L95" s="1713"/>
      <c r="M95" s="1714" t="s">
        <v>22</v>
      </c>
      <c r="N95" s="1713"/>
      <c r="O95" s="1713"/>
      <c r="P95" s="1714" t="s">
        <v>23</v>
      </c>
      <c r="Q95" s="1713"/>
      <c r="R95" s="1709"/>
      <c r="S95" s="1710" t="s">
        <v>24</v>
      </c>
      <c r="T95" s="1713"/>
      <c r="U95" s="1713"/>
      <c r="V95" s="1714" t="s">
        <v>25</v>
      </c>
      <c r="W95" s="1713"/>
      <c r="X95" s="68"/>
      <c r="Y95" s="68"/>
      <c r="Z95" s="68"/>
      <c r="AA95" s="68"/>
      <c r="AB95" s="68"/>
      <c r="AC95" s="68"/>
      <c r="AD95" s="68"/>
      <c r="AE95" s="68"/>
      <c r="AF95" s="68"/>
    </row>
    <row r="96" spans="1:39" ht="18" customHeight="1">
      <c r="B96" s="1966" t="s">
        <v>162</v>
      </c>
      <c r="C96" s="1967" t="s">
        <v>163</v>
      </c>
      <c r="D96" s="1968"/>
      <c r="E96" s="1968"/>
      <c r="F96" s="1967" t="s">
        <v>163</v>
      </c>
      <c r="G96" s="1968"/>
      <c r="H96" s="1968"/>
      <c r="I96" s="1967" t="s">
        <v>163</v>
      </c>
      <c r="J96" s="1968"/>
      <c r="K96" s="1968"/>
      <c r="L96" s="1967" t="s">
        <v>163</v>
      </c>
      <c r="M96" s="1968"/>
      <c r="N96" s="1968"/>
      <c r="O96" s="1967" t="s">
        <v>163</v>
      </c>
      <c r="P96" s="1968"/>
      <c r="Q96" s="1968"/>
      <c r="R96" s="1969"/>
      <c r="S96" s="1968"/>
      <c r="T96" s="1968"/>
      <c r="U96" s="1969" t="s">
        <v>164</v>
      </c>
      <c r="V96" s="1968"/>
      <c r="W96" s="1970"/>
      <c r="X96" s="68"/>
      <c r="Y96" s="68"/>
      <c r="Z96" s="68"/>
      <c r="AA96" s="68"/>
      <c r="AB96" s="68"/>
      <c r="AC96" s="68"/>
      <c r="AD96" s="68"/>
      <c r="AE96" s="68"/>
      <c r="AF96" s="68"/>
    </row>
    <row r="97" spans="1:33" ht="18" customHeight="1">
      <c r="B97" s="1966" t="s">
        <v>165</v>
      </c>
      <c r="C97" s="1971" t="s">
        <v>166</v>
      </c>
      <c r="D97" s="1972"/>
      <c r="E97" s="1972"/>
      <c r="F97" s="1971" t="s">
        <v>167</v>
      </c>
      <c r="G97" s="1972"/>
      <c r="H97" s="1972"/>
      <c r="I97" s="1971" t="s">
        <v>167</v>
      </c>
      <c r="J97" s="1972"/>
      <c r="K97" s="1972"/>
      <c r="L97" s="1971" t="s">
        <v>167</v>
      </c>
      <c r="M97" s="1972"/>
      <c r="N97" s="1972"/>
      <c r="O97" s="1971" t="s">
        <v>168</v>
      </c>
      <c r="P97" s="1972"/>
      <c r="Q97" s="1972"/>
      <c r="R97" s="242"/>
      <c r="S97" s="46"/>
      <c r="T97" s="1970"/>
      <c r="U97" s="242"/>
      <c r="V97" s="46"/>
      <c r="W97" s="1970"/>
      <c r="X97" s="68"/>
      <c r="Y97" s="68"/>
      <c r="Z97" s="68"/>
      <c r="AA97" s="68"/>
      <c r="AB97" s="68"/>
      <c r="AC97" s="68"/>
      <c r="AD97" s="68"/>
      <c r="AE97" s="68"/>
      <c r="AF97" s="68"/>
    </row>
    <row r="98" spans="1:33" ht="18" customHeight="1">
      <c r="B98" s="1966" t="s">
        <v>169</v>
      </c>
      <c r="C98" s="1973" t="s">
        <v>170</v>
      </c>
      <c r="D98" s="1703"/>
      <c r="E98" s="1703"/>
      <c r="F98" s="1973" t="s">
        <v>171</v>
      </c>
      <c r="G98" s="1808"/>
      <c r="H98" s="1703"/>
      <c r="I98" s="1973" t="s">
        <v>171</v>
      </c>
      <c r="J98" s="1720"/>
      <c r="K98" s="1719"/>
      <c r="L98" s="1829" t="s">
        <v>172</v>
      </c>
      <c r="M98" s="1720"/>
      <c r="N98" s="1974"/>
      <c r="O98" s="1973" t="s">
        <v>172</v>
      </c>
      <c r="P98" s="1703"/>
      <c r="Q98" s="1703"/>
      <c r="R98" s="1829" t="s">
        <v>173</v>
      </c>
      <c r="S98" s="1720"/>
      <c r="T98" s="1719"/>
      <c r="U98" s="1829" t="s">
        <v>173</v>
      </c>
      <c r="V98" s="1720"/>
      <c r="W98" s="1719"/>
      <c r="X98" s="68"/>
      <c r="Y98" s="68"/>
      <c r="Z98" s="68"/>
      <c r="AA98" s="68"/>
      <c r="AB98" s="68"/>
      <c r="AC98" s="68"/>
      <c r="AD98" s="68"/>
      <c r="AE98" s="68"/>
      <c r="AF98" s="68"/>
    </row>
    <row r="99" spans="1:33" ht="18" customHeight="1">
      <c r="B99" s="1966" t="s">
        <v>174</v>
      </c>
      <c r="C99" s="1973" t="s">
        <v>46</v>
      </c>
      <c r="D99" s="1703"/>
      <c r="E99" s="1703"/>
      <c r="F99" s="1973" t="s">
        <v>46</v>
      </c>
      <c r="G99" s="1808"/>
      <c r="H99" s="1703"/>
      <c r="I99" s="1829" t="s">
        <v>46</v>
      </c>
      <c r="J99" s="1720"/>
      <c r="K99" s="1719"/>
      <c r="L99" s="1829" t="s">
        <v>46</v>
      </c>
      <c r="M99" s="1720"/>
      <c r="N99" s="1974"/>
      <c r="O99" s="1973" t="s">
        <v>46</v>
      </c>
      <c r="P99" s="1703"/>
      <c r="Q99" s="1703"/>
      <c r="R99" s="1829"/>
      <c r="S99" s="1720"/>
      <c r="T99" s="1719"/>
      <c r="U99" s="1829"/>
      <c r="V99" s="1720"/>
      <c r="W99" s="1975"/>
      <c r="X99" s="68"/>
      <c r="Y99" s="68"/>
      <c r="Z99" s="68"/>
      <c r="AA99" s="68"/>
      <c r="AB99" s="68"/>
      <c r="AC99" s="68"/>
      <c r="AD99" s="68"/>
      <c r="AE99" s="68"/>
      <c r="AF99" s="68"/>
    </row>
    <row r="100" spans="1:33" ht="18" customHeight="1" thickBot="1">
      <c r="B100" s="243"/>
      <c r="C100" s="244"/>
      <c r="D100" s="111"/>
      <c r="E100" s="111"/>
      <c r="F100" s="244"/>
      <c r="G100" s="115"/>
      <c r="H100" s="111"/>
      <c r="I100" s="115"/>
      <c r="J100" s="111"/>
      <c r="K100" s="111"/>
      <c r="L100" s="115"/>
      <c r="M100" s="111"/>
      <c r="N100" s="32"/>
      <c r="O100" s="244"/>
      <c r="P100" s="111"/>
      <c r="Q100" s="111"/>
      <c r="R100" s="115"/>
      <c r="S100" s="111"/>
      <c r="T100" s="111"/>
      <c r="U100" s="115"/>
      <c r="V100" s="111"/>
      <c r="W100" s="111"/>
      <c r="X100" s="68"/>
      <c r="Y100" s="68"/>
      <c r="Z100" s="68"/>
      <c r="AA100" s="68"/>
      <c r="AB100" s="68"/>
      <c r="AC100" s="68"/>
      <c r="AD100" s="68"/>
      <c r="AE100" s="68"/>
      <c r="AF100" s="68"/>
    </row>
    <row r="101" spans="1:33" ht="18" customHeight="1" thickBot="1">
      <c r="B101" s="1658" t="s">
        <v>38</v>
      </c>
      <c r="C101" s="1580">
        <v>1</v>
      </c>
      <c r="D101" s="1578">
        <v>2</v>
      </c>
      <c r="E101" s="1580">
        <v>3</v>
      </c>
      <c r="F101" s="1580">
        <v>4</v>
      </c>
      <c r="G101" s="1578">
        <v>5</v>
      </c>
      <c r="H101" s="1578">
        <v>6</v>
      </c>
      <c r="I101" s="1578">
        <v>7</v>
      </c>
      <c r="J101" s="1578">
        <v>8</v>
      </c>
      <c r="K101" s="1578">
        <v>9</v>
      </c>
      <c r="L101" s="1580">
        <v>10</v>
      </c>
      <c r="M101" s="1580">
        <v>11</v>
      </c>
      <c r="N101" s="1578">
        <v>12</v>
      </c>
      <c r="O101" s="1578">
        <v>13</v>
      </c>
      <c r="P101" s="1578">
        <v>14</v>
      </c>
      <c r="Q101" s="1578">
        <v>15</v>
      </c>
      <c r="R101" s="1578">
        <v>16</v>
      </c>
      <c r="S101" s="1580">
        <v>17</v>
      </c>
      <c r="T101" s="1580">
        <v>18</v>
      </c>
      <c r="U101" s="1578">
        <v>19</v>
      </c>
      <c r="V101" s="1578">
        <v>20</v>
      </c>
      <c r="W101" s="1578">
        <v>21</v>
      </c>
      <c r="X101" s="1578">
        <v>22</v>
      </c>
      <c r="Y101" s="1578">
        <v>23</v>
      </c>
      <c r="Z101" s="1580">
        <v>24</v>
      </c>
      <c r="AA101" s="1580">
        <v>25</v>
      </c>
      <c r="AB101" s="1578">
        <v>26</v>
      </c>
      <c r="AC101" s="1578">
        <v>27</v>
      </c>
      <c r="AD101" s="1578">
        <v>28</v>
      </c>
      <c r="AE101" s="1580">
        <v>29</v>
      </c>
      <c r="AF101" s="1578">
        <v>30</v>
      </c>
      <c r="AG101" s="1580">
        <v>31</v>
      </c>
    </row>
    <row r="102" spans="1:33" ht="18" customHeight="1">
      <c r="B102" s="1976" t="s">
        <v>175</v>
      </c>
      <c r="C102" s="1895" t="s">
        <v>46</v>
      </c>
      <c r="D102" s="1895" t="s">
        <v>46</v>
      </c>
      <c r="E102" s="1895"/>
      <c r="F102" s="1895"/>
      <c r="G102" s="1766">
        <v>25</v>
      </c>
      <c r="H102" s="1766">
        <v>25</v>
      </c>
      <c r="I102" s="1766">
        <v>25</v>
      </c>
      <c r="J102" s="1766">
        <v>25</v>
      </c>
      <c r="K102" s="1766">
        <v>25</v>
      </c>
      <c r="L102" s="1895"/>
      <c r="M102" s="1766">
        <v>26</v>
      </c>
      <c r="N102" s="1766">
        <v>26</v>
      </c>
      <c r="O102" s="1766">
        <v>26</v>
      </c>
      <c r="P102" s="1766">
        <v>26</v>
      </c>
      <c r="Q102" s="1895">
        <v>26</v>
      </c>
      <c r="R102" s="1977">
        <v>26</v>
      </c>
      <c r="S102" s="585"/>
      <c r="T102" s="585"/>
      <c r="U102" s="585" t="s">
        <v>121</v>
      </c>
      <c r="V102" s="585" t="s">
        <v>121</v>
      </c>
      <c r="W102" s="585" t="s">
        <v>121</v>
      </c>
      <c r="X102" s="585" t="s">
        <v>121</v>
      </c>
      <c r="Y102" s="585" t="s">
        <v>121</v>
      </c>
      <c r="Z102" s="1895" t="s">
        <v>120</v>
      </c>
      <c r="AA102" s="1713" t="s">
        <v>120</v>
      </c>
      <c r="AB102" s="1713" t="s">
        <v>46</v>
      </c>
      <c r="AC102" s="1713" t="s">
        <v>46</v>
      </c>
      <c r="AD102" s="1713" t="s">
        <v>46</v>
      </c>
      <c r="AE102" s="1895" t="s">
        <v>46</v>
      </c>
      <c r="AF102" s="1895" t="s">
        <v>46</v>
      </c>
      <c r="AG102" s="1652"/>
    </row>
    <row r="103" spans="1:33" ht="18" customHeight="1">
      <c r="B103" s="1829" t="s">
        <v>176</v>
      </c>
      <c r="C103" s="1844"/>
      <c r="D103" s="1766">
        <v>25</v>
      </c>
      <c r="E103" s="1766"/>
      <c r="F103" s="1766">
        <v>26</v>
      </c>
      <c r="G103" s="1766">
        <v>26</v>
      </c>
      <c r="H103" s="1766">
        <v>26</v>
      </c>
      <c r="I103" s="1766">
        <v>26</v>
      </c>
      <c r="J103" s="1766">
        <v>26</v>
      </c>
      <c r="K103" s="1844">
        <v>26</v>
      </c>
      <c r="L103" s="586"/>
      <c r="M103" s="586"/>
      <c r="N103" s="587" t="s">
        <v>121</v>
      </c>
      <c r="O103" s="587" t="s">
        <v>121</v>
      </c>
      <c r="P103" s="587" t="s">
        <v>121</v>
      </c>
      <c r="Q103" s="587" t="s">
        <v>121</v>
      </c>
      <c r="R103" s="587" t="s">
        <v>121</v>
      </c>
      <c r="S103" s="1978" t="s">
        <v>120</v>
      </c>
      <c r="T103" s="1978" t="s">
        <v>120</v>
      </c>
      <c r="U103" s="1978" t="s">
        <v>46</v>
      </c>
      <c r="V103" s="1978" t="s">
        <v>46</v>
      </c>
      <c r="W103" s="1978" t="s">
        <v>46</v>
      </c>
      <c r="X103" s="1978" t="s">
        <v>46</v>
      </c>
      <c r="Y103" s="1978" t="s">
        <v>46</v>
      </c>
      <c r="Z103" s="1978"/>
      <c r="AA103" s="1978"/>
      <c r="AB103" s="1978">
        <v>25</v>
      </c>
      <c r="AC103" s="1978">
        <v>25</v>
      </c>
      <c r="AD103" s="1978">
        <v>25</v>
      </c>
      <c r="AE103" s="1978">
        <v>25</v>
      </c>
      <c r="AF103" s="1978">
        <v>25</v>
      </c>
      <c r="AG103" s="1778"/>
    </row>
    <row r="104" spans="1:33" ht="18" customHeight="1">
      <c r="B104" s="1947" t="s">
        <v>177</v>
      </c>
      <c r="C104" s="1895"/>
      <c r="D104" s="1766">
        <v>26</v>
      </c>
      <c r="E104" s="1895"/>
      <c r="F104" s="1895"/>
      <c r="G104" s="1766" t="s">
        <v>121</v>
      </c>
      <c r="H104" s="1766" t="s">
        <v>121</v>
      </c>
      <c r="I104" s="1766" t="s">
        <v>121</v>
      </c>
      <c r="J104" s="1766" t="s">
        <v>121</v>
      </c>
      <c r="K104" s="1766" t="s">
        <v>121</v>
      </c>
      <c r="L104" s="1844" t="s">
        <v>120</v>
      </c>
      <c r="M104" s="1844" t="s">
        <v>120</v>
      </c>
      <c r="N104" s="1895" t="s">
        <v>46</v>
      </c>
      <c r="O104" s="1895" t="s">
        <v>46</v>
      </c>
      <c r="P104" s="1895" t="s">
        <v>46</v>
      </c>
      <c r="Q104" s="1895" t="s">
        <v>46</v>
      </c>
      <c r="R104" s="1895" t="s">
        <v>46</v>
      </c>
      <c r="S104" s="1895"/>
      <c r="T104" s="1895"/>
      <c r="U104" s="1895">
        <v>25</v>
      </c>
      <c r="V104" s="1895">
        <v>25</v>
      </c>
      <c r="W104" s="1895">
        <v>25</v>
      </c>
      <c r="X104" s="1895">
        <v>25</v>
      </c>
      <c r="Y104" s="1895">
        <v>25</v>
      </c>
      <c r="Z104" s="1895"/>
      <c r="AA104" s="1895">
        <v>26</v>
      </c>
      <c r="AB104" s="1895">
        <v>26</v>
      </c>
      <c r="AC104" s="1895">
        <v>26</v>
      </c>
      <c r="AD104" s="1895">
        <v>26</v>
      </c>
      <c r="AE104" s="1895"/>
      <c r="AF104" s="1895">
        <v>26</v>
      </c>
      <c r="AG104" s="1778"/>
    </row>
    <row r="105" spans="1:33" ht="18" customHeight="1" thickBot="1">
      <c r="B105" s="1955"/>
      <c r="C105" s="1979" t="s">
        <v>120</v>
      </c>
      <c r="D105" s="1979" t="s">
        <v>121</v>
      </c>
      <c r="E105" s="1979" t="s">
        <v>120</v>
      </c>
      <c r="F105" s="1979" t="s">
        <v>120</v>
      </c>
      <c r="G105" s="1979" t="s">
        <v>46</v>
      </c>
      <c r="H105" s="1979" t="s">
        <v>46</v>
      </c>
      <c r="I105" s="1979" t="s">
        <v>46</v>
      </c>
      <c r="J105" s="1979" t="s">
        <v>46</v>
      </c>
      <c r="K105" s="1979" t="s">
        <v>46</v>
      </c>
      <c r="L105" s="1979"/>
      <c r="M105" s="1979"/>
      <c r="N105" s="1979">
        <v>25</v>
      </c>
      <c r="O105" s="1979">
        <v>25</v>
      </c>
      <c r="P105" s="1979">
        <v>25</v>
      </c>
      <c r="Q105" s="1979">
        <v>25</v>
      </c>
      <c r="R105" s="1979">
        <v>25</v>
      </c>
      <c r="S105" s="1979"/>
      <c r="T105" s="1979">
        <v>26</v>
      </c>
      <c r="U105" s="1979">
        <v>26</v>
      </c>
      <c r="V105" s="1979">
        <v>26</v>
      </c>
      <c r="W105" s="1979">
        <v>26</v>
      </c>
      <c r="X105" s="1979">
        <v>26</v>
      </c>
      <c r="Y105" s="1979">
        <v>26</v>
      </c>
      <c r="Z105" s="1979"/>
      <c r="AA105" s="1979"/>
      <c r="AB105" s="1979" t="s">
        <v>121</v>
      </c>
      <c r="AC105" s="1979" t="s">
        <v>121</v>
      </c>
      <c r="AD105" s="1979" t="s">
        <v>121</v>
      </c>
      <c r="AE105" s="1979" t="s">
        <v>121</v>
      </c>
      <c r="AF105" s="1979" t="s">
        <v>121</v>
      </c>
      <c r="AG105" s="1980" t="s">
        <v>120</v>
      </c>
    </row>
    <row r="106" spans="1:33" ht="18" customHeight="1">
      <c r="A106" s="114"/>
      <c r="B106" s="115"/>
      <c r="C106" s="126"/>
      <c r="D106" s="126"/>
      <c r="E106" s="126"/>
      <c r="F106" s="126"/>
      <c r="G106" s="126"/>
      <c r="H106" s="126"/>
      <c r="I106" s="126"/>
      <c r="J106" s="126"/>
      <c r="K106" s="126"/>
      <c r="L106" s="126"/>
      <c r="M106" s="126"/>
      <c r="N106" s="126"/>
      <c r="O106" s="126"/>
      <c r="P106" s="126"/>
      <c r="Q106" s="126"/>
      <c r="R106" s="126"/>
      <c r="S106" s="126"/>
      <c r="T106" s="126"/>
      <c r="U106" s="126"/>
      <c r="V106" s="126"/>
      <c r="W106" s="126"/>
      <c r="X106" s="126"/>
      <c r="Y106" s="126"/>
      <c r="Z106" s="126"/>
      <c r="AA106" s="126"/>
      <c r="AB106" s="126"/>
      <c r="AC106" s="126"/>
      <c r="AD106" s="126"/>
      <c r="AE106" s="126"/>
      <c r="AF106" s="126"/>
    </row>
    <row r="107" spans="1:33" ht="18" customHeight="1">
      <c r="A107" s="114"/>
      <c r="B107" s="115"/>
      <c r="C107" s="126"/>
      <c r="D107" s="126"/>
      <c r="E107" s="126"/>
      <c r="F107" s="126"/>
      <c r="G107" s="126"/>
      <c r="H107" s="126"/>
      <c r="I107" s="126"/>
      <c r="J107" s="126"/>
      <c r="K107" s="126"/>
      <c r="L107" s="126"/>
      <c r="M107" s="126"/>
      <c r="N107" s="126"/>
      <c r="O107" s="126"/>
      <c r="P107" s="126"/>
      <c r="Q107" s="126"/>
      <c r="R107" s="126"/>
      <c r="S107" s="126"/>
      <c r="T107" s="126"/>
      <c r="U107" s="126"/>
      <c r="V107" s="126"/>
      <c r="W107" s="126"/>
      <c r="X107" s="126"/>
      <c r="Y107" s="126"/>
      <c r="Z107" s="126"/>
      <c r="AA107" s="126"/>
      <c r="AB107" s="126"/>
      <c r="AC107" s="126"/>
      <c r="AD107" s="126"/>
      <c r="AE107" s="126"/>
      <c r="AF107" s="126"/>
    </row>
    <row r="108" spans="1:33" ht="18" customHeight="1" thickBot="1">
      <c r="A108" s="133" t="s">
        <v>178</v>
      </c>
      <c r="B108" s="115"/>
      <c r="C108" s="126"/>
      <c r="D108" s="126"/>
      <c r="E108" s="126"/>
      <c r="F108" s="126"/>
      <c r="G108" s="126"/>
      <c r="H108" s="126"/>
      <c r="I108" s="126"/>
      <c r="J108" s="126"/>
      <c r="K108" s="126"/>
      <c r="L108" s="126"/>
      <c r="M108" s="126"/>
      <c r="N108" s="126"/>
      <c r="O108" s="126"/>
      <c r="P108" s="126"/>
      <c r="Q108" s="126"/>
      <c r="R108" s="148"/>
      <c r="S108" s="148"/>
      <c r="T108" s="148"/>
      <c r="U108" s="126"/>
      <c r="V108" s="126"/>
      <c r="W108" s="126"/>
      <c r="X108" s="126"/>
      <c r="Y108" s="126"/>
      <c r="Z108" s="126"/>
      <c r="AA108" s="126"/>
      <c r="AB108" s="126"/>
      <c r="AC108" s="126"/>
      <c r="AD108" s="126"/>
      <c r="AE108" s="126"/>
      <c r="AF108" s="126"/>
    </row>
    <row r="109" spans="1:33" ht="18" customHeight="1" thickBot="1">
      <c r="A109" s="114"/>
      <c r="B109" s="134"/>
      <c r="C109" s="135"/>
      <c r="D109" s="135"/>
      <c r="E109" s="138" t="s">
        <v>179</v>
      </c>
      <c r="F109" s="135"/>
      <c r="G109" s="135"/>
      <c r="H109" s="135"/>
      <c r="I109" s="135"/>
      <c r="J109" s="135"/>
      <c r="K109" s="141" t="s">
        <v>15</v>
      </c>
      <c r="L109" s="139"/>
      <c r="M109" s="139"/>
      <c r="N109" s="139"/>
      <c r="O109" s="139"/>
      <c r="P109" s="139"/>
      <c r="Q109" s="139"/>
      <c r="R109" s="139"/>
      <c r="S109" s="139"/>
      <c r="T109" s="140"/>
      <c r="W109" s="101"/>
      <c r="X109" s="101"/>
      <c r="Y109" s="101"/>
      <c r="Z109" s="101"/>
      <c r="AA109" s="101"/>
      <c r="AB109" s="101"/>
      <c r="AC109" s="101"/>
      <c r="AD109" s="101"/>
      <c r="AE109" s="101"/>
      <c r="AF109" s="101"/>
    </row>
    <row r="110" spans="1:33" ht="18" customHeight="1" thickBot="1">
      <c r="A110" s="114"/>
      <c r="B110" s="134" t="s">
        <v>180</v>
      </c>
      <c r="C110" s="135"/>
      <c r="D110" s="135"/>
      <c r="E110" s="136" t="s">
        <v>181</v>
      </c>
      <c r="F110" s="135"/>
      <c r="G110" s="135"/>
      <c r="H110" s="135"/>
      <c r="I110" s="135"/>
      <c r="J110" s="135"/>
      <c r="K110" s="135"/>
      <c r="L110" s="155" t="s">
        <v>182</v>
      </c>
      <c r="M110" s="155" t="s">
        <v>183</v>
      </c>
      <c r="N110" s="155"/>
      <c r="O110" s="135"/>
      <c r="P110" s="135"/>
      <c r="Q110" s="135"/>
      <c r="R110" s="147"/>
      <c r="S110" s="147"/>
      <c r="T110" s="147"/>
      <c r="W110" s="101"/>
      <c r="X110" s="101"/>
      <c r="Y110" s="101"/>
      <c r="Z110" s="101"/>
      <c r="AA110" s="101"/>
      <c r="AB110" s="101"/>
      <c r="AC110" s="101"/>
      <c r="AD110" s="101"/>
      <c r="AE110" s="101"/>
      <c r="AF110" s="101"/>
    </row>
    <row r="111" spans="1:33" ht="18" customHeight="1" thickBot="1">
      <c r="A111" s="114"/>
      <c r="B111" s="142"/>
      <c r="C111" s="142"/>
      <c r="D111" s="142"/>
      <c r="E111" s="167"/>
      <c r="F111" s="142"/>
      <c r="G111" s="142"/>
      <c r="H111" s="142"/>
      <c r="I111" s="142"/>
      <c r="J111" s="142"/>
      <c r="K111" s="142"/>
      <c r="L111" s="116"/>
      <c r="M111" s="116"/>
      <c r="N111" s="116"/>
      <c r="O111" s="142"/>
      <c r="P111" s="142"/>
      <c r="Q111" s="142"/>
      <c r="R111" s="147"/>
      <c r="S111" s="147"/>
      <c r="T111" s="147"/>
      <c r="W111" s="101"/>
      <c r="X111" s="101"/>
      <c r="Y111" s="101"/>
      <c r="Z111" s="101"/>
      <c r="AA111" s="101"/>
      <c r="AB111" s="101"/>
      <c r="AC111" s="101"/>
      <c r="AD111" s="101"/>
      <c r="AE111" s="101"/>
      <c r="AF111" s="101"/>
    </row>
    <row r="112" spans="1:33" ht="18" customHeight="1" thickBot="1">
      <c r="A112" s="114"/>
      <c r="B112" s="1482" t="s">
        <v>38</v>
      </c>
      <c r="C112" s="1580">
        <v>1</v>
      </c>
      <c r="D112" s="1578">
        <v>2</v>
      </c>
      <c r="E112" s="1580">
        <v>3</v>
      </c>
      <c r="F112" s="1580">
        <v>4</v>
      </c>
      <c r="G112" s="1578">
        <v>5</v>
      </c>
      <c r="H112" s="1578">
        <v>6</v>
      </c>
      <c r="I112" s="1578">
        <v>7</v>
      </c>
      <c r="J112" s="1578">
        <v>8</v>
      </c>
      <c r="K112" s="1578">
        <v>9</v>
      </c>
      <c r="L112" s="1580">
        <v>10</v>
      </c>
      <c r="M112" s="1580">
        <v>11</v>
      </c>
      <c r="N112" s="1578">
        <v>12</v>
      </c>
      <c r="O112" s="1578">
        <v>13</v>
      </c>
      <c r="P112" s="1578">
        <v>14</v>
      </c>
      <c r="Q112" s="1578">
        <v>15</v>
      </c>
      <c r="R112" s="1578">
        <v>16</v>
      </c>
      <c r="S112" s="1580">
        <v>17</v>
      </c>
      <c r="T112" s="1580">
        <v>18</v>
      </c>
      <c r="U112" s="1578">
        <v>19</v>
      </c>
      <c r="V112" s="1578">
        <v>20</v>
      </c>
      <c r="W112" s="1578">
        <v>21</v>
      </c>
      <c r="X112" s="1578">
        <v>22</v>
      </c>
      <c r="Y112" s="1578">
        <v>23</v>
      </c>
      <c r="Z112" s="1580">
        <v>24</v>
      </c>
      <c r="AA112" s="1580">
        <v>25</v>
      </c>
      <c r="AB112" s="1578">
        <v>26</v>
      </c>
      <c r="AC112" s="1578">
        <v>27</v>
      </c>
      <c r="AD112" s="1578">
        <v>28</v>
      </c>
      <c r="AE112" s="1580">
        <v>29</v>
      </c>
      <c r="AF112" s="1578">
        <v>30</v>
      </c>
      <c r="AG112" s="1576">
        <v>31</v>
      </c>
    </row>
    <row r="113" spans="1:33" ht="18" customHeight="1">
      <c r="B113" s="1981" t="s">
        <v>184</v>
      </c>
      <c r="C113" s="1982" t="s">
        <v>46</v>
      </c>
      <c r="D113" s="1982" t="s">
        <v>46</v>
      </c>
      <c r="E113" s="1982"/>
      <c r="F113" s="1982"/>
      <c r="G113" s="1982" t="s">
        <v>118</v>
      </c>
      <c r="H113" s="1982" t="s">
        <v>118</v>
      </c>
      <c r="I113" s="1982" t="s">
        <v>118</v>
      </c>
      <c r="J113" s="1982" t="s">
        <v>118</v>
      </c>
      <c r="K113" s="1982" t="s">
        <v>118</v>
      </c>
      <c r="L113" s="1982"/>
      <c r="M113" s="1982"/>
      <c r="N113" s="1982" t="s">
        <v>46</v>
      </c>
      <c r="O113" s="1982" t="s">
        <v>46</v>
      </c>
      <c r="P113" s="1982" t="s">
        <v>46</v>
      </c>
      <c r="Q113" s="1982" t="s">
        <v>46</v>
      </c>
      <c r="R113" s="1982" t="s">
        <v>46</v>
      </c>
      <c r="S113" s="1982"/>
      <c r="T113" s="1982"/>
      <c r="U113" s="1982" t="s">
        <v>118</v>
      </c>
      <c r="V113" s="1982" t="s">
        <v>118</v>
      </c>
      <c r="W113" s="1982" t="s">
        <v>118</v>
      </c>
      <c r="X113" s="1982" t="s">
        <v>118</v>
      </c>
      <c r="Y113" s="1982" t="s">
        <v>118</v>
      </c>
      <c r="Z113" s="1982" t="s">
        <v>118</v>
      </c>
      <c r="AA113" s="1982" t="s">
        <v>118</v>
      </c>
      <c r="AB113" s="1982" t="s">
        <v>46</v>
      </c>
      <c r="AC113" s="1982" t="s">
        <v>46</v>
      </c>
      <c r="AD113" s="1982" t="s">
        <v>46</v>
      </c>
      <c r="AE113" s="1982" t="s">
        <v>46</v>
      </c>
      <c r="AF113" s="1982" t="s">
        <v>46</v>
      </c>
      <c r="AG113" s="1870"/>
    </row>
    <row r="114" spans="1:33" ht="18" customHeight="1">
      <c r="B114" s="1983" t="s">
        <v>185</v>
      </c>
      <c r="C114" s="1902" t="s">
        <v>118</v>
      </c>
      <c r="D114" s="1909" t="s">
        <v>118</v>
      </c>
      <c r="E114" s="1902"/>
      <c r="F114" s="1902"/>
      <c r="G114" s="1909" t="s">
        <v>46</v>
      </c>
      <c r="H114" s="1909" t="s">
        <v>46</v>
      </c>
      <c r="I114" s="1909" t="s">
        <v>46</v>
      </c>
      <c r="J114" s="1909" t="s">
        <v>46</v>
      </c>
      <c r="K114" s="1909" t="s">
        <v>46</v>
      </c>
      <c r="L114" s="1909"/>
      <c r="M114" s="1902"/>
      <c r="N114" s="1924" t="s">
        <v>118</v>
      </c>
      <c r="O114" s="1924" t="s">
        <v>118</v>
      </c>
      <c r="P114" s="1924" t="s">
        <v>186</v>
      </c>
      <c r="Q114" s="1870" t="s">
        <v>118</v>
      </c>
      <c r="R114" s="1870" t="s">
        <v>118</v>
      </c>
      <c r="S114" s="1870" t="s">
        <v>118</v>
      </c>
      <c r="T114" s="1870" t="s">
        <v>118</v>
      </c>
      <c r="U114" s="1909" t="s">
        <v>46</v>
      </c>
      <c r="V114" s="1909" t="s">
        <v>46</v>
      </c>
      <c r="W114" s="1909" t="s">
        <v>46</v>
      </c>
      <c r="X114" s="1909" t="s">
        <v>46</v>
      </c>
      <c r="Y114" s="1909" t="s">
        <v>46</v>
      </c>
      <c r="Z114" s="1909"/>
      <c r="AA114" s="1902"/>
      <c r="AB114" s="1984" t="s">
        <v>118</v>
      </c>
      <c r="AC114" s="1984" t="s">
        <v>118</v>
      </c>
      <c r="AD114" s="1902" t="s">
        <v>118</v>
      </c>
      <c r="AE114" s="1902" t="s">
        <v>118</v>
      </c>
      <c r="AF114" s="1909" t="s">
        <v>118</v>
      </c>
      <c r="AG114" s="1909"/>
    </row>
    <row r="115" spans="1:33" ht="18" customHeight="1">
      <c r="B115" s="1985" t="s">
        <v>187</v>
      </c>
      <c r="C115" s="1870" t="s">
        <v>46</v>
      </c>
      <c r="D115" s="1870" t="s">
        <v>46</v>
      </c>
      <c r="E115" s="1870"/>
      <c r="F115" s="1870"/>
      <c r="G115" s="1916" t="s">
        <v>118</v>
      </c>
      <c r="H115" s="1870" t="s">
        <v>118</v>
      </c>
      <c r="I115" s="1870" t="s">
        <v>118</v>
      </c>
      <c r="J115" s="1870" t="s">
        <v>118</v>
      </c>
      <c r="K115" s="1986" t="s">
        <v>118</v>
      </c>
      <c r="L115" s="1870" t="s">
        <v>104</v>
      </c>
      <c r="M115" s="1870" t="s">
        <v>104</v>
      </c>
      <c r="N115" s="1870" t="s">
        <v>46</v>
      </c>
      <c r="O115" s="1870" t="s">
        <v>46</v>
      </c>
      <c r="P115" s="1870" t="s">
        <v>46</v>
      </c>
      <c r="Q115" s="1870" t="s">
        <v>46</v>
      </c>
      <c r="R115" s="1870" t="s">
        <v>46</v>
      </c>
      <c r="S115" s="1870"/>
      <c r="T115" s="1870"/>
      <c r="U115" s="1870" t="s">
        <v>118</v>
      </c>
      <c r="V115" s="1870" t="s">
        <v>118</v>
      </c>
      <c r="W115" s="1870" t="s">
        <v>118</v>
      </c>
      <c r="X115" s="1870" t="s">
        <v>118</v>
      </c>
      <c r="Y115" s="1870" t="s">
        <v>118</v>
      </c>
      <c r="Z115" s="1870" t="s">
        <v>118</v>
      </c>
      <c r="AA115" s="1870" t="s">
        <v>118</v>
      </c>
      <c r="AB115" s="1870" t="s">
        <v>46</v>
      </c>
      <c r="AC115" s="1870" t="s">
        <v>46</v>
      </c>
      <c r="AD115" s="1870" t="s">
        <v>46</v>
      </c>
      <c r="AE115" s="1870" t="s">
        <v>46</v>
      </c>
      <c r="AF115" s="1870" t="s">
        <v>46</v>
      </c>
      <c r="AG115" s="1870"/>
    </row>
    <row r="116" spans="1:33" ht="18" customHeight="1">
      <c r="B116" s="154"/>
      <c r="C116" s="111"/>
      <c r="D116" s="111"/>
      <c r="E116" s="111"/>
      <c r="F116" s="111"/>
      <c r="G116" s="111"/>
      <c r="H116" s="111"/>
      <c r="I116" s="111"/>
      <c r="J116" s="111"/>
      <c r="K116" s="111"/>
      <c r="L116" s="111"/>
      <c r="M116" s="111"/>
      <c r="N116" s="111"/>
      <c r="O116" s="111"/>
      <c r="P116" s="111"/>
      <c r="Q116" s="111"/>
      <c r="R116" s="111"/>
      <c r="S116" s="111"/>
      <c r="T116" s="111"/>
      <c r="U116" s="111"/>
      <c r="V116" s="111"/>
      <c r="W116" s="111"/>
      <c r="X116" s="111"/>
      <c r="Y116" s="111"/>
      <c r="Z116" s="111"/>
      <c r="AA116" s="111"/>
      <c r="AB116" s="111"/>
      <c r="AC116" s="111"/>
      <c r="AD116" s="111"/>
      <c r="AE116" s="111"/>
      <c r="AF116" s="111"/>
      <c r="AG116" s="111"/>
    </row>
    <row r="117" spans="1:33" ht="18" customHeight="1" thickBot="1">
      <c r="A117" s="3" t="s">
        <v>188</v>
      </c>
    </row>
    <row r="118" spans="1:33" ht="18" customHeight="1" thickBot="1">
      <c r="B118" s="134"/>
      <c r="C118" s="135"/>
      <c r="D118" s="135"/>
      <c r="E118" s="138"/>
      <c r="F118" s="135"/>
      <c r="G118" s="135"/>
      <c r="H118" s="135"/>
      <c r="I118" s="135"/>
      <c r="J118" s="135"/>
      <c r="K118" s="141"/>
      <c r="L118" s="139"/>
      <c r="M118" s="139"/>
      <c r="N118" s="139"/>
      <c r="O118" s="139"/>
      <c r="P118" s="139"/>
      <c r="Q118" s="139"/>
      <c r="R118" s="139"/>
      <c r="S118" s="139"/>
      <c r="T118" s="140"/>
    </row>
    <row r="119" spans="1:33" ht="18" customHeight="1" thickBot="1">
      <c r="B119" s="134" t="s">
        <v>180</v>
      </c>
      <c r="C119" s="135" t="s">
        <v>118</v>
      </c>
      <c r="D119" s="135"/>
      <c r="E119" s="136" t="s">
        <v>189</v>
      </c>
      <c r="F119" s="135"/>
      <c r="G119" s="135"/>
      <c r="H119" s="135"/>
      <c r="I119" s="135"/>
      <c r="J119" s="135"/>
      <c r="K119" s="135"/>
      <c r="L119" s="135"/>
      <c r="M119" s="135"/>
      <c r="N119" s="135"/>
      <c r="O119" s="135"/>
      <c r="P119" s="135"/>
      <c r="Q119" s="135"/>
      <c r="R119" s="147"/>
      <c r="S119" s="147"/>
      <c r="T119" s="147"/>
    </row>
    <row r="120" spans="1:33" ht="18" customHeight="1" thickBot="1">
      <c r="T120" s="101"/>
      <c r="U120" s="101"/>
      <c r="V120" s="101"/>
    </row>
    <row r="121" spans="1:33" ht="18" customHeight="1" thickBot="1">
      <c r="B121" s="1482" t="s">
        <v>38</v>
      </c>
      <c r="C121" s="1580">
        <v>1</v>
      </c>
      <c r="D121" s="1578">
        <v>2</v>
      </c>
      <c r="E121" s="1580">
        <v>3</v>
      </c>
      <c r="F121" s="1580">
        <v>4</v>
      </c>
      <c r="G121" s="1578">
        <v>5</v>
      </c>
      <c r="H121" s="1578">
        <v>6</v>
      </c>
      <c r="I121" s="1578">
        <v>7</v>
      </c>
      <c r="J121" s="1578">
        <v>8</v>
      </c>
      <c r="K121" s="1578">
        <v>9</v>
      </c>
      <c r="L121" s="1580">
        <v>10</v>
      </c>
      <c r="M121" s="1580">
        <v>11</v>
      </c>
      <c r="N121" s="1578">
        <v>12</v>
      </c>
      <c r="O121" s="1578">
        <v>13</v>
      </c>
      <c r="P121" s="1578">
        <v>14</v>
      </c>
      <c r="Q121" s="1578">
        <v>15</v>
      </c>
      <c r="R121" s="1578">
        <v>16</v>
      </c>
      <c r="S121" s="1580">
        <v>17</v>
      </c>
      <c r="T121" s="1580">
        <v>18</v>
      </c>
      <c r="U121" s="1578">
        <v>19</v>
      </c>
      <c r="V121" s="1578">
        <v>20</v>
      </c>
      <c r="W121" s="1578">
        <v>21</v>
      </c>
      <c r="X121" s="1578">
        <v>22</v>
      </c>
      <c r="Y121" s="1578">
        <v>23</v>
      </c>
      <c r="Z121" s="1580">
        <v>24</v>
      </c>
      <c r="AA121" s="1580">
        <v>25</v>
      </c>
      <c r="AB121" s="1578">
        <v>26</v>
      </c>
      <c r="AC121" s="1578">
        <v>27</v>
      </c>
      <c r="AD121" s="1578">
        <v>28</v>
      </c>
      <c r="AE121" s="1580">
        <v>29</v>
      </c>
      <c r="AF121" s="1578">
        <v>30</v>
      </c>
      <c r="AG121" s="1580">
        <v>31</v>
      </c>
    </row>
    <row r="122" spans="1:33" ht="18" customHeight="1" thickBot="1">
      <c r="B122" s="1987" t="s">
        <v>190</v>
      </c>
      <c r="C122" s="1988"/>
      <c r="D122" s="1989"/>
      <c r="E122" s="1989"/>
      <c r="F122" s="1989"/>
      <c r="G122" s="1989" t="s">
        <v>61</v>
      </c>
      <c r="H122" s="1989" t="s">
        <v>61</v>
      </c>
      <c r="I122" s="1989" t="s">
        <v>61</v>
      </c>
      <c r="J122" s="1989" t="s">
        <v>61</v>
      </c>
      <c r="K122" s="1989" t="s">
        <v>61</v>
      </c>
      <c r="L122" s="1989"/>
      <c r="M122" s="1989"/>
      <c r="N122" s="1989" t="s">
        <v>46</v>
      </c>
      <c r="O122" s="1989" t="s">
        <v>46</v>
      </c>
      <c r="P122" s="1989" t="s">
        <v>46</v>
      </c>
      <c r="Q122" s="1989" t="s">
        <v>46</v>
      </c>
      <c r="R122" s="1989" t="s">
        <v>46</v>
      </c>
      <c r="S122" s="1989"/>
      <c r="T122" s="1989"/>
      <c r="U122" s="1989" t="s">
        <v>61</v>
      </c>
      <c r="V122" s="1989" t="s">
        <v>61</v>
      </c>
      <c r="W122" s="1989" t="s">
        <v>61</v>
      </c>
      <c r="X122" s="1989" t="s">
        <v>61</v>
      </c>
      <c r="Y122" s="1989" t="s">
        <v>61</v>
      </c>
      <c r="Z122" s="1989" t="s">
        <v>61</v>
      </c>
      <c r="AA122" s="1989" t="s">
        <v>61</v>
      </c>
      <c r="AB122" s="1990" t="s">
        <v>46</v>
      </c>
      <c r="AC122" s="1990" t="s">
        <v>46</v>
      </c>
      <c r="AD122" s="1990" t="s">
        <v>46</v>
      </c>
      <c r="AE122" s="1990" t="s">
        <v>46</v>
      </c>
      <c r="AF122" s="1990" t="s">
        <v>46</v>
      </c>
      <c r="AG122" s="1991"/>
    </row>
    <row r="123" spans="1:33" ht="18" customHeight="1" thickBot="1">
      <c r="B123" s="1987" t="s">
        <v>191</v>
      </c>
      <c r="C123" s="1992" t="s">
        <v>61</v>
      </c>
      <c r="D123" s="1993" t="s">
        <v>61</v>
      </c>
      <c r="E123" s="1586"/>
      <c r="F123" s="1586"/>
      <c r="G123" s="1994" t="s">
        <v>46</v>
      </c>
      <c r="H123" s="1994" t="s">
        <v>46</v>
      </c>
      <c r="I123" s="1994" t="s">
        <v>46</v>
      </c>
      <c r="J123" s="1957" t="s">
        <v>46</v>
      </c>
      <c r="K123" s="1586" t="s">
        <v>46</v>
      </c>
      <c r="L123" s="1586"/>
      <c r="M123" s="1586"/>
      <c r="N123" s="1995" t="s">
        <v>61</v>
      </c>
      <c r="O123" s="1995" t="s">
        <v>61</v>
      </c>
      <c r="P123" s="1586" t="s">
        <v>61</v>
      </c>
      <c r="Q123" s="1586" t="s">
        <v>61</v>
      </c>
      <c r="R123" s="1586" t="s">
        <v>61</v>
      </c>
      <c r="S123" s="1586" t="s">
        <v>61</v>
      </c>
      <c r="T123" s="1586" t="s">
        <v>61</v>
      </c>
      <c r="U123" s="1996" t="s">
        <v>46</v>
      </c>
      <c r="V123" s="1996" t="s">
        <v>46</v>
      </c>
      <c r="W123" s="1996" t="s">
        <v>46</v>
      </c>
      <c r="X123" s="1996" t="s">
        <v>46</v>
      </c>
      <c r="Y123" s="1996" t="s">
        <v>46</v>
      </c>
      <c r="Z123" s="1996"/>
      <c r="AA123" s="1996"/>
      <c r="AB123" s="1996" t="s">
        <v>46</v>
      </c>
      <c r="AC123" s="1915" t="s">
        <v>46</v>
      </c>
      <c r="AD123" s="1915" t="s">
        <v>61</v>
      </c>
      <c r="AE123" s="1915" t="s">
        <v>61</v>
      </c>
      <c r="AF123" s="1915" t="s">
        <v>61</v>
      </c>
      <c r="AG123" s="1915" t="s">
        <v>61</v>
      </c>
    </row>
    <row r="124" spans="1:33" ht="18" customHeight="1">
      <c r="B124" s="172"/>
      <c r="C124" s="116"/>
      <c r="D124" s="116"/>
      <c r="E124" s="116"/>
      <c r="F124" s="116"/>
      <c r="G124" s="122"/>
      <c r="H124" s="122"/>
      <c r="I124" s="122"/>
      <c r="J124" s="124"/>
      <c r="K124" s="116"/>
      <c r="L124" s="116"/>
      <c r="M124" s="116"/>
      <c r="N124" s="116"/>
      <c r="O124" s="116"/>
      <c r="P124" s="116"/>
      <c r="Q124" s="116"/>
      <c r="R124" s="116"/>
      <c r="S124" s="116"/>
      <c r="T124" s="116"/>
      <c r="U124" s="179"/>
      <c r="V124" s="179"/>
      <c r="W124" s="179"/>
      <c r="X124" s="179"/>
      <c r="Y124" s="179"/>
      <c r="Z124" s="179"/>
      <c r="AA124" s="179"/>
      <c r="AB124" s="179"/>
      <c r="AC124" s="179"/>
      <c r="AD124" s="179"/>
      <c r="AE124" s="179"/>
      <c r="AF124" s="179"/>
      <c r="AG124" s="179"/>
    </row>
    <row r="125" spans="1:33" ht="18" customHeight="1" thickBot="1">
      <c r="A125" s="3" t="s">
        <v>192</v>
      </c>
    </row>
    <row r="126" spans="1:33" ht="18" customHeight="1" thickBot="1">
      <c r="B126" s="134"/>
      <c r="C126" s="135"/>
      <c r="D126" s="135"/>
      <c r="E126" s="138" t="s">
        <v>179</v>
      </c>
      <c r="F126" s="135"/>
      <c r="G126" s="135"/>
      <c r="H126" s="135"/>
      <c r="I126" s="135"/>
      <c r="J126" s="135"/>
      <c r="K126" s="141" t="s">
        <v>15</v>
      </c>
      <c r="L126" s="139"/>
      <c r="M126" s="139"/>
      <c r="N126" s="139"/>
      <c r="O126" s="139"/>
      <c r="P126" s="139"/>
      <c r="Q126" s="139"/>
      <c r="R126" s="139"/>
      <c r="S126" s="139"/>
      <c r="T126" s="140"/>
    </row>
    <row r="127" spans="1:33" ht="18" customHeight="1" thickBot="1">
      <c r="B127" s="134" t="s">
        <v>180</v>
      </c>
      <c r="C127" s="135"/>
      <c r="D127" s="135"/>
      <c r="E127" s="136" t="s">
        <v>193</v>
      </c>
      <c r="F127" s="135"/>
      <c r="G127" s="135"/>
      <c r="H127" s="135"/>
      <c r="I127" s="135"/>
      <c r="J127" s="135"/>
      <c r="K127" s="135" t="s">
        <v>0</v>
      </c>
      <c r="L127" s="135"/>
      <c r="M127" s="135"/>
      <c r="N127" s="135"/>
      <c r="O127" s="135"/>
      <c r="P127" s="135"/>
      <c r="Q127" s="135"/>
      <c r="R127" s="147" t="s">
        <v>0</v>
      </c>
      <c r="S127" s="147"/>
      <c r="T127" s="147"/>
    </row>
    <row r="129" spans="1:33" ht="18" customHeight="1" thickBot="1">
      <c r="B129" s="1482" t="s">
        <v>38</v>
      </c>
      <c r="C129" s="1580">
        <v>1</v>
      </c>
      <c r="D129" s="1578">
        <v>2</v>
      </c>
      <c r="E129" s="1580">
        <v>3</v>
      </c>
      <c r="F129" s="1580">
        <v>4</v>
      </c>
      <c r="G129" s="1578">
        <v>5</v>
      </c>
      <c r="H129" s="1578">
        <v>6</v>
      </c>
      <c r="I129" s="1578">
        <v>7</v>
      </c>
      <c r="J129" s="1578">
        <v>8</v>
      </c>
      <c r="K129" s="1578">
        <v>9</v>
      </c>
      <c r="L129" s="1580">
        <v>10</v>
      </c>
      <c r="M129" s="1580">
        <v>11</v>
      </c>
      <c r="N129" s="1578">
        <v>12</v>
      </c>
      <c r="O129" s="1578">
        <v>13</v>
      </c>
      <c r="P129" s="1578">
        <v>14</v>
      </c>
      <c r="Q129" s="1578">
        <v>15</v>
      </c>
      <c r="R129" s="1578">
        <v>16</v>
      </c>
      <c r="S129" s="1580">
        <v>17</v>
      </c>
      <c r="T129" s="1580">
        <v>18</v>
      </c>
      <c r="U129" s="1578">
        <v>19</v>
      </c>
      <c r="V129" s="1578">
        <v>20</v>
      </c>
      <c r="W129" s="1578">
        <v>21</v>
      </c>
      <c r="X129" s="1578">
        <v>22</v>
      </c>
      <c r="Y129" s="1578">
        <v>23</v>
      </c>
      <c r="Z129" s="1580">
        <v>24</v>
      </c>
      <c r="AA129" s="1580">
        <v>25</v>
      </c>
      <c r="AB129" s="1578">
        <v>26</v>
      </c>
      <c r="AC129" s="1578">
        <v>27</v>
      </c>
      <c r="AD129" s="1578">
        <v>28</v>
      </c>
      <c r="AE129" s="1580">
        <v>29</v>
      </c>
      <c r="AF129" s="1578">
        <v>30</v>
      </c>
      <c r="AG129" s="1580">
        <v>31</v>
      </c>
    </row>
    <row r="130" spans="1:33" ht="18" customHeight="1">
      <c r="B130" s="1997" t="s">
        <v>194</v>
      </c>
      <c r="C130" s="1998" t="s">
        <v>46</v>
      </c>
      <c r="D130" s="1998" t="s">
        <v>46</v>
      </c>
      <c r="E130" s="1999" t="s">
        <v>139</v>
      </c>
      <c r="F130" s="1999" t="s">
        <v>139</v>
      </c>
      <c r="G130" s="2000" t="s">
        <v>139</v>
      </c>
      <c r="H130" s="2000" t="s">
        <v>139</v>
      </c>
      <c r="I130" s="2000" t="s">
        <v>139</v>
      </c>
      <c r="J130" s="2001" t="s">
        <v>139</v>
      </c>
      <c r="K130" s="2001" t="s">
        <v>139</v>
      </c>
      <c r="L130" s="1998"/>
      <c r="M130" s="1998"/>
      <c r="N130" s="1998" t="s">
        <v>46</v>
      </c>
      <c r="O130" s="1998" t="s">
        <v>46</v>
      </c>
      <c r="P130" s="1998" t="s">
        <v>46</v>
      </c>
      <c r="Q130" s="1998" t="s">
        <v>46</v>
      </c>
      <c r="R130" s="1998" t="s">
        <v>46</v>
      </c>
      <c r="S130" s="1998"/>
      <c r="T130" s="2000"/>
      <c r="U130" s="2000" t="s">
        <v>139</v>
      </c>
      <c r="V130" s="2000" t="s">
        <v>139</v>
      </c>
      <c r="W130" s="2000" t="s">
        <v>139</v>
      </c>
      <c r="X130" s="2000" t="s">
        <v>139</v>
      </c>
      <c r="Y130" s="1998" t="s">
        <v>139</v>
      </c>
      <c r="Z130" s="1998" t="s">
        <v>139</v>
      </c>
      <c r="AA130" s="1998" t="s">
        <v>139</v>
      </c>
      <c r="AB130" s="1998" t="s">
        <v>46</v>
      </c>
      <c r="AC130" s="1998" t="s">
        <v>46</v>
      </c>
      <c r="AD130" s="1998" t="s">
        <v>46</v>
      </c>
      <c r="AE130" s="1998" t="s">
        <v>46</v>
      </c>
      <c r="AF130" s="1998" t="s">
        <v>46</v>
      </c>
      <c r="AG130" s="192" t="s">
        <v>139</v>
      </c>
    </row>
    <row r="131" spans="1:33" ht="18" customHeight="1">
      <c r="B131" s="1722" t="s">
        <v>195</v>
      </c>
      <c r="C131" s="1902" t="s">
        <v>139</v>
      </c>
      <c r="D131" s="1909" t="s">
        <v>139</v>
      </c>
      <c r="E131" s="1909"/>
      <c r="F131" s="1909"/>
      <c r="G131" s="1909" t="s">
        <v>46</v>
      </c>
      <c r="H131" s="1909" t="s">
        <v>46</v>
      </c>
      <c r="I131" s="1909" t="s">
        <v>46</v>
      </c>
      <c r="J131" s="1909" t="s">
        <v>46</v>
      </c>
      <c r="K131" s="1909" t="s">
        <v>46</v>
      </c>
      <c r="L131" s="1909"/>
      <c r="M131" s="1902"/>
      <c r="N131" s="1902" t="s">
        <v>139</v>
      </c>
      <c r="O131" s="1902" t="s">
        <v>139</v>
      </c>
      <c r="P131" s="1902" t="s">
        <v>139</v>
      </c>
      <c r="Q131" s="1984" t="s">
        <v>139</v>
      </c>
      <c r="R131" s="1909" t="s">
        <v>139</v>
      </c>
      <c r="S131" s="1909" t="s">
        <v>139</v>
      </c>
      <c r="T131" s="1909" t="s">
        <v>139</v>
      </c>
      <c r="U131" s="1909" t="s">
        <v>46</v>
      </c>
      <c r="V131" s="1909" t="s">
        <v>46</v>
      </c>
      <c r="W131" s="1909" t="s">
        <v>46</v>
      </c>
      <c r="X131" s="1909" t="s">
        <v>46</v>
      </c>
      <c r="Y131" s="1909" t="s">
        <v>46</v>
      </c>
      <c r="Z131" s="1909"/>
      <c r="AA131" s="1902"/>
      <c r="AB131" s="1902" t="s">
        <v>139</v>
      </c>
      <c r="AC131" s="1902" t="s">
        <v>139</v>
      </c>
      <c r="AD131" s="1902" t="s">
        <v>139</v>
      </c>
      <c r="AE131" s="1902" t="s">
        <v>139</v>
      </c>
      <c r="AF131" s="1909" t="s">
        <v>139</v>
      </c>
      <c r="AG131" s="1909"/>
    </row>
    <row r="132" spans="1:33" ht="18" customHeight="1">
      <c r="B132" s="115"/>
      <c r="C132" s="116"/>
      <c r="D132" s="116"/>
      <c r="E132" s="116"/>
      <c r="F132" s="116"/>
      <c r="G132" s="116"/>
      <c r="H132" s="116"/>
      <c r="I132" s="116"/>
      <c r="J132" s="116"/>
      <c r="K132" s="116"/>
      <c r="L132" s="116"/>
      <c r="M132" s="116"/>
      <c r="N132" s="116"/>
      <c r="O132" s="116"/>
      <c r="P132" s="116"/>
      <c r="Q132" s="116"/>
      <c r="R132" s="116"/>
      <c r="S132" s="116"/>
      <c r="T132" s="116"/>
      <c r="U132" s="116"/>
      <c r="V132" s="116"/>
      <c r="W132" s="116"/>
      <c r="X132" s="116"/>
      <c r="Y132" s="116"/>
      <c r="Z132" s="116"/>
      <c r="AA132" s="116"/>
      <c r="AB132" s="116"/>
      <c r="AC132" s="116"/>
      <c r="AD132" s="116"/>
      <c r="AE132" s="116"/>
      <c r="AF132" s="116"/>
    </row>
    <row r="133" spans="1:33" ht="18" customHeight="1" thickBot="1">
      <c r="A133" s="3" t="s">
        <v>196</v>
      </c>
      <c r="B133" s="4"/>
      <c r="C133" s="48"/>
      <c r="D133" s="48"/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</row>
    <row r="134" spans="1:33" ht="18" customHeight="1" thickBot="1">
      <c r="B134" s="134"/>
      <c r="C134" s="135"/>
      <c r="D134" s="135"/>
      <c r="E134" s="138" t="s">
        <v>179</v>
      </c>
      <c r="F134" s="135"/>
      <c r="G134" s="135"/>
      <c r="H134" s="135"/>
      <c r="I134" s="135"/>
      <c r="J134" s="135"/>
      <c r="K134" s="141" t="s">
        <v>15</v>
      </c>
      <c r="L134" s="139"/>
      <c r="M134" s="139"/>
      <c r="N134" s="139"/>
      <c r="O134" s="139"/>
      <c r="P134" s="139"/>
      <c r="Q134" s="139"/>
      <c r="R134" s="139"/>
      <c r="S134" s="139"/>
      <c r="T134" s="140"/>
    </row>
    <row r="135" spans="1:33" ht="18" customHeight="1" thickBot="1">
      <c r="B135" s="134" t="s">
        <v>180</v>
      </c>
      <c r="C135" s="135"/>
      <c r="D135" s="135"/>
      <c r="E135" s="136" t="s">
        <v>193</v>
      </c>
      <c r="F135" s="135"/>
      <c r="G135" s="135"/>
      <c r="H135" s="135"/>
      <c r="I135" s="135"/>
      <c r="J135" s="135"/>
      <c r="K135" s="135" t="s">
        <v>0</v>
      </c>
      <c r="L135" s="135"/>
      <c r="M135" s="135"/>
      <c r="N135" s="135"/>
      <c r="O135" s="135"/>
      <c r="P135" s="135"/>
      <c r="Q135" s="135"/>
      <c r="R135" s="147" t="s">
        <v>0</v>
      </c>
      <c r="S135" s="147"/>
      <c r="T135" s="147"/>
    </row>
    <row r="136" spans="1:33" ht="18" customHeight="1" thickBot="1">
      <c r="T136" s="101"/>
      <c r="U136" s="101"/>
      <c r="V136" s="101"/>
    </row>
    <row r="137" spans="1:33" ht="18" customHeight="1" thickBot="1">
      <c r="B137" s="1469" t="s">
        <v>197</v>
      </c>
      <c r="C137" s="1580">
        <v>1</v>
      </c>
      <c r="D137" s="1578">
        <v>2</v>
      </c>
      <c r="E137" s="1576">
        <v>3</v>
      </c>
      <c r="F137" s="1576">
        <v>4</v>
      </c>
      <c r="G137" s="1578">
        <v>5</v>
      </c>
      <c r="H137" s="1578">
        <v>6</v>
      </c>
      <c r="I137" s="1578">
        <v>7</v>
      </c>
      <c r="J137" s="1578">
        <v>8</v>
      </c>
      <c r="K137" s="1578">
        <v>9</v>
      </c>
      <c r="L137" s="1580">
        <v>10</v>
      </c>
      <c r="M137" s="1580">
        <v>11</v>
      </c>
      <c r="N137" s="1578">
        <v>12</v>
      </c>
      <c r="O137" s="1578">
        <v>13</v>
      </c>
      <c r="P137" s="1578">
        <v>14</v>
      </c>
      <c r="Q137" s="1578">
        <v>15</v>
      </c>
      <c r="R137" s="1578">
        <v>16</v>
      </c>
      <c r="S137" s="1580">
        <v>17</v>
      </c>
      <c r="T137" s="1580">
        <v>18</v>
      </c>
      <c r="U137" s="1578">
        <v>19</v>
      </c>
      <c r="V137" s="1578">
        <v>20</v>
      </c>
      <c r="W137" s="1578">
        <v>21</v>
      </c>
      <c r="X137" s="1578">
        <v>22</v>
      </c>
      <c r="Y137" s="1578">
        <v>23</v>
      </c>
      <c r="Z137" s="1580">
        <v>24</v>
      </c>
      <c r="AA137" s="1580">
        <v>25</v>
      </c>
      <c r="AB137" s="1578">
        <v>26</v>
      </c>
      <c r="AC137" s="1578">
        <v>27</v>
      </c>
      <c r="AD137" s="1578">
        <v>28</v>
      </c>
      <c r="AE137" s="1580">
        <v>29</v>
      </c>
      <c r="AF137" s="1578">
        <v>30</v>
      </c>
      <c r="AG137" s="1580">
        <v>31</v>
      </c>
    </row>
    <row r="138" spans="1:33" ht="18" customHeight="1">
      <c r="B138" s="1985" t="s">
        <v>198</v>
      </c>
      <c r="C138" s="1870" t="s">
        <v>46</v>
      </c>
      <c r="D138" s="1870" t="s">
        <v>46</v>
      </c>
      <c r="E138" s="2002"/>
      <c r="F138" s="2002"/>
      <c r="G138" s="1902" t="s">
        <v>113</v>
      </c>
      <c r="H138" s="1902" t="s">
        <v>113</v>
      </c>
      <c r="I138" s="1902" t="s">
        <v>113</v>
      </c>
      <c r="J138" s="1902" t="s">
        <v>113</v>
      </c>
      <c r="K138" s="1902" t="s">
        <v>113</v>
      </c>
      <c r="L138" s="1902"/>
      <c r="M138" s="1902"/>
      <c r="N138" s="245" t="s">
        <v>46</v>
      </c>
      <c r="O138" s="245" t="s">
        <v>46</v>
      </c>
      <c r="P138" s="245" t="s">
        <v>46</v>
      </c>
      <c r="Q138" s="245" t="s">
        <v>46</v>
      </c>
      <c r="R138" s="245" t="s">
        <v>46</v>
      </c>
      <c r="U138" s="1902" t="s">
        <v>113</v>
      </c>
      <c r="V138" s="1902" t="s">
        <v>113</v>
      </c>
      <c r="W138" s="1902" t="s">
        <v>113</v>
      </c>
      <c r="X138" s="1902" t="s">
        <v>113</v>
      </c>
      <c r="Y138" s="1902" t="s">
        <v>113</v>
      </c>
      <c r="Z138" s="1902" t="s">
        <v>113</v>
      </c>
      <c r="AA138" s="1902" t="s">
        <v>113</v>
      </c>
      <c r="AB138" s="245" t="s">
        <v>46</v>
      </c>
      <c r="AC138" s="245" t="s">
        <v>46</v>
      </c>
      <c r="AD138" s="245" t="s">
        <v>46</v>
      </c>
      <c r="AE138" s="245" t="s">
        <v>46</v>
      </c>
      <c r="AF138" s="245" t="s">
        <v>46</v>
      </c>
      <c r="AG138" s="1870"/>
    </row>
    <row r="139" spans="1:33" ht="18" customHeight="1">
      <c r="B139" s="1985" t="s">
        <v>199</v>
      </c>
      <c r="C139" s="1902" t="s">
        <v>113</v>
      </c>
      <c r="D139" s="1902" t="s">
        <v>113</v>
      </c>
      <c r="E139" s="1919" t="s">
        <v>113</v>
      </c>
      <c r="F139" s="1919" t="s">
        <v>113</v>
      </c>
      <c r="G139" s="1902" t="s">
        <v>46</v>
      </c>
      <c r="H139" s="1902" t="s">
        <v>46</v>
      </c>
      <c r="I139" s="1902" t="s">
        <v>46</v>
      </c>
      <c r="J139" s="1902" t="s">
        <v>46</v>
      </c>
      <c r="K139" s="1902" t="s">
        <v>46</v>
      </c>
      <c r="L139" s="1870"/>
      <c r="M139" s="1870"/>
      <c r="N139" s="1902" t="s">
        <v>113</v>
      </c>
      <c r="O139" s="1924" t="s">
        <v>113</v>
      </c>
      <c r="P139" s="1924" t="s">
        <v>113</v>
      </c>
      <c r="Q139" s="1924" t="s">
        <v>113</v>
      </c>
      <c r="R139" s="1924" t="s">
        <v>113</v>
      </c>
      <c r="S139" s="1924" t="s">
        <v>113</v>
      </c>
      <c r="T139" s="1924" t="s">
        <v>200</v>
      </c>
      <c r="U139" s="1902" t="s">
        <v>46</v>
      </c>
      <c r="V139" s="1902" t="s">
        <v>46</v>
      </c>
      <c r="W139" s="1902" t="s">
        <v>46</v>
      </c>
      <c r="X139" s="1902" t="s">
        <v>46</v>
      </c>
      <c r="Y139" s="1902" t="s">
        <v>46</v>
      </c>
      <c r="Z139" s="1870"/>
      <c r="AA139" s="1870"/>
      <c r="AB139" s="1902" t="s">
        <v>113</v>
      </c>
      <c r="AC139" s="1902" t="s">
        <v>113</v>
      </c>
      <c r="AD139" s="1902" t="s">
        <v>113</v>
      </c>
      <c r="AE139" s="1902" t="s">
        <v>113</v>
      </c>
      <c r="AF139" s="1902" t="s">
        <v>113</v>
      </c>
      <c r="AG139" s="1902"/>
    </row>
    <row r="140" spans="1:33" ht="18" customHeight="1">
      <c r="B140" s="154"/>
      <c r="C140" s="124"/>
      <c r="D140" s="124"/>
      <c r="E140" s="179"/>
      <c r="F140" s="179"/>
      <c r="G140" s="124"/>
      <c r="H140" s="124"/>
      <c r="I140" s="124"/>
      <c r="J140" s="124"/>
      <c r="K140" s="124"/>
      <c r="L140" s="111"/>
      <c r="M140" s="111"/>
      <c r="N140" s="124"/>
      <c r="O140" s="124"/>
      <c r="P140" s="124"/>
      <c r="Q140" s="124"/>
      <c r="R140" s="124"/>
      <c r="S140" s="124"/>
      <c r="T140" s="124"/>
      <c r="U140" s="124"/>
      <c r="V140" s="124"/>
      <c r="W140" s="124"/>
      <c r="X140" s="124"/>
      <c r="Y140" s="124"/>
      <c r="Z140" s="111"/>
      <c r="AA140" s="111"/>
      <c r="AB140" s="124"/>
      <c r="AC140" s="124"/>
      <c r="AD140" s="124"/>
      <c r="AE140" s="124"/>
      <c r="AF140" s="124"/>
      <c r="AG140" s="124"/>
    </row>
    <row r="141" spans="1:33" ht="18" customHeight="1" thickBot="1">
      <c r="A141" s="117"/>
      <c r="B141" s="111"/>
      <c r="C141" s="189"/>
      <c r="D141" s="189"/>
      <c r="E141" s="189"/>
      <c r="F141" s="189"/>
      <c r="G141" s="189"/>
      <c r="H141" s="189"/>
      <c r="I141" s="189"/>
      <c r="J141" s="189"/>
      <c r="K141" s="189"/>
      <c r="L141" s="189"/>
      <c r="M141" s="189"/>
      <c r="N141" s="189"/>
      <c r="O141" s="189"/>
      <c r="P141" s="189"/>
      <c r="Q141" s="189"/>
      <c r="R141" s="189"/>
      <c r="S141" s="189"/>
      <c r="T141" s="189"/>
      <c r="U141" s="189"/>
      <c r="V141" s="189"/>
      <c r="W141" s="189"/>
      <c r="X141" s="189"/>
      <c r="Y141" s="189"/>
      <c r="Z141" s="189"/>
      <c r="AA141" s="189"/>
      <c r="AB141" s="189"/>
      <c r="AC141" s="189"/>
      <c r="AD141" s="189"/>
      <c r="AE141" s="189"/>
      <c r="AF141" s="189"/>
      <c r="AG141" s="65"/>
    </row>
    <row r="142" spans="1:33" ht="18" customHeight="1">
      <c r="A142" s="48"/>
      <c r="B142" s="1573" t="s">
        <v>201</v>
      </c>
      <c r="C142" s="1609"/>
      <c r="D142" s="1610" t="s">
        <v>19</v>
      </c>
      <c r="E142" s="1611"/>
      <c r="F142" s="1609"/>
      <c r="G142" s="1612" t="s">
        <v>20</v>
      </c>
      <c r="H142" s="1613"/>
      <c r="I142" s="1614"/>
      <c r="J142" s="1612" t="s">
        <v>21</v>
      </c>
      <c r="K142" s="1615"/>
      <c r="L142" s="1614"/>
      <c r="M142" s="1616" t="s">
        <v>22</v>
      </c>
      <c r="N142" s="1615"/>
      <c r="O142" s="1614"/>
      <c r="P142" s="1612" t="s">
        <v>23</v>
      </c>
      <c r="Q142" s="1617"/>
      <c r="R142" s="1614"/>
      <c r="S142" s="1612" t="s">
        <v>24</v>
      </c>
      <c r="T142" s="1618"/>
      <c r="U142" s="1614"/>
      <c r="V142" s="1612" t="s">
        <v>25</v>
      </c>
      <c r="W142" s="1617"/>
      <c r="X142" s="2003" t="s">
        <v>202</v>
      </c>
      <c r="Y142" s="1620"/>
      <c r="Z142" s="1620"/>
      <c r="AA142" s="1621"/>
      <c r="AB142" s="1574" t="s">
        <v>108</v>
      </c>
      <c r="AC142" s="1575"/>
      <c r="AD142" s="1575"/>
      <c r="AE142" s="1583"/>
      <c r="AF142" s="1583"/>
      <c r="AG142" s="105"/>
    </row>
    <row r="143" spans="1:33" ht="18" customHeight="1">
      <c r="A143" s="48"/>
      <c r="B143" s="2004" t="s">
        <v>203</v>
      </c>
      <c r="C143" s="2005" t="s">
        <v>204</v>
      </c>
      <c r="D143" s="2006"/>
      <c r="E143" s="2007"/>
      <c r="F143" s="2005" t="s">
        <v>204</v>
      </c>
      <c r="G143" s="2006"/>
      <c r="H143" s="2007"/>
      <c r="I143" s="2005" t="s">
        <v>204</v>
      </c>
      <c r="J143" s="2006"/>
      <c r="K143" s="2007"/>
      <c r="L143" s="2005" t="s">
        <v>204</v>
      </c>
      <c r="M143" s="2006"/>
      <c r="N143" s="2007"/>
      <c r="O143" s="2005" t="s">
        <v>205</v>
      </c>
      <c r="P143" s="2006"/>
      <c r="Q143" s="2007"/>
      <c r="R143" s="2005"/>
      <c r="S143" s="2006"/>
      <c r="T143" s="2007"/>
      <c r="U143" s="2005"/>
      <c r="V143" s="2006"/>
      <c r="W143" s="2007"/>
      <c r="X143" s="2005"/>
      <c r="Y143" s="2008"/>
      <c r="Z143" s="2008"/>
      <c r="AA143" s="2008"/>
      <c r="AB143" s="1702"/>
      <c r="AC143" s="2008"/>
      <c r="AD143" s="2008"/>
      <c r="AE143" s="2008"/>
      <c r="AF143" s="2008"/>
      <c r="AG143" s="105"/>
    </row>
    <row r="145" spans="1:33" ht="18" customHeight="1" thickBot="1">
      <c r="A145" s="2009" t="s">
        <v>37</v>
      </c>
      <c r="B145" s="1572" t="s">
        <v>38</v>
      </c>
      <c r="C145" s="1580">
        <v>1</v>
      </c>
      <c r="D145" s="1578">
        <v>2</v>
      </c>
      <c r="E145" s="1580">
        <v>3</v>
      </c>
      <c r="F145" s="1580">
        <v>4</v>
      </c>
      <c r="G145" s="1578">
        <v>5</v>
      </c>
      <c r="H145" s="1578">
        <v>6</v>
      </c>
      <c r="I145" s="1578">
        <v>7</v>
      </c>
      <c r="J145" s="1578">
        <v>8</v>
      </c>
      <c r="K145" s="1578">
        <v>9</v>
      </c>
      <c r="L145" s="1580">
        <v>10</v>
      </c>
      <c r="M145" s="1580">
        <v>11</v>
      </c>
      <c r="N145" s="1578">
        <v>12</v>
      </c>
      <c r="O145" s="1578">
        <v>13</v>
      </c>
      <c r="P145" s="1578">
        <v>14</v>
      </c>
      <c r="Q145" s="1578">
        <v>15</v>
      </c>
      <c r="R145" s="1578">
        <v>16</v>
      </c>
      <c r="S145" s="1580">
        <v>17</v>
      </c>
      <c r="T145" s="1580">
        <v>18</v>
      </c>
      <c r="U145" s="1578">
        <v>19</v>
      </c>
      <c r="V145" s="1578">
        <v>20</v>
      </c>
      <c r="W145" s="1578">
        <v>21</v>
      </c>
      <c r="X145" s="1578">
        <v>22</v>
      </c>
      <c r="Y145" s="1578">
        <v>23</v>
      </c>
      <c r="Z145" s="1580">
        <v>24</v>
      </c>
      <c r="AA145" s="1580">
        <v>25</v>
      </c>
      <c r="AB145" s="1578">
        <v>26</v>
      </c>
      <c r="AC145" s="1578">
        <v>27</v>
      </c>
      <c r="AD145" s="1578">
        <v>28</v>
      </c>
      <c r="AE145" s="1580">
        <v>29</v>
      </c>
      <c r="AF145" s="1578">
        <v>30</v>
      </c>
      <c r="AG145" s="1580">
        <v>31</v>
      </c>
    </row>
    <row r="146" spans="1:33" ht="18" customHeight="1">
      <c r="A146" s="1664">
        <v>8520</v>
      </c>
      <c r="B146" s="2010" t="s">
        <v>206</v>
      </c>
      <c r="C146" s="1645"/>
      <c r="D146" s="1645" t="s">
        <v>207</v>
      </c>
      <c r="E146" s="1645"/>
      <c r="F146" s="1645"/>
      <c r="G146" s="1645" t="s">
        <v>207</v>
      </c>
      <c r="H146" s="1645" t="s">
        <v>207</v>
      </c>
      <c r="I146" s="1645" t="s">
        <v>207</v>
      </c>
      <c r="J146" s="1645" t="s">
        <v>207</v>
      </c>
      <c r="K146" s="1645" t="s">
        <v>207</v>
      </c>
      <c r="L146" s="1645"/>
      <c r="M146" s="1645"/>
      <c r="N146" s="1645" t="s">
        <v>207</v>
      </c>
      <c r="O146" s="1645" t="s">
        <v>207</v>
      </c>
      <c r="P146" s="1645" t="s">
        <v>207</v>
      </c>
      <c r="Q146" s="1645" t="s">
        <v>207</v>
      </c>
      <c r="R146" s="1645" t="s">
        <v>207</v>
      </c>
      <c r="S146" s="1645"/>
      <c r="T146" s="1645"/>
      <c r="U146" s="1645" t="s">
        <v>207</v>
      </c>
      <c r="V146" s="1645" t="s">
        <v>207</v>
      </c>
      <c r="W146" s="1645" t="s">
        <v>207</v>
      </c>
      <c r="X146" s="1645" t="s">
        <v>207</v>
      </c>
      <c r="Y146" s="1645" t="s">
        <v>207</v>
      </c>
      <c r="Z146" s="1645"/>
      <c r="AA146" s="1645"/>
      <c r="AB146" s="1819" t="s">
        <v>207</v>
      </c>
      <c r="AC146" s="1819" t="s">
        <v>207</v>
      </c>
      <c r="AD146" s="1819" t="s">
        <v>207</v>
      </c>
      <c r="AE146" s="1819"/>
      <c r="AF146" s="2011" t="s">
        <v>207</v>
      </c>
      <c r="AG146" s="2012"/>
    </row>
    <row r="147" spans="1:33" ht="18" customHeight="1">
      <c r="A147" s="122"/>
      <c r="B147" s="121"/>
      <c r="C147" s="116"/>
      <c r="D147" s="116"/>
      <c r="E147" s="116"/>
      <c r="F147" s="116"/>
      <c r="G147" s="116"/>
      <c r="H147" s="116"/>
      <c r="I147" s="116"/>
      <c r="J147" s="116"/>
      <c r="K147" s="116"/>
      <c r="L147" s="116"/>
      <c r="M147" s="116"/>
      <c r="N147" s="116"/>
      <c r="O147" s="116"/>
      <c r="P147" s="116"/>
      <c r="Q147" s="116"/>
      <c r="R147" s="116"/>
      <c r="S147" s="116"/>
      <c r="T147" s="116"/>
      <c r="U147" s="116"/>
      <c r="V147" s="116"/>
      <c r="W147" s="116"/>
      <c r="X147" s="116"/>
      <c r="Y147" s="116"/>
      <c r="Z147" s="116"/>
      <c r="AA147" s="116"/>
      <c r="AB147" s="116"/>
      <c r="AC147" s="116"/>
      <c r="AD147" s="116"/>
      <c r="AE147" s="116"/>
      <c r="AF147" s="116"/>
      <c r="AG147" s="105"/>
    </row>
    <row r="148" spans="1:33" ht="18" customHeight="1">
      <c r="AG148" s="65"/>
    </row>
    <row r="149" spans="1:33" ht="18" customHeight="1" thickBot="1">
      <c r="A149" s="100" t="s">
        <v>208</v>
      </c>
      <c r="B149" s="101"/>
      <c r="C149" s="101"/>
      <c r="D149" s="102"/>
      <c r="E149" s="102"/>
      <c r="F149" s="102"/>
      <c r="G149" s="63"/>
      <c r="H149" s="102"/>
      <c r="I149" s="102"/>
      <c r="J149" s="102"/>
      <c r="K149" s="102"/>
      <c r="L149" s="102"/>
      <c r="M149" s="102"/>
      <c r="N149" s="102"/>
      <c r="O149" s="102"/>
      <c r="P149" s="102"/>
      <c r="Q149" s="102"/>
      <c r="R149" s="102"/>
      <c r="S149" s="102"/>
      <c r="T149" s="102"/>
      <c r="U149" s="102"/>
      <c r="V149" s="102"/>
      <c r="W149" s="102"/>
      <c r="X149" s="102"/>
      <c r="Y149" s="102"/>
      <c r="Z149" s="102"/>
      <c r="AA149" s="102"/>
      <c r="AB149" s="102"/>
      <c r="AC149" s="102"/>
      <c r="AD149" s="102"/>
      <c r="AE149" s="102"/>
      <c r="AF149" s="102"/>
      <c r="AG149" s="101"/>
    </row>
    <row r="150" spans="1:33" ht="18" customHeight="1">
      <c r="A150" s="100"/>
      <c r="B150" s="1573" t="s">
        <v>209</v>
      </c>
      <c r="C150" s="1622"/>
      <c r="D150" s="1623" t="s">
        <v>19</v>
      </c>
      <c r="E150" s="1624"/>
      <c r="F150" s="1625"/>
      <c r="G150" s="1622"/>
      <c r="H150" s="1623" t="s">
        <v>20</v>
      </c>
      <c r="I150" s="1624"/>
      <c r="J150" s="1625"/>
      <c r="K150" s="1622"/>
      <c r="L150" s="1623" t="s">
        <v>21</v>
      </c>
      <c r="M150" s="1624"/>
      <c r="N150" s="1625"/>
      <c r="O150" s="1622"/>
      <c r="P150" s="1623" t="s">
        <v>22</v>
      </c>
      <c r="Q150" s="1624"/>
      <c r="R150" s="1625"/>
      <c r="S150" s="1622"/>
      <c r="T150" s="1623" t="s">
        <v>23</v>
      </c>
      <c r="U150" s="1624"/>
      <c r="V150" s="1625"/>
      <c r="W150" s="1622"/>
      <c r="X150" s="1623" t="s">
        <v>24</v>
      </c>
      <c r="Y150" s="1624"/>
      <c r="Z150" s="1625"/>
      <c r="AA150" s="1622"/>
      <c r="AB150" s="1623" t="s">
        <v>25</v>
      </c>
      <c r="AC150" s="1624"/>
      <c r="AD150" s="1624"/>
      <c r="AE150" s="1626" t="s">
        <v>108</v>
      </c>
      <c r="AF150" s="1624"/>
      <c r="AG150" s="1627"/>
    </row>
    <row r="151" spans="1:33" ht="18" customHeight="1">
      <c r="A151" s="100"/>
      <c r="B151" s="2013" t="s">
        <v>210</v>
      </c>
      <c r="C151" s="2014">
        <v>69</v>
      </c>
      <c r="D151" s="2015" t="s">
        <v>211</v>
      </c>
      <c r="E151" s="2015"/>
      <c r="F151" s="2016"/>
      <c r="G151" s="2014">
        <v>69</v>
      </c>
      <c r="H151" s="2015" t="s">
        <v>211</v>
      </c>
      <c r="I151" s="2015"/>
      <c r="J151" s="2016"/>
      <c r="K151" s="2014">
        <v>69</v>
      </c>
      <c r="L151" s="2015" t="s">
        <v>211</v>
      </c>
      <c r="M151" s="2015"/>
      <c r="N151" s="2016"/>
      <c r="O151" s="2014">
        <v>69</v>
      </c>
      <c r="P151" s="2015" t="s">
        <v>211</v>
      </c>
      <c r="Q151" s="2015"/>
      <c r="R151" s="2016"/>
      <c r="S151" s="2014">
        <v>69</v>
      </c>
      <c r="T151" s="2015" t="s">
        <v>211</v>
      </c>
      <c r="U151" s="2015"/>
      <c r="V151" s="2016"/>
      <c r="W151" s="2014"/>
      <c r="X151" s="2017"/>
      <c r="Y151" s="2017"/>
      <c r="Z151" s="2018"/>
      <c r="AA151" s="2014"/>
      <c r="AB151" s="2015"/>
      <c r="AC151" s="2015"/>
      <c r="AD151" s="1968"/>
      <c r="AE151" s="2019">
        <v>35</v>
      </c>
      <c r="AF151" s="2015"/>
      <c r="AG151" s="2020"/>
    </row>
    <row r="152" spans="1:33" ht="18" customHeight="1">
      <c r="A152" s="100"/>
      <c r="B152" s="2013" t="s">
        <v>212</v>
      </c>
      <c r="C152" s="2014">
        <v>79</v>
      </c>
      <c r="D152" s="2015" t="s">
        <v>213</v>
      </c>
      <c r="E152" s="2015"/>
      <c r="F152" s="2016"/>
      <c r="G152" s="2014">
        <v>79</v>
      </c>
      <c r="H152" s="2015" t="s">
        <v>213</v>
      </c>
      <c r="I152" s="2015"/>
      <c r="J152" s="2016"/>
      <c r="K152" s="2014">
        <v>79</v>
      </c>
      <c r="L152" s="2015" t="s">
        <v>213</v>
      </c>
      <c r="M152" s="2015"/>
      <c r="N152" s="2016"/>
      <c r="O152" s="2014">
        <v>79</v>
      </c>
      <c r="P152" s="2015" t="s">
        <v>213</v>
      </c>
      <c r="Q152" s="2015"/>
      <c r="R152" s="2016"/>
      <c r="S152" s="2014">
        <v>79</v>
      </c>
      <c r="T152" s="2015" t="s">
        <v>213</v>
      </c>
      <c r="U152" s="2015"/>
      <c r="V152" s="2016"/>
      <c r="W152" s="2014"/>
      <c r="X152" s="2015"/>
      <c r="Y152" s="2015"/>
      <c r="Z152" s="2016"/>
      <c r="AA152" s="2015"/>
      <c r="AB152" s="2015"/>
      <c r="AC152" s="2015"/>
      <c r="AD152" s="1968"/>
      <c r="AE152" s="2019">
        <v>40</v>
      </c>
      <c r="AF152" s="2015"/>
      <c r="AG152" s="2020"/>
    </row>
    <row r="153" spans="1:33" ht="18" customHeight="1">
      <c r="A153" s="100"/>
      <c r="B153" s="2013" t="s">
        <v>214</v>
      </c>
      <c r="C153" s="2014">
        <v>89</v>
      </c>
      <c r="D153" s="2015" t="s">
        <v>215</v>
      </c>
      <c r="E153" s="2015"/>
      <c r="F153" s="2016"/>
      <c r="G153" s="2014">
        <v>89</v>
      </c>
      <c r="H153" s="2015" t="s">
        <v>215</v>
      </c>
      <c r="I153" s="2015"/>
      <c r="J153" s="2016"/>
      <c r="K153" s="2014">
        <v>89</v>
      </c>
      <c r="L153" s="2015" t="s">
        <v>215</v>
      </c>
      <c r="M153" s="2015"/>
      <c r="N153" s="2016"/>
      <c r="O153" s="2014">
        <v>89</v>
      </c>
      <c r="P153" s="2015" t="s">
        <v>215</v>
      </c>
      <c r="Q153" s="2015"/>
      <c r="R153" s="2016"/>
      <c r="S153" s="2014">
        <v>89</v>
      </c>
      <c r="T153" s="2015" t="s">
        <v>216</v>
      </c>
      <c r="U153" s="2015"/>
      <c r="V153" s="2016"/>
      <c r="W153" s="2021"/>
      <c r="X153" s="2022" t="s">
        <v>217</v>
      </c>
      <c r="Y153" s="2022"/>
      <c r="Z153" s="1970"/>
      <c r="AA153" s="2021"/>
      <c r="AB153" s="2022"/>
      <c r="AC153" s="2022"/>
      <c r="AD153" s="1972"/>
      <c r="AE153" s="2019">
        <v>44</v>
      </c>
      <c r="AF153" s="2015"/>
      <c r="AG153" s="2020"/>
    </row>
    <row r="154" spans="1:33" ht="18" customHeight="1">
      <c r="A154" s="100"/>
      <c r="B154" s="19" t="s">
        <v>218</v>
      </c>
      <c r="C154" s="2021">
        <v>99</v>
      </c>
      <c r="D154" s="2022" t="s">
        <v>219</v>
      </c>
      <c r="E154" s="2022"/>
      <c r="F154" s="1970"/>
      <c r="G154" s="2021">
        <v>99</v>
      </c>
      <c r="H154" s="2022" t="s">
        <v>219</v>
      </c>
      <c r="I154" s="2022"/>
      <c r="J154" s="1970"/>
      <c r="K154" s="2021">
        <v>99</v>
      </c>
      <c r="L154" s="2022" t="s">
        <v>219</v>
      </c>
      <c r="M154" s="2022"/>
      <c r="N154" s="1970"/>
      <c r="O154" s="2021">
        <v>99</v>
      </c>
      <c r="P154" s="2022" t="s">
        <v>219</v>
      </c>
      <c r="Q154" s="2022"/>
      <c r="R154" s="1970"/>
      <c r="S154" s="2021">
        <v>99</v>
      </c>
      <c r="T154" s="2022" t="s">
        <v>220</v>
      </c>
      <c r="U154" s="2022"/>
      <c r="V154" s="1972"/>
      <c r="W154" s="1971"/>
      <c r="X154" s="1972"/>
      <c r="Y154" s="2022"/>
      <c r="Z154" s="1970"/>
      <c r="AA154" s="1971"/>
      <c r="AB154" s="1972"/>
      <c r="AC154" s="2022"/>
      <c r="AD154" s="1970"/>
      <c r="AE154" s="2023">
        <v>28</v>
      </c>
      <c r="AF154" s="2022"/>
      <c r="AG154" s="2024"/>
    </row>
    <row r="155" spans="1:33" ht="18" customHeight="1" thickBot="1">
      <c r="A155" s="100"/>
      <c r="B155" s="2025" t="s">
        <v>221</v>
      </c>
      <c r="C155" s="2026" t="s">
        <v>159</v>
      </c>
      <c r="D155" s="2027" t="s">
        <v>222</v>
      </c>
      <c r="E155" s="2028"/>
      <c r="F155" s="1812"/>
      <c r="G155" s="2026" t="s">
        <v>159</v>
      </c>
      <c r="H155" s="2027" t="s">
        <v>222</v>
      </c>
      <c r="I155" s="1810"/>
      <c r="J155" s="2028"/>
      <c r="K155" s="2026" t="s">
        <v>159</v>
      </c>
      <c r="L155" s="2027" t="s">
        <v>222</v>
      </c>
      <c r="M155" s="2028"/>
      <c r="N155" s="2029"/>
      <c r="O155" s="2026" t="s">
        <v>159</v>
      </c>
      <c r="P155" s="2027" t="s">
        <v>222</v>
      </c>
      <c r="Q155" s="2028"/>
      <c r="R155" s="2027"/>
      <c r="S155" s="2026" t="s">
        <v>159</v>
      </c>
      <c r="T155" s="1814" t="s">
        <v>223</v>
      </c>
      <c r="U155" s="2027"/>
      <c r="V155" s="2029"/>
      <c r="W155" s="2028"/>
      <c r="X155" s="2027"/>
      <c r="Y155" s="2027"/>
      <c r="Z155" s="2027"/>
      <c r="AA155" s="2030"/>
      <c r="AB155" s="2031"/>
      <c r="AC155" s="2027"/>
      <c r="AD155" s="2032"/>
      <c r="AE155" s="2027"/>
      <c r="AF155" s="2027"/>
      <c r="AG155" s="2033"/>
    </row>
    <row r="156" spans="1:33" ht="18" customHeight="1" thickBot="1">
      <c r="A156" s="66"/>
      <c r="B156" s="100"/>
      <c r="C156" s="102"/>
      <c r="D156" s="102"/>
      <c r="E156" s="102"/>
      <c r="F156" s="102"/>
      <c r="G156" s="102"/>
      <c r="H156" s="102"/>
      <c r="I156" s="102"/>
      <c r="J156" s="102"/>
      <c r="K156" s="102"/>
      <c r="L156" s="102"/>
      <c r="M156" s="102"/>
      <c r="N156" s="102"/>
      <c r="O156" s="102"/>
      <c r="P156" s="102"/>
      <c r="Q156" s="102"/>
      <c r="R156" s="102"/>
      <c r="S156" s="102"/>
      <c r="T156" s="102"/>
      <c r="U156" s="102"/>
      <c r="V156" s="102"/>
      <c r="W156" s="102"/>
      <c r="X156" s="102"/>
      <c r="Y156" s="102"/>
      <c r="Z156" s="102"/>
      <c r="AA156" s="102"/>
      <c r="AB156" s="102"/>
      <c r="AC156" s="102"/>
      <c r="AD156" s="102"/>
      <c r="AE156" s="102"/>
      <c r="AF156" s="102"/>
      <c r="AG156" s="101"/>
    </row>
    <row r="157" spans="1:33" ht="18" customHeight="1" thickBot="1">
      <c r="A157" s="2009"/>
      <c r="B157" s="1572" t="s">
        <v>38</v>
      </c>
      <c r="C157" s="1580">
        <v>1</v>
      </c>
      <c r="D157" s="1578">
        <v>2</v>
      </c>
      <c r="E157" s="1580">
        <v>3</v>
      </c>
      <c r="F157" s="1580">
        <v>4</v>
      </c>
      <c r="G157" s="1578">
        <v>5</v>
      </c>
      <c r="H157" s="1578">
        <v>6</v>
      </c>
      <c r="I157" s="1578">
        <v>7</v>
      </c>
      <c r="J157" s="1578">
        <v>8</v>
      </c>
      <c r="K157" s="1578">
        <v>9</v>
      </c>
      <c r="L157" s="1580">
        <v>10</v>
      </c>
      <c r="M157" s="1580">
        <v>11</v>
      </c>
      <c r="N157" s="1578">
        <v>12</v>
      </c>
      <c r="O157" s="1578">
        <v>13</v>
      </c>
      <c r="P157" s="1578">
        <v>14</v>
      </c>
      <c r="Q157" s="1578">
        <v>15</v>
      </c>
      <c r="R157" s="1578">
        <v>16</v>
      </c>
      <c r="S157" s="1580">
        <v>17</v>
      </c>
      <c r="T157" s="1580">
        <v>18</v>
      </c>
      <c r="U157" s="1578">
        <v>19</v>
      </c>
      <c r="V157" s="1578">
        <v>20</v>
      </c>
      <c r="W157" s="1578">
        <v>21</v>
      </c>
      <c r="X157" s="1578">
        <v>22</v>
      </c>
      <c r="Y157" s="1578">
        <v>23</v>
      </c>
      <c r="Z157" s="1580">
        <v>24</v>
      </c>
      <c r="AA157" s="1580">
        <v>25</v>
      </c>
      <c r="AB157" s="1578">
        <v>26</v>
      </c>
      <c r="AC157" s="1578">
        <v>27</v>
      </c>
      <c r="AD157" s="1578">
        <v>28</v>
      </c>
      <c r="AE157" s="1580">
        <v>29</v>
      </c>
      <c r="AF157" s="1578">
        <v>30</v>
      </c>
      <c r="AG157" s="1580">
        <v>31</v>
      </c>
    </row>
    <row r="158" spans="1:33" ht="18" customHeight="1">
      <c r="A158" s="2034">
        <v>1</v>
      </c>
      <c r="B158" s="1628" t="s">
        <v>224</v>
      </c>
      <c r="C158" s="1644"/>
      <c r="D158" s="1629">
        <v>69</v>
      </c>
      <c r="E158" s="1645"/>
      <c r="F158" s="1645"/>
      <c r="G158" s="1646">
        <v>79</v>
      </c>
      <c r="H158" s="1644">
        <v>79</v>
      </c>
      <c r="I158" s="2035">
        <v>79</v>
      </c>
      <c r="J158" s="1646">
        <v>79</v>
      </c>
      <c r="K158" s="1644">
        <v>79</v>
      </c>
      <c r="L158" s="1646"/>
      <c r="M158" s="1645"/>
      <c r="N158" s="1820">
        <v>89</v>
      </c>
      <c r="O158" s="1820">
        <v>89</v>
      </c>
      <c r="P158" s="1644">
        <v>89</v>
      </c>
      <c r="Q158" s="1644">
        <v>89</v>
      </c>
      <c r="R158" s="1644">
        <v>89</v>
      </c>
      <c r="S158" s="1645">
        <v>89</v>
      </c>
      <c r="T158" s="1645"/>
      <c r="U158" s="1644">
        <v>99</v>
      </c>
      <c r="V158" s="1644">
        <v>99</v>
      </c>
      <c r="W158" s="1644">
        <v>99</v>
      </c>
      <c r="X158" s="1644">
        <v>99</v>
      </c>
      <c r="Y158" s="1644" t="s">
        <v>46</v>
      </c>
      <c r="Z158" s="1644"/>
      <c r="AA158" s="1646"/>
      <c r="AB158" s="2036" t="s">
        <v>159</v>
      </c>
      <c r="AC158" s="1644" t="s">
        <v>159</v>
      </c>
      <c r="AD158" s="1644" t="s">
        <v>159</v>
      </c>
      <c r="AE158" s="1644"/>
      <c r="AF158" s="2037" t="s">
        <v>159</v>
      </c>
      <c r="AG158" s="2038"/>
    </row>
    <row r="159" spans="1:33" ht="18" customHeight="1">
      <c r="A159" s="2039">
        <v>2</v>
      </c>
      <c r="B159" s="2040" t="s">
        <v>225</v>
      </c>
      <c r="C159" s="1737"/>
      <c r="D159" s="1760">
        <v>79</v>
      </c>
      <c r="E159" s="1737"/>
      <c r="F159" s="1737"/>
      <c r="G159" s="1737">
        <v>89</v>
      </c>
      <c r="H159" s="1845">
        <v>89</v>
      </c>
      <c r="I159" s="1874">
        <v>89</v>
      </c>
      <c r="J159" s="1766">
        <v>89</v>
      </c>
      <c r="K159" s="1845">
        <v>89</v>
      </c>
      <c r="L159" s="1760">
        <v>89</v>
      </c>
      <c r="M159" s="1760"/>
      <c r="N159" s="1845">
        <v>99</v>
      </c>
      <c r="O159" s="1736">
        <v>99</v>
      </c>
      <c r="P159" s="1845">
        <v>99</v>
      </c>
      <c r="Q159" s="1845">
        <v>99</v>
      </c>
      <c r="R159" s="1753" t="s">
        <v>46</v>
      </c>
      <c r="S159" s="1845"/>
      <c r="T159" s="1760"/>
      <c r="U159" s="1845" t="s">
        <v>159</v>
      </c>
      <c r="V159" s="1845" t="s">
        <v>159</v>
      </c>
      <c r="W159" s="1845" t="s">
        <v>159</v>
      </c>
      <c r="X159" s="1845" t="s">
        <v>159</v>
      </c>
      <c r="Y159" s="1845" t="s">
        <v>159</v>
      </c>
      <c r="Z159" s="1845"/>
      <c r="AA159" s="1760"/>
      <c r="AB159" s="1753">
        <v>69</v>
      </c>
      <c r="AC159" s="1736">
        <v>69</v>
      </c>
      <c r="AD159" s="1736">
        <v>69</v>
      </c>
      <c r="AE159" s="1736"/>
      <c r="AF159" s="1736">
        <v>69</v>
      </c>
      <c r="AG159" s="2041"/>
    </row>
    <row r="160" spans="1:33" ht="18" customHeight="1">
      <c r="A160" s="2039">
        <v>3</v>
      </c>
      <c r="B160" s="2040"/>
      <c r="C160" s="2042"/>
      <c r="D160" s="1760">
        <v>89</v>
      </c>
      <c r="E160" s="1737">
        <v>89</v>
      </c>
      <c r="F160" s="2042"/>
      <c r="G160" s="1894">
        <v>99</v>
      </c>
      <c r="H160" s="1784">
        <v>99</v>
      </c>
      <c r="I160" s="1753">
        <v>99</v>
      </c>
      <c r="J160" s="2042">
        <v>99</v>
      </c>
      <c r="K160" s="2042" t="s">
        <v>46</v>
      </c>
      <c r="L160" s="2042"/>
      <c r="M160" s="2042"/>
      <c r="N160" s="1845" t="s">
        <v>159</v>
      </c>
      <c r="O160" s="1736" t="s">
        <v>159</v>
      </c>
      <c r="P160" s="1895" t="s">
        <v>159</v>
      </c>
      <c r="Q160" s="1736" t="s">
        <v>159</v>
      </c>
      <c r="R160" s="1736" t="s">
        <v>159</v>
      </c>
      <c r="S160" s="1736"/>
      <c r="T160" s="1736"/>
      <c r="U160" s="1736">
        <v>69</v>
      </c>
      <c r="V160" s="1736">
        <v>69</v>
      </c>
      <c r="W160" s="1736">
        <v>69</v>
      </c>
      <c r="X160" s="1736">
        <v>69</v>
      </c>
      <c r="Y160" s="2042">
        <v>69</v>
      </c>
      <c r="Z160" s="2042"/>
      <c r="AA160" s="2042"/>
      <c r="AB160" s="2042">
        <v>79</v>
      </c>
      <c r="AC160" s="2042">
        <v>79</v>
      </c>
      <c r="AD160" s="2042">
        <v>79</v>
      </c>
      <c r="AE160" s="2042"/>
      <c r="AF160" s="2042">
        <v>79</v>
      </c>
      <c r="AG160" s="2043"/>
    </row>
    <row r="161" spans="1:33" ht="18" customHeight="1">
      <c r="A161" s="2039">
        <v>4</v>
      </c>
      <c r="B161" s="2040" t="s">
        <v>226</v>
      </c>
      <c r="C161" s="1760"/>
      <c r="D161" s="1760" t="s">
        <v>46</v>
      </c>
      <c r="E161" s="1760"/>
      <c r="F161" s="1760"/>
      <c r="G161" s="1760" t="s">
        <v>159</v>
      </c>
      <c r="H161" s="1760" t="s">
        <v>159</v>
      </c>
      <c r="I161" s="1753" t="s">
        <v>159</v>
      </c>
      <c r="J161" s="1760" t="s">
        <v>64</v>
      </c>
      <c r="K161" s="1760" t="s">
        <v>64</v>
      </c>
      <c r="L161" s="1760"/>
      <c r="M161" s="1760"/>
      <c r="N161" s="1845">
        <v>69</v>
      </c>
      <c r="O161" s="1760">
        <v>69</v>
      </c>
      <c r="P161" s="1760">
        <v>69</v>
      </c>
      <c r="Q161" s="1766">
        <v>69</v>
      </c>
      <c r="R161" s="1895">
        <v>69</v>
      </c>
      <c r="S161" s="1760"/>
      <c r="T161" s="1760"/>
      <c r="U161" s="1760">
        <v>79</v>
      </c>
      <c r="V161" s="1760">
        <v>79</v>
      </c>
      <c r="W161" s="1760">
        <v>79</v>
      </c>
      <c r="X161" s="1760">
        <v>79</v>
      </c>
      <c r="Y161" s="1895">
        <v>79</v>
      </c>
      <c r="Z161" s="1895"/>
      <c r="AA161" s="1760"/>
      <c r="AB161" s="1760">
        <v>89</v>
      </c>
      <c r="AC161" s="1760">
        <v>89</v>
      </c>
      <c r="AD161" s="1760">
        <v>89</v>
      </c>
      <c r="AE161" s="1760"/>
      <c r="AF161" s="1760">
        <v>89</v>
      </c>
      <c r="AG161" s="2044">
        <v>89</v>
      </c>
    </row>
    <row r="162" spans="1:33" ht="18" customHeight="1" thickBot="1">
      <c r="A162" s="2045">
        <v>5</v>
      </c>
      <c r="B162" s="1841" t="s">
        <v>227</v>
      </c>
      <c r="C162" s="1964"/>
      <c r="D162" s="1964" t="s">
        <v>159</v>
      </c>
      <c r="E162" s="1785"/>
      <c r="F162" s="1827"/>
      <c r="G162" s="1827">
        <v>69</v>
      </c>
      <c r="H162" s="1824">
        <v>69</v>
      </c>
      <c r="I162" s="1824">
        <v>69</v>
      </c>
      <c r="J162" s="1824">
        <v>69</v>
      </c>
      <c r="K162" s="1826">
        <v>69</v>
      </c>
      <c r="L162" s="1785"/>
      <c r="M162" s="1785"/>
      <c r="N162" s="1824">
        <v>79</v>
      </c>
      <c r="O162" s="1964">
        <v>79</v>
      </c>
      <c r="P162" s="1826">
        <v>79</v>
      </c>
      <c r="Q162" s="1826">
        <v>79</v>
      </c>
      <c r="R162" s="1790">
        <v>79</v>
      </c>
      <c r="S162" s="1785"/>
      <c r="T162" s="1789"/>
      <c r="U162" s="1964">
        <v>89</v>
      </c>
      <c r="V162" s="1964">
        <v>89</v>
      </c>
      <c r="W162" s="1964">
        <v>89</v>
      </c>
      <c r="X162" s="1964">
        <v>89</v>
      </c>
      <c r="Y162" s="1964">
        <v>89</v>
      </c>
      <c r="Z162" s="1964">
        <v>89</v>
      </c>
      <c r="AA162" s="1827"/>
      <c r="AB162" s="1964">
        <v>99</v>
      </c>
      <c r="AC162" s="1785">
        <v>99</v>
      </c>
      <c r="AD162" s="1785">
        <v>99</v>
      </c>
      <c r="AE162" s="1785"/>
      <c r="AF162" s="1785" t="s">
        <v>46</v>
      </c>
      <c r="AG162" s="2043"/>
    </row>
    <row r="163" spans="1:33" ht="18" customHeight="1">
      <c r="A163" s="117"/>
      <c r="B163" s="125"/>
      <c r="C163" s="126"/>
      <c r="D163" s="126"/>
      <c r="E163" s="126"/>
      <c r="F163" s="116"/>
      <c r="G163" s="124"/>
      <c r="H163" s="124"/>
      <c r="I163" s="124"/>
      <c r="J163" s="124"/>
      <c r="K163" s="124"/>
      <c r="L163" s="116"/>
      <c r="M163" s="116"/>
      <c r="N163" s="126"/>
      <c r="O163" s="126"/>
      <c r="P163" s="126"/>
      <c r="Q163" s="126"/>
      <c r="R163" s="126"/>
      <c r="S163" s="116"/>
      <c r="T163" s="127"/>
      <c r="U163" s="126"/>
      <c r="V163" s="126"/>
      <c r="W163" s="126"/>
      <c r="X163" s="126"/>
      <c r="Y163" s="126"/>
      <c r="Z163" s="128"/>
      <c r="AA163" s="128"/>
      <c r="AB163" s="126"/>
      <c r="AC163" s="126"/>
      <c r="AD163" s="126"/>
      <c r="AE163" s="126"/>
      <c r="AF163" s="126"/>
      <c r="AG163" s="529"/>
    </row>
    <row r="164" spans="1:33" ht="18" customHeight="1">
      <c r="A164" s="67"/>
      <c r="B164" s="68"/>
      <c r="C164" s="64"/>
      <c r="D164" s="64"/>
      <c r="E164" s="64"/>
      <c r="F164" s="64"/>
      <c r="G164" s="64"/>
      <c r="H164" s="64"/>
      <c r="I164" s="64"/>
      <c r="J164" s="64"/>
      <c r="K164" s="64"/>
      <c r="L164" s="64"/>
      <c r="M164" s="64"/>
      <c r="N164" s="64"/>
      <c r="O164" s="64"/>
      <c r="P164" s="64"/>
      <c r="Q164" s="64"/>
      <c r="R164" s="64"/>
      <c r="S164" s="64"/>
      <c r="T164" s="64"/>
      <c r="U164" s="64"/>
      <c r="V164" s="64"/>
      <c r="W164" s="64"/>
      <c r="X164" s="64"/>
      <c r="Y164" s="64"/>
      <c r="Z164" s="64"/>
      <c r="AA164" s="64"/>
      <c r="AB164" s="64"/>
      <c r="AC164" s="64"/>
      <c r="AD164" s="64"/>
      <c r="AE164" s="64"/>
      <c r="AF164" s="64"/>
      <c r="AG164" s="65"/>
    </row>
    <row r="165" spans="1:33" ht="18" customHeight="1" thickBot="1">
      <c r="A165" s="100" t="s">
        <v>228</v>
      </c>
      <c r="B165" s="101"/>
      <c r="C165" s="101"/>
      <c r="D165" s="102"/>
      <c r="E165" s="102"/>
      <c r="F165" s="102"/>
      <c r="G165" s="63"/>
      <c r="H165" s="102"/>
      <c r="I165" s="102"/>
      <c r="J165" s="102"/>
      <c r="K165" s="102"/>
      <c r="L165" s="102"/>
      <c r="M165" s="102"/>
      <c r="N165" s="102"/>
      <c r="O165" s="102"/>
      <c r="P165" s="102"/>
      <c r="Q165" s="102"/>
      <c r="R165" s="102"/>
      <c r="S165" s="102"/>
      <c r="T165" s="102"/>
      <c r="U165" s="102"/>
      <c r="V165" s="102"/>
      <c r="W165" s="102"/>
      <c r="X165" s="102"/>
      <c r="Y165" s="102"/>
      <c r="Z165" s="102"/>
      <c r="AA165" s="102"/>
      <c r="AB165" s="102"/>
      <c r="AC165" s="102"/>
      <c r="AD165" s="102"/>
      <c r="AE165" s="102"/>
      <c r="AF165" s="102"/>
      <c r="AG165" s="101"/>
    </row>
    <row r="166" spans="1:33" ht="18" customHeight="1">
      <c r="A166" s="100"/>
      <c r="B166" s="1573" t="s">
        <v>209</v>
      </c>
      <c r="C166" s="1622"/>
      <c r="D166" s="1623" t="s">
        <v>19</v>
      </c>
      <c r="E166" s="1624"/>
      <c r="F166" s="1625"/>
      <c r="G166" s="1622"/>
      <c r="H166" s="1623" t="s">
        <v>20</v>
      </c>
      <c r="I166" s="1624"/>
      <c r="J166" s="1625"/>
      <c r="K166" s="1622"/>
      <c r="L166" s="1623" t="s">
        <v>21</v>
      </c>
      <c r="M166" s="1624"/>
      <c r="N166" s="1625"/>
      <c r="O166" s="1622"/>
      <c r="P166" s="1623" t="s">
        <v>22</v>
      </c>
      <c r="Q166" s="1624"/>
      <c r="R166" s="1625"/>
      <c r="S166" s="1622"/>
      <c r="T166" s="1623" t="s">
        <v>23</v>
      </c>
      <c r="U166" s="1624"/>
      <c r="V166" s="1625"/>
      <c r="W166" s="1622"/>
      <c r="X166" s="1623" t="s">
        <v>24</v>
      </c>
      <c r="Y166" s="1624"/>
      <c r="Z166" s="1625"/>
      <c r="AA166" s="1622"/>
      <c r="AB166" s="1623" t="s">
        <v>25</v>
      </c>
      <c r="AC166" s="1624"/>
      <c r="AD166" s="1624"/>
      <c r="AE166" s="1626" t="s">
        <v>108</v>
      </c>
      <c r="AF166" s="1624"/>
      <c r="AG166" s="1627"/>
    </row>
    <row r="167" spans="1:33" ht="18" customHeight="1">
      <c r="A167" s="100"/>
      <c r="B167" s="2013" t="s">
        <v>229</v>
      </c>
      <c r="C167" s="1969" t="s">
        <v>230</v>
      </c>
      <c r="D167" s="2015"/>
      <c r="E167" s="2015"/>
      <c r="F167" s="2016"/>
      <c r="G167" s="1969" t="s">
        <v>230</v>
      </c>
      <c r="H167" s="2015"/>
      <c r="I167" s="2015"/>
      <c r="J167" s="2016"/>
      <c r="K167" s="1969" t="s">
        <v>230</v>
      </c>
      <c r="L167" s="2015"/>
      <c r="M167" s="2015"/>
      <c r="N167" s="2016"/>
      <c r="O167" s="1969" t="s">
        <v>231</v>
      </c>
      <c r="P167" s="2015"/>
      <c r="Q167" s="2015"/>
      <c r="R167" s="2016"/>
      <c r="S167" s="1969" t="s">
        <v>232</v>
      </c>
      <c r="T167" s="2015"/>
      <c r="U167" s="2015"/>
      <c r="V167" s="2016"/>
      <c r="W167" s="1969" t="s">
        <v>233</v>
      </c>
      <c r="X167" s="2017"/>
      <c r="Y167" s="2017"/>
      <c r="Z167" s="2018"/>
      <c r="AA167" s="1969" t="s">
        <v>233</v>
      </c>
      <c r="AB167" s="2015"/>
      <c r="AC167" s="2015"/>
      <c r="AD167" s="1968"/>
      <c r="AE167" s="2019">
        <v>68</v>
      </c>
      <c r="AF167" s="530"/>
      <c r="AG167" s="465"/>
    </row>
    <row r="168" spans="1:33" ht="18" customHeight="1">
      <c r="A168" s="100"/>
      <c r="B168" s="2013"/>
      <c r="C168" s="1969" t="s">
        <v>220</v>
      </c>
      <c r="D168" s="2015"/>
      <c r="E168" s="2015"/>
      <c r="F168" s="2016"/>
      <c r="G168" s="1969" t="s">
        <v>220</v>
      </c>
      <c r="H168" s="2015"/>
      <c r="I168" s="2015"/>
      <c r="J168" s="2016"/>
      <c r="K168" s="1969" t="s">
        <v>220</v>
      </c>
      <c r="L168" s="2015"/>
      <c r="M168" s="2015"/>
      <c r="N168" s="2016"/>
      <c r="O168" s="1969" t="s">
        <v>220</v>
      </c>
      <c r="P168" s="2015"/>
      <c r="Q168" s="2015"/>
      <c r="R168" s="2016"/>
      <c r="S168" s="1969" t="s">
        <v>220</v>
      </c>
      <c r="T168" s="2015"/>
      <c r="U168" s="2015"/>
      <c r="V168" s="2016"/>
      <c r="W168" s="1969" t="s">
        <v>220</v>
      </c>
      <c r="X168" s="2015"/>
      <c r="Y168" s="2015"/>
      <c r="Z168" s="2016"/>
      <c r="AA168" s="2015" t="s">
        <v>220</v>
      </c>
      <c r="AB168" s="2015"/>
      <c r="AC168" s="2015"/>
      <c r="AD168" s="1968"/>
      <c r="AE168" s="2019">
        <v>0</v>
      </c>
      <c r="AF168" s="530"/>
      <c r="AG168" s="465"/>
    </row>
    <row r="169" spans="1:33" ht="18" customHeight="1">
      <c r="A169" s="100"/>
      <c r="B169" s="2013" t="s">
        <v>234</v>
      </c>
      <c r="C169" s="1969" t="s">
        <v>231</v>
      </c>
      <c r="D169" s="2015"/>
      <c r="E169" s="2015"/>
      <c r="F169" s="2016"/>
      <c r="G169" s="1969" t="s">
        <v>231</v>
      </c>
      <c r="H169" s="2015"/>
      <c r="I169" s="2015"/>
      <c r="J169" s="2016"/>
      <c r="K169" s="1969" t="s">
        <v>231</v>
      </c>
      <c r="L169" s="2015"/>
      <c r="M169" s="2015"/>
      <c r="N169" s="2016"/>
      <c r="O169" s="1969" t="s">
        <v>230</v>
      </c>
      <c r="P169" s="2015"/>
      <c r="Q169" s="2015"/>
      <c r="R169" s="2016"/>
      <c r="S169" s="1969" t="s">
        <v>230</v>
      </c>
      <c r="T169" s="2015"/>
      <c r="U169" s="2015"/>
      <c r="V169" s="2016"/>
      <c r="W169" s="1969" t="s">
        <v>232</v>
      </c>
      <c r="X169" s="2017"/>
      <c r="Y169" s="2017"/>
      <c r="Z169" s="2018"/>
      <c r="AA169" s="1969" t="s">
        <v>232</v>
      </c>
      <c r="AB169" s="2015"/>
      <c r="AC169" s="2015"/>
      <c r="AD169" s="1968"/>
      <c r="AE169" s="2019">
        <v>68</v>
      </c>
      <c r="AF169" s="2015"/>
      <c r="AG169" s="2020"/>
    </row>
    <row r="170" spans="1:33" ht="18" customHeight="1">
      <c r="A170" s="100"/>
      <c r="B170" s="2013"/>
      <c r="C170" s="1969" t="s">
        <v>220</v>
      </c>
      <c r="D170" s="2015"/>
      <c r="E170" s="2015"/>
      <c r="F170" s="2016"/>
      <c r="G170" s="1969" t="s">
        <v>220</v>
      </c>
      <c r="H170" s="2015"/>
      <c r="I170" s="2015"/>
      <c r="J170" s="2016"/>
      <c r="K170" s="1969" t="s">
        <v>220</v>
      </c>
      <c r="L170" s="2015"/>
      <c r="M170" s="2015"/>
      <c r="N170" s="2016"/>
      <c r="O170" s="1969" t="s">
        <v>220</v>
      </c>
      <c r="P170" s="2015"/>
      <c r="Q170" s="2015"/>
      <c r="R170" s="2016"/>
      <c r="S170" s="1969" t="s">
        <v>220</v>
      </c>
      <c r="T170" s="2015"/>
      <c r="U170" s="2015"/>
      <c r="V170" s="2016"/>
      <c r="W170" s="1969" t="s">
        <v>220</v>
      </c>
      <c r="X170" s="2015"/>
      <c r="Y170" s="2015"/>
      <c r="Z170" s="2016"/>
      <c r="AA170" s="2015" t="s">
        <v>220</v>
      </c>
      <c r="AB170" s="2015"/>
      <c r="AC170" s="2015"/>
      <c r="AD170" s="1968"/>
      <c r="AE170" s="2019">
        <v>0</v>
      </c>
      <c r="AF170" s="2015"/>
      <c r="AG170" s="2020"/>
    </row>
    <row r="171" spans="1:33" ht="18" customHeight="1">
      <c r="A171" s="100"/>
      <c r="B171" s="2013" t="s">
        <v>235</v>
      </c>
      <c r="C171" s="1969" t="s">
        <v>230</v>
      </c>
      <c r="D171" s="2015"/>
      <c r="E171" s="2015"/>
      <c r="F171" s="2016"/>
      <c r="G171" s="1969" t="s">
        <v>230</v>
      </c>
      <c r="H171" s="2015"/>
      <c r="I171" s="2015"/>
      <c r="J171" s="2016"/>
      <c r="K171" s="1969" t="s">
        <v>230</v>
      </c>
      <c r="L171" s="2015"/>
      <c r="M171" s="2015"/>
      <c r="N171" s="2016"/>
      <c r="O171" s="1969" t="s">
        <v>230</v>
      </c>
      <c r="P171" s="2015"/>
      <c r="Q171" s="2015"/>
      <c r="R171" s="2016"/>
      <c r="S171" s="1969" t="s">
        <v>230</v>
      </c>
      <c r="T171" s="2015"/>
      <c r="U171" s="2015"/>
      <c r="V171" s="2016"/>
      <c r="W171" s="1969" t="s">
        <v>236</v>
      </c>
      <c r="X171" s="2022"/>
      <c r="Y171" s="2022"/>
      <c r="Z171" s="1970"/>
      <c r="AA171" s="1969" t="s">
        <v>236</v>
      </c>
      <c r="AB171" s="2022"/>
      <c r="AC171" s="2022"/>
      <c r="AD171" s="1972"/>
      <c r="AE171" s="2019">
        <v>68</v>
      </c>
      <c r="AF171" s="2015"/>
      <c r="AG171" s="2020"/>
    </row>
    <row r="172" spans="1:33" ht="18" customHeight="1" thickBot="1">
      <c r="A172" s="100"/>
      <c r="B172" s="2013"/>
      <c r="C172" s="2046" t="s">
        <v>220</v>
      </c>
      <c r="D172" s="2047"/>
      <c r="E172" s="2047"/>
      <c r="F172" s="2048"/>
      <c r="G172" s="2046" t="s">
        <v>220</v>
      </c>
      <c r="H172" s="2047"/>
      <c r="I172" s="2047"/>
      <c r="J172" s="2048"/>
      <c r="K172" s="2046" t="s">
        <v>220</v>
      </c>
      <c r="L172" s="2047"/>
      <c r="M172" s="2047"/>
      <c r="N172" s="2048"/>
      <c r="O172" s="2046" t="s">
        <v>220</v>
      </c>
      <c r="P172" s="2047"/>
      <c r="Q172" s="2047"/>
      <c r="R172" s="2048"/>
      <c r="S172" s="2046" t="s">
        <v>220</v>
      </c>
      <c r="T172" s="2047"/>
      <c r="U172" s="2047"/>
      <c r="V172" s="2049"/>
      <c r="W172" s="2046" t="s">
        <v>220</v>
      </c>
      <c r="X172" s="2049"/>
      <c r="Y172" s="2047"/>
      <c r="Z172" s="2048"/>
      <c r="AA172" s="2046" t="s">
        <v>220</v>
      </c>
      <c r="AB172" s="2049"/>
      <c r="AC172" s="2047"/>
      <c r="AD172" s="2048"/>
      <c r="AE172" s="2050"/>
      <c r="AF172" s="2047"/>
      <c r="AG172" s="2033"/>
    </row>
    <row r="173" spans="1:33" ht="18" customHeight="1" thickBot="1">
      <c r="A173" s="66"/>
      <c r="B173" s="100"/>
      <c r="C173" s="102"/>
      <c r="D173" s="102"/>
      <c r="E173" s="102"/>
      <c r="F173" s="102"/>
      <c r="G173" s="102"/>
      <c r="H173" s="102"/>
      <c r="I173" s="102"/>
      <c r="J173" s="102"/>
      <c r="K173" s="102"/>
      <c r="L173" s="102"/>
      <c r="M173" s="102"/>
      <c r="N173" s="102"/>
      <c r="O173" s="102"/>
      <c r="P173" s="102"/>
      <c r="Q173" s="102"/>
      <c r="R173" s="102"/>
      <c r="S173" s="102"/>
      <c r="T173" s="102"/>
      <c r="U173" s="102"/>
      <c r="V173" s="102"/>
      <c r="W173" s="102"/>
      <c r="X173" s="102"/>
      <c r="Y173" s="102"/>
      <c r="Z173" s="102"/>
      <c r="AA173" s="102"/>
      <c r="AB173" s="102"/>
      <c r="AC173" s="102"/>
      <c r="AD173" s="102"/>
      <c r="AE173" s="102"/>
      <c r="AF173" s="102"/>
      <c r="AG173" s="101"/>
    </row>
    <row r="174" spans="1:33" ht="18" customHeight="1" thickBot="1">
      <c r="A174" s="2009"/>
      <c r="B174" s="1572" t="s">
        <v>38</v>
      </c>
      <c r="C174" s="1580">
        <v>1</v>
      </c>
      <c r="D174" s="1578">
        <v>2</v>
      </c>
      <c r="E174" s="1580">
        <v>3</v>
      </c>
      <c r="F174" s="1580">
        <v>4</v>
      </c>
      <c r="G174" s="1578">
        <v>5</v>
      </c>
      <c r="H174" s="1578">
        <v>6</v>
      </c>
      <c r="I174" s="1578">
        <v>7</v>
      </c>
      <c r="J174" s="1578">
        <v>8</v>
      </c>
      <c r="K174" s="1578">
        <v>9</v>
      </c>
      <c r="L174" s="1580">
        <v>10</v>
      </c>
      <c r="M174" s="1580">
        <v>11</v>
      </c>
      <c r="N174" s="1578">
        <v>12</v>
      </c>
      <c r="O174" s="1578">
        <v>13</v>
      </c>
      <c r="P174" s="1578">
        <v>14</v>
      </c>
      <c r="Q174" s="1578">
        <v>15</v>
      </c>
      <c r="R174" s="1578">
        <v>16</v>
      </c>
      <c r="S174" s="1580">
        <v>17</v>
      </c>
      <c r="T174" s="1580">
        <v>18</v>
      </c>
      <c r="U174" s="1578">
        <v>19</v>
      </c>
      <c r="V174" s="1578">
        <v>20</v>
      </c>
      <c r="W174" s="1578">
        <v>21</v>
      </c>
      <c r="X174" s="1578">
        <v>22</v>
      </c>
      <c r="Y174" s="1578">
        <v>23</v>
      </c>
      <c r="Z174" s="1580">
        <v>24</v>
      </c>
      <c r="AA174" s="1580">
        <v>25</v>
      </c>
      <c r="AB174" s="1578">
        <v>26</v>
      </c>
      <c r="AC174" s="1578">
        <v>27</v>
      </c>
      <c r="AD174" s="1578">
        <v>28</v>
      </c>
      <c r="AE174" s="1580">
        <v>29</v>
      </c>
      <c r="AF174" s="1578">
        <v>30</v>
      </c>
      <c r="AG174" s="1580">
        <v>31</v>
      </c>
    </row>
    <row r="175" spans="1:33" ht="18" customHeight="1">
      <c r="A175" s="2051">
        <v>1</v>
      </c>
      <c r="B175" s="2052" t="s">
        <v>237</v>
      </c>
      <c r="C175" s="1989" t="s">
        <v>46</v>
      </c>
      <c r="D175" s="1631" t="s">
        <v>46</v>
      </c>
      <c r="E175" s="1631"/>
      <c r="F175" s="1631"/>
      <c r="G175" s="2053">
        <v>23</v>
      </c>
      <c r="H175" s="2053">
        <v>23</v>
      </c>
      <c r="I175" s="1915">
        <v>23</v>
      </c>
      <c r="J175" s="1989">
        <v>23</v>
      </c>
      <c r="K175" s="1632">
        <v>23</v>
      </c>
      <c r="L175" s="1632">
        <v>23</v>
      </c>
      <c r="M175" s="1632">
        <v>23</v>
      </c>
      <c r="N175" s="1631" t="s">
        <v>46</v>
      </c>
      <c r="O175" s="1631" t="s">
        <v>46</v>
      </c>
      <c r="P175" s="1631" t="s">
        <v>46</v>
      </c>
      <c r="Q175" s="1631" t="s">
        <v>46</v>
      </c>
      <c r="R175" s="1631" t="s">
        <v>46</v>
      </c>
      <c r="S175" s="1631"/>
      <c r="T175" s="1631"/>
      <c r="U175" s="1631">
        <v>21</v>
      </c>
      <c r="V175" s="1989">
        <v>21</v>
      </c>
      <c r="W175" s="1989">
        <v>21</v>
      </c>
      <c r="X175" s="1989">
        <v>21</v>
      </c>
      <c r="Y175" s="1989">
        <v>21</v>
      </c>
      <c r="Z175" s="1989">
        <v>21</v>
      </c>
      <c r="AA175" s="1989">
        <v>21</v>
      </c>
      <c r="AB175" s="1989" t="s">
        <v>46</v>
      </c>
      <c r="AC175" s="1633" t="s">
        <v>46</v>
      </c>
      <c r="AD175" s="1633" t="s">
        <v>46</v>
      </c>
      <c r="AE175" s="1633" t="s">
        <v>46</v>
      </c>
      <c r="AF175" s="1989" t="s">
        <v>46</v>
      </c>
      <c r="AG175" s="1989" t="s">
        <v>46</v>
      </c>
    </row>
    <row r="176" spans="1:33" ht="18" customHeight="1">
      <c r="A176" s="2054">
        <v>2</v>
      </c>
      <c r="B176" s="2052" t="s">
        <v>238</v>
      </c>
      <c r="C176" s="1909" t="s">
        <v>46</v>
      </c>
      <c r="D176" s="1909" t="s">
        <v>46</v>
      </c>
      <c r="E176" s="1902"/>
      <c r="F176" s="1928"/>
      <c r="G176" s="1898">
        <v>21</v>
      </c>
      <c r="H176" s="1898">
        <v>21</v>
      </c>
      <c r="I176" s="1898">
        <v>21</v>
      </c>
      <c r="J176" s="1898">
        <v>21</v>
      </c>
      <c r="K176" s="1898">
        <v>21</v>
      </c>
      <c r="L176" s="1898">
        <v>21</v>
      </c>
      <c r="M176" s="1898">
        <v>21</v>
      </c>
      <c r="N176" s="1898" t="s">
        <v>46</v>
      </c>
      <c r="O176" s="1898" t="s">
        <v>46</v>
      </c>
      <c r="P176" s="1898" t="s">
        <v>46</v>
      </c>
      <c r="Q176" s="1898" t="s">
        <v>46</v>
      </c>
      <c r="R176" s="1898" t="s">
        <v>46</v>
      </c>
      <c r="S176" s="1898"/>
      <c r="T176" s="1898"/>
      <c r="U176" s="1898">
        <v>22</v>
      </c>
      <c r="V176" s="1898">
        <v>22</v>
      </c>
      <c r="W176" s="1898">
        <v>22</v>
      </c>
      <c r="X176" s="1898">
        <v>22</v>
      </c>
      <c r="Y176" s="1898">
        <v>22</v>
      </c>
      <c r="Z176" s="1898">
        <v>22</v>
      </c>
      <c r="AA176" s="1898">
        <v>22</v>
      </c>
      <c r="AB176" s="1909" t="s">
        <v>46</v>
      </c>
      <c r="AC176" s="1928" t="s">
        <v>46</v>
      </c>
      <c r="AD176" s="1928" t="s">
        <v>46</v>
      </c>
      <c r="AE176" s="1928" t="s">
        <v>46</v>
      </c>
      <c r="AF176" s="1928" t="s">
        <v>46</v>
      </c>
      <c r="AG176" s="1928" t="s">
        <v>46</v>
      </c>
    </row>
    <row r="177" spans="1:33" ht="18" customHeight="1">
      <c r="A177" s="2054">
        <v>3</v>
      </c>
      <c r="B177" s="2052" t="s">
        <v>239</v>
      </c>
      <c r="C177" s="1909" t="s">
        <v>46</v>
      </c>
      <c r="D177" s="1944" t="s">
        <v>46</v>
      </c>
      <c r="E177" s="1944"/>
      <c r="F177" s="1944"/>
      <c r="G177" s="1944">
        <v>22</v>
      </c>
      <c r="H177" s="1916">
        <v>22</v>
      </c>
      <c r="I177" s="1909">
        <v>22</v>
      </c>
      <c r="J177" s="1909">
        <v>22</v>
      </c>
      <c r="K177" s="2002">
        <v>22</v>
      </c>
      <c r="L177" s="2002">
        <v>22</v>
      </c>
      <c r="M177" s="2002">
        <v>22</v>
      </c>
      <c r="N177" s="1944" t="s">
        <v>46</v>
      </c>
      <c r="O177" s="1944" t="s">
        <v>46</v>
      </c>
      <c r="P177" s="1944" t="s">
        <v>46</v>
      </c>
      <c r="Q177" s="1944" t="s">
        <v>46</v>
      </c>
      <c r="R177" s="1909" t="s">
        <v>46</v>
      </c>
      <c r="S177" s="1902"/>
      <c r="T177" s="1909"/>
      <c r="U177" s="1909">
        <v>23</v>
      </c>
      <c r="V177" s="1909">
        <v>23</v>
      </c>
      <c r="W177" s="1909">
        <v>23</v>
      </c>
      <c r="X177" s="1909">
        <v>23</v>
      </c>
      <c r="Y177" s="1909">
        <v>23</v>
      </c>
      <c r="Z177" s="1909">
        <v>23</v>
      </c>
      <c r="AA177" s="1909">
        <v>23</v>
      </c>
      <c r="AB177" s="1898" t="s">
        <v>46</v>
      </c>
      <c r="AC177" s="1898" t="s">
        <v>46</v>
      </c>
      <c r="AD177" s="1898" t="s">
        <v>46</v>
      </c>
      <c r="AE177" s="1898" t="s">
        <v>46</v>
      </c>
      <c r="AF177" s="1898" t="s">
        <v>46</v>
      </c>
      <c r="AG177" s="1898" t="s">
        <v>46</v>
      </c>
    </row>
    <row r="178" spans="1:33" ht="18" customHeight="1">
      <c r="A178" s="2054">
        <v>4</v>
      </c>
      <c r="B178" s="2052" t="s">
        <v>240</v>
      </c>
      <c r="C178" s="1909">
        <v>22</v>
      </c>
      <c r="D178" s="2002">
        <v>22</v>
      </c>
      <c r="E178" s="2002">
        <v>22</v>
      </c>
      <c r="F178" s="2002">
        <v>22</v>
      </c>
      <c r="G178" s="1944" t="s">
        <v>46</v>
      </c>
      <c r="H178" s="1944" t="s">
        <v>46</v>
      </c>
      <c r="I178" s="1944" t="s">
        <v>46</v>
      </c>
      <c r="J178" s="1944" t="s">
        <v>46</v>
      </c>
      <c r="K178" s="1916" t="s">
        <v>46</v>
      </c>
      <c r="L178" s="1944"/>
      <c r="M178" s="1944"/>
      <c r="N178" s="1944">
        <v>23</v>
      </c>
      <c r="O178" s="1944">
        <v>23</v>
      </c>
      <c r="P178" s="1909">
        <v>23</v>
      </c>
      <c r="Q178" s="1909">
        <v>23</v>
      </c>
      <c r="R178" s="1924">
        <v>23</v>
      </c>
      <c r="S178" s="1924" t="s">
        <v>241</v>
      </c>
      <c r="T178" s="1916">
        <v>23</v>
      </c>
      <c r="U178" s="1928" t="s">
        <v>46</v>
      </c>
      <c r="V178" s="1928" t="s">
        <v>46</v>
      </c>
      <c r="W178" s="1902" t="s">
        <v>46</v>
      </c>
      <c r="X178" s="1909" t="s">
        <v>46</v>
      </c>
      <c r="Y178" s="1944" t="s">
        <v>46</v>
      </c>
      <c r="Z178" s="1944"/>
      <c r="AA178" s="1944"/>
      <c r="AB178" s="1944">
        <v>21</v>
      </c>
      <c r="AC178" s="1909">
        <v>21</v>
      </c>
      <c r="AD178" s="1909">
        <v>21</v>
      </c>
      <c r="AE178" s="1984">
        <v>21</v>
      </c>
      <c r="AF178" s="1984">
        <v>21</v>
      </c>
      <c r="AG178" s="1909">
        <v>21</v>
      </c>
    </row>
    <row r="179" spans="1:33" ht="18" customHeight="1">
      <c r="A179" s="2054">
        <v>5</v>
      </c>
      <c r="B179" s="2052" t="s">
        <v>242</v>
      </c>
      <c r="C179" s="1944">
        <v>23</v>
      </c>
      <c r="D179" s="1920">
        <v>23</v>
      </c>
      <c r="E179" s="1920">
        <v>23</v>
      </c>
      <c r="F179" s="1920">
        <v>23</v>
      </c>
      <c r="G179" s="1920" t="s">
        <v>46</v>
      </c>
      <c r="H179" s="1920" t="s">
        <v>46</v>
      </c>
      <c r="I179" s="1920" t="s">
        <v>46</v>
      </c>
      <c r="J179" s="1920" t="s">
        <v>46</v>
      </c>
      <c r="K179" s="1909" t="s">
        <v>46</v>
      </c>
      <c r="L179" s="1902"/>
      <c r="M179" s="1909"/>
      <c r="N179" s="1909">
        <v>21</v>
      </c>
      <c r="O179" s="1916">
        <v>21</v>
      </c>
      <c r="P179" s="1984">
        <v>21</v>
      </c>
      <c r="Q179" s="1984">
        <v>21</v>
      </c>
      <c r="R179" s="1984">
        <v>21</v>
      </c>
      <c r="S179" s="1984">
        <v>21</v>
      </c>
      <c r="T179" s="1984">
        <v>21</v>
      </c>
      <c r="U179" s="1928" t="s">
        <v>46</v>
      </c>
      <c r="V179" s="1928" t="s">
        <v>46</v>
      </c>
      <c r="W179" s="1902" t="s">
        <v>46</v>
      </c>
      <c r="X179" s="1909" t="s">
        <v>46</v>
      </c>
      <c r="Y179" s="1909" t="s">
        <v>46</v>
      </c>
      <c r="Z179" s="1902"/>
      <c r="AA179" s="1928"/>
      <c r="AB179" s="1928">
        <v>22</v>
      </c>
      <c r="AC179" s="1928">
        <v>22</v>
      </c>
      <c r="AD179" s="1928">
        <v>22</v>
      </c>
      <c r="AE179" s="1909">
        <v>22</v>
      </c>
      <c r="AF179" s="1909">
        <v>22</v>
      </c>
      <c r="AG179" s="1909">
        <v>22</v>
      </c>
    </row>
    <row r="180" spans="1:33" ht="18" customHeight="1" thickBot="1">
      <c r="A180" s="2055">
        <v>6</v>
      </c>
      <c r="B180" s="2052" t="s">
        <v>243</v>
      </c>
      <c r="C180" s="1586">
        <v>21</v>
      </c>
      <c r="D180" s="1995">
        <v>21</v>
      </c>
      <c r="E180" s="1995">
        <v>21</v>
      </c>
      <c r="F180" s="1995">
        <v>21</v>
      </c>
      <c r="G180" s="1635" t="s">
        <v>46</v>
      </c>
      <c r="H180" s="1635" t="s">
        <v>46</v>
      </c>
      <c r="I180" s="1635" t="s">
        <v>46</v>
      </c>
      <c r="J180" s="1635" t="s">
        <v>46</v>
      </c>
      <c r="K180" s="1635" t="s">
        <v>46</v>
      </c>
      <c r="L180" s="1635"/>
      <c r="M180" s="1635"/>
      <c r="N180" s="1586">
        <v>22</v>
      </c>
      <c r="O180" s="1586">
        <v>22</v>
      </c>
      <c r="P180" s="1586">
        <v>22</v>
      </c>
      <c r="Q180" s="1586">
        <v>22</v>
      </c>
      <c r="R180" s="1636">
        <v>22</v>
      </c>
      <c r="S180" s="1636">
        <v>22</v>
      </c>
      <c r="T180" s="1586">
        <v>22</v>
      </c>
      <c r="U180" s="1956" t="s">
        <v>46</v>
      </c>
      <c r="V180" s="1956" t="s">
        <v>46</v>
      </c>
      <c r="W180" s="1957" t="s">
        <v>46</v>
      </c>
      <c r="X180" s="1586" t="s">
        <v>46</v>
      </c>
      <c r="Y180" s="1586" t="s">
        <v>46</v>
      </c>
      <c r="Z180" s="1957"/>
      <c r="AA180" s="1586"/>
      <c r="AB180" s="1586">
        <v>23</v>
      </c>
      <c r="AC180" s="1586">
        <v>23</v>
      </c>
      <c r="AD180" s="1586">
        <v>23</v>
      </c>
      <c r="AE180" s="1586">
        <v>23</v>
      </c>
      <c r="AF180" s="1586">
        <v>23</v>
      </c>
      <c r="AG180" s="1586">
        <v>23</v>
      </c>
    </row>
    <row r="181" spans="1:33" ht="18" customHeight="1">
      <c r="A181" s="117"/>
      <c r="B181" s="115"/>
      <c r="C181" s="116"/>
      <c r="D181" s="116"/>
      <c r="E181" s="124"/>
      <c r="F181" s="116"/>
      <c r="G181" s="116"/>
      <c r="H181" s="129"/>
      <c r="I181" s="129"/>
      <c r="J181" s="129"/>
      <c r="K181" s="129"/>
      <c r="L181" s="129"/>
      <c r="M181" s="129"/>
      <c r="N181" s="113"/>
      <c r="O181" s="113"/>
      <c r="P181" s="124"/>
      <c r="Q181" s="116"/>
      <c r="R181" s="116"/>
      <c r="S181" s="124"/>
      <c r="T181" s="116"/>
      <c r="U181" s="116"/>
      <c r="V181" s="116"/>
      <c r="W181" s="116"/>
      <c r="X181" s="116"/>
      <c r="Y181" s="116"/>
      <c r="Z181" s="116"/>
      <c r="AA181" s="116"/>
      <c r="AB181" s="113"/>
      <c r="AC181" s="113"/>
      <c r="AD181" s="124"/>
      <c r="AE181" s="116"/>
      <c r="AF181" s="116"/>
      <c r="AG181" s="65"/>
    </row>
    <row r="182" spans="1:33" ht="18" customHeight="1">
      <c r="A182" s="67"/>
      <c r="B182" s="68"/>
      <c r="C182" s="108"/>
      <c r="D182" s="108"/>
      <c r="E182" s="99"/>
      <c r="F182" s="108"/>
      <c r="G182" s="108"/>
      <c r="H182" s="108"/>
      <c r="I182" s="108"/>
      <c r="J182" s="108"/>
      <c r="K182" s="108"/>
      <c r="L182" s="108"/>
      <c r="M182" s="108"/>
      <c r="N182" s="108"/>
      <c r="O182" s="108"/>
      <c r="P182" s="99"/>
      <c r="Q182" s="108"/>
      <c r="R182" s="108"/>
      <c r="S182" s="99"/>
      <c r="T182" s="108"/>
      <c r="U182" s="108"/>
      <c r="V182" s="108"/>
      <c r="W182" s="108"/>
      <c r="X182" s="108"/>
      <c r="Y182" s="108"/>
      <c r="Z182" s="108"/>
      <c r="AA182" s="108"/>
      <c r="AB182" s="108"/>
      <c r="AC182" s="109"/>
      <c r="AD182" s="109"/>
      <c r="AE182" s="109"/>
      <c r="AF182" s="108"/>
      <c r="AG182" s="65"/>
    </row>
    <row r="183" spans="1:33" ht="18" customHeight="1" thickBot="1">
      <c r="A183" s="96" t="s">
        <v>244</v>
      </c>
      <c r="D183" s="48"/>
      <c r="E183" s="48"/>
      <c r="F183" s="48"/>
      <c r="G183" s="63"/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48"/>
      <c r="S183" s="48"/>
      <c r="T183" s="48"/>
      <c r="U183" s="48"/>
      <c r="V183" s="48"/>
      <c r="W183" s="48"/>
      <c r="X183" s="48"/>
      <c r="Y183" s="48"/>
      <c r="Z183" s="48"/>
      <c r="AA183" s="48"/>
      <c r="AB183" s="48"/>
      <c r="AC183" s="48"/>
      <c r="AD183" s="48"/>
      <c r="AE183" s="48"/>
      <c r="AF183" s="48"/>
    </row>
    <row r="184" spans="1:33" ht="18" customHeight="1">
      <c r="A184" s="1"/>
      <c r="B184" s="1573" t="s">
        <v>209</v>
      </c>
      <c r="C184" s="1609"/>
      <c r="D184" s="1623" t="s">
        <v>19</v>
      </c>
      <c r="E184" s="1643"/>
      <c r="F184" s="1613"/>
      <c r="G184" s="1609"/>
      <c r="H184" s="1623" t="s">
        <v>20</v>
      </c>
      <c r="I184" s="1643"/>
      <c r="J184" s="1613"/>
      <c r="K184" s="1609"/>
      <c r="L184" s="1623" t="s">
        <v>21</v>
      </c>
      <c r="M184" s="1643"/>
      <c r="N184" s="1613"/>
      <c r="O184" s="1609"/>
      <c r="P184" s="1623" t="s">
        <v>22</v>
      </c>
      <c r="Q184" s="1643"/>
      <c r="R184" s="1613"/>
      <c r="S184" s="1609"/>
      <c r="T184" s="1623" t="s">
        <v>23</v>
      </c>
      <c r="U184" s="1643"/>
      <c r="V184" s="1613"/>
      <c r="W184" s="1609"/>
      <c r="X184" s="1623" t="s">
        <v>24</v>
      </c>
      <c r="Y184" s="1643"/>
      <c r="Z184" s="1613"/>
      <c r="AA184" s="1609"/>
      <c r="AB184" s="1623" t="s">
        <v>25</v>
      </c>
      <c r="AC184" s="1643"/>
      <c r="AD184" s="1643"/>
      <c r="AE184" s="1626" t="s">
        <v>108</v>
      </c>
      <c r="AF184" s="1643"/>
      <c r="AG184" s="1637"/>
    </row>
    <row r="185" spans="1:33" ht="18" customHeight="1">
      <c r="A185" s="1"/>
      <c r="B185" s="2013" t="s">
        <v>210</v>
      </c>
      <c r="C185" s="1969" t="s">
        <v>211</v>
      </c>
      <c r="D185" s="1703"/>
      <c r="E185" s="1703"/>
      <c r="F185" s="2016"/>
      <c r="G185" s="1969" t="s">
        <v>211</v>
      </c>
      <c r="H185" s="1703"/>
      <c r="I185" s="1703"/>
      <c r="J185" s="2016"/>
      <c r="K185" s="1969" t="s">
        <v>211</v>
      </c>
      <c r="L185" s="1703"/>
      <c r="M185" s="1703"/>
      <c r="N185" s="2016"/>
      <c r="O185" s="1969" t="s">
        <v>245</v>
      </c>
      <c r="P185" s="1703"/>
      <c r="Q185" s="1703"/>
      <c r="R185" s="2016"/>
      <c r="S185" s="1969" t="s">
        <v>220</v>
      </c>
      <c r="T185" s="1703"/>
      <c r="U185" s="1703"/>
      <c r="V185" s="2016"/>
      <c r="W185" s="2056"/>
      <c r="X185" s="2057"/>
      <c r="Y185" s="2057"/>
      <c r="Z185" s="2018"/>
      <c r="AA185" s="2014"/>
      <c r="AB185" s="1703"/>
      <c r="AC185" s="1703"/>
      <c r="AD185" s="1968"/>
      <c r="AE185" s="2019">
        <v>27</v>
      </c>
      <c r="AF185" s="1703"/>
      <c r="AG185" s="2058"/>
    </row>
    <row r="186" spans="1:33" ht="18" customHeight="1">
      <c r="A186" s="1"/>
      <c r="B186" s="2013" t="s">
        <v>212</v>
      </c>
      <c r="C186" s="1969" t="s">
        <v>246</v>
      </c>
      <c r="D186" s="1703"/>
      <c r="E186" s="1703"/>
      <c r="F186" s="2016"/>
      <c r="G186" s="1969" t="s">
        <v>246</v>
      </c>
      <c r="H186" s="1703"/>
      <c r="I186" s="1703"/>
      <c r="J186" s="2016"/>
      <c r="K186" s="1969" t="s">
        <v>246</v>
      </c>
      <c r="L186" s="1703"/>
      <c r="M186" s="1703"/>
      <c r="N186" s="2016"/>
      <c r="O186" s="1969" t="s">
        <v>246</v>
      </c>
      <c r="P186" s="1703"/>
      <c r="Q186" s="1703"/>
      <c r="R186" s="2016"/>
      <c r="S186" s="1969" t="s">
        <v>211</v>
      </c>
      <c r="T186" s="1703"/>
      <c r="U186" s="1703"/>
      <c r="V186" s="2016"/>
      <c r="W186" s="1969"/>
      <c r="X186" s="1703"/>
      <c r="Y186" s="1703"/>
      <c r="Z186" s="2016"/>
      <c r="AA186" s="1703"/>
      <c r="AB186" s="1703"/>
      <c r="AC186" s="1703"/>
      <c r="AD186" s="1968"/>
      <c r="AE186" s="2019">
        <v>39</v>
      </c>
      <c r="AF186" s="1703"/>
      <c r="AG186" s="2058"/>
    </row>
    <row r="187" spans="1:33" ht="18" customHeight="1">
      <c r="A187" s="1"/>
      <c r="B187" s="2013" t="s">
        <v>214</v>
      </c>
      <c r="C187" s="1969" t="s">
        <v>246</v>
      </c>
      <c r="D187" s="1703"/>
      <c r="E187" s="1703"/>
      <c r="F187" s="2016"/>
      <c r="G187" s="1969" t="s">
        <v>246</v>
      </c>
      <c r="H187" s="1703"/>
      <c r="I187" s="1703"/>
      <c r="J187" s="2016"/>
      <c r="K187" s="1969" t="s">
        <v>246</v>
      </c>
      <c r="L187" s="1703"/>
      <c r="M187" s="1703"/>
      <c r="N187" s="2016"/>
      <c r="O187" s="1969" t="s">
        <v>246</v>
      </c>
      <c r="P187" s="1703"/>
      <c r="Q187" s="1703"/>
      <c r="R187" s="2016"/>
      <c r="S187" s="1969" t="s">
        <v>246</v>
      </c>
      <c r="T187" s="1703"/>
      <c r="U187" s="1703"/>
      <c r="V187" s="2016"/>
      <c r="W187" s="1971" t="s">
        <v>217</v>
      </c>
      <c r="X187" s="1798"/>
      <c r="Y187" s="1798"/>
      <c r="Z187" s="1970"/>
      <c r="AA187" s="2021"/>
      <c r="AB187" s="1798"/>
      <c r="AC187" s="1798"/>
      <c r="AD187" s="1972"/>
      <c r="AE187" s="2019">
        <v>45</v>
      </c>
      <c r="AF187" s="1703"/>
      <c r="AG187" s="2058"/>
    </row>
    <row r="188" spans="1:33" ht="18" customHeight="1" thickBot="1">
      <c r="A188" s="1"/>
      <c r="B188" s="1484" t="s">
        <v>218</v>
      </c>
      <c r="C188" s="2046"/>
      <c r="D188" s="1810"/>
      <c r="E188" s="1810"/>
      <c r="F188" s="2048"/>
      <c r="G188" s="2046"/>
      <c r="H188" s="1810"/>
      <c r="I188" s="1810"/>
      <c r="J188" s="2048"/>
      <c r="K188" s="2046"/>
      <c r="L188" s="1810"/>
      <c r="M188" s="1810"/>
      <c r="N188" s="2048"/>
      <c r="O188" s="2046"/>
      <c r="P188" s="1810"/>
      <c r="Q188" s="1810"/>
      <c r="R188" s="2048"/>
      <c r="S188" s="2046"/>
      <c r="T188" s="1810"/>
      <c r="U188" s="1810"/>
      <c r="V188" s="2049"/>
      <c r="W188" s="2046"/>
      <c r="X188" s="2049"/>
      <c r="Y188" s="1810"/>
      <c r="Z188" s="2048"/>
      <c r="AA188" s="2046"/>
      <c r="AB188" s="2049"/>
      <c r="AC188" s="1810"/>
      <c r="AD188" s="2048"/>
      <c r="AE188" s="2059"/>
      <c r="AF188" s="1810"/>
      <c r="AG188" s="2060"/>
    </row>
    <row r="189" spans="1:33" ht="18" customHeight="1" thickBot="1">
      <c r="A189" s="66"/>
      <c r="B189" s="1"/>
      <c r="C189" s="48"/>
      <c r="D189" s="48"/>
      <c r="E189" s="48"/>
      <c r="F189" s="48"/>
      <c r="G189" s="48"/>
      <c r="H189" s="48"/>
      <c r="I189" s="48"/>
      <c r="J189" s="48"/>
      <c r="K189" s="48"/>
      <c r="L189" s="48"/>
      <c r="M189" s="48"/>
      <c r="N189" s="48"/>
      <c r="O189" s="48"/>
      <c r="P189" s="48"/>
      <c r="Q189" s="48"/>
      <c r="R189" s="48"/>
      <c r="S189" s="48"/>
      <c r="T189" s="48"/>
      <c r="U189" s="48"/>
      <c r="V189" s="48"/>
      <c r="W189" s="48"/>
      <c r="X189" s="48"/>
      <c r="Y189" s="48"/>
      <c r="Z189" s="48"/>
      <c r="AA189" s="48"/>
      <c r="AB189" s="48"/>
      <c r="AC189" s="48"/>
      <c r="AD189" s="48"/>
      <c r="AE189" s="48"/>
      <c r="AF189" s="48"/>
    </row>
    <row r="190" spans="1:33" ht="18" customHeight="1" thickBot="1">
      <c r="A190" s="2009"/>
      <c r="B190" s="1572" t="s">
        <v>38</v>
      </c>
      <c r="C190" s="1580">
        <v>1</v>
      </c>
      <c r="D190" s="1578">
        <v>2</v>
      </c>
      <c r="E190" s="1580">
        <v>3</v>
      </c>
      <c r="F190" s="1580">
        <v>4</v>
      </c>
      <c r="G190" s="1578">
        <v>5</v>
      </c>
      <c r="H190" s="1578">
        <v>6</v>
      </c>
      <c r="I190" s="1578">
        <v>7</v>
      </c>
      <c r="J190" s="1578">
        <v>8</v>
      </c>
      <c r="K190" s="1578">
        <v>9</v>
      </c>
      <c r="L190" s="1580">
        <v>10</v>
      </c>
      <c r="M190" s="1580">
        <v>11</v>
      </c>
      <c r="N190" s="1578">
        <v>12</v>
      </c>
      <c r="O190" s="1578">
        <v>13</v>
      </c>
      <c r="P190" s="1578">
        <v>14</v>
      </c>
      <c r="Q190" s="1578">
        <v>15</v>
      </c>
      <c r="R190" s="1578">
        <v>16</v>
      </c>
      <c r="S190" s="1580">
        <v>17</v>
      </c>
      <c r="T190" s="1580">
        <v>18</v>
      </c>
      <c r="U190" s="1578">
        <v>19</v>
      </c>
      <c r="V190" s="1578">
        <v>20</v>
      </c>
      <c r="W190" s="1578">
        <v>21</v>
      </c>
      <c r="X190" s="1578">
        <v>22</v>
      </c>
      <c r="Y190" s="1578">
        <v>23</v>
      </c>
      <c r="Z190" s="1580">
        <v>24</v>
      </c>
      <c r="AA190" s="1580">
        <v>25</v>
      </c>
      <c r="AB190" s="1578">
        <v>26</v>
      </c>
      <c r="AC190" s="1578">
        <v>27</v>
      </c>
      <c r="AD190" s="1578">
        <v>28</v>
      </c>
      <c r="AE190" s="1580">
        <v>29</v>
      </c>
      <c r="AF190" s="1578">
        <v>30</v>
      </c>
      <c r="AG190" s="1580">
        <v>31</v>
      </c>
    </row>
    <row r="191" spans="1:33" ht="18" customHeight="1">
      <c r="A191" s="2034">
        <v>1</v>
      </c>
      <c r="B191" s="1638" t="s">
        <v>247</v>
      </c>
      <c r="C191" s="1645" t="s">
        <v>40</v>
      </c>
      <c r="D191" s="1645" t="s">
        <v>40</v>
      </c>
      <c r="E191" s="1639"/>
      <c r="F191" s="1645"/>
      <c r="G191" s="1645" t="s">
        <v>40</v>
      </c>
      <c r="H191" s="1645" t="s">
        <v>40</v>
      </c>
      <c r="I191" s="1645" t="s">
        <v>40</v>
      </c>
      <c r="J191" s="1645" t="s">
        <v>40</v>
      </c>
      <c r="K191" s="1645" t="s">
        <v>40</v>
      </c>
      <c r="L191" s="1645"/>
      <c r="M191" s="1645"/>
      <c r="N191" s="1645" t="s">
        <v>40</v>
      </c>
      <c r="O191" s="1645" t="s">
        <v>40</v>
      </c>
      <c r="P191" s="1646" t="s">
        <v>40</v>
      </c>
      <c r="Q191" s="1645" t="s">
        <v>40</v>
      </c>
      <c r="R191" s="1646" t="s">
        <v>40</v>
      </c>
      <c r="S191" s="1646" t="s">
        <v>248</v>
      </c>
      <c r="T191" s="1646"/>
      <c r="U191" s="1760" t="s">
        <v>40</v>
      </c>
      <c r="V191" s="1645" t="s">
        <v>40</v>
      </c>
      <c r="W191" s="1760" t="s">
        <v>40</v>
      </c>
      <c r="X191" s="1645" t="s">
        <v>40</v>
      </c>
      <c r="Y191" s="1645" t="s">
        <v>40</v>
      </c>
      <c r="Z191" s="1639"/>
      <c r="AA191" s="1645"/>
      <c r="AB191" s="1645" t="s">
        <v>40</v>
      </c>
      <c r="AC191" s="1645" t="s">
        <v>40</v>
      </c>
      <c r="AD191" s="1645" t="s">
        <v>40</v>
      </c>
      <c r="AE191" s="1645"/>
      <c r="AF191" s="1962" t="s">
        <v>40</v>
      </c>
      <c r="AG191" s="1732"/>
    </row>
    <row r="192" spans="1:33" ht="18" customHeight="1">
      <c r="A192" s="2039">
        <v>2</v>
      </c>
      <c r="B192" s="2061" t="s">
        <v>249</v>
      </c>
      <c r="C192" s="1760" t="s">
        <v>250</v>
      </c>
      <c r="D192" s="1760" t="s">
        <v>250</v>
      </c>
      <c r="E192" s="1760"/>
      <c r="F192" s="1760"/>
      <c r="G192" s="1760" t="s">
        <v>248</v>
      </c>
      <c r="H192" s="1760" t="s">
        <v>248</v>
      </c>
      <c r="I192" s="1760" t="s">
        <v>248</v>
      </c>
      <c r="J192" s="1760" t="s">
        <v>248</v>
      </c>
      <c r="K192" s="1760" t="s">
        <v>248</v>
      </c>
      <c r="L192" s="1760" t="s">
        <v>248</v>
      </c>
      <c r="M192" s="1760"/>
      <c r="N192" s="1760" t="s">
        <v>251</v>
      </c>
      <c r="O192" s="1760" t="s">
        <v>251</v>
      </c>
      <c r="P192" s="1736" t="s">
        <v>251</v>
      </c>
      <c r="Q192" s="1760" t="s">
        <v>251</v>
      </c>
      <c r="R192" s="1760" t="s">
        <v>46</v>
      </c>
      <c r="S192" s="1760"/>
      <c r="T192" s="1760"/>
      <c r="U192" s="1760" t="s">
        <v>250</v>
      </c>
      <c r="V192" s="1760" t="s">
        <v>250</v>
      </c>
      <c r="W192" s="1760" t="s">
        <v>250</v>
      </c>
      <c r="X192" s="1760" t="s">
        <v>250</v>
      </c>
      <c r="Y192" s="1760" t="s">
        <v>250</v>
      </c>
      <c r="Z192" s="1760"/>
      <c r="AA192" s="1760"/>
      <c r="AB192" s="1760" t="s">
        <v>248</v>
      </c>
      <c r="AC192" s="1760" t="s">
        <v>248</v>
      </c>
      <c r="AD192" s="1760" t="s">
        <v>248</v>
      </c>
      <c r="AE192" s="1760"/>
      <c r="AF192" s="1762" t="s">
        <v>248</v>
      </c>
      <c r="AG192" s="2044" t="s">
        <v>248</v>
      </c>
    </row>
    <row r="193" spans="1:33" ht="18" customHeight="1">
      <c r="A193" s="2039">
        <v>3</v>
      </c>
      <c r="B193" s="2062" t="s">
        <v>252</v>
      </c>
      <c r="C193" s="1760" t="s">
        <v>248</v>
      </c>
      <c r="D193" s="1760" t="s">
        <v>248</v>
      </c>
      <c r="E193" s="1760" t="s">
        <v>248</v>
      </c>
      <c r="F193" s="1760"/>
      <c r="G193" s="1760" t="s">
        <v>251</v>
      </c>
      <c r="H193" s="1760" t="s">
        <v>251</v>
      </c>
      <c r="I193" s="1760" t="s">
        <v>251</v>
      </c>
      <c r="J193" s="1760" t="s">
        <v>251</v>
      </c>
      <c r="K193" s="1736" t="s">
        <v>46</v>
      </c>
      <c r="L193" s="1736"/>
      <c r="M193" s="1736"/>
      <c r="N193" s="1736" t="s">
        <v>250</v>
      </c>
      <c r="O193" s="1736" t="s">
        <v>250</v>
      </c>
      <c r="P193" s="1736" t="s">
        <v>250</v>
      </c>
      <c r="Q193" s="1736" t="s">
        <v>250</v>
      </c>
      <c r="R193" s="1736" t="s">
        <v>250</v>
      </c>
      <c r="S193" s="1736"/>
      <c r="T193" s="1736"/>
      <c r="U193" s="1736" t="s">
        <v>248</v>
      </c>
      <c r="V193" s="1736" t="s">
        <v>248</v>
      </c>
      <c r="W193" s="1736" t="s">
        <v>248</v>
      </c>
      <c r="X193" s="1760" t="s">
        <v>248</v>
      </c>
      <c r="Y193" s="1760" t="s">
        <v>248</v>
      </c>
      <c r="Z193" s="1760" t="s">
        <v>248</v>
      </c>
      <c r="AA193" s="1760"/>
      <c r="AB193" s="1760" t="s">
        <v>251</v>
      </c>
      <c r="AC193" s="1760" t="s">
        <v>251</v>
      </c>
      <c r="AD193" s="1760" t="s">
        <v>251</v>
      </c>
      <c r="AE193" s="1760"/>
      <c r="AF193" s="1762" t="s">
        <v>46</v>
      </c>
      <c r="AG193" s="1740"/>
    </row>
    <row r="194" spans="1:33" ht="18" customHeight="1">
      <c r="A194" s="2039">
        <v>4</v>
      </c>
      <c r="B194" s="2062" t="s">
        <v>253</v>
      </c>
      <c r="C194" s="1760"/>
      <c r="D194" s="1760"/>
      <c r="E194" s="1760"/>
      <c r="F194" s="1760"/>
      <c r="G194" s="1760"/>
      <c r="H194" s="1760"/>
      <c r="I194" s="1760"/>
      <c r="J194" s="1760"/>
      <c r="K194" s="1760"/>
      <c r="L194" s="1737"/>
      <c r="M194" s="1737"/>
      <c r="N194" s="1760"/>
      <c r="O194" s="1760"/>
      <c r="P194" s="1760"/>
      <c r="Q194" s="1760"/>
      <c r="R194" s="1760"/>
      <c r="S194" s="1760"/>
      <c r="T194" s="1760"/>
      <c r="U194" s="1760"/>
      <c r="V194" s="1760"/>
      <c r="W194" s="1760"/>
      <c r="X194" s="1760"/>
      <c r="Y194" s="1760"/>
      <c r="Z194" s="1760"/>
      <c r="AA194" s="1760"/>
      <c r="AB194" s="1760"/>
      <c r="AC194" s="1760"/>
      <c r="AD194" s="1760"/>
      <c r="AE194" s="1760"/>
      <c r="AF194" s="1762"/>
      <c r="AG194" s="1740"/>
    </row>
    <row r="195" spans="1:33" ht="18" customHeight="1">
      <c r="A195" s="2039">
        <v>5</v>
      </c>
      <c r="B195" s="2062"/>
      <c r="C195" s="1944"/>
      <c r="D195" s="1944"/>
      <c r="E195" s="1944"/>
      <c r="F195" s="1944"/>
      <c r="G195" s="1944"/>
      <c r="H195" s="1909"/>
      <c r="I195" s="1909"/>
      <c r="J195" s="1944"/>
      <c r="K195" s="1917"/>
      <c r="L195" s="1917"/>
      <c r="M195" s="1917"/>
      <c r="N195" s="1917"/>
      <c r="O195" s="1917"/>
      <c r="P195" s="1909"/>
      <c r="Q195" s="1944"/>
      <c r="R195" s="1944"/>
      <c r="S195" s="1944"/>
      <c r="T195" s="1944"/>
      <c r="U195" s="1944"/>
      <c r="V195" s="1909"/>
      <c r="W195" s="1909"/>
      <c r="X195" s="1944"/>
      <c r="Y195" s="1944"/>
      <c r="Z195" s="1902"/>
      <c r="AA195" s="1902"/>
      <c r="AB195" s="1902"/>
      <c r="AC195" s="1902"/>
      <c r="AD195" s="1902"/>
      <c r="AE195" s="1902"/>
      <c r="AF195" s="1921"/>
      <c r="AG195" s="1740"/>
    </row>
    <row r="196" spans="1:33" ht="18" customHeight="1">
      <c r="A196" s="2039">
        <v>6</v>
      </c>
      <c r="B196" s="1734"/>
      <c r="C196" s="1944"/>
      <c r="D196" s="1944"/>
      <c r="E196" s="1944"/>
      <c r="F196" s="1944"/>
      <c r="G196" s="1944"/>
      <c r="H196" s="1909"/>
      <c r="I196" s="1909"/>
      <c r="J196" s="1944"/>
      <c r="K196" s="1917"/>
      <c r="L196" s="1917"/>
      <c r="M196" s="1917"/>
      <c r="N196" s="1917"/>
      <c r="O196" s="1917"/>
      <c r="P196" s="1909"/>
      <c r="Q196" s="1944"/>
      <c r="R196" s="1944"/>
      <c r="S196" s="1944"/>
      <c r="T196" s="1944"/>
      <c r="U196" s="1944"/>
      <c r="V196" s="1909"/>
      <c r="W196" s="1909"/>
      <c r="X196" s="1944"/>
      <c r="Y196" s="1944"/>
      <c r="Z196" s="1902"/>
      <c r="AA196" s="1902"/>
      <c r="AB196" s="1902"/>
      <c r="AC196" s="1902"/>
      <c r="AD196" s="1902"/>
      <c r="AE196" s="1902"/>
      <c r="AF196" s="1921"/>
      <c r="AG196" s="2043"/>
    </row>
    <row r="197" spans="1:33" ht="18" customHeight="1" thickBot="1">
      <c r="A197" s="2045"/>
      <c r="B197" s="1741"/>
      <c r="C197" s="1785"/>
      <c r="D197" s="1785"/>
      <c r="E197" s="1785"/>
      <c r="F197" s="1785"/>
      <c r="G197" s="1785"/>
      <c r="H197" s="1785"/>
      <c r="I197" s="1785"/>
      <c r="J197" s="1785"/>
      <c r="K197" s="1785"/>
      <c r="L197" s="1785"/>
      <c r="M197" s="1785"/>
      <c r="N197" s="1785"/>
      <c r="O197" s="1785"/>
      <c r="P197" s="1785"/>
      <c r="Q197" s="1785"/>
      <c r="R197" s="1785"/>
      <c r="S197" s="1785"/>
      <c r="T197" s="1785"/>
      <c r="U197" s="1785"/>
      <c r="V197" s="1785"/>
      <c r="W197" s="1785"/>
      <c r="X197" s="1785"/>
      <c r="Y197" s="1785"/>
      <c r="Z197" s="1785"/>
      <c r="AA197" s="1785"/>
      <c r="AB197" s="1785"/>
      <c r="AC197" s="1785"/>
      <c r="AD197" s="1785"/>
      <c r="AE197" s="1785"/>
      <c r="AF197" s="2063"/>
      <c r="AG197" s="2043"/>
    </row>
    <row r="198" spans="1:33" ht="18" customHeight="1">
      <c r="A198" s="117"/>
      <c r="B198" s="115"/>
      <c r="C198" s="116"/>
      <c r="D198" s="116"/>
      <c r="E198" s="116"/>
      <c r="F198" s="116"/>
      <c r="G198" s="116"/>
      <c r="H198" s="116"/>
      <c r="I198" s="116"/>
      <c r="J198" s="116"/>
      <c r="K198" s="116"/>
      <c r="L198" s="116"/>
      <c r="M198" s="116"/>
      <c r="N198" s="116"/>
      <c r="O198" s="116"/>
      <c r="P198" s="116"/>
      <c r="Q198" s="116"/>
      <c r="R198" s="116"/>
      <c r="S198" s="116"/>
      <c r="T198" s="116"/>
      <c r="U198" s="116"/>
      <c r="V198" s="116"/>
      <c r="W198" s="116"/>
      <c r="X198" s="116"/>
      <c r="Y198" s="116"/>
      <c r="Z198" s="116"/>
      <c r="AA198" s="116"/>
      <c r="AB198" s="116"/>
      <c r="AC198" s="116"/>
      <c r="AD198" s="116"/>
      <c r="AE198" s="116"/>
      <c r="AF198" s="116"/>
      <c r="AG198" s="65"/>
    </row>
    <row r="199" spans="1:33" ht="18" customHeight="1">
      <c r="A199" s="117"/>
      <c r="B199" s="115"/>
      <c r="C199" s="116"/>
      <c r="D199" s="116"/>
      <c r="E199" s="116"/>
      <c r="F199" s="116"/>
      <c r="G199" s="116"/>
      <c r="H199" s="116"/>
      <c r="I199" s="116"/>
      <c r="J199" s="116"/>
      <c r="K199" s="116"/>
      <c r="L199" s="116"/>
      <c r="M199" s="116"/>
      <c r="N199" s="116"/>
      <c r="O199" s="116"/>
      <c r="P199" s="116"/>
      <c r="Q199" s="116"/>
      <c r="R199" s="116"/>
      <c r="S199" s="116"/>
      <c r="T199" s="116"/>
      <c r="U199" s="116"/>
      <c r="V199" s="116"/>
      <c r="W199" s="116"/>
      <c r="X199" s="116"/>
      <c r="Y199" s="116"/>
      <c r="Z199" s="116"/>
      <c r="AA199" s="116"/>
      <c r="AB199" s="116"/>
      <c r="AC199" s="116"/>
      <c r="AD199" s="116"/>
      <c r="AE199" s="116"/>
      <c r="AF199" s="116"/>
      <c r="AG199" s="65"/>
    </row>
    <row r="200" spans="1:33" ht="18" customHeight="1" thickBot="1">
      <c r="A200" s="90" t="s">
        <v>254</v>
      </c>
      <c r="B200" s="48"/>
      <c r="C200" s="64"/>
      <c r="D200" s="48"/>
      <c r="E200" s="48"/>
      <c r="F200" s="64"/>
      <c r="G200" s="48"/>
      <c r="H200" s="48"/>
      <c r="I200" s="64"/>
      <c r="J200" s="64"/>
      <c r="K200" s="48"/>
      <c r="L200" s="64"/>
      <c r="M200" s="48"/>
      <c r="N200" s="48"/>
      <c r="O200" s="64"/>
      <c r="P200" s="48"/>
      <c r="Q200" s="64"/>
      <c r="R200" s="64"/>
      <c r="S200" s="48"/>
      <c r="T200" s="48"/>
      <c r="U200" s="64"/>
      <c r="V200" s="48"/>
      <c r="W200" s="64"/>
      <c r="X200" s="64"/>
      <c r="Y200" s="48"/>
      <c r="Z200" s="48"/>
      <c r="AA200" s="48"/>
      <c r="AB200" s="48"/>
      <c r="AC200" s="48"/>
      <c r="AD200" s="48"/>
      <c r="AE200" s="64"/>
      <c r="AF200" s="48"/>
      <c r="AG200" s="65"/>
    </row>
    <row r="201" spans="1:33" ht="18" customHeight="1">
      <c r="A201" s="67"/>
      <c r="B201" s="1605" t="s">
        <v>255</v>
      </c>
      <c r="C201" s="2064"/>
      <c r="D201" s="1600" t="s">
        <v>19</v>
      </c>
      <c r="E201" s="1601"/>
      <c r="F201" s="1602"/>
      <c r="G201" s="1603"/>
      <c r="H201" s="1600" t="s">
        <v>20</v>
      </c>
      <c r="I201" s="1601"/>
      <c r="J201" s="1602"/>
      <c r="K201" s="1603"/>
      <c r="L201" s="1600" t="s">
        <v>21</v>
      </c>
      <c r="M201" s="1601"/>
      <c r="N201" s="1602"/>
      <c r="O201" s="1603"/>
      <c r="P201" s="1600" t="s">
        <v>22</v>
      </c>
      <c r="Q201" s="1601"/>
      <c r="R201" s="1602"/>
      <c r="S201" s="1603"/>
      <c r="T201" s="1600" t="s">
        <v>23</v>
      </c>
      <c r="U201" s="1601"/>
      <c r="V201" s="1602"/>
      <c r="W201" s="1603"/>
      <c r="X201" s="1600" t="s">
        <v>24</v>
      </c>
      <c r="Y201" s="1601"/>
      <c r="Z201" s="1602"/>
      <c r="AA201" s="1603"/>
      <c r="AB201" s="1600" t="s">
        <v>25</v>
      </c>
      <c r="AC201" s="1601"/>
      <c r="AD201" s="1601"/>
      <c r="AE201" s="1604" t="s">
        <v>108</v>
      </c>
      <c r="AF201" s="1601"/>
      <c r="AG201" s="1607"/>
    </row>
    <row r="202" spans="1:33" ht="18" customHeight="1">
      <c r="A202" s="67"/>
      <c r="B202" s="1716" t="s">
        <v>256</v>
      </c>
      <c r="C202" s="2065" t="s">
        <v>257</v>
      </c>
      <c r="D202" s="2066" t="s">
        <v>258</v>
      </c>
      <c r="E202" s="2067"/>
      <c r="F202" s="2068"/>
      <c r="G202" s="2069"/>
      <c r="H202" s="2070" t="s">
        <v>258</v>
      </c>
      <c r="I202" s="2071"/>
      <c r="J202" s="2068"/>
      <c r="K202" s="2069"/>
      <c r="L202" s="2070" t="s">
        <v>258</v>
      </c>
      <c r="M202" s="2071"/>
      <c r="N202" s="2068"/>
      <c r="O202" s="2069"/>
      <c r="P202" s="2070" t="s">
        <v>259</v>
      </c>
      <c r="Q202" s="2071"/>
      <c r="R202" s="2068"/>
      <c r="S202" s="2069"/>
      <c r="T202" s="2070" t="s">
        <v>260</v>
      </c>
      <c r="U202" s="2071"/>
      <c r="V202" s="2068"/>
      <c r="W202" s="2072"/>
      <c r="X202" s="1720"/>
      <c r="Y202" s="1720"/>
      <c r="Z202" s="2073"/>
      <c r="AA202" s="2072"/>
      <c r="AB202" s="1720"/>
      <c r="AC202" s="1720"/>
      <c r="AD202" s="1720"/>
      <c r="AE202" s="2072"/>
      <c r="AF202" s="1720"/>
      <c r="AG202" s="2074"/>
    </row>
    <row r="203" spans="1:33" ht="18" customHeight="1">
      <c r="A203" s="67"/>
      <c r="B203" s="1716" t="s">
        <v>261</v>
      </c>
      <c r="C203" s="2065" t="s">
        <v>130</v>
      </c>
      <c r="D203" s="2066" t="s">
        <v>258</v>
      </c>
      <c r="E203" s="2067"/>
      <c r="F203" s="2068"/>
      <c r="G203" s="2069"/>
      <c r="H203" s="2070" t="s">
        <v>258</v>
      </c>
      <c r="I203" s="2071"/>
      <c r="J203" s="2068"/>
      <c r="K203" s="2069"/>
      <c r="L203" s="2070" t="s">
        <v>262</v>
      </c>
      <c r="M203" s="2071"/>
      <c r="N203" s="2068"/>
      <c r="O203" s="2069"/>
      <c r="P203" s="2070" t="s">
        <v>263</v>
      </c>
      <c r="Q203" s="2071"/>
      <c r="R203" s="2068"/>
      <c r="S203" s="2069"/>
      <c r="T203" s="2070" t="s">
        <v>264</v>
      </c>
      <c r="U203" s="2071"/>
      <c r="V203" s="2068"/>
      <c r="W203" s="2072"/>
      <c r="X203" s="1720"/>
      <c r="Y203" s="1720"/>
      <c r="Z203" s="2073"/>
      <c r="AA203" s="2072"/>
      <c r="AB203" s="1720"/>
      <c r="AC203" s="1720"/>
      <c r="AD203" s="1720"/>
      <c r="AE203" s="2072"/>
      <c r="AF203" s="1720"/>
      <c r="AG203" s="2074"/>
    </row>
    <row r="204" spans="1:33" ht="18" customHeight="1">
      <c r="A204" s="67"/>
      <c r="B204" s="1716" t="s">
        <v>265</v>
      </c>
      <c r="C204" s="2065" t="s">
        <v>153</v>
      </c>
      <c r="D204" s="2066" t="s">
        <v>266</v>
      </c>
      <c r="E204" s="2067"/>
      <c r="F204" s="2068"/>
      <c r="G204" s="2069"/>
      <c r="H204" s="2066" t="s">
        <v>266</v>
      </c>
      <c r="I204" s="2071"/>
      <c r="J204" s="2068"/>
      <c r="K204" s="2069"/>
      <c r="L204" s="2066" t="s">
        <v>266</v>
      </c>
      <c r="M204" s="2071"/>
      <c r="N204" s="2068"/>
      <c r="O204" s="2069"/>
      <c r="P204" s="2070" t="s">
        <v>267</v>
      </c>
      <c r="Q204" s="2071"/>
      <c r="R204" s="2068"/>
      <c r="S204" s="2069"/>
      <c r="T204" s="2070" t="s">
        <v>264</v>
      </c>
      <c r="U204" s="2071"/>
      <c r="V204" s="2068"/>
      <c r="W204" s="2072"/>
      <c r="X204" s="1720"/>
      <c r="Y204" s="1720"/>
      <c r="Z204" s="2073"/>
      <c r="AA204" s="2072"/>
      <c r="AB204" s="1720"/>
      <c r="AC204" s="1720"/>
      <c r="AD204" s="1720"/>
      <c r="AE204" s="2072"/>
      <c r="AF204" s="1720"/>
      <c r="AG204" s="2074"/>
    </row>
    <row r="205" spans="1:33" ht="18" customHeight="1">
      <c r="A205" s="67"/>
      <c r="B205" s="1716" t="s">
        <v>268</v>
      </c>
      <c r="C205" s="2065" t="s">
        <v>132</v>
      </c>
      <c r="D205" s="2066" t="s">
        <v>269</v>
      </c>
      <c r="E205" s="2067"/>
      <c r="F205" s="2068"/>
      <c r="G205" s="2069"/>
      <c r="H205" s="2070" t="s">
        <v>258</v>
      </c>
      <c r="I205" s="2071"/>
      <c r="J205" s="2068"/>
      <c r="K205" s="2069"/>
      <c r="L205" s="2070" t="s">
        <v>258</v>
      </c>
      <c r="M205" s="2071"/>
      <c r="N205" s="2068"/>
      <c r="O205" s="2069"/>
      <c r="P205" s="2070" t="s">
        <v>270</v>
      </c>
      <c r="Q205" s="2071"/>
      <c r="R205" s="2068"/>
      <c r="S205" s="2069"/>
      <c r="T205" s="2070" t="s">
        <v>271</v>
      </c>
      <c r="U205" s="2071"/>
      <c r="V205" s="2068"/>
      <c r="W205" s="2072"/>
      <c r="X205" s="1720"/>
      <c r="Y205" s="1720"/>
      <c r="Z205" s="2073"/>
      <c r="AA205" s="2072"/>
      <c r="AB205" s="1720"/>
      <c r="AC205" s="1720"/>
      <c r="AD205" s="1720"/>
      <c r="AE205" s="2072"/>
      <c r="AF205" s="1720"/>
      <c r="AG205" s="2074"/>
    </row>
    <row r="206" spans="1:33" ht="18" customHeight="1">
      <c r="A206" s="67"/>
      <c r="B206" s="2075" t="s">
        <v>272</v>
      </c>
      <c r="C206" s="2065" t="s">
        <v>128</v>
      </c>
      <c r="D206" s="2066" t="s">
        <v>273</v>
      </c>
      <c r="E206" s="2067"/>
      <c r="F206" s="2076"/>
      <c r="G206" s="2077"/>
      <c r="H206" s="2066" t="s">
        <v>273</v>
      </c>
      <c r="I206" s="2078"/>
      <c r="J206" s="2076"/>
      <c r="K206" s="2077"/>
      <c r="L206" s="2066" t="s">
        <v>273</v>
      </c>
      <c r="M206" s="2078"/>
      <c r="N206" s="2076"/>
      <c r="O206" s="2077"/>
      <c r="P206" s="2070" t="s">
        <v>274</v>
      </c>
      <c r="Q206" s="2078"/>
      <c r="R206" s="2076"/>
      <c r="S206" s="2077"/>
      <c r="T206" s="2070" t="s">
        <v>264</v>
      </c>
      <c r="U206" s="2078"/>
      <c r="V206" s="1719"/>
      <c r="W206" s="2079"/>
      <c r="X206" s="1952"/>
      <c r="Y206" s="1952"/>
      <c r="Z206" s="1975"/>
      <c r="AA206" s="2079"/>
      <c r="AB206" s="1952"/>
      <c r="AC206" s="1952"/>
      <c r="AD206" s="1952"/>
      <c r="AE206" s="2079"/>
      <c r="AF206" s="1952"/>
      <c r="AG206" s="2080"/>
    </row>
    <row r="207" spans="1:33" ht="18" customHeight="1">
      <c r="A207" s="67"/>
      <c r="B207" s="1716" t="s">
        <v>275</v>
      </c>
      <c r="C207" s="2065" t="s">
        <v>127</v>
      </c>
      <c r="D207" s="2066" t="s">
        <v>276</v>
      </c>
      <c r="E207" s="2067"/>
      <c r="F207" s="2068"/>
      <c r="G207" s="2069"/>
      <c r="H207" s="2066" t="s">
        <v>276</v>
      </c>
      <c r="I207" s="2071"/>
      <c r="J207" s="2068"/>
      <c r="K207" s="2069"/>
      <c r="L207" s="2066" t="s">
        <v>276</v>
      </c>
      <c r="M207" s="2071"/>
      <c r="N207" s="2068"/>
      <c r="O207" s="2069"/>
      <c r="P207" s="2070" t="s">
        <v>277</v>
      </c>
      <c r="Q207" s="2071"/>
      <c r="R207" s="2068"/>
      <c r="S207" s="2069"/>
      <c r="T207" s="2070" t="s">
        <v>264</v>
      </c>
      <c r="U207" s="2071"/>
      <c r="V207" s="2068"/>
      <c r="W207" s="2072"/>
      <c r="X207" s="1720"/>
      <c r="Y207" s="1720"/>
      <c r="Z207" s="1720"/>
      <c r="AA207" s="2072"/>
      <c r="AB207" s="1720"/>
      <c r="AC207" s="1720"/>
      <c r="AD207" s="1720"/>
      <c r="AE207" s="2072"/>
      <c r="AF207" s="1720"/>
      <c r="AG207" s="2074"/>
    </row>
    <row r="208" spans="1:33" ht="18" customHeight="1">
      <c r="A208" s="67"/>
      <c r="B208" s="1716" t="s">
        <v>278</v>
      </c>
      <c r="C208" s="2065" t="s">
        <v>116</v>
      </c>
      <c r="D208" s="2066" t="s">
        <v>279</v>
      </c>
      <c r="E208" s="2067"/>
      <c r="F208" s="2068"/>
      <c r="G208" s="2069"/>
      <c r="H208" s="2070" t="s">
        <v>279</v>
      </c>
      <c r="I208" s="2071"/>
      <c r="J208" s="2068"/>
      <c r="K208" s="2069"/>
      <c r="L208" s="2070" t="s">
        <v>279</v>
      </c>
      <c r="M208" s="2071"/>
      <c r="N208" s="2071"/>
      <c r="O208" s="2069"/>
      <c r="P208" s="2070" t="s">
        <v>279</v>
      </c>
      <c r="Q208" s="2071"/>
      <c r="R208" s="2071"/>
      <c r="S208" s="2069"/>
      <c r="T208" s="2070" t="s">
        <v>264</v>
      </c>
      <c r="U208" s="2071"/>
      <c r="V208" s="2068"/>
      <c r="W208" s="1716"/>
      <c r="X208" s="1720"/>
      <c r="Y208" s="1720"/>
      <c r="Z208" s="2073"/>
      <c r="AA208" s="2081"/>
      <c r="AB208" s="1720"/>
      <c r="AC208" s="1720"/>
      <c r="AD208" s="1720"/>
      <c r="AE208" s="2072"/>
      <c r="AF208" s="1720"/>
      <c r="AG208" s="2074"/>
    </row>
    <row r="209" spans="1:33" ht="18" customHeight="1">
      <c r="A209" s="67"/>
      <c r="B209" s="1716" t="s">
        <v>280</v>
      </c>
      <c r="C209" s="2065" t="s">
        <v>123</v>
      </c>
      <c r="D209" s="2066" t="s">
        <v>281</v>
      </c>
      <c r="E209" s="2067"/>
      <c r="F209" s="2068"/>
      <c r="G209" s="2069"/>
      <c r="H209" s="2070" t="s">
        <v>281</v>
      </c>
      <c r="I209" s="2071"/>
      <c r="J209" s="2068"/>
      <c r="K209" s="2069"/>
      <c r="L209" s="2070" t="s">
        <v>281</v>
      </c>
      <c r="M209" s="2071"/>
      <c r="N209" s="2071"/>
      <c r="O209" s="2069"/>
      <c r="P209" s="2070" t="s">
        <v>282</v>
      </c>
      <c r="Q209" s="2071"/>
      <c r="R209" s="2071"/>
      <c r="S209" s="2069"/>
      <c r="T209" s="2070" t="s">
        <v>283</v>
      </c>
      <c r="U209" s="2071"/>
      <c r="V209" s="2068"/>
      <c r="AA209" s="110"/>
      <c r="AE209" s="110"/>
      <c r="AG209" s="65"/>
    </row>
    <row r="210" spans="1:33" ht="18" customHeight="1" thickBot="1">
      <c r="A210" s="67"/>
      <c r="B210" t="s">
        <v>284</v>
      </c>
      <c r="C210" s="110"/>
      <c r="F210" s="110"/>
      <c r="I210" s="110"/>
      <c r="J210" s="110"/>
      <c r="L210" s="110"/>
      <c r="O210" s="110"/>
      <c r="Q210" s="110"/>
      <c r="R210" s="110"/>
      <c r="U210" s="110"/>
      <c r="W210" s="110"/>
      <c r="X210" s="110"/>
      <c r="AE210" s="110"/>
      <c r="AG210" s="65"/>
    </row>
    <row r="211" spans="1:33" ht="18" customHeight="1">
      <c r="A211" s="67"/>
      <c r="B211" s="1605" t="s">
        <v>255</v>
      </c>
      <c r="C211" s="1606"/>
      <c r="D211" s="1600" t="s">
        <v>19</v>
      </c>
      <c r="E211" s="1601"/>
      <c r="F211" s="1602"/>
      <c r="G211" s="1603"/>
      <c r="H211" s="1600" t="s">
        <v>20</v>
      </c>
      <c r="I211" s="1601"/>
      <c r="J211" s="1602"/>
      <c r="K211" s="1603"/>
      <c r="L211" s="1600" t="s">
        <v>21</v>
      </c>
      <c r="M211" s="1601"/>
      <c r="N211" s="1602"/>
      <c r="O211" s="1603"/>
      <c r="P211" s="1600" t="s">
        <v>22</v>
      </c>
      <c r="Q211" s="1601"/>
      <c r="R211" s="1602"/>
      <c r="S211" s="1603"/>
      <c r="T211" s="1600" t="s">
        <v>23</v>
      </c>
      <c r="U211" s="1601"/>
      <c r="V211" s="1602"/>
      <c r="W211" s="1603"/>
      <c r="X211" s="1600" t="s">
        <v>24</v>
      </c>
      <c r="Y211" s="1601"/>
      <c r="Z211" s="1602"/>
      <c r="AA211" s="1603"/>
      <c r="AB211" s="1600" t="s">
        <v>25</v>
      </c>
      <c r="AC211" s="1601"/>
      <c r="AD211" s="1601"/>
      <c r="AE211" s="1604" t="s">
        <v>108</v>
      </c>
      <c r="AF211" s="1601"/>
      <c r="AG211" s="1607"/>
    </row>
    <row r="212" spans="1:33" ht="18" customHeight="1">
      <c r="A212" s="67"/>
      <c r="B212" s="1716" t="s">
        <v>256</v>
      </c>
      <c r="C212" s="2065" t="s">
        <v>257</v>
      </c>
      <c r="D212" s="2066" t="s">
        <v>285</v>
      </c>
      <c r="E212" s="2067"/>
      <c r="F212" s="2068"/>
      <c r="G212" s="2069"/>
      <c r="H212" s="2066" t="s">
        <v>285</v>
      </c>
      <c r="I212" s="2071"/>
      <c r="J212" s="2068"/>
      <c r="K212" s="2069"/>
      <c r="L212" s="2066" t="s">
        <v>285</v>
      </c>
      <c r="M212" s="2071"/>
      <c r="N212" s="2068"/>
      <c r="O212" s="2069"/>
      <c r="P212" s="2070" t="s">
        <v>286</v>
      </c>
      <c r="Q212" s="2071"/>
      <c r="R212" s="2068"/>
      <c r="S212" s="2069"/>
      <c r="T212" s="2070" t="s">
        <v>287</v>
      </c>
      <c r="U212" s="2071"/>
      <c r="V212" s="2068"/>
      <c r="W212" s="2082"/>
      <c r="X212" s="1720"/>
      <c r="Y212" s="1720"/>
      <c r="Z212" s="1719"/>
      <c r="AA212" s="2082"/>
      <c r="AB212" s="1720"/>
      <c r="AC212" s="1720"/>
      <c r="AD212" s="1720"/>
      <c r="AE212" s="2082"/>
      <c r="AF212" s="1720"/>
      <c r="AG212" s="2074"/>
    </row>
    <row r="213" spans="1:33" ht="18" customHeight="1">
      <c r="A213" s="67"/>
      <c r="B213" s="1716" t="s">
        <v>261</v>
      </c>
      <c r="C213" s="2065" t="s">
        <v>130</v>
      </c>
      <c r="D213" s="2066" t="s">
        <v>285</v>
      </c>
      <c r="E213" s="2067"/>
      <c r="F213" s="2068"/>
      <c r="G213" s="2069"/>
      <c r="H213" s="2066" t="s">
        <v>285</v>
      </c>
      <c r="I213" s="2071"/>
      <c r="J213" s="2068"/>
      <c r="K213" s="2069"/>
      <c r="L213" s="2070" t="s">
        <v>262</v>
      </c>
      <c r="M213" s="2071"/>
      <c r="N213" s="2068"/>
      <c r="O213" s="2069"/>
      <c r="P213" s="2070" t="s">
        <v>288</v>
      </c>
      <c r="Q213" s="2071"/>
      <c r="R213" s="2068"/>
      <c r="S213" s="2069"/>
      <c r="T213" s="2070" t="s">
        <v>289</v>
      </c>
      <c r="U213" s="2071"/>
      <c r="V213" s="2068"/>
      <c r="W213" s="2082"/>
      <c r="X213" s="1720"/>
      <c r="Y213" s="1720"/>
      <c r="Z213" s="1719"/>
      <c r="AA213" s="2082"/>
      <c r="AB213" s="1720"/>
      <c r="AC213" s="1720"/>
      <c r="AD213" s="1720"/>
      <c r="AE213" s="2082"/>
      <c r="AF213" s="1720"/>
      <c r="AG213" s="2074"/>
    </row>
    <row r="214" spans="1:33" ht="18" customHeight="1">
      <c r="A214" s="67"/>
      <c r="B214" s="1716" t="s">
        <v>265</v>
      </c>
      <c r="C214" s="2065" t="s">
        <v>153</v>
      </c>
      <c r="D214" s="2066" t="s">
        <v>285</v>
      </c>
      <c r="E214" s="2067"/>
      <c r="F214" s="2068"/>
      <c r="G214" s="2069"/>
      <c r="H214" s="2066" t="s">
        <v>285</v>
      </c>
      <c r="I214" s="2071"/>
      <c r="J214" s="2068"/>
      <c r="K214" s="2069"/>
      <c r="L214" s="2066" t="s">
        <v>285</v>
      </c>
      <c r="M214" s="2071"/>
      <c r="N214" s="2068"/>
      <c r="O214" s="2069"/>
      <c r="P214" s="2070" t="s">
        <v>290</v>
      </c>
      <c r="Q214" s="2071"/>
      <c r="R214" s="2068"/>
      <c r="S214" s="2069"/>
      <c r="T214" s="2070" t="s">
        <v>289</v>
      </c>
      <c r="U214" s="2071"/>
      <c r="V214" s="2068"/>
      <c r="W214" s="2082"/>
      <c r="X214" s="1720"/>
      <c r="Y214" s="1720"/>
      <c r="Z214" s="1719"/>
      <c r="AA214" s="2082"/>
      <c r="AB214" s="1720"/>
      <c r="AC214" s="1720"/>
      <c r="AD214" s="1720"/>
      <c r="AE214" s="2082"/>
      <c r="AF214" s="1720"/>
      <c r="AG214" s="2074"/>
    </row>
    <row r="215" spans="1:33" ht="18" customHeight="1">
      <c r="A215" s="67"/>
      <c r="B215" s="1716" t="s">
        <v>268</v>
      </c>
      <c r="C215" s="2065" t="s">
        <v>132</v>
      </c>
      <c r="D215" s="2066" t="s">
        <v>291</v>
      </c>
      <c r="E215" s="2067"/>
      <c r="F215" s="2068"/>
      <c r="G215" s="2069"/>
      <c r="H215" s="2066" t="s">
        <v>291</v>
      </c>
      <c r="I215" s="2071"/>
      <c r="J215" s="2068"/>
      <c r="K215" s="2069"/>
      <c r="L215" s="2066" t="s">
        <v>273</v>
      </c>
      <c r="M215" s="2071"/>
      <c r="N215" s="2068"/>
      <c r="O215" s="2069"/>
      <c r="P215" s="2070" t="s">
        <v>292</v>
      </c>
      <c r="Q215" s="2071"/>
      <c r="R215" s="2068"/>
      <c r="S215" s="2069"/>
      <c r="T215" s="2070" t="s">
        <v>287</v>
      </c>
      <c r="U215" s="2071"/>
      <c r="V215" s="2068"/>
      <c r="W215" s="2082"/>
      <c r="X215" s="1720"/>
      <c r="Y215" s="1720"/>
      <c r="Z215" s="1719"/>
      <c r="AA215" s="2082"/>
      <c r="AB215" s="1720"/>
      <c r="AC215" s="1720"/>
      <c r="AD215" s="1720"/>
      <c r="AE215" s="2082"/>
      <c r="AF215" s="1720"/>
      <c r="AG215" s="2074"/>
    </row>
    <row r="216" spans="1:33" ht="18" customHeight="1">
      <c r="A216" s="67"/>
      <c r="B216" s="2075" t="s">
        <v>272</v>
      </c>
      <c r="C216" s="2065" t="s">
        <v>128</v>
      </c>
      <c r="D216" s="2066" t="s">
        <v>285</v>
      </c>
      <c r="E216" s="2067"/>
      <c r="F216" s="2068"/>
      <c r="G216" s="2069"/>
      <c r="H216" s="2066" t="s">
        <v>285</v>
      </c>
      <c r="I216" s="2071"/>
      <c r="J216" s="2068"/>
      <c r="K216" s="2069"/>
      <c r="L216" s="2066" t="s">
        <v>285</v>
      </c>
      <c r="M216" s="2071"/>
      <c r="N216" s="2068"/>
      <c r="O216" s="2069"/>
      <c r="P216" s="2070" t="s">
        <v>290</v>
      </c>
      <c r="Q216" s="2071"/>
      <c r="R216" s="2068"/>
      <c r="S216" s="2069"/>
      <c r="T216" s="2070" t="s">
        <v>289</v>
      </c>
      <c r="U216" s="2071"/>
      <c r="V216" s="2068"/>
      <c r="W216" s="2079"/>
      <c r="X216" s="1952"/>
      <c r="Y216" s="1952"/>
      <c r="Z216" s="1975"/>
      <c r="AA216" s="2079"/>
      <c r="AB216" s="1952"/>
      <c r="AC216" s="1952"/>
      <c r="AD216" s="1952"/>
      <c r="AE216" s="2079"/>
      <c r="AF216" s="1952"/>
      <c r="AG216" s="2080"/>
    </row>
    <row r="217" spans="1:33" ht="18" customHeight="1">
      <c r="A217" s="67"/>
      <c r="B217" s="1716" t="s">
        <v>275</v>
      </c>
      <c r="C217" s="2065" t="s">
        <v>127</v>
      </c>
      <c r="D217" s="2066" t="s">
        <v>285</v>
      </c>
      <c r="E217" s="2067"/>
      <c r="F217" s="2068"/>
      <c r="G217" s="2069"/>
      <c r="H217" s="2066" t="s">
        <v>285</v>
      </c>
      <c r="I217" s="2071"/>
      <c r="J217" s="2068"/>
      <c r="K217" s="2069"/>
      <c r="L217" s="2066" t="s">
        <v>285</v>
      </c>
      <c r="M217" s="2071"/>
      <c r="N217" s="2068"/>
      <c r="O217" s="2069"/>
      <c r="P217" s="2070" t="s">
        <v>286</v>
      </c>
      <c r="Q217" s="2071"/>
      <c r="R217" s="2068"/>
      <c r="S217" s="2069"/>
      <c r="T217" s="2070" t="s">
        <v>287</v>
      </c>
      <c r="U217" s="2071"/>
      <c r="V217" s="2068"/>
      <c r="W217" s="2082"/>
      <c r="X217" s="1720"/>
      <c r="Y217" s="1720"/>
      <c r="Z217" s="1720"/>
      <c r="AA217" s="2082"/>
      <c r="AB217" s="1720"/>
      <c r="AC217" s="1720"/>
      <c r="AD217" s="1720"/>
      <c r="AE217" s="2082"/>
      <c r="AF217" s="1720"/>
      <c r="AG217" s="2074"/>
    </row>
    <row r="218" spans="1:33" ht="18" customHeight="1">
      <c r="A218" s="67"/>
      <c r="B218" s="1716" t="s">
        <v>278</v>
      </c>
      <c r="C218" s="2065" t="s">
        <v>116</v>
      </c>
      <c r="D218" s="2066" t="s">
        <v>279</v>
      </c>
      <c r="E218" s="2067"/>
      <c r="F218" s="2068"/>
      <c r="G218" s="2069"/>
      <c r="H218" s="2070" t="s">
        <v>279</v>
      </c>
      <c r="I218" s="2071"/>
      <c r="J218" s="2068"/>
      <c r="K218" s="2069"/>
      <c r="L218" s="2070" t="s">
        <v>279</v>
      </c>
      <c r="M218" s="2071"/>
      <c r="N218" s="2071"/>
      <c r="O218" s="2069"/>
      <c r="P218" s="2070" t="s">
        <v>279</v>
      </c>
      <c r="Q218" s="2071"/>
      <c r="R218" s="2071"/>
      <c r="S218" s="2069"/>
      <c r="T218" s="2070" t="s">
        <v>264</v>
      </c>
      <c r="U218" s="2071"/>
      <c r="V218" s="2068"/>
      <c r="W218" s="1716"/>
      <c r="X218" s="1720"/>
      <c r="Y218" s="1720"/>
      <c r="Z218" s="1719"/>
      <c r="AA218" s="2081"/>
      <c r="AB218" s="1720"/>
      <c r="AC218" s="1720"/>
      <c r="AD218" s="1720"/>
      <c r="AE218" s="2082"/>
      <c r="AF218" s="1720"/>
      <c r="AG218" s="2074"/>
    </row>
    <row r="219" spans="1:33" ht="18" customHeight="1">
      <c r="A219" s="67"/>
      <c r="B219" s="1716" t="s">
        <v>280</v>
      </c>
      <c r="C219" s="2065" t="s">
        <v>123</v>
      </c>
      <c r="D219" s="2066" t="s">
        <v>281</v>
      </c>
      <c r="E219" s="2067"/>
      <c r="F219" s="2068"/>
      <c r="G219" s="2069"/>
      <c r="H219" s="2070" t="s">
        <v>281</v>
      </c>
      <c r="I219" s="2071"/>
      <c r="J219" s="2068"/>
      <c r="K219" s="2069"/>
      <c r="L219" s="2070" t="s">
        <v>281</v>
      </c>
      <c r="M219" s="2071"/>
      <c r="N219" s="2071"/>
      <c r="O219" s="2069"/>
      <c r="P219" s="2070" t="s">
        <v>282</v>
      </c>
      <c r="Q219" s="2071"/>
      <c r="R219" s="2071"/>
      <c r="S219" s="2069"/>
      <c r="T219" s="2070" t="s">
        <v>283</v>
      </c>
      <c r="U219" s="2071"/>
      <c r="V219" s="2068"/>
      <c r="W219" s="1716"/>
      <c r="X219" s="1720"/>
      <c r="Y219" s="1720"/>
      <c r="Z219" s="1719"/>
      <c r="AA219" s="2081"/>
      <c r="AB219" s="1720"/>
      <c r="AC219" s="1720"/>
      <c r="AD219" s="1720"/>
      <c r="AE219" s="2082"/>
      <c r="AF219" s="1720"/>
      <c r="AG219" s="2074"/>
    </row>
    <row r="220" spans="1:33" ht="18" customHeight="1" thickBot="1">
      <c r="A220" s="67"/>
      <c r="B220" s="119"/>
      <c r="C220" s="120"/>
      <c r="D220" s="121"/>
      <c r="E220" s="122"/>
      <c r="F220" s="122"/>
      <c r="G220" s="123"/>
      <c r="H220" s="121"/>
      <c r="I220" s="122"/>
      <c r="J220" s="122"/>
      <c r="K220" s="123"/>
      <c r="L220" s="121"/>
      <c r="M220" s="122"/>
      <c r="N220" s="122"/>
      <c r="O220" s="123"/>
      <c r="P220" s="115"/>
      <c r="Q220" s="122"/>
      <c r="R220" s="122"/>
      <c r="S220" s="123"/>
      <c r="T220" s="115"/>
      <c r="U220" s="122"/>
      <c r="V220" s="122"/>
      <c r="W220" s="122"/>
      <c r="X220" s="122"/>
      <c r="Y220" s="122"/>
      <c r="Z220" s="122"/>
      <c r="AA220" s="123"/>
      <c r="AB220" s="122"/>
      <c r="AC220" s="122"/>
      <c r="AD220" s="122"/>
      <c r="AE220" s="123"/>
      <c r="AF220" s="122"/>
      <c r="AG220" s="112"/>
    </row>
    <row r="221" spans="1:33" ht="18" customHeight="1" thickBot="1">
      <c r="A221" s="89"/>
      <c r="B221" s="2083" t="s">
        <v>38</v>
      </c>
      <c r="C221" s="1580">
        <v>1</v>
      </c>
      <c r="D221" s="1578">
        <v>2</v>
      </c>
      <c r="E221" s="1580">
        <v>3</v>
      </c>
      <c r="F221" s="1580">
        <v>4</v>
      </c>
      <c r="G221" s="1578">
        <v>5</v>
      </c>
      <c r="H221" s="1578">
        <v>6</v>
      </c>
      <c r="I221" s="1578">
        <v>7</v>
      </c>
      <c r="J221" s="1578">
        <v>8</v>
      </c>
      <c r="K221" s="1578">
        <v>9</v>
      </c>
      <c r="L221" s="1580">
        <v>10</v>
      </c>
      <c r="M221" s="1580">
        <v>11</v>
      </c>
      <c r="N221" s="1578">
        <v>12</v>
      </c>
      <c r="O221" s="1578">
        <v>13</v>
      </c>
      <c r="P221" s="1578">
        <v>14</v>
      </c>
      <c r="Q221" s="1578">
        <v>15</v>
      </c>
      <c r="R221" s="1578">
        <v>16</v>
      </c>
      <c r="S221" s="1580">
        <v>17</v>
      </c>
      <c r="T221" s="1580">
        <v>18</v>
      </c>
      <c r="U221" s="1578">
        <v>19</v>
      </c>
      <c r="V221" s="1578">
        <v>20</v>
      </c>
      <c r="W221" s="1578">
        <v>21</v>
      </c>
      <c r="X221" s="1578">
        <v>22</v>
      </c>
      <c r="Y221" s="1578">
        <v>23</v>
      </c>
      <c r="Z221" s="1580">
        <v>24</v>
      </c>
      <c r="AA221" s="1580">
        <v>25</v>
      </c>
      <c r="AB221" s="1578">
        <v>26</v>
      </c>
      <c r="AC221" s="1578">
        <v>27</v>
      </c>
      <c r="AD221" s="1578">
        <v>28</v>
      </c>
      <c r="AE221" s="1580">
        <v>29</v>
      </c>
      <c r="AF221" s="1578">
        <v>30</v>
      </c>
      <c r="AG221" s="1580">
        <v>31</v>
      </c>
    </row>
    <row r="222" spans="1:33" ht="18" customHeight="1">
      <c r="A222" s="67"/>
      <c r="B222" s="2084" t="s">
        <v>293</v>
      </c>
      <c r="C222" s="1902"/>
      <c r="D222" s="1902" t="s">
        <v>257</v>
      </c>
      <c r="E222" s="1902"/>
      <c r="F222" s="1902"/>
      <c r="G222" s="1984" t="s">
        <v>257</v>
      </c>
      <c r="H222" s="1902" t="s">
        <v>257</v>
      </c>
      <c r="I222" s="1902" t="s">
        <v>257</v>
      </c>
      <c r="J222" s="1902" t="s">
        <v>257</v>
      </c>
      <c r="K222" s="1902" t="s">
        <v>257</v>
      </c>
      <c r="L222" s="1902"/>
      <c r="M222" s="1902"/>
      <c r="N222" s="1902" t="s">
        <v>257</v>
      </c>
      <c r="O222" s="1902" t="s">
        <v>257</v>
      </c>
      <c r="P222" s="1902" t="s">
        <v>257</v>
      </c>
      <c r="Q222" s="1902" t="s">
        <v>257</v>
      </c>
      <c r="R222" s="1902" t="s">
        <v>257</v>
      </c>
      <c r="S222" s="1902"/>
      <c r="T222" s="1902"/>
      <c r="U222" s="1902" t="s">
        <v>257</v>
      </c>
      <c r="V222" s="1902" t="s">
        <v>257</v>
      </c>
      <c r="W222" s="1902" t="s">
        <v>257</v>
      </c>
      <c r="X222" s="1902" t="s">
        <v>257</v>
      </c>
      <c r="Y222" s="1902" t="s">
        <v>257</v>
      </c>
      <c r="Z222" s="1902"/>
      <c r="AA222" s="1902"/>
      <c r="AB222" s="1902" t="s">
        <v>257</v>
      </c>
      <c r="AC222" s="1902" t="s">
        <v>257</v>
      </c>
      <c r="AD222" s="1902" t="s">
        <v>257</v>
      </c>
      <c r="AE222" s="1902"/>
      <c r="AF222" s="1902" t="s">
        <v>257</v>
      </c>
      <c r="AG222" s="2085"/>
    </row>
    <row r="223" spans="1:33" ht="18" customHeight="1">
      <c r="A223" s="67"/>
      <c r="B223" s="2084" t="s">
        <v>294</v>
      </c>
      <c r="C223" s="1916"/>
      <c r="D223" s="1898" t="s">
        <v>130</v>
      </c>
      <c r="E223" s="1916"/>
      <c r="F223" s="1916"/>
      <c r="G223" s="1916" t="s">
        <v>130</v>
      </c>
      <c r="H223" s="1984" t="s">
        <v>130</v>
      </c>
      <c r="I223" s="1916" t="s">
        <v>130</v>
      </c>
      <c r="J223" s="1916" t="s">
        <v>130</v>
      </c>
      <c r="K223" s="1916" t="s">
        <v>130</v>
      </c>
      <c r="L223" s="1916"/>
      <c r="M223" s="1916"/>
      <c r="N223" s="1916" t="s">
        <v>130</v>
      </c>
      <c r="O223" s="1916" t="s">
        <v>130</v>
      </c>
      <c r="P223" s="1916" t="s">
        <v>130</v>
      </c>
      <c r="Q223" s="1916" t="s">
        <v>130</v>
      </c>
      <c r="R223" s="1916" t="s">
        <v>130</v>
      </c>
      <c r="S223" s="1916"/>
      <c r="T223" s="1916"/>
      <c r="U223" s="1916" t="s">
        <v>130</v>
      </c>
      <c r="V223" s="1916" t="s">
        <v>130</v>
      </c>
      <c r="W223" s="1916" t="s">
        <v>130</v>
      </c>
      <c r="X223" s="1916" t="s">
        <v>130</v>
      </c>
      <c r="Y223" s="1916" t="s">
        <v>130</v>
      </c>
      <c r="Z223" s="1916"/>
      <c r="AA223" s="1916"/>
      <c r="AB223" s="1916" t="s">
        <v>130</v>
      </c>
      <c r="AC223" s="1916" t="s">
        <v>130</v>
      </c>
      <c r="AD223" s="1916" t="s">
        <v>130</v>
      </c>
      <c r="AE223" s="1916"/>
      <c r="AF223" s="1898" t="s">
        <v>130</v>
      </c>
      <c r="AG223" s="2012"/>
    </row>
    <row r="224" spans="1:33" ht="18" customHeight="1">
      <c r="A224" s="67"/>
      <c r="B224" s="2086" t="s">
        <v>295</v>
      </c>
      <c r="C224" s="1902"/>
      <c r="D224" s="1902" t="s">
        <v>153</v>
      </c>
      <c r="E224" s="1944"/>
      <c r="F224" s="1902"/>
      <c r="G224" s="1902" t="s">
        <v>153</v>
      </c>
      <c r="H224" s="1902" t="s">
        <v>153</v>
      </c>
      <c r="I224" s="1984" t="s">
        <v>153</v>
      </c>
      <c r="J224" s="1902" t="s">
        <v>153</v>
      </c>
      <c r="K224" s="1902" t="s">
        <v>153</v>
      </c>
      <c r="L224" s="1944"/>
      <c r="M224" s="1902"/>
      <c r="N224" s="1902" t="s">
        <v>153</v>
      </c>
      <c r="O224" s="1902" t="s">
        <v>153</v>
      </c>
      <c r="P224" s="1902" t="s">
        <v>153</v>
      </c>
      <c r="Q224" s="1902" t="s">
        <v>153</v>
      </c>
      <c r="R224" s="1902" t="s">
        <v>153</v>
      </c>
      <c r="S224" s="1944"/>
      <c r="T224" s="1902"/>
      <c r="U224" s="1902" t="s">
        <v>153</v>
      </c>
      <c r="V224" s="1902" t="s">
        <v>153</v>
      </c>
      <c r="W224" s="1902" t="s">
        <v>153</v>
      </c>
      <c r="X224" s="1902" t="s">
        <v>153</v>
      </c>
      <c r="Y224" s="1902" t="s">
        <v>153</v>
      </c>
      <c r="Z224" s="1944"/>
      <c r="AA224" s="1902"/>
      <c r="AB224" s="1902" t="s">
        <v>153</v>
      </c>
      <c r="AC224" s="1902" t="s">
        <v>153</v>
      </c>
      <c r="AD224" s="1902" t="s">
        <v>153</v>
      </c>
      <c r="AE224" s="1902"/>
      <c r="AF224" s="1902" t="s">
        <v>153</v>
      </c>
      <c r="AG224" s="2012"/>
    </row>
    <row r="225" spans="1:33" ht="18" customHeight="1">
      <c r="A225" s="67"/>
      <c r="B225" s="2084" t="s">
        <v>296</v>
      </c>
      <c r="C225" s="1902"/>
      <c r="D225" s="1902" t="s">
        <v>132</v>
      </c>
      <c r="E225" s="1902"/>
      <c r="F225" s="1902"/>
      <c r="G225" s="1902" t="s">
        <v>132</v>
      </c>
      <c r="H225" s="1902" t="s">
        <v>132</v>
      </c>
      <c r="I225" s="1902" t="s">
        <v>132</v>
      </c>
      <c r="J225" s="1916" t="s">
        <v>132</v>
      </c>
      <c r="K225" s="1902" t="s">
        <v>132</v>
      </c>
      <c r="L225" s="1902"/>
      <c r="M225" s="1902"/>
      <c r="N225" s="1902" t="s">
        <v>132</v>
      </c>
      <c r="O225" s="1902" t="s">
        <v>132</v>
      </c>
      <c r="P225" s="1902" t="s">
        <v>132</v>
      </c>
      <c r="Q225" s="1902" t="s">
        <v>132</v>
      </c>
      <c r="R225" s="1902" t="s">
        <v>132</v>
      </c>
      <c r="S225" s="1902"/>
      <c r="T225" s="1902"/>
      <c r="U225" s="1902" t="s">
        <v>132</v>
      </c>
      <c r="V225" s="1902" t="s">
        <v>132</v>
      </c>
      <c r="W225" s="1902" t="s">
        <v>132</v>
      </c>
      <c r="X225" s="1902" t="s">
        <v>132</v>
      </c>
      <c r="Y225" s="1902" t="s">
        <v>132</v>
      </c>
      <c r="Z225" s="1902"/>
      <c r="AA225" s="1902"/>
      <c r="AB225" s="1898" t="s">
        <v>132</v>
      </c>
      <c r="AC225" s="1902" t="s">
        <v>132</v>
      </c>
      <c r="AD225" s="1902" t="s">
        <v>132</v>
      </c>
      <c r="AE225" s="1902"/>
      <c r="AF225" s="1898" t="s">
        <v>132</v>
      </c>
      <c r="AG225" s="2012"/>
    </row>
    <row r="226" spans="1:33" ht="18" customHeight="1">
      <c r="A226" s="67"/>
      <c r="B226" s="1722" t="s">
        <v>297</v>
      </c>
      <c r="C226" s="1902"/>
      <c r="D226" s="1902" t="s">
        <v>128</v>
      </c>
      <c r="E226" s="1902"/>
      <c r="F226" s="1902"/>
      <c r="G226" s="1902" t="s">
        <v>128</v>
      </c>
      <c r="H226" s="1902" t="s">
        <v>128</v>
      </c>
      <c r="I226" s="1902" t="s">
        <v>128</v>
      </c>
      <c r="J226" s="1902" t="s">
        <v>128</v>
      </c>
      <c r="K226" s="1984" t="s">
        <v>128</v>
      </c>
      <c r="L226" s="1902"/>
      <c r="M226" s="1902"/>
      <c r="N226" s="1902" t="s">
        <v>128</v>
      </c>
      <c r="O226" s="1902" t="s">
        <v>128</v>
      </c>
      <c r="P226" s="1902" t="s">
        <v>128</v>
      </c>
      <c r="Q226" s="1902" t="s">
        <v>128</v>
      </c>
      <c r="R226" s="1902" t="s">
        <v>128</v>
      </c>
      <c r="S226" s="1902"/>
      <c r="T226" s="1902"/>
      <c r="U226" s="1898" t="s">
        <v>128</v>
      </c>
      <c r="V226" s="1902" t="s">
        <v>128</v>
      </c>
      <c r="W226" s="1902" t="s">
        <v>128</v>
      </c>
      <c r="X226" s="1902" t="s">
        <v>128</v>
      </c>
      <c r="Y226" s="1898" t="s">
        <v>128</v>
      </c>
      <c r="Z226" s="1902"/>
      <c r="AA226" s="1902"/>
      <c r="AB226" s="1902" t="s">
        <v>128</v>
      </c>
      <c r="AC226" s="1984" t="s">
        <v>128</v>
      </c>
      <c r="AD226" s="1902" t="s">
        <v>128</v>
      </c>
      <c r="AE226" s="1902"/>
      <c r="AF226" s="1902" t="s">
        <v>128</v>
      </c>
      <c r="AG226" s="2012"/>
    </row>
    <row r="227" spans="1:33" ht="18" customHeight="1">
      <c r="A227" s="67"/>
      <c r="B227" s="2087" t="s">
        <v>298</v>
      </c>
      <c r="C227" s="1902"/>
      <c r="D227" s="1902" t="s">
        <v>127</v>
      </c>
      <c r="E227" s="1902"/>
      <c r="F227" s="1902"/>
      <c r="G227" s="1902" t="s">
        <v>127</v>
      </c>
      <c r="H227" s="1902" t="s">
        <v>127</v>
      </c>
      <c r="I227" s="1902" t="s">
        <v>127</v>
      </c>
      <c r="J227" s="1902" t="s">
        <v>127</v>
      </c>
      <c r="K227" s="1902" t="s">
        <v>127</v>
      </c>
      <c r="L227" s="1902"/>
      <c r="M227" s="1902"/>
      <c r="N227" s="1902" t="s">
        <v>127</v>
      </c>
      <c r="O227" s="1902" t="s">
        <v>127</v>
      </c>
      <c r="P227" s="1902" t="s">
        <v>127</v>
      </c>
      <c r="Q227" s="1902" t="s">
        <v>127</v>
      </c>
      <c r="R227" s="1902" t="s">
        <v>127</v>
      </c>
      <c r="S227" s="1902"/>
      <c r="T227" s="1902"/>
      <c r="U227" s="1902" t="s">
        <v>127</v>
      </c>
      <c r="V227" s="1898" t="s">
        <v>127</v>
      </c>
      <c r="W227" s="1902" t="s">
        <v>127</v>
      </c>
      <c r="X227" s="1902" t="s">
        <v>127</v>
      </c>
      <c r="Y227" s="1902" t="s">
        <v>127</v>
      </c>
      <c r="Z227" s="1902"/>
      <c r="AA227" s="1902"/>
      <c r="AB227" s="1984" t="s">
        <v>127</v>
      </c>
      <c r="AC227" s="1902" t="s">
        <v>127</v>
      </c>
      <c r="AD227" s="1902" t="s">
        <v>127</v>
      </c>
      <c r="AE227" s="1902"/>
      <c r="AF227" s="1902" t="s">
        <v>127</v>
      </c>
      <c r="AG227" s="2012"/>
    </row>
    <row r="228" spans="1:33" ht="18" customHeight="1">
      <c r="A228" s="67"/>
      <c r="B228" s="1884" t="s">
        <v>299</v>
      </c>
      <c r="C228" s="1902"/>
      <c r="D228" s="1902" t="s">
        <v>123</v>
      </c>
      <c r="E228" s="1902"/>
      <c r="F228" s="1902"/>
      <c r="G228" s="1898" t="s">
        <v>123</v>
      </c>
      <c r="H228" s="1898" t="s">
        <v>123</v>
      </c>
      <c r="I228" s="1898" t="s">
        <v>123</v>
      </c>
      <c r="J228" s="1898" t="s">
        <v>123</v>
      </c>
      <c r="K228" s="1898" t="s">
        <v>123</v>
      </c>
      <c r="L228" s="1898"/>
      <c r="M228" s="1898"/>
      <c r="N228" s="1898" t="s">
        <v>123</v>
      </c>
      <c r="O228" s="1898" t="s">
        <v>123</v>
      </c>
      <c r="P228" s="1898" t="s">
        <v>123</v>
      </c>
      <c r="Q228" s="1898" t="s">
        <v>123</v>
      </c>
      <c r="R228" s="1898" t="s">
        <v>123</v>
      </c>
      <c r="S228" s="1898"/>
      <c r="T228" s="1898"/>
      <c r="U228" s="1898" t="s">
        <v>123</v>
      </c>
      <c r="V228" s="1898" t="s">
        <v>123</v>
      </c>
      <c r="W228" s="1898" t="s">
        <v>123</v>
      </c>
      <c r="X228" s="1898" t="s">
        <v>123</v>
      </c>
      <c r="Y228" s="1898" t="s">
        <v>123</v>
      </c>
      <c r="Z228" s="1898"/>
      <c r="AA228" s="1898"/>
      <c r="AB228" s="1902" t="s">
        <v>123</v>
      </c>
      <c r="AC228" s="1902" t="s">
        <v>123</v>
      </c>
      <c r="AD228" s="1984" t="s">
        <v>123</v>
      </c>
      <c r="AE228" s="1902"/>
      <c r="AF228" s="1902" t="s">
        <v>123</v>
      </c>
      <c r="AG228" s="2012"/>
    </row>
    <row r="229" spans="1:33" ht="18" customHeight="1">
      <c r="A229" s="67"/>
      <c r="B229" s="1884" t="s">
        <v>300</v>
      </c>
      <c r="C229" s="1902"/>
      <c r="D229" s="2088" t="s">
        <v>116</v>
      </c>
      <c r="E229" s="1902"/>
      <c r="F229" s="1902"/>
      <c r="G229" s="1902" t="s">
        <v>116</v>
      </c>
      <c r="H229" s="1902" t="s">
        <v>116</v>
      </c>
      <c r="I229" s="1902" t="s">
        <v>116</v>
      </c>
      <c r="J229" s="1902" t="s">
        <v>116</v>
      </c>
      <c r="K229" s="1902" t="s">
        <v>116</v>
      </c>
      <c r="L229" s="1902"/>
      <c r="M229" s="1902"/>
      <c r="N229" s="1902" t="s">
        <v>116</v>
      </c>
      <c r="O229" s="1902" t="s">
        <v>116</v>
      </c>
      <c r="P229" s="2089" t="s">
        <v>301</v>
      </c>
      <c r="Q229" s="1870" t="s">
        <v>116</v>
      </c>
      <c r="R229" s="1870" t="s">
        <v>116</v>
      </c>
      <c r="S229" s="1902"/>
      <c r="T229" s="1902"/>
      <c r="U229" s="1902" t="s">
        <v>116</v>
      </c>
      <c r="V229" s="1902" t="s">
        <v>116</v>
      </c>
      <c r="W229" s="1902" t="s">
        <v>116</v>
      </c>
      <c r="X229" s="1984" t="s">
        <v>116</v>
      </c>
      <c r="Y229" s="1902" t="s">
        <v>116</v>
      </c>
      <c r="Z229" s="1902"/>
      <c r="AA229" s="1902"/>
      <c r="AB229" s="2089" t="s">
        <v>116</v>
      </c>
      <c r="AC229" s="2090" t="s">
        <v>116</v>
      </c>
      <c r="AD229" s="1924" t="s">
        <v>116</v>
      </c>
      <c r="AE229" s="1924"/>
      <c r="AF229" s="1924" t="s">
        <v>116</v>
      </c>
      <c r="AG229" s="1924"/>
    </row>
    <row r="230" spans="1:33" ht="18" customHeight="1">
      <c r="A230" s="89"/>
      <c r="B230" s="125"/>
      <c r="C230" s="124"/>
      <c r="D230" s="124"/>
      <c r="E230" s="124"/>
      <c r="F230" s="124"/>
      <c r="G230" s="124"/>
      <c r="H230" s="124"/>
      <c r="I230" s="124"/>
      <c r="J230" s="124"/>
      <c r="K230" s="124"/>
      <c r="L230" s="124"/>
      <c r="M230" s="124"/>
      <c r="N230" s="124"/>
      <c r="O230" s="124"/>
      <c r="P230" s="124"/>
      <c r="Q230" s="124"/>
      <c r="R230" s="124"/>
      <c r="S230" s="124"/>
      <c r="T230" s="124"/>
      <c r="U230" s="124"/>
      <c r="V230" s="124"/>
      <c r="W230" s="124"/>
      <c r="X230" s="124"/>
      <c r="Y230" s="124"/>
      <c r="Z230" s="124"/>
      <c r="AA230" s="124"/>
      <c r="AB230" s="124"/>
      <c r="AC230" s="124"/>
      <c r="AD230" s="124"/>
      <c r="AE230" s="124"/>
      <c r="AF230" s="124"/>
    </row>
    <row r="231" spans="1:33" ht="18" customHeight="1">
      <c r="C231" s="18"/>
      <c r="D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8"/>
      <c r="V231" s="18"/>
      <c r="W231" s="18"/>
      <c r="X231" s="18"/>
      <c r="Y231" s="18"/>
      <c r="Z231" s="18"/>
      <c r="AA231" s="18"/>
      <c r="AB231" s="18"/>
      <c r="AC231" s="18"/>
      <c r="AD231" s="18"/>
      <c r="AE231" s="18"/>
      <c r="AF231" s="18"/>
    </row>
    <row r="232" spans="1:33" ht="18" customHeight="1" thickBot="1">
      <c r="A232" s="1" t="s">
        <v>302</v>
      </c>
      <c r="B232" s="37"/>
    </row>
    <row r="233" spans="1:33" ht="18" customHeight="1">
      <c r="A233" s="1"/>
      <c r="B233" s="2091" t="s">
        <v>303</v>
      </c>
      <c r="C233" s="2092" t="s">
        <v>19</v>
      </c>
      <c r="D233" s="1619"/>
      <c r="E233" s="1619"/>
      <c r="F233" s="1619"/>
      <c r="G233" s="2092" t="s">
        <v>20</v>
      </c>
      <c r="H233" s="1619"/>
      <c r="I233" s="1619"/>
      <c r="J233" s="1619"/>
      <c r="K233" s="2092" t="s">
        <v>21</v>
      </c>
      <c r="L233" s="1619"/>
      <c r="M233" s="1619"/>
      <c r="N233" s="1619"/>
      <c r="O233" s="2092" t="s">
        <v>22</v>
      </c>
      <c r="P233" s="1619"/>
      <c r="Q233" s="1619"/>
      <c r="R233" s="1619"/>
      <c r="S233" s="2092" t="s">
        <v>23</v>
      </c>
      <c r="T233" s="1619"/>
      <c r="U233" s="1619"/>
      <c r="V233" s="1619"/>
      <c r="W233" s="2092" t="s">
        <v>24</v>
      </c>
      <c r="X233" s="1643"/>
      <c r="Y233" s="1619"/>
      <c r="Z233" s="2093"/>
      <c r="AA233" s="2092" t="s">
        <v>25</v>
      </c>
      <c r="AB233" s="1643"/>
      <c r="AC233" s="1619"/>
      <c r="AD233" s="2093"/>
      <c r="AE233" s="2094" t="s">
        <v>108</v>
      </c>
      <c r="AF233" s="1619"/>
      <c r="AG233" s="1637"/>
    </row>
    <row r="234" spans="1:33" ht="18" customHeight="1">
      <c r="A234" s="1"/>
      <c r="B234" s="2095">
        <v>3701</v>
      </c>
      <c r="C234" s="68" t="s">
        <v>304</v>
      </c>
      <c r="D234" s="68"/>
      <c r="E234" s="68"/>
      <c r="F234" s="68"/>
      <c r="G234" s="279" t="s">
        <v>305</v>
      </c>
      <c r="H234" s="68"/>
      <c r="I234" s="68"/>
      <c r="J234" s="68"/>
      <c r="K234" s="279" t="s">
        <v>305</v>
      </c>
      <c r="L234" s="68"/>
      <c r="M234" s="68"/>
      <c r="N234" s="68"/>
      <c r="O234" s="279" t="s">
        <v>305</v>
      </c>
      <c r="P234" s="68"/>
      <c r="Q234" s="68"/>
      <c r="R234" s="68"/>
      <c r="S234" s="279" t="s">
        <v>306</v>
      </c>
      <c r="T234" s="68"/>
      <c r="U234" s="68"/>
      <c r="V234" s="68"/>
      <c r="W234" s="1973"/>
      <c r="X234" s="2096"/>
      <c r="Y234" s="1808"/>
      <c r="Z234" s="2097"/>
      <c r="AA234" s="1973"/>
      <c r="AB234" s="2096"/>
      <c r="AC234" s="1808"/>
      <c r="AD234" s="2097"/>
      <c r="AE234" s="2014"/>
      <c r="AF234" s="1808"/>
      <c r="AG234" s="2058"/>
    </row>
    <row r="235" spans="1:33" ht="18" customHeight="1">
      <c r="B235" s="2091">
        <v>3700</v>
      </c>
      <c r="C235" s="1808" t="s">
        <v>204</v>
      </c>
      <c r="D235" s="1808"/>
      <c r="E235" s="1808"/>
      <c r="F235" s="1808"/>
      <c r="G235" s="2098" t="s">
        <v>204</v>
      </c>
      <c r="H235" s="1808"/>
      <c r="I235" s="1808"/>
      <c r="J235" s="1808"/>
      <c r="K235" s="2098" t="s">
        <v>204</v>
      </c>
      <c r="L235" s="1808"/>
      <c r="M235" s="1808"/>
      <c r="N235" s="1808"/>
      <c r="O235" s="2098" t="s">
        <v>204</v>
      </c>
      <c r="P235" s="1808"/>
      <c r="Q235" s="1808"/>
      <c r="R235" s="1808"/>
      <c r="S235" s="2098" t="s">
        <v>205</v>
      </c>
      <c r="T235" s="1808"/>
      <c r="U235" s="1808"/>
      <c r="V235" s="1808"/>
      <c r="W235" s="1973"/>
      <c r="X235" s="1808"/>
      <c r="Y235" s="1808"/>
      <c r="Z235" s="2016"/>
      <c r="AA235" s="2014"/>
      <c r="AB235" s="1808"/>
      <c r="AC235" s="1808"/>
      <c r="AD235" s="1968"/>
      <c r="AE235" s="2099"/>
      <c r="AF235" s="1808"/>
      <c r="AG235" s="2058"/>
    </row>
    <row r="236" spans="1:33" ht="18" customHeight="1">
      <c r="A236" s="1"/>
      <c r="B236" s="2091">
        <v>8514</v>
      </c>
      <c r="C236" s="1808" t="s">
        <v>305</v>
      </c>
      <c r="D236" s="1808"/>
      <c r="E236" s="1808"/>
      <c r="F236" s="1808"/>
      <c r="G236" s="2098" t="s">
        <v>305</v>
      </c>
      <c r="H236" s="1808"/>
      <c r="I236" s="1808"/>
      <c r="J236" s="1808"/>
      <c r="K236" s="2098" t="s">
        <v>305</v>
      </c>
      <c r="L236" s="1808"/>
      <c r="M236" s="1808"/>
      <c r="N236" s="1808"/>
      <c r="O236" s="2098" t="s">
        <v>305</v>
      </c>
      <c r="P236" s="1808"/>
      <c r="Q236" s="1808"/>
      <c r="R236" s="1808"/>
      <c r="S236" s="2098" t="s">
        <v>307</v>
      </c>
      <c r="T236" s="1808"/>
      <c r="U236" s="1808"/>
      <c r="V236" s="1808"/>
      <c r="W236" s="1973"/>
      <c r="X236" s="1808"/>
      <c r="Y236" s="1808"/>
      <c r="Z236" s="2016"/>
      <c r="AA236" s="1969"/>
      <c r="AB236" s="1808"/>
      <c r="AC236" s="1808"/>
      <c r="AD236" s="1968"/>
      <c r="AE236" s="1969"/>
      <c r="AF236" s="1808"/>
      <c r="AG236" s="2058"/>
    </row>
    <row r="237" spans="1:33" ht="18" customHeight="1">
      <c r="A237" s="1"/>
      <c r="B237" s="2091">
        <v>8500</v>
      </c>
      <c r="C237" s="531" t="s">
        <v>308</v>
      </c>
      <c r="D237" s="531"/>
      <c r="E237" s="531"/>
      <c r="G237" s="532"/>
      <c r="H237" s="533" t="s">
        <v>308</v>
      </c>
      <c r="I237" s="532"/>
      <c r="J237" s="532"/>
      <c r="K237" s="532"/>
      <c r="L237" s="533" t="s">
        <v>308</v>
      </c>
      <c r="M237" s="532"/>
      <c r="N237" s="532"/>
      <c r="O237" s="532"/>
      <c r="P237" s="533" t="s">
        <v>308</v>
      </c>
      <c r="Q237" s="532"/>
      <c r="R237" s="532"/>
      <c r="S237" s="534" t="s">
        <v>309</v>
      </c>
      <c r="T237" s="531"/>
      <c r="U237" s="531"/>
      <c r="V237" s="531"/>
      <c r="W237" s="1973"/>
      <c r="X237" s="531"/>
      <c r="Y237" s="531"/>
      <c r="Z237" s="535"/>
      <c r="AA237" s="536"/>
      <c r="AB237" s="531"/>
      <c r="AC237" s="531"/>
      <c r="AD237" s="535"/>
      <c r="AE237" s="536"/>
      <c r="AF237" s="531"/>
      <c r="AG237" s="466"/>
    </row>
    <row r="238" spans="1:33" ht="18" customHeight="1">
      <c r="A238" s="1"/>
      <c r="B238" s="2091">
        <v>8514</v>
      </c>
      <c r="C238" s="537" t="s">
        <v>305</v>
      </c>
      <c r="D238" s="537"/>
      <c r="E238" s="537"/>
      <c r="F238" s="537"/>
      <c r="G238" s="538" t="s">
        <v>305</v>
      </c>
      <c r="H238" s="537"/>
      <c r="I238" s="537"/>
      <c r="J238" s="537"/>
      <c r="K238" s="538" t="s">
        <v>305</v>
      </c>
      <c r="L238" s="537"/>
      <c r="M238" s="537"/>
      <c r="N238" s="537"/>
      <c r="O238" s="538" t="s">
        <v>305</v>
      </c>
      <c r="P238" s="537"/>
      <c r="Q238" s="537"/>
      <c r="R238" s="537"/>
      <c r="S238" s="538" t="s">
        <v>307</v>
      </c>
      <c r="T238" s="537"/>
      <c r="U238" s="537"/>
      <c r="V238" s="537"/>
      <c r="W238" s="2100"/>
      <c r="X238" s="539"/>
      <c r="Y238" s="531"/>
      <c r="Z238" s="540"/>
      <c r="AA238" s="541"/>
      <c r="AB238" s="539"/>
      <c r="AC238" s="531"/>
      <c r="AD238" s="531"/>
      <c r="AE238" s="542"/>
      <c r="AF238" s="531"/>
      <c r="AG238" s="466"/>
    </row>
    <row r="239" spans="1:33" ht="18" customHeight="1" thickBot="1">
      <c r="A239" s="1"/>
      <c r="B239" s="2101" t="s">
        <v>310</v>
      </c>
      <c r="C239" s="1814" t="s">
        <v>10</v>
      </c>
      <c r="D239" s="1814"/>
      <c r="E239" s="1814"/>
      <c r="F239" s="1814"/>
      <c r="G239" s="2102" t="s">
        <v>10</v>
      </c>
      <c r="H239" s="1814"/>
      <c r="I239" s="1814"/>
      <c r="J239" s="1814"/>
      <c r="K239" s="1852" t="s">
        <v>10</v>
      </c>
      <c r="L239" s="1814"/>
      <c r="M239" s="1814"/>
      <c r="N239" s="1814"/>
      <c r="O239" s="2102" t="s">
        <v>10</v>
      </c>
      <c r="P239" s="1814"/>
      <c r="Q239" s="1814"/>
      <c r="R239" s="1814"/>
      <c r="S239" s="2102" t="s">
        <v>10</v>
      </c>
      <c r="T239" s="1814"/>
      <c r="U239" s="1814"/>
      <c r="V239" s="1814"/>
      <c r="W239" s="1852"/>
      <c r="X239" s="1814"/>
      <c r="Y239" s="1814"/>
      <c r="Z239" s="2048"/>
      <c r="AA239" s="2026"/>
      <c r="AB239" s="1814"/>
      <c r="AC239" s="1814"/>
      <c r="AD239" s="2049"/>
      <c r="AE239" s="2103"/>
      <c r="AF239" s="1814"/>
      <c r="AG239" s="2060"/>
    </row>
    <row r="241" spans="1:33" ht="18" customHeight="1" thickBot="1">
      <c r="A241" s="1" t="s">
        <v>311</v>
      </c>
      <c r="B241" s="5"/>
      <c r="C241" s="42"/>
      <c r="D241" s="68"/>
      <c r="E241" s="68"/>
      <c r="F241" s="46"/>
      <c r="G241" s="42"/>
      <c r="H241" s="68"/>
      <c r="I241" s="68"/>
      <c r="J241" s="46"/>
      <c r="K241" s="42"/>
      <c r="L241" s="68"/>
      <c r="M241" s="68"/>
      <c r="N241" s="46"/>
      <c r="O241" s="42"/>
      <c r="P241" s="68"/>
      <c r="Q241" s="68"/>
      <c r="R241" s="46"/>
      <c r="S241" s="42"/>
      <c r="T241" s="68"/>
      <c r="U241" s="68"/>
      <c r="V241" s="46"/>
      <c r="W241" s="46"/>
      <c r="Z241" s="46"/>
      <c r="AA241" s="46"/>
      <c r="AD241" s="46"/>
      <c r="AE241" s="46"/>
    </row>
    <row r="242" spans="1:33" ht="18" customHeight="1" thickBot="1">
      <c r="A242" s="2009"/>
      <c r="B242" s="1572" t="s">
        <v>38</v>
      </c>
      <c r="C242" s="1580">
        <v>1</v>
      </c>
      <c r="D242" s="1578">
        <v>2</v>
      </c>
      <c r="E242" s="1580">
        <v>3</v>
      </c>
      <c r="F242" s="1580">
        <v>4</v>
      </c>
      <c r="G242" s="1578">
        <v>5</v>
      </c>
      <c r="H242" s="1578">
        <v>6</v>
      </c>
      <c r="I242" s="1578">
        <v>7</v>
      </c>
      <c r="J242" s="1578">
        <v>8</v>
      </c>
      <c r="K242" s="1578">
        <v>9</v>
      </c>
      <c r="L242" s="1580">
        <v>10</v>
      </c>
      <c r="M242" s="1580">
        <v>11</v>
      </c>
      <c r="N242" s="1578">
        <v>12</v>
      </c>
      <c r="O242" s="1578">
        <v>13</v>
      </c>
      <c r="P242" s="1578">
        <v>14</v>
      </c>
      <c r="Q242" s="1578">
        <v>15</v>
      </c>
      <c r="R242" s="1578">
        <v>16</v>
      </c>
      <c r="S242" s="1580">
        <v>17</v>
      </c>
      <c r="T242" s="1580">
        <v>18</v>
      </c>
      <c r="U242" s="1578">
        <v>19</v>
      </c>
      <c r="V242" s="1578">
        <v>20</v>
      </c>
      <c r="W242" s="1578">
        <v>21</v>
      </c>
      <c r="X242" s="1578">
        <v>22</v>
      </c>
      <c r="Y242" s="1578">
        <v>23</v>
      </c>
      <c r="Z242" s="1580">
        <v>24</v>
      </c>
      <c r="AA242" s="1580">
        <v>25</v>
      </c>
      <c r="AB242" s="1578">
        <v>26</v>
      </c>
      <c r="AC242" s="1578">
        <v>27</v>
      </c>
      <c r="AD242" s="1578">
        <v>28</v>
      </c>
      <c r="AE242" s="1580">
        <v>29</v>
      </c>
      <c r="AF242" s="1578">
        <v>30</v>
      </c>
      <c r="AG242" s="1580">
        <v>31</v>
      </c>
    </row>
    <row r="243" spans="1:33" ht="18" customHeight="1">
      <c r="A243" s="2104"/>
      <c r="B243" s="2105"/>
      <c r="C243" s="1944"/>
      <c r="D243" s="1944" t="s">
        <v>40</v>
      </c>
      <c r="E243" s="1944"/>
      <c r="F243" s="1944"/>
      <c r="G243" s="1944" t="s">
        <v>40</v>
      </c>
      <c r="H243" s="1909" t="s">
        <v>40</v>
      </c>
      <c r="I243" s="1909" t="s">
        <v>40</v>
      </c>
      <c r="J243" s="1944" t="s">
        <v>40</v>
      </c>
      <c r="K243" s="1917" t="s">
        <v>40</v>
      </c>
      <c r="L243" s="1917"/>
      <c r="M243" s="1917"/>
      <c r="N243" s="1917" t="s">
        <v>40</v>
      </c>
      <c r="O243" s="1917" t="s">
        <v>40</v>
      </c>
      <c r="P243" s="1909" t="s">
        <v>40</v>
      </c>
      <c r="Q243" s="1944" t="s">
        <v>40</v>
      </c>
      <c r="R243" s="1944" t="s">
        <v>40</v>
      </c>
      <c r="S243" s="1944"/>
      <c r="T243" s="1944"/>
      <c r="U243" s="1944" t="s">
        <v>40</v>
      </c>
      <c r="V243" s="1909" t="s">
        <v>40</v>
      </c>
      <c r="W243" s="1909" t="s">
        <v>40</v>
      </c>
      <c r="X243" s="1944" t="s">
        <v>40</v>
      </c>
      <c r="Y243" s="1944" t="s">
        <v>40</v>
      </c>
      <c r="Z243" s="1902"/>
      <c r="AA243" s="1902"/>
      <c r="AB243" s="1902" t="s">
        <v>40</v>
      </c>
      <c r="AC243" s="1902" t="s">
        <v>40</v>
      </c>
      <c r="AD243" s="1902" t="s">
        <v>40</v>
      </c>
      <c r="AE243" s="1902"/>
      <c r="AF243" s="1921" t="s">
        <v>40</v>
      </c>
      <c r="AG243" s="2106"/>
    </row>
    <row r="244" spans="1:33" ht="18" customHeight="1">
      <c r="A244" s="2107"/>
      <c r="B244" s="2108" t="s">
        <v>312</v>
      </c>
      <c r="C244" s="1944"/>
      <c r="D244" s="1944"/>
      <c r="E244" s="1944"/>
      <c r="F244" s="1944"/>
      <c r="G244" s="1944"/>
      <c r="H244" s="1909"/>
      <c r="I244" s="1909"/>
      <c r="J244" s="1944"/>
      <c r="K244" s="1917"/>
      <c r="L244" s="1917"/>
      <c r="M244" s="1917"/>
      <c r="N244" s="1917"/>
      <c r="O244" s="1917"/>
      <c r="P244" s="1909"/>
      <c r="Q244" s="1944"/>
      <c r="R244" s="1944"/>
      <c r="S244" s="1944"/>
      <c r="T244" s="1944"/>
      <c r="U244" s="1944"/>
      <c r="V244" s="1909"/>
      <c r="W244" s="1909"/>
      <c r="X244" s="1944"/>
      <c r="Y244" s="1944"/>
      <c r="Z244" s="1902"/>
      <c r="AA244" s="1902"/>
      <c r="AB244" s="1902"/>
      <c r="AC244" s="1902"/>
      <c r="AD244" s="1902"/>
      <c r="AE244" s="1902"/>
      <c r="AF244" s="1921"/>
      <c r="AG244" s="2109"/>
    </row>
    <row r="245" spans="1:33" ht="18" customHeight="1">
      <c r="A245" s="2110">
        <v>8514</v>
      </c>
      <c r="B245" s="2111" t="s">
        <v>313</v>
      </c>
      <c r="C245" s="1760"/>
      <c r="D245" s="1760" t="s">
        <v>40</v>
      </c>
      <c r="E245" s="1760"/>
      <c r="F245" s="1753"/>
      <c r="G245" s="1760" t="s">
        <v>40</v>
      </c>
      <c r="H245" s="1760" t="s">
        <v>40</v>
      </c>
      <c r="I245" s="1760" t="s">
        <v>40</v>
      </c>
      <c r="J245" s="1760" t="s">
        <v>40</v>
      </c>
      <c r="K245" s="1760" t="s">
        <v>40</v>
      </c>
      <c r="L245" s="1760"/>
      <c r="M245" s="1760"/>
      <c r="N245" s="1845" t="s">
        <v>40</v>
      </c>
      <c r="O245" s="1760" t="s">
        <v>40</v>
      </c>
      <c r="P245" s="1737" t="s">
        <v>40</v>
      </c>
      <c r="Q245" s="1737" t="s">
        <v>40</v>
      </c>
      <c r="R245" s="1737" t="s">
        <v>40</v>
      </c>
      <c r="S245" s="1737"/>
      <c r="T245" s="1760"/>
      <c r="U245" s="1760" t="s">
        <v>40</v>
      </c>
      <c r="V245" s="1753" t="s">
        <v>40</v>
      </c>
      <c r="W245" s="1760" t="s">
        <v>40</v>
      </c>
      <c r="X245" s="1760" t="s">
        <v>40</v>
      </c>
      <c r="Y245" s="1760" t="s">
        <v>40</v>
      </c>
      <c r="Z245" s="1760"/>
      <c r="AA245" s="1753"/>
      <c r="AB245" s="1760" t="s">
        <v>40</v>
      </c>
      <c r="AC245" s="1760" t="s">
        <v>40</v>
      </c>
      <c r="AD245" s="1760" t="s">
        <v>40</v>
      </c>
      <c r="AE245" s="1760"/>
      <c r="AF245" s="1762" t="s">
        <v>40</v>
      </c>
      <c r="AG245" s="1740"/>
    </row>
    <row r="246" spans="1:33" ht="18" customHeight="1">
      <c r="A246" s="2110">
        <v>3701</v>
      </c>
      <c r="B246" s="2112" t="s">
        <v>314</v>
      </c>
      <c r="C246" s="2113"/>
      <c r="D246" s="2113"/>
      <c r="E246" s="2113"/>
      <c r="F246" s="2113"/>
      <c r="G246" s="2114"/>
      <c r="H246" s="2114"/>
      <c r="I246" s="2114"/>
      <c r="J246" s="2113"/>
      <c r="K246" s="2113"/>
      <c r="L246" s="2113"/>
      <c r="M246" s="2113"/>
      <c r="N246" s="2114"/>
      <c r="O246" s="2114"/>
      <c r="P246" s="2114"/>
      <c r="Q246" s="2113"/>
      <c r="R246" s="2113"/>
      <c r="S246" s="2113"/>
      <c r="T246" s="2113"/>
      <c r="U246" s="2114"/>
      <c r="V246" s="2114"/>
      <c r="W246" s="2114"/>
      <c r="X246" s="2113"/>
      <c r="Y246" s="2113"/>
      <c r="Z246" s="2113"/>
      <c r="AA246" s="2113"/>
      <c r="AB246" s="2114"/>
      <c r="AC246" s="2114"/>
      <c r="AD246" s="2114"/>
      <c r="AE246" s="2113"/>
      <c r="AF246" s="2115"/>
      <c r="AG246" s="2114"/>
    </row>
    <row r="247" spans="1:33" ht="18" customHeight="1">
      <c r="A247" s="2110">
        <v>3701</v>
      </c>
      <c r="B247" s="2086" t="s">
        <v>315</v>
      </c>
      <c r="C247" s="1760"/>
      <c r="D247" s="1760" t="s">
        <v>40</v>
      </c>
      <c r="E247" s="1760"/>
      <c r="F247" s="1753"/>
      <c r="G247" s="1760" t="s">
        <v>40</v>
      </c>
      <c r="H247" s="1760" t="s">
        <v>40</v>
      </c>
      <c r="I247" s="1760" t="s">
        <v>40</v>
      </c>
      <c r="J247" s="1760" t="s">
        <v>40</v>
      </c>
      <c r="K247" s="1760" t="s">
        <v>40</v>
      </c>
      <c r="L247" s="1760"/>
      <c r="M247" s="1760"/>
      <c r="N247" s="1845" t="s">
        <v>40</v>
      </c>
      <c r="O247" s="1760" t="s">
        <v>40</v>
      </c>
      <c r="P247" s="1737" t="s">
        <v>40</v>
      </c>
      <c r="Q247" s="1896" t="s">
        <v>40</v>
      </c>
      <c r="R247" s="1896" t="s">
        <v>40</v>
      </c>
      <c r="S247" s="1896"/>
      <c r="T247" s="1896"/>
      <c r="U247" s="1896" t="s">
        <v>40</v>
      </c>
      <c r="V247" s="1896" t="s">
        <v>40</v>
      </c>
      <c r="W247" s="1896" t="s">
        <v>40</v>
      </c>
      <c r="X247" s="1896" t="s">
        <v>40</v>
      </c>
      <c r="Y247" s="1896" t="s">
        <v>40</v>
      </c>
      <c r="Z247" s="1760"/>
      <c r="AA247" s="1753"/>
      <c r="AB247" s="1760" t="s">
        <v>40</v>
      </c>
      <c r="AC247" s="1760" t="s">
        <v>40</v>
      </c>
      <c r="AD247" s="1760" t="s">
        <v>40</v>
      </c>
      <c r="AE247" s="1760"/>
      <c r="AF247" s="1762" t="s">
        <v>40</v>
      </c>
      <c r="AG247" s="1740"/>
    </row>
    <row r="248" spans="1:33" ht="18" customHeight="1">
      <c r="A248" s="2110">
        <v>3701</v>
      </c>
      <c r="B248" s="2086" t="s">
        <v>316</v>
      </c>
      <c r="C248" s="1760"/>
      <c r="D248" s="1736" t="s">
        <v>40</v>
      </c>
      <c r="E248" s="1760"/>
      <c r="F248" s="1753"/>
      <c r="G248" s="1760" t="s">
        <v>40</v>
      </c>
      <c r="H248" s="1760" t="s">
        <v>40</v>
      </c>
      <c r="I248" s="1760" t="s">
        <v>40</v>
      </c>
      <c r="J248" s="1760" t="s">
        <v>40</v>
      </c>
      <c r="K248" s="1736" t="s">
        <v>40</v>
      </c>
      <c r="L248" s="1760"/>
      <c r="M248" s="1760"/>
      <c r="N248" s="1845" t="s">
        <v>40</v>
      </c>
      <c r="O248" s="1760" t="s">
        <v>40</v>
      </c>
      <c r="P248" s="1737" t="s">
        <v>40</v>
      </c>
      <c r="Q248" s="1737" t="s">
        <v>40</v>
      </c>
      <c r="R248" s="1737" t="s">
        <v>40</v>
      </c>
      <c r="S248" s="1737"/>
      <c r="T248" s="1760"/>
      <c r="U248" s="1760" t="s">
        <v>40</v>
      </c>
      <c r="V248" s="1753" t="s">
        <v>40</v>
      </c>
      <c r="W248" s="1760" t="s">
        <v>40</v>
      </c>
      <c r="X248" s="1760" t="s">
        <v>40</v>
      </c>
      <c r="Y248" s="1736" t="s">
        <v>40</v>
      </c>
      <c r="Z248" s="1760"/>
      <c r="AA248" s="1753"/>
      <c r="AB248" s="1760" t="s">
        <v>40</v>
      </c>
      <c r="AC248" s="1736" t="s">
        <v>40</v>
      </c>
      <c r="AD248" s="1760" t="s">
        <v>40</v>
      </c>
      <c r="AE248" s="1760"/>
      <c r="AF248" s="1883" t="s">
        <v>40</v>
      </c>
      <c r="AG248" s="1740"/>
    </row>
    <row r="249" spans="1:33" ht="18" customHeight="1">
      <c r="A249" s="2110">
        <v>3701</v>
      </c>
      <c r="B249" s="2086" t="s">
        <v>317</v>
      </c>
      <c r="C249" s="1760"/>
      <c r="D249" s="2116" t="s">
        <v>40</v>
      </c>
      <c r="E249" s="1760"/>
      <c r="F249" s="1753"/>
      <c r="G249" s="1760" t="s">
        <v>40</v>
      </c>
      <c r="H249" s="1760" t="s">
        <v>40</v>
      </c>
      <c r="I249" s="1760" t="s">
        <v>40</v>
      </c>
      <c r="J249" s="1760" t="s">
        <v>40</v>
      </c>
      <c r="K249" s="1760" t="s">
        <v>40</v>
      </c>
      <c r="L249" s="1760"/>
      <c r="M249" s="1760"/>
      <c r="N249" s="1845" t="s">
        <v>40</v>
      </c>
      <c r="O249" s="1760" t="s">
        <v>40</v>
      </c>
      <c r="P249" s="1737" t="s">
        <v>40</v>
      </c>
      <c r="Q249" s="1737" t="s">
        <v>40</v>
      </c>
      <c r="R249" s="1737" t="s">
        <v>40</v>
      </c>
      <c r="S249" s="1737"/>
      <c r="T249" s="1760"/>
      <c r="U249" s="1760" t="s">
        <v>40</v>
      </c>
      <c r="V249" s="1753" t="s">
        <v>40</v>
      </c>
      <c r="W249" s="1760" t="s">
        <v>40</v>
      </c>
      <c r="X249" s="1760" t="s">
        <v>40</v>
      </c>
      <c r="Y249" s="1736" t="s">
        <v>40</v>
      </c>
      <c r="Z249" s="1760"/>
      <c r="AA249" s="1753"/>
      <c r="AB249" s="1760" t="s">
        <v>40</v>
      </c>
      <c r="AC249" s="1736" t="s">
        <v>40</v>
      </c>
      <c r="AD249" s="1760" t="s">
        <v>40</v>
      </c>
      <c r="AE249" s="1760"/>
      <c r="AF249" s="2117" t="s">
        <v>40</v>
      </c>
      <c r="AG249" s="1740"/>
    </row>
    <row r="250" spans="1:33" ht="18" customHeight="1">
      <c r="A250" s="2110">
        <v>3701</v>
      </c>
      <c r="B250" s="2112" t="s">
        <v>318</v>
      </c>
      <c r="C250" s="2113"/>
      <c r="D250" s="2113"/>
      <c r="E250" s="2113"/>
      <c r="F250" s="2113"/>
      <c r="G250" s="2114"/>
      <c r="H250" s="2114"/>
      <c r="I250" s="2114"/>
      <c r="J250" s="2113"/>
      <c r="K250" s="2113"/>
      <c r="L250" s="2113"/>
      <c r="M250" s="2113"/>
      <c r="N250" s="2114"/>
      <c r="O250" s="2114"/>
      <c r="P250" s="2114"/>
      <c r="Q250" s="2113"/>
      <c r="R250" s="2113"/>
      <c r="S250" s="2113"/>
      <c r="T250" s="2113"/>
      <c r="U250" s="2114"/>
      <c r="V250" s="2114"/>
      <c r="W250" s="2114"/>
      <c r="X250" s="2113"/>
      <c r="Y250" s="2113"/>
      <c r="Z250" s="2113"/>
      <c r="AA250" s="2113"/>
      <c r="AB250" s="2114"/>
      <c r="AC250" s="2114"/>
      <c r="AD250" s="2114"/>
      <c r="AE250" s="2113"/>
      <c r="AF250" s="2115"/>
      <c r="AG250" s="2114"/>
    </row>
    <row r="251" spans="1:33" ht="18" customHeight="1">
      <c r="A251" s="2110">
        <v>3701</v>
      </c>
      <c r="B251" s="2086" t="s">
        <v>319</v>
      </c>
      <c r="C251" s="1760"/>
      <c r="D251" s="1760" t="s">
        <v>40</v>
      </c>
      <c r="E251" s="1760"/>
      <c r="F251" s="1753"/>
      <c r="G251" s="1760" t="s">
        <v>40</v>
      </c>
      <c r="H251" s="1760" t="s">
        <v>40</v>
      </c>
      <c r="I251" s="1760" t="s">
        <v>40</v>
      </c>
      <c r="J251" s="1760" t="s">
        <v>40</v>
      </c>
      <c r="K251" s="1760" t="s">
        <v>40</v>
      </c>
      <c r="L251" s="1760"/>
      <c r="M251" s="1760"/>
      <c r="N251" s="1845" t="s">
        <v>40</v>
      </c>
      <c r="O251" s="1760" t="s">
        <v>40</v>
      </c>
      <c r="P251" s="1737" t="s">
        <v>40</v>
      </c>
      <c r="Q251" s="1737" t="s">
        <v>40</v>
      </c>
      <c r="R251" s="1737" t="s">
        <v>40</v>
      </c>
      <c r="S251" s="1737"/>
      <c r="T251" s="1760"/>
      <c r="U251" s="1760" t="s">
        <v>40</v>
      </c>
      <c r="V251" s="1753" t="s">
        <v>40</v>
      </c>
      <c r="W251" s="1760" t="s">
        <v>40</v>
      </c>
      <c r="X251" s="1760" t="s">
        <v>40</v>
      </c>
      <c r="Y251" s="1736" t="s">
        <v>40</v>
      </c>
      <c r="Z251" s="1736"/>
      <c r="AA251" s="1753"/>
      <c r="AB251" s="1885" t="s">
        <v>40</v>
      </c>
      <c r="AC251" s="1885" t="s">
        <v>40</v>
      </c>
      <c r="AD251" s="1885" t="s">
        <v>40</v>
      </c>
      <c r="AE251" s="1885"/>
      <c r="AF251" s="1886" t="s">
        <v>40</v>
      </c>
      <c r="AG251" s="1838"/>
    </row>
    <row r="252" spans="1:33" ht="18" customHeight="1">
      <c r="A252" s="2110">
        <v>3701</v>
      </c>
      <c r="B252" s="2086" t="s">
        <v>320</v>
      </c>
      <c r="C252" s="1760"/>
      <c r="D252" s="1896" t="s">
        <v>40</v>
      </c>
      <c r="E252" s="1760"/>
      <c r="F252" s="1753"/>
      <c r="G252" s="1896" t="s">
        <v>40</v>
      </c>
      <c r="H252" s="1760" t="s">
        <v>40</v>
      </c>
      <c r="I252" s="1760" t="s">
        <v>40</v>
      </c>
      <c r="J252" s="1760" t="s">
        <v>40</v>
      </c>
      <c r="K252" s="1760" t="s">
        <v>40</v>
      </c>
      <c r="L252" s="1760"/>
      <c r="M252" s="1760"/>
      <c r="N252" s="1845" t="s">
        <v>40</v>
      </c>
      <c r="O252" s="1760" t="s">
        <v>40</v>
      </c>
      <c r="P252" s="1737" t="s">
        <v>40</v>
      </c>
      <c r="Q252" s="1737" t="s">
        <v>40</v>
      </c>
      <c r="R252" s="1737" t="s">
        <v>40</v>
      </c>
      <c r="S252" s="1737"/>
      <c r="T252" s="1760"/>
      <c r="U252" s="1760" t="s">
        <v>40</v>
      </c>
      <c r="V252" s="1753" t="s">
        <v>40</v>
      </c>
      <c r="W252" s="1760" t="s">
        <v>40</v>
      </c>
      <c r="X252" s="1760" t="s">
        <v>40</v>
      </c>
      <c r="Y252" s="1760" t="s">
        <v>40</v>
      </c>
      <c r="Z252" s="1760"/>
      <c r="AA252" s="1753"/>
      <c r="AB252" s="1760" t="s">
        <v>40</v>
      </c>
      <c r="AC252" s="1760" t="s">
        <v>40</v>
      </c>
      <c r="AD252" s="1760" t="s">
        <v>40</v>
      </c>
      <c r="AE252" s="1760"/>
      <c r="AF252" s="2118" t="s">
        <v>40</v>
      </c>
      <c r="AG252" s="1740"/>
    </row>
    <row r="253" spans="1:33" ht="18" customHeight="1">
      <c r="A253" s="2119">
        <v>3701</v>
      </c>
      <c r="B253" s="2086" t="s">
        <v>321</v>
      </c>
      <c r="C253" s="1760"/>
      <c r="D253" s="1760" t="s">
        <v>40</v>
      </c>
      <c r="E253" s="1760"/>
      <c r="F253" s="1753"/>
      <c r="G253" s="1760" t="s">
        <v>40</v>
      </c>
      <c r="H253" s="1760" t="s">
        <v>40</v>
      </c>
      <c r="I253" s="1756" t="s">
        <v>40</v>
      </c>
      <c r="J253" s="1756" t="s">
        <v>40</v>
      </c>
      <c r="K253" s="1756" t="s">
        <v>40</v>
      </c>
      <c r="L253" s="1760"/>
      <c r="M253" s="1760"/>
      <c r="N253" s="1756" t="s">
        <v>40</v>
      </c>
      <c r="O253" s="1756" t="s">
        <v>40</v>
      </c>
      <c r="P253" s="1756" t="s">
        <v>40</v>
      </c>
      <c r="Q253" s="1737" t="s">
        <v>40</v>
      </c>
      <c r="R253" s="1737" t="s">
        <v>40</v>
      </c>
      <c r="S253" s="2120"/>
      <c r="T253" s="2120"/>
      <c r="U253" s="2120" t="s">
        <v>40</v>
      </c>
      <c r="V253" s="2120" t="s">
        <v>40</v>
      </c>
      <c r="W253" s="1760" t="s">
        <v>40</v>
      </c>
      <c r="X253" s="1760" t="s">
        <v>40</v>
      </c>
      <c r="Y253" s="2120" t="s">
        <v>40</v>
      </c>
      <c r="Z253" s="1760"/>
      <c r="AA253" s="1753"/>
      <c r="AB253" s="1760" t="s">
        <v>40</v>
      </c>
      <c r="AC253" s="1760" t="s">
        <v>40</v>
      </c>
      <c r="AD253" s="1760" t="s">
        <v>40</v>
      </c>
      <c r="AE253" s="1760"/>
      <c r="AF253" s="1762" t="s">
        <v>40</v>
      </c>
      <c r="AG253" s="1740"/>
    </row>
    <row r="254" spans="1:33" ht="18" customHeight="1">
      <c r="A254" s="2110">
        <v>3701</v>
      </c>
      <c r="B254" s="2086" t="s">
        <v>322</v>
      </c>
      <c r="C254" s="1760"/>
      <c r="D254" s="1896" t="s">
        <v>40</v>
      </c>
      <c r="E254" s="1760"/>
      <c r="F254" s="1753"/>
      <c r="G254" s="1760" t="s">
        <v>40</v>
      </c>
      <c r="H254" s="1760" t="s">
        <v>40</v>
      </c>
      <c r="I254" s="1760" t="s">
        <v>40</v>
      </c>
      <c r="J254" s="1760" t="s">
        <v>40</v>
      </c>
      <c r="K254" s="1760" t="s">
        <v>40</v>
      </c>
      <c r="L254" s="1760"/>
      <c r="M254" s="1760"/>
      <c r="N254" s="1845" t="s">
        <v>40</v>
      </c>
      <c r="O254" s="1760" t="s">
        <v>40</v>
      </c>
      <c r="P254" s="1737" t="s">
        <v>40</v>
      </c>
      <c r="Q254" s="1737" t="s">
        <v>40</v>
      </c>
      <c r="R254" s="1737" t="s">
        <v>40</v>
      </c>
      <c r="S254" s="1737"/>
      <c r="T254" s="1760"/>
      <c r="U254" s="1760" t="s">
        <v>40</v>
      </c>
      <c r="V254" s="1753" t="s">
        <v>40</v>
      </c>
      <c r="W254" s="1760" t="s">
        <v>40</v>
      </c>
      <c r="X254" s="1760" t="s">
        <v>40</v>
      </c>
      <c r="Y254" s="1760" t="s">
        <v>40</v>
      </c>
      <c r="Z254" s="1760"/>
      <c r="AA254" s="1753"/>
      <c r="AB254" s="1760" t="s">
        <v>40</v>
      </c>
      <c r="AC254" s="1760" t="s">
        <v>40</v>
      </c>
      <c r="AD254" s="1760" t="s">
        <v>40</v>
      </c>
      <c r="AE254" s="1760"/>
      <c r="AF254" s="1897" t="s">
        <v>40</v>
      </c>
      <c r="AG254" s="1740"/>
    </row>
    <row r="255" spans="1:33" ht="18" customHeight="1">
      <c r="A255" s="2110">
        <v>3701</v>
      </c>
      <c r="B255" s="2086" t="s">
        <v>323</v>
      </c>
      <c r="C255" s="1760"/>
      <c r="D255" s="1896" t="s">
        <v>40</v>
      </c>
      <c r="E255" s="1760"/>
      <c r="F255" s="1753"/>
      <c r="G255" s="1760" t="s">
        <v>40</v>
      </c>
      <c r="H255" s="1760" t="s">
        <v>40</v>
      </c>
      <c r="I255" s="1760" t="s">
        <v>40</v>
      </c>
      <c r="J255" s="1760" t="s">
        <v>40</v>
      </c>
      <c r="K255" s="1760" t="s">
        <v>40</v>
      </c>
      <c r="L255" s="1760"/>
      <c r="M255" s="1760"/>
      <c r="N255" s="1845" t="s">
        <v>40</v>
      </c>
      <c r="O255" s="1760" t="s">
        <v>40</v>
      </c>
      <c r="P255" s="1737" t="s">
        <v>40</v>
      </c>
      <c r="Q255" s="1737" t="s">
        <v>40</v>
      </c>
      <c r="R255" s="1737" t="s">
        <v>40</v>
      </c>
      <c r="S255" s="1737"/>
      <c r="T255" s="1760"/>
      <c r="U255" s="1760" t="s">
        <v>40</v>
      </c>
      <c r="V255" s="1753" t="s">
        <v>40</v>
      </c>
      <c r="W255" s="1760" t="s">
        <v>40</v>
      </c>
      <c r="X255" s="1760" t="s">
        <v>40</v>
      </c>
      <c r="Y255" s="1760" t="s">
        <v>40</v>
      </c>
      <c r="Z255" s="1760"/>
      <c r="AA255" s="1753"/>
      <c r="AB255" s="1760" t="s">
        <v>40</v>
      </c>
      <c r="AC255" s="1760" t="s">
        <v>40</v>
      </c>
      <c r="AD255" s="1885" t="s">
        <v>40</v>
      </c>
      <c r="AE255" s="1885"/>
      <c r="AF255" s="1886" t="s">
        <v>40</v>
      </c>
      <c r="AG255" s="1838"/>
    </row>
    <row r="256" spans="1:33" ht="18" customHeight="1">
      <c r="A256" s="2110"/>
      <c r="B256" s="2086" t="s">
        <v>324</v>
      </c>
      <c r="C256" s="1760"/>
      <c r="D256" s="1760" t="s">
        <v>40</v>
      </c>
      <c r="E256" s="1760"/>
      <c r="F256" s="1753"/>
      <c r="G256" s="1760" t="s">
        <v>40</v>
      </c>
      <c r="H256" s="1760" t="s">
        <v>40</v>
      </c>
      <c r="I256" s="1760" t="s">
        <v>40</v>
      </c>
      <c r="J256" s="1760" t="s">
        <v>40</v>
      </c>
      <c r="K256" s="1760" t="s">
        <v>40</v>
      </c>
      <c r="L256" s="1760"/>
      <c r="M256" s="1760"/>
      <c r="N256" s="1845" t="s">
        <v>40</v>
      </c>
      <c r="O256" s="1760" t="s">
        <v>40</v>
      </c>
      <c r="P256" s="1737" t="s">
        <v>40</v>
      </c>
      <c r="Q256" s="1737" t="s">
        <v>40</v>
      </c>
      <c r="R256" s="1737" t="s">
        <v>40</v>
      </c>
      <c r="S256" s="1737"/>
      <c r="T256" s="1885"/>
      <c r="U256" s="1885" t="s">
        <v>40</v>
      </c>
      <c r="V256" s="1885" t="s">
        <v>40</v>
      </c>
      <c r="W256" s="1885" t="s">
        <v>40</v>
      </c>
      <c r="X256" s="1885" t="s">
        <v>40</v>
      </c>
      <c r="Y256" s="1885" t="s">
        <v>40</v>
      </c>
      <c r="Z256" s="1885"/>
      <c r="AA256" s="1885"/>
      <c r="AB256" s="1885" t="s">
        <v>40</v>
      </c>
      <c r="AC256" s="1885" t="s">
        <v>40</v>
      </c>
      <c r="AD256" s="1885" t="s">
        <v>40</v>
      </c>
      <c r="AE256" s="1885"/>
      <c r="AF256" s="1886" t="s">
        <v>325</v>
      </c>
      <c r="AG256" s="1778"/>
    </row>
    <row r="257" spans="1:33" ht="18" customHeight="1">
      <c r="A257" s="2110"/>
      <c r="B257" s="2086"/>
      <c r="C257" s="1760"/>
      <c r="D257" s="1760" t="s">
        <v>40</v>
      </c>
      <c r="E257" s="1760"/>
      <c r="F257" s="1753"/>
      <c r="G257" s="1760" t="s">
        <v>40</v>
      </c>
      <c r="H257" s="1760" t="s">
        <v>40</v>
      </c>
      <c r="I257" s="1760" t="s">
        <v>40</v>
      </c>
      <c r="J257" s="1760" t="s">
        <v>40</v>
      </c>
      <c r="K257" s="1760" t="s">
        <v>40</v>
      </c>
      <c r="L257" s="1760"/>
      <c r="M257" s="1760"/>
      <c r="N257" s="1845" t="s">
        <v>40</v>
      </c>
      <c r="O257" s="1760" t="s">
        <v>40</v>
      </c>
      <c r="P257" s="1737" t="s">
        <v>40</v>
      </c>
      <c r="Q257" s="1737" t="s">
        <v>40</v>
      </c>
      <c r="R257" s="1737" t="s">
        <v>40</v>
      </c>
      <c r="S257" s="1737"/>
      <c r="T257" s="1760"/>
      <c r="U257" s="1760" t="s">
        <v>40</v>
      </c>
      <c r="V257" s="1753" t="s">
        <v>40</v>
      </c>
      <c r="W257" s="1760" t="s">
        <v>40</v>
      </c>
      <c r="X257" s="1760" t="s">
        <v>40</v>
      </c>
      <c r="Y257" s="1760" t="s">
        <v>40</v>
      </c>
      <c r="Z257" s="1760"/>
      <c r="AA257" s="1753"/>
      <c r="AB257" s="1760" t="s">
        <v>40</v>
      </c>
      <c r="AC257" s="1760" t="s">
        <v>40</v>
      </c>
      <c r="AD257" s="1760" t="s">
        <v>40</v>
      </c>
      <c r="AE257" s="1760"/>
      <c r="AF257" s="1762" t="s">
        <v>40</v>
      </c>
      <c r="AG257" s="1740"/>
    </row>
    <row r="258" spans="1:33" ht="18" customHeight="1">
      <c r="A258" s="2110"/>
      <c r="B258" s="2086" t="s">
        <v>326</v>
      </c>
      <c r="C258" s="1760"/>
      <c r="D258" s="1760" t="s">
        <v>40</v>
      </c>
      <c r="E258" s="1760"/>
      <c r="F258" s="1753"/>
      <c r="G258" s="1760" t="s">
        <v>40</v>
      </c>
      <c r="H258" s="1760" t="s">
        <v>40</v>
      </c>
      <c r="I258" s="1760" t="s">
        <v>40</v>
      </c>
      <c r="J258" s="1760" t="s">
        <v>40</v>
      </c>
      <c r="K258" s="1760" t="s">
        <v>40</v>
      </c>
      <c r="L258" s="1760"/>
      <c r="M258" s="1760"/>
      <c r="N258" s="1845" t="s">
        <v>40</v>
      </c>
      <c r="O258" s="1760" t="s">
        <v>40</v>
      </c>
      <c r="P258" s="1737" t="s">
        <v>40</v>
      </c>
      <c r="Q258" s="1737" t="s">
        <v>40</v>
      </c>
      <c r="R258" s="1844" t="s">
        <v>40</v>
      </c>
      <c r="S258" s="1737"/>
      <c r="T258" s="1760"/>
      <c r="U258" s="1760" t="s">
        <v>40</v>
      </c>
      <c r="V258" s="1753" t="s">
        <v>40</v>
      </c>
      <c r="W258" s="1760" t="s">
        <v>40</v>
      </c>
      <c r="X258" s="1760" t="s">
        <v>40</v>
      </c>
      <c r="Y258" s="1736" t="s">
        <v>40</v>
      </c>
      <c r="Z258" s="1760"/>
      <c r="AA258" s="1753"/>
      <c r="AB258" s="1760" t="s">
        <v>40</v>
      </c>
      <c r="AC258" s="1736" t="s">
        <v>40</v>
      </c>
      <c r="AD258" s="1760" t="s">
        <v>40</v>
      </c>
      <c r="AE258" s="1760"/>
      <c r="AF258" s="2117" t="s">
        <v>40</v>
      </c>
      <c r="AG258" s="1740"/>
    </row>
    <row r="259" spans="1:33" ht="18" customHeight="1">
      <c r="A259" s="2110"/>
      <c r="B259" s="2112" t="s">
        <v>327</v>
      </c>
      <c r="C259" s="2113"/>
      <c r="D259" s="2113"/>
      <c r="E259" s="2113"/>
      <c r="F259" s="2113"/>
      <c r="G259" s="2114"/>
      <c r="H259" s="2114"/>
      <c r="I259" s="2114"/>
      <c r="J259" s="2113"/>
      <c r="K259" s="2113"/>
      <c r="L259" s="2113"/>
      <c r="M259" s="2113"/>
      <c r="N259" s="2114"/>
      <c r="O259" s="2114"/>
      <c r="P259" s="2114"/>
      <c r="Q259" s="2113"/>
      <c r="R259" s="2113"/>
      <c r="S259" s="2113"/>
      <c r="T259" s="2113"/>
      <c r="U259" s="2114"/>
      <c r="V259" s="2114"/>
      <c r="W259" s="2114"/>
      <c r="X259" s="2113"/>
      <c r="Y259" s="2113"/>
      <c r="Z259" s="2113"/>
      <c r="AA259" s="2113"/>
      <c r="AB259" s="2114"/>
      <c r="AC259" s="2114"/>
      <c r="AD259" s="2114"/>
      <c r="AE259" s="2113"/>
      <c r="AF259" s="2115"/>
      <c r="AG259" s="2114"/>
    </row>
    <row r="260" spans="1:33" ht="18" customHeight="1">
      <c r="A260" s="2110"/>
      <c r="B260" s="2086" t="s">
        <v>328</v>
      </c>
      <c r="C260" s="1760"/>
      <c r="D260" s="1760" t="s">
        <v>40</v>
      </c>
      <c r="E260" s="1760"/>
      <c r="F260" s="1753"/>
      <c r="G260" s="1760" t="s">
        <v>40</v>
      </c>
      <c r="H260" s="1760" t="s">
        <v>40</v>
      </c>
      <c r="I260" s="1760" t="s">
        <v>40</v>
      </c>
      <c r="J260" s="1760" t="s">
        <v>40</v>
      </c>
      <c r="K260" s="1760" t="s">
        <v>40</v>
      </c>
      <c r="L260" s="1760"/>
      <c r="M260" s="1760"/>
      <c r="N260" s="1845" t="s">
        <v>40</v>
      </c>
      <c r="O260" s="1760" t="s">
        <v>40</v>
      </c>
      <c r="P260" s="1737" t="s">
        <v>40</v>
      </c>
      <c r="Q260" s="1885" t="s">
        <v>40</v>
      </c>
      <c r="R260" s="1885" t="s">
        <v>325</v>
      </c>
      <c r="S260" s="1713"/>
      <c r="T260" s="1713"/>
      <c r="U260" s="1760" t="s">
        <v>40</v>
      </c>
      <c r="V260" s="1753" t="s">
        <v>40</v>
      </c>
      <c r="W260" s="1760" t="s">
        <v>40</v>
      </c>
      <c r="X260" s="1760" t="s">
        <v>40</v>
      </c>
      <c r="Y260" s="1736" t="s">
        <v>40</v>
      </c>
      <c r="Z260" s="1760"/>
      <c r="AA260" s="1753"/>
      <c r="AB260" s="1760" t="s">
        <v>40</v>
      </c>
      <c r="AC260" s="1736" t="s">
        <v>40</v>
      </c>
      <c r="AD260" s="1760" t="s">
        <v>40</v>
      </c>
      <c r="AE260" s="1760"/>
      <c r="AF260" s="1883" t="s">
        <v>40</v>
      </c>
      <c r="AG260" s="1740"/>
    </row>
    <row r="261" spans="1:33" ht="18" customHeight="1">
      <c r="A261" s="2110"/>
      <c r="B261" s="2086" t="s">
        <v>329</v>
      </c>
      <c r="C261" s="1760"/>
      <c r="D261" s="1760" t="s">
        <v>40</v>
      </c>
      <c r="E261" s="1760"/>
      <c r="F261" s="1753"/>
      <c r="G261" s="1760" t="s">
        <v>40</v>
      </c>
      <c r="H261" s="1760" t="s">
        <v>40</v>
      </c>
      <c r="I261" s="1760" t="s">
        <v>40</v>
      </c>
      <c r="J261" s="1760" t="s">
        <v>40</v>
      </c>
      <c r="K261" s="1760" t="s">
        <v>40</v>
      </c>
      <c r="L261" s="1760"/>
      <c r="M261" s="1760"/>
      <c r="N261" s="1845" t="s">
        <v>40</v>
      </c>
      <c r="O261" s="1760" t="s">
        <v>40</v>
      </c>
      <c r="P261" s="1737" t="s">
        <v>40</v>
      </c>
      <c r="Q261" s="2121" t="s">
        <v>40</v>
      </c>
      <c r="R261" s="1885" t="s">
        <v>325</v>
      </c>
      <c r="S261" s="1713"/>
      <c r="T261" s="1713"/>
      <c r="U261" s="1713" t="s">
        <v>40</v>
      </c>
      <c r="V261" s="1713" t="s">
        <v>40</v>
      </c>
      <c r="W261" s="1760" t="s">
        <v>40</v>
      </c>
      <c r="X261" s="1760" t="s">
        <v>40</v>
      </c>
      <c r="Y261" s="1736" t="s">
        <v>40</v>
      </c>
      <c r="Z261" s="1760"/>
      <c r="AA261" s="1753"/>
      <c r="AB261" s="1760" t="s">
        <v>40</v>
      </c>
      <c r="AC261" s="1736" t="s">
        <v>40</v>
      </c>
      <c r="AD261" s="1760" t="s">
        <v>40</v>
      </c>
      <c r="AE261" s="1760"/>
      <c r="AF261" s="1883" t="s">
        <v>40</v>
      </c>
      <c r="AG261" s="1740"/>
    </row>
    <row r="262" spans="1:33" ht="18" customHeight="1">
      <c r="B262" s="2086" t="s">
        <v>330</v>
      </c>
      <c r="C262" s="1760"/>
      <c r="D262" s="1885" t="s">
        <v>40</v>
      </c>
      <c r="E262" s="1885"/>
      <c r="F262" s="1885"/>
      <c r="G262" s="1885" t="s">
        <v>40</v>
      </c>
      <c r="H262" s="1885" t="s">
        <v>40</v>
      </c>
      <c r="I262" s="1885" t="s">
        <v>40</v>
      </c>
      <c r="J262" s="1885" t="s">
        <v>40</v>
      </c>
      <c r="K262" s="1885" t="s">
        <v>40</v>
      </c>
      <c r="L262" s="1885"/>
      <c r="M262" s="1885"/>
      <c r="N262" s="1885" t="s">
        <v>40</v>
      </c>
      <c r="O262" s="1885" t="s">
        <v>40</v>
      </c>
      <c r="P262" s="1885" t="s">
        <v>40</v>
      </c>
      <c r="Q262" s="1885" t="s">
        <v>40</v>
      </c>
      <c r="R262" s="1885" t="s">
        <v>40</v>
      </c>
      <c r="S262" s="1885"/>
      <c r="T262" s="1885"/>
      <c r="U262" s="1885" t="s">
        <v>40</v>
      </c>
      <c r="V262" s="1885" t="s">
        <v>40</v>
      </c>
      <c r="W262" s="1885" t="s">
        <v>40</v>
      </c>
      <c r="X262" s="1885" t="s">
        <v>40</v>
      </c>
      <c r="Y262" s="1885" t="s">
        <v>40</v>
      </c>
      <c r="Z262" s="1885"/>
      <c r="AA262" s="1885"/>
      <c r="AB262" s="1885" t="s">
        <v>40</v>
      </c>
      <c r="AC262" s="1885" t="s">
        <v>40</v>
      </c>
      <c r="AD262" s="1885" t="s">
        <v>325</v>
      </c>
      <c r="AE262" s="1760"/>
      <c r="AF262" s="1762" t="s">
        <v>40</v>
      </c>
      <c r="AG262" s="1740"/>
    </row>
    <row r="263" spans="1:33" ht="18" customHeight="1"/>
    <row r="264" spans="1:33" ht="18" customHeight="1" thickBot="1">
      <c r="A264" s="96" t="s">
        <v>331</v>
      </c>
    </row>
    <row r="265" spans="1:33" ht="18" customHeight="1">
      <c r="B265" s="1651" t="s">
        <v>303</v>
      </c>
      <c r="C265" s="1609"/>
      <c r="D265" s="1623" t="s">
        <v>19</v>
      </c>
      <c r="E265" s="1643"/>
      <c r="F265" s="1613"/>
      <c r="G265" s="1609"/>
      <c r="H265" s="1623" t="s">
        <v>20</v>
      </c>
      <c r="I265" s="1643"/>
      <c r="J265" s="1613"/>
      <c r="K265" s="1609"/>
      <c r="L265" s="1623" t="s">
        <v>21</v>
      </c>
      <c r="M265" s="1643"/>
      <c r="N265" s="1613"/>
      <c r="O265" s="1609"/>
      <c r="P265" s="1623" t="s">
        <v>22</v>
      </c>
      <c r="Q265" s="1643"/>
      <c r="R265" s="1613"/>
      <c r="S265" s="1609"/>
      <c r="T265" s="1623" t="s">
        <v>23</v>
      </c>
      <c r="U265" s="1643"/>
      <c r="V265" s="1613"/>
      <c r="W265" s="1609"/>
      <c r="X265" s="1623" t="s">
        <v>24</v>
      </c>
      <c r="Y265" s="1643"/>
      <c r="Z265" s="1613"/>
      <c r="AA265" s="1609"/>
      <c r="AB265" s="1623" t="s">
        <v>25</v>
      </c>
      <c r="AC265" s="1643"/>
      <c r="AD265" s="1643"/>
      <c r="AE265" s="1626"/>
      <c r="AF265" s="1643"/>
      <c r="AG265" s="1643"/>
    </row>
    <row r="266" spans="1:33" ht="18" customHeight="1">
      <c r="B266" s="2122" t="s">
        <v>210</v>
      </c>
      <c r="C266" s="543" t="s">
        <v>332</v>
      </c>
      <c r="D266" s="539"/>
      <c r="E266" s="544"/>
      <c r="F266" s="545"/>
      <c r="G266" s="543" t="s">
        <v>332</v>
      </c>
      <c r="H266" s="539"/>
      <c r="I266" s="544"/>
      <c r="J266" s="545"/>
      <c r="K266" s="543" t="s">
        <v>332</v>
      </c>
      <c r="L266" s="539"/>
      <c r="M266" s="544"/>
      <c r="N266" s="545"/>
      <c r="O266" s="543" t="s">
        <v>332</v>
      </c>
      <c r="P266" s="546"/>
      <c r="Q266" s="544"/>
      <c r="R266" s="545"/>
      <c r="S266" s="547" t="s">
        <v>333</v>
      </c>
      <c r="T266" s="539"/>
      <c r="U266" s="544"/>
      <c r="V266" s="545"/>
      <c r="W266" s="541"/>
      <c r="X266" s="539"/>
      <c r="Y266" s="531"/>
      <c r="Z266" s="540"/>
      <c r="AA266" s="541"/>
      <c r="AB266" s="539"/>
      <c r="AC266" s="531"/>
      <c r="AD266" s="531"/>
      <c r="AE266" s="542"/>
      <c r="AF266" s="531"/>
      <c r="AG266" s="516"/>
    </row>
    <row r="267" spans="1:33" ht="18" customHeight="1">
      <c r="A267" s="68"/>
      <c r="B267" s="2122" t="s">
        <v>212</v>
      </c>
      <c r="C267" s="543" t="s">
        <v>334</v>
      </c>
      <c r="D267" s="539"/>
      <c r="E267" s="544"/>
      <c r="F267" s="545"/>
      <c r="G267" s="543" t="s">
        <v>334</v>
      </c>
      <c r="H267" s="539"/>
      <c r="I267" s="544"/>
      <c r="J267" s="545"/>
      <c r="K267" s="543" t="s">
        <v>334</v>
      </c>
      <c r="L267" s="539"/>
      <c r="M267" s="544"/>
      <c r="N267" s="545"/>
      <c r="O267" s="543" t="s">
        <v>334</v>
      </c>
      <c r="P267" s="539"/>
      <c r="Q267" s="544"/>
      <c r="R267" s="545"/>
      <c r="S267" s="543" t="s">
        <v>335</v>
      </c>
      <c r="T267" s="539"/>
      <c r="U267" s="544"/>
      <c r="V267" s="545"/>
      <c r="W267" s="541"/>
      <c r="X267" s="539"/>
      <c r="Y267" s="531"/>
      <c r="Z267" s="540"/>
      <c r="AA267" s="541"/>
      <c r="AB267" s="539"/>
      <c r="AC267" s="531"/>
      <c r="AD267" s="531"/>
      <c r="AE267" s="542"/>
      <c r="AF267" s="531"/>
      <c r="AG267" s="516"/>
    </row>
    <row r="268" spans="1:33" ht="18" customHeight="1" thickBot="1">
      <c r="B268" s="2123" t="s">
        <v>336</v>
      </c>
      <c r="C268" s="2056" t="s">
        <v>334</v>
      </c>
      <c r="D268" s="2124"/>
      <c r="E268" s="544"/>
      <c r="F268" s="545"/>
      <c r="G268" s="2056" t="s">
        <v>334</v>
      </c>
      <c r="H268" s="2124"/>
      <c r="I268" s="544"/>
      <c r="J268" s="545"/>
      <c r="K268" s="2056" t="s">
        <v>334</v>
      </c>
      <c r="L268" s="2124"/>
      <c r="M268" s="544"/>
      <c r="N268" s="545"/>
      <c r="O268" s="2056" t="s">
        <v>334</v>
      </c>
      <c r="P268" s="2124"/>
      <c r="Q268" s="544"/>
      <c r="R268" s="545"/>
      <c r="S268" s="2056" t="s">
        <v>335</v>
      </c>
      <c r="T268" s="539"/>
      <c r="U268" s="544"/>
      <c r="V268" s="545"/>
      <c r="W268" s="541"/>
      <c r="X268" s="539"/>
      <c r="Y268" s="531"/>
      <c r="Z268" s="540"/>
      <c r="AA268" s="541"/>
      <c r="AB268" s="539"/>
      <c r="AC268" s="531"/>
      <c r="AD268" s="531"/>
      <c r="AE268" s="542"/>
      <c r="AF268" s="531"/>
      <c r="AG268" s="516"/>
    </row>
    <row r="269" spans="1:33" ht="18" customHeight="1">
      <c r="B269" s="37"/>
      <c r="C269" s="42"/>
      <c r="D269" s="5"/>
      <c r="G269" s="42"/>
      <c r="H269" s="5"/>
      <c r="K269" s="42"/>
      <c r="L269" s="5"/>
      <c r="O269" s="42"/>
      <c r="P269" s="5"/>
      <c r="S269" s="42"/>
      <c r="T269" s="42"/>
      <c r="X269" s="42"/>
      <c r="AB269" s="42"/>
      <c r="AE269" s="42"/>
    </row>
    <row r="270" spans="1:33" ht="18" customHeight="1" thickBot="1">
      <c r="A270" s="588" t="s">
        <v>337</v>
      </c>
    </row>
    <row r="271" spans="1:33" ht="18" customHeight="1" thickBot="1">
      <c r="A271" s="2009"/>
      <c r="B271" s="1572" t="s">
        <v>38</v>
      </c>
      <c r="C271" s="1580">
        <v>1</v>
      </c>
      <c r="D271" s="1578">
        <v>2</v>
      </c>
      <c r="E271" s="1580">
        <v>3</v>
      </c>
      <c r="F271" s="1580">
        <v>4</v>
      </c>
      <c r="G271" s="1578">
        <v>5</v>
      </c>
      <c r="H271" s="1578">
        <v>6</v>
      </c>
      <c r="I271" s="1578">
        <v>7</v>
      </c>
      <c r="J271" s="1578">
        <v>8</v>
      </c>
      <c r="K271" s="1578">
        <v>9</v>
      </c>
      <c r="L271" s="1580">
        <v>10</v>
      </c>
      <c r="M271" s="1580">
        <v>11</v>
      </c>
      <c r="N271" s="1578">
        <v>12</v>
      </c>
      <c r="O271" s="1578">
        <v>13</v>
      </c>
      <c r="P271" s="1578">
        <v>14</v>
      </c>
      <c r="Q271" s="1578">
        <v>15</v>
      </c>
      <c r="R271" s="1578">
        <v>16</v>
      </c>
      <c r="S271" s="1580">
        <v>17</v>
      </c>
      <c r="T271" s="1580">
        <v>18</v>
      </c>
      <c r="U271" s="1578">
        <v>19</v>
      </c>
      <c r="V271" s="1578">
        <v>20</v>
      </c>
      <c r="W271" s="1578">
        <v>21</v>
      </c>
      <c r="X271" s="1578">
        <v>22</v>
      </c>
      <c r="Y271" s="1578">
        <v>23</v>
      </c>
      <c r="Z271" s="1580">
        <v>24</v>
      </c>
      <c r="AA271" s="1580">
        <v>25</v>
      </c>
      <c r="AB271" s="1578">
        <v>26</v>
      </c>
      <c r="AC271" s="1578">
        <v>27</v>
      </c>
      <c r="AD271" s="1578">
        <v>28</v>
      </c>
      <c r="AE271" s="1580">
        <v>29</v>
      </c>
      <c r="AF271" s="1578">
        <v>30</v>
      </c>
      <c r="AG271" s="1580">
        <v>31</v>
      </c>
    </row>
    <row r="272" spans="1:33" ht="18" customHeight="1">
      <c r="A272" s="2125">
        <v>3702</v>
      </c>
      <c r="B272" s="1640" t="s">
        <v>338</v>
      </c>
      <c r="C272" s="1944"/>
      <c r="D272" s="1944" t="s">
        <v>40</v>
      </c>
      <c r="E272" s="1944"/>
      <c r="F272" s="1944"/>
      <c r="G272" s="1944" t="s">
        <v>40</v>
      </c>
      <c r="H272" s="1909" t="s">
        <v>40</v>
      </c>
      <c r="I272" s="1909" t="s">
        <v>40</v>
      </c>
      <c r="J272" s="1944" t="s">
        <v>40</v>
      </c>
      <c r="K272" s="1917" t="s">
        <v>40</v>
      </c>
      <c r="L272" s="1917"/>
      <c r="M272" s="1917"/>
      <c r="N272" s="1917" t="s">
        <v>40</v>
      </c>
      <c r="O272" s="1917" t="s">
        <v>40</v>
      </c>
      <c r="P272" s="1909" t="s">
        <v>40</v>
      </c>
      <c r="Q272" s="1944" t="s">
        <v>40</v>
      </c>
      <c r="R272" s="1944" t="s">
        <v>40</v>
      </c>
      <c r="S272" s="1944"/>
      <c r="T272" s="1944"/>
      <c r="U272" s="1944" t="s">
        <v>40</v>
      </c>
      <c r="V272" s="1909" t="s">
        <v>40</v>
      </c>
      <c r="W272" s="1909" t="s">
        <v>40</v>
      </c>
      <c r="X272" s="1944" t="s">
        <v>40</v>
      </c>
      <c r="Y272" s="1944" t="s">
        <v>40</v>
      </c>
      <c r="Z272" s="1902"/>
      <c r="AA272" s="1902"/>
      <c r="AB272" s="1902" t="s">
        <v>40</v>
      </c>
      <c r="AC272" s="1902" t="s">
        <v>40</v>
      </c>
      <c r="AD272" s="1902" t="s">
        <v>40</v>
      </c>
      <c r="AE272" s="1902"/>
      <c r="AF272" s="2126" t="s">
        <v>40</v>
      </c>
      <c r="AG272" s="1732"/>
    </row>
    <row r="274" spans="1:33" ht="18" customHeight="1">
      <c r="A274" s="2127"/>
      <c r="B274" s="2128" t="s">
        <v>339</v>
      </c>
      <c r="C274" s="2129"/>
      <c r="D274" s="2129"/>
      <c r="E274" s="2129"/>
      <c r="F274" s="2129"/>
      <c r="G274" s="2129"/>
      <c r="H274" s="2129"/>
      <c r="I274" s="2129"/>
      <c r="J274" s="2129"/>
      <c r="K274" s="2129"/>
      <c r="L274" s="2129"/>
      <c r="M274" s="2129"/>
      <c r="N274" s="2129"/>
      <c r="O274" s="2129"/>
      <c r="P274" s="2129"/>
      <c r="Q274" s="2129"/>
      <c r="R274" s="2129"/>
      <c r="S274" s="2129"/>
      <c r="T274" s="2129"/>
      <c r="U274" s="2129"/>
      <c r="V274" s="2129"/>
      <c r="W274" s="2129"/>
      <c r="X274" s="2129"/>
      <c r="Y274" s="2129"/>
      <c r="Z274" s="2129"/>
      <c r="AA274" s="2129"/>
      <c r="AB274" s="2129"/>
      <c r="AC274" s="2129"/>
      <c r="AD274" s="2129"/>
      <c r="AE274" s="2129"/>
      <c r="AF274" s="2130"/>
      <c r="AG274" s="1765"/>
    </row>
    <row r="275" spans="1:33" ht="18" customHeight="1">
      <c r="A275" s="2131">
        <v>3702</v>
      </c>
      <c r="B275" s="1734" t="s">
        <v>340</v>
      </c>
      <c r="C275" s="1845"/>
      <c r="D275" s="1845" t="s">
        <v>341</v>
      </c>
      <c r="E275" s="1845"/>
      <c r="F275" s="1845"/>
      <c r="G275" s="1736" t="s">
        <v>342</v>
      </c>
      <c r="H275" s="1736" t="s">
        <v>342</v>
      </c>
      <c r="I275" s="1736" t="s">
        <v>342</v>
      </c>
      <c r="J275" s="1736" t="s">
        <v>342</v>
      </c>
      <c r="K275" s="1736" t="s">
        <v>342</v>
      </c>
      <c r="L275" s="1736"/>
      <c r="M275" s="1736"/>
      <c r="N275" s="1736" t="s">
        <v>341</v>
      </c>
      <c r="O275" s="1736" t="s">
        <v>341</v>
      </c>
      <c r="P275" s="1736" t="s">
        <v>341</v>
      </c>
      <c r="Q275" s="1736" t="s">
        <v>341</v>
      </c>
      <c r="R275" s="1736" t="s">
        <v>341</v>
      </c>
      <c r="S275" s="1736"/>
      <c r="T275" s="1736"/>
      <c r="U275" s="1736" t="s">
        <v>342</v>
      </c>
      <c r="V275" s="1736" t="s">
        <v>342</v>
      </c>
      <c r="W275" s="1736" t="s">
        <v>342</v>
      </c>
      <c r="X275" s="1736" t="s">
        <v>342</v>
      </c>
      <c r="Y275" s="1736" t="s">
        <v>342</v>
      </c>
      <c r="Z275" s="1736"/>
      <c r="AA275" s="1736"/>
      <c r="AB275" s="1736" t="s">
        <v>341</v>
      </c>
      <c r="AC275" s="1736" t="s">
        <v>341</v>
      </c>
      <c r="AD275" s="1736" t="s">
        <v>341</v>
      </c>
      <c r="AE275" s="1736"/>
      <c r="AF275" s="1899" t="s">
        <v>341</v>
      </c>
    </row>
    <row r="276" spans="1:33" ht="18" customHeight="1">
      <c r="A276" s="2131"/>
      <c r="B276" s="1734" t="s">
        <v>343</v>
      </c>
      <c r="C276" s="1845"/>
      <c r="D276" s="1845" t="s">
        <v>342</v>
      </c>
      <c r="E276" s="1845"/>
      <c r="F276" s="1845"/>
      <c r="G276" s="1736" t="s">
        <v>341</v>
      </c>
      <c r="H276" s="1736" t="s">
        <v>341</v>
      </c>
      <c r="I276" s="1736" t="s">
        <v>341</v>
      </c>
      <c r="J276" s="1736" t="s">
        <v>341</v>
      </c>
      <c r="K276" s="1736" t="s">
        <v>341</v>
      </c>
      <c r="L276" s="1845"/>
      <c r="M276" s="1845"/>
      <c r="N276" s="1845" t="s">
        <v>342</v>
      </c>
      <c r="O276" s="1845" t="s">
        <v>342</v>
      </c>
      <c r="P276" s="1845" t="s">
        <v>342</v>
      </c>
      <c r="Q276" s="1845" t="s">
        <v>342</v>
      </c>
      <c r="R276" s="1896" t="s">
        <v>342</v>
      </c>
      <c r="S276" s="1845"/>
      <c r="T276" s="1845"/>
      <c r="U276" s="1736" t="s">
        <v>341</v>
      </c>
      <c r="V276" s="1736" t="s">
        <v>341</v>
      </c>
      <c r="W276" s="1736" t="s">
        <v>341</v>
      </c>
      <c r="X276" s="1736" t="s">
        <v>341</v>
      </c>
      <c r="Y276" s="1736" t="s">
        <v>341</v>
      </c>
      <c r="Z276" s="1845"/>
      <c r="AA276" s="1845"/>
      <c r="AB276" s="1845" t="s">
        <v>342</v>
      </c>
      <c r="AC276" s="1713" t="s">
        <v>342</v>
      </c>
      <c r="AD276" s="1885" t="s">
        <v>342</v>
      </c>
      <c r="AE276" s="1885"/>
      <c r="AF276" s="1886" t="s">
        <v>344</v>
      </c>
      <c r="AG276" s="1740"/>
    </row>
    <row r="277" spans="1:33" ht="18" customHeight="1" thickBot="1">
      <c r="A277" s="2132"/>
      <c r="B277" s="1741" t="s">
        <v>345</v>
      </c>
      <c r="C277" s="1824"/>
      <c r="D277" s="1736" t="s">
        <v>346</v>
      </c>
      <c r="E277" s="1824"/>
      <c r="F277" s="1827"/>
      <c r="G277" s="1736" t="s">
        <v>346</v>
      </c>
      <c r="H277" s="1736" t="s">
        <v>346</v>
      </c>
      <c r="I277" s="1736" t="s">
        <v>346</v>
      </c>
      <c r="J277" s="1736" t="s">
        <v>346</v>
      </c>
      <c r="K277" s="1736" t="s">
        <v>346</v>
      </c>
      <c r="L277" s="1827"/>
      <c r="M277" s="1827"/>
      <c r="N277" s="1736" t="s">
        <v>346</v>
      </c>
      <c r="O277" s="1736" t="s">
        <v>346</v>
      </c>
      <c r="P277" s="1736" t="s">
        <v>346</v>
      </c>
      <c r="Q277" s="1756" t="s">
        <v>346</v>
      </c>
      <c r="R277" s="1736" t="s">
        <v>346</v>
      </c>
      <c r="S277" s="1827"/>
      <c r="T277" s="1827"/>
      <c r="U277" s="1827" t="s">
        <v>346</v>
      </c>
      <c r="V277" s="2133" t="s">
        <v>346</v>
      </c>
      <c r="W277" s="2133" t="s">
        <v>347</v>
      </c>
      <c r="X277" s="1850" t="s">
        <v>346</v>
      </c>
      <c r="Y277" s="1827" t="s">
        <v>346</v>
      </c>
      <c r="Z277" s="1827"/>
      <c r="AA277" s="1827"/>
      <c r="AB277" s="1827" t="s">
        <v>346</v>
      </c>
      <c r="AC277" s="1827" t="s">
        <v>346</v>
      </c>
      <c r="AD277" s="1827" t="s">
        <v>346</v>
      </c>
      <c r="AE277" s="1827"/>
      <c r="AF277" s="2134" t="s">
        <v>346</v>
      </c>
      <c r="AG277" s="1740"/>
    </row>
    <row r="278" spans="1:33" ht="18" customHeight="1">
      <c r="C278" s="108"/>
      <c r="D278" s="108"/>
      <c r="E278" s="108"/>
      <c r="F278" s="108"/>
      <c r="G278" s="108"/>
      <c r="H278" s="108"/>
      <c r="I278" s="108"/>
      <c r="J278" s="108"/>
      <c r="K278" s="108"/>
      <c r="L278" s="108"/>
      <c r="M278" s="108"/>
      <c r="N278" s="108"/>
      <c r="O278" s="108"/>
      <c r="P278" s="108"/>
      <c r="Q278" s="108"/>
      <c r="R278" s="108"/>
      <c r="S278" s="108"/>
      <c r="T278" s="108"/>
      <c r="U278" s="108"/>
      <c r="V278" s="108"/>
      <c r="W278" s="108"/>
      <c r="X278" s="108"/>
      <c r="Y278" s="108"/>
      <c r="Z278" s="108"/>
      <c r="AA278" s="108"/>
    </row>
    <row r="279" spans="1:33" ht="18" customHeight="1"/>
    <row r="280" spans="1:33" ht="18" customHeight="1" thickBot="1">
      <c r="A280" s="96" t="s">
        <v>348</v>
      </c>
    </row>
    <row r="281" spans="1:33" ht="18" customHeight="1">
      <c r="A281" s="1"/>
      <c r="B281" s="1651" t="s">
        <v>303</v>
      </c>
      <c r="C281" s="1609"/>
      <c r="D281" s="1623" t="s">
        <v>19</v>
      </c>
      <c r="E281" s="1643"/>
      <c r="F281" s="1613"/>
      <c r="G281" s="1609"/>
      <c r="H281" s="1623" t="s">
        <v>20</v>
      </c>
      <c r="I281" s="1643"/>
      <c r="J281" s="1613"/>
      <c r="K281" s="1609"/>
      <c r="L281" s="1623" t="s">
        <v>21</v>
      </c>
      <c r="M281" s="1643"/>
      <c r="N281" s="1613"/>
      <c r="O281" s="1609"/>
      <c r="P281" s="1623" t="s">
        <v>22</v>
      </c>
      <c r="Q281" s="1643"/>
      <c r="R281" s="1613"/>
      <c r="S281" s="1609"/>
      <c r="T281" s="1623" t="s">
        <v>23</v>
      </c>
      <c r="U281" s="1643"/>
      <c r="V281" s="1613"/>
      <c r="W281" s="1609"/>
      <c r="X281" s="1623" t="s">
        <v>24</v>
      </c>
      <c r="Y281" s="1643"/>
      <c r="Z281" s="1613"/>
      <c r="AA281" s="1609"/>
      <c r="AB281" s="1623" t="s">
        <v>25</v>
      </c>
      <c r="AC281" s="1643"/>
      <c r="AD281" s="1643"/>
      <c r="AE281" s="1626" t="s">
        <v>108</v>
      </c>
      <c r="AF281" s="1643"/>
      <c r="AG281" s="1637"/>
    </row>
    <row r="282" spans="1:33" ht="18" customHeight="1">
      <c r="A282" s="1"/>
      <c r="B282" s="548"/>
      <c r="C282" s="549"/>
      <c r="D282" s="539"/>
      <c r="E282" s="516"/>
      <c r="F282" s="518"/>
      <c r="G282" s="549"/>
      <c r="H282" s="539"/>
      <c r="I282" s="516"/>
      <c r="J282" s="518"/>
      <c r="K282" s="549"/>
      <c r="L282" s="539"/>
      <c r="M282" s="516"/>
      <c r="N282" s="518"/>
      <c r="O282" s="549"/>
      <c r="P282" s="539"/>
      <c r="Q282" s="516"/>
      <c r="R282" s="518"/>
      <c r="S282" s="549"/>
      <c r="T282" s="539"/>
      <c r="U282" s="516"/>
      <c r="V282" s="518"/>
      <c r="W282" s="549"/>
      <c r="X282" s="539"/>
      <c r="Y282" s="516"/>
      <c r="Z282" s="518"/>
      <c r="AA282" s="549"/>
      <c r="AB282" s="539"/>
      <c r="AC282" s="516"/>
      <c r="AD282" s="516"/>
      <c r="AE282" s="542"/>
      <c r="AF282" s="516"/>
      <c r="AG282" s="466"/>
    </row>
    <row r="283" spans="1:33" ht="18" customHeight="1">
      <c r="A283" s="68"/>
      <c r="B283" s="2122"/>
      <c r="C283" s="1969"/>
      <c r="D283" s="1703"/>
      <c r="E283" s="1703"/>
      <c r="F283" s="2016"/>
      <c r="G283" s="1969"/>
      <c r="H283" s="1703"/>
      <c r="I283" s="1703"/>
      <c r="J283" s="2016"/>
      <c r="K283" s="1969"/>
      <c r="L283" s="1703"/>
      <c r="M283" s="1703"/>
      <c r="N283" s="2016"/>
      <c r="O283" s="1969"/>
      <c r="P283" s="1703"/>
      <c r="Q283" s="1703"/>
      <c r="R283" s="2016"/>
      <c r="S283" s="1969"/>
      <c r="T283" s="1703"/>
      <c r="U283" s="1703"/>
      <c r="V283" s="2016"/>
      <c r="W283" s="1969"/>
      <c r="X283" s="1703"/>
      <c r="Y283" s="1703"/>
      <c r="Z283" s="2016"/>
      <c r="AA283" s="2014"/>
      <c r="AB283" s="1703"/>
      <c r="AC283" s="1703"/>
      <c r="AD283" s="1968"/>
      <c r="AE283" s="2135"/>
      <c r="AF283" s="1703"/>
      <c r="AG283" s="2058"/>
    </row>
    <row r="284" spans="1:33" ht="18" customHeight="1" thickBot="1">
      <c r="A284" s="1"/>
      <c r="B284" s="2025"/>
      <c r="C284" s="2026"/>
      <c r="D284" s="1810"/>
      <c r="E284" s="1810"/>
      <c r="F284" s="2048"/>
      <c r="G284" s="2026"/>
      <c r="H284" s="1810"/>
      <c r="I284" s="1810"/>
      <c r="J284" s="2048"/>
      <c r="K284" s="2026"/>
      <c r="L284" s="1810"/>
      <c r="M284" s="1810"/>
      <c r="N284" s="2048"/>
      <c r="O284" s="2026"/>
      <c r="P284" s="1810"/>
      <c r="Q284" s="1810"/>
      <c r="R284" s="2048"/>
      <c r="S284" s="2026"/>
      <c r="T284" s="1810"/>
      <c r="U284" s="1810"/>
      <c r="V284" s="2048"/>
      <c r="W284" s="2046"/>
      <c r="X284" s="1810"/>
      <c r="Y284" s="1810"/>
      <c r="Z284" s="2048"/>
      <c r="AA284" s="2046"/>
      <c r="AB284" s="1810"/>
      <c r="AC284" s="1810"/>
      <c r="AD284" s="2049"/>
      <c r="AE284" s="2046"/>
      <c r="AF284" s="1810"/>
      <c r="AG284" s="2060"/>
    </row>
    <row r="285" spans="1:33" ht="18" customHeight="1">
      <c r="A285" s="1"/>
      <c r="B285" s="5"/>
      <c r="C285" s="42"/>
      <c r="F285" s="46"/>
      <c r="G285" s="42"/>
      <c r="J285" s="46"/>
      <c r="K285" s="42"/>
      <c r="N285" s="46"/>
      <c r="O285" s="42"/>
      <c r="R285" s="46"/>
      <c r="S285" s="42"/>
      <c r="V285" s="46"/>
      <c r="W285" s="46"/>
      <c r="Z285" s="46"/>
      <c r="AA285" s="46"/>
      <c r="AD285" s="46"/>
      <c r="AE285" s="46"/>
    </row>
    <row r="286" spans="1:33" ht="18" customHeight="1" thickBot="1">
      <c r="A286" s="96" t="s">
        <v>349</v>
      </c>
      <c r="B286" s="5"/>
      <c r="C286" s="42"/>
      <c r="F286" s="46"/>
      <c r="G286" s="42"/>
      <c r="J286" s="46"/>
      <c r="K286" s="42"/>
      <c r="N286" s="46"/>
      <c r="O286" s="42"/>
      <c r="R286" s="46"/>
      <c r="S286" s="42"/>
      <c r="V286" s="46"/>
      <c r="W286" s="46"/>
      <c r="Z286" s="46"/>
      <c r="AA286" s="46"/>
      <c r="AD286" s="46"/>
      <c r="AE286" s="46"/>
      <c r="AG286" s="111"/>
    </row>
    <row r="287" spans="1:33" ht="18" customHeight="1" thickBot="1">
      <c r="A287" s="2009" t="s">
        <v>37</v>
      </c>
      <c r="B287" s="1572" t="s">
        <v>38</v>
      </c>
      <c r="C287" s="1580">
        <v>1</v>
      </c>
      <c r="D287" s="1578">
        <v>2</v>
      </c>
      <c r="E287" s="1580">
        <v>3</v>
      </c>
      <c r="F287" s="1580">
        <v>4</v>
      </c>
      <c r="G287" s="1578">
        <v>5</v>
      </c>
      <c r="H287" s="1578">
        <v>6</v>
      </c>
      <c r="I287" s="1578">
        <v>7</v>
      </c>
      <c r="J287" s="1578">
        <v>8</v>
      </c>
      <c r="K287" s="1578">
        <v>9</v>
      </c>
      <c r="L287" s="1580">
        <v>10</v>
      </c>
      <c r="M287" s="1580">
        <v>11</v>
      </c>
      <c r="N287" s="1578">
        <v>12</v>
      </c>
      <c r="O287" s="1578">
        <v>13</v>
      </c>
      <c r="P287" s="1578">
        <v>14</v>
      </c>
      <c r="Q287" s="1578">
        <v>15</v>
      </c>
      <c r="R287" s="1578">
        <v>16</v>
      </c>
      <c r="S287" s="1580">
        <v>17</v>
      </c>
      <c r="T287" s="1580">
        <v>18</v>
      </c>
      <c r="U287" s="1578">
        <v>19</v>
      </c>
      <c r="V287" s="1578">
        <v>20</v>
      </c>
      <c r="W287" s="1578">
        <v>21</v>
      </c>
      <c r="X287" s="1578">
        <v>22</v>
      </c>
      <c r="Y287" s="1578">
        <v>23</v>
      </c>
      <c r="Z287" s="1580">
        <v>24</v>
      </c>
      <c r="AA287" s="1580">
        <v>25</v>
      </c>
      <c r="AB287" s="1578">
        <v>26</v>
      </c>
      <c r="AC287" s="1578">
        <v>27</v>
      </c>
      <c r="AD287" s="1578">
        <v>28</v>
      </c>
      <c r="AE287" s="1580">
        <v>29</v>
      </c>
      <c r="AF287" s="1578">
        <v>30</v>
      </c>
      <c r="AG287" s="1580">
        <v>31</v>
      </c>
    </row>
    <row r="288" spans="1:33" ht="18" customHeight="1">
      <c r="A288" s="2136"/>
      <c r="B288" s="2137"/>
      <c r="C288" s="1944"/>
      <c r="D288" s="1944" t="s">
        <v>40</v>
      </c>
      <c r="E288" s="1944"/>
      <c r="F288" s="1944"/>
      <c r="G288" s="1944" t="s">
        <v>40</v>
      </c>
      <c r="H288" s="1909" t="s">
        <v>40</v>
      </c>
      <c r="I288" s="1909" t="s">
        <v>40</v>
      </c>
      <c r="J288" s="1944" t="s">
        <v>40</v>
      </c>
      <c r="K288" s="1917" t="s">
        <v>40</v>
      </c>
      <c r="L288" s="1917"/>
      <c r="M288" s="1917"/>
      <c r="N288" s="1917" t="s">
        <v>40</v>
      </c>
      <c r="O288" s="1917" t="s">
        <v>40</v>
      </c>
      <c r="P288" s="1909" t="s">
        <v>40</v>
      </c>
      <c r="Q288" s="1944" t="s">
        <v>40</v>
      </c>
      <c r="R288" s="1944" t="s">
        <v>40</v>
      </c>
      <c r="S288" s="1944"/>
      <c r="T288" s="1944"/>
      <c r="U288" s="1944" t="s">
        <v>40</v>
      </c>
      <c r="V288" s="1909" t="s">
        <v>40</v>
      </c>
      <c r="W288" s="1909" t="s">
        <v>40</v>
      </c>
      <c r="X288" s="1944" t="s">
        <v>40</v>
      </c>
      <c r="Y288" s="1944" t="s">
        <v>40</v>
      </c>
      <c r="Z288" s="1902"/>
      <c r="AA288" s="1902"/>
      <c r="AB288" s="1902" t="s">
        <v>40</v>
      </c>
      <c r="AC288" s="1902" t="s">
        <v>40</v>
      </c>
      <c r="AD288" s="1902" t="s">
        <v>40</v>
      </c>
      <c r="AE288" s="1921"/>
      <c r="AF288" s="1644" t="s">
        <v>40</v>
      </c>
      <c r="AG288" s="2138"/>
    </row>
    <row r="289" spans="1:33" ht="18" customHeight="1">
      <c r="A289" s="2139"/>
      <c r="B289" s="1653" t="s">
        <v>350</v>
      </c>
      <c r="C289" s="1909"/>
      <c r="D289" s="1909" t="s">
        <v>40</v>
      </c>
      <c r="E289" s="1909"/>
      <c r="F289" s="1909"/>
      <c r="G289" s="1909" t="s">
        <v>40</v>
      </c>
      <c r="H289" s="1909" t="s">
        <v>40</v>
      </c>
      <c r="I289" s="1909" t="s">
        <v>40</v>
      </c>
      <c r="J289" s="1909" t="s">
        <v>40</v>
      </c>
      <c r="K289" s="1909" t="s">
        <v>40</v>
      </c>
      <c r="L289" s="1909"/>
      <c r="M289" s="1909"/>
      <c r="N289" s="1909" t="s">
        <v>40</v>
      </c>
      <c r="O289" s="1909" t="s">
        <v>40</v>
      </c>
      <c r="P289" s="1909" t="s">
        <v>40</v>
      </c>
      <c r="Q289" s="1909" t="s">
        <v>40</v>
      </c>
      <c r="R289" s="1909" t="s">
        <v>40</v>
      </c>
      <c r="S289" s="1909"/>
      <c r="T289" s="1909"/>
      <c r="U289" s="1909" t="s">
        <v>40</v>
      </c>
      <c r="V289" s="1909" t="s">
        <v>40</v>
      </c>
      <c r="W289" s="1909" t="s">
        <v>40</v>
      </c>
      <c r="X289" s="1909" t="s">
        <v>40</v>
      </c>
      <c r="Y289" s="1909" t="s">
        <v>40</v>
      </c>
      <c r="Z289" s="1909"/>
      <c r="AA289" s="1909"/>
      <c r="AB289" s="1909" t="s">
        <v>40</v>
      </c>
      <c r="AC289" s="1909" t="s">
        <v>40</v>
      </c>
      <c r="AD289" s="1909" t="s">
        <v>40</v>
      </c>
      <c r="AE289" s="1945"/>
      <c r="AF289" s="1760" t="s">
        <v>40</v>
      </c>
      <c r="AG289" s="2140"/>
    </row>
    <row r="290" spans="1:33" ht="18" customHeight="1">
      <c r="A290" s="2110"/>
      <c r="B290" s="1653" t="s">
        <v>351</v>
      </c>
      <c r="C290" s="1909"/>
      <c r="D290" s="1909" t="s">
        <v>40</v>
      </c>
      <c r="E290" s="1909"/>
      <c r="F290" s="1909"/>
      <c r="G290" s="1909" t="s">
        <v>40</v>
      </c>
      <c r="H290" s="1909" t="s">
        <v>40</v>
      </c>
      <c r="I290" s="1909" t="s">
        <v>40</v>
      </c>
      <c r="J290" s="1909" t="s">
        <v>40</v>
      </c>
      <c r="K290" s="1909" t="s">
        <v>40</v>
      </c>
      <c r="L290" s="1909"/>
      <c r="M290" s="1909"/>
      <c r="N290" s="1909" t="s">
        <v>40</v>
      </c>
      <c r="O290" s="1909" t="s">
        <v>40</v>
      </c>
      <c r="P290" s="1909" t="s">
        <v>40</v>
      </c>
      <c r="Q290" s="1909" t="s">
        <v>40</v>
      </c>
      <c r="R290" s="1909" t="s">
        <v>40</v>
      </c>
      <c r="S290" s="1909"/>
      <c r="T290" s="1909"/>
      <c r="U290" s="1909" t="s">
        <v>40</v>
      </c>
      <c r="V290" s="1909" t="s">
        <v>40</v>
      </c>
      <c r="W290" s="1909" t="s">
        <v>40</v>
      </c>
      <c r="X290" s="1909" t="s">
        <v>40</v>
      </c>
      <c r="Y290" s="1909" t="s">
        <v>40</v>
      </c>
      <c r="Z290" s="1909"/>
      <c r="AA290" s="1909"/>
      <c r="AB290" s="1909" t="s">
        <v>40</v>
      </c>
      <c r="AC290" s="1909" t="s">
        <v>40</v>
      </c>
      <c r="AD290" s="1909" t="s">
        <v>40</v>
      </c>
      <c r="AE290" s="1945"/>
      <c r="AF290" s="1760" t="s">
        <v>40</v>
      </c>
      <c r="AG290" s="2140"/>
    </row>
    <row r="291" spans="1:33" ht="18" customHeight="1">
      <c r="A291" s="2110"/>
      <c r="B291" s="1653" t="s">
        <v>352</v>
      </c>
      <c r="C291" s="1909"/>
      <c r="D291" s="1909" t="s">
        <v>40</v>
      </c>
      <c r="E291" s="1909"/>
      <c r="F291" s="1909"/>
      <c r="G291" s="1909" t="s">
        <v>40</v>
      </c>
      <c r="H291" s="1944" t="s">
        <v>40</v>
      </c>
      <c r="I291" s="1944" t="s">
        <v>40</v>
      </c>
      <c r="J291" s="1909" t="s">
        <v>40</v>
      </c>
      <c r="K291" s="1909" t="s">
        <v>40</v>
      </c>
      <c r="L291" s="1909"/>
      <c r="M291" s="1909"/>
      <c r="N291" s="1909" t="s">
        <v>40</v>
      </c>
      <c r="O291" s="1944" t="s">
        <v>40</v>
      </c>
      <c r="P291" s="1944" t="s">
        <v>40</v>
      </c>
      <c r="Q291" s="1909" t="s">
        <v>40</v>
      </c>
      <c r="R291" s="1909" t="s">
        <v>40</v>
      </c>
      <c r="S291" s="1909"/>
      <c r="T291" s="1909"/>
      <c r="U291" s="1909" t="s">
        <v>40</v>
      </c>
      <c r="V291" s="1944" t="s">
        <v>40</v>
      </c>
      <c r="W291" s="1944" t="s">
        <v>40</v>
      </c>
      <c r="X291" s="1909" t="s">
        <v>40</v>
      </c>
      <c r="Y291" s="1909" t="s">
        <v>40</v>
      </c>
      <c r="Z291" s="1909"/>
      <c r="AA291" s="1909"/>
      <c r="AB291" s="1909" t="s">
        <v>40</v>
      </c>
      <c r="AC291" s="1944" t="s">
        <v>40</v>
      </c>
      <c r="AD291" s="1944" t="s">
        <v>40</v>
      </c>
      <c r="AE291" s="1945"/>
      <c r="AF291" s="1760" t="s">
        <v>40</v>
      </c>
      <c r="AG291" s="2140"/>
    </row>
    <row r="292" spans="1:33" ht="18" customHeight="1">
      <c r="A292" s="2110"/>
      <c r="B292" s="1653" t="s">
        <v>353</v>
      </c>
      <c r="C292" s="1909"/>
      <c r="D292" s="1909" t="s">
        <v>40</v>
      </c>
      <c r="E292" s="1909"/>
      <c r="F292" s="1909"/>
      <c r="G292" s="1909" t="s">
        <v>40</v>
      </c>
      <c r="H292" s="1909" t="s">
        <v>40</v>
      </c>
      <c r="I292" s="1909" t="s">
        <v>40</v>
      </c>
      <c r="J292" s="1909" t="s">
        <v>40</v>
      </c>
      <c r="K292" s="1909" t="s">
        <v>40</v>
      </c>
      <c r="L292" s="1909"/>
      <c r="M292" s="1909"/>
      <c r="N292" s="1909" t="s">
        <v>40</v>
      </c>
      <c r="O292" s="1909" t="s">
        <v>40</v>
      </c>
      <c r="P292" s="1909" t="s">
        <v>40</v>
      </c>
      <c r="Q292" s="1909" t="s">
        <v>40</v>
      </c>
      <c r="R292" s="1909" t="s">
        <v>40</v>
      </c>
      <c r="S292" s="1909"/>
      <c r="T292" s="1909"/>
      <c r="U292" s="1909" t="s">
        <v>40</v>
      </c>
      <c r="V292" s="1909" t="s">
        <v>40</v>
      </c>
      <c r="W292" s="1909" t="s">
        <v>40</v>
      </c>
      <c r="X292" s="1909" t="s">
        <v>40</v>
      </c>
      <c r="Y292" s="1909" t="s">
        <v>40</v>
      </c>
      <c r="Z292" s="1909"/>
      <c r="AA292" s="1909"/>
      <c r="AB292" s="1909" t="s">
        <v>40</v>
      </c>
      <c r="AC292" s="1909" t="s">
        <v>40</v>
      </c>
      <c r="AD292" s="1909" t="s">
        <v>40</v>
      </c>
      <c r="AE292" s="1945"/>
      <c r="AF292" s="1760" t="s">
        <v>40</v>
      </c>
      <c r="AG292" s="2140"/>
    </row>
    <row r="293" spans="1:33" ht="18" customHeight="1">
      <c r="A293" s="2110"/>
      <c r="B293" s="1653" t="s">
        <v>354</v>
      </c>
      <c r="C293" s="1909"/>
      <c r="D293" s="1909" t="s">
        <v>40</v>
      </c>
      <c r="E293" s="1909"/>
      <c r="F293" s="1909"/>
      <c r="G293" s="1909" t="s">
        <v>40</v>
      </c>
      <c r="H293" s="1909" t="s">
        <v>40</v>
      </c>
      <c r="I293" s="1909" t="s">
        <v>40</v>
      </c>
      <c r="J293" s="1909" t="s">
        <v>40</v>
      </c>
      <c r="K293" s="1909" t="s">
        <v>40</v>
      </c>
      <c r="L293" s="1909"/>
      <c r="M293" s="1909"/>
      <c r="N293" s="1909" t="s">
        <v>40</v>
      </c>
      <c r="O293" s="1909" t="s">
        <v>40</v>
      </c>
      <c r="P293" s="1909" t="s">
        <v>40</v>
      </c>
      <c r="Q293" s="1909" t="s">
        <v>40</v>
      </c>
      <c r="R293" s="1909" t="s">
        <v>40</v>
      </c>
      <c r="S293" s="1909"/>
      <c r="T293" s="1909"/>
      <c r="U293" s="1909" t="s">
        <v>40</v>
      </c>
      <c r="V293" s="1909" t="s">
        <v>40</v>
      </c>
      <c r="W293" s="1909" t="s">
        <v>40</v>
      </c>
      <c r="X293" s="1909" t="s">
        <v>40</v>
      </c>
      <c r="Y293" s="1909" t="s">
        <v>40</v>
      </c>
      <c r="Z293" s="1909"/>
      <c r="AA293" s="1909"/>
      <c r="AB293" s="1909" t="s">
        <v>40</v>
      </c>
      <c r="AC293" s="1909" t="s">
        <v>40</v>
      </c>
      <c r="AD293" s="1909" t="s">
        <v>40</v>
      </c>
      <c r="AE293" s="1945"/>
      <c r="AF293" s="1760" t="s">
        <v>40</v>
      </c>
      <c r="AG293" s="2140"/>
    </row>
    <row r="294" spans="1:33" ht="18" customHeight="1">
      <c r="A294" s="2110"/>
      <c r="B294" s="1653" t="s">
        <v>355</v>
      </c>
      <c r="C294" s="1909"/>
      <c r="D294" s="1909" t="s">
        <v>40</v>
      </c>
      <c r="E294" s="1909"/>
      <c r="F294" s="1909"/>
      <c r="G294" s="1909" t="s">
        <v>40</v>
      </c>
      <c r="H294" s="1909" t="s">
        <v>40</v>
      </c>
      <c r="I294" s="1909" t="s">
        <v>40</v>
      </c>
      <c r="J294" s="1909" t="s">
        <v>40</v>
      </c>
      <c r="K294" s="1909" t="s">
        <v>40</v>
      </c>
      <c r="L294" s="1909"/>
      <c r="M294" s="1909"/>
      <c r="N294" s="1909" t="s">
        <v>40</v>
      </c>
      <c r="O294" s="1909" t="s">
        <v>40</v>
      </c>
      <c r="P294" s="1909" t="s">
        <v>40</v>
      </c>
      <c r="Q294" s="1909" t="s">
        <v>40</v>
      </c>
      <c r="R294" s="1909" t="s">
        <v>40</v>
      </c>
      <c r="S294" s="1909"/>
      <c r="T294" s="1909"/>
      <c r="U294" s="1909" t="s">
        <v>40</v>
      </c>
      <c r="V294" s="1909" t="s">
        <v>40</v>
      </c>
      <c r="W294" s="1909" t="s">
        <v>40</v>
      </c>
      <c r="X294" s="1909" t="s">
        <v>40</v>
      </c>
      <c r="Y294" s="1909" t="s">
        <v>40</v>
      </c>
      <c r="Z294" s="1909"/>
      <c r="AA294" s="1909"/>
      <c r="AB294" s="1909" t="s">
        <v>40</v>
      </c>
      <c r="AC294" s="1909" t="s">
        <v>40</v>
      </c>
      <c r="AD294" s="1909" t="s">
        <v>40</v>
      </c>
      <c r="AE294" s="1945"/>
      <c r="AF294" s="1760" t="s">
        <v>40</v>
      </c>
      <c r="AG294" s="2140"/>
    </row>
    <row r="295" spans="1:33" ht="18" customHeight="1">
      <c r="A295" s="2110"/>
      <c r="B295" s="1653" t="s">
        <v>237</v>
      </c>
      <c r="C295" s="1909"/>
      <c r="D295" s="1909" t="s">
        <v>40</v>
      </c>
      <c r="E295" s="1909"/>
      <c r="F295" s="1909"/>
      <c r="G295" s="1909" t="s">
        <v>40</v>
      </c>
      <c r="H295" s="1909" t="s">
        <v>40</v>
      </c>
      <c r="I295" s="1909" t="s">
        <v>40</v>
      </c>
      <c r="J295" s="1909" t="s">
        <v>40</v>
      </c>
      <c r="K295" s="1909" t="s">
        <v>40</v>
      </c>
      <c r="L295" s="1909"/>
      <c r="M295" s="1909"/>
      <c r="N295" s="1909" t="s">
        <v>40</v>
      </c>
      <c r="O295" s="1909" t="s">
        <v>40</v>
      </c>
      <c r="P295" s="1909" t="s">
        <v>40</v>
      </c>
      <c r="Q295" s="1909" t="s">
        <v>40</v>
      </c>
      <c r="R295" s="1909" t="s">
        <v>40</v>
      </c>
      <c r="S295" s="1909"/>
      <c r="T295" s="1909"/>
      <c r="U295" s="1909" t="s">
        <v>40</v>
      </c>
      <c r="V295" s="1909" t="s">
        <v>40</v>
      </c>
      <c r="W295" s="1909" t="s">
        <v>40</v>
      </c>
      <c r="X295" s="1909" t="s">
        <v>40</v>
      </c>
      <c r="Y295" s="1909" t="s">
        <v>40</v>
      </c>
      <c r="Z295" s="1909"/>
      <c r="AA295" s="1909"/>
      <c r="AB295" s="1909" t="s">
        <v>40</v>
      </c>
      <c r="AC295" s="1909" t="s">
        <v>40</v>
      </c>
      <c r="AD295" s="1909" t="s">
        <v>40</v>
      </c>
      <c r="AE295" s="1945"/>
      <c r="AF295" s="1760" t="s">
        <v>40</v>
      </c>
      <c r="AG295" s="2140"/>
    </row>
    <row r="296" spans="1:33" ht="18" customHeight="1">
      <c r="A296" s="2110"/>
      <c r="B296" s="1653" t="s">
        <v>356</v>
      </c>
      <c r="C296" s="1909"/>
      <c r="D296" s="1909" t="s">
        <v>40</v>
      </c>
      <c r="E296" s="1909"/>
      <c r="F296" s="1909"/>
      <c r="G296" s="1909" t="s">
        <v>40</v>
      </c>
      <c r="H296" s="1909" t="s">
        <v>40</v>
      </c>
      <c r="I296" s="1909" t="s">
        <v>40</v>
      </c>
      <c r="J296" s="1909" t="s">
        <v>40</v>
      </c>
      <c r="K296" s="1909" t="s">
        <v>40</v>
      </c>
      <c r="L296" s="1909"/>
      <c r="M296" s="1909"/>
      <c r="N296" s="1909" t="s">
        <v>40</v>
      </c>
      <c r="O296" s="1909" t="s">
        <v>40</v>
      </c>
      <c r="P296" s="1909" t="s">
        <v>40</v>
      </c>
      <c r="Q296" s="1909" t="s">
        <v>40</v>
      </c>
      <c r="R296" s="1909" t="s">
        <v>40</v>
      </c>
      <c r="S296" s="1909"/>
      <c r="T296" s="1909"/>
      <c r="U296" s="1909" t="s">
        <v>40</v>
      </c>
      <c r="V296" s="1909" t="s">
        <v>40</v>
      </c>
      <c r="W296" s="1909" t="s">
        <v>40</v>
      </c>
      <c r="X296" s="1909" t="s">
        <v>40</v>
      </c>
      <c r="Y296" s="1909" t="s">
        <v>40</v>
      </c>
      <c r="Z296" s="1909"/>
      <c r="AA296" s="1909"/>
      <c r="AB296" s="1909" t="s">
        <v>40</v>
      </c>
      <c r="AC296" s="1909" t="s">
        <v>40</v>
      </c>
      <c r="AD296" s="1909" t="s">
        <v>40</v>
      </c>
      <c r="AE296" s="1945"/>
      <c r="AF296" s="1760" t="s">
        <v>40</v>
      </c>
      <c r="AG296" s="2140"/>
    </row>
    <row r="297" spans="1:33" ht="18" customHeight="1">
      <c r="A297" s="2110"/>
      <c r="B297" s="1653" t="s">
        <v>357</v>
      </c>
      <c r="C297" s="2141"/>
      <c r="D297" s="1909" t="s">
        <v>40</v>
      </c>
      <c r="E297" s="1909"/>
      <c r="F297" s="1909"/>
      <c r="G297" s="1909" t="s">
        <v>40</v>
      </c>
      <c r="H297" s="1909" t="s">
        <v>40</v>
      </c>
      <c r="I297" s="1909" t="s">
        <v>40</v>
      </c>
      <c r="J297" s="2141" t="s">
        <v>40</v>
      </c>
      <c r="K297" s="1909" t="s">
        <v>40</v>
      </c>
      <c r="L297" s="1909"/>
      <c r="M297" s="1909"/>
      <c r="N297" s="1909" t="s">
        <v>40</v>
      </c>
      <c r="O297" s="1909" t="s">
        <v>40</v>
      </c>
      <c r="P297" s="1909" t="s">
        <v>40</v>
      </c>
      <c r="Q297" s="2141" t="s">
        <v>40</v>
      </c>
      <c r="R297" s="1909" t="s">
        <v>40</v>
      </c>
      <c r="S297" s="1909"/>
      <c r="T297" s="1909"/>
      <c r="U297" s="1909" t="s">
        <v>40</v>
      </c>
      <c r="V297" s="1909" t="s">
        <v>40</v>
      </c>
      <c r="W297" s="1909" t="s">
        <v>40</v>
      </c>
      <c r="X297" s="2141" t="s">
        <v>40</v>
      </c>
      <c r="Y297" s="1909" t="s">
        <v>40</v>
      </c>
      <c r="Z297" s="1909"/>
      <c r="AA297" s="1909"/>
      <c r="AB297" s="1909" t="s">
        <v>40</v>
      </c>
      <c r="AC297" s="1909" t="s">
        <v>40</v>
      </c>
      <c r="AD297" s="1909" t="s">
        <v>40</v>
      </c>
      <c r="AE297" s="2142"/>
      <c r="AF297" s="1760" t="s">
        <v>40</v>
      </c>
      <c r="AG297" s="2140"/>
    </row>
    <row r="298" spans="1:33" ht="18" customHeight="1">
      <c r="A298" s="2143"/>
      <c r="B298" s="1947" t="s">
        <v>358</v>
      </c>
      <c r="C298" s="2144"/>
      <c r="D298" s="2144" t="s">
        <v>40</v>
      </c>
      <c r="E298" s="2144"/>
      <c r="F298" s="2144"/>
      <c r="G298" s="2144" t="s">
        <v>40</v>
      </c>
      <c r="H298" s="2144" t="s">
        <v>40</v>
      </c>
      <c r="I298" s="2144" t="s">
        <v>40</v>
      </c>
      <c r="J298" s="2144" t="s">
        <v>40</v>
      </c>
      <c r="K298" s="2144" t="s">
        <v>40</v>
      </c>
      <c r="L298" s="2144"/>
      <c r="M298" s="2144"/>
      <c r="N298" s="2144" t="s">
        <v>40</v>
      </c>
      <c r="O298" s="2144" t="s">
        <v>40</v>
      </c>
      <c r="P298" s="2144" t="s">
        <v>40</v>
      </c>
      <c r="Q298" s="2144" t="s">
        <v>40</v>
      </c>
      <c r="R298" s="2144" t="s">
        <v>40</v>
      </c>
      <c r="S298" s="2144"/>
      <c r="T298" s="2144"/>
      <c r="U298" s="2144" t="s">
        <v>40</v>
      </c>
      <c r="V298" s="2144" t="s">
        <v>40</v>
      </c>
      <c r="W298" s="2144" t="s">
        <v>40</v>
      </c>
      <c r="X298" s="2144" t="s">
        <v>40</v>
      </c>
      <c r="Y298" s="2144" t="s">
        <v>40</v>
      </c>
      <c r="Z298" s="2144"/>
      <c r="AA298" s="2144"/>
      <c r="AB298" s="2144" t="s">
        <v>40</v>
      </c>
      <c r="AC298" s="2144" t="s">
        <v>40</v>
      </c>
      <c r="AD298" s="2144" t="s">
        <v>40</v>
      </c>
      <c r="AE298" s="2145"/>
      <c r="AF298" s="1760" t="s">
        <v>40</v>
      </c>
      <c r="AG298" s="2140"/>
    </row>
  </sheetData>
  <sheetProtection algorithmName="SHA-512" hashValue="HXW0JsFPM79VjPDAHqjqKQmXcE2mIKn57H9/1tHALg1IjWoYnwJIKtjpaYr1uQ3bSLtG7m6qDvFLfGxkWwi4uw==" saltValue="85in5Su43J6PcXX9NJW3Vw==" spinCount="100000" sheet="1" objects="1" scenarios="1"/>
  <mergeCells count="3">
    <mergeCell ref="T37:Z37"/>
    <mergeCell ref="C3:F3"/>
    <mergeCell ref="AB3:AE3"/>
  </mergeCells>
  <phoneticPr fontId="10" type="noConversion"/>
  <pageMargins left="0.7" right="0.7" top="0.75" bottom="0.75" header="0.3" footer="0.3"/>
  <pageSetup paperSize="9" scale="10" orientation="landscape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F4D4F-FCD3-46C8-8AE9-4D044B6A7B0C}">
  <sheetPr codeName="Ark39">
    <pageSetUpPr fitToPage="1"/>
  </sheetPr>
  <dimension ref="A1:BM307"/>
  <sheetViews>
    <sheetView topLeftCell="B59" zoomScaleNormal="100" workbookViewId="0">
      <pane xSplit="1" topLeftCell="C1" activePane="topRight" state="frozen"/>
      <selection pane="topRight" activeCell="I226" sqref="I226"/>
      <selection activeCell="B1" sqref="B1"/>
    </sheetView>
  </sheetViews>
  <sheetFormatPr defaultRowHeight="12"/>
  <cols>
    <col min="1" max="1" width="0" hidden="1" customWidth="1"/>
    <col min="2" max="2" width="31.28515625" customWidth="1"/>
    <col min="3" max="7" width="4.5703125" customWidth="1"/>
    <col min="8" max="8" width="4.5703125" style="108" customWidth="1"/>
    <col min="9" max="32" width="4.5703125" customWidth="1"/>
    <col min="33" max="33" width="4.28515625" customWidth="1"/>
    <col min="34" max="34" width="9.140625" style="111" bestFit="1" customWidth="1"/>
    <col min="35" max="65" width="9.140625" style="111"/>
  </cols>
  <sheetData>
    <row r="1" spans="1:33" ht="18" customHeight="1">
      <c r="A1" t="s">
        <v>0</v>
      </c>
      <c r="B1" s="1" t="s">
        <v>1</v>
      </c>
      <c r="U1" t="s">
        <v>359</v>
      </c>
    </row>
    <row r="2" spans="1:33" ht="18" customHeight="1">
      <c r="B2" s="2146" t="s">
        <v>2</v>
      </c>
      <c r="C2" s="2147" t="s">
        <v>3</v>
      </c>
      <c r="D2" s="2148"/>
      <c r="E2" s="2149" t="s">
        <v>4</v>
      </c>
      <c r="F2" s="2150"/>
      <c r="G2" s="2151"/>
      <c r="H2" s="2152"/>
      <c r="I2" s="2151"/>
      <c r="J2" s="2151"/>
      <c r="K2" s="2153"/>
      <c r="L2" s="2154" t="s">
        <v>5</v>
      </c>
      <c r="M2" s="2155"/>
      <c r="N2" s="2156"/>
      <c r="O2" s="2157" t="s">
        <v>6</v>
      </c>
      <c r="P2" s="2158"/>
      <c r="Q2" s="2159"/>
      <c r="R2" s="2160"/>
      <c r="S2" s="2161" t="s">
        <v>7</v>
      </c>
      <c r="T2" s="2162"/>
      <c r="U2" s="2163"/>
      <c r="V2" s="2162"/>
      <c r="W2" s="2164" t="s">
        <v>8</v>
      </c>
      <c r="X2" s="2165"/>
      <c r="Y2" s="2166"/>
      <c r="Z2" s="98" t="s">
        <v>9</v>
      </c>
      <c r="AA2" s="2167"/>
      <c r="AB2" s="2168"/>
      <c r="AC2" s="2169"/>
      <c r="AD2" s="2170" t="s">
        <v>10</v>
      </c>
      <c r="AE2" s="2171"/>
      <c r="AF2" s="2171"/>
    </row>
    <row r="3" spans="1:33" ht="18" customHeight="1">
      <c r="A3" s="1"/>
      <c r="B3" s="2172" t="s">
        <v>11</v>
      </c>
      <c r="C3" s="2173" t="s">
        <v>12</v>
      </c>
      <c r="D3" s="2174"/>
      <c r="E3" s="2174"/>
      <c r="F3" s="2175"/>
      <c r="G3" s="518"/>
      <c r="H3" s="550" t="s">
        <v>10</v>
      </c>
      <c r="I3" s="520"/>
      <c r="J3" s="520"/>
      <c r="K3" s="521"/>
      <c r="L3" s="2176" t="s">
        <v>13</v>
      </c>
      <c r="M3" s="2177"/>
      <c r="N3" s="2178"/>
      <c r="O3" s="520"/>
      <c r="P3" s="520"/>
      <c r="Q3" s="520"/>
      <c r="R3" s="520"/>
      <c r="S3" s="516"/>
      <c r="T3" s="505" t="s">
        <v>14</v>
      </c>
      <c r="U3" s="522"/>
      <c r="V3" s="523"/>
      <c r="W3" s="524"/>
      <c r="X3" s="551"/>
      <c r="Y3" s="2179" t="s">
        <v>15</v>
      </c>
      <c r="Z3" s="2180"/>
      <c r="AA3" s="2180"/>
      <c r="AB3" s="2181" t="s">
        <v>16</v>
      </c>
      <c r="AC3" s="2182"/>
      <c r="AD3" s="2182"/>
      <c r="AE3" s="2182"/>
    </row>
    <row r="4" spans="1:33" ht="18" customHeight="1">
      <c r="A4" s="96" t="s">
        <v>17</v>
      </c>
      <c r="B4" s="22"/>
      <c r="C4" s="4"/>
      <c r="D4" s="48"/>
      <c r="E4" s="48"/>
      <c r="F4" s="48"/>
      <c r="G4" s="48"/>
      <c r="H4" s="209"/>
      <c r="I4" s="48"/>
      <c r="J4" s="48"/>
      <c r="K4" s="6"/>
      <c r="L4" s="48"/>
      <c r="M4" s="6"/>
      <c r="N4" s="6"/>
      <c r="O4" s="48"/>
      <c r="P4" s="48"/>
      <c r="Q4" s="48"/>
      <c r="R4" s="48"/>
      <c r="T4" s="6"/>
      <c r="U4" s="4"/>
      <c r="W4" s="48"/>
      <c r="X4" s="48"/>
      <c r="Y4" s="4"/>
      <c r="Z4" s="48"/>
      <c r="AB4" s="48"/>
      <c r="AC4" s="48"/>
      <c r="AD4" s="48"/>
      <c r="AE4" s="48"/>
      <c r="AF4" s="48"/>
    </row>
    <row r="5" spans="1:33" ht="18" customHeight="1">
      <c r="A5" s="96" t="s">
        <v>18</v>
      </c>
      <c r="B5" s="1"/>
      <c r="C5" s="2183"/>
      <c r="D5" s="2184" t="s">
        <v>19</v>
      </c>
      <c r="E5" s="2185"/>
      <c r="F5" s="2183"/>
      <c r="G5" s="2184" t="s">
        <v>20</v>
      </c>
      <c r="H5" s="2186"/>
      <c r="I5" s="2183"/>
      <c r="J5" s="2184" t="s">
        <v>21</v>
      </c>
      <c r="K5" s="2185"/>
      <c r="L5" s="2183"/>
      <c r="M5" s="2184" t="s">
        <v>22</v>
      </c>
      <c r="N5" s="2185"/>
      <c r="O5" s="2183"/>
      <c r="P5" s="2184" t="s">
        <v>23</v>
      </c>
      <c r="Q5" s="2185"/>
      <c r="R5" s="2183"/>
      <c r="S5" s="2184" t="s">
        <v>24</v>
      </c>
      <c r="T5" s="2187"/>
      <c r="U5" s="2188"/>
      <c r="V5" s="2189" t="s">
        <v>25</v>
      </c>
      <c r="W5" s="2187"/>
    </row>
    <row r="6" spans="1:33" ht="18" customHeight="1">
      <c r="A6" s="2190"/>
      <c r="B6" s="2191" t="s">
        <v>26</v>
      </c>
      <c r="C6" s="2192" t="s">
        <v>27</v>
      </c>
      <c r="D6" s="2193"/>
      <c r="E6" s="2194"/>
      <c r="F6" s="2192" t="s">
        <v>27</v>
      </c>
      <c r="G6" s="2195"/>
      <c r="H6" s="2196"/>
      <c r="I6" s="2192" t="s">
        <v>27</v>
      </c>
      <c r="J6" s="2195"/>
      <c r="K6" s="2194"/>
      <c r="L6" s="2192" t="s">
        <v>27</v>
      </c>
      <c r="M6" s="2195"/>
      <c r="N6" s="2194"/>
      <c r="O6" s="2192" t="s">
        <v>28</v>
      </c>
      <c r="P6" s="2195"/>
      <c r="Q6" s="2194"/>
      <c r="R6" s="2195"/>
      <c r="S6" s="2195"/>
      <c r="T6" s="2195"/>
      <c r="U6" s="2191"/>
      <c r="V6" s="2195"/>
      <c r="W6" s="2194"/>
      <c r="X6" s="2195"/>
      <c r="Y6" s="2195"/>
      <c r="Z6" s="2195"/>
      <c r="AA6" s="2195"/>
      <c r="AB6" s="2197"/>
      <c r="AC6" s="2194"/>
      <c r="AD6" s="111"/>
      <c r="AE6" s="111"/>
      <c r="AF6" s="111"/>
    </row>
    <row r="7" spans="1:33" ht="18" customHeight="1">
      <c r="A7" s="2191"/>
      <c r="B7" s="2191" t="s">
        <v>29</v>
      </c>
      <c r="C7" s="2198" t="s">
        <v>30</v>
      </c>
      <c r="D7" s="2199"/>
      <c r="E7" s="2200"/>
      <c r="F7" s="2198" t="s">
        <v>30</v>
      </c>
      <c r="G7" s="2199"/>
      <c r="H7" s="2201"/>
      <c r="I7" s="2198" t="s">
        <v>30</v>
      </c>
      <c r="J7" s="2199"/>
      <c r="K7" s="2200"/>
      <c r="L7" s="2198" t="s">
        <v>30</v>
      </c>
      <c r="M7" s="2199"/>
      <c r="N7" s="2199"/>
      <c r="O7" s="2198" t="s">
        <v>30</v>
      </c>
      <c r="P7" s="2199"/>
      <c r="Q7" s="2200"/>
      <c r="R7" s="1523" t="s">
        <v>31</v>
      </c>
      <c r="S7" s="1524"/>
      <c r="T7" s="1524"/>
      <c r="U7" s="2202" t="s">
        <v>31</v>
      </c>
      <c r="V7" s="1524"/>
      <c r="W7" s="1525"/>
      <c r="X7" s="2195"/>
      <c r="Y7" s="2195"/>
      <c r="Z7" s="2195"/>
      <c r="AA7" s="2195"/>
      <c r="AB7" s="2203"/>
      <c r="AC7" s="2194"/>
      <c r="AD7" s="111"/>
      <c r="AE7" s="111"/>
      <c r="AF7" s="111"/>
    </row>
    <row r="8" spans="1:33" ht="18" customHeight="1">
      <c r="A8" s="2191"/>
      <c r="B8" s="2191" t="s">
        <v>32</v>
      </c>
      <c r="C8" s="2192" t="s">
        <v>33</v>
      </c>
      <c r="D8" s="2199"/>
      <c r="E8" s="2200"/>
      <c r="F8" s="2192" t="s">
        <v>33</v>
      </c>
      <c r="G8" s="2195"/>
      <c r="H8" s="2196"/>
      <c r="I8" s="2192" t="s">
        <v>33</v>
      </c>
      <c r="J8" s="2195"/>
      <c r="K8" s="2194"/>
      <c r="L8" s="2192" t="s">
        <v>33</v>
      </c>
      <c r="M8" s="2195"/>
      <c r="N8" s="2194"/>
      <c r="O8" s="2192" t="s">
        <v>33</v>
      </c>
      <c r="P8" s="2195"/>
      <c r="Q8" s="2194"/>
      <c r="R8" s="2204" t="s">
        <v>34</v>
      </c>
      <c r="S8" s="2195"/>
      <c r="T8" s="2195"/>
      <c r="U8" s="2192" t="s">
        <v>35</v>
      </c>
      <c r="V8" s="2195"/>
      <c r="W8" s="2194"/>
      <c r="X8" s="2195"/>
      <c r="Y8" s="2195"/>
      <c r="Z8" s="2195"/>
      <c r="AA8" s="2195"/>
      <c r="AB8" s="2203"/>
      <c r="AC8" s="2194"/>
      <c r="AD8" s="111"/>
      <c r="AE8" s="111"/>
      <c r="AF8" s="111"/>
    </row>
    <row r="9" spans="1:33" ht="18" customHeight="1">
      <c r="A9" s="96" t="s">
        <v>10</v>
      </c>
    </row>
    <row r="10" spans="1:33" ht="18" customHeight="1">
      <c r="A10" s="96" t="s">
        <v>10</v>
      </c>
      <c r="AG10" s="103"/>
    </row>
    <row r="11" spans="1:33" ht="18" customHeight="1">
      <c r="AG11" s="105"/>
    </row>
    <row r="12" spans="1:33" ht="18" customHeight="1" thickBot="1">
      <c r="B12" s="60" t="s">
        <v>36</v>
      </c>
      <c r="C12" s="46"/>
      <c r="D12" s="46"/>
      <c r="E12" s="46"/>
      <c r="F12" s="46"/>
      <c r="G12" s="46"/>
      <c r="H12" s="210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104"/>
    </row>
    <row r="13" spans="1:33" ht="18" customHeight="1" thickBot="1">
      <c r="A13" s="1728" t="s">
        <v>37</v>
      </c>
      <c r="B13" s="1729" t="s">
        <v>360</v>
      </c>
      <c r="C13" s="1580">
        <v>1</v>
      </c>
      <c r="D13" s="1578">
        <v>2</v>
      </c>
      <c r="E13" s="1578">
        <v>3</v>
      </c>
      <c r="F13" s="1578">
        <v>4</v>
      </c>
      <c r="G13" s="1580">
        <v>5</v>
      </c>
      <c r="H13" s="1578">
        <v>6</v>
      </c>
      <c r="I13" s="1580">
        <v>7</v>
      </c>
      <c r="J13" s="1580">
        <v>8</v>
      </c>
      <c r="K13" s="1580">
        <v>9</v>
      </c>
      <c r="L13" s="1578">
        <v>10</v>
      </c>
      <c r="M13" s="1578">
        <v>11</v>
      </c>
      <c r="N13" s="1578">
        <v>12</v>
      </c>
      <c r="O13" s="1578">
        <v>13</v>
      </c>
      <c r="P13" s="1580">
        <v>14</v>
      </c>
      <c r="Q13" s="1580">
        <v>15</v>
      </c>
      <c r="R13" s="1578">
        <v>16</v>
      </c>
      <c r="S13" s="1578">
        <v>17</v>
      </c>
      <c r="T13" s="1578">
        <v>18</v>
      </c>
      <c r="U13" s="1578">
        <v>19</v>
      </c>
      <c r="V13" s="1578">
        <v>20</v>
      </c>
      <c r="W13" s="1580">
        <v>21</v>
      </c>
      <c r="X13" s="1580">
        <v>22</v>
      </c>
      <c r="Y13" s="1578">
        <v>23</v>
      </c>
      <c r="Z13" s="1578">
        <v>24</v>
      </c>
      <c r="AA13" s="1578">
        <v>25</v>
      </c>
      <c r="AB13" s="1578">
        <v>26</v>
      </c>
      <c r="AC13" s="1578">
        <v>27</v>
      </c>
      <c r="AD13" s="1580">
        <v>28</v>
      </c>
      <c r="AE13" s="1580">
        <v>29</v>
      </c>
      <c r="AF13" s="1578">
        <v>30</v>
      </c>
      <c r="AG13" s="105"/>
    </row>
    <row r="14" spans="1:33" ht="18" customHeight="1">
      <c r="A14" s="1730">
        <v>8500</v>
      </c>
      <c r="B14" s="1608" t="s">
        <v>39</v>
      </c>
      <c r="C14" s="1639"/>
      <c r="D14" s="1647" t="s">
        <v>40</v>
      </c>
      <c r="E14" s="1648" t="s">
        <v>40</v>
      </c>
      <c r="F14" s="1648" t="s">
        <v>40</v>
      </c>
      <c r="G14" s="1648"/>
      <c r="H14" s="1648" t="s">
        <v>40</v>
      </c>
      <c r="I14" s="1648"/>
      <c r="J14" s="1648"/>
      <c r="K14" s="1648"/>
      <c r="L14" s="1648" t="s">
        <v>40</v>
      </c>
      <c r="M14" s="1648" t="s">
        <v>40</v>
      </c>
      <c r="N14" s="1648" t="s">
        <v>40</v>
      </c>
      <c r="O14" s="2205" t="s">
        <v>26</v>
      </c>
      <c r="P14" s="1648"/>
      <c r="Q14" s="1648"/>
      <c r="R14" s="1648" t="s">
        <v>40</v>
      </c>
      <c r="S14" s="1648" t="s">
        <v>40</v>
      </c>
      <c r="T14" s="1648" t="s">
        <v>40</v>
      </c>
      <c r="U14" s="1648" t="s">
        <v>40</v>
      </c>
      <c r="V14" s="1648" t="s">
        <v>40</v>
      </c>
      <c r="W14" s="1648"/>
      <c r="X14" s="1648"/>
      <c r="Y14" s="1648" t="s">
        <v>40</v>
      </c>
      <c r="Z14" s="1648" t="s">
        <v>40</v>
      </c>
      <c r="AA14" s="1648" t="s">
        <v>40</v>
      </c>
      <c r="AB14" s="1648" t="s">
        <v>40</v>
      </c>
      <c r="AC14" s="1648" t="s">
        <v>40</v>
      </c>
      <c r="AD14" s="1648"/>
      <c r="AE14" s="1648"/>
      <c r="AF14" s="2206" t="s">
        <v>40</v>
      </c>
      <c r="AG14" s="105"/>
    </row>
    <row r="15" spans="1:33" ht="18" customHeight="1">
      <c r="A15" s="2207">
        <v>8546</v>
      </c>
      <c r="B15" s="2208" t="s">
        <v>41</v>
      </c>
      <c r="C15" s="2209"/>
      <c r="D15" s="2210" t="s">
        <v>40</v>
      </c>
      <c r="E15" s="2211" t="s">
        <v>40</v>
      </c>
      <c r="F15" s="2211" t="s">
        <v>40</v>
      </c>
      <c r="G15" s="2211"/>
      <c r="H15" s="2211" t="s">
        <v>40</v>
      </c>
      <c r="I15" s="2211"/>
      <c r="J15" s="2211"/>
      <c r="K15" s="2211"/>
      <c r="L15" s="2211" t="s">
        <v>40</v>
      </c>
      <c r="M15" s="2211" t="s">
        <v>40</v>
      </c>
      <c r="N15" s="2211" t="s">
        <v>40</v>
      </c>
      <c r="O15" s="2211" t="s">
        <v>40</v>
      </c>
      <c r="P15" s="2211"/>
      <c r="Q15" s="2211" t="s">
        <v>0</v>
      </c>
      <c r="R15" s="2211" t="s">
        <v>40</v>
      </c>
      <c r="S15" s="2211" t="s">
        <v>40</v>
      </c>
      <c r="T15" s="2211" t="s">
        <v>40</v>
      </c>
      <c r="U15" s="2211" t="s">
        <v>40</v>
      </c>
      <c r="V15" s="2211" t="s">
        <v>40</v>
      </c>
      <c r="W15" s="2211"/>
      <c r="X15" s="2211"/>
      <c r="Y15" s="2211" t="s">
        <v>40</v>
      </c>
      <c r="Z15" s="2211" t="s">
        <v>40</v>
      </c>
      <c r="AA15" s="2211" t="s">
        <v>40</v>
      </c>
      <c r="AB15" s="2211" t="s">
        <v>40</v>
      </c>
      <c r="AC15" s="2211" t="s">
        <v>40</v>
      </c>
      <c r="AD15" s="2212" t="s">
        <v>47</v>
      </c>
      <c r="AE15" s="2211"/>
      <c r="AF15" s="2210" t="s">
        <v>40</v>
      </c>
      <c r="AG15" s="105"/>
    </row>
    <row r="16" spans="1:33" ht="18" customHeight="1" thickBot="1">
      <c r="A16" s="235"/>
      <c r="B16" s="2213" t="s">
        <v>42</v>
      </c>
      <c r="C16" s="2214"/>
      <c r="D16" s="2215" t="s">
        <v>40</v>
      </c>
      <c r="E16" s="2216" t="s">
        <v>40</v>
      </c>
      <c r="F16" s="2216" t="s">
        <v>40</v>
      </c>
      <c r="G16" s="2216"/>
      <c r="H16" s="2216" t="s">
        <v>40</v>
      </c>
      <c r="I16" s="2216"/>
      <c r="J16" s="2216"/>
      <c r="K16" s="2216"/>
      <c r="L16" s="2216" t="s">
        <v>40</v>
      </c>
      <c r="M16" s="2216" t="s">
        <v>40</v>
      </c>
      <c r="N16" s="2216" t="s">
        <v>40</v>
      </c>
      <c r="O16" s="2216" t="s">
        <v>40</v>
      </c>
      <c r="P16" s="2216"/>
      <c r="Q16" s="2216"/>
      <c r="R16" s="2217" t="s">
        <v>40</v>
      </c>
      <c r="S16" s="2217" t="s">
        <v>40</v>
      </c>
      <c r="T16" s="2216" t="s">
        <v>40</v>
      </c>
      <c r="U16" s="2216" t="s">
        <v>40</v>
      </c>
      <c r="V16" s="2216" t="s">
        <v>40</v>
      </c>
      <c r="W16" s="2216"/>
      <c r="X16" s="2216"/>
      <c r="Y16" s="2216" t="s">
        <v>40</v>
      </c>
      <c r="Z16" s="2216" t="s">
        <v>40</v>
      </c>
      <c r="AA16" s="2216" t="s">
        <v>40</v>
      </c>
      <c r="AB16" s="2216" t="s">
        <v>40</v>
      </c>
      <c r="AC16" s="2216" t="s">
        <v>40</v>
      </c>
      <c r="AD16" s="2216"/>
      <c r="AE16" s="2216"/>
      <c r="AF16" s="2218" t="s">
        <v>40</v>
      </c>
      <c r="AG16" s="105"/>
    </row>
    <row r="17" spans="1:33" ht="18" customHeight="1" thickBot="1">
      <c r="A17" s="2219" t="s">
        <v>44</v>
      </c>
      <c r="B17" s="2220" t="s">
        <v>361</v>
      </c>
      <c r="C17" s="506"/>
      <c r="D17" s="506"/>
      <c r="E17" s="506"/>
      <c r="F17" s="506"/>
      <c r="G17" s="506"/>
      <c r="H17" s="501"/>
      <c r="I17" s="506"/>
      <c r="J17" s="506"/>
      <c r="K17" s="506"/>
      <c r="L17" s="506"/>
      <c r="M17" s="506"/>
      <c r="N17" s="506"/>
      <c r="O17" s="506"/>
      <c r="P17" s="506"/>
      <c r="Q17" s="506"/>
      <c r="R17" s="506"/>
      <c r="S17" s="506"/>
      <c r="T17" s="506"/>
      <c r="U17" s="506"/>
      <c r="V17" s="506"/>
      <c r="W17" s="506"/>
      <c r="X17" s="506"/>
      <c r="Y17" s="506"/>
      <c r="Z17" s="506"/>
      <c r="AA17" s="506"/>
      <c r="AB17" s="506"/>
      <c r="AC17" s="506"/>
      <c r="AD17" s="506"/>
      <c r="AE17" s="506"/>
      <c r="AF17" s="506"/>
      <c r="AG17" s="105"/>
    </row>
    <row r="18" spans="1:33" ht="18" customHeight="1">
      <c r="A18" s="1752">
        <v>8546</v>
      </c>
      <c r="B18" s="507" t="s">
        <v>45</v>
      </c>
      <c r="C18" s="2221"/>
      <c r="D18" s="2205" t="s">
        <v>46</v>
      </c>
      <c r="E18" s="2205" t="s">
        <v>46</v>
      </c>
      <c r="F18" s="2205" t="s">
        <v>46</v>
      </c>
      <c r="G18" s="2205" t="s">
        <v>46</v>
      </c>
      <c r="H18" s="2205" t="s">
        <v>46</v>
      </c>
      <c r="I18" s="2222" t="s">
        <v>47</v>
      </c>
      <c r="J18" s="2222" t="s">
        <v>47</v>
      </c>
      <c r="K18" s="2223" t="s">
        <v>26</v>
      </c>
      <c r="L18" s="2223" t="s">
        <v>26</v>
      </c>
      <c r="M18" s="2223" t="s">
        <v>26</v>
      </c>
      <c r="N18" s="2223" t="s">
        <v>26</v>
      </c>
      <c r="O18" s="2223" t="s">
        <v>26</v>
      </c>
      <c r="P18" s="2224" t="s">
        <v>0</v>
      </c>
      <c r="Q18" s="2224"/>
      <c r="R18" s="2224" t="s">
        <v>43</v>
      </c>
      <c r="S18" s="2224" t="s">
        <v>43</v>
      </c>
      <c r="T18" s="2224" t="s">
        <v>43</v>
      </c>
      <c r="U18" s="2224" t="s">
        <v>43</v>
      </c>
      <c r="V18" s="2224" t="s">
        <v>43</v>
      </c>
      <c r="W18" s="2224"/>
      <c r="X18" s="2224"/>
      <c r="Y18" s="2224" t="s">
        <v>46</v>
      </c>
      <c r="Z18" s="2224" t="s">
        <v>46</v>
      </c>
      <c r="AA18" s="2224" t="s">
        <v>46</v>
      </c>
      <c r="AB18" s="2224" t="s">
        <v>46</v>
      </c>
      <c r="AC18" s="2224" t="s">
        <v>46</v>
      </c>
      <c r="AD18" s="2224" t="s">
        <v>49</v>
      </c>
      <c r="AE18" s="2224" t="s">
        <v>49</v>
      </c>
      <c r="AF18" s="2224" t="s">
        <v>50</v>
      </c>
      <c r="AG18" s="105"/>
    </row>
    <row r="19" spans="1:33" ht="18" customHeight="1">
      <c r="A19" s="2207">
        <v>8500</v>
      </c>
      <c r="B19" s="2225" t="s">
        <v>51</v>
      </c>
      <c r="C19" s="2221" t="s">
        <v>47</v>
      </c>
      <c r="D19" s="2226" t="s">
        <v>26</v>
      </c>
      <c r="E19" s="2226" t="s">
        <v>26</v>
      </c>
      <c r="F19" s="2227" t="s">
        <v>26</v>
      </c>
      <c r="G19" s="2227" t="s">
        <v>46</v>
      </c>
      <c r="H19" s="2228" t="s">
        <v>43</v>
      </c>
      <c r="I19" s="2205" t="s">
        <v>0</v>
      </c>
      <c r="J19" s="2205"/>
      <c r="K19" s="2205" t="s">
        <v>43</v>
      </c>
      <c r="L19" s="2205" t="s">
        <v>43</v>
      </c>
      <c r="M19" s="2205" t="s">
        <v>43</v>
      </c>
      <c r="N19" s="2205" t="s">
        <v>43</v>
      </c>
      <c r="O19" s="2205" t="s">
        <v>43</v>
      </c>
      <c r="P19" s="2205"/>
      <c r="Q19" s="2205"/>
      <c r="R19" s="2205" t="s">
        <v>46</v>
      </c>
      <c r="S19" s="2205" t="s">
        <v>46</v>
      </c>
      <c r="T19" s="2205" t="s">
        <v>46</v>
      </c>
      <c r="U19" s="2229" t="s">
        <v>26</v>
      </c>
      <c r="V19" s="2230" t="s">
        <v>26</v>
      </c>
      <c r="W19" s="2231" t="s">
        <v>49</v>
      </c>
      <c r="X19" s="2205" t="s">
        <v>49</v>
      </c>
      <c r="Y19" s="2205" t="s">
        <v>50</v>
      </c>
      <c r="Z19" s="2232" t="s">
        <v>50</v>
      </c>
      <c r="AA19" s="2232" t="s">
        <v>50</v>
      </c>
      <c r="AB19" s="2232" t="s">
        <v>50</v>
      </c>
      <c r="AC19" s="2232" t="s">
        <v>50</v>
      </c>
      <c r="AD19" s="2232"/>
      <c r="AE19" s="2232"/>
      <c r="AF19" s="2233" t="s">
        <v>43</v>
      </c>
      <c r="AG19" s="105"/>
    </row>
    <row r="20" spans="1:33" ht="18" customHeight="1">
      <c r="A20" s="2207">
        <v>8500</v>
      </c>
      <c r="B20" s="2225" t="s">
        <v>54</v>
      </c>
      <c r="C20" s="2205"/>
      <c r="D20" s="2205" t="s">
        <v>43</v>
      </c>
      <c r="E20" s="2205" t="s">
        <v>43</v>
      </c>
      <c r="F20" s="2227" t="s">
        <v>43</v>
      </c>
      <c r="G20" s="2232" t="s">
        <v>43</v>
      </c>
      <c r="H20" s="2234" t="s">
        <v>43</v>
      </c>
      <c r="I20" s="2221"/>
      <c r="J20" s="2221"/>
      <c r="K20" s="2205" t="s">
        <v>46</v>
      </c>
      <c r="L20" s="2205" t="s">
        <v>46</v>
      </c>
      <c r="M20" s="2205" t="s">
        <v>46</v>
      </c>
      <c r="N20" s="2205" t="s">
        <v>46</v>
      </c>
      <c r="O20" s="2188" t="s">
        <v>46</v>
      </c>
      <c r="P20" s="2235" t="s">
        <v>49</v>
      </c>
      <c r="Q20" s="2236" t="s">
        <v>49</v>
      </c>
      <c r="R20" s="2227" t="s">
        <v>50</v>
      </c>
      <c r="S20" s="2227" t="s">
        <v>50</v>
      </c>
      <c r="T20" s="2227" t="s">
        <v>50</v>
      </c>
      <c r="U20" s="2227" t="s">
        <v>50</v>
      </c>
      <c r="V20" s="2227" t="s">
        <v>50</v>
      </c>
      <c r="W20" s="2227"/>
      <c r="X20" s="2227"/>
      <c r="Y20" s="2227" t="s">
        <v>46</v>
      </c>
      <c r="Z20" s="2227" t="s">
        <v>46</v>
      </c>
      <c r="AA20" s="2227" t="s">
        <v>46</v>
      </c>
      <c r="AB20" s="2227" t="s">
        <v>46</v>
      </c>
      <c r="AC20" s="2227" t="s">
        <v>46</v>
      </c>
      <c r="AD20" s="2237" t="s">
        <v>47</v>
      </c>
      <c r="AE20" s="2227" t="s">
        <v>47</v>
      </c>
      <c r="AF20" s="2238" t="s">
        <v>26</v>
      </c>
      <c r="AG20" s="104"/>
    </row>
    <row r="21" spans="1:33" ht="18" customHeight="1">
      <c r="A21" s="2207">
        <v>8546</v>
      </c>
      <c r="B21" s="2208" t="s">
        <v>56</v>
      </c>
      <c r="C21" s="2221"/>
      <c r="D21" s="2205" t="s">
        <v>46</v>
      </c>
      <c r="E21" s="2221" t="s">
        <v>46</v>
      </c>
      <c r="F21" s="2221" t="s">
        <v>46</v>
      </c>
      <c r="G21" s="2205" t="s">
        <v>46</v>
      </c>
      <c r="H21" s="2221" t="s">
        <v>46</v>
      </c>
      <c r="I21" s="2239" t="s">
        <v>49</v>
      </c>
      <c r="J21" s="2239" t="s">
        <v>49</v>
      </c>
      <c r="K21" s="2239" t="s">
        <v>50</v>
      </c>
      <c r="L21" s="2240" t="s">
        <v>362</v>
      </c>
      <c r="M21" s="2221" t="s">
        <v>50</v>
      </c>
      <c r="N21" s="2232" t="s">
        <v>50</v>
      </c>
      <c r="O21" s="2205" t="s">
        <v>50</v>
      </c>
      <c r="P21" s="2205"/>
      <c r="Q21" s="2205"/>
      <c r="R21" s="2241" t="s">
        <v>46</v>
      </c>
      <c r="S21" s="2241" t="s">
        <v>46</v>
      </c>
      <c r="T21" s="2241" t="s">
        <v>46</v>
      </c>
      <c r="U21" s="2241" t="s">
        <v>46</v>
      </c>
      <c r="V21" s="2241" t="s">
        <v>46</v>
      </c>
      <c r="W21" s="2241" t="s">
        <v>47</v>
      </c>
      <c r="X21" s="2241" t="s">
        <v>47</v>
      </c>
      <c r="Y21" s="2241" t="s">
        <v>26</v>
      </c>
      <c r="Z21" s="2241" t="s">
        <v>26</v>
      </c>
      <c r="AA21" s="2241" t="s">
        <v>26</v>
      </c>
      <c r="AB21" s="2241" t="s">
        <v>26</v>
      </c>
      <c r="AC21" s="2241" t="s">
        <v>26</v>
      </c>
      <c r="AD21" s="2241"/>
      <c r="AE21" s="2241"/>
      <c r="AF21" s="2241" t="s">
        <v>43</v>
      </c>
      <c r="AG21" s="105" t="s">
        <v>133</v>
      </c>
    </row>
    <row r="22" spans="1:33" ht="18" customHeight="1">
      <c r="B22" s="2208" t="s">
        <v>363</v>
      </c>
      <c r="D22" s="236" t="s">
        <v>40</v>
      </c>
      <c r="E22" s="180">
        <v>22</v>
      </c>
      <c r="F22" s="180">
        <v>9</v>
      </c>
      <c r="G22" s="180">
        <v>9</v>
      </c>
      <c r="H22" s="180">
        <v>10</v>
      </c>
      <c r="I22" s="2242"/>
      <c r="J22" s="2242"/>
      <c r="K22" s="2242"/>
      <c r="L22" s="180">
        <v>11</v>
      </c>
      <c r="M22" s="236" t="s">
        <v>118</v>
      </c>
      <c r="N22" s="236">
        <v>26</v>
      </c>
      <c r="O22" s="2226" t="s">
        <v>40</v>
      </c>
      <c r="P22" s="197"/>
      <c r="Q22" s="179" t="s">
        <v>49</v>
      </c>
      <c r="T22" s="181" t="s">
        <v>43</v>
      </c>
      <c r="U22" s="181" t="s">
        <v>43</v>
      </c>
      <c r="V22" s="181" t="s">
        <v>43</v>
      </c>
      <c r="W22" s="2205"/>
      <c r="X22" s="2231"/>
      <c r="Y22" s="2227" t="s">
        <v>46</v>
      </c>
      <c r="Z22" s="2227" t="s">
        <v>46</v>
      </c>
      <c r="AA22" s="2227" t="s">
        <v>46</v>
      </c>
      <c r="AB22" s="2227" t="s">
        <v>46</v>
      </c>
      <c r="AC22" s="2227" t="s">
        <v>46</v>
      </c>
      <c r="AD22" s="2227"/>
      <c r="AE22" s="2227"/>
      <c r="AF22" s="238" t="s">
        <v>46</v>
      </c>
      <c r="AG22" s="105"/>
    </row>
    <row r="23" spans="1:33" ht="18" customHeight="1" thickBot="1">
      <c r="A23" s="2243">
        <v>8546</v>
      </c>
      <c r="B23" s="2244" t="s">
        <v>57</v>
      </c>
      <c r="C23" s="2245"/>
      <c r="D23" s="2224" t="s">
        <v>26</v>
      </c>
      <c r="E23" s="2224" t="s">
        <v>26</v>
      </c>
      <c r="F23" s="2224" t="s">
        <v>26</v>
      </c>
      <c r="G23" s="2224" t="s">
        <v>26</v>
      </c>
      <c r="H23" s="2224" t="s">
        <v>26</v>
      </c>
      <c r="I23" s="583"/>
      <c r="J23" s="583"/>
      <c r="K23" s="583" t="s">
        <v>40</v>
      </c>
      <c r="L23" s="2224" t="s">
        <v>40</v>
      </c>
      <c r="M23" s="2224" t="s">
        <v>40</v>
      </c>
      <c r="N23" s="2224" t="s">
        <v>40</v>
      </c>
      <c r="O23" s="2224" t="s">
        <v>40</v>
      </c>
      <c r="P23" s="2224"/>
      <c r="Q23" s="2224"/>
      <c r="R23" s="2224" t="s">
        <v>40</v>
      </c>
      <c r="S23" s="2224" t="s">
        <v>40</v>
      </c>
      <c r="T23" s="2224" t="s">
        <v>40</v>
      </c>
      <c r="U23" s="2224" t="s">
        <v>40</v>
      </c>
      <c r="V23" s="2224" t="s">
        <v>40</v>
      </c>
      <c r="W23" s="2224"/>
      <c r="X23" s="2224"/>
      <c r="Y23" s="2224" t="s">
        <v>40</v>
      </c>
      <c r="Z23" s="2224" t="s">
        <v>40</v>
      </c>
      <c r="AA23" s="2224" t="s">
        <v>40</v>
      </c>
      <c r="AB23" s="2224" t="s">
        <v>40</v>
      </c>
      <c r="AC23" s="2224" t="s">
        <v>40</v>
      </c>
      <c r="AD23" s="2224"/>
      <c r="AE23" s="2224"/>
      <c r="AF23" s="2224" t="s">
        <v>40</v>
      </c>
      <c r="AG23" s="105"/>
    </row>
    <row r="24" spans="1:33" ht="18" customHeight="1" thickBot="1">
      <c r="A24" s="1775" t="s">
        <v>58</v>
      </c>
      <c r="B24" s="1776"/>
      <c r="C24" s="1599"/>
      <c r="D24" s="1599"/>
      <c r="E24" s="1599"/>
      <c r="F24" s="1599"/>
      <c r="G24" s="1599"/>
      <c r="H24" s="1729"/>
      <c r="I24" s="1599"/>
      <c r="J24" s="1599"/>
      <c r="K24" s="1599"/>
      <c r="L24" s="1599"/>
      <c r="M24" s="1599"/>
      <c r="N24" s="1599"/>
      <c r="O24" s="1599"/>
      <c r="P24" s="1599"/>
      <c r="Q24" s="1599"/>
      <c r="R24" s="1599"/>
      <c r="S24" s="1599"/>
      <c r="T24" s="1599"/>
      <c r="U24" s="1599"/>
      <c r="V24" s="1599"/>
      <c r="W24" s="1599"/>
      <c r="X24" s="1599"/>
      <c r="Y24" s="1599"/>
      <c r="Z24" s="1599"/>
      <c r="AA24" s="1599"/>
      <c r="AB24" s="1599"/>
      <c r="AC24" s="1599"/>
      <c r="AD24" s="1599"/>
      <c r="AE24" s="1599"/>
      <c r="AF24" s="1599"/>
    </row>
    <row r="25" spans="1:33" ht="18" customHeight="1">
      <c r="A25" s="1752">
        <v>8500</v>
      </c>
      <c r="B25" s="1650" t="s">
        <v>59</v>
      </c>
      <c r="C25" s="1639"/>
      <c r="D25" s="1648" t="s">
        <v>40</v>
      </c>
      <c r="E25" s="1648" t="s">
        <v>40</v>
      </c>
      <c r="F25" s="1648" t="s">
        <v>40</v>
      </c>
      <c r="G25" s="1645"/>
      <c r="H25" s="1645" t="s">
        <v>40</v>
      </c>
      <c r="I25" s="2246" t="s">
        <v>47</v>
      </c>
      <c r="J25" s="2247" t="s">
        <v>47</v>
      </c>
      <c r="K25" s="1648"/>
      <c r="L25" s="1831" t="s">
        <v>40</v>
      </c>
      <c r="M25" s="1648" t="s">
        <v>40</v>
      </c>
      <c r="N25" s="1644" t="s">
        <v>40</v>
      </c>
      <c r="O25" s="2248" t="s">
        <v>40</v>
      </c>
      <c r="P25" s="1648"/>
      <c r="Q25" s="1639"/>
      <c r="R25" s="1648" t="s">
        <v>40</v>
      </c>
      <c r="S25" s="1648" t="s">
        <v>40</v>
      </c>
      <c r="T25" s="1648" t="s">
        <v>40</v>
      </c>
      <c r="U25" s="1648" t="s">
        <v>40</v>
      </c>
      <c r="V25" s="1645" t="s">
        <v>40</v>
      </c>
      <c r="W25" s="1648"/>
      <c r="X25" s="1639"/>
      <c r="Y25" s="1648" t="s">
        <v>40</v>
      </c>
      <c r="Z25" s="1648" t="s">
        <v>40</v>
      </c>
      <c r="AA25" s="1645" t="s">
        <v>40</v>
      </c>
      <c r="AB25" s="1645" t="s">
        <v>40</v>
      </c>
      <c r="AC25" s="1648" t="s">
        <v>40</v>
      </c>
      <c r="AD25" s="1648"/>
      <c r="AE25" s="1639"/>
      <c r="AF25" s="1648" t="s">
        <v>40</v>
      </c>
    </row>
    <row r="26" spans="1:33" ht="18" customHeight="1">
      <c r="A26" s="2207">
        <v>8500</v>
      </c>
      <c r="B26" s="221" t="s">
        <v>364</v>
      </c>
      <c r="C26" s="2205"/>
      <c r="D26" s="2226">
        <v>8</v>
      </c>
      <c r="E26" s="2226">
        <v>8</v>
      </c>
      <c r="F26" s="2226">
        <v>8</v>
      </c>
      <c r="G26" s="2205"/>
      <c r="H26" s="2228"/>
      <c r="I26" s="2226" t="s">
        <v>47</v>
      </c>
      <c r="J26" s="2226" t="s">
        <v>47</v>
      </c>
      <c r="K26" s="2249" t="s">
        <v>26</v>
      </c>
      <c r="L26" s="2205" t="s">
        <v>26</v>
      </c>
      <c r="M26" s="2205" t="s">
        <v>26</v>
      </c>
      <c r="N26" s="2221" t="s">
        <v>26</v>
      </c>
      <c r="O26" s="2205" t="s">
        <v>40</v>
      </c>
      <c r="P26" s="2221"/>
      <c r="Q26" s="2221"/>
      <c r="R26" s="2205" t="s">
        <v>26</v>
      </c>
      <c r="S26" s="2250" t="s">
        <v>26</v>
      </c>
      <c r="T26" s="2250" t="s">
        <v>26</v>
      </c>
      <c r="W26" s="2205" t="s">
        <v>47</v>
      </c>
      <c r="X26" s="2188" t="s">
        <v>47</v>
      </c>
      <c r="Y26" t="s">
        <v>26</v>
      </c>
      <c r="Z26" t="s">
        <v>26</v>
      </c>
      <c r="AA26" t="s">
        <v>26</v>
      </c>
      <c r="AB26" t="s">
        <v>26</v>
      </c>
      <c r="AC26" t="s">
        <v>26</v>
      </c>
      <c r="AD26" s="2205"/>
      <c r="AE26" s="2231" t="s">
        <v>49</v>
      </c>
      <c r="AF26" s="2210" t="s">
        <v>50</v>
      </c>
    </row>
    <row r="27" spans="1:33" ht="18" customHeight="1">
      <c r="A27" s="2188"/>
      <c r="B27" s="2208" t="s">
        <v>63</v>
      </c>
      <c r="C27" s="2251"/>
      <c r="D27" s="2251" t="s">
        <v>40</v>
      </c>
      <c r="E27" s="2251" t="s">
        <v>40</v>
      </c>
      <c r="F27" s="2210" t="s">
        <v>40</v>
      </c>
      <c r="G27" s="2210"/>
      <c r="H27" s="2252" t="s">
        <v>40</v>
      </c>
      <c r="I27" s="2232"/>
      <c r="J27" s="2210"/>
      <c r="K27" s="2210"/>
      <c r="L27" s="2210" t="s">
        <v>40</v>
      </c>
      <c r="M27" s="2210" t="s">
        <v>40</v>
      </c>
      <c r="N27" s="2210" t="s">
        <v>40</v>
      </c>
      <c r="O27" s="2232" t="s">
        <v>40</v>
      </c>
      <c r="P27" s="2232"/>
      <c r="Q27" s="2210"/>
      <c r="R27" s="2210" t="s">
        <v>40</v>
      </c>
      <c r="S27" s="2221" t="s">
        <v>40</v>
      </c>
      <c r="T27" s="2221" t="s">
        <v>40</v>
      </c>
      <c r="U27" s="2221" t="s">
        <v>40</v>
      </c>
      <c r="V27" s="2232" t="s">
        <v>40</v>
      </c>
      <c r="W27" s="2232"/>
      <c r="X27" s="2232"/>
      <c r="Y27" s="2210" t="s">
        <v>40</v>
      </c>
      <c r="Z27" s="2253" t="s">
        <v>40</v>
      </c>
      <c r="AA27" s="2253" t="s">
        <v>40</v>
      </c>
      <c r="AB27" s="2253" t="s">
        <v>40</v>
      </c>
      <c r="AC27" s="2253" t="s">
        <v>40</v>
      </c>
      <c r="AD27" s="2232"/>
      <c r="AE27" s="2251"/>
      <c r="AF27" s="2253" t="s">
        <v>40</v>
      </c>
    </row>
    <row r="28" spans="1:33" ht="18" customHeight="1" thickBot="1">
      <c r="A28" s="2254"/>
      <c r="B28" s="2255" t="s">
        <v>65</v>
      </c>
      <c r="C28" s="2214"/>
      <c r="D28" s="2216" t="s">
        <v>40</v>
      </c>
      <c r="E28" s="2216" t="s">
        <v>40</v>
      </c>
      <c r="F28" s="2216" t="s">
        <v>40</v>
      </c>
      <c r="G28" s="2256"/>
      <c r="H28" s="2257" t="s">
        <v>40</v>
      </c>
      <c r="I28" s="2256"/>
      <c r="J28" s="2214"/>
      <c r="K28" s="2216"/>
      <c r="L28" s="2216" t="s">
        <v>40</v>
      </c>
      <c r="M28" s="2216" t="s">
        <v>40</v>
      </c>
      <c r="N28" s="2258" t="s">
        <v>40</v>
      </c>
      <c r="O28" s="2256" t="s">
        <v>40</v>
      </c>
      <c r="P28" s="2216"/>
      <c r="Q28" s="2214"/>
      <c r="R28" s="2216" t="s">
        <v>40</v>
      </c>
      <c r="S28" s="2216" t="s">
        <v>40</v>
      </c>
      <c r="T28" s="2216" t="s">
        <v>40</v>
      </c>
      <c r="U28" s="2256" t="s">
        <v>40</v>
      </c>
      <c r="V28" s="2256" t="s">
        <v>40</v>
      </c>
      <c r="W28" s="2216"/>
      <c r="X28" s="2214"/>
      <c r="Y28" s="2259" t="s">
        <v>40</v>
      </c>
      <c r="Z28" s="2216" t="s">
        <v>40</v>
      </c>
      <c r="AA28" s="2216" t="s">
        <v>40</v>
      </c>
      <c r="AB28" s="2260"/>
      <c r="AC28" s="2256" t="s">
        <v>40</v>
      </c>
      <c r="AD28" s="2216"/>
      <c r="AE28" s="2214"/>
      <c r="AF28" s="2216" t="s">
        <v>40</v>
      </c>
    </row>
    <row r="29" spans="1:33" ht="18" customHeight="1">
      <c r="A29" s="153"/>
      <c r="B29" s="116"/>
      <c r="C29" s="124"/>
      <c r="D29" s="129"/>
      <c r="E29" s="129"/>
      <c r="F29" s="1656"/>
      <c r="G29" s="1656"/>
      <c r="H29" s="1645"/>
      <c r="I29" s="1656"/>
      <c r="J29" s="1656"/>
      <c r="K29" s="129"/>
      <c r="L29" s="116"/>
      <c r="M29" s="116"/>
      <c r="N29" s="116" t="s">
        <v>130</v>
      </c>
      <c r="O29" s="116" t="s">
        <v>130</v>
      </c>
      <c r="P29" s="129"/>
      <c r="Q29" s="127"/>
      <c r="R29" s="193"/>
      <c r="S29" s="2261"/>
      <c r="T29" s="2262"/>
      <c r="U29" s="2262"/>
      <c r="V29" s="2262"/>
      <c r="W29" s="129"/>
      <c r="X29" s="173"/>
      <c r="Y29" s="129"/>
      <c r="Z29" s="129"/>
      <c r="AA29" s="129"/>
      <c r="AB29" s="116"/>
      <c r="AC29" s="116"/>
      <c r="AD29" s="129"/>
      <c r="AE29" s="127"/>
      <c r="AF29" s="129"/>
    </row>
    <row r="30" spans="1:33"/>
    <row r="36" spans="1:33" ht="18" customHeight="1" thickBot="1">
      <c r="A36" s="96" t="s">
        <v>66</v>
      </c>
      <c r="D36" s="48"/>
      <c r="E36" s="48"/>
      <c r="F36" s="48"/>
      <c r="G36" s="48"/>
      <c r="H36" s="211"/>
      <c r="I36" s="48"/>
      <c r="J36" s="48"/>
      <c r="K36" s="48"/>
      <c r="L36" s="48"/>
      <c r="M36" s="48"/>
      <c r="N36" s="48"/>
      <c r="O36" s="48" t="s">
        <v>0</v>
      </c>
      <c r="P36" s="48"/>
      <c r="Q36" s="48" t="s">
        <v>67</v>
      </c>
      <c r="R36" s="48" t="s">
        <v>0</v>
      </c>
      <c r="S36" s="48" t="s">
        <v>68</v>
      </c>
      <c r="T36" s="48"/>
      <c r="U36" s="48"/>
      <c r="V36" s="48"/>
      <c r="W36" s="48"/>
      <c r="X36" s="48"/>
      <c r="Y36" s="48"/>
      <c r="Z36" s="48"/>
      <c r="AA36" s="48"/>
      <c r="AB36" s="48"/>
      <c r="AC36" s="48"/>
      <c r="AD36" s="48"/>
      <c r="AE36" s="48"/>
      <c r="AF36" s="48"/>
    </row>
    <row r="37" spans="1:33" ht="18" customHeight="1">
      <c r="A37" s="1595" t="s">
        <v>69</v>
      </c>
      <c r="B37" s="1595" t="s">
        <v>69</v>
      </c>
      <c r="C37" s="1596"/>
      <c r="D37" s="1641" t="s">
        <v>70</v>
      </c>
      <c r="E37" s="1581"/>
      <c r="F37" s="1581"/>
      <c r="G37" s="1581"/>
      <c r="H37" s="1582"/>
      <c r="I37" s="1581"/>
      <c r="J37" s="1581"/>
      <c r="K37" s="1581"/>
      <c r="L37" s="1581"/>
      <c r="M37" s="1597" t="s">
        <v>71</v>
      </c>
      <c r="N37" s="1581"/>
      <c r="O37" s="1581"/>
      <c r="P37" s="1581"/>
      <c r="Q37" s="1581"/>
      <c r="R37" s="1581"/>
      <c r="S37" s="1598"/>
      <c r="T37" s="1796" t="s">
        <v>72</v>
      </c>
      <c r="U37" s="1796"/>
      <c r="V37" s="1796"/>
      <c r="W37" s="1796"/>
      <c r="X37" s="1796"/>
      <c r="Y37" s="1796"/>
      <c r="Z37" s="1796"/>
      <c r="AA37" s="1642" t="s">
        <v>73</v>
      </c>
      <c r="AB37" s="1643"/>
      <c r="AC37" s="1643"/>
      <c r="AD37" s="1643"/>
      <c r="AE37" s="1643"/>
      <c r="AF37" s="1643"/>
    </row>
    <row r="38" spans="1:33" ht="18" customHeight="1">
      <c r="A38" s="2263" t="s">
        <v>74</v>
      </c>
      <c r="B38" s="2263" t="s">
        <v>74</v>
      </c>
      <c r="C38" s="2264"/>
      <c r="D38" s="2265" t="s">
        <v>75</v>
      </c>
      <c r="E38" s="2266"/>
      <c r="F38" s="2177"/>
      <c r="G38" s="2177"/>
      <c r="H38" s="2267"/>
      <c r="I38" s="2177"/>
      <c r="J38" s="2177"/>
      <c r="K38" s="2177"/>
      <c r="L38" s="2268"/>
      <c r="M38" s="2269" t="s">
        <v>76</v>
      </c>
      <c r="N38" s="2264"/>
      <c r="O38" s="2270"/>
      <c r="P38" s="2264"/>
      <c r="Q38" s="2264"/>
      <c r="R38" s="2264"/>
      <c r="S38" s="2271"/>
      <c r="T38" s="2265" t="s">
        <v>77</v>
      </c>
      <c r="U38" s="2177"/>
      <c r="V38" s="2266"/>
      <c r="W38" s="2177"/>
      <c r="X38" s="2177"/>
      <c r="Y38" s="2177"/>
      <c r="Z38" s="2268"/>
      <c r="AA38" s="97" t="s">
        <v>78</v>
      </c>
      <c r="AD38" s="59"/>
    </row>
    <row r="39" spans="1:33" ht="18" customHeight="1">
      <c r="A39" s="2272" t="s">
        <v>79</v>
      </c>
      <c r="B39" s="2272" t="s">
        <v>79</v>
      </c>
      <c r="C39" s="2177"/>
      <c r="D39" s="2273"/>
      <c r="E39" s="2177"/>
      <c r="F39" s="2177"/>
      <c r="G39" s="2268"/>
      <c r="H39" s="2274" t="s">
        <v>80</v>
      </c>
      <c r="I39" s="2177"/>
      <c r="J39" s="2177"/>
      <c r="K39" s="2177"/>
      <c r="L39" s="2177"/>
      <c r="M39" s="2275"/>
      <c r="N39" s="2177"/>
      <c r="O39" s="2177"/>
      <c r="P39" s="2177"/>
      <c r="Q39" s="2177"/>
      <c r="R39" s="2177"/>
      <c r="S39" s="2177"/>
      <c r="T39" s="2273"/>
      <c r="U39" s="96" t="s">
        <v>81</v>
      </c>
      <c r="AA39" s="2270"/>
      <c r="AB39" s="2264"/>
      <c r="AC39" s="2264"/>
      <c r="AD39" s="2264"/>
      <c r="AE39" s="2264"/>
      <c r="AF39" s="2264"/>
    </row>
    <row r="40" spans="1:33" ht="18" customHeight="1" thickBot="1">
      <c r="A40" s="2276" t="s">
        <v>82</v>
      </c>
      <c r="B40" s="2276" t="s">
        <v>82</v>
      </c>
      <c r="C40" s="2277"/>
      <c r="D40" s="2278"/>
      <c r="E40" s="2277"/>
      <c r="F40" s="2277"/>
      <c r="G40" s="2279"/>
      <c r="H40" s="2280" t="s">
        <v>83</v>
      </c>
      <c r="I40" s="2279"/>
      <c r="J40" s="2277"/>
      <c r="K40" s="2277"/>
      <c r="L40" s="2277"/>
      <c r="M40" s="2281"/>
      <c r="N40" s="2277"/>
      <c r="O40" s="2277"/>
      <c r="P40" s="2277"/>
      <c r="Q40" s="2282"/>
      <c r="R40" s="2282"/>
      <c r="S40" s="2282"/>
      <c r="T40" s="2278"/>
      <c r="U40" s="2283" t="s">
        <v>84</v>
      </c>
      <c r="V40" s="2277"/>
      <c r="W40" s="2277"/>
      <c r="X40" s="2277"/>
      <c r="Y40" s="2277"/>
      <c r="Z40" s="2277"/>
      <c r="AA40" s="2277"/>
      <c r="AB40" s="2277"/>
      <c r="AC40" s="2277"/>
      <c r="AD40" s="2277"/>
      <c r="AE40" s="2277"/>
      <c r="AF40" s="2277"/>
    </row>
    <row r="41" spans="1:33" ht="18" customHeight="1" thickBot="1">
      <c r="B41" s="62" t="s">
        <v>36</v>
      </c>
      <c r="C41" s="48"/>
      <c r="D41" s="48"/>
      <c r="E41" s="48"/>
      <c r="F41" s="48"/>
      <c r="G41" s="48"/>
      <c r="H41" s="211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  <c r="AA41" s="48"/>
      <c r="AB41" s="48"/>
      <c r="AC41" s="48"/>
      <c r="AD41" s="48"/>
      <c r="AE41" s="48"/>
      <c r="AF41" s="48"/>
      <c r="AG41" s="103"/>
    </row>
    <row r="42" spans="1:33" ht="18" customHeight="1" thickBot="1">
      <c r="A42" s="2284" t="s">
        <v>37</v>
      </c>
      <c r="B42" s="2285" t="s">
        <v>365</v>
      </c>
      <c r="C42" s="1580">
        <v>1</v>
      </c>
      <c r="D42" s="1578">
        <v>2</v>
      </c>
      <c r="E42" s="1578">
        <v>3</v>
      </c>
      <c r="F42" s="1578">
        <v>4</v>
      </c>
      <c r="G42" s="1580">
        <v>5</v>
      </c>
      <c r="H42" s="1578">
        <v>6</v>
      </c>
      <c r="I42" s="1580">
        <v>7</v>
      </c>
      <c r="J42" s="1580">
        <v>8</v>
      </c>
      <c r="K42" s="1580">
        <v>9</v>
      </c>
      <c r="L42" s="1578">
        <v>10</v>
      </c>
      <c r="M42" s="1578">
        <v>11</v>
      </c>
      <c r="N42" s="1578">
        <v>12</v>
      </c>
      <c r="O42" s="1578">
        <v>13</v>
      </c>
      <c r="P42" s="1580">
        <v>14</v>
      </c>
      <c r="Q42" s="1580">
        <v>15</v>
      </c>
      <c r="R42" s="1578">
        <v>16</v>
      </c>
      <c r="S42" s="1578">
        <v>17</v>
      </c>
      <c r="T42" s="1578">
        <v>18</v>
      </c>
      <c r="U42" s="1578">
        <v>19</v>
      </c>
      <c r="V42" s="1578">
        <v>20</v>
      </c>
      <c r="W42" s="1580">
        <v>21</v>
      </c>
      <c r="X42" s="1580">
        <v>22</v>
      </c>
      <c r="Y42" s="1578">
        <v>23</v>
      </c>
      <c r="Z42" s="1578">
        <v>24</v>
      </c>
      <c r="AA42" s="1578">
        <v>25</v>
      </c>
      <c r="AB42" s="1578">
        <v>26</v>
      </c>
      <c r="AC42" s="1578">
        <v>27</v>
      </c>
      <c r="AD42" s="1580">
        <v>28</v>
      </c>
      <c r="AE42" s="1580">
        <v>29</v>
      </c>
      <c r="AF42" s="1578">
        <v>30</v>
      </c>
      <c r="AG42" s="105"/>
    </row>
    <row r="43" spans="1:33" ht="18" customHeight="1" thickBot="1">
      <c r="A43" s="1818">
        <v>1</v>
      </c>
      <c r="B43" s="2198" t="s">
        <v>85</v>
      </c>
      <c r="C43" s="1820" t="s">
        <v>87</v>
      </c>
      <c r="D43" s="1645" t="s">
        <v>46</v>
      </c>
      <c r="E43" s="1644" t="s">
        <v>46</v>
      </c>
      <c r="F43" s="1644" t="s">
        <v>46</v>
      </c>
      <c r="G43" s="1644" t="s">
        <v>46</v>
      </c>
      <c r="H43" s="1644" t="s">
        <v>46</v>
      </c>
      <c r="I43" s="1644" t="s">
        <v>89</v>
      </c>
      <c r="J43" s="2215" t="s">
        <v>89</v>
      </c>
      <c r="K43" s="1644">
        <v>8</v>
      </c>
      <c r="L43" s="1644">
        <v>8</v>
      </c>
      <c r="M43" s="1644">
        <v>8</v>
      </c>
      <c r="N43" s="1644">
        <v>8</v>
      </c>
      <c r="O43" s="1645">
        <v>8</v>
      </c>
      <c r="P43" s="1644"/>
      <c r="Q43" s="1646"/>
      <c r="R43" s="1645" t="s">
        <v>46</v>
      </c>
      <c r="S43" s="1644" t="s">
        <v>46</v>
      </c>
      <c r="T43" s="1644" t="s">
        <v>46</v>
      </c>
      <c r="U43" s="1644" t="s">
        <v>46</v>
      </c>
      <c r="V43" s="1644" t="s">
        <v>46</v>
      </c>
      <c r="W43" s="1644"/>
      <c r="X43" s="1646"/>
      <c r="Y43" s="1646">
        <v>1</v>
      </c>
      <c r="Z43" s="1644">
        <v>1</v>
      </c>
      <c r="AA43" s="1644">
        <v>1</v>
      </c>
      <c r="AB43" s="1646">
        <v>1</v>
      </c>
      <c r="AC43" s="2286">
        <v>1</v>
      </c>
      <c r="AD43" s="1646"/>
      <c r="AE43" s="1644"/>
      <c r="AF43" s="1644">
        <v>9</v>
      </c>
      <c r="AG43" s="105"/>
    </row>
    <row r="44" spans="1:33" ht="18" customHeight="1">
      <c r="A44" s="2287">
        <v>6</v>
      </c>
      <c r="B44" s="2208" t="s">
        <v>88</v>
      </c>
      <c r="C44" s="2251" t="s">
        <v>53</v>
      </c>
      <c r="D44" s="2251" t="s">
        <v>46</v>
      </c>
      <c r="E44" s="2251" t="s">
        <v>46</v>
      </c>
      <c r="F44" s="2251" t="s">
        <v>46</v>
      </c>
      <c r="G44" s="2251" t="s">
        <v>46</v>
      </c>
      <c r="H44" s="2251" t="s">
        <v>46</v>
      </c>
      <c r="I44" s="2251" t="s">
        <v>91</v>
      </c>
      <c r="J44" s="2251" t="s">
        <v>89</v>
      </c>
      <c r="K44" s="2251">
        <v>6</v>
      </c>
      <c r="L44" s="2251">
        <v>6</v>
      </c>
      <c r="M44" s="2251">
        <v>6</v>
      </c>
      <c r="N44" s="2251">
        <v>6</v>
      </c>
      <c r="O44" s="2251">
        <v>6</v>
      </c>
      <c r="P44" s="2251"/>
      <c r="Q44" s="2251"/>
      <c r="R44" s="2251" t="s">
        <v>46</v>
      </c>
      <c r="S44" s="2251" t="s">
        <v>46</v>
      </c>
      <c r="T44" s="2251" t="s">
        <v>46</v>
      </c>
      <c r="U44" s="2251" t="s">
        <v>46</v>
      </c>
      <c r="V44" s="2251" t="s">
        <v>46</v>
      </c>
      <c r="W44" s="2251"/>
      <c r="X44" s="2251"/>
      <c r="Y44" s="2251">
        <v>5</v>
      </c>
      <c r="Z44" s="2251">
        <v>5</v>
      </c>
      <c r="AA44" s="2251">
        <v>5</v>
      </c>
      <c r="AB44" s="2251">
        <v>5</v>
      </c>
      <c r="AC44" s="2251">
        <v>5</v>
      </c>
      <c r="AD44" s="2251"/>
      <c r="AE44" s="2251"/>
      <c r="AF44" s="2251">
        <v>10</v>
      </c>
      <c r="AG44" s="105"/>
    </row>
    <row r="45" spans="1:33" ht="18" customHeight="1" thickBot="1">
      <c r="A45" s="2288">
        <v>11</v>
      </c>
      <c r="B45" s="2213" t="s">
        <v>90</v>
      </c>
      <c r="C45" s="2258" t="s">
        <v>53</v>
      </c>
      <c r="D45" s="2258" t="s">
        <v>46</v>
      </c>
      <c r="E45" s="2289" t="s">
        <v>46</v>
      </c>
      <c r="F45" s="2258" t="s">
        <v>46</v>
      </c>
      <c r="G45" s="2258" t="s">
        <v>46</v>
      </c>
      <c r="H45" s="2258" t="s">
        <v>46</v>
      </c>
      <c r="I45" s="2258" t="s">
        <v>86</v>
      </c>
      <c r="J45" s="2258" t="s">
        <v>86</v>
      </c>
      <c r="K45" s="2258">
        <v>7</v>
      </c>
      <c r="L45" s="2258">
        <v>7</v>
      </c>
      <c r="M45" s="2215">
        <v>7</v>
      </c>
      <c r="N45" s="2258">
        <v>7</v>
      </c>
      <c r="O45" s="2258">
        <v>7</v>
      </c>
      <c r="P45" s="2258"/>
      <c r="Q45" s="2258"/>
      <c r="R45" s="2258">
        <v>4</v>
      </c>
      <c r="S45" s="2290">
        <v>4</v>
      </c>
      <c r="T45" s="2216">
        <v>4</v>
      </c>
      <c r="U45" s="2217">
        <v>4</v>
      </c>
      <c r="V45" s="2291">
        <v>4</v>
      </c>
      <c r="W45" s="2258"/>
      <c r="X45" s="2258"/>
      <c r="Y45" s="2292">
        <v>3</v>
      </c>
      <c r="Z45" s="2292">
        <v>3</v>
      </c>
      <c r="AA45" s="2293">
        <v>3</v>
      </c>
      <c r="AB45" s="2258">
        <v>3</v>
      </c>
      <c r="AC45" s="2258">
        <v>3</v>
      </c>
      <c r="AD45" s="2258"/>
      <c r="AE45" s="2258"/>
      <c r="AF45" s="2258">
        <v>11</v>
      </c>
      <c r="AG45" s="105"/>
    </row>
    <row r="46" spans="1:33" ht="18" customHeight="1" thickBot="1">
      <c r="A46" s="1818">
        <v>2</v>
      </c>
      <c r="B46" s="2294" t="s">
        <v>92</v>
      </c>
      <c r="C46" s="2133" t="s">
        <v>89</v>
      </c>
      <c r="D46" s="2295">
        <v>8</v>
      </c>
      <c r="E46" s="2295">
        <v>8</v>
      </c>
      <c r="F46" s="2295">
        <v>8</v>
      </c>
      <c r="G46" s="2295">
        <v>8</v>
      </c>
      <c r="H46" s="2295">
        <v>8</v>
      </c>
      <c r="I46" s="2295"/>
      <c r="J46" s="2295"/>
      <c r="K46" s="2295" t="s">
        <v>46</v>
      </c>
      <c r="L46" s="2295" t="s">
        <v>46</v>
      </c>
      <c r="M46" s="2295" t="s">
        <v>46</v>
      </c>
      <c r="N46" s="2295" t="s">
        <v>46</v>
      </c>
      <c r="O46" s="2295" t="s">
        <v>46</v>
      </c>
      <c r="P46" s="2295"/>
      <c r="Q46" s="2295"/>
      <c r="R46" s="1837">
        <v>1</v>
      </c>
      <c r="S46" s="1837">
        <v>1</v>
      </c>
      <c r="T46" s="1837">
        <v>1</v>
      </c>
      <c r="U46" s="2295">
        <v>1</v>
      </c>
      <c r="V46" s="2295">
        <v>1</v>
      </c>
      <c r="W46" s="2295"/>
      <c r="X46" s="2295"/>
      <c r="Y46" s="2295">
        <v>9</v>
      </c>
      <c r="Z46" s="2295">
        <v>9</v>
      </c>
      <c r="AA46" s="2295">
        <v>9</v>
      </c>
      <c r="AB46" s="2295">
        <v>9</v>
      </c>
      <c r="AC46" s="2295">
        <v>9</v>
      </c>
      <c r="AD46" s="2295" t="s">
        <v>52</v>
      </c>
      <c r="AE46" s="2295" t="s">
        <v>53</v>
      </c>
      <c r="AF46" s="2295" t="s">
        <v>46</v>
      </c>
      <c r="AG46" s="105"/>
    </row>
    <row r="47" spans="1:33" ht="18" customHeight="1">
      <c r="A47" s="2287">
        <v>7</v>
      </c>
      <c r="B47" s="2208" t="s">
        <v>93</v>
      </c>
      <c r="C47" s="2205" t="s">
        <v>49</v>
      </c>
      <c r="D47" s="2205" t="s">
        <v>50</v>
      </c>
      <c r="E47" s="2211" t="s">
        <v>50</v>
      </c>
      <c r="F47" s="2296" t="s">
        <v>50</v>
      </c>
      <c r="G47" s="2211" t="s">
        <v>50</v>
      </c>
      <c r="H47" s="2211" t="s">
        <v>50</v>
      </c>
      <c r="I47" s="2211"/>
      <c r="J47" s="2211"/>
      <c r="K47" s="2211" t="s">
        <v>46</v>
      </c>
      <c r="L47" s="2205" t="s">
        <v>46</v>
      </c>
      <c r="M47" s="2205" t="s">
        <v>46</v>
      </c>
      <c r="N47" s="2297" t="s">
        <v>46</v>
      </c>
      <c r="O47" s="2205" t="s">
        <v>43</v>
      </c>
      <c r="P47" s="2231" t="s">
        <v>47</v>
      </c>
      <c r="Q47" s="2298" t="s">
        <v>47</v>
      </c>
      <c r="R47" s="2205" t="s">
        <v>43</v>
      </c>
      <c r="S47" s="2205" t="s">
        <v>43</v>
      </c>
      <c r="T47" s="2238" t="s">
        <v>43</v>
      </c>
      <c r="U47" s="2238" t="s">
        <v>43</v>
      </c>
      <c r="V47" s="2238" t="s">
        <v>43</v>
      </c>
      <c r="Y47" s="2205" t="s">
        <v>43</v>
      </c>
      <c r="Z47" s="2205" t="s">
        <v>43</v>
      </c>
      <c r="AA47" s="2231" t="s">
        <v>43</v>
      </c>
      <c r="AB47" s="2205" t="s">
        <v>43</v>
      </c>
      <c r="AC47" s="2231" t="s">
        <v>43</v>
      </c>
      <c r="AD47" s="2205" t="s">
        <v>49</v>
      </c>
      <c r="AE47" s="2205"/>
      <c r="AF47" s="2205" t="s">
        <v>46</v>
      </c>
    </row>
    <row r="48" spans="1:33" ht="18" customHeight="1" thickBot="1">
      <c r="A48" s="2288">
        <v>12</v>
      </c>
      <c r="B48" s="2299" t="s">
        <v>94</v>
      </c>
      <c r="C48" s="2215" t="s">
        <v>86</v>
      </c>
      <c r="D48" s="589">
        <v>8</v>
      </c>
      <c r="E48" s="589">
        <v>8</v>
      </c>
      <c r="F48" s="589">
        <v>8</v>
      </c>
      <c r="G48" s="581">
        <v>8</v>
      </c>
      <c r="H48" s="590">
        <v>8</v>
      </c>
      <c r="I48" s="2215"/>
      <c r="J48" s="2215"/>
      <c r="K48" s="2215">
        <v>4</v>
      </c>
      <c r="L48" s="2215">
        <v>4</v>
      </c>
      <c r="M48" s="2215">
        <v>4</v>
      </c>
      <c r="N48" s="2260">
        <v>4</v>
      </c>
      <c r="O48" s="2300">
        <v>4</v>
      </c>
      <c r="P48" s="2215"/>
      <c r="Q48" s="2215"/>
      <c r="R48" s="1464">
        <v>3</v>
      </c>
      <c r="S48" s="1464">
        <v>3</v>
      </c>
      <c r="T48" s="1464">
        <v>3</v>
      </c>
      <c r="U48" s="2215">
        <v>3</v>
      </c>
      <c r="V48" s="2215">
        <v>3</v>
      </c>
      <c r="W48" s="2215"/>
      <c r="X48" s="2215"/>
      <c r="Y48" s="2215">
        <v>11</v>
      </c>
      <c r="Z48" s="2215">
        <v>11</v>
      </c>
      <c r="AA48" s="2215">
        <v>11</v>
      </c>
      <c r="AB48" s="2215">
        <v>11</v>
      </c>
      <c r="AC48" s="2215">
        <v>11</v>
      </c>
      <c r="AD48" s="2215" t="s">
        <v>87</v>
      </c>
      <c r="AE48" s="2215" t="s">
        <v>87</v>
      </c>
      <c r="AF48" s="2215" t="s">
        <v>46</v>
      </c>
      <c r="AG48" s="105"/>
    </row>
    <row r="49" spans="1:33" ht="18" customHeight="1">
      <c r="A49" s="1818">
        <v>3</v>
      </c>
      <c r="B49" s="1843" t="s">
        <v>95</v>
      </c>
      <c r="C49" s="501"/>
      <c r="D49" s="591" t="s">
        <v>46</v>
      </c>
      <c r="E49" s="592" t="s">
        <v>46</v>
      </c>
      <c r="F49" s="504" t="s">
        <v>46</v>
      </c>
      <c r="G49" s="593" t="s">
        <v>46</v>
      </c>
      <c r="H49" s="504" t="s">
        <v>46</v>
      </c>
      <c r="I49" s="504"/>
      <c r="J49" s="508"/>
      <c r="K49" s="508">
        <v>1</v>
      </c>
      <c r="L49" s="508">
        <v>1</v>
      </c>
      <c r="M49" s="508">
        <v>1</v>
      </c>
      <c r="N49" s="508">
        <v>1</v>
      </c>
      <c r="O49" s="508">
        <v>1</v>
      </c>
      <c r="P49" s="508"/>
      <c r="Q49" s="508"/>
      <c r="R49" s="504">
        <v>9</v>
      </c>
      <c r="S49" s="504">
        <v>9</v>
      </c>
      <c r="T49" s="504">
        <v>9</v>
      </c>
      <c r="U49" s="504">
        <v>9</v>
      </c>
      <c r="V49" s="508">
        <v>9</v>
      </c>
      <c r="W49" s="508" t="s">
        <v>52</v>
      </c>
      <c r="X49" s="594" t="s">
        <v>53</v>
      </c>
      <c r="Y49" s="504" t="s">
        <v>46</v>
      </c>
      <c r="Z49" s="504" t="s">
        <v>46</v>
      </c>
      <c r="AA49" s="504" t="s">
        <v>46</v>
      </c>
      <c r="AB49" s="504" t="s">
        <v>46</v>
      </c>
      <c r="AC49" s="509" t="s">
        <v>46</v>
      </c>
      <c r="AD49" s="504" t="s">
        <v>91</v>
      </c>
      <c r="AE49" s="504" t="s">
        <v>89</v>
      </c>
      <c r="AF49" s="504">
        <v>6</v>
      </c>
      <c r="AG49" s="105"/>
    </row>
    <row r="50" spans="1:33" ht="18" customHeight="1">
      <c r="A50" s="2287">
        <v>8</v>
      </c>
      <c r="B50" s="2208" t="s">
        <v>96</v>
      </c>
      <c r="C50" s="2210"/>
      <c r="D50" s="2210" t="s">
        <v>46</v>
      </c>
      <c r="E50" s="2210" t="s">
        <v>46</v>
      </c>
      <c r="F50" s="2210" t="s">
        <v>46</v>
      </c>
      <c r="G50" s="2210" t="s">
        <v>46</v>
      </c>
      <c r="H50" s="2210" t="s">
        <v>46</v>
      </c>
      <c r="I50" s="2210"/>
      <c r="J50" s="2210"/>
      <c r="K50" s="2210"/>
      <c r="L50" s="2210">
        <v>5</v>
      </c>
      <c r="M50" s="2210">
        <v>5</v>
      </c>
      <c r="N50" s="2210">
        <v>5</v>
      </c>
      <c r="O50" s="2210">
        <v>5</v>
      </c>
      <c r="P50" s="2210"/>
      <c r="Q50" s="2210"/>
      <c r="R50" s="2238">
        <v>10</v>
      </c>
      <c r="S50" s="2238">
        <v>10</v>
      </c>
      <c r="T50" s="2238">
        <v>10</v>
      </c>
      <c r="U50" s="2238">
        <v>10</v>
      </c>
      <c r="V50" s="2238">
        <v>10</v>
      </c>
      <c r="W50" s="2238" t="s">
        <v>53</v>
      </c>
      <c r="X50" s="2227" t="s">
        <v>53</v>
      </c>
      <c r="Y50" s="2296" t="s">
        <v>46</v>
      </c>
      <c r="Z50" s="2296" t="s">
        <v>46</v>
      </c>
      <c r="AA50" s="2296" t="s">
        <v>46</v>
      </c>
      <c r="AB50" s="2296" t="s">
        <v>46</v>
      </c>
      <c r="AC50" s="2296" t="s">
        <v>46</v>
      </c>
      <c r="AD50" s="2221" t="s">
        <v>86</v>
      </c>
      <c r="AE50" s="2221" t="s">
        <v>86</v>
      </c>
      <c r="AF50" s="2297">
        <v>7</v>
      </c>
      <c r="AG50" s="105"/>
    </row>
    <row r="51" spans="1:33" ht="18" customHeight="1" thickBot="1">
      <c r="A51" s="2288">
        <v>13</v>
      </c>
      <c r="B51" s="2213" t="s">
        <v>97</v>
      </c>
      <c r="C51" s="2256"/>
      <c r="D51" s="2256">
        <v>4</v>
      </c>
      <c r="E51" s="2258">
        <v>4</v>
      </c>
      <c r="F51" s="2258">
        <v>4</v>
      </c>
      <c r="G51" s="2258">
        <v>4</v>
      </c>
      <c r="H51" s="2258">
        <v>4</v>
      </c>
      <c r="I51" s="2258"/>
      <c r="J51" s="2256"/>
      <c r="K51" s="2258">
        <v>3</v>
      </c>
      <c r="L51" s="2301">
        <v>3</v>
      </c>
      <c r="M51" s="2258">
        <v>3</v>
      </c>
      <c r="N51" s="2301">
        <v>3</v>
      </c>
      <c r="O51" s="2301">
        <v>3</v>
      </c>
      <c r="P51" s="2301"/>
      <c r="Q51" s="2258"/>
      <c r="R51" s="2258">
        <v>11</v>
      </c>
      <c r="S51" s="2258">
        <v>11</v>
      </c>
      <c r="T51" s="2258">
        <v>11</v>
      </c>
      <c r="U51" s="2258">
        <v>11</v>
      </c>
      <c r="V51" s="2258">
        <v>11</v>
      </c>
      <c r="W51" s="2258" t="s">
        <v>87</v>
      </c>
      <c r="X51" s="2258" t="s">
        <v>87</v>
      </c>
      <c r="Y51" s="2256" t="s">
        <v>46</v>
      </c>
      <c r="Z51" s="2258" t="s">
        <v>46</v>
      </c>
      <c r="AA51" s="2258" t="s">
        <v>46</v>
      </c>
      <c r="AB51" s="2258" t="s">
        <v>46</v>
      </c>
      <c r="AC51" s="2258" t="s">
        <v>46</v>
      </c>
      <c r="AD51" s="2258" t="s">
        <v>89</v>
      </c>
      <c r="AE51" s="2215" t="s">
        <v>89</v>
      </c>
      <c r="AF51" s="2258">
        <v>8</v>
      </c>
      <c r="AG51" s="105"/>
    </row>
    <row r="52" spans="1:33" ht="18" customHeight="1">
      <c r="A52" s="1818">
        <v>4</v>
      </c>
      <c r="B52" s="1650" t="s">
        <v>99</v>
      </c>
      <c r="C52" s="501"/>
      <c r="D52" s="508">
        <v>1</v>
      </c>
      <c r="E52" s="504">
        <v>1</v>
      </c>
      <c r="F52" s="504">
        <v>1</v>
      </c>
      <c r="G52" s="504">
        <v>1</v>
      </c>
      <c r="H52" s="504">
        <v>1</v>
      </c>
      <c r="I52" s="504"/>
      <c r="J52" s="508"/>
      <c r="K52" s="508">
        <v>9</v>
      </c>
      <c r="L52" s="508">
        <v>9</v>
      </c>
      <c r="M52" s="508">
        <v>9</v>
      </c>
      <c r="N52" s="508">
        <v>9</v>
      </c>
      <c r="O52" s="508">
        <v>9</v>
      </c>
      <c r="P52" s="586" t="s">
        <v>52</v>
      </c>
      <c r="Q52" s="586" t="s">
        <v>53</v>
      </c>
      <c r="R52" s="504" t="s">
        <v>46</v>
      </c>
      <c r="S52" s="504" t="s">
        <v>46</v>
      </c>
      <c r="T52" s="504" t="s">
        <v>46</v>
      </c>
      <c r="U52" s="504" t="s">
        <v>46</v>
      </c>
      <c r="V52" s="508" t="s">
        <v>46</v>
      </c>
      <c r="W52" s="508" t="s">
        <v>91</v>
      </c>
      <c r="X52" s="501" t="s">
        <v>89</v>
      </c>
      <c r="Y52" s="504">
        <v>6</v>
      </c>
      <c r="Z52" s="504">
        <v>6</v>
      </c>
      <c r="AA52" s="504">
        <v>6</v>
      </c>
      <c r="AB52" s="504">
        <v>6</v>
      </c>
      <c r="AC52" s="509">
        <v>6</v>
      </c>
      <c r="AD52" s="504"/>
      <c r="AE52" s="504"/>
      <c r="AF52" s="504" t="s">
        <v>46</v>
      </c>
      <c r="AG52" s="105"/>
    </row>
    <row r="53" spans="1:33" ht="18" customHeight="1">
      <c r="A53" s="2287">
        <v>9</v>
      </c>
      <c r="B53" s="2208" t="s">
        <v>101</v>
      </c>
      <c r="C53" s="2210"/>
      <c r="D53" s="2210">
        <v>5</v>
      </c>
      <c r="E53" s="2210">
        <v>5</v>
      </c>
      <c r="F53" s="2210">
        <v>5</v>
      </c>
      <c r="G53" s="2210"/>
      <c r="H53" s="2210">
        <v>5</v>
      </c>
      <c r="I53" s="2211"/>
      <c r="J53" s="2210"/>
      <c r="K53" s="2210">
        <v>10</v>
      </c>
      <c r="L53" s="2210">
        <v>10</v>
      </c>
      <c r="M53" s="2210">
        <v>10</v>
      </c>
      <c r="N53" s="2221">
        <v>10</v>
      </c>
      <c r="O53" s="2210">
        <v>10</v>
      </c>
      <c r="P53" s="2210" t="s">
        <v>53</v>
      </c>
      <c r="Q53" s="2210" t="s">
        <v>53</v>
      </c>
      <c r="R53" s="2241" t="s">
        <v>46</v>
      </c>
      <c r="S53" s="2241" t="s">
        <v>46</v>
      </c>
      <c r="T53" s="2241" t="s">
        <v>46</v>
      </c>
      <c r="U53" s="2241" t="s">
        <v>46</v>
      </c>
      <c r="V53" s="2241" t="s">
        <v>46</v>
      </c>
      <c r="W53" s="2241" t="s">
        <v>86</v>
      </c>
      <c r="X53" s="2241" t="s">
        <v>86</v>
      </c>
      <c r="Y53" s="2241">
        <v>7</v>
      </c>
      <c r="Z53" s="2241">
        <v>7</v>
      </c>
      <c r="AA53" s="2241">
        <v>7</v>
      </c>
      <c r="AB53" s="2241">
        <v>7</v>
      </c>
      <c r="AC53" s="2241">
        <v>7</v>
      </c>
      <c r="AD53" s="2241"/>
      <c r="AE53" s="2241"/>
      <c r="AF53" s="2241">
        <v>4</v>
      </c>
      <c r="AG53" s="105" t="s">
        <v>133</v>
      </c>
    </row>
    <row r="54" spans="1:33" ht="18" customHeight="1" thickBot="1">
      <c r="A54" s="2288">
        <v>14</v>
      </c>
      <c r="B54" s="2213" t="s">
        <v>102</v>
      </c>
      <c r="C54" s="2256"/>
      <c r="D54" s="2256">
        <v>3</v>
      </c>
      <c r="E54" s="2258">
        <v>3</v>
      </c>
      <c r="F54" s="2258">
        <v>3</v>
      </c>
      <c r="G54" s="2258">
        <v>3</v>
      </c>
      <c r="H54" s="2258">
        <v>3</v>
      </c>
      <c r="I54" s="2258"/>
      <c r="J54" s="2256"/>
      <c r="K54" s="2258">
        <v>11</v>
      </c>
      <c r="L54" s="2300">
        <v>11</v>
      </c>
      <c r="M54" s="2258">
        <v>11</v>
      </c>
      <c r="N54" s="2301">
        <v>11</v>
      </c>
      <c r="O54" s="2301">
        <v>11</v>
      </c>
      <c r="P54" s="2301" t="s">
        <v>87</v>
      </c>
      <c r="Q54" s="2258" t="s">
        <v>87</v>
      </c>
      <c r="R54" s="2258" t="s">
        <v>46</v>
      </c>
      <c r="S54" s="2258" t="s">
        <v>46</v>
      </c>
      <c r="T54" s="2258" t="s">
        <v>46</v>
      </c>
      <c r="U54" s="2258" t="s">
        <v>46</v>
      </c>
      <c r="V54" s="2258" t="s">
        <v>46</v>
      </c>
      <c r="W54" s="2258" t="s">
        <v>89</v>
      </c>
      <c r="X54" s="2215" t="s">
        <v>89</v>
      </c>
      <c r="Y54" s="2256">
        <v>8</v>
      </c>
      <c r="Z54" s="2258">
        <v>8</v>
      </c>
      <c r="AA54" s="2258">
        <v>8</v>
      </c>
      <c r="AB54" s="2258">
        <v>8</v>
      </c>
      <c r="AC54" s="2258">
        <v>8</v>
      </c>
      <c r="AD54" s="2258"/>
      <c r="AE54" s="2256"/>
      <c r="AF54" s="2258" t="s">
        <v>46</v>
      </c>
      <c r="AG54" s="105"/>
    </row>
    <row r="55" spans="1:33" ht="18" customHeight="1">
      <c r="A55" s="1818">
        <v>5</v>
      </c>
      <c r="B55" s="2208" t="s">
        <v>103</v>
      </c>
      <c r="C55" s="1645"/>
      <c r="D55" s="2295" t="s">
        <v>366</v>
      </c>
      <c r="E55" s="2035">
        <v>9</v>
      </c>
      <c r="F55" s="2035">
        <v>9</v>
      </c>
      <c r="G55" s="2035">
        <v>9</v>
      </c>
      <c r="H55" s="2302">
        <v>9</v>
      </c>
      <c r="I55" s="2035" t="s">
        <v>52</v>
      </c>
      <c r="J55" s="2035" t="s">
        <v>53</v>
      </c>
      <c r="K55" s="1644" t="s">
        <v>46</v>
      </c>
      <c r="L55" s="1644" t="s">
        <v>46</v>
      </c>
      <c r="M55" s="1644" t="s">
        <v>46</v>
      </c>
      <c r="N55" s="1649" t="s">
        <v>46</v>
      </c>
      <c r="O55" s="1645" t="s">
        <v>46</v>
      </c>
      <c r="P55" s="1644" t="s">
        <v>91</v>
      </c>
      <c r="Q55" s="1644" t="s">
        <v>89</v>
      </c>
      <c r="R55" s="1819">
        <v>6</v>
      </c>
      <c r="S55" s="1819">
        <v>6</v>
      </c>
      <c r="T55" s="1819">
        <v>6</v>
      </c>
      <c r="U55" s="1819">
        <v>6</v>
      </c>
      <c r="V55" s="1819">
        <v>6</v>
      </c>
      <c r="W55" s="1819"/>
      <c r="X55" s="1819"/>
      <c r="Y55" s="1819" t="s">
        <v>46</v>
      </c>
      <c r="Z55" s="1819" t="s">
        <v>46</v>
      </c>
      <c r="AA55" s="1819" t="s">
        <v>46</v>
      </c>
      <c r="AB55" s="1819" t="s">
        <v>46</v>
      </c>
      <c r="AC55" s="1819" t="s">
        <v>46</v>
      </c>
      <c r="AD55" s="1819"/>
      <c r="AE55" s="1819"/>
      <c r="AF55" s="1819">
        <v>5</v>
      </c>
      <c r="AG55" s="105" t="s">
        <v>133</v>
      </c>
    </row>
    <row r="56" spans="1:33" ht="18" customHeight="1">
      <c r="A56" s="2303">
        <v>10</v>
      </c>
      <c r="B56" s="2244" t="s">
        <v>105</v>
      </c>
      <c r="C56" s="2304"/>
      <c r="D56" s="2304">
        <v>10</v>
      </c>
      <c r="E56" s="2304">
        <v>10</v>
      </c>
      <c r="F56" s="2304">
        <v>10</v>
      </c>
      <c r="G56" s="2305">
        <v>10</v>
      </c>
      <c r="H56" s="2306">
        <v>10</v>
      </c>
      <c r="I56" s="2307" t="s">
        <v>53</v>
      </c>
      <c r="J56" s="2307" t="s">
        <v>53</v>
      </c>
      <c r="K56" s="2307" t="s">
        <v>46</v>
      </c>
      <c r="L56" s="2307" t="s">
        <v>46</v>
      </c>
      <c r="M56" s="2307" t="s">
        <v>46</v>
      </c>
      <c r="N56" s="2307" t="s">
        <v>46</v>
      </c>
      <c r="O56" s="2304" t="s">
        <v>46</v>
      </c>
      <c r="P56" s="2304" t="s">
        <v>86</v>
      </c>
      <c r="Q56" s="2304" t="s">
        <v>86</v>
      </c>
      <c r="R56" s="2304">
        <v>7</v>
      </c>
      <c r="S56" s="2304">
        <v>7</v>
      </c>
      <c r="T56" s="2307">
        <v>7</v>
      </c>
      <c r="U56" s="2307">
        <v>7</v>
      </c>
      <c r="V56" s="2308">
        <v>7</v>
      </c>
      <c r="W56" s="2308"/>
      <c r="X56" s="2308"/>
      <c r="Y56" s="2308">
        <v>4</v>
      </c>
      <c r="Z56" s="2308">
        <v>4</v>
      </c>
      <c r="AA56" s="2308">
        <v>4</v>
      </c>
      <c r="AB56" s="2308">
        <v>4</v>
      </c>
      <c r="AC56" s="2309">
        <v>4</v>
      </c>
      <c r="AD56" s="2309"/>
      <c r="AE56" s="2309"/>
      <c r="AF56" s="2309">
        <v>3</v>
      </c>
      <c r="AG56" s="105"/>
    </row>
    <row r="57" spans="1:33" ht="18" customHeight="1">
      <c r="A57" s="2310">
        <v>15</v>
      </c>
      <c r="B57" s="2311" t="s">
        <v>106</v>
      </c>
      <c r="C57" s="2312"/>
      <c r="D57" s="2312">
        <v>11</v>
      </c>
      <c r="E57" s="2312">
        <v>11</v>
      </c>
      <c r="F57" s="2313">
        <v>11</v>
      </c>
      <c r="G57" s="2313">
        <v>11</v>
      </c>
      <c r="H57" s="2313">
        <v>11</v>
      </c>
      <c r="I57" s="2313" t="s">
        <v>87</v>
      </c>
      <c r="J57" s="2313" t="s">
        <v>87</v>
      </c>
      <c r="K57" s="2314" t="s">
        <v>46</v>
      </c>
      <c r="L57" s="2312" t="s">
        <v>46</v>
      </c>
      <c r="M57" s="2312" t="s">
        <v>46</v>
      </c>
      <c r="N57" s="2312" t="s">
        <v>46</v>
      </c>
      <c r="O57" s="2315" t="s">
        <v>46</v>
      </c>
      <c r="P57" s="2315" t="s">
        <v>89</v>
      </c>
      <c r="Q57" s="2315" t="s">
        <v>89</v>
      </c>
      <c r="R57" s="2315">
        <v>8</v>
      </c>
      <c r="S57" s="2315">
        <v>8</v>
      </c>
      <c r="T57" s="2315">
        <v>8</v>
      </c>
      <c r="U57" s="2315">
        <v>8</v>
      </c>
      <c r="V57" s="2312">
        <v>8</v>
      </c>
      <c r="W57" s="2312"/>
      <c r="X57" s="2312"/>
      <c r="Y57" s="2314" t="s">
        <v>46</v>
      </c>
      <c r="Z57" s="2312" t="s">
        <v>46</v>
      </c>
      <c r="AA57" s="2312" t="s">
        <v>46</v>
      </c>
      <c r="AB57" s="2312" t="s">
        <v>46</v>
      </c>
      <c r="AC57" s="2312" t="s">
        <v>46</v>
      </c>
      <c r="AD57" s="2312"/>
      <c r="AE57" s="2314"/>
      <c r="AF57" s="2314">
        <v>1</v>
      </c>
      <c r="AG57" s="105"/>
    </row>
    <row r="58" spans="1:33" ht="18" customHeight="1">
      <c r="A58" s="61"/>
      <c r="B58" s="111"/>
      <c r="C58" s="201"/>
      <c r="D58" s="113"/>
      <c r="E58" s="113"/>
      <c r="F58" s="113"/>
      <c r="G58" s="113"/>
      <c r="H58" s="113"/>
      <c r="I58" s="122"/>
      <c r="J58" s="122"/>
      <c r="K58" s="111"/>
      <c r="L58" s="128"/>
      <c r="M58" s="128"/>
      <c r="N58" s="122"/>
      <c r="O58" s="122"/>
      <c r="P58" s="128"/>
      <c r="Q58" s="128"/>
      <c r="R58" s="111"/>
      <c r="S58" s="111"/>
      <c r="T58" s="111"/>
      <c r="U58" s="111"/>
      <c r="V58" s="111"/>
      <c r="W58" s="111"/>
      <c r="X58" s="111"/>
      <c r="Y58" s="111"/>
      <c r="Z58" s="111"/>
      <c r="AA58" s="111"/>
      <c r="AB58" s="111"/>
      <c r="AC58" s="111"/>
      <c r="AD58" s="111"/>
      <c r="AE58" s="111"/>
      <c r="AF58" s="128"/>
      <c r="AG58" s="116"/>
    </row>
    <row r="59" spans="1:33" ht="18" customHeight="1">
      <c r="A59" s="67"/>
      <c r="B59" s="42"/>
      <c r="I59" s="64"/>
      <c r="J59" s="64"/>
      <c r="K59" s="64"/>
      <c r="L59" s="64"/>
      <c r="M59" s="64"/>
      <c r="N59" s="64"/>
      <c r="O59" s="64"/>
      <c r="P59" s="64"/>
      <c r="Q59" s="64"/>
      <c r="R59" s="64"/>
      <c r="S59" s="64"/>
      <c r="T59" s="64"/>
      <c r="U59" s="64"/>
      <c r="V59" s="64"/>
      <c r="W59" s="64"/>
      <c r="X59" s="64"/>
      <c r="Y59" s="64"/>
      <c r="Z59" s="64"/>
      <c r="AA59" s="64"/>
      <c r="AB59" s="64"/>
      <c r="AC59" s="64"/>
      <c r="AD59" s="64"/>
      <c r="AE59" s="64"/>
      <c r="AF59" s="64"/>
      <c r="AG59" s="123"/>
    </row>
    <row r="60" spans="1:33" ht="18" customHeight="1">
      <c r="A60" s="2189" t="s">
        <v>37</v>
      </c>
      <c r="B60" s="2189"/>
      <c r="C60" s="2188"/>
      <c r="D60" s="2189" t="s">
        <v>19</v>
      </c>
      <c r="E60" s="2187"/>
      <c r="F60" s="2188"/>
      <c r="G60" s="2189" t="s">
        <v>20</v>
      </c>
      <c r="H60" s="2316"/>
      <c r="I60" s="2188"/>
      <c r="J60" s="2189" t="s">
        <v>21</v>
      </c>
      <c r="K60" s="2187"/>
      <c r="L60" s="2188"/>
      <c r="M60" s="2189" t="s">
        <v>22</v>
      </c>
      <c r="N60" s="2187"/>
      <c r="O60" s="2188"/>
      <c r="P60" s="2189" t="s">
        <v>23</v>
      </c>
      <c r="Q60" s="2187"/>
      <c r="R60" s="2183"/>
      <c r="S60" s="2184" t="s">
        <v>24</v>
      </c>
      <c r="T60" s="2187"/>
      <c r="U60" s="2188"/>
      <c r="V60" s="2189" t="s">
        <v>25</v>
      </c>
      <c r="W60" s="2187"/>
      <c r="X60" s="2317" t="s">
        <v>108</v>
      </c>
      <c r="Y60" s="2187"/>
      <c r="Z60" s="2187"/>
      <c r="AA60" s="2318"/>
      <c r="AB60" s="2006"/>
      <c r="AC60" s="2006"/>
      <c r="AD60" s="2006"/>
      <c r="AE60" s="2006"/>
      <c r="AF60" s="2006"/>
      <c r="AG60" s="122"/>
    </row>
    <row r="61" spans="1:33" ht="18" customHeight="1">
      <c r="B61" s="2207" t="s">
        <v>109</v>
      </c>
      <c r="C61" s="1969" t="s">
        <v>110</v>
      </c>
      <c r="D61" s="1968"/>
      <c r="E61" s="2319"/>
      <c r="F61" s="1969" t="s">
        <v>110</v>
      </c>
      <c r="G61" s="2178"/>
      <c r="H61" s="2320"/>
      <c r="I61" s="1969" t="s">
        <v>110</v>
      </c>
      <c r="J61" s="1968"/>
      <c r="K61" s="2319"/>
      <c r="L61" s="1969" t="s">
        <v>110</v>
      </c>
      <c r="M61" s="1968"/>
      <c r="N61" s="2319"/>
      <c r="O61" s="1969" t="s">
        <v>111</v>
      </c>
      <c r="P61" s="1968"/>
      <c r="Q61" s="2178"/>
      <c r="R61" s="2321" t="s">
        <v>0</v>
      </c>
      <c r="S61" s="1968"/>
      <c r="T61" s="2319"/>
      <c r="U61" s="1968" t="s">
        <v>0</v>
      </c>
      <c r="V61" s="1968"/>
      <c r="W61" s="2178"/>
      <c r="X61" s="248" t="s">
        <v>0</v>
      </c>
      <c r="Y61" s="48"/>
      <c r="Z61" s="48"/>
      <c r="AA61" s="48"/>
      <c r="AB61" s="48"/>
      <c r="AC61" s="48"/>
      <c r="AD61" s="48"/>
      <c r="AE61" s="48"/>
      <c r="AF61" s="48"/>
      <c r="AG61" s="122"/>
    </row>
    <row r="62" spans="1:33" ht="18" customHeight="1" thickBot="1">
      <c r="A62" s="37"/>
      <c r="B62" s="61"/>
      <c r="C62" s="46"/>
      <c r="D62" s="46"/>
      <c r="E62" s="6"/>
      <c r="F62" s="46"/>
      <c r="G62" s="46"/>
      <c r="H62" s="212"/>
      <c r="I62" s="46"/>
      <c r="J62" s="46"/>
      <c r="K62" s="6"/>
      <c r="L62" s="46"/>
      <c r="M62" s="46"/>
      <c r="N62" s="6"/>
      <c r="O62" s="46"/>
      <c r="P62" s="46"/>
      <c r="Q62" s="6"/>
      <c r="R62" s="46"/>
      <c r="S62" s="46"/>
      <c r="T62" s="6"/>
      <c r="U62" s="46"/>
      <c r="V62" s="46"/>
      <c r="W62" s="6"/>
      <c r="X62" s="6"/>
      <c r="Y62" s="48"/>
      <c r="Z62" s="48"/>
      <c r="AA62" s="48"/>
      <c r="AB62" s="48"/>
      <c r="AC62" s="48"/>
      <c r="AD62" s="48"/>
      <c r="AE62" s="48"/>
      <c r="AF62" s="48"/>
    </row>
    <row r="63" spans="1:33" ht="18" customHeight="1" thickBot="1">
      <c r="A63" s="2322"/>
      <c r="B63" s="2323" t="s">
        <v>367</v>
      </c>
      <c r="C63" s="1576">
        <v>1</v>
      </c>
      <c r="D63" s="1577">
        <v>2</v>
      </c>
      <c r="E63" s="1577">
        <v>3</v>
      </c>
      <c r="F63" s="1577">
        <v>4</v>
      </c>
      <c r="G63" s="1576">
        <v>5</v>
      </c>
      <c r="H63" s="1577">
        <v>6</v>
      </c>
      <c r="I63" s="1576">
        <v>7</v>
      </c>
      <c r="J63" s="1576">
        <v>8</v>
      </c>
      <c r="K63" s="1576">
        <v>9</v>
      </c>
      <c r="L63" s="1577">
        <v>10</v>
      </c>
      <c r="M63" s="1577">
        <v>11</v>
      </c>
      <c r="N63" s="1577">
        <v>12</v>
      </c>
      <c r="O63" s="1577">
        <v>13</v>
      </c>
      <c r="P63" s="1576">
        <v>14</v>
      </c>
      <c r="Q63" s="1576">
        <v>15</v>
      </c>
      <c r="R63" s="1577">
        <v>16</v>
      </c>
      <c r="S63" s="1577">
        <v>17</v>
      </c>
      <c r="T63" s="1577">
        <v>18</v>
      </c>
      <c r="U63" s="1577">
        <v>19</v>
      </c>
      <c r="V63" s="1577">
        <v>20</v>
      </c>
      <c r="W63" s="1576">
        <v>21</v>
      </c>
      <c r="X63" s="1576">
        <v>22</v>
      </c>
      <c r="Y63" s="1577">
        <v>23</v>
      </c>
      <c r="Z63" s="1577">
        <v>24</v>
      </c>
      <c r="AA63" s="1577">
        <v>25</v>
      </c>
      <c r="AB63" s="1577">
        <v>26</v>
      </c>
      <c r="AC63" s="1577">
        <v>27</v>
      </c>
      <c r="AD63" s="1576">
        <v>28</v>
      </c>
      <c r="AE63" s="1576">
        <v>29</v>
      </c>
      <c r="AF63" s="1577">
        <v>30</v>
      </c>
    </row>
    <row r="64" spans="1:33" ht="18" customHeight="1">
      <c r="A64" s="2311"/>
      <c r="B64" s="1985" t="s">
        <v>112</v>
      </c>
      <c r="C64" s="2324"/>
      <c r="D64" s="1820" t="s">
        <v>26</v>
      </c>
      <c r="E64" s="1820" t="s">
        <v>26</v>
      </c>
      <c r="F64" s="2035" t="s">
        <v>46</v>
      </c>
      <c r="G64" s="2035" t="s">
        <v>26</v>
      </c>
      <c r="H64" s="2302" t="s">
        <v>26</v>
      </c>
      <c r="I64" s="2246" t="s">
        <v>50</v>
      </c>
      <c r="J64" s="2246" t="s">
        <v>50</v>
      </c>
      <c r="K64" s="2246" t="s">
        <v>50</v>
      </c>
      <c r="L64" s="1656" t="s">
        <v>50</v>
      </c>
      <c r="M64" s="1645" t="s">
        <v>46</v>
      </c>
      <c r="N64" s="1645" t="s">
        <v>50</v>
      </c>
      <c r="O64" s="2325" t="s">
        <v>50</v>
      </c>
      <c r="P64" s="1645"/>
      <c r="Q64" s="1645"/>
      <c r="R64" s="1819" t="s">
        <v>40</v>
      </c>
      <c r="S64" s="1819" t="s">
        <v>40</v>
      </c>
      <c r="T64" s="1819" t="s">
        <v>40</v>
      </c>
      <c r="U64" s="1819" t="s">
        <v>40</v>
      </c>
      <c r="V64" s="1819" t="s">
        <v>40</v>
      </c>
      <c r="W64" s="1819"/>
      <c r="X64" s="1819"/>
      <c r="Y64" s="1819" t="s">
        <v>40</v>
      </c>
      <c r="Z64" s="1819" t="s">
        <v>40</v>
      </c>
      <c r="AA64" s="1819" t="s">
        <v>40</v>
      </c>
      <c r="AB64" s="1819" t="s">
        <v>40</v>
      </c>
      <c r="AC64" s="1819" t="s">
        <v>40</v>
      </c>
      <c r="AD64" s="1819"/>
      <c r="AE64" s="1819"/>
      <c r="AF64" s="1819" t="s">
        <v>40</v>
      </c>
      <c r="AG64" s="193" t="s">
        <v>133</v>
      </c>
    </row>
    <row r="65" spans="2:33" ht="18" customHeight="1">
      <c r="B65" s="1985" t="s">
        <v>114</v>
      </c>
      <c r="C65" s="2210"/>
      <c r="D65" s="2188" t="s">
        <v>46</v>
      </c>
      <c r="E65" s="2188" t="s">
        <v>46</v>
      </c>
      <c r="F65" s="2188" t="s">
        <v>46</v>
      </c>
      <c r="G65" s="2188" t="s">
        <v>46</v>
      </c>
      <c r="H65" s="2232" t="s">
        <v>46</v>
      </c>
      <c r="I65" s="2210"/>
      <c r="J65" s="2210"/>
      <c r="K65" s="2227"/>
      <c r="L65" s="2238">
        <v>25</v>
      </c>
      <c r="M65" s="2226" t="s">
        <v>121</v>
      </c>
      <c r="N65" s="2226" t="s">
        <v>121</v>
      </c>
      <c r="O65" s="2237" t="s">
        <v>40</v>
      </c>
      <c r="P65" s="2232"/>
      <c r="Q65" s="2232"/>
      <c r="R65" s="2210" t="s">
        <v>121</v>
      </c>
      <c r="S65" s="2210" t="s">
        <v>121</v>
      </c>
      <c r="T65" s="2210" t="s">
        <v>121</v>
      </c>
      <c r="U65" s="2210" t="s">
        <v>121</v>
      </c>
      <c r="V65" s="2233" t="s">
        <v>121</v>
      </c>
      <c r="W65" s="2233" t="s">
        <v>120</v>
      </c>
      <c r="Y65" s="2296" t="s">
        <v>46</v>
      </c>
      <c r="Z65" s="2296" t="s">
        <v>46</v>
      </c>
      <c r="AA65" s="2296" t="s">
        <v>46</v>
      </c>
      <c r="AB65" s="2296" t="s">
        <v>46</v>
      </c>
      <c r="AC65" s="2296" t="s">
        <v>46</v>
      </c>
      <c r="AD65" s="2296" t="s">
        <v>46</v>
      </c>
      <c r="AE65" s="2296" t="s">
        <v>46</v>
      </c>
      <c r="AF65" s="2210">
        <v>25</v>
      </c>
    </row>
    <row r="66" spans="2:33" ht="18" customHeight="1">
      <c r="B66" s="1985" t="s">
        <v>115</v>
      </c>
      <c r="C66" s="2210" t="s">
        <v>104</v>
      </c>
      <c r="D66" s="2227" t="s">
        <v>40</v>
      </c>
      <c r="E66" s="2224">
        <v>79</v>
      </c>
      <c r="F66" s="2224" t="s">
        <v>325</v>
      </c>
      <c r="G66" s="2326"/>
      <c r="H66" s="2252" t="s">
        <v>40</v>
      </c>
      <c r="I66" s="2296" t="s">
        <v>104</v>
      </c>
      <c r="J66" s="2232" t="s">
        <v>104</v>
      </c>
      <c r="K66" s="2327" t="s">
        <v>61</v>
      </c>
      <c r="L66" s="2327" t="s">
        <v>61</v>
      </c>
      <c r="M66" s="2327" t="s">
        <v>61</v>
      </c>
      <c r="N66" s="2327" t="s">
        <v>61</v>
      </c>
      <c r="O66" s="2327" t="s">
        <v>61</v>
      </c>
      <c r="P66" s="2327" t="s">
        <v>61</v>
      </c>
      <c r="Q66" s="2210" t="s">
        <v>46</v>
      </c>
      <c r="R66" s="2210" t="s">
        <v>46</v>
      </c>
      <c r="S66" s="2210" t="s">
        <v>46</v>
      </c>
      <c r="T66" s="2210" t="s">
        <v>46</v>
      </c>
      <c r="U66" s="2328" t="s">
        <v>46</v>
      </c>
      <c r="V66" s="2232" t="s">
        <v>46</v>
      </c>
      <c r="W66" s="2327" t="s">
        <v>86</v>
      </c>
      <c r="X66" s="2327" t="s">
        <v>86</v>
      </c>
      <c r="Y66" s="2327">
        <v>7</v>
      </c>
      <c r="Z66" s="2327">
        <v>7</v>
      </c>
      <c r="AA66" s="2327">
        <v>7</v>
      </c>
      <c r="AB66" s="2327">
        <v>7</v>
      </c>
      <c r="AC66" s="2327">
        <v>7</v>
      </c>
      <c r="AD66" s="2232"/>
      <c r="AE66" s="2210"/>
      <c r="AF66" s="2210">
        <v>4</v>
      </c>
    </row>
    <row r="67" spans="2:33" ht="18" customHeight="1">
      <c r="B67" s="1985" t="s">
        <v>117</v>
      </c>
      <c r="C67" s="2224"/>
      <c r="D67" s="2224" t="s">
        <v>368</v>
      </c>
      <c r="E67" s="2296" t="s">
        <v>149</v>
      </c>
      <c r="F67" s="2188">
        <v>9</v>
      </c>
      <c r="G67" s="2188">
        <v>9</v>
      </c>
      <c r="H67" s="2232">
        <v>9</v>
      </c>
      <c r="I67" s="2188" t="s">
        <v>52</v>
      </c>
      <c r="J67" s="2188" t="s">
        <v>53</v>
      </c>
      <c r="K67" s="2232" t="s">
        <v>46</v>
      </c>
      <c r="L67" s="2232" t="s">
        <v>46</v>
      </c>
      <c r="M67" s="2296" t="s">
        <v>46</v>
      </c>
      <c r="N67" s="2296" t="s">
        <v>46</v>
      </c>
      <c r="O67" s="2296" t="s">
        <v>46</v>
      </c>
      <c r="P67" s="2296"/>
      <c r="Q67" s="2238" t="s">
        <v>137</v>
      </c>
      <c r="R67" s="2227">
        <v>26</v>
      </c>
      <c r="S67" s="2230">
        <v>26</v>
      </c>
      <c r="T67" s="2230">
        <v>26</v>
      </c>
      <c r="U67" s="586" t="s">
        <v>104</v>
      </c>
      <c r="V67" s="2210" t="s">
        <v>40</v>
      </c>
      <c r="W67" s="2232"/>
      <c r="X67" s="219"/>
      <c r="Y67" s="2232" t="s">
        <v>46</v>
      </c>
      <c r="Z67" s="2232" t="s">
        <v>46</v>
      </c>
      <c r="AA67" s="2296" t="s">
        <v>40</v>
      </c>
      <c r="AB67" s="2296" t="s">
        <v>46</v>
      </c>
      <c r="AC67" s="2296" t="s">
        <v>46</v>
      </c>
      <c r="AD67" s="2296"/>
      <c r="AE67" s="2296"/>
      <c r="AF67" s="2211" t="s">
        <v>40</v>
      </c>
    </row>
    <row r="68" spans="2:33" ht="18" customHeight="1">
      <c r="B68" s="1985" t="s">
        <v>119</v>
      </c>
      <c r="C68" s="2188"/>
      <c r="D68" s="2232" t="s">
        <v>46</v>
      </c>
      <c r="E68" s="2232" t="s">
        <v>46</v>
      </c>
      <c r="F68" s="2232" t="s">
        <v>46</v>
      </c>
      <c r="G68" s="2232"/>
      <c r="H68" s="2232" t="s">
        <v>46</v>
      </c>
      <c r="I68" s="2232"/>
      <c r="J68" s="2232"/>
      <c r="K68" s="2227">
        <v>23</v>
      </c>
      <c r="L68" s="2227">
        <v>23</v>
      </c>
      <c r="M68" s="2232" t="s">
        <v>46</v>
      </c>
      <c r="N68" s="2329">
        <v>4</v>
      </c>
      <c r="O68" s="2230" t="s">
        <v>46</v>
      </c>
      <c r="P68" s="2230"/>
      <c r="Q68" s="2230"/>
      <c r="R68" s="2330" t="s">
        <v>118</v>
      </c>
      <c r="S68" s="2330" t="s">
        <v>118</v>
      </c>
      <c r="T68" s="2330" t="s">
        <v>118</v>
      </c>
      <c r="U68" s="2330" t="s">
        <v>118</v>
      </c>
      <c r="V68" s="2188"/>
      <c r="W68" s="2221"/>
      <c r="X68" s="2232"/>
      <c r="Y68" s="2210" t="s">
        <v>153</v>
      </c>
      <c r="Z68" s="2232" t="s">
        <v>40</v>
      </c>
      <c r="AA68" s="2210" t="s">
        <v>40</v>
      </c>
      <c r="AB68" s="2210" t="s">
        <v>40</v>
      </c>
      <c r="AC68" s="2210" t="s">
        <v>46</v>
      </c>
      <c r="AD68" s="2233" t="s">
        <v>139</v>
      </c>
      <c r="AE68" s="2233" t="s">
        <v>139</v>
      </c>
      <c r="AF68" s="2210">
        <v>5</v>
      </c>
    </row>
    <row r="69" spans="2:33" ht="18" customHeight="1">
      <c r="B69" s="2331" t="s">
        <v>296</v>
      </c>
      <c r="C69" s="2296"/>
      <c r="D69" s="2227" t="s">
        <v>116</v>
      </c>
      <c r="E69" s="2227" t="s">
        <v>116</v>
      </c>
      <c r="F69" s="2227" t="s">
        <v>116</v>
      </c>
      <c r="G69" s="2227"/>
      <c r="H69" s="2228" t="s">
        <v>116</v>
      </c>
      <c r="I69" s="2227"/>
      <c r="J69" s="2227"/>
      <c r="K69" s="2227"/>
      <c r="L69" s="2227" t="s">
        <v>116</v>
      </c>
      <c r="M69" s="2227" t="s">
        <v>116</v>
      </c>
      <c r="N69" s="2227" t="s">
        <v>116</v>
      </c>
      <c r="O69" s="2227" t="s">
        <v>116</v>
      </c>
      <c r="P69" s="2227"/>
      <c r="Q69" s="2227"/>
      <c r="R69" s="2227" t="s">
        <v>116</v>
      </c>
      <c r="S69" s="2227" t="s">
        <v>116</v>
      </c>
      <c r="T69" s="2227" t="s">
        <v>116</v>
      </c>
      <c r="U69" s="2227" t="s">
        <v>116</v>
      </c>
      <c r="V69" s="2227" t="s">
        <v>116</v>
      </c>
      <c r="W69" s="2227"/>
      <c r="X69" s="2227"/>
      <c r="Y69" s="2227" t="s">
        <v>116</v>
      </c>
      <c r="Z69" s="2227" t="s">
        <v>116</v>
      </c>
      <c r="AA69" s="2227" t="s">
        <v>116</v>
      </c>
      <c r="AB69" s="2227" t="s">
        <v>116</v>
      </c>
      <c r="AC69" s="2227" t="s">
        <v>116</v>
      </c>
      <c r="AD69" s="2227"/>
      <c r="AE69" s="2227"/>
      <c r="AF69" s="2227" t="s">
        <v>116</v>
      </c>
      <c r="AG69" s="193"/>
    </row>
    <row r="70" spans="2:33" ht="18" customHeight="1">
      <c r="B70" s="1985" t="s">
        <v>122</v>
      </c>
      <c r="C70" s="2210" t="s">
        <v>89</v>
      </c>
      <c r="D70" s="2210">
        <v>7</v>
      </c>
      <c r="E70" s="2210">
        <v>7</v>
      </c>
      <c r="F70" s="2210">
        <v>7</v>
      </c>
      <c r="G70" s="2210">
        <v>7</v>
      </c>
      <c r="H70" s="2210">
        <v>7</v>
      </c>
      <c r="I70" s="2211"/>
      <c r="J70" s="2211"/>
      <c r="K70" s="2211"/>
      <c r="L70" s="2211" t="s">
        <v>46</v>
      </c>
      <c r="M70" s="2211" t="s">
        <v>46</v>
      </c>
      <c r="N70" s="2211" t="s">
        <v>46</v>
      </c>
      <c r="O70" s="2211" t="s">
        <v>46</v>
      </c>
      <c r="P70" s="2227"/>
      <c r="Q70" s="2211"/>
      <c r="R70" s="2221">
        <v>1</v>
      </c>
      <c r="S70" s="2232">
        <v>1</v>
      </c>
      <c r="T70" s="2221">
        <v>1</v>
      </c>
      <c r="U70" s="2210">
        <v>4</v>
      </c>
      <c r="V70" s="2210">
        <v>4</v>
      </c>
      <c r="W70" s="2211"/>
      <c r="X70" s="2211"/>
      <c r="Y70" s="2296">
        <v>9</v>
      </c>
      <c r="Z70" s="2296">
        <v>9</v>
      </c>
      <c r="AA70" s="2296">
        <v>9</v>
      </c>
      <c r="AB70" s="2296">
        <v>9</v>
      </c>
      <c r="AC70" s="2221">
        <v>9</v>
      </c>
      <c r="AD70" s="2221" t="s">
        <v>52</v>
      </c>
      <c r="AE70" s="2296" t="s">
        <v>53</v>
      </c>
      <c r="AF70" s="2212" t="s">
        <v>139</v>
      </c>
    </row>
    <row r="71" spans="2:33" ht="18" customHeight="1">
      <c r="B71" s="1985" t="s">
        <v>369</v>
      </c>
      <c r="C71" s="2232"/>
      <c r="D71" s="2227" t="s">
        <v>207</v>
      </c>
      <c r="E71" s="2227" t="s">
        <v>207</v>
      </c>
      <c r="F71" s="2227" t="s">
        <v>207</v>
      </c>
      <c r="G71" s="2296"/>
      <c r="H71" s="2228" t="s">
        <v>130</v>
      </c>
      <c r="I71" s="2296"/>
      <c r="J71" s="2221"/>
      <c r="K71" s="2332"/>
      <c r="L71" s="2227" t="s">
        <v>130</v>
      </c>
      <c r="M71" s="2227" t="s">
        <v>130</v>
      </c>
      <c r="N71" s="2237" t="s">
        <v>370</v>
      </c>
      <c r="O71" s="2227" t="s">
        <v>207</v>
      </c>
      <c r="P71" s="2188"/>
      <c r="Q71" s="2332"/>
      <c r="R71" s="2210">
        <v>5</v>
      </c>
      <c r="S71" s="2210">
        <v>5</v>
      </c>
      <c r="T71" s="2230">
        <v>5</v>
      </c>
      <c r="U71" s="2230">
        <v>5</v>
      </c>
      <c r="V71" s="2210">
        <v>5</v>
      </c>
      <c r="W71" s="2210"/>
      <c r="X71" s="2210"/>
      <c r="Y71" s="2210">
        <v>10</v>
      </c>
      <c r="Z71" s="2210">
        <v>10</v>
      </c>
      <c r="AA71" s="2210">
        <v>10</v>
      </c>
      <c r="AB71" s="2210">
        <v>10</v>
      </c>
      <c r="AC71" s="2210">
        <v>10</v>
      </c>
      <c r="AD71" s="2210" t="s">
        <v>53</v>
      </c>
      <c r="AE71" s="2210" t="s">
        <v>53</v>
      </c>
      <c r="AF71" s="2296" t="s">
        <v>46</v>
      </c>
    </row>
    <row r="72" spans="2:33" ht="18" customHeight="1">
      <c r="B72" s="2333" t="s">
        <v>134</v>
      </c>
      <c r="C72" s="2232" t="s">
        <v>89</v>
      </c>
      <c r="D72" s="2221">
        <v>6</v>
      </c>
      <c r="E72" s="2296" t="s">
        <v>142</v>
      </c>
      <c r="F72" s="2296" t="s">
        <v>142</v>
      </c>
      <c r="G72" s="2296" t="s">
        <v>142</v>
      </c>
      <c r="H72" s="2296" t="s">
        <v>142</v>
      </c>
      <c r="I72" s="2296"/>
      <c r="J72" s="2221"/>
      <c r="K72" s="2332"/>
      <c r="L72" s="2227" t="s">
        <v>370</v>
      </c>
      <c r="M72" s="2227" t="s">
        <v>370</v>
      </c>
      <c r="N72" s="2227" t="s">
        <v>370</v>
      </c>
      <c r="O72" s="2227" t="s">
        <v>370</v>
      </c>
      <c r="P72" s="2332"/>
      <c r="Q72" s="2332">
        <v>23</v>
      </c>
      <c r="R72" s="2296" t="s">
        <v>371</v>
      </c>
      <c r="S72" s="2296" t="s">
        <v>371</v>
      </c>
      <c r="T72" s="2296" t="s">
        <v>371</v>
      </c>
      <c r="U72" s="2332" t="s">
        <v>46</v>
      </c>
      <c r="V72" s="2332" t="s">
        <v>46</v>
      </c>
      <c r="W72" s="2332"/>
      <c r="X72" s="2332"/>
      <c r="Y72" s="2332" t="s">
        <v>40</v>
      </c>
      <c r="Z72" s="2332" t="s">
        <v>40</v>
      </c>
      <c r="AA72" s="2332" t="s">
        <v>40</v>
      </c>
      <c r="AB72" s="2332" t="s">
        <v>40</v>
      </c>
      <c r="AC72" s="2237" t="s">
        <v>40</v>
      </c>
      <c r="AD72" s="2332"/>
      <c r="AE72" s="2332"/>
      <c r="AF72" s="2296" t="s">
        <v>145</v>
      </c>
    </row>
    <row r="73" spans="2:33" ht="18" customHeight="1">
      <c r="B73" s="2294" t="s">
        <v>135</v>
      </c>
      <c r="C73" s="2334">
        <v>26</v>
      </c>
      <c r="D73" s="2334">
        <v>26</v>
      </c>
      <c r="E73" s="2334">
        <v>26</v>
      </c>
      <c r="F73" s="2334">
        <v>26</v>
      </c>
      <c r="G73" s="2334"/>
      <c r="H73" s="2334">
        <v>26</v>
      </c>
      <c r="I73" s="2296"/>
      <c r="J73" s="2221"/>
      <c r="K73" s="2332" t="s">
        <v>120</v>
      </c>
      <c r="L73" s="2332" t="s">
        <v>121</v>
      </c>
      <c r="M73" s="2238" t="s">
        <v>121</v>
      </c>
      <c r="N73" s="2238" t="s">
        <v>121</v>
      </c>
      <c r="O73" s="2332" t="s">
        <v>121</v>
      </c>
      <c r="P73" s="2332" t="s">
        <v>120</v>
      </c>
      <c r="Q73" s="2332" t="s">
        <v>120</v>
      </c>
      <c r="R73" s="2296" t="s">
        <v>46</v>
      </c>
      <c r="S73" s="2296" t="s">
        <v>46</v>
      </c>
      <c r="T73" s="2296" t="s">
        <v>46</v>
      </c>
      <c r="U73" s="2230" t="s">
        <v>136</v>
      </c>
      <c r="V73" s="2230" t="s">
        <v>136</v>
      </c>
      <c r="W73" s="2296" t="s">
        <v>46</v>
      </c>
      <c r="X73" s="2296" t="s">
        <v>46</v>
      </c>
      <c r="Y73" s="2332">
        <v>25</v>
      </c>
      <c r="Z73" s="2332">
        <v>25</v>
      </c>
      <c r="AA73" s="2332">
        <v>25</v>
      </c>
      <c r="AB73" s="2332">
        <v>25</v>
      </c>
      <c r="AC73" s="2296" t="s">
        <v>136</v>
      </c>
      <c r="AD73" s="2332"/>
      <c r="AE73" s="2332">
        <v>26</v>
      </c>
      <c r="AF73" s="2296" t="s">
        <v>137</v>
      </c>
    </row>
    <row r="74" spans="2:33" ht="18" customHeight="1">
      <c r="B74" s="2294" t="s">
        <v>138</v>
      </c>
      <c r="C74" s="2232"/>
      <c r="D74" s="2188" t="s">
        <v>40</v>
      </c>
      <c r="E74" s="2188" t="s">
        <v>40</v>
      </c>
      <c r="F74" s="2241" t="s">
        <v>40</v>
      </c>
      <c r="G74" s="2241"/>
      <c r="H74" s="2241" t="s">
        <v>40</v>
      </c>
      <c r="I74" s="2241"/>
      <c r="J74" s="2241"/>
      <c r="K74" s="2241"/>
      <c r="L74" s="2241" t="s">
        <v>40</v>
      </c>
      <c r="M74" s="2241" t="s">
        <v>40</v>
      </c>
      <c r="N74" s="2241" t="s">
        <v>40</v>
      </c>
      <c r="O74" s="2241" t="s">
        <v>40</v>
      </c>
      <c r="P74" s="2241"/>
      <c r="Q74" s="2241"/>
      <c r="R74" s="2241" t="s">
        <v>40</v>
      </c>
      <c r="S74" s="2241" t="s">
        <v>40</v>
      </c>
      <c r="T74" s="2241" t="s">
        <v>40</v>
      </c>
      <c r="U74" s="2230">
        <v>79</v>
      </c>
      <c r="V74" s="2227">
        <v>79</v>
      </c>
      <c r="W74" s="2332"/>
      <c r="X74" s="2332"/>
      <c r="Y74" s="2332" t="s">
        <v>40</v>
      </c>
      <c r="Z74" s="2332" t="s">
        <v>40</v>
      </c>
      <c r="AA74" s="2332" t="s">
        <v>40</v>
      </c>
      <c r="AB74" s="2332" t="s">
        <v>40</v>
      </c>
      <c r="AC74" s="2296" t="s">
        <v>40</v>
      </c>
      <c r="AD74" s="2332"/>
      <c r="AE74" s="2332"/>
      <c r="AF74" s="2296" t="s">
        <v>46</v>
      </c>
      <c r="AG74" t="s">
        <v>133</v>
      </c>
    </row>
    <row r="75" spans="2:33" ht="18" customHeight="1">
      <c r="B75" s="2294" t="s">
        <v>140</v>
      </c>
      <c r="C75" s="2226" t="s">
        <v>87</v>
      </c>
      <c r="D75" s="2221" t="s">
        <v>46</v>
      </c>
      <c r="E75" s="2296" t="s">
        <v>46</v>
      </c>
      <c r="F75" s="2227" t="s">
        <v>40</v>
      </c>
      <c r="G75" s="2227"/>
      <c r="H75" s="2332" t="s">
        <v>207</v>
      </c>
      <c r="I75" s="2227"/>
      <c r="J75" s="2227"/>
      <c r="K75" s="2227"/>
      <c r="L75" s="2227" t="s">
        <v>40</v>
      </c>
      <c r="M75" s="2227" t="s">
        <v>40</v>
      </c>
      <c r="N75" s="2227" t="s">
        <v>372</v>
      </c>
      <c r="O75" s="2227" t="s">
        <v>372</v>
      </c>
      <c r="P75" s="2227"/>
      <c r="Q75" s="2332"/>
      <c r="R75" s="2335">
        <v>89</v>
      </c>
      <c r="S75" s="2335">
        <v>89</v>
      </c>
      <c r="T75" s="2335">
        <v>89</v>
      </c>
      <c r="U75" s="2335">
        <v>89</v>
      </c>
      <c r="V75" s="2335">
        <v>89</v>
      </c>
      <c r="W75" s="2335">
        <v>89</v>
      </c>
      <c r="X75" s="2335"/>
      <c r="Y75" s="2335">
        <v>99</v>
      </c>
      <c r="Z75" s="2335">
        <v>99</v>
      </c>
      <c r="AA75" s="2335">
        <v>99</v>
      </c>
      <c r="AB75" s="2230">
        <v>99</v>
      </c>
      <c r="AC75" s="2296" t="s">
        <v>46</v>
      </c>
      <c r="AD75" s="2332"/>
      <c r="AE75" s="2332"/>
      <c r="AF75" s="2296" t="s">
        <v>46</v>
      </c>
      <c r="AG75" s="195"/>
    </row>
    <row r="76" spans="2:33" ht="18" customHeight="1">
      <c r="B76" s="2294" t="s">
        <v>141</v>
      </c>
      <c r="C76" s="2232" t="s">
        <v>118</v>
      </c>
      <c r="D76" s="2221" t="s">
        <v>46</v>
      </c>
      <c r="E76" s="2296" t="s">
        <v>61</v>
      </c>
      <c r="F76" s="2296" t="s">
        <v>61</v>
      </c>
      <c r="G76" s="2296" t="s">
        <v>61</v>
      </c>
      <c r="H76" s="2296" t="s">
        <v>61</v>
      </c>
      <c r="I76" s="2296" t="s">
        <v>61</v>
      </c>
      <c r="J76" s="2296" t="s">
        <v>61</v>
      </c>
      <c r="K76" s="2221" t="s">
        <v>46</v>
      </c>
      <c r="L76" s="2221" t="s">
        <v>46</v>
      </c>
      <c r="M76" s="2221" t="s">
        <v>46</v>
      </c>
      <c r="N76" s="2221" t="s">
        <v>46</v>
      </c>
      <c r="O76" s="2221" t="s">
        <v>46</v>
      </c>
      <c r="P76" s="2336" t="s">
        <v>118</v>
      </c>
      <c r="Q76" s="2336" t="s">
        <v>118</v>
      </c>
      <c r="R76" s="2224" t="s">
        <v>118</v>
      </c>
      <c r="S76" s="2224" t="s">
        <v>118</v>
      </c>
      <c r="T76" s="2224" t="s">
        <v>118</v>
      </c>
      <c r="U76" s="2224" t="s">
        <v>186</v>
      </c>
      <c r="V76" s="2221" t="s">
        <v>46</v>
      </c>
      <c r="W76" s="2221" t="s">
        <v>46</v>
      </c>
      <c r="X76" s="2221" t="s">
        <v>46</v>
      </c>
      <c r="Y76" s="2221" t="s">
        <v>46</v>
      </c>
      <c r="Z76" s="2221" t="s">
        <v>46</v>
      </c>
      <c r="AA76" s="2221" t="s">
        <v>46</v>
      </c>
    </row>
    <row r="77" spans="2:33" ht="18" customHeight="1">
      <c r="B77" s="2294" t="s">
        <v>146</v>
      </c>
      <c r="C77" s="2334" t="s">
        <v>120</v>
      </c>
      <c r="D77" s="2334" t="s">
        <v>46</v>
      </c>
      <c r="E77" s="2334" t="s">
        <v>46</v>
      </c>
      <c r="F77" s="2334" t="s">
        <v>46</v>
      </c>
      <c r="G77" s="2334" t="s">
        <v>46</v>
      </c>
      <c r="H77" s="2230" t="s">
        <v>373</v>
      </c>
      <c r="I77" s="2230" t="s">
        <v>373</v>
      </c>
      <c r="J77" s="2230" t="s">
        <v>373</v>
      </c>
      <c r="K77" s="2230" t="s">
        <v>373</v>
      </c>
      <c r="L77" s="2226">
        <v>25</v>
      </c>
      <c r="M77" s="2334">
        <v>25</v>
      </c>
      <c r="N77" s="2334">
        <v>25</v>
      </c>
      <c r="O77" s="2334">
        <v>25</v>
      </c>
      <c r="P77" s="2334"/>
      <c r="Q77" s="2226">
        <v>26</v>
      </c>
      <c r="R77" s="2230">
        <v>25</v>
      </c>
      <c r="S77" s="2230">
        <v>25</v>
      </c>
      <c r="T77" s="2230">
        <v>25</v>
      </c>
      <c r="U77" s="2334">
        <v>26</v>
      </c>
      <c r="V77" s="2230">
        <v>26</v>
      </c>
      <c r="W77" s="2334"/>
      <c r="X77" s="2230" t="s">
        <v>120</v>
      </c>
      <c r="Y77" s="2334" t="s">
        <v>121</v>
      </c>
      <c r="Z77" s="2334" t="s">
        <v>121</v>
      </c>
      <c r="AA77" s="2334" t="s">
        <v>121</v>
      </c>
      <c r="AB77" s="2334" t="s">
        <v>121</v>
      </c>
      <c r="AC77" s="2334" t="s">
        <v>121</v>
      </c>
      <c r="AD77" s="2334" t="s">
        <v>120</v>
      </c>
      <c r="AE77" s="2334" t="s">
        <v>120</v>
      </c>
      <c r="AF77" s="2334" t="s">
        <v>46</v>
      </c>
    </row>
    <row r="78" spans="2:33" ht="18" customHeight="1">
      <c r="B78" s="2294" t="s">
        <v>147</v>
      </c>
      <c r="C78" s="2232"/>
      <c r="D78" s="2221" t="s">
        <v>342</v>
      </c>
      <c r="E78" s="2296" t="s">
        <v>342</v>
      </c>
      <c r="F78" s="2296" t="s">
        <v>341</v>
      </c>
      <c r="G78" s="2296"/>
      <c r="H78" s="2337">
        <v>79</v>
      </c>
      <c r="I78" s="2338"/>
      <c r="J78" s="2339"/>
      <c r="K78" s="2327"/>
      <c r="L78" s="2327">
        <v>89</v>
      </c>
      <c r="M78" s="2327">
        <v>89</v>
      </c>
      <c r="N78" s="2327">
        <v>89</v>
      </c>
      <c r="O78" s="2327">
        <v>89</v>
      </c>
      <c r="P78" s="2327">
        <v>89</v>
      </c>
      <c r="Q78" s="2332"/>
      <c r="R78" s="2227" t="s">
        <v>342</v>
      </c>
      <c r="S78" s="2227" t="s">
        <v>342</v>
      </c>
      <c r="T78" s="2227" t="s">
        <v>342</v>
      </c>
      <c r="U78" s="2227" t="s">
        <v>342</v>
      </c>
      <c r="V78" s="2227" t="s">
        <v>342</v>
      </c>
      <c r="W78" s="2227"/>
      <c r="X78" s="2227"/>
      <c r="Y78" s="2227" t="s">
        <v>341</v>
      </c>
      <c r="Z78" s="2227" t="s">
        <v>341</v>
      </c>
      <c r="AA78" s="2227" t="s">
        <v>341</v>
      </c>
      <c r="AB78" s="2227" t="s">
        <v>341</v>
      </c>
      <c r="AC78" s="2227" t="s">
        <v>341</v>
      </c>
      <c r="AD78" s="2332"/>
      <c r="AE78" s="2332"/>
      <c r="AF78" s="2296" t="s">
        <v>46</v>
      </c>
    </row>
    <row r="79" spans="2:33" ht="18" customHeight="1">
      <c r="B79" s="2333" t="s">
        <v>150</v>
      </c>
      <c r="C79" s="2232"/>
      <c r="D79" s="2221">
        <v>21</v>
      </c>
      <c r="E79" s="2296" t="s">
        <v>126</v>
      </c>
      <c r="F79" s="2296" t="s">
        <v>46</v>
      </c>
      <c r="G79" s="2296" t="s">
        <v>126</v>
      </c>
      <c r="H79" s="2296" t="s">
        <v>126</v>
      </c>
      <c r="I79" s="2296" t="s">
        <v>126</v>
      </c>
      <c r="J79" s="2221">
        <v>21</v>
      </c>
      <c r="K79" s="2227" t="s">
        <v>46</v>
      </c>
      <c r="L79" s="2227" t="s">
        <v>46</v>
      </c>
      <c r="M79" s="2227">
        <v>23</v>
      </c>
      <c r="N79" s="2188" t="s">
        <v>104</v>
      </c>
      <c r="O79" s="2227" t="s">
        <v>104</v>
      </c>
      <c r="P79" s="2227" t="s">
        <v>104</v>
      </c>
      <c r="Q79" s="2332" t="s">
        <v>104</v>
      </c>
      <c r="R79" s="2296" t="s">
        <v>46</v>
      </c>
      <c r="S79" s="2296" t="s">
        <v>46</v>
      </c>
      <c r="T79" s="2296" t="s">
        <v>104</v>
      </c>
      <c r="U79" s="2332">
        <v>21</v>
      </c>
      <c r="V79" s="2230" t="s">
        <v>46</v>
      </c>
      <c r="W79" s="2340" t="s">
        <v>46</v>
      </c>
      <c r="X79" s="2332"/>
      <c r="Y79" s="2332" t="s">
        <v>46</v>
      </c>
      <c r="Z79" s="2332" t="s">
        <v>104</v>
      </c>
      <c r="AA79" s="2332" t="s">
        <v>104</v>
      </c>
      <c r="AB79" s="2230" t="s">
        <v>118</v>
      </c>
      <c r="AC79" s="2230" t="s">
        <v>118</v>
      </c>
      <c r="AD79" s="2230" t="s">
        <v>118</v>
      </c>
      <c r="AE79" s="2330" t="s">
        <v>118</v>
      </c>
      <c r="AF79" s="2330" t="s">
        <v>118</v>
      </c>
    </row>
    <row r="82" spans="1:33" ht="18" customHeight="1" thickBot="1">
      <c r="A82" s="1563"/>
      <c r="B82" s="1517" t="s">
        <v>154</v>
      </c>
      <c r="C82" s="1580">
        <v>1</v>
      </c>
      <c r="D82" s="1578">
        <v>2</v>
      </c>
      <c r="E82" s="1578">
        <v>3</v>
      </c>
      <c r="F82" s="1578">
        <v>4</v>
      </c>
      <c r="G82" s="1580">
        <v>5</v>
      </c>
      <c r="H82" s="1578">
        <v>6</v>
      </c>
      <c r="I82" s="1580">
        <v>7</v>
      </c>
      <c r="J82" s="1580">
        <v>8</v>
      </c>
      <c r="K82" s="1580">
        <v>9</v>
      </c>
      <c r="L82" s="1578">
        <v>10</v>
      </c>
      <c r="M82" s="1578">
        <v>11</v>
      </c>
      <c r="N82" s="1578">
        <v>12</v>
      </c>
      <c r="O82" s="1578">
        <v>13</v>
      </c>
      <c r="P82" s="1580">
        <v>14</v>
      </c>
      <c r="Q82" s="1580">
        <v>15</v>
      </c>
      <c r="R82" s="1578">
        <v>16</v>
      </c>
      <c r="S82" s="1578">
        <v>17</v>
      </c>
      <c r="T82" s="1578">
        <v>18</v>
      </c>
      <c r="U82" s="1578">
        <v>19</v>
      </c>
      <c r="V82" s="1578">
        <v>20</v>
      </c>
      <c r="W82" s="1580">
        <v>21</v>
      </c>
      <c r="X82" s="1580" t="s">
        <v>0</v>
      </c>
      <c r="Y82" s="1578">
        <v>23</v>
      </c>
      <c r="Z82" s="1578">
        <v>24</v>
      </c>
      <c r="AA82" s="1578">
        <v>25</v>
      </c>
      <c r="AB82" s="1578">
        <v>26</v>
      </c>
      <c r="AC82" s="1578">
        <v>27</v>
      </c>
      <c r="AD82" s="1580">
        <v>28</v>
      </c>
      <c r="AE82" s="1580">
        <v>29</v>
      </c>
      <c r="AF82" s="1578">
        <v>30</v>
      </c>
    </row>
    <row r="83" spans="1:33" ht="18" customHeight="1">
      <c r="A83" s="2341"/>
      <c r="B83" s="2342"/>
      <c r="C83" s="2000"/>
      <c r="D83" s="2314"/>
      <c r="E83" s="2314"/>
      <c r="F83" s="2314"/>
      <c r="G83" s="2314"/>
      <c r="H83" s="2314"/>
      <c r="I83" s="2314"/>
      <c r="J83" s="2312"/>
      <c r="K83" s="2312"/>
      <c r="L83" s="2000"/>
      <c r="M83" s="2000"/>
      <c r="N83" s="2000"/>
      <c r="O83" s="2343"/>
      <c r="P83" s="2343"/>
      <c r="Q83" s="2343"/>
      <c r="R83" s="2314"/>
      <c r="S83" s="2314"/>
      <c r="T83" s="2314"/>
      <c r="U83" s="2314"/>
      <c r="V83" s="2314"/>
      <c r="W83" s="2312"/>
      <c r="X83" s="2312"/>
      <c r="Y83" s="2312"/>
      <c r="Z83" s="2312"/>
      <c r="AA83" s="2312"/>
      <c r="AB83" s="2312"/>
      <c r="AC83" s="2312"/>
      <c r="AD83" s="2312"/>
      <c r="AE83" s="2312"/>
      <c r="AF83" s="2296"/>
    </row>
    <row r="84" spans="1:33" ht="18" customHeight="1">
      <c r="A84" s="2341"/>
      <c r="B84" s="2294" t="s">
        <v>374</v>
      </c>
      <c r="C84" s="2314"/>
      <c r="D84" s="2314"/>
      <c r="E84" s="2312"/>
      <c r="F84" s="2314"/>
      <c r="G84" s="2314"/>
      <c r="H84" s="2314"/>
      <c r="I84" s="2314"/>
      <c r="J84" s="2314"/>
      <c r="K84" s="2332"/>
      <c r="L84" s="2332" t="s">
        <v>40</v>
      </c>
      <c r="M84" s="2226">
        <v>79</v>
      </c>
      <c r="N84" s="2226">
        <v>69</v>
      </c>
      <c r="O84" s="2226">
        <v>4</v>
      </c>
      <c r="P84" s="2332"/>
      <c r="Q84" s="2332"/>
      <c r="R84" s="2227">
        <v>6</v>
      </c>
      <c r="S84" s="2227">
        <v>6</v>
      </c>
      <c r="T84" s="2227">
        <v>6</v>
      </c>
      <c r="U84" s="2227">
        <v>6</v>
      </c>
      <c r="V84" s="2227">
        <v>6</v>
      </c>
      <c r="W84" s="2226" t="s">
        <v>53</v>
      </c>
      <c r="X84" s="2227" t="s">
        <v>52</v>
      </c>
      <c r="Y84" s="2332" t="s">
        <v>46</v>
      </c>
      <c r="Z84" s="2332" t="s">
        <v>46</v>
      </c>
      <c r="AA84" s="2332" t="s">
        <v>46</v>
      </c>
      <c r="AB84" s="2332" t="s">
        <v>46</v>
      </c>
      <c r="AC84" s="2296" t="s">
        <v>46</v>
      </c>
      <c r="AD84" s="2332"/>
      <c r="AE84" s="2332"/>
      <c r="AF84" s="2296" t="s">
        <v>40</v>
      </c>
    </row>
    <row r="85" spans="1:33" ht="18" customHeight="1" thickBot="1">
      <c r="A85" s="2344"/>
      <c r="B85" s="2345" t="s">
        <v>375</v>
      </c>
      <c r="C85" s="2346"/>
      <c r="D85" s="1586"/>
      <c r="E85" s="1586"/>
      <c r="F85" s="1949"/>
      <c r="G85" s="1949"/>
      <c r="H85" s="1634"/>
      <c r="I85" s="1634"/>
      <c r="J85" s="1634"/>
      <c r="K85" s="1634"/>
      <c r="L85" s="1634"/>
      <c r="M85" s="1634"/>
      <c r="N85" s="1634"/>
      <c r="O85" s="1634"/>
      <c r="P85" s="1634" t="s">
        <v>104</v>
      </c>
      <c r="Q85" s="1634" t="s">
        <v>104</v>
      </c>
      <c r="R85" s="2347"/>
      <c r="S85" s="2347"/>
      <c r="T85" s="2347"/>
      <c r="U85" s="2347"/>
      <c r="V85" s="2347"/>
      <c r="W85" s="2347"/>
      <c r="X85" s="2347"/>
      <c r="Y85" s="2347"/>
      <c r="Z85" s="2347"/>
      <c r="AA85" s="2347"/>
      <c r="AB85" s="2347"/>
      <c r="AC85" s="2347" t="s">
        <v>0</v>
      </c>
      <c r="AD85" s="2347"/>
      <c r="AE85" s="2347"/>
      <c r="AF85" s="1634" t="s">
        <v>373</v>
      </c>
    </row>
    <row r="86" spans="1:33" ht="18" customHeight="1" thickBot="1">
      <c r="A86" s="1311"/>
      <c r="B86" s="1481" t="s">
        <v>156</v>
      </c>
      <c r="C86" s="1580">
        <v>1</v>
      </c>
      <c r="D86" s="1578">
        <v>2</v>
      </c>
      <c r="E86" s="1578">
        <v>3</v>
      </c>
      <c r="F86" s="1578">
        <v>4</v>
      </c>
      <c r="G86" s="1580">
        <v>5</v>
      </c>
      <c r="H86" s="1578">
        <v>6</v>
      </c>
      <c r="I86" s="1580">
        <v>7</v>
      </c>
      <c r="J86" s="1580">
        <v>8</v>
      </c>
      <c r="K86" s="1580">
        <v>9</v>
      </c>
      <c r="L86" s="1578">
        <v>10</v>
      </c>
      <c r="M86" s="1578">
        <v>11</v>
      </c>
      <c r="N86" s="1578">
        <v>12</v>
      </c>
      <c r="O86" s="1578">
        <v>13</v>
      </c>
      <c r="P86" s="1580">
        <v>14</v>
      </c>
      <c r="Q86" s="1580">
        <v>15</v>
      </c>
      <c r="R86" s="1578">
        <v>16</v>
      </c>
      <c r="S86" s="1578">
        <v>17</v>
      </c>
      <c r="T86" s="1578">
        <v>18</v>
      </c>
      <c r="U86" s="1578">
        <v>19</v>
      </c>
      <c r="V86" s="1578">
        <v>20</v>
      </c>
      <c r="W86" s="1580">
        <v>21</v>
      </c>
      <c r="X86" s="1580">
        <v>22</v>
      </c>
      <c r="Y86" s="1578">
        <v>23</v>
      </c>
      <c r="Z86" s="1578">
        <v>24</v>
      </c>
      <c r="AA86" s="1578">
        <v>25</v>
      </c>
      <c r="AB86" s="1578">
        <v>26</v>
      </c>
      <c r="AC86" s="1578">
        <v>27</v>
      </c>
      <c r="AD86" s="1580">
        <v>28</v>
      </c>
      <c r="AE86" s="1580">
        <v>29</v>
      </c>
      <c r="AF86" s="1578">
        <v>30</v>
      </c>
    </row>
    <row r="87" spans="1:33" ht="18" customHeight="1">
      <c r="A87" s="2348"/>
      <c r="B87" s="2200" t="s">
        <v>157</v>
      </c>
      <c r="C87" s="2315" t="s">
        <v>104</v>
      </c>
      <c r="D87" s="2315" t="s">
        <v>40</v>
      </c>
      <c r="E87" s="2315">
        <v>4</v>
      </c>
      <c r="F87" s="2315">
        <v>21</v>
      </c>
      <c r="G87" s="2349"/>
      <c r="H87" s="2314" t="s">
        <v>46</v>
      </c>
      <c r="I87" s="2350"/>
      <c r="J87" s="2350" t="s">
        <v>376</v>
      </c>
      <c r="K87" s="2351"/>
      <c r="L87" s="2351" t="s">
        <v>128</v>
      </c>
      <c r="M87" s="2351" t="s">
        <v>46</v>
      </c>
      <c r="N87" s="2352">
        <v>23</v>
      </c>
      <c r="O87" s="2352">
        <v>23</v>
      </c>
      <c r="P87" s="2352">
        <v>23</v>
      </c>
      <c r="Q87" s="2353" t="s">
        <v>61</v>
      </c>
      <c r="R87" s="2353" t="s">
        <v>61</v>
      </c>
      <c r="S87" s="2352" t="s">
        <v>46</v>
      </c>
      <c r="T87" s="2352">
        <v>21</v>
      </c>
      <c r="U87" s="2352" t="s">
        <v>46</v>
      </c>
      <c r="V87" s="2352" t="s">
        <v>46</v>
      </c>
      <c r="W87" s="2352"/>
      <c r="X87" s="2352"/>
      <c r="Y87" s="2352" t="s">
        <v>128</v>
      </c>
      <c r="Z87" s="2242" t="s">
        <v>373</v>
      </c>
      <c r="AA87" s="2242" t="s">
        <v>373</v>
      </c>
      <c r="AB87" s="2242" t="s">
        <v>373</v>
      </c>
      <c r="AC87" s="2354" t="s">
        <v>373</v>
      </c>
      <c r="AD87" s="2354" t="s">
        <v>373</v>
      </c>
      <c r="AE87" s="2354" t="s">
        <v>373</v>
      </c>
      <c r="AF87" s="2242" t="s">
        <v>46</v>
      </c>
    </row>
    <row r="88" spans="1:33" ht="18" customHeight="1" thickBot="1">
      <c r="A88" s="2355"/>
      <c r="B88" s="2356" t="s">
        <v>158</v>
      </c>
      <c r="C88" s="1586"/>
      <c r="D88" s="2357" t="s">
        <v>40</v>
      </c>
      <c r="E88" s="2358" t="s">
        <v>145</v>
      </c>
      <c r="F88" s="2359" t="s">
        <v>377</v>
      </c>
      <c r="G88" s="2358"/>
      <c r="H88" s="2358" t="s">
        <v>40</v>
      </c>
      <c r="I88" s="2358"/>
      <c r="J88" s="2357"/>
      <c r="K88" s="2358"/>
      <c r="L88" s="2358" t="s">
        <v>40</v>
      </c>
      <c r="M88" s="2360" t="s">
        <v>40</v>
      </c>
      <c r="N88" s="2361" t="s">
        <v>325</v>
      </c>
      <c r="O88" s="2358" t="s">
        <v>40</v>
      </c>
      <c r="P88" s="2357"/>
      <c r="Q88" s="2357"/>
      <c r="R88" s="2358" t="s">
        <v>40</v>
      </c>
      <c r="S88" s="2362" t="s">
        <v>40</v>
      </c>
      <c r="T88" s="2360" t="s">
        <v>40</v>
      </c>
      <c r="U88" s="2360" t="s">
        <v>145</v>
      </c>
      <c r="V88" s="2363">
        <v>79</v>
      </c>
      <c r="W88" s="2357"/>
      <c r="X88" s="1586"/>
      <c r="Y88" s="2364" t="s">
        <v>40</v>
      </c>
      <c r="Z88" s="2364" t="s">
        <v>40</v>
      </c>
      <c r="AA88" s="2364" t="s">
        <v>40</v>
      </c>
      <c r="AB88" s="2364" t="s">
        <v>40</v>
      </c>
      <c r="AC88" s="2364" t="s">
        <v>325</v>
      </c>
      <c r="AD88" s="2347"/>
      <c r="AE88" s="2347"/>
      <c r="AF88" s="2365" t="s">
        <v>40</v>
      </c>
      <c r="AG88" s="193" t="s">
        <v>133</v>
      </c>
    </row>
    <row r="89" spans="1:33" ht="18" customHeight="1" thickBot="1">
      <c r="A89" s="584"/>
      <c r="B89" s="241" t="s">
        <v>38</v>
      </c>
      <c r="C89" s="1580">
        <v>1</v>
      </c>
      <c r="D89" s="1578">
        <v>2</v>
      </c>
      <c r="E89" s="1578">
        <v>3</v>
      </c>
      <c r="F89" s="1578">
        <v>4</v>
      </c>
      <c r="G89" s="1580">
        <v>5</v>
      </c>
      <c r="H89" s="1578">
        <v>6</v>
      </c>
      <c r="I89" s="1580">
        <v>7</v>
      </c>
      <c r="J89" s="1580">
        <v>8</v>
      </c>
      <c r="K89" s="1580">
        <v>9</v>
      </c>
      <c r="L89" s="1578">
        <v>10</v>
      </c>
      <c r="M89" s="1578">
        <v>11</v>
      </c>
      <c r="N89" s="1578">
        <v>12</v>
      </c>
      <c r="O89" s="1578">
        <v>13</v>
      </c>
      <c r="P89" s="1580">
        <v>14</v>
      </c>
      <c r="Q89" s="1580">
        <v>15</v>
      </c>
      <c r="R89" s="1578">
        <v>16</v>
      </c>
      <c r="S89" s="1578">
        <v>17</v>
      </c>
      <c r="T89" s="1578">
        <v>18</v>
      </c>
      <c r="U89" s="1578">
        <v>19</v>
      </c>
      <c r="V89" s="1578">
        <v>20</v>
      </c>
      <c r="W89" s="1580">
        <v>21</v>
      </c>
      <c r="X89" s="1580">
        <v>22</v>
      </c>
      <c r="Y89" s="1578">
        <v>23</v>
      </c>
      <c r="Z89" s="1578">
        <v>24</v>
      </c>
      <c r="AA89" s="1578">
        <v>25</v>
      </c>
      <c r="AB89" s="1578">
        <v>26</v>
      </c>
      <c r="AC89" s="1578">
        <v>27</v>
      </c>
      <c r="AD89" s="1580">
        <v>28</v>
      </c>
      <c r="AE89" s="1580">
        <v>29</v>
      </c>
      <c r="AF89" s="1578">
        <v>30</v>
      </c>
    </row>
    <row r="90" spans="1:33" ht="18" customHeight="1">
      <c r="A90" s="2366"/>
      <c r="B90" s="2244" t="s">
        <v>160</v>
      </c>
      <c r="C90" s="1645"/>
      <c r="D90" s="1961"/>
      <c r="E90" s="1645"/>
      <c r="F90" s="1645"/>
      <c r="G90" s="1645"/>
      <c r="H90" s="1645"/>
      <c r="I90" s="1645"/>
      <c r="J90" s="1645"/>
      <c r="K90" s="1645"/>
      <c r="L90" s="1645"/>
      <c r="M90" s="1645"/>
      <c r="N90" s="1645"/>
      <c r="O90" s="1645"/>
      <c r="P90" s="1645"/>
      <c r="Q90" s="1645"/>
      <c r="AD90" s="1645"/>
      <c r="AE90" s="1645"/>
      <c r="AF90" s="1645"/>
    </row>
    <row r="91" spans="1:33" ht="18" customHeight="1">
      <c r="A91" s="2366"/>
      <c r="B91" s="2208"/>
      <c r="C91" s="2334"/>
      <c r="D91" s="2334"/>
      <c r="E91" s="2334"/>
      <c r="F91" s="2211"/>
      <c r="G91" s="2211"/>
      <c r="H91" s="2334"/>
      <c r="I91" s="2334"/>
      <c r="J91" s="2334"/>
      <c r="K91" s="2334"/>
      <c r="L91" s="2334"/>
      <c r="M91" s="2334"/>
      <c r="N91" s="2334"/>
      <c r="O91" s="2334"/>
      <c r="P91" s="2334"/>
      <c r="Q91" s="2334"/>
      <c r="R91" s="2334"/>
      <c r="S91" s="2334"/>
      <c r="T91" s="2232"/>
      <c r="U91" s="2334"/>
      <c r="V91" s="2334"/>
      <c r="W91" s="2334"/>
      <c r="X91" s="2334"/>
      <c r="Y91" s="2334"/>
      <c r="Z91" s="2334"/>
      <c r="AA91" s="2334"/>
      <c r="AB91" s="2334"/>
      <c r="AC91" s="2334"/>
      <c r="AD91" s="2334"/>
      <c r="AE91" s="2334"/>
      <c r="AF91" s="2334"/>
    </row>
    <row r="92" spans="1:33" ht="18" customHeight="1">
      <c r="A92" s="2366"/>
      <c r="B92" s="2208"/>
      <c r="C92" s="2232"/>
      <c r="D92" s="2232"/>
      <c r="E92" s="2232"/>
      <c r="F92" s="2232"/>
      <c r="G92" s="2232"/>
      <c r="H92" s="2232"/>
      <c r="I92" s="2232"/>
      <c r="J92" s="2232"/>
      <c r="K92" s="2232"/>
      <c r="L92" s="2232"/>
      <c r="M92" s="2232"/>
      <c r="N92" s="2232"/>
      <c r="O92" s="2232"/>
      <c r="P92" s="2232"/>
      <c r="Q92" s="2232"/>
      <c r="R92" s="2232"/>
      <c r="S92" s="2232"/>
      <c r="T92" s="2232"/>
      <c r="U92" s="2232"/>
      <c r="V92" s="2232"/>
      <c r="W92" s="2232"/>
      <c r="X92" s="2232"/>
      <c r="Y92" s="2232"/>
      <c r="Z92" s="2232"/>
      <c r="AA92" s="2232"/>
      <c r="AB92" s="2232"/>
      <c r="AC92" s="2232"/>
      <c r="AD92" s="2232"/>
      <c r="AE92" s="2232"/>
      <c r="AF92" s="2232"/>
    </row>
    <row r="93" spans="1:33" ht="18" customHeight="1" thickBot="1">
      <c r="A93" s="89"/>
      <c r="B93" s="2213"/>
      <c r="C93" s="2367"/>
      <c r="D93" s="2367"/>
      <c r="E93" s="2367"/>
      <c r="F93" s="2367"/>
      <c r="G93" s="2367"/>
      <c r="H93" s="2367"/>
      <c r="I93" s="2367"/>
      <c r="J93" s="2367"/>
      <c r="K93" s="2367"/>
      <c r="L93" s="2367"/>
      <c r="M93" s="2367"/>
      <c r="N93" s="2367"/>
      <c r="O93" s="2367"/>
      <c r="P93" s="2367"/>
      <c r="Q93" s="2367"/>
      <c r="R93" s="2367"/>
      <c r="S93" s="2367"/>
      <c r="T93" s="2367"/>
      <c r="U93" s="2367"/>
      <c r="V93" s="2367"/>
      <c r="W93" s="2367"/>
      <c r="X93" s="2367"/>
      <c r="Y93" s="2367"/>
      <c r="Z93" s="2367"/>
      <c r="AA93" s="2367"/>
      <c r="AB93" s="2367"/>
      <c r="AC93" s="2367"/>
      <c r="AD93" s="2367"/>
      <c r="AE93" s="2367"/>
      <c r="AF93" s="2367"/>
    </row>
    <row r="94" spans="1:33" ht="18" customHeight="1">
      <c r="A94" s="114"/>
      <c r="B94" s="115"/>
      <c r="C94" s="126"/>
      <c r="D94" s="126"/>
      <c r="E94" s="126"/>
      <c r="F94" s="126"/>
      <c r="G94" s="126"/>
      <c r="H94" s="126"/>
      <c r="I94" s="126"/>
      <c r="J94" s="126"/>
      <c r="K94" s="126"/>
      <c r="L94" s="126"/>
      <c r="M94" s="126"/>
      <c r="N94" s="126"/>
      <c r="O94" s="126"/>
      <c r="P94" s="126"/>
      <c r="Q94" s="126"/>
      <c r="R94" s="126"/>
      <c r="S94" s="126"/>
      <c r="T94" s="126"/>
      <c r="U94" s="126"/>
      <c r="V94" s="126"/>
      <c r="W94" s="126"/>
      <c r="X94" s="126"/>
      <c r="Y94" s="126"/>
      <c r="Z94" s="126"/>
      <c r="AA94" s="126"/>
      <c r="AB94" s="126"/>
      <c r="AC94" s="126"/>
      <c r="AD94" s="126"/>
      <c r="AE94" s="126"/>
      <c r="AF94" s="126"/>
    </row>
    <row r="95" spans="1:33" ht="18" customHeight="1">
      <c r="A95" s="42" t="s">
        <v>161</v>
      </c>
      <c r="C95" s="99"/>
      <c r="D95" s="99"/>
      <c r="E95" s="99"/>
      <c r="F95" s="99"/>
      <c r="G95" s="99"/>
      <c r="H95" s="99"/>
      <c r="I95" s="99"/>
      <c r="J95" s="99"/>
      <c r="K95" s="99"/>
      <c r="L95" s="99"/>
      <c r="M95" s="99"/>
      <c r="N95" s="99"/>
      <c r="O95" s="99"/>
      <c r="P95" s="99"/>
      <c r="Q95" s="99"/>
      <c r="R95" s="99"/>
      <c r="S95" s="99"/>
      <c r="T95" s="99"/>
      <c r="U95" s="99"/>
      <c r="V95" s="99"/>
      <c r="W95" s="99"/>
      <c r="X95" s="99"/>
      <c r="Y95" s="99"/>
      <c r="Z95" s="99"/>
      <c r="AA95" s="99"/>
      <c r="AB95" s="99"/>
      <c r="AC95" s="99"/>
      <c r="AD95" s="99"/>
      <c r="AE95" s="99"/>
      <c r="AF95" s="99"/>
    </row>
    <row r="96" spans="1:33" ht="18" customHeight="1">
      <c r="B96" s="2189"/>
      <c r="C96" s="2188"/>
      <c r="D96" s="2189" t="s">
        <v>19</v>
      </c>
      <c r="E96" s="2188"/>
      <c r="F96" s="2188"/>
      <c r="G96" s="2189" t="s">
        <v>20</v>
      </c>
      <c r="H96" s="2232"/>
      <c r="I96" s="2188"/>
      <c r="J96" s="2189" t="s">
        <v>21</v>
      </c>
      <c r="K96" s="2188"/>
      <c r="L96" s="2188"/>
      <c r="M96" s="2189" t="s">
        <v>22</v>
      </c>
      <c r="N96" s="2188"/>
      <c r="O96" s="2188"/>
      <c r="P96" s="2189" t="s">
        <v>23</v>
      </c>
      <c r="Q96" s="2188"/>
      <c r="R96" s="2183"/>
      <c r="S96" s="2184" t="s">
        <v>24</v>
      </c>
      <c r="T96" s="2188"/>
      <c r="U96" s="2188"/>
      <c r="V96" s="2189" t="s">
        <v>25</v>
      </c>
      <c r="W96" s="2188"/>
      <c r="X96" s="178"/>
      <c r="Y96" s="178"/>
      <c r="Z96" s="178"/>
      <c r="AA96" s="178"/>
      <c r="AB96" s="178"/>
      <c r="AC96" s="178"/>
      <c r="AD96" s="178"/>
      <c r="AE96" s="178"/>
      <c r="AF96" s="178"/>
    </row>
    <row r="97" spans="1:33" ht="18" customHeight="1">
      <c r="B97" s="2368" t="s">
        <v>162</v>
      </c>
      <c r="C97" s="2369" t="s">
        <v>378</v>
      </c>
      <c r="D97" s="1968"/>
      <c r="E97" s="1968"/>
      <c r="F97" s="2369" t="s">
        <v>378</v>
      </c>
      <c r="G97" s="1968"/>
      <c r="H97" s="2370"/>
      <c r="I97" s="2369" t="s">
        <v>378</v>
      </c>
      <c r="J97" s="1968"/>
      <c r="K97" s="1968"/>
      <c r="L97" s="2369" t="s">
        <v>378</v>
      </c>
      <c r="M97" s="1968"/>
      <c r="N97" s="1968"/>
      <c r="O97" s="2369" t="s">
        <v>378</v>
      </c>
      <c r="P97" s="1968"/>
      <c r="Q97" s="1968"/>
      <c r="R97" s="1969"/>
      <c r="S97" s="1968"/>
      <c r="T97" s="1968"/>
      <c r="U97" s="1969" t="s">
        <v>164</v>
      </c>
      <c r="V97" s="1968"/>
      <c r="W97" s="2371"/>
      <c r="X97" s="178"/>
      <c r="Y97" s="178"/>
      <c r="Z97" s="178"/>
      <c r="AA97" s="178"/>
      <c r="AB97" s="178"/>
      <c r="AC97" s="178"/>
      <c r="AD97" s="178"/>
      <c r="AE97" s="178"/>
      <c r="AF97" s="178"/>
    </row>
    <row r="98" spans="1:33" ht="18" customHeight="1">
      <c r="B98" s="2368" t="s">
        <v>165</v>
      </c>
      <c r="C98" s="2372" t="s">
        <v>166</v>
      </c>
      <c r="D98" s="2373"/>
      <c r="E98" s="2373"/>
      <c r="F98" s="2372" t="s">
        <v>167</v>
      </c>
      <c r="G98" s="2373"/>
      <c r="H98" s="2374"/>
      <c r="I98" s="2372" t="s">
        <v>167</v>
      </c>
      <c r="J98" s="2373"/>
      <c r="K98" s="2373"/>
      <c r="L98" s="2372" t="s">
        <v>167</v>
      </c>
      <c r="M98" s="2373"/>
      <c r="N98" s="2373"/>
      <c r="O98" s="2372" t="s">
        <v>168</v>
      </c>
      <c r="P98" s="2373"/>
      <c r="Q98" s="2373"/>
      <c r="R98" s="242"/>
      <c r="S98" s="46"/>
      <c r="T98" s="2371"/>
      <c r="U98" s="242"/>
      <c r="V98" s="46"/>
      <c r="W98" s="2371"/>
      <c r="X98" s="178"/>
      <c r="Y98" s="178"/>
      <c r="Z98" s="178"/>
      <c r="AA98" s="178"/>
      <c r="AB98" s="178"/>
      <c r="AC98" s="178"/>
      <c r="AD98" s="178"/>
      <c r="AE98" s="178"/>
      <c r="AF98" s="178"/>
    </row>
    <row r="99" spans="1:33" ht="18" customHeight="1">
      <c r="B99" s="2368" t="s">
        <v>169</v>
      </c>
      <c r="C99" s="2375" t="s">
        <v>170</v>
      </c>
      <c r="D99" s="2177"/>
      <c r="E99" s="2177"/>
      <c r="F99" s="2375" t="s">
        <v>171</v>
      </c>
      <c r="G99" s="2275"/>
      <c r="H99" s="2267"/>
      <c r="I99" s="2375" t="s">
        <v>171</v>
      </c>
      <c r="J99" s="2195"/>
      <c r="K99" s="2194"/>
      <c r="L99" s="2294" t="s">
        <v>172</v>
      </c>
      <c r="M99" s="2195"/>
      <c r="N99" s="2376"/>
      <c r="O99" s="2375" t="s">
        <v>172</v>
      </c>
      <c r="P99" s="2177"/>
      <c r="Q99" s="2177"/>
      <c r="R99" s="2294" t="s">
        <v>173</v>
      </c>
      <c r="S99" s="2195"/>
      <c r="T99" s="2194"/>
      <c r="U99" s="2294" t="s">
        <v>173</v>
      </c>
      <c r="V99" s="2195"/>
      <c r="W99" s="2194"/>
      <c r="X99" s="178"/>
      <c r="Y99" s="178"/>
      <c r="Z99" s="178"/>
      <c r="AA99" s="178"/>
      <c r="AB99" s="178"/>
      <c r="AC99" s="178"/>
      <c r="AD99" s="178"/>
      <c r="AE99" s="178"/>
      <c r="AF99" s="178"/>
    </row>
    <row r="100" spans="1:33" ht="18" customHeight="1">
      <c r="B100" s="2368" t="s">
        <v>174</v>
      </c>
      <c r="C100" s="2375" t="s">
        <v>46</v>
      </c>
      <c r="D100" s="2177"/>
      <c r="E100" s="2177"/>
      <c r="F100" s="2375" t="s">
        <v>46</v>
      </c>
      <c r="G100" s="2275"/>
      <c r="H100" s="2267"/>
      <c r="I100" s="2294" t="s">
        <v>46</v>
      </c>
      <c r="J100" s="2195"/>
      <c r="K100" s="2194"/>
      <c r="L100" s="2294" t="s">
        <v>46</v>
      </c>
      <c r="M100" s="2195"/>
      <c r="N100" s="2376"/>
      <c r="O100" s="2375" t="s">
        <v>46</v>
      </c>
      <c r="P100" s="2177"/>
      <c r="Q100" s="2177"/>
      <c r="R100" s="2294"/>
      <c r="S100" s="2195"/>
      <c r="T100" s="2194"/>
      <c r="U100" s="2294"/>
      <c r="V100" s="2195"/>
      <c r="W100" s="2377"/>
      <c r="X100" s="178"/>
      <c r="Y100" s="178"/>
      <c r="Z100" s="178"/>
      <c r="AA100" s="178"/>
      <c r="AB100" s="178"/>
      <c r="AC100" s="178"/>
      <c r="AD100" s="178"/>
      <c r="AE100" s="178"/>
      <c r="AF100" s="178"/>
    </row>
    <row r="101" spans="1:33" ht="18" customHeight="1" thickBot="1">
      <c r="B101" s="249"/>
      <c r="C101" s="244"/>
      <c r="D101" s="111"/>
      <c r="E101" s="111"/>
      <c r="F101" s="244"/>
      <c r="G101" s="115"/>
      <c r="H101" s="116"/>
      <c r="I101" s="115"/>
      <c r="J101" s="111"/>
      <c r="K101" s="111"/>
      <c r="L101" s="115"/>
      <c r="M101" s="111"/>
      <c r="N101" s="32"/>
      <c r="O101" s="244"/>
      <c r="P101" s="111"/>
      <c r="Q101" s="111"/>
      <c r="R101" s="115"/>
      <c r="S101" s="111"/>
      <c r="T101" s="111"/>
      <c r="U101" s="115"/>
      <c r="V101" s="111"/>
      <c r="W101" s="111"/>
      <c r="X101" s="178"/>
      <c r="Y101" s="178"/>
      <c r="Z101" s="178"/>
      <c r="AA101" s="178"/>
      <c r="AB101" s="178"/>
      <c r="AC101" s="178"/>
      <c r="AD101" s="178"/>
      <c r="AE101" s="178"/>
      <c r="AF101" s="178"/>
    </row>
    <row r="102" spans="1:33" ht="18" customHeight="1" thickBot="1">
      <c r="B102" s="1658" t="s">
        <v>379</v>
      </c>
      <c r="C102" s="1580">
        <v>1</v>
      </c>
      <c r="D102" s="1578">
        <v>2</v>
      </c>
      <c r="E102" s="1578">
        <v>3</v>
      </c>
      <c r="F102" s="1578">
        <v>4</v>
      </c>
      <c r="G102" s="1580">
        <v>5</v>
      </c>
      <c r="H102" s="1578">
        <v>6</v>
      </c>
      <c r="I102" s="1580">
        <v>7</v>
      </c>
      <c r="J102" s="1580">
        <v>8</v>
      </c>
      <c r="K102" s="1580">
        <v>9</v>
      </c>
      <c r="L102" s="1578">
        <v>10</v>
      </c>
      <c r="M102" s="1578">
        <v>11</v>
      </c>
      <c r="N102" s="1578">
        <v>12</v>
      </c>
      <c r="O102" s="1578">
        <v>13</v>
      </c>
      <c r="P102" s="1580">
        <v>14</v>
      </c>
      <c r="Q102" s="1580">
        <v>15</v>
      </c>
      <c r="R102" s="1578">
        <v>16</v>
      </c>
      <c r="S102" s="1578">
        <v>17</v>
      </c>
      <c r="T102" s="1578">
        <v>18</v>
      </c>
      <c r="U102" s="1578">
        <v>19</v>
      </c>
      <c r="V102" s="1578">
        <v>20</v>
      </c>
      <c r="W102" s="1580">
        <v>21</v>
      </c>
      <c r="X102" s="1580">
        <v>22</v>
      </c>
      <c r="Y102" s="1578">
        <v>23</v>
      </c>
      <c r="Z102" s="1578">
        <v>24</v>
      </c>
      <c r="AA102" s="1578">
        <v>25</v>
      </c>
      <c r="AB102" s="1578">
        <v>26</v>
      </c>
      <c r="AC102" s="1578">
        <v>27</v>
      </c>
      <c r="AD102" s="1580">
        <v>28</v>
      </c>
      <c r="AE102" s="1580">
        <v>29</v>
      </c>
      <c r="AF102" s="1578">
        <v>30</v>
      </c>
    </row>
    <row r="103" spans="1:33" ht="18" customHeight="1">
      <c r="B103" s="1976" t="s">
        <v>175</v>
      </c>
      <c r="C103" s="2334"/>
      <c r="D103" s="2334">
        <v>25</v>
      </c>
      <c r="E103" s="2334">
        <v>25</v>
      </c>
      <c r="F103" s="2334">
        <v>25</v>
      </c>
      <c r="G103" s="2334"/>
      <c r="H103" s="2334">
        <v>25</v>
      </c>
      <c r="I103" s="2334"/>
      <c r="J103" s="2334"/>
      <c r="K103" s="2334"/>
      <c r="L103" s="2334">
        <v>26</v>
      </c>
      <c r="M103" s="2334">
        <v>26</v>
      </c>
      <c r="N103" s="2238">
        <v>26</v>
      </c>
      <c r="O103" s="2334">
        <v>26</v>
      </c>
      <c r="P103" s="585"/>
      <c r="Q103" s="585"/>
      <c r="R103" s="510" t="s">
        <v>121</v>
      </c>
      <c r="S103" s="510" t="s">
        <v>121</v>
      </c>
      <c r="T103" s="510" t="s">
        <v>121</v>
      </c>
      <c r="U103" s="510" t="s">
        <v>121</v>
      </c>
      <c r="V103" s="510" t="s">
        <v>121</v>
      </c>
      <c r="W103" s="2241" t="s">
        <v>120</v>
      </c>
      <c r="X103" s="2241" t="s">
        <v>120</v>
      </c>
      <c r="Y103" s="2241" t="s">
        <v>46</v>
      </c>
      <c r="Z103" s="2241" t="s">
        <v>46</v>
      </c>
      <c r="AA103" s="2241" t="s">
        <v>46</v>
      </c>
      <c r="AB103" s="2241" t="s">
        <v>46</v>
      </c>
      <c r="AC103" s="2241" t="s">
        <v>46</v>
      </c>
      <c r="AD103" s="2241"/>
      <c r="AE103" s="2241"/>
      <c r="AF103" s="2241">
        <v>25</v>
      </c>
      <c r="AG103" t="s">
        <v>133</v>
      </c>
    </row>
    <row r="104" spans="1:33" ht="18" customHeight="1">
      <c r="B104" s="2294" t="s">
        <v>380</v>
      </c>
      <c r="C104" s="2378">
        <v>26</v>
      </c>
      <c r="D104" s="2378">
        <v>26</v>
      </c>
      <c r="E104" s="2378">
        <v>26</v>
      </c>
      <c r="F104" s="2378">
        <v>26</v>
      </c>
      <c r="G104" s="2378">
        <v>26</v>
      </c>
      <c r="H104" s="2379">
        <v>26</v>
      </c>
      <c r="I104" s="587"/>
      <c r="J104" s="587"/>
      <c r="K104" s="587" t="s">
        <v>121</v>
      </c>
      <c r="L104" s="587" t="s">
        <v>121</v>
      </c>
      <c r="M104" s="587" t="s">
        <v>121</v>
      </c>
      <c r="N104" s="587" t="s">
        <v>121</v>
      </c>
      <c r="O104" s="587" t="s">
        <v>121</v>
      </c>
      <c r="P104" s="2378" t="s">
        <v>120</v>
      </c>
      <c r="Q104" s="2378" t="s">
        <v>120</v>
      </c>
      <c r="R104" s="2378" t="s">
        <v>46</v>
      </c>
      <c r="S104" s="2378" t="s">
        <v>46</v>
      </c>
      <c r="T104" s="2378" t="s">
        <v>46</v>
      </c>
      <c r="U104" s="2378" t="s">
        <v>46</v>
      </c>
      <c r="V104" s="2378" t="s">
        <v>46</v>
      </c>
      <c r="W104" s="2378"/>
      <c r="X104" s="2378"/>
      <c r="Y104" s="2378">
        <v>25</v>
      </c>
      <c r="Z104" s="2378">
        <v>25</v>
      </c>
      <c r="AA104" s="2378">
        <v>25</v>
      </c>
      <c r="AB104" s="2378">
        <v>25</v>
      </c>
      <c r="AC104" s="2378">
        <v>25</v>
      </c>
      <c r="AD104" s="2378"/>
      <c r="AE104" s="2378">
        <v>26</v>
      </c>
      <c r="AF104" s="2378">
        <v>26</v>
      </c>
      <c r="AG104" t="s">
        <v>133</v>
      </c>
    </row>
    <row r="105" spans="1:33" ht="18" customHeight="1">
      <c r="B105" s="2345" t="s">
        <v>177</v>
      </c>
      <c r="C105" s="2334"/>
      <c r="D105" s="2334" t="s">
        <v>121</v>
      </c>
      <c r="E105" s="2334" t="s">
        <v>121</v>
      </c>
      <c r="F105" s="2334" t="s">
        <v>121</v>
      </c>
      <c r="G105" s="2334" t="s">
        <v>120</v>
      </c>
      <c r="H105" s="2334" t="s">
        <v>121</v>
      </c>
      <c r="I105" s="2334" t="s">
        <v>120</v>
      </c>
      <c r="J105" s="2334" t="s">
        <v>120</v>
      </c>
      <c r="K105" s="2334" t="s">
        <v>46</v>
      </c>
      <c r="L105" s="2334" t="s">
        <v>46</v>
      </c>
      <c r="M105" s="2334" t="s">
        <v>46</v>
      </c>
      <c r="N105" s="2334" t="s">
        <v>46</v>
      </c>
      <c r="O105" s="2334" t="s">
        <v>46</v>
      </c>
      <c r="P105" s="2334"/>
      <c r="Q105" s="2334"/>
      <c r="R105" s="2380">
        <v>25</v>
      </c>
      <c r="S105" s="2380">
        <v>25</v>
      </c>
      <c r="T105" s="2380">
        <v>25</v>
      </c>
      <c r="U105" s="2380">
        <v>25</v>
      </c>
      <c r="V105" s="2224">
        <v>25</v>
      </c>
      <c r="W105" s="2334" t="s">
        <v>133</v>
      </c>
      <c r="X105" s="2334">
        <v>26</v>
      </c>
      <c r="Y105" s="2334">
        <v>26</v>
      </c>
      <c r="Z105" s="2334">
        <v>26</v>
      </c>
      <c r="AA105" s="2334">
        <v>26</v>
      </c>
      <c r="AB105" s="2334">
        <v>26</v>
      </c>
      <c r="AC105" s="2334">
        <v>26</v>
      </c>
      <c r="AD105" s="2334"/>
      <c r="AE105" s="2334"/>
      <c r="AF105" s="2334" t="s">
        <v>121</v>
      </c>
    </row>
    <row r="106" spans="1:33" ht="18" customHeight="1">
      <c r="B106" s="2311" t="s">
        <v>146</v>
      </c>
      <c r="C106" s="2334" t="s">
        <v>120</v>
      </c>
      <c r="D106" s="2334" t="s">
        <v>46</v>
      </c>
      <c r="E106" s="2334" t="s">
        <v>46</v>
      </c>
      <c r="F106" s="2334" t="s">
        <v>46</v>
      </c>
      <c r="G106" s="2334" t="s">
        <v>46</v>
      </c>
      <c r="H106" s="2381" t="s">
        <v>373</v>
      </c>
      <c r="I106" s="2381" t="s">
        <v>373</v>
      </c>
      <c r="J106" s="2381" t="s">
        <v>373</v>
      </c>
      <c r="K106" s="2381" t="s">
        <v>373</v>
      </c>
      <c r="L106" s="2334">
        <v>25</v>
      </c>
      <c r="M106" s="2334">
        <v>25</v>
      </c>
      <c r="N106" s="2334">
        <v>25</v>
      </c>
      <c r="O106" s="2334">
        <v>25</v>
      </c>
      <c r="P106" s="2334"/>
      <c r="Q106" s="2334">
        <v>26</v>
      </c>
      <c r="R106" s="2381">
        <v>26</v>
      </c>
      <c r="S106" s="2381">
        <v>26</v>
      </c>
      <c r="T106" s="2381">
        <v>26</v>
      </c>
      <c r="U106" s="2334">
        <v>26</v>
      </c>
      <c r="V106" s="2230">
        <v>26</v>
      </c>
      <c r="W106" s="2334"/>
      <c r="X106" s="2230" t="s">
        <v>120</v>
      </c>
      <c r="Y106" s="2334" t="s">
        <v>121</v>
      </c>
      <c r="Z106" s="2334" t="s">
        <v>121</v>
      </c>
      <c r="AA106" s="2334" t="s">
        <v>121</v>
      </c>
      <c r="AB106" s="2334" t="s">
        <v>121</v>
      </c>
      <c r="AC106" s="2334" t="s">
        <v>121</v>
      </c>
      <c r="AD106" s="2334" t="s">
        <v>120</v>
      </c>
      <c r="AE106" s="2334" t="s">
        <v>120</v>
      </c>
      <c r="AF106" s="2334" t="s">
        <v>46</v>
      </c>
    </row>
    <row r="107" spans="1:33" ht="18" customHeight="1">
      <c r="A107" s="114"/>
      <c r="B107" s="115"/>
      <c r="C107" s="126"/>
      <c r="D107" s="126"/>
      <c r="E107" s="126"/>
      <c r="F107" s="126"/>
      <c r="G107" s="126"/>
      <c r="H107" s="126"/>
      <c r="I107" s="126"/>
      <c r="J107" s="126"/>
      <c r="K107" s="126"/>
      <c r="L107" s="126"/>
      <c r="M107" s="126"/>
      <c r="N107" s="126"/>
      <c r="O107" s="126"/>
      <c r="P107" s="126"/>
      <c r="Q107" s="126"/>
      <c r="R107" s="126"/>
      <c r="S107" s="126"/>
      <c r="T107" s="126"/>
      <c r="U107" s="126"/>
      <c r="V107" s="126"/>
      <c r="W107" s="126"/>
      <c r="X107" s="126"/>
      <c r="Y107" s="126"/>
      <c r="Z107" s="126"/>
      <c r="AA107" s="126"/>
      <c r="AB107" s="126"/>
      <c r="AC107" s="126"/>
      <c r="AD107" s="126"/>
      <c r="AE107" s="126"/>
      <c r="AF107" s="126"/>
    </row>
    <row r="108" spans="1:33" ht="18" customHeight="1">
      <c r="A108" s="114"/>
      <c r="B108" s="115"/>
      <c r="C108" s="126"/>
      <c r="D108" s="126"/>
      <c r="E108" s="126"/>
      <c r="F108" s="126"/>
      <c r="G108" s="126"/>
      <c r="H108" s="126"/>
      <c r="I108" s="126"/>
      <c r="J108" s="126"/>
      <c r="K108" s="126"/>
      <c r="L108" s="126"/>
      <c r="M108" s="126"/>
      <c r="N108" s="126"/>
      <c r="O108" s="126"/>
      <c r="P108" s="126"/>
      <c r="Q108" s="126"/>
      <c r="R108" s="126"/>
      <c r="S108" s="126"/>
      <c r="T108" s="126"/>
      <c r="U108" s="126"/>
      <c r="V108" s="126"/>
      <c r="W108" s="126"/>
      <c r="X108" s="126"/>
      <c r="Y108" s="126"/>
      <c r="Z108" s="126"/>
      <c r="AA108" s="126"/>
      <c r="AB108" s="126"/>
      <c r="AC108" s="126"/>
      <c r="AD108" s="126"/>
      <c r="AE108" s="126"/>
      <c r="AF108" s="126"/>
    </row>
    <row r="109" spans="1:33" ht="18" customHeight="1" thickBot="1">
      <c r="A109" s="133" t="s">
        <v>178</v>
      </c>
      <c r="B109" s="115"/>
      <c r="C109" s="126"/>
      <c r="D109" s="126"/>
      <c r="E109" s="126"/>
      <c r="F109" s="126"/>
      <c r="G109" s="126"/>
      <c r="H109" s="126"/>
      <c r="I109" s="126"/>
      <c r="J109" s="126"/>
      <c r="K109" s="126"/>
      <c r="L109" s="126"/>
      <c r="M109" s="126"/>
      <c r="N109" s="126"/>
      <c r="O109" s="126"/>
      <c r="P109" s="126"/>
      <c r="Q109" s="126"/>
      <c r="R109" s="148"/>
      <c r="S109" s="148"/>
      <c r="T109" s="148"/>
      <c r="U109" s="126"/>
      <c r="V109" s="126"/>
      <c r="W109" s="126"/>
      <c r="X109" s="126"/>
      <c r="Y109" s="126"/>
      <c r="Z109" s="126"/>
      <c r="AA109" s="126"/>
      <c r="AB109" s="126"/>
      <c r="AC109" s="126"/>
      <c r="AD109" s="126"/>
      <c r="AE109" s="126"/>
      <c r="AF109" s="126"/>
    </row>
    <row r="110" spans="1:33" ht="18" customHeight="1" thickBot="1">
      <c r="A110" s="114"/>
      <c r="B110" s="134"/>
      <c r="C110" s="135"/>
      <c r="D110" s="135"/>
      <c r="E110" s="138" t="s">
        <v>179</v>
      </c>
      <c r="F110" s="135"/>
      <c r="G110" s="135"/>
      <c r="H110" s="213"/>
      <c r="I110" s="135"/>
      <c r="J110" s="135"/>
      <c r="K110" s="169" t="s">
        <v>15</v>
      </c>
      <c r="L110" s="169"/>
      <c r="M110" s="169"/>
      <c r="N110" s="169"/>
      <c r="O110" s="169"/>
      <c r="P110" s="169"/>
      <c r="Q110" s="169"/>
      <c r="R110" s="169"/>
      <c r="S110" s="169"/>
      <c r="T110" s="208"/>
      <c r="W110" s="101"/>
      <c r="X110" s="101"/>
      <c r="Y110" s="101"/>
      <c r="Z110" s="101"/>
      <c r="AA110" s="101"/>
      <c r="AB110" s="101"/>
      <c r="AC110" s="101"/>
      <c r="AD110" s="101"/>
      <c r="AE110" s="101"/>
      <c r="AF110" s="101"/>
    </row>
    <row r="111" spans="1:33" ht="18" customHeight="1" thickBot="1">
      <c r="A111" s="114"/>
      <c r="B111" s="134" t="s">
        <v>180</v>
      </c>
      <c r="C111" s="135"/>
      <c r="D111" s="135"/>
      <c r="E111" s="136" t="s">
        <v>181</v>
      </c>
      <c r="F111" s="135"/>
      <c r="G111" s="135"/>
      <c r="H111" s="213"/>
      <c r="I111" s="135"/>
      <c r="J111" s="135"/>
      <c r="K111" s="135"/>
      <c r="L111" s="155" t="s">
        <v>182</v>
      </c>
      <c r="M111" s="155" t="s">
        <v>183</v>
      </c>
      <c r="N111" s="155"/>
      <c r="O111" s="135"/>
      <c r="P111" s="135"/>
      <c r="Q111" s="135"/>
      <c r="R111" s="147"/>
      <c r="S111" s="147"/>
      <c r="T111" s="147"/>
      <c r="W111" s="101"/>
      <c r="X111" s="101"/>
      <c r="Y111" s="101"/>
      <c r="Z111" s="101"/>
      <c r="AA111" s="101"/>
      <c r="AB111" s="101"/>
      <c r="AC111" s="101"/>
      <c r="AD111" s="101"/>
      <c r="AE111" s="101"/>
      <c r="AF111" s="101"/>
    </row>
    <row r="112" spans="1:33" ht="18" customHeight="1" thickBot="1">
      <c r="A112" s="114"/>
      <c r="B112" s="142"/>
      <c r="C112" s="142"/>
      <c r="D112" s="142" t="s">
        <v>381</v>
      </c>
      <c r="E112" s="143"/>
      <c r="F112" s="142"/>
      <c r="G112" s="142"/>
      <c r="H112" s="214"/>
      <c r="I112" s="142"/>
      <c r="J112" s="142"/>
      <c r="K112" s="142" t="s">
        <v>382</v>
      </c>
      <c r="L112" s="146"/>
      <c r="M112" s="146"/>
      <c r="N112" s="146"/>
      <c r="O112" s="146"/>
      <c r="P112" s="146"/>
      <c r="Q112" s="146"/>
      <c r="R112" s="146"/>
      <c r="S112" s="146" t="s">
        <v>383</v>
      </c>
      <c r="T112" s="146"/>
      <c r="U112" s="101"/>
      <c r="V112" s="101"/>
      <c r="W112" s="101"/>
      <c r="X112" s="101"/>
      <c r="Y112" s="101"/>
      <c r="Z112" s="101"/>
      <c r="AA112" s="101"/>
      <c r="AB112" s="101"/>
      <c r="AC112" s="101"/>
      <c r="AD112" s="101"/>
      <c r="AE112" s="101"/>
      <c r="AF112" s="101"/>
    </row>
    <row r="113" spans="1:33" ht="18" customHeight="1" thickBot="1">
      <c r="A113" s="114"/>
      <c r="B113" s="2382" t="s">
        <v>384</v>
      </c>
      <c r="C113" s="1580">
        <v>1</v>
      </c>
      <c r="D113" s="1578">
        <v>2</v>
      </c>
      <c r="E113" s="1578">
        <v>3</v>
      </c>
      <c r="F113" s="1578">
        <v>4</v>
      </c>
      <c r="G113" s="1580">
        <v>5</v>
      </c>
      <c r="H113" s="1578">
        <v>6</v>
      </c>
      <c r="I113" s="1580">
        <v>7</v>
      </c>
      <c r="J113" s="1580">
        <v>8</v>
      </c>
      <c r="K113" s="1580">
        <v>9</v>
      </c>
      <c r="L113" s="1578">
        <v>10</v>
      </c>
      <c r="M113" s="1578">
        <v>11</v>
      </c>
      <c r="N113" s="1578">
        <v>12</v>
      </c>
      <c r="O113" s="1578">
        <v>13</v>
      </c>
      <c r="P113" s="1580">
        <v>14</v>
      </c>
      <c r="Q113" s="1580">
        <v>15</v>
      </c>
      <c r="R113" s="1578">
        <v>16</v>
      </c>
      <c r="S113" s="1578">
        <v>17</v>
      </c>
      <c r="T113" s="1578">
        <v>18</v>
      </c>
      <c r="U113" s="1578">
        <v>19</v>
      </c>
      <c r="V113" s="1578">
        <v>20</v>
      </c>
      <c r="W113" s="1580">
        <v>21</v>
      </c>
      <c r="X113" s="1580">
        <v>22</v>
      </c>
      <c r="Y113" s="1578">
        <v>23</v>
      </c>
      <c r="Z113" s="1578">
        <v>24</v>
      </c>
      <c r="AA113" s="1578">
        <v>25</v>
      </c>
      <c r="AB113" s="1578">
        <v>26</v>
      </c>
      <c r="AC113" s="1578">
        <v>27</v>
      </c>
      <c r="AD113" s="1580">
        <v>28</v>
      </c>
      <c r="AE113" s="1580">
        <v>29</v>
      </c>
      <c r="AF113" s="1578">
        <v>30</v>
      </c>
    </row>
    <row r="114" spans="1:33" ht="18" customHeight="1">
      <c r="B114" s="2383" t="s">
        <v>184</v>
      </c>
      <c r="C114" s="2384"/>
      <c r="D114" s="2384" t="s">
        <v>118</v>
      </c>
      <c r="E114" s="2384" t="s">
        <v>118</v>
      </c>
      <c r="F114" s="2384" t="s">
        <v>118</v>
      </c>
      <c r="G114" s="2384" t="s">
        <v>118</v>
      </c>
      <c r="H114" s="2384" t="s">
        <v>118</v>
      </c>
      <c r="I114" s="2384" t="s">
        <v>118</v>
      </c>
      <c r="J114" s="2384" t="s">
        <v>46</v>
      </c>
      <c r="K114" s="2384" t="s">
        <v>46</v>
      </c>
      <c r="L114" s="2384" t="s">
        <v>46</v>
      </c>
      <c r="M114" s="2384" t="s">
        <v>46</v>
      </c>
      <c r="N114" s="2384" t="s">
        <v>46</v>
      </c>
      <c r="O114" s="2384" t="s">
        <v>46</v>
      </c>
      <c r="P114" s="2384" t="s">
        <v>118</v>
      </c>
      <c r="Q114" s="2384" t="s">
        <v>118</v>
      </c>
      <c r="R114" s="2384" t="s">
        <v>118</v>
      </c>
      <c r="S114" s="2384" t="s">
        <v>118</v>
      </c>
      <c r="T114" s="2384" t="s">
        <v>118</v>
      </c>
      <c r="U114" s="2384" t="s">
        <v>118</v>
      </c>
      <c r="V114" s="2384" t="s">
        <v>46</v>
      </c>
      <c r="W114" s="2384" t="s">
        <v>46</v>
      </c>
      <c r="X114" s="2384" t="s">
        <v>46</v>
      </c>
      <c r="Y114" s="2384" t="s">
        <v>46</v>
      </c>
      <c r="Z114" s="2384" t="s">
        <v>46</v>
      </c>
      <c r="AA114" s="2384" t="s">
        <v>46</v>
      </c>
      <c r="AB114" s="2384" t="s">
        <v>118</v>
      </c>
      <c r="AC114" s="2384" t="s">
        <v>118</v>
      </c>
      <c r="AD114" s="2384" t="s">
        <v>118</v>
      </c>
      <c r="AE114" s="2384" t="s">
        <v>118</v>
      </c>
      <c r="AF114" s="2385" t="s">
        <v>118</v>
      </c>
      <c r="AG114" s="194" t="s">
        <v>133</v>
      </c>
    </row>
    <row r="115" spans="1:33" ht="18" customHeight="1">
      <c r="B115" s="2386" t="s">
        <v>185</v>
      </c>
      <c r="C115" s="2312" t="s">
        <v>46</v>
      </c>
      <c r="D115" s="2242" t="s">
        <v>46</v>
      </c>
      <c r="E115" s="2242" t="s">
        <v>46</v>
      </c>
      <c r="F115" s="2242" t="s">
        <v>46</v>
      </c>
      <c r="G115" s="2242" t="s">
        <v>46</v>
      </c>
      <c r="H115" s="2314" t="s">
        <v>46</v>
      </c>
      <c r="I115" s="2242" t="s">
        <v>46</v>
      </c>
      <c r="J115" s="2387" t="s">
        <v>118</v>
      </c>
      <c r="K115" s="2387" t="s">
        <v>118</v>
      </c>
      <c r="L115" s="2388" t="s">
        <v>118</v>
      </c>
      <c r="M115" s="2389" t="s">
        <v>118</v>
      </c>
      <c r="N115" s="2387" t="s">
        <v>118</v>
      </c>
      <c r="O115" s="2387" t="s">
        <v>118</v>
      </c>
      <c r="P115" s="2387" t="s">
        <v>46</v>
      </c>
      <c r="Q115" s="2387" t="s">
        <v>46</v>
      </c>
      <c r="R115" s="2387" t="s">
        <v>46</v>
      </c>
      <c r="S115" s="2387" t="s">
        <v>46</v>
      </c>
      <c r="T115" s="2242" t="s">
        <v>46</v>
      </c>
      <c r="U115" s="2242" t="s">
        <v>46</v>
      </c>
      <c r="V115" s="2242" t="s">
        <v>118</v>
      </c>
      <c r="W115" s="2242" t="s">
        <v>118</v>
      </c>
      <c r="X115" s="2242" t="s">
        <v>118</v>
      </c>
      <c r="Y115" s="2387" t="s">
        <v>118</v>
      </c>
      <c r="Z115" s="2388" t="s">
        <v>118</v>
      </c>
      <c r="AA115" s="2387" t="s">
        <v>118</v>
      </c>
      <c r="AB115" s="2387" t="s">
        <v>46</v>
      </c>
      <c r="AC115" s="2387" t="s">
        <v>46</v>
      </c>
      <c r="AD115" s="2387" t="s">
        <v>46</v>
      </c>
      <c r="AE115" s="2387" t="s">
        <v>46</v>
      </c>
      <c r="AF115" s="2387" t="s">
        <v>46</v>
      </c>
    </row>
    <row r="116" spans="1:33" ht="18" customHeight="1">
      <c r="A116" s="2341"/>
      <c r="B116" s="2390" t="s">
        <v>385</v>
      </c>
      <c r="C116" s="2210"/>
      <c r="D116" s="2352" t="s">
        <v>118</v>
      </c>
      <c r="E116" s="2352" t="s">
        <v>118</v>
      </c>
      <c r="F116" s="2352" t="s">
        <v>118</v>
      </c>
      <c r="G116" s="2352" t="s">
        <v>118</v>
      </c>
      <c r="H116" s="2351" t="s">
        <v>118</v>
      </c>
      <c r="I116" s="2352" t="s">
        <v>118</v>
      </c>
      <c r="J116" s="2210"/>
      <c r="K116" s="2296"/>
      <c r="L116" s="2296" t="s">
        <v>46</v>
      </c>
      <c r="M116" s="2296" t="s">
        <v>46</v>
      </c>
      <c r="N116" s="2296" t="s">
        <v>46</v>
      </c>
      <c r="O116" s="2232" t="s">
        <v>46</v>
      </c>
      <c r="P116" s="2241" t="s">
        <v>118</v>
      </c>
      <c r="Q116" s="2241" t="s">
        <v>118</v>
      </c>
      <c r="R116" s="2241" t="s">
        <v>118</v>
      </c>
      <c r="S116" s="2241" t="s">
        <v>118</v>
      </c>
      <c r="T116" s="2241" t="s">
        <v>118</v>
      </c>
      <c r="U116" s="2241" t="s">
        <v>118</v>
      </c>
      <c r="V116" s="2241" t="s">
        <v>46</v>
      </c>
      <c r="W116" s="2241" t="s">
        <v>46</v>
      </c>
      <c r="X116" s="2241" t="s">
        <v>46</v>
      </c>
      <c r="Y116" s="2241" t="s">
        <v>46</v>
      </c>
      <c r="Z116" s="2241" t="s">
        <v>46</v>
      </c>
      <c r="AA116" s="2241" t="s">
        <v>46</v>
      </c>
      <c r="AB116" s="2241" t="s">
        <v>118</v>
      </c>
      <c r="AC116" s="2241" t="s">
        <v>118</v>
      </c>
      <c r="AD116" s="2241" t="s">
        <v>118</v>
      </c>
      <c r="AE116" s="2241" t="s">
        <v>118</v>
      </c>
      <c r="AF116" s="2391" t="s">
        <v>118</v>
      </c>
      <c r="AG116" s="193" t="s">
        <v>133</v>
      </c>
    </row>
    <row r="117" spans="1:33" ht="18" customHeight="1">
      <c r="A117" s="111"/>
      <c r="B117" s="142"/>
      <c r="C117" s="111"/>
      <c r="D117" s="124"/>
      <c r="E117" s="116"/>
      <c r="F117" s="116"/>
      <c r="G117" s="116"/>
      <c r="H117" s="116"/>
      <c r="I117" s="116"/>
      <c r="J117" s="116"/>
      <c r="K117" s="116"/>
      <c r="L117" s="116"/>
      <c r="M117" s="116"/>
      <c r="N117" s="116"/>
      <c r="O117" s="116"/>
      <c r="P117" s="116"/>
      <c r="Q117" s="116"/>
      <c r="R117" s="116"/>
      <c r="S117" s="116"/>
      <c r="T117" s="116"/>
      <c r="U117" s="116"/>
      <c r="V117" s="116"/>
      <c r="W117" s="116"/>
      <c r="X117" s="116"/>
      <c r="Y117" s="116"/>
      <c r="Z117" s="116"/>
      <c r="AA117" s="116"/>
      <c r="AB117" s="116"/>
      <c r="AC117" s="116"/>
      <c r="AD117" s="116"/>
      <c r="AE117" s="116"/>
      <c r="AF117" s="116"/>
    </row>
    <row r="118" spans="1:33" ht="18" customHeight="1" thickBot="1">
      <c r="A118" s="3" t="s">
        <v>188</v>
      </c>
    </row>
    <row r="119" spans="1:33" ht="18" customHeight="1" thickBot="1">
      <c r="B119" s="134"/>
      <c r="C119" s="135"/>
      <c r="D119" s="135"/>
      <c r="E119" s="138" t="s">
        <v>179</v>
      </c>
      <c r="F119" s="135"/>
      <c r="G119" s="135"/>
      <c r="H119" s="213"/>
      <c r="I119" s="135"/>
      <c r="J119" s="135"/>
      <c r="K119" s="169" t="s">
        <v>15</v>
      </c>
      <c r="L119" s="169"/>
      <c r="M119" s="169"/>
      <c r="N119" s="169"/>
      <c r="O119" s="169"/>
      <c r="P119" s="169"/>
      <c r="Q119" s="169"/>
      <c r="R119" s="169"/>
      <c r="S119" s="169"/>
      <c r="T119" s="208"/>
    </row>
    <row r="120" spans="1:33" ht="18" customHeight="1" thickBot="1">
      <c r="B120" s="134" t="s">
        <v>180</v>
      </c>
      <c r="C120" s="135"/>
      <c r="D120" s="135"/>
      <c r="E120" s="136" t="s">
        <v>61</v>
      </c>
      <c r="F120" s="135"/>
      <c r="G120" s="135"/>
      <c r="H120" s="213"/>
      <c r="I120" s="135"/>
      <c r="J120" s="135"/>
      <c r="K120" s="135"/>
      <c r="L120" s="135"/>
      <c r="M120" s="135"/>
      <c r="N120" s="135"/>
      <c r="O120" s="135"/>
      <c r="P120" s="135"/>
      <c r="Q120" s="135"/>
      <c r="R120" s="147"/>
      <c r="S120" s="147"/>
      <c r="T120" s="147"/>
    </row>
    <row r="121" spans="1:33" ht="18" customHeight="1" thickBot="1">
      <c r="T121" s="101"/>
      <c r="U121" s="101"/>
      <c r="V121" s="101"/>
    </row>
    <row r="122" spans="1:33" ht="18" customHeight="1" thickBot="1">
      <c r="B122" s="1483" t="s">
        <v>386</v>
      </c>
      <c r="C122" s="1580">
        <v>1</v>
      </c>
      <c r="D122" s="1578">
        <v>2</v>
      </c>
      <c r="E122" s="1578">
        <v>3</v>
      </c>
      <c r="F122" s="1578">
        <v>4</v>
      </c>
      <c r="G122" s="1580">
        <v>5</v>
      </c>
      <c r="H122" s="1578">
        <v>6</v>
      </c>
      <c r="I122" s="1580">
        <v>7</v>
      </c>
      <c r="J122" s="1580">
        <v>8</v>
      </c>
      <c r="K122" s="1580">
        <v>9</v>
      </c>
      <c r="L122" s="1578">
        <v>10</v>
      </c>
      <c r="M122" s="1578">
        <v>11</v>
      </c>
      <c r="N122" s="1578">
        <v>12</v>
      </c>
      <c r="O122" s="1578">
        <v>13</v>
      </c>
      <c r="P122" s="1580">
        <v>14</v>
      </c>
      <c r="Q122" s="1580">
        <v>15</v>
      </c>
      <c r="R122" s="1578">
        <v>16</v>
      </c>
      <c r="S122" s="1578">
        <v>17</v>
      </c>
      <c r="T122" s="1578">
        <v>18</v>
      </c>
      <c r="U122" s="1578">
        <v>19</v>
      </c>
      <c r="V122" s="1578">
        <v>20</v>
      </c>
      <c r="W122" s="1580">
        <v>21</v>
      </c>
      <c r="X122" s="1580">
        <v>22</v>
      </c>
      <c r="Y122" s="1578">
        <v>23</v>
      </c>
      <c r="Z122" s="1578">
        <v>24</v>
      </c>
      <c r="AA122" s="1578">
        <v>25</v>
      </c>
      <c r="AB122" s="1578">
        <v>26</v>
      </c>
      <c r="AC122" s="1578">
        <v>27</v>
      </c>
      <c r="AD122" s="1580">
        <v>28</v>
      </c>
      <c r="AE122" s="1580">
        <v>29</v>
      </c>
      <c r="AF122" s="1578">
        <v>30</v>
      </c>
    </row>
    <row r="123" spans="1:33" ht="18" customHeight="1">
      <c r="B123" s="2386" t="s">
        <v>190</v>
      </c>
      <c r="C123" s="483"/>
      <c r="D123" s="483" t="s">
        <v>46</v>
      </c>
      <c r="E123" s="483" t="s">
        <v>46</v>
      </c>
      <c r="F123" s="483" t="s">
        <v>46</v>
      </c>
      <c r="G123" s="483" t="s">
        <v>46</v>
      </c>
      <c r="H123" s="483" t="s">
        <v>46</v>
      </c>
      <c r="I123" s="483" t="s">
        <v>46</v>
      </c>
      <c r="J123" s="483" t="s">
        <v>46</v>
      </c>
      <c r="K123" s="2392" t="s">
        <v>61</v>
      </c>
      <c r="L123" s="2392" t="s">
        <v>61</v>
      </c>
      <c r="M123" s="2392" t="s">
        <v>61</v>
      </c>
      <c r="N123" s="2392" t="s">
        <v>61</v>
      </c>
      <c r="O123" s="2392" t="s">
        <v>61</v>
      </c>
      <c r="P123" s="483" t="s">
        <v>61</v>
      </c>
      <c r="Q123" s="483" t="s">
        <v>46</v>
      </c>
      <c r="R123" s="484" t="s">
        <v>46</v>
      </c>
      <c r="S123" s="484" t="s">
        <v>46</v>
      </c>
      <c r="T123" s="484" t="s">
        <v>46</v>
      </c>
      <c r="U123" s="484" t="s">
        <v>46</v>
      </c>
      <c r="V123" s="484" t="s">
        <v>46</v>
      </c>
      <c r="W123" s="2314" t="s">
        <v>61</v>
      </c>
      <c r="X123" s="2314" t="s">
        <v>61</v>
      </c>
      <c r="Y123" s="2314" t="s">
        <v>61</v>
      </c>
      <c r="Z123" s="2314" t="s">
        <v>61</v>
      </c>
      <c r="AA123" s="2314" t="s">
        <v>61</v>
      </c>
      <c r="AB123" s="2314" t="s">
        <v>61</v>
      </c>
      <c r="AC123" s="480" t="s">
        <v>46</v>
      </c>
      <c r="AD123" s="480" t="s">
        <v>46</v>
      </c>
      <c r="AE123" s="480" t="s">
        <v>46</v>
      </c>
      <c r="AF123" s="480" t="s">
        <v>46</v>
      </c>
      <c r="AG123" s="280" t="s">
        <v>133</v>
      </c>
    </row>
    <row r="124" spans="1:33" ht="18" customHeight="1" thickBot="1">
      <c r="B124" s="2386" t="s">
        <v>191</v>
      </c>
      <c r="C124" s="2312" t="s">
        <v>61</v>
      </c>
      <c r="D124" s="2312" t="s">
        <v>61</v>
      </c>
      <c r="E124" s="2314" t="s">
        <v>46</v>
      </c>
      <c r="F124" s="2314" t="s">
        <v>46</v>
      </c>
      <c r="G124" s="2314" t="s">
        <v>46</v>
      </c>
      <c r="H124" s="2314" t="s">
        <v>46</v>
      </c>
      <c r="I124" s="2314" t="s">
        <v>46</v>
      </c>
      <c r="J124" s="2312" t="s">
        <v>46</v>
      </c>
      <c r="K124" s="2312" t="s">
        <v>46</v>
      </c>
      <c r="L124" s="2312" t="s">
        <v>46</v>
      </c>
      <c r="M124" s="2312" t="s">
        <v>46</v>
      </c>
      <c r="N124" s="2312" t="s">
        <v>46</v>
      </c>
      <c r="O124" s="2312" t="s">
        <v>46</v>
      </c>
      <c r="P124" s="2312" t="s">
        <v>46</v>
      </c>
      <c r="Q124" s="2393" t="s">
        <v>61</v>
      </c>
      <c r="R124" s="2393" t="s">
        <v>61</v>
      </c>
      <c r="S124" s="2312" t="s">
        <v>61</v>
      </c>
      <c r="T124" s="2312" t="s">
        <v>61</v>
      </c>
      <c r="U124" s="2312" t="s">
        <v>61</v>
      </c>
      <c r="V124" s="2312" t="s">
        <v>61</v>
      </c>
      <c r="W124" s="2312" t="s">
        <v>46</v>
      </c>
      <c r="X124" s="2312" t="s">
        <v>46</v>
      </c>
      <c r="Y124" s="2312" t="s">
        <v>46</v>
      </c>
      <c r="Z124" s="2312" t="s">
        <v>46</v>
      </c>
      <c r="AA124" s="2312" t="s">
        <v>46</v>
      </c>
      <c r="AB124" s="2312" t="s">
        <v>46</v>
      </c>
      <c r="AC124" s="2314" t="s">
        <v>61</v>
      </c>
      <c r="AD124" s="2314" t="s">
        <v>61</v>
      </c>
      <c r="AE124" s="2314" t="s">
        <v>61</v>
      </c>
      <c r="AF124" s="2314" t="s">
        <v>61</v>
      </c>
      <c r="AG124" s="280" t="s">
        <v>133</v>
      </c>
    </row>
    <row r="125" spans="1:33" ht="18" customHeight="1">
      <c r="B125" s="1455" t="s">
        <v>0</v>
      </c>
      <c r="C125" s="1456" t="s">
        <v>0</v>
      </c>
      <c r="D125" s="1456" t="s">
        <v>0</v>
      </c>
      <c r="E125" s="1456" t="s">
        <v>0</v>
      </c>
      <c r="F125" s="1456" t="s">
        <v>0</v>
      </c>
      <c r="G125" s="1456" t="s">
        <v>0</v>
      </c>
      <c r="H125" s="1456" t="s">
        <v>0</v>
      </c>
      <c r="I125" s="1456" t="s">
        <v>0</v>
      </c>
      <c r="J125" s="1456" t="s">
        <v>0</v>
      </c>
      <c r="K125" s="1456" t="s">
        <v>0</v>
      </c>
      <c r="L125" s="1456" t="s">
        <v>0</v>
      </c>
      <c r="M125" s="1456" t="s">
        <v>0</v>
      </c>
      <c r="N125" s="1456" t="s">
        <v>0</v>
      </c>
      <c r="O125" s="1456" t="s">
        <v>0</v>
      </c>
      <c r="P125" s="1456"/>
      <c r="Q125" s="1456"/>
      <c r="R125" s="1456" t="s">
        <v>0</v>
      </c>
      <c r="S125" s="1456" t="s">
        <v>0</v>
      </c>
      <c r="T125" s="1456" t="s">
        <v>0</v>
      </c>
      <c r="U125" s="1456" t="s">
        <v>0</v>
      </c>
      <c r="V125" s="1456" t="s">
        <v>0</v>
      </c>
      <c r="W125" s="1456" t="s">
        <v>0</v>
      </c>
      <c r="X125" s="1456" t="s">
        <v>0</v>
      </c>
      <c r="Y125" s="1456" t="s">
        <v>0</v>
      </c>
      <c r="Z125" s="1456" t="s">
        <v>0</v>
      </c>
      <c r="AA125" s="1456" t="s">
        <v>0</v>
      </c>
      <c r="AB125" s="1456" t="s">
        <v>0</v>
      </c>
      <c r="AC125" s="1456" t="s">
        <v>0</v>
      </c>
      <c r="AD125" s="1456" t="s">
        <v>0</v>
      </c>
      <c r="AE125" s="1456" t="s">
        <v>0</v>
      </c>
      <c r="AF125" s="1456" t="s">
        <v>0</v>
      </c>
    </row>
    <row r="126" spans="1:33" ht="18" customHeight="1" thickBot="1">
      <c r="A126" s="3" t="s">
        <v>192</v>
      </c>
    </row>
    <row r="127" spans="1:33" ht="18" customHeight="1" thickBot="1">
      <c r="B127" s="134"/>
      <c r="C127" s="135"/>
      <c r="D127" s="135"/>
      <c r="E127" s="138" t="s">
        <v>179</v>
      </c>
      <c r="F127" s="135"/>
      <c r="G127" s="135"/>
      <c r="H127" s="213"/>
      <c r="I127" s="135"/>
      <c r="J127" s="135"/>
      <c r="K127" s="169"/>
      <c r="L127" s="169"/>
      <c r="M127" s="169"/>
      <c r="N127" s="169"/>
      <c r="O127" s="169"/>
      <c r="P127" s="169"/>
      <c r="Q127" s="169"/>
      <c r="R127" s="169"/>
      <c r="S127" s="169"/>
      <c r="T127" s="208"/>
    </row>
    <row r="128" spans="1:33" ht="18" customHeight="1" thickBot="1">
      <c r="B128" s="134" t="s">
        <v>180</v>
      </c>
      <c r="C128" s="135"/>
      <c r="D128" s="135"/>
      <c r="E128" s="136" t="s">
        <v>193</v>
      </c>
      <c r="F128" s="135"/>
      <c r="G128" s="135"/>
      <c r="H128" s="213"/>
      <c r="I128" s="135"/>
      <c r="R128" s="147"/>
      <c r="S128" s="147"/>
      <c r="T128" s="147"/>
    </row>
    <row r="130" spans="1:32" ht="18" customHeight="1" thickBot="1">
      <c r="B130" s="1483" t="s">
        <v>387</v>
      </c>
      <c r="C130" s="1580">
        <v>1</v>
      </c>
      <c r="D130" s="1578">
        <v>2</v>
      </c>
      <c r="E130" s="1578">
        <v>3</v>
      </c>
      <c r="F130" s="1578">
        <v>4</v>
      </c>
      <c r="G130" s="1580">
        <v>5</v>
      </c>
      <c r="H130" s="1578">
        <v>6</v>
      </c>
      <c r="I130" s="1580">
        <v>7</v>
      </c>
      <c r="J130" s="1580">
        <v>8</v>
      </c>
      <c r="K130" s="1580">
        <v>9</v>
      </c>
      <c r="L130" s="1578">
        <v>10</v>
      </c>
      <c r="M130" s="1578">
        <v>11</v>
      </c>
      <c r="N130" s="1578">
        <v>12</v>
      </c>
      <c r="O130" s="1578">
        <v>13</v>
      </c>
      <c r="P130" s="1580">
        <v>14</v>
      </c>
      <c r="Q130" s="1580">
        <v>15</v>
      </c>
      <c r="R130" s="1578">
        <v>16</v>
      </c>
      <c r="S130" s="1578">
        <v>17</v>
      </c>
      <c r="T130" s="1578">
        <v>18</v>
      </c>
      <c r="U130" s="1578">
        <v>19</v>
      </c>
      <c r="V130" s="1578">
        <v>20</v>
      </c>
      <c r="W130" s="1580">
        <v>21</v>
      </c>
      <c r="X130" s="1580">
        <v>22</v>
      </c>
      <c r="Y130" s="1578">
        <v>23</v>
      </c>
      <c r="Z130" s="1578">
        <v>24</v>
      </c>
      <c r="AA130" s="1578">
        <v>25</v>
      </c>
      <c r="AB130" s="1578">
        <v>26</v>
      </c>
      <c r="AC130" s="1578">
        <v>27</v>
      </c>
      <c r="AD130" s="1580">
        <v>28</v>
      </c>
      <c r="AE130" s="1580">
        <v>29</v>
      </c>
      <c r="AF130" s="1578">
        <v>30</v>
      </c>
    </row>
    <row r="131" spans="1:32" ht="18" customHeight="1" thickBot="1">
      <c r="B131" s="1997" t="s">
        <v>194</v>
      </c>
      <c r="C131" s="2000" t="s">
        <v>139</v>
      </c>
      <c r="D131" s="2000" t="s">
        <v>139</v>
      </c>
      <c r="E131" s="2000" t="s">
        <v>139</v>
      </c>
      <c r="F131" s="2314" t="s">
        <v>46</v>
      </c>
      <c r="G131" s="2314" t="s">
        <v>46</v>
      </c>
      <c r="H131" s="2314" t="s">
        <v>46</v>
      </c>
      <c r="I131" s="2314" t="s">
        <v>46</v>
      </c>
      <c r="J131" s="2314" t="s">
        <v>46</v>
      </c>
      <c r="K131" s="1998" t="s">
        <v>46</v>
      </c>
      <c r="L131" s="1998" t="s">
        <v>46</v>
      </c>
      <c r="M131" s="1998" t="s">
        <v>46</v>
      </c>
      <c r="N131" s="1998" t="s">
        <v>46</v>
      </c>
      <c r="O131" s="1998" t="s">
        <v>46</v>
      </c>
      <c r="P131" s="1999" t="s">
        <v>118</v>
      </c>
      <c r="Q131" s="1999" t="s">
        <v>118</v>
      </c>
      <c r="R131" s="2000" t="s">
        <v>139</v>
      </c>
      <c r="S131" s="2000" t="s">
        <v>139</v>
      </c>
      <c r="T131" s="2000" t="s">
        <v>139</v>
      </c>
      <c r="U131" s="2000" t="s">
        <v>139</v>
      </c>
      <c r="V131" s="2000" t="s">
        <v>139</v>
      </c>
      <c r="W131" s="2000" t="s">
        <v>139</v>
      </c>
      <c r="X131" s="1998" t="s">
        <v>46</v>
      </c>
      <c r="Y131" s="1998" t="s">
        <v>46</v>
      </c>
      <c r="Z131" s="1998" t="s">
        <v>46</v>
      </c>
      <c r="AA131" s="1998" t="s">
        <v>46</v>
      </c>
      <c r="AB131" s="1998" t="s">
        <v>46</v>
      </c>
      <c r="AC131" s="2394" t="s">
        <v>46</v>
      </c>
      <c r="AD131" s="2395" t="s">
        <v>139</v>
      </c>
      <c r="AE131" s="2343" t="s">
        <v>139</v>
      </c>
      <c r="AF131" s="2343" t="s">
        <v>388</v>
      </c>
    </row>
    <row r="132" spans="1:32" ht="18" customHeight="1">
      <c r="B132" s="2198" t="s">
        <v>195</v>
      </c>
      <c r="C132" s="2314" t="s">
        <v>46</v>
      </c>
      <c r="D132" s="2314" t="s">
        <v>46</v>
      </c>
      <c r="E132" s="2314" t="s">
        <v>46</v>
      </c>
      <c r="F132" s="2000" t="s">
        <v>139</v>
      </c>
      <c r="G132" s="2000" t="s">
        <v>139</v>
      </c>
      <c r="H132" s="2000" t="s">
        <v>139</v>
      </c>
      <c r="I132" s="2000" t="s">
        <v>139</v>
      </c>
      <c r="J132" s="2000" t="s">
        <v>139</v>
      </c>
      <c r="K132" s="2000" t="s">
        <v>139</v>
      </c>
      <c r="L132" s="1998" t="s">
        <v>46</v>
      </c>
      <c r="M132" s="1998" t="s">
        <v>46</v>
      </c>
      <c r="N132" s="1998" t="s">
        <v>46</v>
      </c>
      <c r="O132" s="1998" t="s">
        <v>46</v>
      </c>
      <c r="P132" s="1998" t="s">
        <v>46</v>
      </c>
      <c r="Q132" s="1998" t="s">
        <v>46</v>
      </c>
      <c r="R132" s="2314" t="s">
        <v>46</v>
      </c>
      <c r="S132" s="2314" t="s">
        <v>46</v>
      </c>
      <c r="T132" s="2314" t="s">
        <v>46</v>
      </c>
      <c r="U132" s="2314" t="s">
        <v>46</v>
      </c>
      <c r="V132" s="2314" t="s">
        <v>46</v>
      </c>
      <c r="W132" s="2314" t="s">
        <v>46</v>
      </c>
      <c r="X132" s="2312" t="s">
        <v>139</v>
      </c>
      <c r="Y132" s="2312" t="s">
        <v>139</v>
      </c>
      <c r="Z132" s="2312" t="s">
        <v>139</v>
      </c>
      <c r="AA132" s="2312" t="s">
        <v>139</v>
      </c>
      <c r="AB132" s="2312" t="s">
        <v>139</v>
      </c>
      <c r="AC132" s="2314" t="s">
        <v>139</v>
      </c>
      <c r="AD132" s="2314" t="s">
        <v>46</v>
      </c>
      <c r="AE132" s="2314" t="s">
        <v>46</v>
      </c>
      <c r="AF132" s="2314" t="s">
        <v>46</v>
      </c>
    </row>
    <row r="133" spans="1:32" ht="18" customHeight="1">
      <c r="B133" s="115"/>
      <c r="C133" s="116"/>
      <c r="D133" s="116"/>
      <c r="E133" s="116"/>
      <c r="F133" s="116"/>
      <c r="G133" s="116"/>
      <c r="H133" s="116"/>
      <c r="I133" s="116"/>
      <c r="J133" s="116"/>
      <c r="K133" s="116"/>
      <c r="L133" s="116"/>
      <c r="M133" s="116"/>
      <c r="N133" s="116"/>
      <c r="O133" s="116"/>
      <c r="P133" s="116"/>
      <c r="Q133" s="116"/>
      <c r="R133" s="116"/>
      <c r="S133" s="116"/>
      <c r="T133" s="116"/>
      <c r="U133" s="116"/>
      <c r="V133" s="116"/>
      <c r="W133" s="116"/>
      <c r="X133" s="116"/>
      <c r="Y133" s="116"/>
      <c r="Z133" s="116"/>
      <c r="AA133" s="116"/>
      <c r="AB133" s="116"/>
      <c r="AC133" s="116"/>
      <c r="AD133" s="116"/>
      <c r="AE133" s="116"/>
      <c r="AF133" s="116"/>
    </row>
    <row r="134" spans="1:32" ht="18" customHeight="1" thickBot="1">
      <c r="A134" s="3" t="s">
        <v>196</v>
      </c>
    </row>
    <row r="135" spans="1:32" ht="18" customHeight="1" thickBot="1">
      <c r="B135" s="134"/>
      <c r="C135" s="135"/>
      <c r="D135" s="135"/>
      <c r="E135" s="138" t="s">
        <v>179</v>
      </c>
      <c r="F135" s="135"/>
      <c r="G135" s="135"/>
      <c r="H135" s="213"/>
      <c r="I135" s="135"/>
      <c r="J135" s="135"/>
      <c r="K135" s="169"/>
      <c r="L135" s="169"/>
      <c r="M135" s="169"/>
      <c r="N135" s="169"/>
      <c r="O135" s="169"/>
      <c r="P135" s="169"/>
      <c r="Q135" s="169"/>
      <c r="R135" s="169"/>
      <c r="S135" s="169"/>
      <c r="T135" s="208"/>
    </row>
    <row r="136" spans="1:32" ht="18" customHeight="1" thickBot="1">
      <c r="B136" s="134" t="s">
        <v>180</v>
      </c>
      <c r="C136" s="135"/>
      <c r="D136" s="135"/>
      <c r="E136" s="136" t="s">
        <v>389</v>
      </c>
      <c r="F136" s="135"/>
      <c r="G136" s="135"/>
      <c r="H136" s="213"/>
      <c r="I136" s="135"/>
      <c r="J136" s="135"/>
      <c r="K136" s="135"/>
      <c r="L136" s="135"/>
      <c r="M136" s="135"/>
      <c r="N136" s="135" t="s">
        <v>390</v>
      </c>
      <c r="Q136" s="135"/>
      <c r="R136" s="147" t="s">
        <v>391</v>
      </c>
      <c r="S136" s="147"/>
      <c r="T136" s="147"/>
    </row>
    <row r="137" spans="1:32" ht="18" customHeight="1" thickBot="1">
      <c r="T137" s="101"/>
      <c r="U137" s="101"/>
      <c r="V137" s="101"/>
    </row>
    <row r="138" spans="1:32" ht="18" customHeight="1" thickBot="1">
      <c r="B138" s="1469" t="s">
        <v>197</v>
      </c>
      <c r="C138" s="1580">
        <v>1</v>
      </c>
      <c r="D138" s="1578">
        <v>2</v>
      </c>
      <c r="E138" s="1578">
        <v>3</v>
      </c>
      <c r="F138" s="1578">
        <v>4</v>
      </c>
      <c r="G138" s="1580">
        <v>5</v>
      </c>
      <c r="H138" s="1578">
        <v>6</v>
      </c>
      <c r="I138" s="1580">
        <v>7</v>
      </c>
      <c r="J138" s="1580">
        <v>8</v>
      </c>
      <c r="K138" s="1580">
        <v>9</v>
      </c>
      <c r="L138" s="1578">
        <v>10</v>
      </c>
      <c r="M138" s="1578">
        <v>11</v>
      </c>
      <c r="N138" s="1578">
        <v>12</v>
      </c>
      <c r="O138" s="1578">
        <v>13</v>
      </c>
      <c r="P138" s="1580">
        <v>14</v>
      </c>
      <c r="Q138" s="1580">
        <v>15</v>
      </c>
      <c r="R138" s="1578">
        <v>16</v>
      </c>
      <c r="S138" s="1578">
        <v>17</v>
      </c>
      <c r="T138" s="1578">
        <v>18</v>
      </c>
      <c r="U138" s="1578">
        <v>19</v>
      </c>
      <c r="V138" s="1578">
        <v>20</v>
      </c>
      <c r="W138" s="1580">
        <v>21</v>
      </c>
      <c r="X138" s="1580">
        <v>22</v>
      </c>
      <c r="Y138" s="1578">
        <v>23</v>
      </c>
      <c r="Z138" s="1578">
        <v>24</v>
      </c>
      <c r="AA138" s="1578">
        <v>25</v>
      </c>
      <c r="AB138" s="1578">
        <v>26</v>
      </c>
      <c r="AC138" s="1578">
        <v>27</v>
      </c>
      <c r="AD138" s="1580">
        <v>28</v>
      </c>
      <c r="AE138" s="1580">
        <v>29</v>
      </c>
      <c r="AF138" s="1578">
        <v>30</v>
      </c>
    </row>
    <row r="139" spans="1:32" ht="18" customHeight="1">
      <c r="B139" s="1997" t="s">
        <v>392</v>
      </c>
      <c r="C139" s="2312" t="s">
        <v>113</v>
      </c>
      <c r="D139" s="2312" t="s">
        <v>113</v>
      </c>
      <c r="E139" s="2312" t="s">
        <v>113</v>
      </c>
      <c r="F139" s="2312" t="s">
        <v>113</v>
      </c>
      <c r="G139" s="2312" t="s">
        <v>113</v>
      </c>
      <c r="H139" s="2314" t="s">
        <v>46</v>
      </c>
      <c r="I139" s="2314" t="s">
        <v>46</v>
      </c>
      <c r="J139" s="2314" t="s">
        <v>46</v>
      </c>
      <c r="K139" s="2314" t="s">
        <v>46</v>
      </c>
      <c r="L139" s="2314" t="s">
        <v>46</v>
      </c>
      <c r="M139" s="2314" t="s">
        <v>46</v>
      </c>
      <c r="N139" s="2312" t="s">
        <v>113</v>
      </c>
      <c r="O139" s="2312" t="s">
        <v>113</v>
      </c>
      <c r="P139" s="2312" t="s">
        <v>113</v>
      </c>
      <c r="Q139" s="2312" t="s">
        <v>113</v>
      </c>
      <c r="R139" s="2312" t="s">
        <v>113</v>
      </c>
      <c r="S139" s="2312" t="s">
        <v>113</v>
      </c>
      <c r="T139" s="2314" t="s">
        <v>46</v>
      </c>
      <c r="U139" s="2314" t="s">
        <v>46</v>
      </c>
      <c r="V139" s="2314" t="s">
        <v>46</v>
      </c>
      <c r="W139" s="2314" t="s">
        <v>46</v>
      </c>
      <c r="X139" s="2314" t="s">
        <v>46</v>
      </c>
      <c r="Y139" s="2314" t="s">
        <v>46</v>
      </c>
      <c r="Z139" s="2314" t="s">
        <v>46</v>
      </c>
      <c r="AA139" s="2314" t="s">
        <v>46</v>
      </c>
      <c r="AB139" s="2314" t="s">
        <v>46</v>
      </c>
      <c r="AC139" s="2314" t="s">
        <v>46</v>
      </c>
      <c r="AD139" s="2314" t="s">
        <v>46</v>
      </c>
      <c r="AE139" s="2314" t="s">
        <v>46</v>
      </c>
      <c r="AF139" s="2312" t="s">
        <v>113</v>
      </c>
    </row>
    <row r="140" spans="1:32" ht="18" customHeight="1">
      <c r="B140" s="2390" t="s">
        <v>199</v>
      </c>
      <c r="C140" s="2312" t="s">
        <v>46</v>
      </c>
      <c r="D140" s="2312" t="s">
        <v>46</v>
      </c>
      <c r="E140" s="2312" t="s">
        <v>46</v>
      </c>
      <c r="F140" s="2312" t="s">
        <v>46</v>
      </c>
      <c r="G140" s="2312" t="s">
        <v>46</v>
      </c>
      <c r="H140" s="2312" t="s">
        <v>113</v>
      </c>
      <c r="I140" s="2312" t="s">
        <v>113</v>
      </c>
      <c r="J140" s="2312" t="s">
        <v>113</v>
      </c>
      <c r="K140" s="2312" t="s">
        <v>113</v>
      </c>
      <c r="L140" s="2312" t="s">
        <v>113</v>
      </c>
      <c r="M140" s="2312" t="s">
        <v>113</v>
      </c>
      <c r="N140" s="2314" t="s">
        <v>46</v>
      </c>
      <c r="O140" s="2314" t="s">
        <v>46</v>
      </c>
      <c r="P140" s="2314" t="s">
        <v>46</v>
      </c>
      <c r="Q140" s="2314" t="s">
        <v>46</v>
      </c>
      <c r="R140" s="2314" t="s">
        <v>46</v>
      </c>
      <c r="S140" s="2314" t="s">
        <v>46</v>
      </c>
      <c r="T140" s="2396" t="s">
        <v>113</v>
      </c>
      <c r="U140" s="2354" t="s">
        <v>113</v>
      </c>
      <c r="V140" s="2354" t="s">
        <v>113</v>
      </c>
      <c r="W140" s="2354" t="s">
        <v>113</v>
      </c>
      <c r="X140" s="2354" t="s">
        <v>200</v>
      </c>
      <c r="Y140" s="2397" t="s">
        <v>113</v>
      </c>
      <c r="Z140" s="2314" t="s">
        <v>46</v>
      </c>
      <c r="AA140" s="2314" t="s">
        <v>46</v>
      </c>
      <c r="AB140" s="2314" t="s">
        <v>46</v>
      </c>
      <c r="AC140" s="2314" t="s">
        <v>46</v>
      </c>
      <c r="AD140" s="2314" t="s">
        <v>46</v>
      </c>
      <c r="AE140" s="2314" t="s">
        <v>46</v>
      </c>
      <c r="AF140" s="2314" t="s">
        <v>46</v>
      </c>
    </row>
    <row r="141" spans="1:32" ht="18" customHeight="1">
      <c r="B141" s="154"/>
      <c r="C141" s="116"/>
      <c r="D141" s="124"/>
      <c r="E141" s="124"/>
      <c r="F141" s="124"/>
      <c r="G141" s="124"/>
      <c r="H141" s="124"/>
      <c r="I141" s="124"/>
      <c r="J141" s="124"/>
      <c r="K141" s="124"/>
      <c r="L141" s="124"/>
      <c r="M141" s="124"/>
      <c r="N141" s="116"/>
      <c r="O141" s="116"/>
      <c r="P141" s="116"/>
      <c r="Q141" s="116"/>
      <c r="R141" s="116"/>
      <c r="S141" s="116"/>
      <c r="T141" s="124"/>
      <c r="U141" s="124"/>
      <c r="V141" s="124"/>
      <c r="W141" s="124"/>
      <c r="X141" s="124"/>
      <c r="Y141" s="124"/>
      <c r="Z141" s="116"/>
      <c r="AA141" s="116"/>
      <c r="AB141" s="116"/>
      <c r="AC141" s="116"/>
      <c r="AD141" s="116"/>
      <c r="AE141" s="116"/>
      <c r="AF141" s="116"/>
    </row>
    <row r="142" spans="1:32" ht="18" customHeight="1" thickBot="1">
      <c r="A142" s="96" t="s">
        <v>393</v>
      </c>
      <c r="B142" s="157"/>
      <c r="C142" s="116"/>
      <c r="D142" s="124"/>
      <c r="E142" s="124"/>
      <c r="F142" s="124"/>
      <c r="G142" s="124"/>
      <c r="H142" s="124"/>
      <c r="I142" s="124"/>
      <c r="J142" s="124"/>
      <c r="K142" s="116"/>
      <c r="L142" s="116"/>
      <c r="M142" s="116"/>
      <c r="N142" s="116"/>
      <c r="O142" s="116"/>
      <c r="P142" s="116"/>
      <c r="Q142" s="124"/>
      <c r="R142" s="124"/>
      <c r="S142" s="124"/>
      <c r="T142" s="124"/>
      <c r="U142" s="124"/>
      <c r="V142" s="124"/>
      <c r="W142" s="116"/>
      <c r="X142" s="116"/>
      <c r="Y142" s="116"/>
      <c r="Z142" s="116"/>
      <c r="AA142" s="116"/>
      <c r="AB142" s="116"/>
      <c r="AC142" s="124"/>
      <c r="AD142" s="124"/>
      <c r="AE142" s="124"/>
      <c r="AF142" s="124"/>
    </row>
    <row r="143" spans="1:32" ht="18" customHeight="1" thickBot="1">
      <c r="B143" s="134"/>
      <c r="C143" s="135"/>
      <c r="D143" s="135"/>
      <c r="E143" s="138" t="s">
        <v>179</v>
      </c>
      <c r="F143" s="135"/>
      <c r="G143" s="135"/>
      <c r="H143" s="213"/>
      <c r="I143" s="135"/>
      <c r="J143" s="135"/>
      <c r="K143" s="169"/>
      <c r="L143" s="169"/>
      <c r="M143" s="169"/>
      <c r="N143" s="169"/>
      <c r="O143" s="169"/>
      <c r="P143" s="169"/>
      <c r="Q143" s="169"/>
      <c r="R143" s="169"/>
      <c r="S143" s="169"/>
      <c r="T143" s="208"/>
    </row>
    <row r="144" spans="1:32" ht="18" customHeight="1" thickBot="1">
      <c r="B144" s="134" t="s">
        <v>180</v>
      </c>
      <c r="C144" s="135"/>
      <c r="D144" s="135"/>
      <c r="E144" s="136" t="s">
        <v>394</v>
      </c>
      <c r="F144" s="135"/>
      <c r="G144" s="135"/>
      <c r="H144" s="213"/>
      <c r="I144" s="135"/>
      <c r="J144" s="135"/>
      <c r="K144" s="135" t="s">
        <v>0</v>
      </c>
      <c r="L144" s="135"/>
      <c r="M144" s="135"/>
      <c r="N144" s="135"/>
      <c r="O144" s="135"/>
      <c r="P144" s="135"/>
      <c r="Q144" s="135"/>
      <c r="R144" s="147" t="s">
        <v>0</v>
      </c>
      <c r="S144" s="147"/>
      <c r="T144" s="147"/>
    </row>
    <row r="146" spans="1:33" ht="18" customHeight="1" thickBot="1">
      <c r="A146" s="117"/>
      <c r="B146" s="1469" t="s">
        <v>197</v>
      </c>
      <c r="C146" s="1580">
        <v>1</v>
      </c>
      <c r="D146" s="1578">
        <v>2</v>
      </c>
      <c r="E146" s="1578">
        <v>3</v>
      </c>
      <c r="F146" s="1578">
        <v>4</v>
      </c>
      <c r="G146" s="1580">
        <v>5</v>
      </c>
      <c r="H146" s="1578">
        <v>6</v>
      </c>
      <c r="I146" s="1580">
        <v>7</v>
      </c>
      <c r="J146" s="1580">
        <v>8</v>
      </c>
      <c r="K146" s="1580">
        <v>9</v>
      </c>
      <c r="L146" s="1578">
        <v>10</v>
      </c>
      <c r="M146" s="1578">
        <v>11</v>
      </c>
      <c r="N146" s="1578">
        <v>12</v>
      </c>
      <c r="O146" s="1578">
        <v>13</v>
      </c>
      <c r="P146" s="1580">
        <v>14</v>
      </c>
      <c r="Q146" s="1580">
        <v>15</v>
      </c>
      <c r="R146" s="1578">
        <v>16</v>
      </c>
      <c r="S146" s="1578">
        <v>17</v>
      </c>
      <c r="T146" s="1578">
        <v>18</v>
      </c>
      <c r="U146" s="1578">
        <v>19</v>
      </c>
      <c r="V146" s="1578">
        <v>20</v>
      </c>
      <c r="W146" s="1580">
        <v>21</v>
      </c>
      <c r="X146" s="1580">
        <v>22</v>
      </c>
      <c r="Y146" s="1578">
        <v>23</v>
      </c>
      <c r="Z146" s="1578">
        <v>24</v>
      </c>
      <c r="AA146" s="1578">
        <v>25</v>
      </c>
      <c r="AB146" s="1578">
        <v>26</v>
      </c>
      <c r="AC146" s="1578">
        <v>27</v>
      </c>
      <c r="AD146" s="1580">
        <v>28</v>
      </c>
      <c r="AE146" s="1580">
        <v>29</v>
      </c>
      <c r="AF146" s="1578">
        <v>30</v>
      </c>
      <c r="AG146" s="105"/>
    </row>
    <row r="147" spans="1:33" ht="18" customHeight="1">
      <c r="A147" s="48"/>
      <c r="B147" s="1997" t="s">
        <v>395</v>
      </c>
      <c r="C147" t="s">
        <v>396</v>
      </c>
      <c r="D147" s="2314"/>
      <c r="E147" s="2314"/>
      <c r="F147" s="2314"/>
      <c r="G147" s="2314"/>
      <c r="H147" s="2314"/>
      <c r="I147" s="2314"/>
      <c r="J147" s="2312"/>
      <c r="K147" s="2312"/>
      <c r="L147" s="2000" t="s">
        <v>139</v>
      </c>
      <c r="M147" s="2000" t="s">
        <v>139</v>
      </c>
      <c r="N147" s="2000" t="s">
        <v>139</v>
      </c>
      <c r="O147" s="2395" t="s">
        <v>139</v>
      </c>
      <c r="P147" s="2395" t="s">
        <v>139</v>
      </c>
      <c r="Q147" s="2343" t="s">
        <v>139</v>
      </c>
      <c r="R147" s="2354"/>
      <c r="S147" s="2354"/>
      <c r="T147" s="2354"/>
      <c r="U147" s="2354"/>
      <c r="V147" s="2354"/>
      <c r="W147" s="2354" t="s">
        <v>373</v>
      </c>
      <c r="X147" s="2354" t="s">
        <v>373</v>
      </c>
      <c r="Y147" s="2354" t="s">
        <v>376</v>
      </c>
      <c r="Z147" s="2242" t="s">
        <v>113</v>
      </c>
      <c r="AA147" s="2242" t="s">
        <v>113</v>
      </c>
      <c r="AB147" s="2398" t="s">
        <v>113</v>
      </c>
      <c r="AC147" s="2398" t="s">
        <v>113</v>
      </c>
      <c r="AD147" s="2398" t="s">
        <v>113</v>
      </c>
      <c r="AE147" s="2242" t="s">
        <v>113</v>
      </c>
      <c r="AF147" s="2314"/>
      <c r="AG147" s="105"/>
    </row>
    <row r="148" spans="1:33" ht="18" customHeight="1">
      <c r="A148" s="48"/>
      <c r="B148" s="2383" t="s">
        <v>397</v>
      </c>
      <c r="C148" s="2242"/>
      <c r="D148" s="2242"/>
      <c r="E148" s="2242"/>
      <c r="F148" s="2242"/>
      <c r="G148" s="2242"/>
      <c r="H148" s="2314"/>
      <c r="I148" s="2242"/>
      <c r="J148" s="2242"/>
      <c r="K148" s="2242"/>
      <c r="L148" s="2242"/>
      <c r="M148" s="2242"/>
      <c r="N148" s="2242"/>
      <c r="O148" s="2242"/>
      <c r="P148" s="2188"/>
      <c r="Q148" s="2188"/>
      <c r="R148" s="2188"/>
      <c r="S148" s="2188"/>
      <c r="T148" s="2188"/>
      <c r="U148" s="2188"/>
      <c r="V148" s="2242"/>
      <c r="W148" s="2242"/>
      <c r="X148" s="2242"/>
      <c r="Y148" s="2242"/>
      <c r="Z148" s="2242"/>
      <c r="AA148" s="2242"/>
      <c r="AB148" s="2188"/>
      <c r="AC148" s="2188"/>
      <c r="AD148" s="2188"/>
      <c r="AE148" s="2188"/>
      <c r="AF148" s="2188"/>
      <c r="AG148" s="105"/>
    </row>
    <row r="149" spans="1:33" ht="18" customHeight="1">
      <c r="A149" s="48"/>
      <c r="B149" s="157"/>
      <c r="C149" s="116"/>
      <c r="D149" s="124"/>
      <c r="E149" s="124"/>
      <c r="F149" s="124"/>
      <c r="G149" s="124"/>
      <c r="H149" s="124"/>
      <c r="I149" s="124"/>
      <c r="J149" s="124"/>
      <c r="K149" s="116"/>
      <c r="L149" s="116"/>
      <c r="M149" s="116"/>
      <c r="N149" s="116"/>
      <c r="O149" s="116"/>
      <c r="P149" s="116"/>
      <c r="Q149" s="124"/>
      <c r="R149" s="124"/>
      <c r="S149" s="124"/>
      <c r="T149" s="124"/>
      <c r="U149" s="124"/>
      <c r="V149" s="124"/>
      <c r="W149" s="116"/>
      <c r="X149" s="116"/>
      <c r="Y149" s="116"/>
      <c r="Z149" s="116"/>
      <c r="AA149" s="116"/>
      <c r="AB149" s="116"/>
      <c r="AC149" s="124"/>
      <c r="AD149" s="124"/>
      <c r="AE149" s="124"/>
      <c r="AF149" s="124"/>
      <c r="AG149" s="105"/>
    </row>
    <row r="150" spans="1:33" ht="18" customHeight="1" thickBot="1">
      <c r="A150" s="48"/>
      <c r="B150" s="157"/>
      <c r="C150" s="116"/>
      <c r="D150" s="124"/>
      <c r="E150" s="124"/>
      <c r="F150" s="124"/>
      <c r="G150" s="124"/>
      <c r="H150" s="124"/>
      <c r="I150" s="124"/>
      <c r="J150" s="124"/>
      <c r="K150" s="116"/>
      <c r="L150" s="116"/>
      <c r="M150" s="116"/>
      <c r="N150" s="116"/>
      <c r="O150" s="116"/>
      <c r="P150" s="116"/>
      <c r="Q150" s="124"/>
      <c r="R150" s="124"/>
      <c r="S150" s="124"/>
      <c r="T150" s="124"/>
      <c r="U150" s="124"/>
      <c r="V150" s="124"/>
      <c r="W150" s="116"/>
      <c r="X150" s="116"/>
      <c r="Y150" s="116"/>
      <c r="Z150" s="116"/>
      <c r="AA150" s="116"/>
      <c r="AB150" s="116"/>
      <c r="AC150" s="124"/>
      <c r="AD150" s="124"/>
      <c r="AE150" s="124"/>
      <c r="AF150" s="124"/>
      <c r="AG150" s="105"/>
    </row>
    <row r="151" spans="1:33" ht="18" customHeight="1">
      <c r="A151" s="48"/>
      <c r="B151" s="1573" t="s">
        <v>201</v>
      </c>
      <c r="C151" s="1609"/>
      <c r="D151" s="1610" t="s">
        <v>19</v>
      </c>
      <c r="E151" s="1611"/>
      <c r="F151" s="1609"/>
      <c r="G151" s="1612" t="s">
        <v>20</v>
      </c>
      <c r="H151" s="2399"/>
      <c r="I151" s="1614"/>
      <c r="J151" s="1612" t="s">
        <v>21</v>
      </c>
      <c r="K151" s="1615"/>
      <c r="L151" s="1614"/>
      <c r="M151" s="1616" t="s">
        <v>22</v>
      </c>
      <c r="N151" s="1615"/>
      <c r="O151" s="1614"/>
      <c r="P151" s="1612" t="s">
        <v>23</v>
      </c>
      <c r="Q151" s="1617"/>
      <c r="R151" s="1614"/>
      <c r="S151" s="1612" t="s">
        <v>24</v>
      </c>
      <c r="T151" s="1618"/>
      <c r="U151" s="1614"/>
      <c r="V151" s="1612" t="s">
        <v>25</v>
      </c>
      <c r="W151" s="1617"/>
      <c r="X151" s="1619" t="s">
        <v>202</v>
      </c>
      <c r="Y151" s="1620"/>
      <c r="Z151" s="1620"/>
      <c r="AA151" s="1621"/>
      <c r="AB151" s="1574" t="s">
        <v>108</v>
      </c>
      <c r="AC151" s="1575"/>
      <c r="AD151" s="1575"/>
      <c r="AE151" s="1581"/>
      <c r="AF151" s="1581"/>
      <c r="AG151" s="105"/>
    </row>
    <row r="152" spans="1:33" ht="18" customHeight="1">
      <c r="A152" s="48"/>
      <c r="B152" s="2400" t="s">
        <v>203</v>
      </c>
      <c r="C152" s="2375" t="s">
        <v>204</v>
      </c>
      <c r="D152" s="2177"/>
      <c r="E152" s="2268"/>
      <c r="F152" s="2375" t="s">
        <v>204</v>
      </c>
      <c r="G152" s="2177"/>
      <c r="H152" s="2401"/>
      <c r="I152" s="2375" t="s">
        <v>204</v>
      </c>
      <c r="J152" s="2177"/>
      <c r="K152" s="2268"/>
      <c r="L152" s="2375" t="s">
        <v>204</v>
      </c>
      <c r="M152" s="2177"/>
      <c r="N152" s="2268"/>
      <c r="O152" s="2375" t="s">
        <v>205</v>
      </c>
      <c r="P152" s="2177"/>
      <c r="Q152" s="2268"/>
      <c r="R152" s="2375"/>
      <c r="S152" s="2177"/>
      <c r="T152" s="2268"/>
      <c r="U152" s="2375"/>
      <c r="V152" s="2177"/>
      <c r="W152" s="2268"/>
      <c r="X152" s="2375"/>
      <c r="Y152" s="2275"/>
      <c r="Z152" s="2275"/>
      <c r="AA152" s="2275"/>
      <c r="AB152" s="1969"/>
      <c r="AC152" s="2275"/>
      <c r="AD152" s="2275"/>
      <c r="AE152" s="2275"/>
      <c r="AF152" s="2275"/>
      <c r="AG152" s="105"/>
    </row>
    <row r="153" spans="1:33" ht="18" customHeight="1" thickBot="1">
      <c r="A153" s="48"/>
      <c r="B153" s="4"/>
      <c r="C153" s="48"/>
      <c r="D153" s="48"/>
      <c r="E153" s="48"/>
      <c r="F153" s="48"/>
      <c r="G153" s="48"/>
      <c r="H153" s="211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  <c r="AA153" s="48"/>
      <c r="AB153" s="48"/>
      <c r="AC153" s="48"/>
      <c r="AD153" s="48"/>
      <c r="AE153" s="48"/>
      <c r="AF153" s="48"/>
      <c r="AG153" s="105"/>
    </row>
    <row r="154" spans="1:33" ht="18" customHeight="1" thickBot="1">
      <c r="A154" s="2402" t="s">
        <v>37</v>
      </c>
      <c r="B154" s="2285" t="s">
        <v>38</v>
      </c>
      <c r="C154" s="1580">
        <v>1</v>
      </c>
      <c r="D154" s="1578">
        <v>2</v>
      </c>
      <c r="E154" s="1578">
        <v>3</v>
      </c>
      <c r="F154" s="1578">
        <v>4</v>
      </c>
      <c r="G154" s="1580">
        <v>5</v>
      </c>
      <c r="H154" s="1578">
        <v>6</v>
      </c>
      <c r="I154" s="1580">
        <v>7</v>
      </c>
      <c r="J154" s="1580">
        <v>8</v>
      </c>
      <c r="K154" s="1580">
        <v>9</v>
      </c>
      <c r="L154" s="1578">
        <v>10</v>
      </c>
      <c r="M154" s="1578">
        <v>11</v>
      </c>
      <c r="N154" s="1578">
        <v>12</v>
      </c>
      <c r="O154" s="1578">
        <v>13</v>
      </c>
      <c r="P154" s="1580">
        <v>14</v>
      </c>
      <c r="Q154" s="1580">
        <v>15</v>
      </c>
      <c r="R154" s="1578">
        <v>16</v>
      </c>
      <c r="S154" s="1578">
        <v>17</v>
      </c>
      <c r="T154" s="1578">
        <v>18</v>
      </c>
      <c r="U154" s="1578">
        <v>19</v>
      </c>
      <c r="V154" s="1578">
        <v>20</v>
      </c>
      <c r="W154" s="1580">
        <v>21</v>
      </c>
      <c r="X154" s="1580">
        <v>22</v>
      </c>
      <c r="Y154" s="1578">
        <v>23</v>
      </c>
      <c r="Z154" s="1578">
        <v>24</v>
      </c>
      <c r="AA154" s="1578">
        <v>25</v>
      </c>
      <c r="AB154" s="1578">
        <v>26</v>
      </c>
      <c r="AC154" s="1578">
        <v>27</v>
      </c>
      <c r="AD154" s="1580">
        <v>28</v>
      </c>
      <c r="AE154" s="1580">
        <v>29</v>
      </c>
      <c r="AF154" s="1578">
        <v>30</v>
      </c>
      <c r="AG154" s="105"/>
    </row>
    <row r="155" spans="1:33" ht="18" customHeight="1">
      <c r="A155" s="1664">
        <v>8520</v>
      </c>
      <c r="B155" s="2010" t="s">
        <v>206</v>
      </c>
      <c r="C155" s="1819"/>
      <c r="D155" s="1819" t="s">
        <v>207</v>
      </c>
      <c r="E155" s="1819" t="s">
        <v>207</v>
      </c>
      <c r="F155" s="1819" t="s">
        <v>207</v>
      </c>
      <c r="G155" s="1819"/>
      <c r="H155" s="1819" t="s">
        <v>207</v>
      </c>
      <c r="I155" s="1819"/>
      <c r="J155" s="1819"/>
      <c r="K155" s="1819"/>
      <c r="L155" s="1819" t="s">
        <v>207</v>
      </c>
      <c r="M155" s="1819" t="s">
        <v>207</v>
      </c>
      <c r="N155" s="2241" t="s">
        <v>370</v>
      </c>
      <c r="O155" s="1819" t="s">
        <v>207</v>
      </c>
      <c r="P155" s="1819"/>
      <c r="Q155" s="1819"/>
      <c r="R155" s="1645" t="s">
        <v>207</v>
      </c>
      <c r="S155" s="1645" t="s">
        <v>207</v>
      </c>
      <c r="T155" s="1645" t="s">
        <v>207</v>
      </c>
      <c r="U155" s="1645" t="s">
        <v>207</v>
      </c>
      <c r="V155" s="1645" t="s">
        <v>207</v>
      </c>
      <c r="W155" s="1645"/>
      <c r="X155" s="1645"/>
      <c r="Y155" s="1645" t="s">
        <v>207</v>
      </c>
      <c r="Z155" s="1645" t="s">
        <v>207</v>
      </c>
      <c r="AA155" s="1645" t="s">
        <v>207</v>
      </c>
      <c r="AB155" s="1645" t="s">
        <v>207</v>
      </c>
      <c r="AC155" s="1645" t="s">
        <v>207</v>
      </c>
      <c r="AD155" s="1645"/>
      <c r="AE155" s="1645"/>
      <c r="AF155" s="1645" t="s">
        <v>207</v>
      </c>
      <c r="AG155" s="105" t="s">
        <v>133</v>
      </c>
    </row>
    <row r="156" spans="1:33" ht="18" customHeight="1">
      <c r="A156" s="122"/>
      <c r="B156" s="121"/>
      <c r="C156" s="116"/>
      <c r="D156" s="116"/>
      <c r="E156" s="116"/>
      <c r="F156" s="116"/>
      <c r="G156" s="116"/>
      <c r="H156" s="116"/>
      <c r="I156" s="116"/>
      <c r="J156" s="116"/>
      <c r="K156" s="116"/>
      <c r="L156" s="116"/>
      <c r="M156" s="116"/>
      <c r="N156" s="116"/>
      <c r="O156" s="116"/>
      <c r="P156" s="116"/>
      <c r="Q156" s="116"/>
      <c r="R156" s="116"/>
      <c r="S156" s="116"/>
      <c r="T156" s="116"/>
      <c r="U156" s="116"/>
      <c r="V156" s="116"/>
      <c r="W156" s="116"/>
      <c r="X156" s="116"/>
      <c r="Y156" s="116"/>
      <c r="Z156" s="116"/>
      <c r="AA156" s="116"/>
      <c r="AB156" s="116"/>
      <c r="AC156" s="116"/>
      <c r="AD156" s="116"/>
      <c r="AE156" s="116"/>
      <c r="AF156" s="116"/>
      <c r="AG156" s="105"/>
    </row>
    <row r="157" spans="1:33" ht="18" customHeight="1">
      <c r="AG157" s="65"/>
    </row>
    <row r="158" spans="1:33" ht="18" customHeight="1" thickBot="1">
      <c r="A158" s="100" t="s">
        <v>208</v>
      </c>
      <c r="B158" s="101"/>
      <c r="C158" s="101"/>
      <c r="D158" s="102"/>
      <c r="E158" s="102"/>
      <c r="F158" s="102"/>
      <c r="G158" s="63"/>
      <c r="H158" s="215"/>
      <c r="I158" s="102"/>
      <c r="J158" s="102"/>
      <c r="K158" s="102"/>
      <c r="L158" s="102"/>
      <c r="M158" s="102"/>
      <c r="N158" s="102"/>
      <c r="O158" s="102"/>
      <c r="P158" s="102"/>
      <c r="Q158" s="102"/>
      <c r="R158" s="102"/>
      <c r="S158" s="102"/>
      <c r="T158" s="102"/>
      <c r="U158" s="102"/>
      <c r="V158" s="102"/>
      <c r="W158" s="102"/>
      <c r="X158" s="102"/>
      <c r="Y158" s="102"/>
      <c r="Z158" s="102"/>
      <c r="AA158" s="102"/>
      <c r="AB158" s="102"/>
      <c r="AC158" s="102"/>
      <c r="AD158" s="102"/>
      <c r="AE158" s="102"/>
      <c r="AF158" s="102"/>
      <c r="AG158" s="101"/>
    </row>
    <row r="159" spans="1:33" ht="18" customHeight="1">
      <c r="A159" s="100"/>
      <c r="B159" s="1573" t="s">
        <v>209</v>
      </c>
      <c r="C159" s="1622"/>
      <c r="D159" s="1623" t="s">
        <v>19</v>
      </c>
      <c r="E159" s="1624"/>
      <c r="F159" s="1625"/>
      <c r="G159" s="1622"/>
      <c r="H159" s="2403" t="s">
        <v>20</v>
      </c>
      <c r="I159" s="1624"/>
      <c r="J159" s="1625"/>
      <c r="K159" s="1622"/>
      <c r="L159" s="1623" t="s">
        <v>21</v>
      </c>
      <c r="M159" s="1624"/>
      <c r="N159" s="1625"/>
      <c r="O159" s="1622"/>
      <c r="P159" s="1623" t="s">
        <v>22</v>
      </c>
      <c r="Q159" s="1624"/>
      <c r="R159" s="1625"/>
      <c r="S159" s="1622"/>
      <c r="T159" s="1623" t="s">
        <v>23</v>
      </c>
      <c r="U159" s="1624"/>
      <c r="V159" s="1625"/>
      <c r="W159" s="1622"/>
      <c r="X159" s="1623" t="s">
        <v>24</v>
      </c>
      <c r="Y159" s="1624"/>
      <c r="Z159" s="1625"/>
      <c r="AA159" s="1622"/>
      <c r="AB159" s="1623" t="s">
        <v>25</v>
      </c>
      <c r="AC159" s="1624"/>
      <c r="AD159" s="1624"/>
      <c r="AE159" s="1626" t="s">
        <v>108</v>
      </c>
      <c r="AF159" s="1624"/>
      <c r="AG159" s="1624"/>
    </row>
    <row r="160" spans="1:33" ht="18" customHeight="1">
      <c r="A160" s="100"/>
      <c r="B160" s="2404" t="s">
        <v>210</v>
      </c>
      <c r="C160" s="2405">
        <v>69</v>
      </c>
      <c r="D160" s="2406" t="s">
        <v>211</v>
      </c>
      <c r="E160" s="2406"/>
      <c r="F160" s="2407"/>
      <c r="G160" s="2405">
        <v>69</v>
      </c>
      <c r="H160" s="2408" t="s">
        <v>211</v>
      </c>
      <c r="I160" s="2406"/>
      <c r="J160" s="2407"/>
      <c r="K160" s="2405">
        <v>69</v>
      </c>
      <c r="L160" s="2406" t="s">
        <v>211</v>
      </c>
      <c r="M160" s="2406"/>
      <c r="N160" s="2407"/>
      <c r="O160" s="2405">
        <v>69</v>
      </c>
      <c r="P160" s="2406" t="s">
        <v>211</v>
      </c>
      <c r="Q160" s="2406"/>
      <c r="R160" s="2407"/>
      <c r="S160" s="2405">
        <v>69</v>
      </c>
      <c r="T160" s="2406" t="s">
        <v>211</v>
      </c>
      <c r="U160" s="2406"/>
      <c r="V160" s="2407"/>
      <c r="W160" s="2405"/>
      <c r="X160" s="2409"/>
      <c r="Y160" s="2409"/>
      <c r="Z160" s="2410"/>
      <c r="AA160" s="2405"/>
      <c r="AB160" s="2406"/>
      <c r="AC160" s="2406"/>
      <c r="AD160" s="1968"/>
      <c r="AE160" s="2411">
        <v>35</v>
      </c>
      <c r="AF160" s="2406"/>
      <c r="AG160" s="2406"/>
    </row>
    <row r="161" spans="1:33" ht="18" customHeight="1">
      <c r="A161" s="100"/>
      <c r="B161" s="2404" t="s">
        <v>212</v>
      </c>
      <c r="C161" s="2405">
        <v>79</v>
      </c>
      <c r="D161" s="2406" t="s">
        <v>213</v>
      </c>
      <c r="E161" s="2406"/>
      <c r="F161" s="2407"/>
      <c r="G161" s="2405">
        <v>79</v>
      </c>
      <c r="H161" s="2408" t="s">
        <v>213</v>
      </c>
      <c r="I161" s="2406"/>
      <c r="J161" s="2407"/>
      <c r="K161" s="2405">
        <v>79</v>
      </c>
      <c r="L161" s="2406" t="s">
        <v>213</v>
      </c>
      <c r="M161" s="2406"/>
      <c r="N161" s="2407"/>
      <c r="O161" s="2405">
        <v>79</v>
      </c>
      <c r="P161" s="2406" t="s">
        <v>213</v>
      </c>
      <c r="Q161" s="2406"/>
      <c r="R161" s="2407"/>
      <c r="S161" s="2405">
        <v>79</v>
      </c>
      <c r="T161" s="2406" t="s">
        <v>213</v>
      </c>
      <c r="U161" s="2406"/>
      <c r="V161" s="2407"/>
      <c r="W161" s="2405"/>
      <c r="X161" s="2406"/>
      <c r="Y161" s="2406"/>
      <c r="Z161" s="2407"/>
      <c r="AA161" s="2406"/>
      <c r="AB161" s="2406"/>
      <c r="AC161" s="2406"/>
      <c r="AD161" s="1968"/>
      <c r="AE161" s="2411">
        <v>40</v>
      </c>
      <c r="AF161" s="2406"/>
      <c r="AG161" s="2406"/>
    </row>
    <row r="162" spans="1:33" ht="18" customHeight="1">
      <c r="A162" s="100"/>
      <c r="B162" s="2404" t="s">
        <v>214</v>
      </c>
      <c r="C162" s="2405">
        <v>89</v>
      </c>
      <c r="D162" s="2406" t="s">
        <v>215</v>
      </c>
      <c r="E162" s="2406"/>
      <c r="F162" s="2407"/>
      <c r="G162" s="2405">
        <v>89</v>
      </c>
      <c r="H162" s="2408" t="s">
        <v>215</v>
      </c>
      <c r="I162" s="2406"/>
      <c r="J162" s="2407"/>
      <c r="K162" s="2405">
        <v>89</v>
      </c>
      <c r="L162" s="2406" t="s">
        <v>215</v>
      </c>
      <c r="M162" s="2406"/>
      <c r="N162" s="2407"/>
      <c r="O162" s="2405">
        <v>89</v>
      </c>
      <c r="P162" s="2406" t="s">
        <v>215</v>
      </c>
      <c r="Q162" s="2406"/>
      <c r="R162" s="2407"/>
      <c r="S162" s="2405">
        <v>89</v>
      </c>
      <c r="T162" s="2406" t="s">
        <v>216</v>
      </c>
      <c r="U162" s="2406"/>
      <c r="V162" s="2407"/>
      <c r="W162" s="2412"/>
      <c r="X162" s="2413" t="s">
        <v>217</v>
      </c>
      <c r="Y162" s="2413"/>
      <c r="Z162" s="2371"/>
      <c r="AA162" s="2412"/>
      <c r="AB162" s="2413"/>
      <c r="AC162" s="2413"/>
      <c r="AD162" s="2373"/>
      <c r="AE162" s="2411">
        <v>44</v>
      </c>
      <c r="AF162" s="2406"/>
      <c r="AG162" s="2406"/>
    </row>
    <row r="163" spans="1:33" ht="18" customHeight="1">
      <c r="A163" s="100"/>
      <c r="B163" s="19" t="s">
        <v>218</v>
      </c>
      <c r="C163" s="2412">
        <v>99</v>
      </c>
      <c r="D163" s="2413" t="s">
        <v>219</v>
      </c>
      <c r="E163" s="2413"/>
      <c r="F163" s="2371"/>
      <c r="G163" s="2412">
        <v>99</v>
      </c>
      <c r="H163" s="2414" t="s">
        <v>219</v>
      </c>
      <c r="I163" s="2413"/>
      <c r="J163" s="2371"/>
      <c r="K163" s="2412">
        <v>99</v>
      </c>
      <c r="L163" s="2413" t="s">
        <v>219</v>
      </c>
      <c r="M163" s="2413"/>
      <c r="N163" s="2371"/>
      <c r="O163" s="2412">
        <v>99</v>
      </c>
      <c r="P163" s="2413" t="s">
        <v>219</v>
      </c>
      <c r="Q163" s="2413"/>
      <c r="R163" s="2371"/>
      <c r="S163" s="2412">
        <v>99</v>
      </c>
      <c r="T163" s="2413" t="s">
        <v>220</v>
      </c>
      <c r="U163" s="2413"/>
      <c r="V163" s="2373"/>
      <c r="W163" s="2372"/>
      <c r="X163" s="2373"/>
      <c r="Y163" s="2413"/>
      <c r="Z163" s="2371"/>
      <c r="AA163" s="2372"/>
      <c r="AB163" s="2373"/>
      <c r="AC163" s="2413"/>
      <c r="AD163" s="2371"/>
      <c r="AE163" s="2415">
        <v>28</v>
      </c>
      <c r="AF163" s="2413"/>
      <c r="AG163" s="2413"/>
    </row>
    <row r="164" spans="1:33" ht="18" customHeight="1" thickBot="1">
      <c r="A164" s="100"/>
      <c r="B164" s="2416" t="s">
        <v>221</v>
      </c>
      <c r="C164" s="2417" t="s">
        <v>159</v>
      </c>
      <c r="D164" s="2418" t="s">
        <v>222</v>
      </c>
      <c r="E164" s="2419"/>
      <c r="F164" s="2279"/>
      <c r="G164" s="2417" t="s">
        <v>159</v>
      </c>
      <c r="H164" s="2420" t="s">
        <v>222</v>
      </c>
      <c r="I164" s="2277"/>
      <c r="J164" s="2419"/>
      <c r="K164" s="2417" t="s">
        <v>159</v>
      </c>
      <c r="L164" s="2418" t="s">
        <v>222</v>
      </c>
      <c r="M164" s="2419"/>
      <c r="N164" s="2421"/>
      <c r="O164" s="2417" t="s">
        <v>159</v>
      </c>
      <c r="P164" s="2418" t="s">
        <v>222</v>
      </c>
      <c r="Q164" s="2419"/>
      <c r="R164" s="2418"/>
      <c r="S164" s="2417" t="s">
        <v>159</v>
      </c>
      <c r="T164" s="2281" t="s">
        <v>223</v>
      </c>
      <c r="U164" s="2418"/>
      <c r="V164" s="2421"/>
      <c r="W164" s="2419"/>
      <c r="X164" s="2418"/>
      <c r="Y164" s="2418"/>
      <c r="Z164" s="2418"/>
      <c r="AA164" s="2422"/>
      <c r="AB164" s="2423"/>
      <c r="AC164" s="2418"/>
      <c r="AD164" s="2424"/>
      <c r="AE164" s="2418"/>
      <c r="AF164" s="2418"/>
      <c r="AG164" s="2425"/>
    </row>
    <row r="165" spans="1:33" ht="18" customHeight="1" thickBot="1">
      <c r="A165" s="66"/>
      <c r="B165" s="100"/>
      <c r="C165" s="102"/>
      <c r="D165" s="102"/>
      <c r="E165" s="102"/>
      <c r="F165" s="102"/>
      <c r="G165" s="102"/>
      <c r="H165" s="215"/>
      <c r="I165" s="102"/>
      <c r="J165" s="102"/>
      <c r="K165" s="102"/>
      <c r="L165" s="102"/>
      <c r="M165" s="102"/>
      <c r="N165" s="102"/>
      <c r="O165" s="102"/>
      <c r="P165" s="102"/>
      <c r="Q165" s="102"/>
      <c r="R165" s="102"/>
      <c r="S165" s="102"/>
      <c r="T165" s="102"/>
      <c r="U165" s="102"/>
      <c r="V165" s="102"/>
      <c r="W165" s="102"/>
      <c r="X165" s="102"/>
      <c r="Y165" s="102"/>
      <c r="Z165" s="102"/>
      <c r="AA165" s="102"/>
      <c r="AB165" s="102"/>
      <c r="AC165" s="102"/>
      <c r="AD165" s="102"/>
      <c r="AE165" s="102"/>
      <c r="AF165" s="102"/>
      <c r="AG165" s="101"/>
    </row>
    <row r="166" spans="1:33" ht="18" customHeight="1" thickBot="1">
      <c r="A166" s="2402"/>
      <c r="B166" s="2285" t="s">
        <v>398</v>
      </c>
      <c r="C166" s="1580">
        <v>1</v>
      </c>
      <c r="D166" s="1578">
        <v>2</v>
      </c>
      <c r="E166" s="1578">
        <v>3</v>
      </c>
      <c r="F166" s="1578">
        <v>4</v>
      </c>
      <c r="G166" s="1580">
        <v>5</v>
      </c>
      <c r="H166" s="1578">
        <v>6</v>
      </c>
      <c r="I166" s="1580">
        <v>7</v>
      </c>
      <c r="J166" s="1580">
        <v>8</v>
      </c>
      <c r="K166" s="1580">
        <v>9</v>
      </c>
      <c r="L166" s="1578">
        <v>10</v>
      </c>
      <c r="M166" s="1578">
        <v>11</v>
      </c>
      <c r="N166" s="1578">
        <v>12</v>
      </c>
      <c r="O166" s="1578">
        <v>13</v>
      </c>
      <c r="P166" s="1580">
        <v>14</v>
      </c>
      <c r="Q166" s="1580">
        <v>15</v>
      </c>
      <c r="R166" s="1578">
        <v>16</v>
      </c>
      <c r="S166" s="1578">
        <v>17</v>
      </c>
      <c r="T166" s="1578">
        <v>18</v>
      </c>
      <c r="U166" s="1578">
        <v>19</v>
      </c>
      <c r="V166" s="1578">
        <v>20</v>
      </c>
      <c r="W166" s="1580">
        <v>21</v>
      </c>
      <c r="X166" s="1580">
        <v>22</v>
      </c>
      <c r="Y166" s="1578">
        <v>23</v>
      </c>
      <c r="Z166" s="1578">
        <v>24</v>
      </c>
      <c r="AA166" s="1578">
        <v>25</v>
      </c>
      <c r="AB166" s="1578">
        <v>26</v>
      </c>
      <c r="AC166" s="1578">
        <v>27</v>
      </c>
      <c r="AD166" s="1580">
        <v>28</v>
      </c>
      <c r="AE166" s="1580">
        <v>29</v>
      </c>
      <c r="AF166" s="1578">
        <v>30</v>
      </c>
      <c r="AG166" s="103"/>
    </row>
    <row r="167" spans="1:33" ht="18" customHeight="1">
      <c r="A167" s="2034">
        <v>1</v>
      </c>
      <c r="B167" s="1628" t="s">
        <v>224</v>
      </c>
      <c r="C167" s="1644"/>
      <c r="D167" s="1629">
        <v>69</v>
      </c>
      <c r="E167" s="1645">
        <v>69</v>
      </c>
      <c r="F167" s="1645">
        <v>69</v>
      </c>
      <c r="G167" s="1646"/>
      <c r="H167" s="1644">
        <v>69</v>
      </c>
      <c r="I167" s="1646"/>
      <c r="J167" s="1646"/>
      <c r="K167" s="1644"/>
      <c r="L167" s="1646">
        <v>79</v>
      </c>
      <c r="M167" s="2426">
        <v>79</v>
      </c>
      <c r="N167" s="1646">
        <v>79</v>
      </c>
      <c r="O167" s="1644">
        <v>79</v>
      </c>
      <c r="P167" s="1644"/>
      <c r="Q167" s="1644"/>
      <c r="R167" s="2427">
        <v>89</v>
      </c>
      <c r="S167" s="2427">
        <v>89</v>
      </c>
      <c r="T167" s="2427">
        <v>89</v>
      </c>
      <c r="U167" s="2427">
        <v>89</v>
      </c>
      <c r="V167" s="2427">
        <v>89</v>
      </c>
      <c r="W167" s="2427">
        <v>89</v>
      </c>
      <c r="X167" s="2427"/>
      <c r="Y167" s="2427">
        <v>99</v>
      </c>
      <c r="Z167" s="2427">
        <v>99</v>
      </c>
      <c r="AA167" s="2427">
        <v>99</v>
      </c>
      <c r="AB167" s="2427">
        <v>99</v>
      </c>
      <c r="AC167" s="1644" t="s">
        <v>46</v>
      </c>
      <c r="AD167" s="1644"/>
      <c r="AE167" s="1644"/>
      <c r="AF167" s="1646" t="s">
        <v>159</v>
      </c>
      <c r="AG167" s="65" t="s">
        <v>133</v>
      </c>
    </row>
    <row r="168" spans="1:33" ht="18" customHeight="1">
      <c r="A168" s="2428">
        <v>2</v>
      </c>
      <c r="B168" s="2429" t="s">
        <v>225</v>
      </c>
      <c r="C168" s="2211"/>
      <c r="D168" s="2232">
        <v>79</v>
      </c>
      <c r="E168" s="2211">
        <v>79</v>
      </c>
      <c r="F168" s="2211">
        <v>79</v>
      </c>
      <c r="G168" s="2211"/>
      <c r="H168" s="2337">
        <v>79</v>
      </c>
      <c r="I168" s="2221"/>
      <c r="J168" s="2296"/>
      <c r="K168" s="2227"/>
      <c r="L168" s="2227">
        <v>89</v>
      </c>
      <c r="M168" s="2241">
        <v>89</v>
      </c>
      <c r="N168" s="2241">
        <v>89</v>
      </c>
      <c r="O168" s="2241">
        <v>89</v>
      </c>
      <c r="P168" s="2241">
        <v>89</v>
      </c>
      <c r="Q168" s="2296"/>
      <c r="R168" s="2221">
        <v>99</v>
      </c>
      <c r="S168" s="2296">
        <v>99</v>
      </c>
      <c r="T168" s="2232">
        <v>99</v>
      </c>
      <c r="U168" s="2296">
        <v>99</v>
      </c>
      <c r="V168" s="2296" t="s">
        <v>46</v>
      </c>
      <c r="W168" s="2296"/>
      <c r="X168" s="2296"/>
      <c r="Y168" s="2296" t="s">
        <v>159</v>
      </c>
      <c r="Z168" s="2296" t="s">
        <v>159</v>
      </c>
      <c r="AA168" s="2232" t="s">
        <v>159</v>
      </c>
      <c r="AB168" s="2221" t="s">
        <v>159</v>
      </c>
      <c r="AC168" s="2210" t="s">
        <v>159</v>
      </c>
      <c r="AD168" s="2210"/>
      <c r="AE168" s="2210"/>
      <c r="AF168" s="2210">
        <v>69</v>
      </c>
      <c r="AG168" s="99" t="s">
        <v>133</v>
      </c>
    </row>
    <row r="169" spans="1:33" ht="18" customHeight="1">
      <c r="A169" s="2428">
        <v>3</v>
      </c>
      <c r="B169" s="2390" t="s">
        <v>124</v>
      </c>
      <c r="C169" s="2430"/>
      <c r="D169" s="2232">
        <v>89</v>
      </c>
      <c r="E169" s="2211">
        <v>89</v>
      </c>
      <c r="F169" s="2430">
        <v>89</v>
      </c>
      <c r="G169" s="2332"/>
      <c r="H169" s="2251">
        <v>89</v>
      </c>
      <c r="I169" s="2230">
        <v>89</v>
      </c>
      <c r="J169" s="2430"/>
      <c r="K169" s="2430"/>
      <c r="L169" s="2430">
        <v>99</v>
      </c>
      <c r="M169" s="2430">
        <v>99</v>
      </c>
      <c r="N169" s="2296">
        <v>99</v>
      </c>
      <c r="O169" s="2210" t="s">
        <v>46</v>
      </c>
      <c r="P169" s="2334"/>
      <c r="Q169" s="2210"/>
      <c r="R169" s="2227" t="s">
        <v>159</v>
      </c>
      <c r="S169" s="2227" t="s">
        <v>159</v>
      </c>
      <c r="T169" s="2227" t="s">
        <v>159</v>
      </c>
      <c r="U169" s="2227" t="s">
        <v>159</v>
      </c>
      <c r="V169" s="2227" t="s">
        <v>159</v>
      </c>
      <c r="W169" s="2227"/>
      <c r="X169" s="2227"/>
      <c r="Y169" s="2227">
        <v>69</v>
      </c>
      <c r="Z169" s="2227">
        <v>69</v>
      </c>
      <c r="AA169" s="2227">
        <v>69</v>
      </c>
      <c r="AB169" s="2227">
        <v>69</v>
      </c>
      <c r="AC169" s="2227">
        <v>69</v>
      </c>
      <c r="AD169" s="2227"/>
      <c r="AE169" s="2227"/>
      <c r="AF169" s="2227">
        <v>79</v>
      </c>
      <c r="AG169" s="65"/>
    </row>
    <row r="170" spans="1:33" ht="18" customHeight="1">
      <c r="A170" s="2428">
        <v>4</v>
      </c>
      <c r="B170" s="2429" t="s">
        <v>226</v>
      </c>
      <c r="C170" s="2232"/>
      <c r="D170" s="2232">
        <v>99</v>
      </c>
      <c r="E170" s="2232">
        <v>99</v>
      </c>
      <c r="F170" s="2232">
        <v>99</v>
      </c>
      <c r="G170" s="2232"/>
      <c r="H170" s="2232" t="s">
        <v>46</v>
      </c>
      <c r="I170" s="2221"/>
      <c r="J170" s="2232"/>
      <c r="K170" s="2232"/>
      <c r="L170" s="2232" t="s">
        <v>159</v>
      </c>
      <c r="M170" s="2232" t="s">
        <v>159</v>
      </c>
      <c r="N170" s="2296" t="s">
        <v>64</v>
      </c>
      <c r="O170" s="2232" t="s">
        <v>64</v>
      </c>
      <c r="P170" s="2232"/>
      <c r="Q170" s="2334"/>
      <c r="R170" s="2334">
        <v>69</v>
      </c>
      <c r="S170" s="2232">
        <v>69</v>
      </c>
      <c r="T170" s="2232">
        <v>69</v>
      </c>
      <c r="U170" s="2232">
        <v>69</v>
      </c>
      <c r="V170" s="2232">
        <v>69</v>
      </c>
      <c r="W170" s="2232"/>
      <c r="X170" s="2232"/>
      <c r="Y170" s="2334">
        <v>79</v>
      </c>
      <c r="Z170" s="2334">
        <v>79</v>
      </c>
      <c r="AA170" s="2232">
        <v>79</v>
      </c>
      <c r="AB170" s="2232">
        <v>79</v>
      </c>
      <c r="AC170" s="2232">
        <v>79</v>
      </c>
      <c r="AD170" s="2232"/>
      <c r="AE170" s="2232"/>
      <c r="AF170" s="2232">
        <v>89</v>
      </c>
      <c r="AG170" s="65"/>
    </row>
    <row r="171" spans="1:33" ht="18" customHeight="1" thickBot="1">
      <c r="A171" s="2431">
        <v>5</v>
      </c>
      <c r="B171" s="2299" t="s">
        <v>227</v>
      </c>
      <c r="C171" s="2367"/>
      <c r="D171" s="2367" t="s">
        <v>159</v>
      </c>
      <c r="E171" s="2256" t="s">
        <v>159</v>
      </c>
      <c r="F171" s="2215" t="s">
        <v>159</v>
      </c>
      <c r="G171" s="2215"/>
      <c r="H171" s="2258" t="s">
        <v>159</v>
      </c>
      <c r="I171" s="2258"/>
      <c r="J171" s="2258"/>
      <c r="K171" s="2258"/>
      <c r="L171" s="2256">
        <v>69</v>
      </c>
      <c r="M171" s="2256">
        <v>69</v>
      </c>
      <c r="N171" s="2300">
        <v>69</v>
      </c>
      <c r="O171" s="2367">
        <v>69</v>
      </c>
      <c r="P171" s="2367"/>
      <c r="Q171" s="2367"/>
      <c r="R171" s="2367">
        <v>79</v>
      </c>
      <c r="S171" s="2256">
        <v>79</v>
      </c>
      <c r="T171" s="2214">
        <v>79</v>
      </c>
      <c r="U171" s="2260">
        <v>79</v>
      </c>
      <c r="V171" s="2260">
        <v>79</v>
      </c>
      <c r="W171" s="2367"/>
      <c r="X171" s="2367"/>
      <c r="Y171" s="2367">
        <v>89</v>
      </c>
      <c r="Z171" s="2367">
        <v>89</v>
      </c>
      <c r="AA171" s="2215">
        <v>89</v>
      </c>
      <c r="AB171" s="2367">
        <v>89</v>
      </c>
      <c r="AC171" s="2432">
        <v>89</v>
      </c>
      <c r="AD171" s="2256">
        <v>89</v>
      </c>
      <c r="AE171" s="2256"/>
      <c r="AF171" s="2256">
        <v>99</v>
      </c>
      <c r="AG171" s="65"/>
    </row>
    <row r="172" spans="1:33" ht="18" customHeight="1">
      <c r="A172" s="117"/>
      <c r="B172" s="125"/>
      <c r="C172" s="126"/>
      <c r="D172" s="126"/>
      <c r="E172" s="126"/>
      <c r="F172" s="116"/>
      <c r="G172" s="124"/>
      <c r="H172" s="124"/>
      <c r="I172" s="124"/>
      <c r="J172" s="124"/>
      <c r="K172" s="124"/>
      <c r="L172" s="116"/>
      <c r="M172" s="116"/>
      <c r="N172" s="126"/>
      <c r="O172" s="126"/>
      <c r="P172" s="126"/>
      <c r="Q172" s="126"/>
      <c r="R172" s="126"/>
      <c r="S172" s="116"/>
      <c r="T172" s="127"/>
      <c r="U172" s="126"/>
      <c r="V172" s="126"/>
      <c r="W172" s="126"/>
      <c r="X172" s="126"/>
      <c r="Y172" s="126"/>
      <c r="Z172" s="128"/>
      <c r="AA172" s="128"/>
      <c r="AB172" s="126"/>
      <c r="AC172" s="126"/>
      <c r="AD172" s="126"/>
      <c r="AE172" s="126"/>
      <c r="AF172" s="126"/>
      <c r="AG172" s="2433"/>
    </row>
    <row r="173" spans="1:33" ht="18" customHeight="1">
      <c r="A173" s="67"/>
      <c r="B173" s="68"/>
      <c r="C173" s="64"/>
      <c r="D173" s="64"/>
      <c r="E173" s="64"/>
      <c r="F173" s="64"/>
      <c r="G173" s="64"/>
      <c r="H173" s="203"/>
      <c r="I173" s="64"/>
      <c r="J173" s="64"/>
      <c r="K173" s="64"/>
      <c r="L173" s="64"/>
      <c r="M173" s="64"/>
      <c r="N173" s="64"/>
      <c r="O173" s="64"/>
      <c r="P173" s="64"/>
      <c r="Q173" s="64"/>
      <c r="R173" s="64"/>
      <c r="S173" s="64"/>
      <c r="T173" s="64"/>
      <c r="U173" s="64"/>
      <c r="V173" s="64"/>
      <c r="W173" s="64"/>
      <c r="X173" s="64"/>
      <c r="Y173" s="64"/>
      <c r="Z173" s="64"/>
      <c r="AA173" s="64"/>
      <c r="AB173" s="64"/>
      <c r="AC173" s="64"/>
      <c r="AD173" s="64"/>
      <c r="AE173" s="64"/>
      <c r="AF173" s="64"/>
      <c r="AG173" s="65"/>
    </row>
    <row r="174" spans="1:33" ht="18" customHeight="1" thickBot="1">
      <c r="A174" s="100" t="s">
        <v>228</v>
      </c>
      <c r="B174" s="101"/>
      <c r="C174" s="101"/>
      <c r="D174" s="102"/>
      <c r="E174" s="102"/>
      <c r="F174" s="102"/>
      <c r="G174" s="63"/>
      <c r="H174" s="215"/>
      <c r="I174" s="102"/>
      <c r="J174" s="207"/>
      <c r="K174" s="102"/>
      <c r="L174" s="102"/>
      <c r="M174" s="102"/>
      <c r="N174" s="102"/>
      <c r="O174" s="102"/>
      <c r="P174" s="102"/>
      <c r="Q174" s="102"/>
      <c r="R174" s="102"/>
      <c r="S174" s="102"/>
      <c r="T174" s="102"/>
      <c r="U174" s="102"/>
      <c r="V174" s="102"/>
      <c r="W174" s="102"/>
      <c r="X174" s="102"/>
      <c r="Y174" s="102"/>
      <c r="Z174" s="102"/>
      <c r="AA174" s="102"/>
      <c r="AB174" s="102"/>
      <c r="AC174" s="102"/>
      <c r="AD174" s="102"/>
      <c r="AE174" s="102"/>
      <c r="AF174" s="102"/>
      <c r="AG174" s="101"/>
    </row>
    <row r="175" spans="1:33" ht="18" customHeight="1">
      <c r="A175" s="100"/>
      <c r="B175" s="1573" t="s">
        <v>209</v>
      </c>
      <c r="C175" s="1622"/>
      <c r="D175" s="1623" t="s">
        <v>19</v>
      </c>
      <c r="E175" s="1624"/>
      <c r="F175" s="1625"/>
      <c r="G175" s="1622"/>
      <c r="H175" s="2403" t="s">
        <v>20</v>
      </c>
      <c r="I175" s="1624"/>
      <c r="J175" s="1625"/>
      <c r="K175" s="1622"/>
      <c r="L175" s="1623" t="s">
        <v>21</v>
      </c>
      <c r="M175" s="1624"/>
      <c r="N175" s="1625"/>
      <c r="O175" s="1622"/>
      <c r="P175" s="1623" t="s">
        <v>22</v>
      </c>
      <c r="Q175" s="1624"/>
      <c r="R175" s="1625"/>
      <c r="S175" s="1622"/>
      <c r="T175" s="1623" t="s">
        <v>23</v>
      </c>
      <c r="U175" s="1624"/>
      <c r="V175" s="1625"/>
      <c r="W175" s="1622"/>
      <c r="X175" s="1623" t="s">
        <v>24</v>
      </c>
      <c r="Y175" s="1624"/>
      <c r="Z175" s="1625"/>
      <c r="AA175" s="1622"/>
      <c r="AB175" s="1623" t="s">
        <v>25</v>
      </c>
      <c r="AC175" s="1624"/>
      <c r="AD175" s="1624"/>
      <c r="AE175" s="1626" t="s">
        <v>108</v>
      </c>
      <c r="AF175" s="1624"/>
      <c r="AG175" s="1624"/>
    </row>
    <row r="176" spans="1:33" ht="18" customHeight="1">
      <c r="A176" s="100"/>
      <c r="B176" s="2404" t="s">
        <v>229</v>
      </c>
      <c r="C176" s="1969" t="s">
        <v>230</v>
      </c>
      <c r="D176" s="2406"/>
      <c r="E176" s="2406"/>
      <c r="F176" s="2407"/>
      <c r="G176" s="1969" t="s">
        <v>230</v>
      </c>
      <c r="H176" s="2408"/>
      <c r="I176" s="2406"/>
      <c r="J176" s="2407"/>
      <c r="K176" s="1969" t="s">
        <v>230</v>
      </c>
      <c r="L176" s="2406"/>
      <c r="M176" s="2406"/>
      <c r="N176" s="2407"/>
      <c r="O176" s="1969" t="s">
        <v>231</v>
      </c>
      <c r="P176" s="2406"/>
      <c r="Q176" s="2406"/>
      <c r="R176" s="2407"/>
      <c r="S176" s="1969" t="s">
        <v>232</v>
      </c>
      <c r="T176" s="2406"/>
      <c r="U176" s="2406"/>
      <c r="V176" s="2407"/>
      <c r="W176" s="1969" t="s">
        <v>233</v>
      </c>
      <c r="X176" s="2409"/>
      <c r="Y176" s="2409"/>
      <c r="Z176" s="2410"/>
      <c r="AA176" s="1969" t="s">
        <v>233</v>
      </c>
      <c r="AB176" s="2406"/>
      <c r="AC176" s="2406"/>
      <c r="AD176" s="1968"/>
      <c r="AE176" s="2411">
        <v>68</v>
      </c>
      <c r="AF176" s="530"/>
      <c r="AG176" s="530"/>
    </row>
    <row r="177" spans="1:33" ht="18" customHeight="1">
      <c r="A177" s="100"/>
      <c r="B177" s="2404"/>
      <c r="C177" s="1969" t="s">
        <v>220</v>
      </c>
      <c r="D177" s="2406"/>
      <c r="E177" s="2406"/>
      <c r="F177" s="2407"/>
      <c r="G177" s="1969" t="s">
        <v>220</v>
      </c>
      <c r="H177" s="2408"/>
      <c r="I177" s="2406"/>
      <c r="J177" s="2407"/>
      <c r="K177" s="1969" t="s">
        <v>220</v>
      </c>
      <c r="L177" s="2406"/>
      <c r="M177" s="2406"/>
      <c r="N177" s="2407"/>
      <c r="O177" s="1969" t="s">
        <v>220</v>
      </c>
      <c r="P177" s="2406"/>
      <c r="Q177" s="2406"/>
      <c r="R177" s="2407"/>
      <c r="S177" s="1969" t="s">
        <v>220</v>
      </c>
      <c r="T177" s="2406"/>
      <c r="U177" s="2406"/>
      <c r="V177" s="2407"/>
      <c r="W177" s="1969" t="s">
        <v>220</v>
      </c>
      <c r="X177" s="2406"/>
      <c r="Y177" s="2406"/>
      <c r="Z177" s="2407"/>
      <c r="AA177" s="2406" t="s">
        <v>220</v>
      </c>
      <c r="AB177" s="2406"/>
      <c r="AC177" s="2406"/>
      <c r="AD177" s="1968"/>
      <c r="AE177" s="2411">
        <v>0</v>
      </c>
      <c r="AF177" s="530"/>
      <c r="AG177" s="530"/>
    </row>
    <row r="178" spans="1:33" ht="18" customHeight="1">
      <c r="A178" s="100"/>
      <c r="B178" s="2404" t="s">
        <v>234</v>
      </c>
      <c r="C178" s="1969" t="s">
        <v>231</v>
      </c>
      <c r="D178" s="2406"/>
      <c r="E178" s="2406"/>
      <c r="F178" s="2407"/>
      <c r="G178" s="1969" t="s">
        <v>231</v>
      </c>
      <c r="H178" s="2408"/>
      <c r="I178" s="2406"/>
      <c r="J178" s="2407"/>
      <c r="K178" s="1969" t="s">
        <v>231</v>
      </c>
      <c r="L178" s="2406"/>
      <c r="M178" s="2406"/>
      <c r="N178" s="2407"/>
      <c r="O178" s="1969" t="s">
        <v>230</v>
      </c>
      <c r="P178" s="2406"/>
      <c r="Q178" s="2406"/>
      <c r="R178" s="2407"/>
      <c r="S178" s="1969" t="s">
        <v>230</v>
      </c>
      <c r="T178" s="2406"/>
      <c r="U178" s="2406"/>
      <c r="V178" s="2407"/>
      <c r="W178" s="1969" t="s">
        <v>232</v>
      </c>
      <c r="X178" s="2409"/>
      <c r="Y178" s="2409"/>
      <c r="Z178" s="2410"/>
      <c r="AA178" s="1969" t="s">
        <v>232</v>
      </c>
      <c r="AB178" s="2406"/>
      <c r="AC178" s="2406"/>
      <c r="AD178" s="1968"/>
      <c r="AE178" s="2411">
        <v>68</v>
      </c>
      <c r="AF178" s="2406"/>
      <c r="AG178" s="2406"/>
    </row>
    <row r="179" spans="1:33" ht="18" customHeight="1">
      <c r="A179" s="100"/>
      <c r="B179" s="2404"/>
      <c r="C179" s="1969" t="s">
        <v>220</v>
      </c>
      <c r="D179" s="2406"/>
      <c r="E179" s="2406"/>
      <c r="F179" s="2407"/>
      <c r="G179" s="1969" t="s">
        <v>220</v>
      </c>
      <c r="H179" s="2408"/>
      <c r="I179" s="2406"/>
      <c r="J179" s="2407"/>
      <c r="K179" s="1969" t="s">
        <v>220</v>
      </c>
      <c r="L179" s="2406"/>
      <c r="M179" s="2406"/>
      <c r="N179" s="2407"/>
      <c r="O179" s="1969" t="s">
        <v>220</v>
      </c>
      <c r="P179" s="2406"/>
      <c r="Q179" s="2406"/>
      <c r="R179" s="2407"/>
      <c r="S179" s="1969" t="s">
        <v>220</v>
      </c>
      <c r="T179" s="2406"/>
      <c r="U179" s="2406"/>
      <c r="V179" s="2407"/>
      <c r="W179" s="1969" t="s">
        <v>220</v>
      </c>
      <c r="X179" s="2406"/>
      <c r="Y179" s="2406"/>
      <c r="Z179" s="2407"/>
      <c r="AA179" s="2406" t="s">
        <v>220</v>
      </c>
      <c r="AB179" s="2406"/>
      <c r="AC179" s="2406"/>
      <c r="AD179" s="1968"/>
      <c r="AE179" s="2411">
        <v>0</v>
      </c>
      <c r="AF179" s="2406"/>
      <c r="AG179" s="2406"/>
    </row>
    <row r="180" spans="1:33" ht="18" customHeight="1">
      <c r="A180" s="100"/>
      <c r="B180" s="2404" t="s">
        <v>235</v>
      </c>
      <c r="C180" s="1969" t="s">
        <v>230</v>
      </c>
      <c r="D180" s="2406"/>
      <c r="E180" s="2406"/>
      <c r="F180" s="2407"/>
      <c r="G180" s="1969" t="s">
        <v>230</v>
      </c>
      <c r="H180" s="2408"/>
      <c r="I180" s="2406"/>
      <c r="J180" s="2407"/>
      <c r="K180" s="1969" t="s">
        <v>230</v>
      </c>
      <c r="L180" s="2406"/>
      <c r="M180" s="2406"/>
      <c r="N180" s="2407"/>
      <c r="O180" s="1969" t="s">
        <v>230</v>
      </c>
      <c r="P180" s="2406"/>
      <c r="Q180" s="2406"/>
      <c r="R180" s="2407"/>
      <c r="S180" s="1969" t="s">
        <v>230</v>
      </c>
      <c r="T180" s="2406"/>
      <c r="U180" s="2406"/>
      <c r="V180" s="2407"/>
      <c r="W180" s="1969" t="s">
        <v>236</v>
      </c>
      <c r="X180" s="2413"/>
      <c r="Y180" s="2413"/>
      <c r="Z180" s="2371"/>
      <c r="AA180" s="1969" t="s">
        <v>236</v>
      </c>
      <c r="AB180" s="2413"/>
      <c r="AC180" s="2413"/>
      <c r="AD180" s="2373"/>
      <c r="AE180" s="2411">
        <v>68</v>
      </c>
      <c r="AF180" s="2406"/>
      <c r="AG180" s="2406"/>
    </row>
    <row r="181" spans="1:33" ht="18" customHeight="1" thickBot="1">
      <c r="A181" s="100"/>
      <c r="B181" s="2404"/>
      <c r="C181" s="2434" t="s">
        <v>220</v>
      </c>
      <c r="D181" s="2425"/>
      <c r="E181" s="2425"/>
      <c r="F181" s="2435"/>
      <c r="G181" s="2434" t="s">
        <v>220</v>
      </c>
      <c r="H181" s="2436"/>
      <c r="I181" s="2425"/>
      <c r="J181" s="2435"/>
      <c r="K181" s="2434" t="s">
        <v>220</v>
      </c>
      <c r="L181" s="2425"/>
      <c r="M181" s="2425"/>
      <c r="N181" s="2435"/>
      <c r="O181" s="2434" t="s">
        <v>220</v>
      </c>
      <c r="P181" s="2425"/>
      <c r="Q181" s="2425"/>
      <c r="R181" s="2435"/>
      <c r="S181" s="2434" t="s">
        <v>220</v>
      </c>
      <c r="T181" s="2425"/>
      <c r="U181" s="2425"/>
      <c r="V181" s="2437"/>
      <c r="W181" s="2434" t="s">
        <v>220</v>
      </c>
      <c r="X181" s="2437"/>
      <c r="Y181" s="2425"/>
      <c r="Z181" s="2435"/>
      <c r="AA181" s="2434" t="s">
        <v>220</v>
      </c>
      <c r="AB181" s="2437"/>
      <c r="AC181" s="2425"/>
      <c r="AD181" s="2435"/>
      <c r="AE181" s="2438">
        <v>0</v>
      </c>
      <c r="AF181" s="2425"/>
      <c r="AG181" s="2425"/>
    </row>
    <row r="182" spans="1:33" ht="18" customHeight="1" thickBot="1">
      <c r="A182" s="66"/>
      <c r="B182" s="100"/>
      <c r="C182" s="102"/>
      <c r="D182" s="102"/>
      <c r="E182" s="102"/>
      <c r="F182" s="102"/>
      <c r="G182" s="102"/>
      <c r="H182" s="215"/>
      <c r="I182" s="102"/>
      <c r="J182" s="102"/>
      <c r="K182" s="102"/>
      <c r="L182" s="102"/>
      <c r="M182" s="102"/>
      <c r="N182" s="102"/>
      <c r="O182" s="102"/>
      <c r="P182" s="102"/>
      <c r="Q182" s="102"/>
      <c r="R182" s="102"/>
      <c r="S182" s="102"/>
      <c r="T182" s="102"/>
      <c r="U182" s="102"/>
      <c r="V182" s="102"/>
      <c r="W182" s="102"/>
      <c r="X182" s="102"/>
      <c r="Y182" s="102"/>
      <c r="Z182" s="102"/>
      <c r="AA182" s="102"/>
      <c r="AB182" s="102"/>
      <c r="AC182" s="102"/>
      <c r="AD182" s="102"/>
      <c r="AE182" s="102"/>
      <c r="AF182" s="102"/>
      <c r="AG182" s="101"/>
    </row>
    <row r="183" spans="1:33" ht="18" customHeight="1" thickBot="1">
      <c r="A183" s="2402"/>
      <c r="B183" s="2285" t="s">
        <v>399</v>
      </c>
      <c r="C183" s="1580">
        <v>1</v>
      </c>
      <c r="D183" s="1578">
        <v>2</v>
      </c>
      <c r="E183" s="1578">
        <v>3</v>
      </c>
      <c r="F183" s="1578">
        <v>4</v>
      </c>
      <c r="G183" s="1580">
        <v>5</v>
      </c>
      <c r="H183" s="1578">
        <v>6</v>
      </c>
      <c r="I183" s="1580">
        <v>7</v>
      </c>
      <c r="J183" s="1580">
        <v>8</v>
      </c>
      <c r="K183" s="1580">
        <v>9</v>
      </c>
      <c r="L183" s="1578">
        <v>10</v>
      </c>
      <c r="M183" s="1578">
        <v>11</v>
      </c>
      <c r="N183" s="1578">
        <v>12</v>
      </c>
      <c r="O183" s="1578">
        <v>13</v>
      </c>
      <c r="P183" s="1580">
        <v>14</v>
      </c>
      <c r="Q183" s="1580">
        <v>15</v>
      </c>
      <c r="R183" s="1578">
        <v>16</v>
      </c>
      <c r="S183" s="1578">
        <v>17</v>
      </c>
      <c r="T183" s="1578">
        <v>18</v>
      </c>
      <c r="U183" s="1578">
        <v>19</v>
      </c>
      <c r="V183" s="1578">
        <v>20</v>
      </c>
      <c r="W183" s="1580">
        <v>21</v>
      </c>
      <c r="X183" s="1580">
        <v>22</v>
      </c>
      <c r="Y183" s="1578">
        <v>23</v>
      </c>
      <c r="Z183" s="1578">
        <v>24</v>
      </c>
      <c r="AA183" s="1578">
        <v>25</v>
      </c>
      <c r="AB183" s="1578">
        <v>26</v>
      </c>
      <c r="AC183" s="1578">
        <v>27</v>
      </c>
      <c r="AD183" s="1580">
        <v>28</v>
      </c>
      <c r="AE183" s="1580">
        <v>29</v>
      </c>
      <c r="AF183" s="1578">
        <v>30</v>
      </c>
      <c r="AG183" s="103"/>
    </row>
    <row r="184" spans="1:33" ht="18" customHeight="1">
      <c r="A184" s="2051">
        <v>1</v>
      </c>
      <c r="B184" s="2311" t="s">
        <v>237</v>
      </c>
      <c r="C184" s="1630"/>
      <c r="D184" s="1631">
        <v>22</v>
      </c>
      <c r="E184" s="2053">
        <v>22</v>
      </c>
      <c r="F184" s="1631">
        <v>22</v>
      </c>
      <c r="G184" s="1631">
        <v>22</v>
      </c>
      <c r="H184" s="1630">
        <v>22</v>
      </c>
      <c r="I184" s="1630">
        <v>22</v>
      </c>
      <c r="J184" s="1630">
        <v>22</v>
      </c>
      <c r="K184" s="1632" t="s">
        <v>46</v>
      </c>
      <c r="L184" s="1632" t="s">
        <v>46</v>
      </c>
      <c r="M184" s="1632" t="s">
        <v>46</v>
      </c>
      <c r="N184" s="1631" t="s">
        <v>46</v>
      </c>
      <c r="O184" s="1631" t="s">
        <v>46</v>
      </c>
      <c r="P184" s="1631"/>
      <c r="Q184" s="1631"/>
      <c r="R184" s="1631">
        <v>23</v>
      </c>
      <c r="S184" s="1631">
        <v>23</v>
      </c>
      <c r="T184" s="1631">
        <v>23</v>
      </c>
      <c r="U184" s="1631">
        <v>23</v>
      </c>
      <c r="V184" s="1630">
        <v>23</v>
      </c>
      <c r="W184" s="1630">
        <v>23</v>
      </c>
      <c r="X184" s="1630">
        <v>23</v>
      </c>
      <c r="Y184" s="1630" t="s">
        <v>46</v>
      </c>
      <c r="Z184" s="1630" t="s">
        <v>46</v>
      </c>
      <c r="AA184" s="1630" t="s">
        <v>46</v>
      </c>
      <c r="AB184" s="1630" t="s">
        <v>46</v>
      </c>
      <c r="AC184" s="1633" t="s">
        <v>46</v>
      </c>
      <c r="AD184" s="1633"/>
      <c r="AE184" s="1633"/>
      <c r="AF184" s="1630">
        <v>21</v>
      </c>
      <c r="AG184" s="65"/>
    </row>
    <row r="185" spans="1:33" ht="18" customHeight="1">
      <c r="A185" s="2439">
        <v>2</v>
      </c>
      <c r="B185" s="2311" t="s">
        <v>238</v>
      </c>
      <c r="C185" s="2314"/>
      <c r="D185" s="2314">
        <v>23</v>
      </c>
      <c r="E185" s="2312">
        <v>23</v>
      </c>
      <c r="F185" s="2313">
        <v>23</v>
      </c>
      <c r="G185" s="2440">
        <v>23</v>
      </c>
      <c r="H185" s="2354">
        <v>23</v>
      </c>
      <c r="I185" s="2440">
        <v>23</v>
      </c>
      <c r="J185" s="2440" t="s">
        <v>241</v>
      </c>
      <c r="K185" s="2441" t="s">
        <v>46</v>
      </c>
      <c r="L185" s="2441" t="s">
        <v>46</v>
      </c>
      <c r="M185" s="2441" t="s">
        <v>46</v>
      </c>
      <c r="N185" s="2315" t="s">
        <v>46</v>
      </c>
      <c r="O185" s="2315" t="s">
        <v>46</v>
      </c>
      <c r="P185" s="2315"/>
      <c r="Q185" s="2315"/>
      <c r="R185" s="2314">
        <v>21</v>
      </c>
      <c r="S185" s="2312">
        <v>21</v>
      </c>
      <c r="T185" s="2393">
        <v>21</v>
      </c>
      <c r="U185" s="2393">
        <v>21</v>
      </c>
      <c r="V185" s="2313">
        <v>21</v>
      </c>
      <c r="W185" s="2313">
        <v>21</v>
      </c>
      <c r="X185" s="2313">
        <v>21</v>
      </c>
      <c r="Y185" s="2314" t="s">
        <v>46</v>
      </c>
      <c r="Z185" s="2314" t="s">
        <v>46</v>
      </c>
      <c r="AA185" s="2314" t="s">
        <v>46</v>
      </c>
      <c r="AB185" s="2314" t="s">
        <v>46</v>
      </c>
      <c r="AC185" s="2313" t="s">
        <v>46</v>
      </c>
      <c r="AD185" s="2313"/>
      <c r="AE185" s="2313"/>
      <c r="AF185" s="2313">
        <v>22</v>
      </c>
      <c r="AG185" s="65"/>
    </row>
    <row r="186" spans="1:33" ht="18" customHeight="1">
      <c r="A186" s="2439">
        <v>3</v>
      </c>
      <c r="B186" s="2311" t="s">
        <v>239</v>
      </c>
      <c r="C186" s="2392"/>
      <c r="D186" s="2392">
        <v>21</v>
      </c>
      <c r="E186" s="2392">
        <v>21</v>
      </c>
      <c r="F186" s="2392">
        <v>21</v>
      </c>
      <c r="G186" s="2392">
        <v>21</v>
      </c>
      <c r="H186" s="2392">
        <v>21</v>
      </c>
      <c r="I186" s="2392">
        <v>21</v>
      </c>
      <c r="J186" s="2392">
        <v>21</v>
      </c>
      <c r="K186" s="2392" t="s">
        <v>46</v>
      </c>
      <c r="L186" s="2392" t="s">
        <v>46</v>
      </c>
      <c r="M186" s="2392" t="s">
        <v>46</v>
      </c>
      <c r="N186" s="2392" t="s">
        <v>46</v>
      </c>
      <c r="O186" s="2392" t="s">
        <v>46</v>
      </c>
      <c r="P186" s="2392"/>
      <c r="Q186" s="2392"/>
      <c r="R186" s="2393">
        <v>22</v>
      </c>
      <c r="S186" s="2393">
        <v>22</v>
      </c>
      <c r="T186" s="2393">
        <v>22</v>
      </c>
      <c r="U186" s="2314">
        <v>22</v>
      </c>
      <c r="V186" s="2314">
        <v>22</v>
      </c>
      <c r="W186" s="2314">
        <v>22</v>
      </c>
      <c r="X186" s="2314">
        <v>22</v>
      </c>
      <c r="Y186" s="2314" t="s">
        <v>46</v>
      </c>
      <c r="Z186" s="2314" t="s">
        <v>46</v>
      </c>
      <c r="AA186" s="2314" t="s">
        <v>46</v>
      </c>
      <c r="AB186" s="2314" t="s">
        <v>46</v>
      </c>
      <c r="AC186" s="2313" t="s">
        <v>46</v>
      </c>
      <c r="AD186" s="2313"/>
      <c r="AE186" s="2313"/>
      <c r="AF186" s="2314">
        <v>23</v>
      </c>
      <c r="AG186" s="65" t="s">
        <v>133</v>
      </c>
    </row>
    <row r="187" spans="1:33" ht="18" customHeight="1">
      <c r="A187" s="2439">
        <v>4</v>
      </c>
      <c r="B187" s="485" t="s">
        <v>240</v>
      </c>
      <c r="C187" s="2314">
        <v>21</v>
      </c>
      <c r="D187" s="2441" t="s">
        <v>46</v>
      </c>
      <c r="E187" s="2441" t="s">
        <v>46</v>
      </c>
      <c r="F187" s="2441" t="s">
        <v>46</v>
      </c>
      <c r="G187" s="2315" t="s">
        <v>46</v>
      </c>
      <c r="H187" s="2315" t="s">
        <v>46</v>
      </c>
      <c r="I187" s="2315"/>
      <c r="J187" s="2315"/>
      <c r="K187" s="2315">
        <v>22</v>
      </c>
      <c r="L187" s="2315">
        <v>22</v>
      </c>
      <c r="M187" s="2315">
        <v>22</v>
      </c>
      <c r="N187" s="2315">
        <v>22</v>
      </c>
      <c r="O187" s="2315">
        <v>22</v>
      </c>
      <c r="P187" s="2314">
        <v>22</v>
      </c>
      <c r="Q187" s="2314">
        <v>22</v>
      </c>
      <c r="R187" s="2442" t="s">
        <v>46</v>
      </c>
      <c r="S187" s="2442" t="s">
        <v>46</v>
      </c>
      <c r="T187" s="2314" t="s">
        <v>46</v>
      </c>
      <c r="U187" s="2313" t="s">
        <v>46</v>
      </c>
      <c r="V187" s="2313" t="s">
        <v>46</v>
      </c>
      <c r="W187" s="2312"/>
      <c r="X187" s="2314"/>
      <c r="Y187" s="2315">
        <v>23</v>
      </c>
      <c r="Z187" s="2315">
        <v>23</v>
      </c>
      <c r="AA187" s="2315">
        <v>23</v>
      </c>
      <c r="AB187" s="2315">
        <v>23</v>
      </c>
      <c r="AC187" s="2314">
        <v>23</v>
      </c>
      <c r="AD187" s="2314">
        <v>23</v>
      </c>
      <c r="AE187" s="2314">
        <v>23</v>
      </c>
      <c r="AF187" s="2314" t="s">
        <v>46</v>
      </c>
      <c r="AG187" s="65"/>
    </row>
    <row r="188" spans="1:33" ht="18" customHeight="1">
      <c r="A188" s="2439">
        <v>5</v>
      </c>
      <c r="B188" s="2443" t="s">
        <v>242</v>
      </c>
      <c r="C188" s="2315">
        <v>22</v>
      </c>
      <c r="D188" s="2392" t="s">
        <v>46</v>
      </c>
      <c r="E188" s="2392" t="s">
        <v>46</v>
      </c>
      <c r="F188" s="2392" t="s">
        <v>46</v>
      </c>
      <c r="G188" s="2392" t="s">
        <v>46</v>
      </c>
      <c r="H188" s="2392" t="s">
        <v>46</v>
      </c>
      <c r="I188" s="2392"/>
      <c r="J188" s="2392"/>
      <c r="K188" s="2392">
        <v>23</v>
      </c>
      <c r="L188" s="2392">
        <v>23</v>
      </c>
      <c r="M188" s="2392">
        <v>23</v>
      </c>
      <c r="N188" s="2392">
        <v>23</v>
      </c>
      <c r="O188" s="2392">
        <v>23</v>
      </c>
      <c r="P188" s="2392">
        <v>23</v>
      </c>
      <c r="Q188" s="2392">
        <v>23</v>
      </c>
      <c r="R188" s="2444" t="s">
        <v>46</v>
      </c>
      <c r="S188" s="2444" t="s">
        <v>46</v>
      </c>
      <c r="T188" s="2444" t="s">
        <v>46</v>
      </c>
      <c r="U188" s="2445" t="s">
        <v>46</v>
      </c>
      <c r="V188" s="2444" t="s">
        <v>46</v>
      </c>
      <c r="W188" s="2398" t="s">
        <v>46</v>
      </c>
      <c r="X188" s="2398" t="s">
        <v>46</v>
      </c>
      <c r="Y188" s="2314">
        <v>21</v>
      </c>
      <c r="Z188" s="2312">
        <v>21</v>
      </c>
      <c r="AA188" s="2313">
        <v>21</v>
      </c>
      <c r="AB188" s="2313">
        <v>21</v>
      </c>
      <c r="AC188" s="2313">
        <v>21</v>
      </c>
      <c r="AD188" s="2313">
        <v>21</v>
      </c>
      <c r="AE188" s="2446">
        <v>21</v>
      </c>
      <c r="AF188" s="2314" t="s">
        <v>46</v>
      </c>
      <c r="AG188" s="65" t="s">
        <v>133</v>
      </c>
    </row>
    <row r="189" spans="1:33" ht="18" customHeight="1" thickBot="1">
      <c r="A189" s="2055">
        <v>6</v>
      </c>
      <c r="B189" s="2447" t="s">
        <v>243</v>
      </c>
      <c r="C189" s="2364">
        <v>23</v>
      </c>
      <c r="D189" s="2364" t="s">
        <v>46</v>
      </c>
      <c r="E189" s="2364" t="s">
        <v>46</v>
      </c>
      <c r="F189" s="2364" t="s">
        <v>46</v>
      </c>
      <c r="G189" s="2364" t="s">
        <v>46</v>
      </c>
      <c r="H189" s="2364" t="s">
        <v>46</v>
      </c>
      <c r="I189" s="2364"/>
      <c r="J189" s="2364" t="s">
        <v>376</v>
      </c>
      <c r="K189" s="1635">
        <v>21</v>
      </c>
      <c r="L189" s="1635">
        <v>21</v>
      </c>
      <c r="M189" s="1635">
        <v>21</v>
      </c>
      <c r="N189" s="1586">
        <v>21</v>
      </c>
      <c r="O189" s="1586">
        <v>21</v>
      </c>
      <c r="P189" s="1586">
        <v>21</v>
      </c>
      <c r="Q189" s="1586">
        <v>21</v>
      </c>
      <c r="R189" s="1636" t="s">
        <v>46</v>
      </c>
      <c r="S189" s="1636" t="s">
        <v>46</v>
      </c>
      <c r="T189" s="1586" t="s">
        <v>46</v>
      </c>
      <c r="U189" s="2357" t="s">
        <v>46</v>
      </c>
      <c r="V189" s="2357" t="s">
        <v>46</v>
      </c>
      <c r="W189" s="2358"/>
      <c r="X189" s="1586"/>
      <c r="Y189" s="1586">
        <v>22</v>
      </c>
      <c r="Z189" s="2358">
        <v>22</v>
      </c>
      <c r="AA189" s="1586">
        <v>22</v>
      </c>
      <c r="AB189" s="1586">
        <v>22</v>
      </c>
      <c r="AC189" s="1586">
        <v>22</v>
      </c>
      <c r="AD189" s="1586">
        <v>22</v>
      </c>
      <c r="AE189" s="1586">
        <v>22</v>
      </c>
      <c r="AF189" s="1586" t="s">
        <v>46</v>
      </c>
      <c r="AG189" s="65"/>
    </row>
    <row r="190" spans="1:33" ht="18" customHeight="1">
      <c r="A190" s="117"/>
      <c r="B190" s="115"/>
      <c r="C190" s="116"/>
      <c r="D190" s="116"/>
      <c r="E190" s="124"/>
      <c r="F190" s="116"/>
      <c r="G190" s="116"/>
      <c r="H190" s="129"/>
      <c r="I190" s="129"/>
      <c r="J190" s="129"/>
      <c r="K190" s="129"/>
      <c r="L190" s="129"/>
      <c r="M190" s="129"/>
      <c r="N190" s="113"/>
      <c r="O190" s="113"/>
      <c r="P190" s="124"/>
      <c r="Q190" s="116"/>
      <c r="R190" s="116"/>
      <c r="S190" s="124"/>
      <c r="T190" s="116"/>
      <c r="U190" s="116"/>
      <c r="V190" s="116"/>
      <c r="W190" s="116"/>
      <c r="X190" s="116"/>
      <c r="Y190" s="116"/>
      <c r="Z190" s="116"/>
      <c r="AA190" s="116"/>
      <c r="AB190" s="113"/>
      <c r="AC190" s="113"/>
      <c r="AD190" s="124"/>
      <c r="AE190" s="116"/>
      <c r="AF190" s="116"/>
      <c r="AG190" s="65"/>
    </row>
    <row r="191" spans="1:33" ht="18" customHeight="1">
      <c r="A191" s="67"/>
      <c r="B191" s="68"/>
      <c r="C191" s="108"/>
      <c r="D191" s="108"/>
      <c r="E191" s="99"/>
      <c r="F191" s="108"/>
      <c r="G191" s="108"/>
      <c r="I191" s="108"/>
      <c r="J191" s="108"/>
      <c r="K191" s="108"/>
      <c r="L191" s="108"/>
      <c r="M191" s="108"/>
      <c r="N191" s="108"/>
      <c r="O191" s="108"/>
      <c r="P191" s="99"/>
      <c r="Q191" s="108"/>
      <c r="R191" s="108"/>
      <c r="S191" s="99"/>
      <c r="T191" s="108"/>
      <c r="U191" s="108"/>
      <c r="V191" s="108"/>
      <c r="W191" s="108"/>
      <c r="X191" s="108"/>
      <c r="Y191" s="108"/>
      <c r="Z191" s="108"/>
      <c r="AA191" s="108"/>
      <c r="AB191" s="108"/>
      <c r="AC191" s="109"/>
      <c r="AD191" s="109"/>
      <c r="AE191" s="109"/>
      <c r="AF191" s="108"/>
      <c r="AG191" s="65"/>
    </row>
    <row r="192" spans="1:33" ht="18" customHeight="1" thickBot="1">
      <c r="A192" s="96" t="s">
        <v>244</v>
      </c>
      <c r="D192" s="48"/>
      <c r="E192" s="48"/>
      <c r="F192" s="48"/>
      <c r="G192" s="63"/>
      <c r="H192" s="211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  <c r="AA192" s="48"/>
      <c r="AB192" s="48"/>
      <c r="AC192" s="48"/>
      <c r="AD192" s="48"/>
      <c r="AE192" s="48"/>
      <c r="AF192" s="48"/>
    </row>
    <row r="193" spans="1:32" ht="18" customHeight="1">
      <c r="A193" s="1"/>
      <c r="B193" s="1573" t="s">
        <v>209</v>
      </c>
      <c r="C193" s="1609"/>
      <c r="D193" s="1623" t="s">
        <v>19</v>
      </c>
      <c r="E193" s="1643"/>
      <c r="F193" s="1613"/>
      <c r="G193" s="1609"/>
      <c r="H193" s="2403" t="s">
        <v>20</v>
      </c>
      <c r="I193" s="1643"/>
      <c r="J193" s="1613"/>
      <c r="K193" s="1609"/>
      <c r="L193" s="1623" t="s">
        <v>21</v>
      </c>
      <c r="M193" s="1643"/>
      <c r="N193" s="1613"/>
      <c r="O193" s="1609"/>
      <c r="P193" s="1623" t="s">
        <v>22</v>
      </c>
      <c r="Q193" s="1643"/>
      <c r="R193" s="1613"/>
      <c r="S193" s="1609"/>
      <c r="T193" s="1623" t="s">
        <v>23</v>
      </c>
      <c r="U193" s="1643"/>
      <c r="V193" s="1613"/>
      <c r="W193" s="1609"/>
      <c r="X193" s="1623" t="s">
        <v>24</v>
      </c>
      <c r="Y193" s="1643"/>
      <c r="Z193" s="1613"/>
      <c r="AA193" s="1609"/>
      <c r="AB193" s="1623" t="s">
        <v>25</v>
      </c>
      <c r="AC193" s="1643"/>
      <c r="AD193" s="1643"/>
      <c r="AE193" s="1626" t="s">
        <v>108</v>
      </c>
      <c r="AF193" s="1643"/>
    </row>
    <row r="194" spans="1:32" ht="18" customHeight="1">
      <c r="A194" s="1"/>
      <c r="B194" s="2404" t="s">
        <v>210</v>
      </c>
      <c r="C194" s="1969" t="s">
        <v>211</v>
      </c>
      <c r="D194" s="2177"/>
      <c r="E194" s="2177"/>
      <c r="F194" s="2407"/>
      <c r="G194" s="1969" t="s">
        <v>211</v>
      </c>
      <c r="H194" s="2267"/>
      <c r="I194" s="2177"/>
      <c r="J194" s="2407"/>
      <c r="K194" s="1969" t="s">
        <v>211</v>
      </c>
      <c r="L194" s="2177"/>
      <c r="M194" s="2177"/>
      <c r="N194" s="2407"/>
      <c r="O194" s="1969" t="s">
        <v>245</v>
      </c>
      <c r="P194" s="2177"/>
      <c r="Q194" s="2177"/>
      <c r="R194" s="2407"/>
      <c r="S194" s="1969" t="s">
        <v>220</v>
      </c>
      <c r="T194" s="2177"/>
      <c r="U194" s="2177"/>
      <c r="V194" s="2407"/>
      <c r="W194" s="2448"/>
      <c r="X194" s="2449"/>
      <c r="Y194" s="2449"/>
      <c r="Z194" s="2410"/>
      <c r="AA194" s="2405"/>
      <c r="AB194" s="2177"/>
      <c r="AC194" s="2177"/>
      <c r="AD194" s="1968"/>
      <c r="AE194" s="2411">
        <v>27</v>
      </c>
      <c r="AF194" s="2177"/>
    </row>
    <row r="195" spans="1:32" ht="18" customHeight="1">
      <c r="A195" s="1"/>
      <c r="B195" s="2404" t="s">
        <v>212</v>
      </c>
      <c r="C195" s="1969" t="s">
        <v>246</v>
      </c>
      <c r="D195" s="2177"/>
      <c r="E195" s="2177"/>
      <c r="F195" s="2407"/>
      <c r="G195" s="1969" t="s">
        <v>246</v>
      </c>
      <c r="H195" s="2267"/>
      <c r="I195" s="2177"/>
      <c r="J195" s="2407"/>
      <c r="K195" s="1969" t="s">
        <v>246</v>
      </c>
      <c r="L195" s="2177"/>
      <c r="M195" s="2177"/>
      <c r="N195" s="2407"/>
      <c r="O195" s="1969" t="s">
        <v>246</v>
      </c>
      <c r="P195" s="2177"/>
      <c r="Q195" s="2177"/>
      <c r="R195" s="2407"/>
      <c r="S195" s="1969" t="s">
        <v>211</v>
      </c>
      <c r="T195" s="2177"/>
      <c r="U195" s="2177"/>
      <c r="V195" s="2407"/>
      <c r="W195" s="1969"/>
      <c r="X195" s="2177"/>
      <c r="Y195" s="2177"/>
      <c r="Z195" s="2407"/>
      <c r="AA195" s="2177"/>
      <c r="AB195" s="2177"/>
      <c r="AC195" s="2177"/>
      <c r="AD195" s="1968"/>
      <c r="AE195" s="2411">
        <v>39</v>
      </c>
      <c r="AF195" s="2177"/>
    </row>
    <row r="196" spans="1:32" ht="18" customHeight="1">
      <c r="A196" s="1"/>
      <c r="B196" s="2404" t="s">
        <v>214</v>
      </c>
      <c r="C196" s="1969" t="s">
        <v>246</v>
      </c>
      <c r="D196" s="2177"/>
      <c r="E196" s="2177"/>
      <c r="F196" s="2407"/>
      <c r="G196" s="1969" t="s">
        <v>246</v>
      </c>
      <c r="H196" s="2267"/>
      <c r="I196" s="2177"/>
      <c r="J196" s="2407"/>
      <c r="K196" s="1969" t="s">
        <v>246</v>
      </c>
      <c r="L196" s="2177"/>
      <c r="M196" s="2177"/>
      <c r="N196" s="2407"/>
      <c r="O196" s="1969" t="s">
        <v>246</v>
      </c>
      <c r="P196" s="2177"/>
      <c r="Q196" s="2177"/>
      <c r="R196" s="2407"/>
      <c r="S196" s="1969" t="s">
        <v>246</v>
      </c>
      <c r="T196" s="2177"/>
      <c r="U196" s="2177"/>
      <c r="V196" s="2407"/>
      <c r="W196" s="2372" t="s">
        <v>217</v>
      </c>
      <c r="X196" s="2264"/>
      <c r="Y196" s="2264"/>
      <c r="Z196" s="2371"/>
      <c r="AA196" s="2412"/>
      <c r="AB196" s="2264"/>
      <c r="AC196" s="2264"/>
      <c r="AD196" s="2373"/>
      <c r="AE196" s="2411">
        <v>45</v>
      </c>
      <c r="AF196" s="2177"/>
    </row>
    <row r="197" spans="1:32" ht="18" customHeight="1" thickBot="1">
      <c r="A197" s="1"/>
      <c r="B197" s="1484" t="s">
        <v>218</v>
      </c>
      <c r="C197" s="2434"/>
      <c r="D197" s="2277"/>
      <c r="E197" s="2277"/>
      <c r="F197" s="2435"/>
      <c r="G197" s="2434"/>
      <c r="H197" s="2450"/>
      <c r="I197" s="2277"/>
      <c r="J197" s="2435"/>
      <c r="K197" s="2434"/>
      <c r="L197" s="2277"/>
      <c r="M197" s="2277"/>
      <c r="N197" s="2435"/>
      <c r="O197" s="2434"/>
      <c r="P197" s="2277"/>
      <c r="Q197" s="2277"/>
      <c r="R197" s="2435"/>
      <c r="S197" s="2434"/>
      <c r="T197" s="2277"/>
      <c r="U197" s="2277"/>
      <c r="V197" s="2437"/>
      <c r="W197" s="2434"/>
      <c r="X197" s="2437"/>
      <c r="Y197" s="2277"/>
      <c r="Z197" s="2435"/>
      <c r="AA197" s="2434"/>
      <c r="AB197" s="2437"/>
      <c r="AC197" s="2277"/>
      <c r="AD197" s="2435"/>
      <c r="AE197" s="2451"/>
      <c r="AF197" s="2277"/>
    </row>
    <row r="198" spans="1:32" ht="18" customHeight="1" thickBot="1">
      <c r="A198" s="66"/>
      <c r="B198" s="1"/>
      <c r="C198" s="48"/>
      <c r="D198" s="48"/>
      <c r="E198" s="48"/>
      <c r="F198" s="48"/>
      <c r="G198" s="48"/>
      <c r="H198" s="211"/>
      <c r="I198" s="48"/>
      <c r="J198" s="48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Y198" s="48"/>
      <c r="Z198" s="48"/>
      <c r="AA198" s="48"/>
      <c r="AB198" s="48"/>
      <c r="AC198" s="48"/>
      <c r="AD198" s="48"/>
      <c r="AE198" s="48"/>
      <c r="AF198" s="48"/>
    </row>
    <row r="199" spans="1:32" ht="18" customHeight="1" thickBot="1">
      <c r="A199" s="2402"/>
      <c r="B199" s="2285" t="s">
        <v>400</v>
      </c>
      <c r="C199" s="1580">
        <v>1</v>
      </c>
      <c r="D199" s="1578">
        <v>2</v>
      </c>
      <c r="E199" s="1578">
        <v>3</v>
      </c>
      <c r="F199" s="1578">
        <v>4</v>
      </c>
      <c r="G199" s="1580">
        <v>5</v>
      </c>
      <c r="H199" s="1578">
        <v>6</v>
      </c>
      <c r="I199" s="1580">
        <v>7</v>
      </c>
      <c r="J199" s="1580">
        <v>8</v>
      </c>
      <c r="K199" s="1580">
        <v>9</v>
      </c>
      <c r="L199" s="1578">
        <v>10</v>
      </c>
      <c r="M199" s="1578">
        <v>11</v>
      </c>
      <c r="N199" s="1578">
        <v>12</v>
      </c>
      <c r="O199" s="1578">
        <v>13</v>
      </c>
      <c r="P199" s="1580">
        <v>14</v>
      </c>
      <c r="Q199" s="1580">
        <v>15</v>
      </c>
      <c r="R199" s="1578">
        <v>16</v>
      </c>
      <c r="S199" s="1578">
        <v>17</v>
      </c>
      <c r="T199" s="1578">
        <v>18</v>
      </c>
      <c r="U199" s="1578">
        <v>19</v>
      </c>
      <c r="V199" s="1578">
        <v>20</v>
      </c>
      <c r="W199" s="1580">
        <v>21</v>
      </c>
      <c r="X199" s="1580">
        <v>22</v>
      </c>
      <c r="Y199" s="1578">
        <v>23</v>
      </c>
      <c r="Z199" s="1578">
        <v>24</v>
      </c>
      <c r="AA199" s="1578">
        <v>25</v>
      </c>
      <c r="AB199" s="1578">
        <v>26</v>
      </c>
      <c r="AC199" s="1578">
        <v>27</v>
      </c>
      <c r="AD199" s="1580">
        <v>28</v>
      </c>
      <c r="AE199" s="1580">
        <v>29</v>
      </c>
      <c r="AF199" s="1578">
        <v>30</v>
      </c>
    </row>
    <row r="200" spans="1:32" ht="18" customHeight="1">
      <c r="A200" s="2034">
        <v>1</v>
      </c>
      <c r="B200" s="1638" t="s">
        <v>247</v>
      </c>
      <c r="C200" s="1645"/>
      <c r="D200" s="1645" t="s">
        <v>40</v>
      </c>
      <c r="E200" s="1645" t="s">
        <v>40</v>
      </c>
      <c r="F200" s="1646" t="s">
        <v>40</v>
      </c>
      <c r="G200" s="1645"/>
      <c r="H200" s="1646" t="s">
        <v>40</v>
      </c>
      <c r="I200" s="1646" t="s">
        <v>248</v>
      </c>
      <c r="J200" s="1646"/>
      <c r="K200" s="1645"/>
      <c r="L200" s="1645" t="s">
        <v>40</v>
      </c>
      <c r="M200" s="1645" t="s">
        <v>40</v>
      </c>
      <c r="N200" s="1645" t="s">
        <v>40</v>
      </c>
      <c r="O200" s="1645" t="s">
        <v>40</v>
      </c>
      <c r="P200" s="1639"/>
      <c r="Q200" s="1645"/>
      <c r="R200" s="1645" t="s">
        <v>40</v>
      </c>
      <c r="S200" s="1645" t="s">
        <v>40</v>
      </c>
      <c r="T200" s="1645" t="s">
        <v>40</v>
      </c>
      <c r="U200" s="1645" t="s">
        <v>40</v>
      </c>
      <c r="V200" s="1645" t="s">
        <v>40</v>
      </c>
      <c r="W200" s="1645"/>
      <c r="X200" s="1645"/>
      <c r="Y200" s="1645" t="s">
        <v>40</v>
      </c>
      <c r="Z200" s="1639" t="s">
        <v>40</v>
      </c>
      <c r="AA200" s="1645" t="s">
        <v>40</v>
      </c>
      <c r="AB200" s="1645" t="s">
        <v>40</v>
      </c>
      <c r="AC200" s="1645" t="s">
        <v>40</v>
      </c>
      <c r="AD200" s="1645" t="s">
        <v>248</v>
      </c>
      <c r="AE200" s="1645"/>
      <c r="AF200" s="1645" t="s">
        <v>40</v>
      </c>
    </row>
    <row r="201" spans="1:32" ht="18" customHeight="1">
      <c r="A201" s="2428">
        <v>2</v>
      </c>
      <c r="B201" s="2452" t="s">
        <v>249</v>
      </c>
      <c r="C201" s="2232"/>
      <c r="D201" s="2232" t="s">
        <v>251</v>
      </c>
      <c r="E201" s="2232" t="s">
        <v>251</v>
      </c>
      <c r="F201" s="2210" t="s">
        <v>251</v>
      </c>
      <c r="G201" s="2232"/>
      <c r="H201" s="2232" t="s">
        <v>46</v>
      </c>
      <c r="I201" s="2232"/>
      <c r="J201" s="2232"/>
      <c r="K201" s="2232"/>
      <c r="L201" s="2232" t="s">
        <v>250</v>
      </c>
      <c r="M201" s="2232" t="s">
        <v>250</v>
      </c>
      <c r="N201" s="2232" t="s">
        <v>250</v>
      </c>
      <c r="O201" s="2232" t="s">
        <v>250</v>
      </c>
      <c r="P201" s="2232"/>
      <c r="Q201" s="2232"/>
      <c r="R201" s="2232" t="s">
        <v>248</v>
      </c>
      <c r="S201" s="2232" t="s">
        <v>248</v>
      </c>
      <c r="T201" s="2232" t="s">
        <v>248</v>
      </c>
      <c r="U201" s="2232" t="s">
        <v>248</v>
      </c>
      <c r="V201" s="2232" t="s">
        <v>248</v>
      </c>
      <c r="W201" s="2232" t="s">
        <v>248</v>
      </c>
      <c r="X201" s="2232"/>
      <c r="Y201" s="2232" t="s">
        <v>251</v>
      </c>
      <c r="Z201" s="2232" t="s">
        <v>251</v>
      </c>
      <c r="AA201" s="2232" t="s">
        <v>251</v>
      </c>
      <c r="AB201" s="2232" t="s">
        <v>251</v>
      </c>
      <c r="AC201" s="2232" t="s">
        <v>46</v>
      </c>
      <c r="AD201" s="2232"/>
      <c r="AE201" s="2232"/>
      <c r="AF201" s="2241" t="s">
        <v>250</v>
      </c>
    </row>
    <row r="202" spans="1:32" ht="18" customHeight="1">
      <c r="A202" s="2428">
        <v>3</v>
      </c>
      <c r="B202" s="2453" t="s">
        <v>252</v>
      </c>
      <c r="C202" s="2210"/>
      <c r="D202" s="2210" t="s">
        <v>250</v>
      </c>
      <c r="E202" s="2210" t="s">
        <v>250</v>
      </c>
      <c r="F202" s="2210" t="s">
        <v>250</v>
      </c>
      <c r="G202" s="2210"/>
      <c r="H202" s="2210" t="s">
        <v>250</v>
      </c>
      <c r="I202" s="2210"/>
      <c r="J202" s="2210"/>
      <c r="K202" s="2210"/>
      <c r="L202" s="2210" t="s">
        <v>248</v>
      </c>
      <c r="M202" s="2210" t="s">
        <v>248</v>
      </c>
      <c r="N202" s="2232" t="s">
        <v>248</v>
      </c>
      <c r="O202" s="2232" t="s">
        <v>248</v>
      </c>
      <c r="P202" s="2232" t="s">
        <v>248</v>
      </c>
      <c r="Q202" s="2232"/>
      <c r="R202" s="2232" t="s">
        <v>251</v>
      </c>
      <c r="S202" s="2232" t="s">
        <v>251</v>
      </c>
      <c r="T202" s="2232" t="s">
        <v>251</v>
      </c>
      <c r="U202" s="2232" t="s">
        <v>251</v>
      </c>
      <c r="V202" s="2232" t="s">
        <v>46</v>
      </c>
      <c r="W202" s="2210"/>
      <c r="X202" s="2210"/>
      <c r="Y202" s="2232" t="s">
        <v>250</v>
      </c>
      <c r="Z202" s="2232" t="s">
        <v>250</v>
      </c>
      <c r="AA202" s="2232" t="s">
        <v>250</v>
      </c>
      <c r="AB202" s="2232" t="s">
        <v>250</v>
      </c>
      <c r="AC202" s="2232" t="s">
        <v>250</v>
      </c>
      <c r="AD202" s="2210"/>
      <c r="AE202" s="2232"/>
      <c r="AF202" s="2232" t="s">
        <v>248</v>
      </c>
    </row>
    <row r="203" spans="1:32" ht="18" customHeight="1">
      <c r="A203" s="2428">
        <v>4</v>
      </c>
      <c r="B203" s="2453" t="s">
        <v>253</v>
      </c>
      <c r="C203" s="2211"/>
      <c r="D203" s="2232"/>
      <c r="E203" s="2232"/>
      <c r="F203" s="2232"/>
      <c r="G203" s="2232"/>
      <c r="H203" s="2232"/>
      <c r="I203" s="2232"/>
      <c r="J203" s="2232"/>
      <c r="K203" s="2232"/>
      <c r="L203" s="2232"/>
      <c r="M203" s="2232"/>
      <c r="N203" s="2232"/>
      <c r="O203" s="2232"/>
      <c r="P203" s="2232"/>
      <c r="Q203" s="2232"/>
      <c r="R203" s="2232"/>
      <c r="S203" s="2232"/>
      <c r="T203" s="2232"/>
      <c r="U203" s="2232"/>
      <c r="V203" s="2232"/>
      <c r="W203" s="2211"/>
      <c r="X203" s="2232"/>
      <c r="Y203" s="2232"/>
      <c r="Z203" s="2232"/>
      <c r="AA203" s="2232"/>
      <c r="AB203" s="2232"/>
      <c r="AC203" s="2232"/>
      <c r="AD203" s="2232"/>
      <c r="AE203" s="2232"/>
      <c r="AF203" s="2232"/>
    </row>
    <row r="204" spans="1:32" ht="18" customHeight="1">
      <c r="A204" s="2428">
        <v>5</v>
      </c>
      <c r="B204" s="2453"/>
      <c r="C204" s="2334"/>
      <c r="D204" s="2334"/>
      <c r="E204" s="2334"/>
      <c r="F204" s="2232"/>
      <c r="G204" s="2210"/>
      <c r="H204" s="2210"/>
      <c r="I204" s="2210"/>
      <c r="J204" s="2210"/>
      <c r="K204" s="2210"/>
      <c r="L204" s="2232"/>
      <c r="M204" s="2232"/>
      <c r="N204" s="2210"/>
      <c r="O204" s="2210"/>
      <c r="P204" s="2296"/>
      <c r="Q204" s="2296"/>
      <c r="R204" s="2296"/>
      <c r="S204" s="2296"/>
      <c r="T204" s="2296"/>
      <c r="U204" s="2296"/>
      <c r="V204" s="2296"/>
      <c r="W204" s="2296"/>
      <c r="X204" s="2210"/>
      <c r="Y204" s="2210"/>
      <c r="Z204" s="2296"/>
      <c r="AA204" s="2296"/>
      <c r="AB204" s="2296"/>
      <c r="AC204" s="2296"/>
      <c r="AD204" s="2296"/>
      <c r="AE204" s="2296"/>
      <c r="AF204" s="2296"/>
    </row>
    <row r="205" spans="1:32" ht="18" customHeight="1">
      <c r="A205" s="2428">
        <v>6</v>
      </c>
      <c r="B205" s="2208"/>
      <c r="C205" s="2334"/>
      <c r="D205" s="2334"/>
      <c r="E205" s="2334"/>
      <c r="F205" s="2232"/>
      <c r="G205" s="2210"/>
      <c r="H205" s="2210"/>
      <c r="I205" s="2210"/>
      <c r="J205" s="2210"/>
      <c r="K205" s="2210"/>
      <c r="L205" s="2232"/>
      <c r="M205" s="2232"/>
      <c r="N205" s="2210"/>
      <c r="O205" s="2210"/>
      <c r="P205" s="2296"/>
      <c r="Q205" s="2296"/>
      <c r="R205" s="2296"/>
      <c r="S205" s="2296"/>
      <c r="T205" s="2296"/>
      <c r="U205" s="2296"/>
      <c r="V205" s="2296"/>
      <c r="W205" s="2296"/>
      <c r="X205" s="2210"/>
      <c r="Y205" s="2210"/>
      <c r="Z205" s="2296"/>
      <c r="AA205" s="2296"/>
      <c r="AB205" s="2296"/>
      <c r="AC205" s="2296"/>
      <c r="AD205" s="2296"/>
      <c r="AE205" s="2296"/>
      <c r="AF205" s="2296"/>
    </row>
    <row r="209" spans="1:31" ht="18" customHeight="1" thickBot="1">
      <c r="A209" s="90" t="s">
        <v>254</v>
      </c>
      <c r="B209" s="48"/>
      <c r="C209" s="64"/>
      <c r="D209" s="48"/>
      <c r="E209" s="48"/>
      <c r="F209" s="64"/>
      <c r="G209" s="48"/>
      <c r="H209" s="211"/>
      <c r="I209" s="64"/>
      <c r="J209" s="64"/>
      <c r="K209" s="48"/>
      <c r="L209" s="64"/>
      <c r="M209" s="48"/>
      <c r="N209" s="48"/>
      <c r="O209" s="64"/>
      <c r="P209" s="48"/>
      <c r="Q209" s="64"/>
      <c r="R209" s="64"/>
      <c r="S209" s="48"/>
      <c r="T209" s="48"/>
      <c r="U209" s="64"/>
      <c r="V209" s="48"/>
      <c r="W209" s="64"/>
      <c r="X209" s="64"/>
      <c r="Y209" s="48"/>
      <c r="Z209" s="48"/>
      <c r="AA209" s="48"/>
      <c r="AB209" s="48"/>
      <c r="AC209" s="48"/>
      <c r="AD209" s="48"/>
      <c r="AE209" s="64"/>
    </row>
    <row r="210" spans="1:31" ht="18" customHeight="1">
      <c r="A210" s="67"/>
      <c r="B210" s="1605" t="s">
        <v>255</v>
      </c>
      <c r="C210" s="2064"/>
      <c r="D210" s="1600" t="s">
        <v>19</v>
      </c>
      <c r="E210" s="1601"/>
      <c r="F210" s="1602"/>
      <c r="G210" s="1603"/>
      <c r="H210" s="2454" t="s">
        <v>20</v>
      </c>
      <c r="I210" s="1601"/>
      <c r="J210" s="1602"/>
      <c r="K210" s="1603"/>
      <c r="L210" s="1600" t="s">
        <v>21</v>
      </c>
      <c r="M210" s="1601"/>
      <c r="N210" s="1602"/>
      <c r="O210" s="1603"/>
      <c r="P210" s="1600" t="s">
        <v>22</v>
      </c>
      <c r="Q210" s="1601"/>
      <c r="R210" s="1602"/>
      <c r="S210" s="1603"/>
      <c r="T210" s="1600" t="s">
        <v>23</v>
      </c>
      <c r="U210" s="1601"/>
      <c r="V210" s="1602"/>
      <c r="W210" s="1603"/>
      <c r="X210" s="1600" t="s">
        <v>24</v>
      </c>
      <c r="Y210" s="1601"/>
      <c r="Z210" s="1602"/>
      <c r="AA210" s="1603"/>
      <c r="AB210" s="1600" t="s">
        <v>25</v>
      </c>
      <c r="AC210" s="1601"/>
      <c r="AD210" s="1601"/>
      <c r="AE210" s="1604" t="s">
        <v>108</v>
      </c>
    </row>
    <row r="211" spans="1:31" ht="18" customHeight="1">
      <c r="A211" s="67"/>
      <c r="B211" s="2191" t="s">
        <v>256</v>
      </c>
      <c r="C211" s="2455" t="s">
        <v>257</v>
      </c>
      <c r="D211" s="2456" t="s">
        <v>258</v>
      </c>
      <c r="E211" s="2457"/>
      <c r="F211" s="2458"/>
      <c r="G211" s="2459"/>
      <c r="H211" s="2460" t="s">
        <v>258</v>
      </c>
      <c r="I211" s="2461"/>
      <c r="J211" s="2458"/>
      <c r="K211" s="2459"/>
      <c r="L211" s="2462" t="s">
        <v>258</v>
      </c>
      <c r="M211" s="2461"/>
      <c r="N211" s="2458"/>
      <c r="O211" s="2459"/>
      <c r="P211" s="2462" t="s">
        <v>259</v>
      </c>
      <c r="Q211" s="2461"/>
      <c r="R211" s="2458"/>
      <c r="S211" s="2459"/>
      <c r="T211" s="2462" t="s">
        <v>260</v>
      </c>
      <c r="U211" s="2461"/>
      <c r="V211" s="2458"/>
      <c r="W211" s="2463"/>
      <c r="X211" s="2195"/>
      <c r="Y211" s="2195"/>
      <c r="Z211" s="2464"/>
      <c r="AA211" s="2463"/>
      <c r="AB211" s="2195"/>
      <c r="AC211" s="2195"/>
      <c r="AD211" s="2195"/>
      <c r="AE211" s="2463"/>
    </row>
    <row r="212" spans="1:31" ht="18" customHeight="1">
      <c r="A212" s="67"/>
      <c r="B212" s="2191" t="s">
        <v>261</v>
      </c>
      <c r="C212" s="2455" t="s">
        <v>130</v>
      </c>
      <c r="D212" s="2456" t="s">
        <v>258</v>
      </c>
      <c r="E212" s="2457"/>
      <c r="F212" s="2458"/>
      <c r="G212" s="2459"/>
      <c r="H212" s="2460" t="s">
        <v>258</v>
      </c>
      <c r="I212" s="2461"/>
      <c r="J212" s="2458"/>
      <c r="K212" s="2459"/>
      <c r="L212" s="2462" t="s">
        <v>262</v>
      </c>
      <c r="M212" s="2461"/>
      <c r="N212" s="2458"/>
      <c r="O212" s="2459"/>
      <c r="P212" s="2462" t="s">
        <v>263</v>
      </c>
      <c r="Q212" s="2461"/>
      <c r="R212" s="2458"/>
      <c r="S212" s="2459"/>
      <c r="T212" s="2462" t="s">
        <v>264</v>
      </c>
      <c r="U212" s="2461"/>
      <c r="V212" s="2458"/>
      <c r="W212" s="2463"/>
      <c r="X212" s="2195"/>
      <c r="Y212" s="2195"/>
      <c r="Z212" s="2464"/>
      <c r="AA212" s="2463"/>
      <c r="AB212" s="2195"/>
      <c r="AC212" s="2195"/>
      <c r="AD212" s="2195"/>
      <c r="AE212" s="2463"/>
    </row>
    <row r="213" spans="1:31" ht="18" customHeight="1">
      <c r="A213" s="67"/>
      <c r="B213" s="2191" t="s">
        <v>265</v>
      </c>
      <c r="C213" s="2455" t="s">
        <v>153</v>
      </c>
      <c r="D213" s="2456" t="s">
        <v>266</v>
      </c>
      <c r="E213" s="2457"/>
      <c r="F213" s="2458"/>
      <c r="G213" s="2459"/>
      <c r="H213" s="2465" t="s">
        <v>266</v>
      </c>
      <c r="I213" s="2461"/>
      <c r="J213" s="2458"/>
      <c r="K213" s="2459"/>
      <c r="L213" s="2456" t="s">
        <v>266</v>
      </c>
      <c r="M213" s="2461"/>
      <c r="N213" s="2458"/>
      <c r="O213" s="2459"/>
      <c r="P213" s="2462" t="s">
        <v>267</v>
      </c>
      <c r="Q213" s="2461"/>
      <c r="R213" s="2458"/>
      <c r="S213" s="2459"/>
      <c r="T213" s="2462" t="s">
        <v>264</v>
      </c>
      <c r="U213" s="2461"/>
      <c r="V213" s="2458"/>
      <c r="W213" s="2463"/>
      <c r="X213" s="2195"/>
      <c r="Y213" s="2195"/>
      <c r="Z213" s="2464"/>
      <c r="AA213" s="2463"/>
      <c r="AB213" s="2195"/>
      <c r="AC213" s="2195"/>
      <c r="AD213" s="2195"/>
      <c r="AE213" s="2463"/>
    </row>
    <row r="214" spans="1:31" ht="18" customHeight="1">
      <c r="A214" s="67"/>
      <c r="B214" s="2466" t="s">
        <v>272</v>
      </c>
      <c r="C214" s="2455" t="s">
        <v>128</v>
      </c>
      <c r="D214" s="2456" t="s">
        <v>273</v>
      </c>
      <c r="E214" s="2457"/>
      <c r="F214" s="2467"/>
      <c r="G214" s="2468"/>
      <c r="H214" s="2465" t="s">
        <v>273</v>
      </c>
      <c r="I214" s="2469"/>
      <c r="J214" s="2467"/>
      <c r="K214" s="2468"/>
      <c r="L214" s="2456" t="s">
        <v>273</v>
      </c>
      <c r="M214" s="2469"/>
      <c r="N214" s="2467"/>
      <c r="O214" s="2468"/>
      <c r="P214" s="2462" t="s">
        <v>274</v>
      </c>
      <c r="Q214" s="2469"/>
      <c r="R214" s="2467"/>
      <c r="S214" s="2468"/>
      <c r="T214" s="2462" t="s">
        <v>264</v>
      </c>
      <c r="U214" s="2469"/>
      <c r="V214" s="2194"/>
      <c r="W214" s="2470"/>
      <c r="X214" s="2471"/>
      <c r="Y214" s="2471"/>
      <c r="Z214" s="2377"/>
      <c r="AA214" s="2470"/>
      <c r="AB214" s="2471"/>
      <c r="AC214" s="2471"/>
      <c r="AD214" s="2471"/>
      <c r="AE214" s="2470"/>
    </row>
    <row r="215" spans="1:31" ht="18" customHeight="1">
      <c r="A215" s="67"/>
      <c r="B215" s="2191" t="s">
        <v>275</v>
      </c>
      <c r="C215" s="2455" t="s">
        <v>127</v>
      </c>
      <c r="D215" s="2456" t="s">
        <v>276</v>
      </c>
      <c r="E215" s="2457"/>
      <c r="F215" s="2458"/>
      <c r="G215" s="2459"/>
      <c r="H215" s="2465" t="s">
        <v>276</v>
      </c>
      <c r="I215" s="2461"/>
      <c r="J215" s="2458"/>
      <c r="K215" s="2459"/>
      <c r="L215" s="2456" t="s">
        <v>276</v>
      </c>
      <c r="M215" s="2461"/>
      <c r="N215" s="2458"/>
      <c r="O215" s="2459"/>
      <c r="P215" s="2462" t="s">
        <v>277</v>
      </c>
      <c r="Q215" s="2461"/>
      <c r="R215" s="2458"/>
      <c r="S215" s="2459"/>
      <c r="T215" s="2462" t="s">
        <v>264</v>
      </c>
      <c r="U215" s="2461"/>
      <c r="V215" s="2458"/>
      <c r="W215" s="2463"/>
      <c r="X215" s="2195"/>
      <c r="Y215" s="2195"/>
      <c r="Z215" s="2195"/>
      <c r="AA215" s="2463"/>
      <c r="AB215" s="2195"/>
      <c r="AC215" s="2195"/>
      <c r="AD215" s="2195"/>
      <c r="AE215" s="2463"/>
    </row>
    <row r="216" spans="1:31" ht="18" customHeight="1">
      <c r="A216" s="67"/>
      <c r="B216" s="2191" t="s">
        <v>278</v>
      </c>
      <c r="C216" s="2455" t="s">
        <v>116</v>
      </c>
      <c r="D216" s="2456" t="s">
        <v>279</v>
      </c>
      <c r="E216" s="2457"/>
      <c r="F216" s="2458"/>
      <c r="G216" s="2459"/>
      <c r="H216" s="2460" t="s">
        <v>279</v>
      </c>
      <c r="I216" s="2461"/>
      <c r="J216" s="2458"/>
      <c r="K216" s="2459"/>
      <c r="L216" s="2462" t="s">
        <v>279</v>
      </c>
      <c r="M216" s="2461"/>
      <c r="N216" s="2461"/>
      <c r="O216" s="2459"/>
      <c r="P216" s="2462" t="s">
        <v>279</v>
      </c>
      <c r="Q216" s="2461"/>
      <c r="R216" s="2461"/>
      <c r="S216" s="2459"/>
      <c r="T216" s="2462" t="s">
        <v>264</v>
      </c>
      <c r="U216" s="2461"/>
      <c r="V216" s="2458"/>
      <c r="W216" s="2191"/>
      <c r="X216" s="2195"/>
      <c r="Y216" s="2195"/>
      <c r="Z216" s="2464"/>
      <c r="AA216" s="2472"/>
      <c r="AB216" s="2195"/>
      <c r="AC216" s="2195"/>
      <c r="AD216" s="2195"/>
      <c r="AE216" s="2463"/>
    </row>
    <row r="217" spans="1:31" ht="18" customHeight="1">
      <c r="A217" s="67"/>
      <c r="B217" s="2191" t="s">
        <v>280</v>
      </c>
      <c r="C217" s="2455" t="s">
        <v>123</v>
      </c>
      <c r="D217" s="2456" t="s">
        <v>281</v>
      </c>
      <c r="E217" s="2457"/>
      <c r="F217" s="2458"/>
      <c r="G217" s="2459"/>
      <c r="H217" s="2460" t="s">
        <v>281</v>
      </c>
      <c r="I217" s="2461"/>
      <c r="J217" s="2458"/>
      <c r="K217" s="2459"/>
      <c r="L217" s="2462" t="s">
        <v>281</v>
      </c>
      <c r="M217" s="2461"/>
      <c r="N217" s="2461"/>
      <c r="O217" s="2459"/>
      <c r="P217" s="2462" t="s">
        <v>282</v>
      </c>
      <c r="Q217" s="2461"/>
      <c r="R217" s="2461"/>
      <c r="S217" s="2459"/>
      <c r="T217" s="2462" t="s">
        <v>283</v>
      </c>
      <c r="U217" s="2461"/>
      <c r="V217" s="2458"/>
      <c r="AA217" s="110"/>
      <c r="AE217" s="110"/>
    </row>
    <row r="218" spans="1:31" ht="18" customHeight="1" thickBot="1">
      <c r="A218" s="67"/>
      <c r="B218" t="s">
        <v>284</v>
      </c>
      <c r="C218" s="110"/>
      <c r="F218" s="110"/>
      <c r="I218" s="110"/>
      <c r="J218" s="110"/>
      <c r="L218" s="110"/>
      <c r="O218" s="110"/>
      <c r="Q218" s="110"/>
      <c r="R218" s="110"/>
      <c r="U218" s="110"/>
      <c r="W218" s="110"/>
      <c r="X218" s="110"/>
      <c r="AE218" s="110"/>
    </row>
    <row r="219" spans="1:31" ht="18" customHeight="1">
      <c r="A219" s="67"/>
      <c r="B219" s="1605" t="s">
        <v>255</v>
      </c>
      <c r="C219" s="1606"/>
      <c r="D219" s="1600" t="s">
        <v>19</v>
      </c>
      <c r="E219" s="1601"/>
      <c r="F219" s="1602"/>
      <c r="G219" s="1603"/>
      <c r="H219" s="2454" t="s">
        <v>20</v>
      </c>
      <c r="I219" s="1601"/>
      <c r="J219" s="1602"/>
      <c r="K219" s="1603"/>
      <c r="L219" s="1600" t="s">
        <v>21</v>
      </c>
      <c r="M219" s="1601"/>
      <c r="N219" s="1602"/>
      <c r="O219" s="1603"/>
      <c r="P219" s="1600" t="s">
        <v>22</v>
      </c>
      <c r="Q219" s="1601"/>
      <c r="R219" s="1602"/>
      <c r="S219" s="1603"/>
      <c r="T219" s="1600" t="s">
        <v>23</v>
      </c>
      <c r="U219" s="1601"/>
      <c r="V219" s="1602"/>
      <c r="W219" s="1603"/>
      <c r="X219" s="1600" t="s">
        <v>24</v>
      </c>
      <c r="Y219" s="1601"/>
      <c r="Z219" s="1602"/>
      <c r="AA219" s="1603"/>
      <c r="AB219" s="1600" t="s">
        <v>25</v>
      </c>
      <c r="AC219" s="1601"/>
      <c r="AD219" s="1601"/>
      <c r="AE219" s="1604" t="s">
        <v>108</v>
      </c>
    </row>
    <row r="220" spans="1:31" ht="18" customHeight="1">
      <c r="A220" s="67"/>
      <c r="B220" s="2191" t="s">
        <v>256</v>
      </c>
      <c r="C220" s="2455" t="s">
        <v>257</v>
      </c>
      <c r="D220" s="2456" t="s">
        <v>285</v>
      </c>
      <c r="E220" s="2457"/>
      <c r="F220" s="2458"/>
      <c r="G220" s="2459"/>
      <c r="H220" s="2465" t="s">
        <v>285</v>
      </c>
      <c r="I220" s="2461"/>
      <c r="J220" s="2458"/>
      <c r="K220" s="2459"/>
      <c r="L220" s="2456" t="s">
        <v>285</v>
      </c>
      <c r="M220" s="2461"/>
      <c r="N220" s="2458"/>
      <c r="O220" s="2459"/>
      <c r="P220" s="2462" t="s">
        <v>286</v>
      </c>
      <c r="Q220" s="2461"/>
      <c r="R220" s="2458"/>
      <c r="S220" s="2459"/>
      <c r="T220" s="2462" t="s">
        <v>287</v>
      </c>
      <c r="U220" s="2461"/>
      <c r="V220" s="2458"/>
      <c r="W220" s="2473"/>
      <c r="X220" s="2195"/>
      <c r="Y220" s="2195"/>
      <c r="Z220" s="2194"/>
      <c r="AA220" s="2473"/>
      <c r="AB220" s="2195"/>
      <c r="AC220" s="2195"/>
      <c r="AD220" s="2195"/>
      <c r="AE220" s="2473"/>
    </row>
    <row r="221" spans="1:31" ht="18" customHeight="1">
      <c r="A221" s="67"/>
      <c r="B221" s="2191" t="s">
        <v>261</v>
      </c>
      <c r="C221" s="2455" t="s">
        <v>130</v>
      </c>
      <c r="D221" s="2456" t="s">
        <v>285</v>
      </c>
      <c r="E221" s="2457"/>
      <c r="F221" s="2458"/>
      <c r="G221" s="2459"/>
      <c r="H221" s="2465" t="s">
        <v>285</v>
      </c>
      <c r="I221" s="2461"/>
      <c r="J221" s="2458"/>
      <c r="K221" s="2459"/>
      <c r="L221" s="2462" t="s">
        <v>262</v>
      </c>
      <c r="M221" s="2461"/>
      <c r="N221" s="2458"/>
      <c r="O221" s="2459"/>
      <c r="P221" s="2462" t="s">
        <v>288</v>
      </c>
      <c r="Q221" s="2461"/>
      <c r="R221" s="2458"/>
      <c r="S221" s="2459"/>
      <c r="T221" s="2462" t="s">
        <v>289</v>
      </c>
      <c r="U221" s="2461"/>
      <c r="V221" s="2458"/>
      <c r="W221" s="2473"/>
      <c r="X221" s="2195"/>
      <c r="Y221" s="2195"/>
      <c r="Z221" s="2194"/>
      <c r="AA221" s="2473"/>
      <c r="AB221" s="2195"/>
      <c r="AC221" s="2195"/>
      <c r="AD221" s="2195"/>
      <c r="AE221" s="2473"/>
    </row>
    <row r="222" spans="1:31" ht="18" customHeight="1">
      <c r="A222" s="67"/>
      <c r="B222" s="2191" t="s">
        <v>265</v>
      </c>
      <c r="C222" s="2455" t="s">
        <v>153</v>
      </c>
      <c r="D222" s="2456" t="s">
        <v>285</v>
      </c>
      <c r="E222" s="2457"/>
      <c r="F222" s="2458"/>
      <c r="G222" s="2459"/>
      <c r="H222" s="2465" t="s">
        <v>285</v>
      </c>
      <c r="I222" s="2461"/>
      <c r="J222" s="2458"/>
      <c r="K222" s="2459"/>
      <c r="L222" s="2456" t="s">
        <v>285</v>
      </c>
      <c r="M222" s="2461"/>
      <c r="N222" s="2458"/>
      <c r="O222" s="2459"/>
      <c r="P222" s="2462" t="s">
        <v>290</v>
      </c>
      <c r="Q222" s="2461"/>
      <c r="R222" s="2458"/>
      <c r="S222" s="2459"/>
      <c r="T222" s="2462" t="s">
        <v>289</v>
      </c>
      <c r="U222" s="2461"/>
      <c r="V222" s="2458"/>
      <c r="W222" s="2473"/>
      <c r="X222" s="2195"/>
      <c r="Y222" s="2195"/>
      <c r="Z222" s="2194"/>
      <c r="AA222" s="2473"/>
      <c r="AB222" s="2195"/>
      <c r="AC222" s="2195"/>
      <c r="AD222" s="2195"/>
      <c r="AE222" s="2473"/>
    </row>
    <row r="223" spans="1:31" ht="18" customHeight="1">
      <c r="A223" s="67"/>
      <c r="B223" s="2466" t="s">
        <v>272</v>
      </c>
      <c r="C223" s="2455" t="s">
        <v>128</v>
      </c>
      <c r="D223" s="2456" t="s">
        <v>285</v>
      </c>
      <c r="E223" s="2457"/>
      <c r="F223" s="2458"/>
      <c r="G223" s="2459"/>
      <c r="H223" s="2465" t="s">
        <v>285</v>
      </c>
      <c r="I223" s="2461"/>
      <c r="J223" s="2458"/>
      <c r="K223" s="2459"/>
      <c r="L223" s="2456" t="s">
        <v>285</v>
      </c>
      <c r="M223" s="2461"/>
      <c r="N223" s="2458"/>
      <c r="O223" s="2459"/>
      <c r="P223" s="2462" t="s">
        <v>290</v>
      </c>
      <c r="Q223" s="2461"/>
      <c r="R223" s="2458"/>
      <c r="S223" s="2459"/>
      <c r="T223" s="2462" t="s">
        <v>289</v>
      </c>
      <c r="U223" s="2461"/>
      <c r="V223" s="2458"/>
      <c r="W223" s="2470"/>
      <c r="X223" s="2471"/>
      <c r="Y223" s="2471"/>
      <c r="Z223" s="2377"/>
      <c r="AA223" s="2470"/>
      <c r="AB223" s="2471"/>
      <c r="AC223" s="2471"/>
      <c r="AD223" s="2471"/>
      <c r="AE223" s="2470"/>
    </row>
    <row r="224" spans="1:31" ht="18" customHeight="1">
      <c r="A224" s="67"/>
      <c r="B224" s="2191" t="s">
        <v>275</v>
      </c>
      <c r="C224" s="2455" t="s">
        <v>127</v>
      </c>
      <c r="D224" s="2456" t="s">
        <v>285</v>
      </c>
      <c r="E224" s="2457"/>
      <c r="F224" s="2458"/>
      <c r="G224" s="2459"/>
      <c r="H224" s="2465" t="s">
        <v>285</v>
      </c>
      <c r="I224" s="2461"/>
      <c r="J224" s="2458"/>
      <c r="K224" s="2459"/>
      <c r="L224" s="2456" t="s">
        <v>285</v>
      </c>
      <c r="M224" s="2461"/>
      <c r="N224" s="2458"/>
      <c r="O224" s="2459"/>
      <c r="P224" s="2462" t="s">
        <v>286</v>
      </c>
      <c r="Q224" s="2461"/>
      <c r="R224" s="2458"/>
      <c r="S224" s="2459"/>
      <c r="T224" s="2462" t="s">
        <v>287</v>
      </c>
      <c r="U224" s="2461"/>
      <c r="V224" s="2458"/>
      <c r="W224" s="2473"/>
      <c r="X224" s="2195"/>
      <c r="Y224" s="2195"/>
      <c r="Z224" s="2195"/>
      <c r="AA224" s="2473"/>
      <c r="AB224" s="2195"/>
      <c r="AC224" s="2195"/>
      <c r="AD224" s="2195"/>
      <c r="AE224" s="2473"/>
    </row>
    <row r="225" spans="1:33" ht="18" customHeight="1">
      <c r="A225" s="67"/>
      <c r="B225" s="2191" t="s">
        <v>278</v>
      </c>
      <c r="C225" s="2455" t="s">
        <v>116</v>
      </c>
      <c r="D225" s="2456" t="s">
        <v>279</v>
      </c>
      <c r="E225" s="2457"/>
      <c r="F225" s="2458"/>
      <c r="G225" s="2459"/>
      <c r="H225" s="2460" t="s">
        <v>279</v>
      </c>
      <c r="I225" s="2461"/>
      <c r="J225" s="2458"/>
      <c r="K225" s="2459"/>
      <c r="L225" s="2462" t="s">
        <v>279</v>
      </c>
      <c r="M225" s="2461"/>
      <c r="N225" s="2461"/>
      <c r="O225" s="2459"/>
      <c r="P225" s="2462" t="s">
        <v>279</v>
      </c>
      <c r="Q225" s="2461"/>
      <c r="R225" s="2461"/>
      <c r="S225" s="2459"/>
      <c r="T225" s="2462" t="s">
        <v>264</v>
      </c>
      <c r="U225" s="2461"/>
      <c r="V225" s="2458"/>
      <c r="W225" s="2191"/>
      <c r="X225" s="2195"/>
      <c r="Y225" s="2195"/>
      <c r="Z225" s="2194"/>
      <c r="AA225" s="2472"/>
      <c r="AB225" s="2195"/>
      <c r="AC225" s="2195"/>
      <c r="AD225" s="2195"/>
      <c r="AE225" s="2473"/>
      <c r="AF225" s="2195"/>
      <c r="AG225" s="2474"/>
    </row>
    <row r="226" spans="1:33" ht="18" customHeight="1">
      <c r="A226" s="67"/>
      <c r="B226" s="2191" t="s">
        <v>280</v>
      </c>
      <c r="C226" s="2455" t="s">
        <v>123</v>
      </c>
      <c r="D226" s="2456" t="s">
        <v>281</v>
      </c>
      <c r="E226" s="2457"/>
      <c r="F226" s="2458"/>
      <c r="G226" s="2459"/>
      <c r="H226" s="2460" t="s">
        <v>281</v>
      </c>
      <c r="I226" s="2461"/>
      <c r="J226" s="2458"/>
      <c r="K226" s="2459"/>
      <c r="L226" s="2462" t="s">
        <v>281</v>
      </c>
      <c r="M226" s="2461"/>
      <c r="N226" s="2461"/>
      <c r="O226" s="2459"/>
      <c r="P226" s="2462" t="s">
        <v>282</v>
      </c>
      <c r="Q226" s="2461"/>
      <c r="R226" s="2461"/>
      <c r="S226" s="2459"/>
      <c r="T226" s="2462" t="s">
        <v>283</v>
      </c>
      <c r="U226" s="2461"/>
      <c r="V226" s="2458"/>
      <c r="W226" s="2191"/>
      <c r="X226" s="2195"/>
      <c r="Y226" s="2195"/>
      <c r="Z226" s="2194"/>
      <c r="AA226" s="2472"/>
      <c r="AB226" s="2195"/>
      <c r="AC226" s="2195"/>
      <c r="AD226" s="2195"/>
      <c r="AE226" s="2473"/>
      <c r="AF226" s="2195"/>
      <c r="AG226" s="2474"/>
    </row>
    <row r="227" spans="1:33" ht="18" customHeight="1" thickBot="1">
      <c r="A227" s="67"/>
      <c r="B227" s="119"/>
      <c r="C227" s="120"/>
      <c r="D227" s="121"/>
      <c r="E227" s="122"/>
      <c r="F227" s="122"/>
      <c r="G227" s="123"/>
      <c r="H227" s="216"/>
      <c r="I227" s="122"/>
      <c r="J227" s="122"/>
      <c r="K227" s="123"/>
      <c r="L227" s="121"/>
      <c r="M227" s="122"/>
      <c r="N227" s="122"/>
      <c r="O227" s="123"/>
      <c r="P227" s="115"/>
      <c r="Q227" s="122"/>
      <c r="R227" s="122"/>
      <c r="S227" s="123"/>
      <c r="T227" s="115"/>
      <c r="U227" s="122"/>
      <c r="V227" s="122"/>
      <c r="W227" s="122"/>
      <c r="X227" s="122"/>
      <c r="Y227" s="122"/>
      <c r="Z227" s="122"/>
      <c r="AA227" s="123"/>
      <c r="AB227" s="122"/>
      <c r="AC227" s="122"/>
      <c r="AD227" s="122"/>
      <c r="AE227" s="123"/>
      <c r="AF227" s="122"/>
      <c r="AG227" s="112"/>
    </row>
    <row r="228" spans="1:33" ht="18" customHeight="1" thickBot="1">
      <c r="A228" s="89"/>
      <c r="B228" s="2475" t="s">
        <v>401</v>
      </c>
      <c r="C228" s="1580">
        <v>1</v>
      </c>
      <c r="D228" s="1578">
        <v>2</v>
      </c>
      <c r="E228" s="1578">
        <v>3</v>
      </c>
      <c r="F228" s="1578">
        <v>4</v>
      </c>
      <c r="G228" s="1580">
        <v>5</v>
      </c>
      <c r="H228" s="1578">
        <v>6</v>
      </c>
      <c r="I228" s="1580">
        <v>7</v>
      </c>
      <c r="J228" s="1580">
        <v>8</v>
      </c>
      <c r="K228" s="1580">
        <v>9</v>
      </c>
      <c r="L228" s="1578">
        <v>10</v>
      </c>
      <c r="M228" s="1578">
        <v>11</v>
      </c>
      <c r="N228" s="1578">
        <v>12</v>
      </c>
      <c r="O228" s="1578">
        <v>13</v>
      </c>
      <c r="P228" s="1580">
        <v>14</v>
      </c>
      <c r="Q228" s="1580">
        <v>15</v>
      </c>
      <c r="R228" s="1578">
        <v>16</v>
      </c>
      <c r="S228" s="1578">
        <v>17</v>
      </c>
      <c r="T228" s="1578">
        <v>18</v>
      </c>
      <c r="U228" s="1578">
        <v>19</v>
      </c>
      <c r="V228" s="1578">
        <v>20</v>
      </c>
      <c r="W228" s="1580">
        <v>21</v>
      </c>
      <c r="X228" s="1580">
        <v>22</v>
      </c>
      <c r="Y228" s="1578">
        <v>23</v>
      </c>
      <c r="Z228" s="1578">
        <v>24</v>
      </c>
      <c r="AA228" s="1578">
        <v>25</v>
      </c>
      <c r="AB228" s="1578">
        <v>26</v>
      </c>
      <c r="AC228" s="1578">
        <v>27</v>
      </c>
      <c r="AD228" s="1580">
        <v>28</v>
      </c>
      <c r="AE228" s="1580">
        <v>29</v>
      </c>
      <c r="AF228" s="1578">
        <v>30</v>
      </c>
      <c r="AG228" s="103"/>
    </row>
    <row r="229" spans="1:33" ht="18" customHeight="1">
      <c r="A229" s="67"/>
      <c r="B229" s="2476" t="s">
        <v>293</v>
      </c>
      <c r="C229" s="2312"/>
      <c r="D229" s="2312" t="s">
        <v>152</v>
      </c>
      <c r="E229" s="2312" t="s">
        <v>152</v>
      </c>
      <c r="F229" s="2312" t="s">
        <v>152</v>
      </c>
      <c r="G229" s="2312"/>
      <c r="H229" s="2312" t="s">
        <v>152</v>
      </c>
      <c r="I229" s="2312"/>
      <c r="J229" s="2312"/>
      <c r="K229" s="2312"/>
      <c r="L229" s="2312" t="s">
        <v>152</v>
      </c>
      <c r="M229" s="2312" t="s">
        <v>152</v>
      </c>
      <c r="N229" s="2312" t="s">
        <v>152</v>
      </c>
      <c r="O229" s="2312" t="s">
        <v>152</v>
      </c>
      <c r="P229" s="2312"/>
      <c r="Q229" s="2312"/>
      <c r="R229" s="2312" t="s">
        <v>152</v>
      </c>
      <c r="S229" s="2312" t="s">
        <v>152</v>
      </c>
      <c r="T229" s="2312" t="s">
        <v>152</v>
      </c>
      <c r="U229" s="2312" t="s">
        <v>152</v>
      </c>
      <c r="V229" s="2312" t="s">
        <v>152</v>
      </c>
      <c r="W229" s="2312"/>
      <c r="X229" s="2312"/>
      <c r="Y229" s="2312" t="s">
        <v>152</v>
      </c>
      <c r="Z229" s="2312" t="s">
        <v>152</v>
      </c>
      <c r="AA229" s="2312" t="s">
        <v>152</v>
      </c>
      <c r="AB229" s="2312" t="s">
        <v>152</v>
      </c>
      <c r="AC229" s="2312" t="s">
        <v>152</v>
      </c>
      <c r="AD229" s="2312"/>
      <c r="AE229" s="2312"/>
      <c r="AF229" s="2312" t="s">
        <v>152</v>
      </c>
      <c r="AG229" s="105"/>
    </row>
    <row r="230" spans="1:33" ht="18" customHeight="1">
      <c r="A230" s="67"/>
      <c r="B230" s="2476" t="s">
        <v>294</v>
      </c>
      <c r="C230" s="2312"/>
      <c r="D230" s="2441" t="s">
        <v>130</v>
      </c>
      <c r="E230" s="2441" t="s">
        <v>130</v>
      </c>
      <c r="F230" s="2441" t="s">
        <v>130</v>
      </c>
      <c r="G230" s="2441"/>
      <c r="H230" s="2477" t="s">
        <v>130</v>
      </c>
      <c r="I230" s="2441"/>
      <c r="J230" s="2441"/>
      <c r="K230" s="2441"/>
      <c r="L230" s="2478" t="s">
        <v>130</v>
      </c>
      <c r="M230" s="2478" t="s">
        <v>402</v>
      </c>
      <c r="N230" s="2441" t="s">
        <v>130</v>
      </c>
      <c r="O230" s="2441" t="s">
        <v>130</v>
      </c>
      <c r="P230" s="2441"/>
      <c r="Q230" s="2441"/>
      <c r="R230" s="2441" t="s">
        <v>130</v>
      </c>
      <c r="S230" s="2441" t="s">
        <v>130</v>
      </c>
      <c r="T230" s="2441" t="s">
        <v>130</v>
      </c>
      <c r="U230" s="2441" t="s">
        <v>130</v>
      </c>
      <c r="V230" s="2441" t="s">
        <v>130</v>
      </c>
      <c r="W230" s="2441"/>
      <c r="X230" s="2441"/>
      <c r="Y230" s="2441" t="s">
        <v>130</v>
      </c>
      <c r="Z230" s="2441" t="s">
        <v>130</v>
      </c>
      <c r="AA230" s="2441" t="s">
        <v>130</v>
      </c>
      <c r="AB230" s="2441" t="s">
        <v>130</v>
      </c>
      <c r="AC230" s="2441" t="s">
        <v>130</v>
      </c>
      <c r="AD230" s="2441"/>
      <c r="AE230" s="2441"/>
      <c r="AF230" s="2441" t="s">
        <v>130</v>
      </c>
      <c r="AG230" s="105"/>
    </row>
    <row r="231" spans="1:33" ht="18" customHeight="1">
      <c r="A231" s="67"/>
      <c r="B231" s="2479" t="s">
        <v>295</v>
      </c>
      <c r="C231" s="2312"/>
      <c r="D231" s="2312" t="s">
        <v>153</v>
      </c>
      <c r="E231" s="2312" t="s">
        <v>153</v>
      </c>
      <c r="F231" s="2312" t="s">
        <v>153</v>
      </c>
      <c r="G231" s="2312"/>
      <c r="H231" s="2312" t="s">
        <v>153</v>
      </c>
      <c r="I231" s="2312"/>
      <c r="J231" s="2312"/>
      <c r="K231" s="2312"/>
      <c r="L231" s="2312" t="s">
        <v>153</v>
      </c>
      <c r="M231" s="2312" t="s">
        <v>153</v>
      </c>
      <c r="N231" s="2312" t="s">
        <v>153</v>
      </c>
      <c r="O231" s="2312" t="s">
        <v>153</v>
      </c>
      <c r="P231" s="2312"/>
      <c r="Q231" s="2312"/>
      <c r="R231" s="2312" t="s">
        <v>153</v>
      </c>
      <c r="S231" s="2312" t="s">
        <v>153</v>
      </c>
      <c r="T231" s="2312" t="s">
        <v>153</v>
      </c>
      <c r="U231" s="2312" t="s">
        <v>153</v>
      </c>
      <c r="V231" s="2312" t="s">
        <v>153</v>
      </c>
      <c r="W231" s="2312"/>
      <c r="X231" s="2312"/>
      <c r="Y231" s="2392" t="s">
        <v>153</v>
      </c>
      <c r="Z231" s="2312" t="s">
        <v>153</v>
      </c>
      <c r="AA231" s="2312" t="s">
        <v>153</v>
      </c>
      <c r="AB231" s="2312" t="s">
        <v>153</v>
      </c>
      <c r="AC231" s="2312" t="s">
        <v>153</v>
      </c>
      <c r="AD231" s="2312"/>
      <c r="AE231" s="2312"/>
      <c r="AF231" s="2312" t="s">
        <v>153</v>
      </c>
      <c r="AG231" s="105"/>
    </row>
    <row r="232" spans="1:33" ht="18" customHeight="1">
      <c r="A232" s="67"/>
      <c r="B232" s="2198" t="s">
        <v>297</v>
      </c>
      <c r="C232" s="2312"/>
      <c r="D232" s="2312" t="s">
        <v>128</v>
      </c>
      <c r="E232" s="2312" t="s">
        <v>128</v>
      </c>
      <c r="F232" s="2312" t="s">
        <v>128</v>
      </c>
      <c r="G232" s="2312"/>
      <c r="H232" s="2312" t="s">
        <v>128</v>
      </c>
      <c r="I232" s="2312"/>
      <c r="J232" s="2312"/>
      <c r="K232" s="2312"/>
      <c r="L232" s="2312" t="s">
        <v>46</v>
      </c>
      <c r="M232" s="2312" t="s">
        <v>128</v>
      </c>
      <c r="N232" s="2312" t="s">
        <v>128</v>
      </c>
      <c r="O232" s="2312" t="s">
        <v>128</v>
      </c>
      <c r="P232" s="2312"/>
      <c r="Q232" s="2312"/>
      <c r="R232" s="2312" t="s">
        <v>128</v>
      </c>
      <c r="S232" s="2312" t="s">
        <v>128</v>
      </c>
      <c r="T232" s="2312" t="s">
        <v>128</v>
      </c>
      <c r="U232" s="2312" t="s">
        <v>128</v>
      </c>
      <c r="V232" s="2312" t="s">
        <v>128</v>
      </c>
      <c r="W232" s="2312"/>
      <c r="X232" s="2312"/>
      <c r="Y232" s="2352" t="s">
        <v>128</v>
      </c>
      <c r="Z232" s="2312" t="s">
        <v>128</v>
      </c>
      <c r="AA232" s="2312" t="s">
        <v>128</v>
      </c>
      <c r="AB232" s="2312" t="s">
        <v>128</v>
      </c>
      <c r="AC232" s="2312" t="s">
        <v>128</v>
      </c>
      <c r="AD232" s="2312"/>
      <c r="AE232" s="2312"/>
      <c r="AF232" s="2312" t="s">
        <v>128</v>
      </c>
      <c r="AG232" s="105"/>
    </row>
    <row r="233" spans="1:33" ht="18" customHeight="1">
      <c r="A233" s="67"/>
      <c r="B233" s="2480" t="s">
        <v>298</v>
      </c>
      <c r="C233" s="2312"/>
      <c r="D233" s="2312" t="s">
        <v>127</v>
      </c>
      <c r="E233" s="2312" t="s">
        <v>127</v>
      </c>
      <c r="F233" s="2312" t="s">
        <v>127</v>
      </c>
      <c r="G233" s="2312"/>
      <c r="H233" s="2312" t="s">
        <v>127</v>
      </c>
      <c r="I233" s="2312"/>
      <c r="J233" s="2312"/>
      <c r="K233" s="2312"/>
      <c r="L233" s="2312" t="s">
        <v>127</v>
      </c>
      <c r="M233" s="2312" t="s">
        <v>127</v>
      </c>
      <c r="N233" s="2312" t="s">
        <v>127</v>
      </c>
      <c r="O233" s="2312" t="s">
        <v>127</v>
      </c>
      <c r="P233" s="2312"/>
      <c r="Q233" s="2312"/>
      <c r="R233" s="2312" t="s">
        <v>127</v>
      </c>
      <c r="S233" s="2312" t="s">
        <v>127</v>
      </c>
      <c r="T233" s="2312" t="s">
        <v>127</v>
      </c>
      <c r="U233" s="2312" t="s">
        <v>127</v>
      </c>
      <c r="V233" s="2312" t="s">
        <v>127</v>
      </c>
      <c r="W233" s="2312"/>
      <c r="X233" s="2312"/>
      <c r="Y233" s="2312" t="s">
        <v>127</v>
      </c>
      <c r="Z233" s="2312" t="s">
        <v>127</v>
      </c>
      <c r="AA233" s="2312" t="s">
        <v>127</v>
      </c>
      <c r="AB233" s="2312" t="s">
        <v>127</v>
      </c>
      <c r="AC233" s="2312" t="s">
        <v>127</v>
      </c>
      <c r="AD233" s="2312"/>
      <c r="AE233" s="2312"/>
      <c r="AF233" s="2312" t="s">
        <v>127</v>
      </c>
      <c r="AG233" s="105"/>
    </row>
    <row r="234" spans="1:33" ht="18" customHeight="1">
      <c r="A234" s="67"/>
      <c r="B234" s="2311"/>
      <c r="C234" s="2312"/>
      <c r="D234" s="2312" t="s">
        <v>403</v>
      </c>
      <c r="E234" s="2312" t="s">
        <v>403</v>
      </c>
      <c r="F234" s="2312" t="s">
        <v>403</v>
      </c>
      <c r="G234" s="2312"/>
      <c r="H234" s="2312" t="s">
        <v>403</v>
      </c>
      <c r="I234" s="2312"/>
      <c r="J234" s="2312"/>
      <c r="K234" s="2312"/>
      <c r="L234" s="2312" t="s">
        <v>403</v>
      </c>
      <c r="M234" s="2312" t="s">
        <v>403</v>
      </c>
      <c r="N234" s="2312" t="s">
        <v>403</v>
      </c>
      <c r="O234" s="2312" t="s">
        <v>403</v>
      </c>
      <c r="P234" s="2312"/>
      <c r="Q234" s="2312"/>
      <c r="R234" s="2312" t="s">
        <v>403</v>
      </c>
      <c r="S234" s="2312" t="s">
        <v>403</v>
      </c>
      <c r="T234" s="2312" t="s">
        <v>403</v>
      </c>
      <c r="U234" s="2312" t="s">
        <v>403</v>
      </c>
      <c r="V234" s="2312" t="s">
        <v>403</v>
      </c>
      <c r="W234" s="2312"/>
      <c r="X234" s="2312"/>
      <c r="Y234" s="2312" t="s">
        <v>403</v>
      </c>
      <c r="Z234" s="2312" t="s">
        <v>403</v>
      </c>
      <c r="AA234" s="2312" t="s">
        <v>403</v>
      </c>
      <c r="AB234" s="2312" t="s">
        <v>403</v>
      </c>
      <c r="AC234" s="2312" t="s">
        <v>403</v>
      </c>
      <c r="AD234" s="2312"/>
      <c r="AE234" s="2312"/>
      <c r="AF234" s="2312" t="s">
        <v>403</v>
      </c>
      <c r="AG234" s="105"/>
    </row>
    <row r="235" spans="1:33" ht="18" customHeight="1">
      <c r="A235" s="67"/>
      <c r="B235" s="2481" t="s">
        <v>299</v>
      </c>
      <c r="C235" s="2312"/>
      <c r="D235" s="2312" t="s">
        <v>123</v>
      </c>
      <c r="E235" s="2312" t="s">
        <v>123</v>
      </c>
      <c r="F235" s="2312" t="s">
        <v>123</v>
      </c>
      <c r="G235" s="2312"/>
      <c r="H235" s="2312" t="s">
        <v>123</v>
      </c>
      <c r="I235" s="2312"/>
      <c r="J235" s="2312"/>
      <c r="K235" s="2312"/>
      <c r="L235" s="2312" t="s">
        <v>123</v>
      </c>
      <c r="M235" s="2312" t="s">
        <v>123</v>
      </c>
      <c r="N235" s="2312" t="s">
        <v>123</v>
      </c>
      <c r="O235" s="2312" t="s">
        <v>123</v>
      </c>
      <c r="P235" s="2312"/>
      <c r="Q235" s="2312"/>
      <c r="R235" s="2312" t="s">
        <v>123</v>
      </c>
      <c r="S235" s="2312" t="s">
        <v>123</v>
      </c>
      <c r="T235" s="2312" t="s">
        <v>123</v>
      </c>
      <c r="U235" s="2312" t="s">
        <v>123</v>
      </c>
      <c r="V235" s="2312" t="s">
        <v>123</v>
      </c>
      <c r="W235" s="2312"/>
      <c r="X235" s="2312"/>
      <c r="Y235" s="2312" t="s">
        <v>123</v>
      </c>
      <c r="Z235" s="2312" t="s">
        <v>123</v>
      </c>
      <c r="AA235" s="2312" t="s">
        <v>123</v>
      </c>
      <c r="AB235" s="2312" t="s">
        <v>123</v>
      </c>
      <c r="AC235" s="2312" t="s">
        <v>123</v>
      </c>
      <c r="AD235" s="2312"/>
      <c r="AE235" s="2312"/>
      <c r="AF235" s="2312" t="s">
        <v>123</v>
      </c>
      <c r="AG235" s="105"/>
    </row>
    <row r="236" spans="1:33" ht="18" customHeight="1">
      <c r="A236" s="67"/>
      <c r="B236" s="2481" t="s">
        <v>300</v>
      </c>
      <c r="C236" s="2312"/>
      <c r="D236" s="2354" t="s">
        <v>116</v>
      </c>
      <c r="E236" s="2354" t="s">
        <v>116</v>
      </c>
      <c r="F236" s="2354" t="s">
        <v>116</v>
      </c>
      <c r="G236" s="2354"/>
      <c r="H236" s="2354" t="s">
        <v>116</v>
      </c>
      <c r="I236" s="2354"/>
      <c r="J236" s="2354"/>
      <c r="K236" s="2354"/>
      <c r="L236" s="2354" t="s">
        <v>116</v>
      </c>
      <c r="M236" s="2354" t="s">
        <v>116</v>
      </c>
      <c r="N236" s="2354" t="s">
        <v>116</v>
      </c>
      <c r="O236" s="2354" t="s">
        <v>116</v>
      </c>
      <c r="P236" s="2354"/>
      <c r="Q236" s="2354"/>
      <c r="R236" s="2354" t="s">
        <v>116</v>
      </c>
      <c r="S236" s="2354" t="s">
        <v>116</v>
      </c>
      <c r="T236" s="2354" t="s">
        <v>116</v>
      </c>
      <c r="U236" s="2354" t="s">
        <v>116</v>
      </c>
      <c r="V236" s="2354" t="s">
        <v>116</v>
      </c>
      <c r="W236" s="2354"/>
      <c r="X236" s="2354"/>
      <c r="Y236" s="2354" t="s">
        <v>116</v>
      </c>
      <c r="Z236" s="2354" t="s">
        <v>116</v>
      </c>
      <c r="AA236" s="2354" t="s">
        <v>116</v>
      </c>
      <c r="AB236" s="2354" t="s">
        <v>116</v>
      </c>
      <c r="AC236" s="2354" t="s">
        <v>116</v>
      </c>
      <c r="AD236" s="2354"/>
      <c r="AE236" s="2354"/>
      <c r="AF236" s="2354" t="s">
        <v>116</v>
      </c>
      <c r="AG236" s="65" t="s">
        <v>133</v>
      </c>
    </row>
    <row r="237" spans="1:33" ht="18" customHeight="1">
      <c r="A237" s="89"/>
      <c r="B237" s="125"/>
      <c r="C237" s="124"/>
      <c r="D237" s="124"/>
      <c r="E237" s="124"/>
      <c r="F237" s="124"/>
      <c r="G237" s="124"/>
      <c r="H237" s="124"/>
      <c r="I237" s="124"/>
      <c r="J237" s="124"/>
      <c r="K237" s="124"/>
      <c r="L237" s="124"/>
      <c r="M237" s="124"/>
      <c r="N237" s="124"/>
      <c r="O237" s="124"/>
      <c r="P237" s="124"/>
      <c r="Q237" s="124"/>
      <c r="R237" s="124"/>
      <c r="S237" s="124"/>
      <c r="T237" s="124"/>
      <c r="U237" s="124"/>
      <c r="V237" s="124"/>
      <c r="W237" s="124"/>
      <c r="X237" s="124"/>
      <c r="Y237" s="124"/>
      <c r="Z237" s="124"/>
      <c r="AA237" s="124"/>
      <c r="AB237" s="124"/>
      <c r="AC237" s="124"/>
      <c r="AD237" s="124"/>
      <c r="AE237" s="124"/>
      <c r="AF237" s="124"/>
    </row>
    <row r="238" spans="1:33" ht="18" customHeight="1">
      <c r="C238" s="18"/>
      <c r="D238" s="18"/>
      <c r="E238" s="18"/>
      <c r="F238" s="18"/>
      <c r="G238" s="18"/>
      <c r="H238" s="217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8"/>
      <c r="V238" s="18"/>
      <c r="W238" s="18"/>
      <c r="X238" s="18"/>
      <c r="Y238" s="18"/>
      <c r="Z238" s="18"/>
      <c r="AA238" s="18"/>
      <c r="AB238" s="18"/>
      <c r="AC238" s="18"/>
      <c r="AD238" s="18"/>
      <c r="AE238" s="18"/>
      <c r="AF238" s="18"/>
    </row>
    <row r="239" spans="1:33" ht="18" customHeight="1" thickBot="1">
      <c r="A239" s="1" t="s">
        <v>302</v>
      </c>
      <c r="B239" s="37"/>
    </row>
    <row r="240" spans="1:33" ht="18" customHeight="1">
      <c r="A240" s="1"/>
      <c r="B240" s="2482" t="s">
        <v>303</v>
      </c>
      <c r="C240" s="2092" t="s">
        <v>19</v>
      </c>
      <c r="D240" s="1619"/>
      <c r="E240" s="1619"/>
      <c r="F240" s="1619"/>
      <c r="G240" s="2092" t="s">
        <v>20</v>
      </c>
      <c r="H240" s="2483"/>
      <c r="I240" s="1619"/>
      <c r="J240" s="1619"/>
      <c r="K240" s="2092" t="s">
        <v>21</v>
      </c>
      <c r="L240" s="1619"/>
      <c r="M240" s="1619"/>
      <c r="N240" s="1619"/>
      <c r="O240" s="2092" t="s">
        <v>22</v>
      </c>
      <c r="P240" s="1619"/>
      <c r="Q240" s="1619"/>
      <c r="R240" s="1619"/>
      <c r="S240" s="2092" t="s">
        <v>23</v>
      </c>
      <c r="T240" s="1619"/>
      <c r="U240" s="1619"/>
      <c r="V240" s="1619"/>
      <c r="W240" s="2092" t="s">
        <v>24</v>
      </c>
      <c r="X240" s="1643"/>
      <c r="Y240" s="1619"/>
      <c r="Z240" s="2093"/>
      <c r="AA240" s="2092" t="s">
        <v>25</v>
      </c>
      <c r="AB240" s="1643"/>
      <c r="AC240" s="1619"/>
      <c r="AD240" s="2093"/>
      <c r="AE240" s="2094" t="s">
        <v>108</v>
      </c>
      <c r="AF240" s="1619"/>
      <c r="AG240" s="1643"/>
    </row>
    <row r="241" spans="1:32" ht="18" customHeight="1">
      <c r="A241" s="1"/>
      <c r="B241" s="2484">
        <v>3701</v>
      </c>
      <c r="C241" s="68" t="s">
        <v>304</v>
      </c>
      <c r="D241" s="68"/>
      <c r="E241" s="68"/>
      <c r="F241" s="68"/>
      <c r="G241" s="279" t="s">
        <v>305</v>
      </c>
      <c r="H241" s="178"/>
      <c r="I241" s="68"/>
      <c r="J241" s="68"/>
      <c r="K241" s="279" t="s">
        <v>305</v>
      </c>
      <c r="L241" s="68"/>
      <c r="M241" s="68"/>
      <c r="N241" s="68"/>
      <c r="O241" s="279" t="s">
        <v>305</v>
      </c>
      <c r="P241" s="68"/>
      <c r="Q241" s="68"/>
      <c r="R241" s="68"/>
      <c r="S241" s="279" t="s">
        <v>306</v>
      </c>
      <c r="T241" s="68"/>
      <c r="U241" s="68"/>
      <c r="V241" s="68"/>
      <c r="W241" s="2375"/>
      <c r="X241" s="2485"/>
      <c r="Y241" s="2275"/>
      <c r="Z241" s="2486"/>
      <c r="AA241" s="2375"/>
      <c r="AB241" s="2485"/>
      <c r="AC241" s="2275"/>
      <c r="AD241" s="2486"/>
      <c r="AE241" s="2405"/>
      <c r="AF241" s="2275"/>
    </row>
    <row r="242" spans="1:32" ht="18" customHeight="1">
      <c r="B242" s="2482">
        <v>3700</v>
      </c>
      <c r="C242" s="2275" t="s">
        <v>204</v>
      </c>
      <c r="D242" s="2275"/>
      <c r="E242" s="2275"/>
      <c r="F242" s="2275"/>
      <c r="G242" s="2487" t="s">
        <v>204</v>
      </c>
      <c r="H242" s="2488"/>
      <c r="I242" s="2275"/>
      <c r="J242" s="2275"/>
      <c r="K242" s="2487" t="s">
        <v>204</v>
      </c>
      <c r="L242" s="2275"/>
      <c r="M242" s="2275"/>
      <c r="N242" s="2275"/>
      <c r="O242" s="2487" t="s">
        <v>204</v>
      </c>
      <c r="P242" s="2275"/>
      <c r="Q242" s="2275"/>
      <c r="R242" s="2275"/>
      <c r="S242" s="2487" t="s">
        <v>205</v>
      </c>
      <c r="T242" s="2275"/>
      <c r="U242" s="2275"/>
      <c r="V242" s="2275"/>
      <c r="W242" s="2375"/>
      <c r="X242" s="2275"/>
      <c r="Y242" s="2275"/>
      <c r="Z242" s="2407"/>
      <c r="AA242" s="2405"/>
      <c r="AB242" s="2275"/>
      <c r="AC242" s="2275"/>
      <c r="AD242" s="1968"/>
      <c r="AE242" s="2489"/>
      <c r="AF242" s="2275"/>
    </row>
    <row r="243" spans="1:32" ht="18" customHeight="1">
      <c r="A243" s="1"/>
      <c r="B243" s="2482">
        <v>8514</v>
      </c>
      <c r="C243" s="2275" t="s">
        <v>305</v>
      </c>
      <c r="D243" s="2275"/>
      <c r="E243" s="2275"/>
      <c r="F243" s="2275"/>
      <c r="G243" s="2487" t="s">
        <v>305</v>
      </c>
      <c r="H243" s="2488"/>
      <c r="I243" s="2275"/>
      <c r="J243" s="2275"/>
      <c r="K243" s="2487" t="s">
        <v>305</v>
      </c>
      <c r="L243" s="2275"/>
      <c r="M243" s="2275"/>
      <c r="N243" s="2275"/>
      <c r="O243" s="2487" t="s">
        <v>305</v>
      </c>
      <c r="P243" s="2275"/>
      <c r="Q243" s="2275"/>
      <c r="R243" s="2275"/>
      <c r="S243" s="2487" t="s">
        <v>307</v>
      </c>
      <c r="T243" s="2275"/>
      <c r="U243" s="2275"/>
      <c r="V243" s="2275"/>
      <c r="W243" s="2375"/>
      <c r="X243" s="2275"/>
      <c r="Y243" s="2275"/>
      <c r="Z243" s="2407"/>
      <c r="AA243" s="1969"/>
      <c r="AB243" s="2275"/>
      <c r="AC243" s="2275"/>
      <c r="AD243" s="1968"/>
      <c r="AE243" s="1969"/>
      <c r="AF243" s="2275"/>
    </row>
    <row r="244" spans="1:32" ht="18" customHeight="1">
      <c r="A244" s="1"/>
      <c r="B244" s="2482">
        <v>8500</v>
      </c>
      <c r="C244" s="531" t="s">
        <v>308</v>
      </c>
      <c r="D244" s="531"/>
      <c r="E244" s="531"/>
      <c r="F244" s="531"/>
      <c r="G244" s="534" t="s">
        <v>308</v>
      </c>
      <c r="H244" s="552"/>
      <c r="I244" s="531"/>
      <c r="J244" s="531"/>
      <c r="K244" s="534" t="s">
        <v>308</v>
      </c>
      <c r="L244" s="531"/>
      <c r="M244" s="531"/>
      <c r="N244" s="531"/>
      <c r="O244" s="534" t="s">
        <v>308</v>
      </c>
      <c r="P244" s="531"/>
      <c r="Q244" s="531"/>
      <c r="R244" s="531"/>
      <c r="S244" s="534" t="s">
        <v>309</v>
      </c>
      <c r="T244" s="531"/>
      <c r="U244" s="531"/>
      <c r="V244" s="531"/>
      <c r="W244" s="2375"/>
      <c r="X244" s="531"/>
      <c r="Y244" s="531"/>
      <c r="Z244" s="535"/>
      <c r="AA244" s="536"/>
      <c r="AB244" s="531"/>
      <c r="AC244" s="531"/>
      <c r="AD244" s="535"/>
      <c r="AE244" s="536"/>
      <c r="AF244" s="531"/>
    </row>
    <row r="245" spans="1:32" ht="18" customHeight="1">
      <c r="A245" s="1"/>
      <c r="B245" s="2482">
        <v>8514</v>
      </c>
      <c r="C245" s="537" t="s">
        <v>305</v>
      </c>
      <c r="D245" s="537"/>
      <c r="E245" s="537"/>
      <c r="F245" s="537"/>
      <c r="G245" s="538" t="s">
        <v>305</v>
      </c>
      <c r="H245" s="553"/>
      <c r="I245" s="537"/>
      <c r="J245" s="537"/>
      <c r="K245" s="538" t="s">
        <v>305</v>
      </c>
      <c r="L245" s="537"/>
      <c r="M245" s="537"/>
      <c r="N245" s="537"/>
      <c r="O245" s="538" t="s">
        <v>305</v>
      </c>
      <c r="P245" s="537"/>
      <c r="Q245" s="537"/>
      <c r="R245" s="537"/>
      <c r="S245" s="538" t="s">
        <v>307</v>
      </c>
      <c r="T245" s="537"/>
      <c r="U245" s="537"/>
      <c r="V245" s="537"/>
      <c r="W245" s="2490"/>
      <c r="X245" s="539"/>
      <c r="Y245" s="531"/>
      <c r="Z245" s="540"/>
      <c r="AA245" s="541"/>
      <c r="AB245" s="539"/>
      <c r="AC245" s="531"/>
      <c r="AD245" s="531"/>
      <c r="AE245" s="542"/>
      <c r="AF245" s="531"/>
    </row>
    <row r="246" spans="1:32" ht="18" customHeight="1" thickBot="1">
      <c r="A246" s="1"/>
      <c r="B246" s="2491" t="s">
        <v>310</v>
      </c>
      <c r="C246" s="2281" t="s">
        <v>10</v>
      </c>
      <c r="D246" s="2281"/>
      <c r="E246" s="2281"/>
      <c r="F246" s="2281"/>
      <c r="G246" s="2492" t="s">
        <v>10</v>
      </c>
      <c r="H246" s="2493"/>
      <c r="I246" s="2281"/>
      <c r="J246" s="2281"/>
      <c r="K246" s="2494" t="s">
        <v>10</v>
      </c>
      <c r="L246" s="2281"/>
      <c r="M246" s="2281"/>
      <c r="N246" s="2281"/>
      <c r="O246" s="2492" t="s">
        <v>10</v>
      </c>
      <c r="P246" s="2281"/>
      <c r="Q246" s="2281"/>
      <c r="R246" s="2281"/>
      <c r="S246" s="2492" t="s">
        <v>10</v>
      </c>
      <c r="T246" s="2281"/>
      <c r="U246" s="2281"/>
      <c r="V246" s="2281"/>
      <c r="W246" s="2494"/>
      <c r="X246" s="2281"/>
      <c r="Y246" s="2281"/>
      <c r="Z246" s="2435"/>
      <c r="AA246" s="2417"/>
      <c r="AB246" s="2281"/>
      <c r="AC246" s="2281"/>
      <c r="AD246" s="2437"/>
      <c r="AE246" s="2495"/>
      <c r="AF246" s="2281"/>
    </row>
    <row r="247" spans="1:32" ht="18" customHeight="1">
      <c r="A247" s="1"/>
      <c r="B247" s="5"/>
      <c r="C247" s="42"/>
      <c r="D247" s="68"/>
      <c r="E247" s="68"/>
      <c r="F247" s="46"/>
      <c r="G247" s="42"/>
      <c r="H247" s="178"/>
      <c r="I247" s="68"/>
      <c r="J247" s="46"/>
      <c r="K247" s="42"/>
      <c r="L247" s="68"/>
      <c r="M247" s="68"/>
      <c r="N247" s="46"/>
      <c r="O247" s="42"/>
      <c r="P247" s="68"/>
      <c r="Q247" s="68"/>
      <c r="R247" s="46"/>
      <c r="S247" s="42"/>
      <c r="T247" s="68"/>
      <c r="U247" s="68"/>
      <c r="V247" s="46"/>
      <c r="W247" s="46"/>
      <c r="Z247" s="46"/>
      <c r="AA247" s="46"/>
      <c r="AD247" s="46"/>
      <c r="AE247" s="46"/>
    </row>
    <row r="248" spans="1:32" ht="18" customHeight="1" thickBot="1">
      <c r="A248" s="1" t="s">
        <v>311</v>
      </c>
      <c r="B248" s="5"/>
      <c r="C248" s="42"/>
      <c r="D248" s="68"/>
      <c r="E248" s="68"/>
      <c r="F248" s="46"/>
      <c r="G248" s="42"/>
      <c r="H248" s="178"/>
      <c r="I248" s="68"/>
      <c r="J248" s="46"/>
      <c r="K248" s="42"/>
      <c r="L248" s="68"/>
      <c r="M248" s="68"/>
      <c r="N248" s="46"/>
      <c r="O248" s="42"/>
      <c r="P248" s="68"/>
      <c r="Q248" s="68"/>
      <c r="R248" s="46"/>
      <c r="S248" s="42"/>
      <c r="T248" s="68"/>
      <c r="U248" s="68"/>
      <c r="V248" s="46"/>
      <c r="W248" s="46"/>
      <c r="Z248" s="46"/>
      <c r="AA248" s="46"/>
      <c r="AD248" s="46"/>
      <c r="AE248" s="46"/>
    </row>
    <row r="249" spans="1:32" ht="18" customHeight="1" thickBot="1">
      <c r="A249" s="2402"/>
      <c r="B249" s="2285" t="s">
        <v>38</v>
      </c>
      <c r="C249" s="1580">
        <v>1</v>
      </c>
      <c r="D249" s="1578">
        <v>2</v>
      </c>
      <c r="E249" s="1578">
        <v>3</v>
      </c>
      <c r="F249" s="1578">
        <v>4</v>
      </c>
      <c r="G249" s="1580">
        <v>5</v>
      </c>
      <c r="H249" s="1578">
        <v>6</v>
      </c>
      <c r="I249" s="1580">
        <v>7</v>
      </c>
      <c r="J249" s="1580">
        <v>8</v>
      </c>
      <c r="K249" s="1580">
        <v>9</v>
      </c>
      <c r="L249" s="1578">
        <v>10</v>
      </c>
      <c r="M249" s="1578">
        <v>11</v>
      </c>
      <c r="N249" s="1578">
        <v>12</v>
      </c>
      <c r="O249" s="1578">
        <v>13</v>
      </c>
      <c r="P249" s="1580">
        <v>14</v>
      </c>
      <c r="Q249" s="1580">
        <v>15</v>
      </c>
      <c r="R249" s="1578">
        <v>16</v>
      </c>
      <c r="S249" s="1578">
        <v>17</v>
      </c>
      <c r="T249" s="1578">
        <v>18</v>
      </c>
      <c r="U249" s="1578">
        <v>19</v>
      </c>
      <c r="V249" s="1578">
        <v>20</v>
      </c>
      <c r="W249" s="1580">
        <v>21</v>
      </c>
      <c r="X249" s="1580">
        <v>22</v>
      </c>
      <c r="Y249" s="1578">
        <v>23</v>
      </c>
      <c r="Z249" s="1578">
        <v>24</v>
      </c>
      <c r="AA249" s="1578">
        <v>25</v>
      </c>
      <c r="AB249" s="1578">
        <v>26</v>
      </c>
      <c r="AC249" s="1578">
        <v>27</v>
      </c>
      <c r="AD249" s="1580">
        <v>28</v>
      </c>
      <c r="AE249" s="1580">
        <v>29</v>
      </c>
      <c r="AF249" s="1578">
        <v>30</v>
      </c>
    </row>
    <row r="250" spans="1:32" ht="18" customHeight="1">
      <c r="A250" s="2104"/>
      <c r="B250" s="2105"/>
      <c r="C250" s="2232"/>
      <c r="D250" s="2232" t="s">
        <v>40</v>
      </c>
      <c r="E250" s="2232" t="s">
        <v>40</v>
      </c>
      <c r="F250" s="2221" t="s">
        <v>40</v>
      </c>
      <c r="G250" s="2232"/>
      <c r="H250" s="2232" t="s">
        <v>40</v>
      </c>
      <c r="I250" s="2232"/>
      <c r="J250" s="2232"/>
      <c r="K250" s="2232"/>
      <c r="L250" s="2232" t="s">
        <v>40</v>
      </c>
      <c r="M250" s="2232" t="s">
        <v>40</v>
      </c>
      <c r="N250" s="2296" t="s">
        <v>40</v>
      </c>
      <c r="O250" s="2232" t="s">
        <v>40</v>
      </c>
      <c r="P250" s="2211"/>
      <c r="Q250" s="2211"/>
      <c r="R250" s="2211" t="s">
        <v>40</v>
      </c>
      <c r="S250" s="2211" t="s">
        <v>40</v>
      </c>
      <c r="T250" s="2232" t="s">
        <v>40</v>
      </c>
      <c r="U250" s="2232" t="s">
        <v>40</v>
      </c>
      <c r="V250" s="2221" t="s">
        <v>40</v>
      </c>
      <c r="W250" s="2232"/>
      <c r="X250" s="2232"/>
      <c r="Y250" s="2232" t="s">
        <v>40</v>
      </c>
      <c r="Z250" s="2232" t="s">
        <v>40</v>
      </c>
      <c r="AA250" s="2221" t="s">
        <v>40</v>
      </c>
      <c r="AB250" s="2232" t="s">
        <v>40</v>
      </c>
      <c r="AC250" s="2232" t="s">
        <v>40</v>
      </c>
      <c r="AD250" s="2232"/>
      <c r="AE250" s="2232"/>
      <c r="AF250" s="2232" t="s">
        <v>40</v>
      </c>
    </row>
    <row r="251" spans="1:32" ht="18" customHeight="1">
      <c r="A251" s="2496"/>
      <c r="B251" s="2497" t="s">
        <v>312</v>
      </c>
      <c r="C251" s="2441"/>
      <c r="D251" s="2441"/>
      <c r="E251" s="2441"/>
      <c r="F251" s="2441"/>
      <c r="G251" s="2314"/>
      <c r="H251" s="2314"/>
      <c r="I251" s="2314"/>
      <c r="J251" s="2441"/>
      <c r="K251" s="2441"/>
      <c r="L251" s="2441"/>
      <c r="M251" s="2441"/>
      <c r="N251" s="2314"/>
      <c r="O251" s="2314"/>
      <c r="P251" s="2314"/>
      <c r="Q251" s="2441"/>
      <c r="R251" s="2441"/>
      <c r="S251" s="2441"/>
      <c r="T251" s="2441"/>
      <c r="U251" s="2314"/>
      <c r="V251" s="2314"/>
      <c r="W251" s="2314"/>
      <c r="X251" s="2441"/>
      <c r="Y251" s="2441"/>
      <c r="Z251" s="2441"/>
      <c r="AA251" s="2441"/>
      <c r="AB251" s="2314"/>
      <c r="AC251" s="2314"/>
      <c r="AD251" s="2314"/>
      <c r="AE251" s="2441"/>
      <c r="AF251" s="2441"/>
    </row>
    <row r="252" spans="1:32" ht="18" customHeight="1">
      <c r="A252" s="2498">
        <v>8514</v>
      </c>
      <c r="B252" s="2499" t="s">
        <v>313</v>
      </c>
      <c r="C252" s="2232"/>
      <c r="D252" s="2232" t="s">
        <v>40</v>
      </c>
      <c r="E252" s="2232" t="s">
        <v>40</v>
      </c>
      <c r="F252" s="2221" t="s">
        <v>40</v>
      </c>
      <c r="G252" s="2232"/>
      <c r="H252" s="2232" t="s">
        <v>40</v>
      </c>
      <c r="I252" s="2232"/>
      <c r="J252" s="2232"/>
      <c r="K252" s="2232"/>
      <c r="L252" s="2232" t="s">
        <v>40</v>
      </c>
      <c r="M252" s="2232" t="s">
        <v>40</v>
      </c>
      <c r="N252" s="2296" t="s">
        <v>40</v>
      </c>
      <c r="O252" s="2232" t="s">
        <v>40</v>
      </c>
      <c r="P252" s="2211"/>
      <c r="Q252" s="2211"/>
      <c r="R252" s="2211" t="s">
        <v>40</v>
      </c>
      <c r="S252" s="2211" t="s">
        <v>40</v>
      </c>
      <c r="T252" s="2232" t="s">
        <v>40</v>
      </c>
      <c r="U252" s="2232" t="s">
        <v>40</v>
      </c>
      <c r="V252" s="2221" t="s">
        <v>40</v>
      </c>
      <c r="W252" s="2232"/>
      <c r="X252" s="2232"/>
      <c r="Y252" s="2232" t="s">
        <v>40</v>
      </c>
      <c r="Z252" s="2232" t="s">
        <v>40</v>
      </c>
      <c r="AA252" s="2221" t="s">
        <v>40</v>
      </c>
      <c r="AB252" s="2241" t="s">
        <v>40</v>
      </c>
      <c r="AC252" s="2241" t="s">
        <v>40</v>
      </c>
      <c r="AD252" s="2241"/>
      <c r="AE252" s="2241"/>
      <c r="AF252" s="2241" t="s">
        <v>40</v>
      </c>
    </row>
    <row r="253" spans="1:32" ht="18" customHeight="1">
      <c r="A253" s="2498">
        <v>3701</v>
      </c>
      <c r="B253" s="2500" t="s">
        <v>404</v>
      </c>
      <c r="C253" s="2501"/>
      <c r="D253" s="2501"/>
      <c r="E253" s="2501"/>
      <c r="F253" s="2501"/>
      <c r="G253" s="2502"/>
      <c r="H253" s="2314"/>
      <c r="I253" s="2502"/>
      <c r="J253" s="2501"/>
      <c r="K253" s="2501"/>
      <c r="L253" s="2501"/>
      <c r="M253" s="2501"/>
      <c r="N253" s="2502"/>
      <c r="O253" s="2502"/>
      <c r="P253" s="2502"/>
      <c r="Q253" s="2501"/>
      <c r="R253" s="2501"/>
      <c r="S253" s="2501"/>
      <c r="T253" s="2501"/>
      <c r="U253" s="2502"/>
      <c r="V253" s="2502"/>
      <c r="W253" s="2502"/>
      <c r="X253" s="2501"/>
      <c r="Y253" s="2501"/>
      <c r="Z253" s="2501"/>
      <c r="AA253" s="2501"/>
      <c r="AB253" s="2502"/>
      <c r="AC253" s="2502"/>
      <c r="AD253" s="2502"/>
      <c r="AE253" s="2501"/>
      <c r="AF253" s="2501"/>
    </row>
    <row r="254" spans="1:32" ht="18" customHeight="1">
      <c r="A254" s="2498">
        <v>3701</v>
      </c>
      <c r="B254" s="2479" t="s">
        <v>315</v>
      </c>
      <c r="C254" s="2232"/>
      <c r="D254" s="2232" t="s">
        <v>40</v>
      </c>
      <c r="E254" s="2232" t="s">
        <v>40</v>
      </c>
      <c r="F254" s="2221" t="s">
        <v>40</v>
      </c>
      <c r="G254" s="2232"/>
      <c r="H254" s="2337" t="s">
        <v>40</v>
      </c>
      <c r="I254" s="2232"/>
      <c r="J254" s="2232"/>
      <c r="K254" s="2232"/>
      <c r="L254" s="2232" t="s">
        <v>40</v>
      </c>
      <c r="M254" s="2232" t="s">
        <v>40</v>
      </c>
      <c r="N254" s="2296" t="s">
        <v>40</v>
      </c>
      <c r="O254" s="2232" t="s">
        <v>40</v>
      </c>
      <c r="P254" s="2211"/>
      <c r="Q254" s="2211"/>
      <c r="R254" s="2211" t="s">
        <v>40</v>
      </c>
      <c r="S254" s="2211" t="s">
        <v>40</v>
      </c>
      <c r="T254" s="2503" t="s">
        <v>40</v>
      </c>
      <c r="U254" s="2503" t="s">
        <v>325</v>
      </c>
      <c r="V254" s="2221" t="s">
        <v>40</v>
      </c>
      <c r="W254" s="2232"/>
      <c r="X254" s="2232"/>
      <c r="Y254" s="2232" t="s">
        <v>40</v>
      </c>
      <c r="Z254" s="2232" t="s">
        <v>40</v>
      </c>
      <c r="AA254" s="2221" t="s">
        <v>40</v>
      </c>
      <c r="AB254" s="2232" t="s">
        <v>40</v>
      </c>
      <c r="AC254" s="2232" t="s">
        <v>40</v>
      </c>
      <c r="AD254" s="2232"/>
      <c r="AE254" s="2232"/>
      <c r="AF254" s="2232" t="s">
        <v>40</v>
      </c>
    </row>
    <row r="255" spans="1:32" ht="18" customHeight="1">
      <c r="A255" s="2498">
        <v>3701</v>
      </c>
      <c r="B255" s="2479" t="s">
        <v>316</v>
      </c>
      <c r="C255" s="2188"/>
      <c r="D255" s="2237" t="s">
        <v>40</v>
      </c>
      <c r="E255" s="2237" t="s">
        <v>40</v>
      </c>
      <c r="F255" s="2237" t="s">
        <v>40</v>
      </c>
      <c r="G255" s="2237"/>
      <c r="H255" s="2252" t="s">
        <v>40</v>
      </c>
      <c r="I255" s="2232"/>
      <c r="J255" s="2232"/>
      <c r="K255" s="2210"/>
      <c r="L255" s="2232" t="s">
        <v>40</v>
      </c>
      <c r="M255" s="2232" t="s">
        <v>40</v>
      </c>
      <c r="N255" s="2296" t="s">
        <v>40</v>
      </c>
      <c r="O255" s="2232" t="s">
        <v>40</v>
      </c>
      <c r="P255" s="2211"/>
      <c r="Q255" s="2211"/>
      <c r="R255" s="2211" t="s">
        <v>40</v>
      </c>
      <c r="S255" s="2211" t="s">
        <v>40</v>
      </c>
      <c r="T255" s="2232" t="s">
        <v>40</v>
      </c>
      <c r="U255" s="2232" t="s">
        <v>40</v>
      </c>
      <c r="V255" s="2221" t="s">
        <v>40</v>
      </c>
      <c r="W255" s="2232"/>
      <c r="X255" s="2232"/>
      <c r="Y255" s="2241" t="s">
        <v>40</v>
      </c>
      <c r="Z255" s="2241" t="s">
        <v>40</v>
      </c>
      <c r="AA255" s="2224" t="s">
        <v>40</v>
      </c>
      <c r="AB255" s="2224" t="s">
        <v>325</v>
      </c>
      <c r="AC255" s="2210" t="s">
        <v>40</v>
      </c>
      <c r="AD255" s="2232"/>
      <c r="AE255" s="2232"/>
      <c r="AF255" s="2210" t="s">
        <v>40</v>
      </c>
    </row>
    <row r="256" spans="1:32" ht="18" customHeight="1">
      <c r="A256" s="2498">
        <v>3701</v>
      </c>
      <c r="B256" s="2479" t="s">
        <v>317</v>
      </c>
      <c r="C256" s="2188"/>
      <c r="D256" s="2188" t="s">
        <v>40</v>
      </c>
      <c r="E256" s="2188" t="s">
        <v>40</v>
      </c>
      <c r="F256" s="2188" t="s">
        <v>40</v>
      </c>
      <c r="G256" s="2188"/>
      <c r="H256" s="2232" t="s">
        <v>40</v>
      </c>
      <c r="I256" s="2232"/>
      <c r="J256" s="2232"/>
      <c r="K256" s="2232"/>
      <c r="L256" s="2232" t="s">
        <v>40</v>
      </c>
      <c r="M256" s="2232" t="s">
        <v>40</v>
      </c>
      <c r="N256" s="2296" t="s">
        <v>40</v>
      </c>
      <c r="O256" s="2232" t="s">
        <v>40</v>
      </c>
      <c r="P256" s="2211"/>
      <c r="Q256" s="2211"/>
      <c r="R256" s="2211" t="s">
        <v>40</v>
      </c>
      <c r="S256" s="2211" t="s">
        <v>40</v>
      </c>
      <c r="T256" s="2232" t="s">
        <v>40</v>
      </c>
      <c r="U256" s="2232" t="s">
        <v>40</v>
      </c>
      <c r="V256" s="2221" t="s">
        <v>40</v>
      </c>
      <c r="W256" s="2232"/>
      <c r="X256" s="2232"/>
      <c r="Y256" s="2210" t="s">
        <v>40</v>
      </c>
      <c r="Z256" s="2232" t="s">
        <v>40</v>
      </c>
      <c r="AA256" s="2221" t="s">
        <v>40</v>
      </c>
      <c r="AB256" s="2232" t="s">
        <v>40</v>
      </c>
      <c r="AC256" s="2210" t="s">
        <v>40</v>
      </c>
      <c r="AD256" s="2232"/>
      <c r="AE256" s="2232"/>
      <c r="AF256" s="2210" t="s">
        <v>40</v>
      </c>
    </row>
    <row r="257" spans="1:32" ht="18" customHeight="1">
      <c r="A257" s="2498">
        <v>3701</v>
      </c>
      <c r="B257" s="2500" t="s">
        <v>318</v>
      </c>
      <c r="C257" s="2502"/>
      <c r="D257" s="2502"/>
      <c r="E257" s="2502"/>
      <c r="F257" s="2502"/>
      <c r="G257" s="2502"/>
      <c r="H257" s="2314"/>
      <c r="I257" s="2502"/>
      <c r="J257" s="2501"/>
      <c r="K257" s="2501"/>
      <c r="L257" s="2501"/>
      <c r="M257" s="2501"/>
      <c r="N257" s="2502"/>
      <c r="O257" s="2502"/>
      <c r="P257" s="2502"/>
      <c r="Q257" s="2501"/>
      <c r="R257" s="2501"/>
      <c r="S257" s="2501"/>
      <c r="T257" s="2501"/>
      <c r="U257" s="2502"/>
      <c r="V257" s="2502"/>
      <c r="W257" s="2502"/>
      <c r="X257" s="2501"/>
      <c r="Y257" s="2501"/>
      <c r="Z257" s="2501"/>
      <c r="AA257" s="2501"/>
      <c r="AB257" s="2502"/>
      <c r="AC257" s="2502"/>
      <c r="AD257" s="2502"/>
      <c r="AE257" s="2501"/>
      <c r="AF257" s="2501"/>
    </row>
    <row r="258" spans="1:32" ht="18" customHeight="1">
      <c r="A258" s="2498">
        <v>3701</v>
      </c>
      <c r="B258" s="2479" t="s">
        <v>319</v>
      </c>
      <c r="C258" s="2224"/>
      <c r="D258" s="2224" t="s">
        <v>325</v>
      </c>
      <c r="E258" s="2188" t="s">
        <v>40</v>
      </c>
      <c r="F258" s="2188" t="s">
        <v>40</v>
      </c>
      <c r="G258" s="2188"/>
      <c r="H258" s="2232" t="s">
        <v>40</v>
      </c>
      <c r="I258" s="2232"/>
      <c r="J258" s="2232"/>
      <c r="K258" s="2232"/>
      <c r="L258" s="2232" t="s">
        <v>40</v>
      </c>
      <c r="M258" s="2232" t="s">
        <v>40</v>
      </c>
      <c r="N258" s="2296" t="s">
        <v>40</v>
      </c>
      <c r="O258" s="2232" t="s">
        <v>40</v>
      </c>
      <c r="P258" s="2211"/>
      <c r="Q258" s="2211"/>
      <c r="R258" s="2211" t="s">
        <v>40</v>
      </c>
      <c r="S258" s="2211" t="s">
        <v>40</v>
      </c>
      <c r="T258" s="2232" t="s">
        <v>40</v>
      </c>
      <c r="U258" s="2232" t="s">
        <v>40</v>
      </c>
      <c r="V258" s="2221" t="s">
        <v>40</v>
      </c>
      <c r="W258" s="2232"/>
      <c r="X258" s="2232"/>
      <c r="Y258" s="2210" t="s">
        <v>40</v>
      </c>
      <c r="Z258" s="2210" t="s">
        <v>40</v>
      </c>
      <c r="AA258" s="2221" t="s">
        <v>40</v>
      </c>
      <c r="AB258" s="2232" t="s">
        <v>40</v>
      </c>
      <c r="AC258" s="2210" t="s">
        <v>40</v>
      </c>
      <c r="AD258" s="2232"/>
      <c r="AE258" s="2232"/>
      <c r="AF258" s="2241" t="s">
        <v>40</v>
      </c>
    </row>
    <row r="259" spans="1:32" ht="18" customHeight="1">
      <c r="A259" s="2498">
        <v>3701</v>
      </c>
      <c r="B259" s="2479" t="s">
        <v>320</v>
      </c>
      <c r="C259" s="2188"/>
      <c r="D259" s="2188" t="s">
        <v>40</v>
      </c>
      <c r="E259" s="2188" t="s">
        <v>40</v>
      </c>
      <c r="F259" s="2188" t="s">
        <v>40</v>
      </c>
      <c r="G259" s="2188"/>
      <c r="H259" s="2232" t="s">
        <v>40</v>
      </c>
      <c r="I259" s="2232"/>
      <c r="J259" s="2232"/>
      <c r="K259" s="2232"/>
      <c r="L259" s="2232" t="s">
        <v>40</v>
      </c>
      <c r="M259" s="2232" t="s">
        <v>40</v>
      </c>
      <c r="N259" s="2296" t="s">
        <v>40</v>
      </c>
      <c r="O259" s="2232" t="s">
        <v>40</v>
      </c>
      <c r="P259" s="2211"/>
      <c r="Q259" s="2211"/>
      <c r="R259" s="2211" t="s">
        <v>40</v>
      </c>
      <c r="S259" s="2211" t="s">
        <v>40</v>
      </c>
      <c r="T259" s="2232" t="s">
        <v>40</v>
      </c>
      <c r="U259" s="2232" t="s">
        <v>40</v>
      </c>
      <c r="V259" s="2221" t="s">
        <v>40</v>
      </c>
      <c r="W259" s="2232"/>
      <c r="X259" s="2232"/>
      <c r="Y259" s="2232" t="s">
        <v>40</v>
      </c>
      <c r="Z259" s="2232" t="s">
        <v>40</v>
      </c>
      <c r="AA259" s="2221" t="s">
        <v>40</v>
      </c>
      <c r="AB259" s="2232" t="s">
        <v>40</v>
      </c>
      <c r="AC259" s="2232" t="s">
        <v>40</v>
      </c>
      <c r="AD259" s="2232"/>
      <c r="AE259" s="2232"/>
      <c r="AF259" s="2232" t="s">
        <v>40</v>
      </c>
    </row>
    <row r="260" spans="1:32" ht="18" customHeight="1">
      <c r="A260" s="2504">
        <v>3701</v>
      </c>
      <c r="B260" s="2479" t="s">
        <v>321</v>
      </c>
      <c r="C260" s="2188"/>
      <c r="D260" s="2188" t="s">
        <v>40</v>
      </c>
      <c r="E260" s="2188" t="s">
        <v>40</v>
      </c>
      <c r="F260" s="2188" t="s">
        <v>40</v>
      </c>
      <c r="G260" s="2188"/>
      <c r="H260" s="2252" t="s">
        <v>40</v>
      </c>
      <c r="I260" s="2232"/>
      <c r="J260" s="2232"/>
      <c r="K260" s="2232"/>
      <c r="L260" s="2232" t="s">
        <v>40</v>
      </c>
      <c r="M260" s="2232" t="s">
        <v>40</v>
      </c>
      <c r="N260" s="2296" t="s">
        <v>40</v>
      </c>
      <c r="O260" s="2232" t="s">
        <v>40</v>
      </c>
      <c r="P260" s="2211"/>
      <c r="Q260" s="2211"/>
      <c r="R260" s="2211" t="s">
        <v>40</v>
      </c>
      <c r="S260" s="2505" t="s">
        <v>40</v>
      </c>
      <c r="T260" s="2505" t="s">
        <v>40</v>
      </c>
      <c r="U260" s="2505" t="s">
        <v>40</v>
      </c>
      <c r="V260" s="2505" t="s">
        <v>40</v>
      </c>
      <c r="W260" s="2232"/>
      <c r="X260" s="2232"/>
      <c r="Y260" s="2505" t="s">
        <v>40</v>
      </c>
      <c r="Z260" s="2232" t="s">
        <v>40</v>
      </c>
      <c r="AA260" s="2221" t="s">
        <v>40</v>
      </c>
      <c r="AB260" s="2232" t="s">
        <v>40</v>
      </c>
      <c r="AC260" s="2232" t="s">
        <v>40</v>
      </c>
      <c r="AD260" s="2232"/>
      <c r="AE260" s="2232"/>
      <c r="AF260" s="2232" t="s">
        <v>40</v>
      </c>
    </row>
    <row r="261" spans="1:32" ht="18" customHeight="1">
      <c r="A261" s="2498">
        <v>3701</v>
      </c>
      <c r="B261" s="2479" t="s">
        <v>322</v>
      </c>
      <c r="C261" s="2188"/>
      <c r="D261" s="2188" t="s">
        <v>40</v>
      </c>
      <c r="E261" s="2188" t="s">
        <v>40</v>
      </c>
      <c r="F261" s="2188" t="s">
        <v>40</v>
      </c>
      <c r="G261" s="2188"/>
      <c r="H261" s="2232" t="s">
        <v>40</v>
      </c>
      <c r="I261" s="2232"/>
      <c r="J261" s="2232"/>
      <c r="K261" s="2232"/>
      <c r="L261" s="2232" t="s">
        <v>40</v>
      </c>
      <c r="M261" s="2232" t="s">
        <v>40</v>
      </c>
      <c r="N261" s="2296" t="s">
        <v>40</v>
      </c>
      <c r="O261" s="2232" t="s">
        <v>40</v>
      </c>
      <c r="P261" s="2211"/>
      <c r="R261" s="2211" t="s">
        <v>40</v>
      </c>
      <c r="S261" s="2211" t="s">
        <v>40</v>
      </c>
      <c r="T261" s="2232" t="s">
        <v>40</v>
      </c>
      <c r="U261" s="2232" t="s">
        <v>40</v>
      </c>
      <c r="V261" s="2221" t="s">
        <v>40</v>
      </c>
      <c r="W261" s="2232"/>
      <c r="X261" s="2232"/>
      <c r="Y261" s="2232" t="s">
        <v>40</v>
      </c>
      <c r="Z261" s="2232" t="s">
        <v>40</v>
      </c>
      <c r="AA261" s="2221" t="s">
        <v>40</v>
      </c>
      <c r="AB261" s="2232" t="s">
        <v>40</v>
      </c>
      <c r="AC261" s="2232" t="s">
        <v>40</v>
      </c>
      <c r="AD261" s="2232"/>
      <c r="AE261" s="2232"/>
      <c r="AF261" s="2232" t="s">
        <v>40</v>
      </c>
    </row>
    <row r="262" spans="1:32" ht="18" customHeight="1">
      <c r="A262" s="2498">
        <v>3701</v>
      </c>
      <c r="B262" s="2479" t="s">
        <v>323</v>
      </c>
      <c r="C262" s="2224"/>
      <c r="D262" s="2224" t="s">
        <v>40</v>
      </c>
      <c r="E262" s="2224" t="s">
        <v>325</v>
      </c>
      <c r="F262" s="2188" t="s">
        <v>40</v>
      </c>
      <c r="G262" s="2188"/>
      <c r="H262" s="2232" t="s">
        <v>40</v>
      </c>
      <c r="I262" s="2232"/>
      <c r="J262" s="2232"/>
      <c r="K262" s="2232"/>
      <c r="L262" s="2232" t="s">
        <v>40</v>
      </c>
      <c r="M262" s="2232" t="s">
        <v>40</v>
      </c>
      <c r="N262" s="2296" t="s">
        <v>40</v>
      </c>
      <c r="O262" s="2232" t="s">
        <v>40</v>
      </c>
      <c r="P262" s="2211"/>
      <c r="Q262" s="2211"/>
      <c r="R262" s="2211" t="s">
        <v>40</v>
      </c>
      <c r="S262" s="2211" t="s">
        <v>40</v>
      </c>
      <c r="T262" s="2232" t="s">
        <v>40</v>
      </c>
      <c r="U262" s="2232" t="s">
        <v>40</v>
      </c>
      <c r="V262" s="2221" t="s">
        <v>40</v>
      </c>
      <c r="W262" s="2232"/>
      <c r="X262" s="2232"/>
      <c r="Y262" s="2232" t="s">
        <v>40</v>
      </c>
      <c r="Z262" s="2232" t="s">
        <v>40</v>
      </c>
      <c r="AA262" s="2221" t="s">
        <v>40</v>
      </c>
      <c r="AB262" s="2232" t="s">
        <v>40</v>
      </c>
      <c r="AC262" s="2232" t="s">
        <v>40</v>
      </c>
      <c r="AD262" s="2232"/>
      <c r="AE262" s="2232"/>
      <c r="AF262" s="2232" t="s">
        <v>40</v>
      </c>
    </row>
    <row r="263" spans="1:32" ht="18" customHeight="1">
      <c r="A263" s="2498"/>
      <c r="B263" s="2479" t="s">
        <v>324</v>
      </c>
      <c r="C263" s="2188"/>
      <c r="D263" s="2188" t="s">
        <v>40</v>
      </c>
      <c r="E263" s="2188" t="s">
        <v>40</v>
      </c>
      <c r="F263" s="2188" t="s">
        <v>40</v>
      </c>
      <c r="G263" s="2188"/>
      <c r="H263" s="2232" t="s">
        <v>40</v>
      </c>
      <c r="I263" s="2188"/>
      <c r="J263" s="2188"/>
      <c r="K263" s="2188"/>
      <c r="L263" s="2232" t="s">
        <v>40</v>
      </c>
      <c r="M263" s="2232" t="s">
        <v>40</v>
      </c>
      <c r="N263" s="2296" t="s">
        <v>40</v>
      </c>
      <c r="O263" s="2232" t="s">
        <v>40</v>
      </c>
      <c r="P263" s="2211"/>
      <c r="Q263" s="2211"/>
      <c r="R263" s="2211" t="s">
        <v>40</v>
      </c>
      <c r="S263" s="2211" t="s">
        <v>40</v>
      </c>
      <c r="T263" s="2232" t="s">
        <v>40</v>
      </c>
      <c r="U263" s="2232" t="s">
        <v>40</v>
      </c>
      <c r="V263" s="2221" t="s">
        <v>40</v>
      </c>
      <c r="W263" s="2232"/>
      <c r="X263" s="2232"/>
      <c r="Y263" s="2232" t="s">
        <v>40</v>
      </c>
      <c r="Z263" s="2232" t="s">
        <v>40</v>
      </c>
      <c r="AA263" s="2221" t="s">
        <v>40</v>
      </c>
      <c r="AB263" s="2232" t="s">
        <v>40</v>
      </c>
      <c r="AC263" s="2232" t="s">
        <v>40</v>
      </c>
      <c r="AD263" s="2232"/>
      <c r="AE263" s="2232"/>
      <c r="AF263" s="2232" t="s">
        <v>40</v>
      </c>
    </row>
    <row r="264" spans="1:32" ht="18" customHeight="1">
      <c r="A264" s="2498"/>
      <c r="B264" s="2479"/>
      <c r="C264" s="2188"/>
      <c r="D264" s="2188" t="s">
        <v>40</v>
      </c>
      <c r="E264" s="2188" t="s">
        <v>40</v>
      </c>
      <c r="F264" s="2188" t="s">
        <v>40</v>
      </c>
      <c r="G264" s="2188"/>
      <c r="H264" s="2232" t="s">
        <v>40</v>
      </c>
      <c r="I264" s="2232"/>
      <c r="J264" s="2232"/>
      <c r="K264" s="2232"/>
      <c r="L264" s="2232" t="s">
        <v>40</v>
      </c>
      <c r="M264" s="2232" t="s">
        <v>40</v>
      </c>
      <c r="N264" s="2296" t="s">
        <v>40</v>
      </c>
      <c r="O264" s="2232" t="s">
        <v>40</v>
      </c>
      <c r="P264" s="2211"/>
      <c r="Q264" s="2211"/>
      <c r="R264" s="2211" t="s">
        <v>40</v>
      </c>
      <c r="S264" s="2211" t="s">
        <v>40</v>
      </c>
      <c r="T264" s="2232" t="s">
        <v>40</v>
      </c>
      <c r="U264" s="2232" t="s">
        <v>40</v>
      </c>
      <c r="V264" s="2221" t="s">
        <v>40</v>
      </c>
      <c r="W264" s="2232"/>
      <c r="X264" s="2232"/>
      <c r="Y264" s="2232" t="s">
        <v>40</v>
      </c>
      <c r="Z264" s="2232" t="s">
        <v>40</v>
      </c>
      <c r="AA264" s="2221" t="s">
        <v>40</v>
      </c>
      <c r="AB264" s="2232" t="s">
        <v>40</v>
      </c>
      <c r="AC264" s="2232" t="s">
        <v>40</v>
      </c>
      <c r="AD264" s="2232"/>
      <c r="AE264" s="2232"/>
      <c r="AF264" s="2232" t="s">
        <v>40</v>
      </c>
    </row>
    <row r="265" spans="1:32" ht="18" customHeight="1">
      <c r="A265" s="2498"/>
      <c r="B265" s="2479" t="s">
        <v>326</v>
      </c>
      <c r="C265" s="2232"/>
      <c r="D265" s="2232" t="s">
        <v>40</v>
      </c>
      <c r="E265" s="2224" t="s">
        <v>405</v>
      </c>
      <c r="F265" s="2326" t="s">
        <v>40</v>
      </c>
      <c r="G265" s="2188"/>
      <c r="H265" s="2506" t="s">
        <v>40</v>
      </c>
      <c r="I265" s="2232"/>
      <c r="J265" s="2232"/>
      <c r="K265" s="2232"/>
      <c r="L265" s="2232" t="s">
        <v>40</v>
      </c>
      <c r="M265" s="2232" t="s">
        <v>40</v>
      </c>
      <c r="N265" s="2296" t="s">
        <v>40</v>
      </c>
      <c r="O265" s="2232" t="s">
        <v>40</v>
      </c>
      <c r="P265" s="2211"/>
      <c r="Q265" s="2211"/>
      <c r="R265" s="2211" t="s">
        <v>40</v>
      </c>
      <c r="S265" s="2211" t="s">
        <v>40</v>
      </c>
      <c r="T265" s="2232" t="s">
        <v>40</v>
      </c>
      <c r="U265" s="2232" t="s">
        <v>40</v>
      </c>
      <c r="V265" s="2221" t="s">
        <v>40</v>
      </c>
      <c r="W265" s="2232"/>
      <c r="X265" s="2232"/>
      <c r="Y265" s="2210" t="s">
        <v>40</v>
      </c>
      <c r="Z265" s="2232" t="s">
        <v>40</v>
      </c>
      <c r="AA265" s="2221" t="s">
        <v>40</v>
      </c>
      <c r="AB265" s="2232" t="s">
        <v>40</v>
      </c>
      <c r="AC265" s="2210" t="s">
        <v>40</v>
      </c>
      <c r="AD265" s="2232"/>
      <c r="AE265" s="2232"/>
      <c r="AF265" s="2210" t="s">
        <v>40</v>
      </c>
    </row>
    <row r="266" spans="1:32" ht="18" customHeight="1">
      <c r="A266" s="2498"/>
      <c r="B266" s="2500" t="s">
        <v>327</v>
      </c>
      <c r="C266" s="2501"/>
      <c r="D266" s="2501"/>
      <c r="E266" s="2501"/>
      <c r="F266" s="2501"/>
      <c r="G266" s="2502"/>
      <c r="H266" s="2314"/>
      <c r="I266" s="2502"/>
      <c r="J266" s="2501"/>
      <c r="K266" s="2501"/>
      <c r="L266" s="2501"/>
      <c r="M266" s="2501"/>
      <c r="N266" s="2502"/>
      <c r="O266" s="2502"/>
      <c r="P266" s="2502"/>
      <c r="Q266" s="2501"/>
      <c r="R266" s="2501"/>
      <c r="S266" s="2501"/>
      <c r="T266" s="2501"/>
      <c r="U266" s="2502"/>
      <c r="V266" s="2502"/>
      <c r="W266" s="2502"/>
      <c r="X266" s="2501"/>
      <c r="Y266" s="2501"/>
      <c r="Z266" s="2501"/>
      <c r="AA266" s="2501"/>
      <c r="AB266" s="2502"/>
      <c r="AC266" s="2502"/>
      <c r="AD266" s="2502"/>
      <c r="AE266" s="2501"/>
      <c r="AF266" s="2501"/>
    </row>
    <row r="267" spans="1:32" ht="18" customHeight="1">
      <c r="A267" s="2498"/>
      <c r="B267" s="2479" t="s">
        <v>328</v>
      </c>
      <c r="C267" s="2232"/>
      <c r="D267" s="2232" t="s">
        <v>40</v>
      </c>
      <c r="E267" s="2232" t="s">
        <v>40</v>
      </c>
      <c r="F267" s="2221" t="s">
        <v>40</v>
      </c>
      <c r="G267" s="2232"/>
      <c r="H267" s="2232" t="s">
        <v>40</v>
      </c>
      <c r="I267" s="2232"/>
      <c r="J267" s="2232"/>
      <c r="K267" s="2232"/>
      <c r="L267" s="2232" t="s">
        <v>40</v>
      </c>
      <c r="M267" s="2232" t="s">
        <v>40</v>
      </c>
      <c r="N267" s="2296" t="s">
        <v>40</v>
      </c>
      <c r="O267" s="2232" t="s">
        <v>40</v>
      </c>
      <c r="P267" s="2211"/>
      <c r="Q267" s="2211"/>
      <c r="R267" s="2211" t="s">
        <v>40</v>
      </c>
      <c r="S267" s="2211" t="s">
        <v>40</v>
      </c>
      <c r="T267" s="2232" t="s">
        <v>40</v>
      </c>
      <c r="U267" s="2232" t="s">
        <v>40</v>
      </c>
      <c r="V267" s="2221" t="s">
        <v>40</v>
      </c>
      <c r="W267" s="2232"/>
      <c r="X267" s="2232"/>
      <c r="Y267" s="2210" t="s">
        <v>40</v>
      </c>
      <c r="Z267" s="2232" t="s">
        <v>40</v>
      </c>
      <c r="AA267" s="2221" t="s">
        <v>40</v>
      </c>
      <c r="AB267" s="2232" t="s">
        <v>40</v>
      </c>
      <c r="AC267" s="2210" t="s">
        <v>40</v>
      </c>
      <c r="AD267" s="2232"/>
      <c r="AE267" s="2232"/>
      <c r="AF267" s="2210" t="s">
        <v>40</v>
      </c>
    </row>
    <row r="268" spans="1:32" ht="18" customHeight="1">
      <c r="A268" s="2498"/>
      <c r="B268" s="2479" t="s">
        <v>329</v>
      </c>
      <c r="C268" s="2232"/>
      <c r="D268" s="2232" t="s">
        <v>40</v>
      </c>
      <c r="E268" s="2232" t="s">
        <v>40</v>
      </c>
      <c r="F268" s="2221" t="s">
        <v>40</v>
      </c>
      <c r="G268" s="2232"/>
      <c r="H268" s="2232" t="s">
        <v>40</v>
      </c>
      <c r="I268" s="2232"/>
      <c r="J268" s="2232"/>
      <c r="K268" s="2232"/>
      <c r="L268" s="2232" t="s">
        <v>40</v>
      </c>
      <c r="M268" s="2232" t="s">
        <v>40</v>
      </c>
      <c r="N268" s="2296" t="s">
        <v>40</v>
      </c>
      <c r="O268" s="2232" t="s">
        <v>40</v>
      </c>
      <c r="P268" s="2211"/>
      <c r="Q268" s="2211"/>
      <c r="R268" s="2211" t="s">
        <v>40</v>
      </c>
      <c r="S268" s="2211" t="s">
        <v>40</v>
      </c>
      <c r="T268" s="2232" t="s">
        <v>40</v>
      </c>
      <c r="U268" s="2232" t="s">
        <v>40</v>
      </c>
      <c r="V268" s="2221" t="s">
        <v>40</v>
      </c>
      <c r="W268" s="2232"/>
      <c r="X268" s="2232"/>
      <c r="Y268" s="2227" t="s">
        <v>40</v>
      </c>
      <c r="Z268" s="2227" t="s">
        <v>40</v>
      </c>
      <c r="AA268" s="2227" t="s">
        <v>40</v>
      </c>
      <c r="AB268" s="2224" t="s">
        <v>40</v>
      </c>
      <c r="AC268" s="2224" t="s">
        <v>325</v>
      </c>
      <c r="AD268" s="2227"/>
      <c r="AE268" s="2227"/>
      <c r="AF268" s="2241" t="s">
        <v>40</v>
      </c>
    </row>
    <row r="269" spans="1:32" ht="18" customHeight="1">
      <c r="A269" s="66"/>
      <c r="B269" s="2479" t="s">
        <v>330</v>
      </c>
      <c r="C269" s="2232"/>
      <c r="D269" s="2232" t="s">
        <v>40</v>
      </c>
      <c r="E269" s="2232" t="s">
        <v>40</v>
      </c>
      <c r="F269" s="2221" t="s">
        <v>40</v>
      </c>
      <c r="G269" s="2232"/>
      <c r="H269" s="2232" t="s">
        <v>40</v>
      </c>
      <c r="I269" s="2232"/>
      <c r="J269" s="2232"/>
      <c r="K269" s="2232"/>
      <c r="L269" s="2232" t="s">
        <v>40</v>
      </c>
      <c r="M269" s="2232" t="s">
        <v>40</v>
      </c>
      <c r="N269" s="2296" t="s">
        <v>40</v>
      </c>
      <c r="O269" s="2232" t="s">
        <v>40</v>
      </c>
      <c r="P269" s="2211"/>
      <c r="Q269" s="2211"/>
      <c r="R269" s="2211" t="s">
        <v>40</v>
      </c>
      <c r="S269" s="2211" t="s">
        <v>40</v>
      </c>
      <c r="T269" s="2232" t="s">
        <v>40</v>
      </c>
      <c r="U269" s="2232" t="s">
        <v>40</v>
      </c>
      <c r="V269" s="2221" t="s">
        <v>40</v>
      </c>
      <c r="W269" s="2232"/>
      <c r="X269" s="2232"/>
      <c r="Y269" s="2330" t="s">
        <v>40</v>
      </c>
      <c r="Z269" s="2330" t="s">
        <v>40</v>
      </c>
      <c r="AA269" s="2330" t="s">
        <v>40</v>
      </c>
      <c r="AB269" s="2330" t="s">
        <v>40</v>
      </c>
      <c r="AC269" s="2330" t="s">
        <v>40</v>
      </c>
      <c r="AD269" s="2330"/>
      <c r="AE269" s="2330"/>
      <c r="AF269" s="2227" t="s">
        <v>40</v>
      </c>
    </row>
    <row r="273" spans="1:32" ht="18" customHeight="1" thickBot="1">
      <c r="A273" s="96" t="s">
        <v>331</v>
      </c>
    </row>
    <row r="274" spans="1:32" ht="18" customHeight="1">
      <c r="B274" s="1651" t="s">
        <v>303</v>
      </c>
      <c r="C274" s="1609"/>
      <c r="D274" s="1623" t="s">
        <v>19</v>
      </c>
      <c r="E274" s="1643"/>
      <c r="F274" s="1613"/>
      <c r="G274" s="1609"/>
      <c r="H274" s="2403" t="s">
        <v>20</v>
      </c>
      <c r="I274" s="1643"/>
      <c r="J274" s="1613"/>
      <c r="K274" s="1609"/>
      <c r="L274" s="1623" t="s">
        <v>21</v>
      </c>
      <c r="M274" s="1643"/>
      <c r="N274" s="1613"/>
      <c r="O274" s="1609"/>
      <c r="P274" s="1623" t="s">
        <v>22</v>
      </c>
      <c r="Q274" s="1643"/>
      <c r="R274" s="1613"/>
      <c r="S274" s="1609"/>
      <c r="T274" s="1623" t="s">
        <v>23</v>
      </c>
      <c r="U274" s="1643"/>
      <c r="V274" s="1613"/>
      <c r="W274" s="1609"/>
      <c r="X274" s="1623" t="s">
        <v>24</v>
      </c>
      <c r="Y274" s="1643"/>
      <c r="Z274" s="1613"/>
      <c r="AA274" s="1609"/>
      <c r="AB274" s="1623" t="s">
        <v>25</v>
      </c>
      <c r="AC274" s="1643"/>
      <c r="AD274" s="1643"/>
      <c r="AE274" s="1626"/>
      <c r="AF274" s="1643"/>
    </row>
    <row r="275" spans="1:32" ht="18" customHeight="1">
      <c r="B275" s="2507" t="s">
        <v>210</v>
      </c>
      <c r="C275" s="543" t="s">
        <v>332</v>
      </c>
      <c r="D275" s="539"/>
      <c r="E275" s="544"/>
      <c r="F275" s="545"/>
      <c r="G275" s="543" t="s">
        <v>332</v>
      </c>
      <c r="H275" s="554"/>
      <c r="I275" s="544"/>
      <c r="J275" s="545"/>
      <c r="K275" s="543" t="s">
        <v>332</v>
      </c>
      <c r="L275" s="539"/>
      <c r="M275" s="544"/>
      <c r="N275" s="545"/>
      <c r="O275" s="543" t="s">
        <v>332</v>
      </c>
      <c r="P275" s="546"/>
      <c r="Q275" s="544"/>
      <c r="R275" s="545"/>
      <c r="S275" s="547" t="s">
        <v>333</v>
      </c>
      <c r="T275" s="539"/>
      <c r="U275" s="544"/>
      <c r="V275" s="545"/>
      <c r="W275" s="541"/>
      <c r="X275" s="539"/>
      <c r="Y275" s="531"/>
      <c r="Z275" s="540"/>
      <c r="AA275" s="541"/>
      <c r="AB275" s="539"/>
      <c r="AC275" s="531"/>
      <c r="AD275" s="531"/>
      <c r="AE275" s="542"/>
      <c r="AF275" s="531"/>
    </row>
    <row r="276" spans="1:32" ht="18" customHeight="1">
      <c r="A276" s="68"/>
      <c r="B276" s="2507" t="s">
        <v>212</v>
      </c>
      <c r="C276" s="543" t="s">
        <v>334</v>
      </c>
      <c r="D276" s="539"/>
      <c r="E276" s="544"/>
      <c r="F276" s="545"/>
      <c r="G276" s="543" t="s">
        <v>334</v>
      </c>
      <c r="H276" s="554"/>
      <c r="I276" s="544"/>
      <c r="J276" s="545"/>
      <c r="K276" s="543" t="s">
        <v>334</v>
      </c>
      <c r="L276" s="539"/>
      <c r="M276" s="544"/>
      <c r="N276" s="545"/>
      <c r="O276" s="543" t="s">
        <v>334</v>
      </c>
      <c r="P276" s="539"/>
      <c r="Q276" s="544"/>
      <c r="R276" s="545"/>
      <c r="S276" s="543" t="s">
        <v>335</v>
      </c>
      <c r="T276" s="539"/>
      <c r="U276" s="544"/>
      <c r="V276" s="545"/>
      <c r="W276" s="541"/>
      <c r="X276" s="539"/>
      <c r="Y276" s="531"/>
      <c r="Z276" s="540"/>
      <c r="AA276" s="541"/>
      <c r="AB276" s="539"/>
      <c r="AC276" s="531"/>
      <c r="AD276" s="531"/>
      <c r="AE276" s="542"/>
      <c r="AF276" s="531"/>
    </row>
    <row r="277" spans="1:32" ht="18" customHeight="1" thickBot="1">
      <c r="B277" s="2508" t="s">
        <v>336</v>
      </c>
      <c r="C277" s="2448" t="s">
        <v>334</v>
      </c>
      <c r="D277" s="2509"/>
      <c r="E277" s="544"/>
      <c r="F277" s="545"/>
      <c r="G277" s="2448" t="s">
        <v>334</v>
      </c>
      <c r="H277" s="2510"/>
      <c r="I277" s="544"/>
      <c r="J277" s="545"/>
      <c r="K277" s="2448" t="s">
        <v>334</v>
      </c>
      <c r="L277" s="2509"/>
      <c r="M277" s="544"/>
      <c r="N277" s="545"/>
      <c r="O277" s="2448" t="s">
        <v>334</v>
      </c>
      <c r="P277" s="2509"/>
      <c r="Q277" s="544"/>
      <c r="R277" s="545"/>
      <c r="S277" s="2448" t="s">
        <v>335</v>
      </c>
      <c r="T277" s="539"/>
      <c r="U277" s="544"/>
      <c r="V277" s="545"/>
      <c r="W277" s="541"/>
      <c r="X277" s="539"/>
      <c r="Y277" s="531"/>
      <c r="Z277" s="540"/>
      <c r="AA277" s="541"/>
      <c r="AB277" s="539"/>
      <c r="AC277" s="531"/>
      <c r="AD277" s="531"/>
      <c r="AE277" s="542"/>
      <c r="AF277" s="531"/>
    </row>
    <row r="278" spans="1:32" ht="18" customHeight="1">
      <c r="B278" s="37"/>
      <c r="C278" s="42"/>
      <c r="D278" s="5"/>
      <c r="G278" s="42"/>
      <c r="H278" s="218"/>
      <c r="K278" s="42"/>
      <c r="L278" s="5"/>
      <c r="O278" s="42"/>
      <c r="P278" s="5"/>
      <c r="S278" s="42"/>
      <c r="T278" s="42"/>
      <c r="X278" s="42"/>
      <c r="AB278" s="42"/>
      <c r="AE278" s="42"/>
    </row>
    <row r="279" spans="1:32" ht="18" customHeight="1" thickBot="1">
      <c r="A279" s="588" t="s">
        <v>337</v>
      </c>
    </row>
    <row r="280" spans="1:32" ht="18" customHeight="1" thickBot="1">
      <c r="A280" s="2402"/>
      <c r="B280" s="2285" t="s">
        <v>38</v>
      </c>
      <c r="C280" s="1580">
        <v>1</v>
      </c>
      <c r="D280" s="1578">
        <v>2</v>
      </c>
      <c r="E280" s="1578">
        <v>3</v>
      </c>
      <c r="F280" s="1578">
        <v>4</v>
      </c>
      <c r="G280" s="1580">
        <v>5</v>
      </c>
      <c r="H280" s="1578">
        <v>6</v>
      </c>
      <c r="I280" s="1580">
        <v>7</v>
      </c>
      <c r="J280" s="1580">
        <v>8</v>
      </c>
      <c r="K280" s="1580">
        <v>9</v>
      </c>
      <c r="L280" s="1578">
        <v>10</v>
      </c>
      <c r="M280" s="1578">
        <v>11</v>
      </c>
      <c r="N280" s="1578">
        <v>12</v>
      </c>
      <c r="O280" s="1578">
        <v>13</v>
      </c>
      <c r="P280" s="1580">
        <v>14</v>
      </c>
      <c r="Q280" s="1580">
        <v>15</v>
      </c>
      <c r="R280" s="1578">
        <v>16</v>
      </c>
      <c r="S280" s="1578">
        <v>17</v>
      </c>
      <c r="T280" s="1578">
        <v>18</v>
      </c>
      <c r="U280" s="1578">
        <v>19</v>
      </c>
      <c r="V280" s="1578">
        <v>20</v>
      </c>
      <c r="W280" s="1580">
        <v>21</v>
      </c>
      <c r="X280" s="1580">
        <v>22</v>
      </c>
      <c r="Y280" s="1578">
        <v>23</v>
      </c>
      <c r="Z280" s="1578">
        <v>24</v>
      </c>
      <c r="AA280" s="1578">
        <v>25</v>
      </c>
      <c r="AB280" s="1578">
        <v>26</v>
      </c>
      <c r="AC280" s="1578">
        <v>27</v>
      </c>
      <c r="AD280" s="1580">
        <v>28</v>
      </c>
      <c r="AE280" s="1580">
        <v>29</v>
      </c>
      <c r="AF280" s="1578">
        <v>30</v>
      </c>
    </row>
    <row r="281" spans="1:32" ht="18" customHeight="1">
      <c r="A281" s="2125">
        <v>3702</v>
      </c>
      <c r="B281" s="1640" t="s">
        <v>338</v>
      </c>
      <c r="C281" s="1645"/>
      <c r="D281" s="1645" t="s">
        <v>40</v>
      </c>
      <c r="E281" s="1645" t="s">
        <v>40</v>
      </c>
      <c r="F281" s="1645" t="s">
        <v>40</v>
      </c>
      <c r="G281" s="1645"/>
      <c r="H281" s="1645" t="s">
        <v>40</v>
      </c>
      <c r="I281" s="1645"/>
      <c r="J281" s="1645"/>
      <c r="K281" s="1645"/>
      <c r="L281" s="1645" t="s">
        <v>40</v>
      </c>
      <c r="M281" s="1645" t="s">
        <v>40</v>
      </c>
      <c r="N281" s="1645" t="s">
        <v>40</v>
      </c>
      <c r="O281" s="1645" t="s">
        <v>40</v>
      </c>
      <c r="P281" s="1645"/>
      <c r="Q281" s="1645"/>
      <c r="R281" s="1645" t="s">
        <v>40</v>
      </c>
      <c r="S281" s="1645" t="s">
        <v>40</v>
      </c>
      <c r="T281" s="1645" t="s">
        <v>40</v>
      </c>
      <c r="U281" s="1645" t="s">
        <v>40</v>
      </c>
      <c r="V281" s="1645" t="s">
        <v>40</v>
      </c>
      <c r="W281" s="1645"/>
      <c r="X281" s="1645"/>
      <c r="Y281" s="1645" t="s">
        <v>40</v>
      </c>
      <c r="Z281" s="1645" t="s">
        <v>40</v>
      </c>
      <c r="AA281" s="1645" t="s">
        <v>40</v>
      </c>
      <c r="AB281" s="1645" t="s">
        <v>40</v>
      </c>
      <c r="AC281" s="1645" t="s">
        <v>40</v>
      </c>
      <c r="AD281" s="1645"/>
      <c r="AE281" s="1645"/>
      <c r="AF281" s="1646" t="s">
        <v>40</v>
      </c>
    </row>
    <row r="282" spans="1:32" ht="18" customHeight="1">
      <c r="A282" s="2511"/>
      <c r="B282" s="2512"/>
      <c r="C282" s="2232"/>
      <c r="D282" s="2232"/>
      <c r="E282" s="2232"/>
      <c r="F282" s="2232"/>
      <c r="G282" s="2232"/>
      <c r="H282" s="2232"/>
      <c r="I282" s="2232"/>
      <c r="J282" s="2232"/>
      <c r="K282" s="2232"/>
      <c r="L282" s="2232"/>
      <c r="M282" s="2232"/>
      <c r="N282" s="2232"/>
      <c r="O282" s="2232"/>
      <c r="P282" s="2232"/>
      <c r="Q282" s="2232"/>
      <c r="R282" s="2232"/>
      <c r="S282" s="2232"/>
      <c r="T282" s="2232"/>
      <c r="U282" s="2232"/>
      <c r="V282" s="2232"/>
      <c r="W282" s="2232"/>
      <c r="X282" s="2232"/>
      <c r="Y282" s="2232"/>
      <c r="Z282" s="2232"/>
      <c r="AA282" s="2232"/>
      <c r="AB282" s="2232"/>
      <c r="AC282" s="2232"/>
      <c r="AD282" s="2232"/>
      <c r="AE282" s="2232"/>
      <c r="AF282" s="2232"/>
    </row>
    <row r="283" spans="1:32" ht="18" customHeight="1">
      <c r="A283" s="2513"/>
      <c r="B283" s="2514" t="s">
        <v>339</v>
      </c>
      <c r="C283" s="2515"/>
      <c r="D283" s="2515"/>
      <c r="E283" s="2515"/>
      <c r="F283" s="2515"/>
      <c r="G283" s="2515"/>
      <c r="H283" s="2232"/>
      <c r="I283" s="2515"/>
      <c r="J283" s="2515"/>
      <c r="K283" s="2515"/>
      <c r="L283" s="2515"/>
      <c r="M283" s="2515"/>
      <c r="N283" s="2515"/>
      <c r="O283" s="2515"/>
      <c r="P283" s="2515"/>
      <c r="Q283" s="2515"/>
      <c r="R283" s="2515"/>
      <c r="S283" s="2515"/>
      <c r="T283" s="2515"/>
      <c r="U283" s="2515"/>
      <c r="V283" s="2515"/>
      <c r="W283" s="2515"/>
      <c r="X283" s="2515"/>
      <c r="Y283" s="2515"/>
      <c r="Z283" s="2515"/>
      <c r="AA283" s="2515"/>
      <c r="AB283" s="2515"/>
      <c r="AC283" s="2515"/>
      <c r="AD283" s="2515"/>
      <c r="AE283" s="2515"/>
      <c r="AF283" s="2515"/>
    </row>
    <row r="284" spans="1:32" ht="18" customHeight="1">
      <c r="A284" s="2516">
        <v>3702</v>
      </c>
      <c r="B284" s="2208" t="s">
        <v>340</v>
      </c>
      <c r="C284" s="2296"/>
      <c r="D284" s="2296" t="s">
        <v>342</v>
      </c>
      <c r="E284" s="2296" t="s">
        <v>342</v>
      </c>
      <c r="F284" s="2296" t="s">
        <v>342</v>
      </c>
      <c r="G284" s="2210"/>
      <c r="H284" s="2210" t="s">
        <v>342</v>
      </c>
      <c r="I284" s="2296"/>
      <c r="J284" s="2296"/>
      <c r="K284" s="2296"/>
      <c r="L284" s="2296" t="s">
        <v>341</v>
      </c>
      <c r="M284" s="2296" t="s">
        <v>341</v>
      </c>
      <c r="N284" s="2210" t="s">
        <v>341</v>
      </c>
      <c r="O284" s="2210" t="s">
        <v>341</v>
      </c>
      <c r="P284" s="2296"/>
      <c r="Q284" s="2296"/>
      <c r="R284" s="2241" t="s">
        <v>342</v>
      </c>
      <c r="S284" s="2241" t="s">
        <v>342</v>
      </c>
      <c r="T284" s="2241" t="s">
        <v>342</v>
      </c>
      <c r="U284" s="2241" t="s">
        <v>342</v>
      </c>
      <c r="V284" s="2241" t="s">
        <v>342</v>
      </c>
      <c r="W284" s="2241"/>
      <c r="X284" s="2241"/>
      <c r="Y284" s="2241" t="s">
        <v>341</v>
      </c>
      <c r="Z284" s="2241" t="s">
        <v>341</v>
      </c>
      <c r="AA284" s="2241" t="s">
        <v>341</v>
      </c>
      <c r="AB284" s="2241" t="s">
        <v>341</v>
      </c>
      <c r="AC284" s="2241" t="s">
        <v>341</v>
      </c>
      <c r="AD284" s="2241"/>
      <c r="AE284" s="2241"/>
      <c r="AF284" s="2296" t="s">
        <v>342</v>
      </c>
    </row>
    <row r="285" spans="1:32" ht="18" customHeight="1">
      <c r="A285" s="2516"/>
      <c r="B285" s="2208" t="s">
        <v>406</v>
      </c>
      <c r="C285" s="2296"/>
      <c r="D285" s="2296" t="s">
        <v>341</v>
      </c>
      <c r="E285" s="2241" t="s">
        <v>341</v>
      </c>
      <c r="F285" s="2241" t="s">
        <v>341</v>
      </c>
      <c r="G285" s="2241"/>
      <c r="H285" s="2241" t="s">
        <v>341</v>
      </c>
      <c r="I285" s="2296"/>
      <c r="J285" s="2296"/>
      <c r="K285" s="2296"/>
      <c r="L285" s="2296" t="s">
        <v>342</v>
      </c>
      <c r="M285" s="2296" t="s">
        <v>342</v>
      </c>
      <c r="N285" s="2296" t="s">
        <v>342</v>
      </c>
      <c r="O285" s="2296" t="s">
        <v>342</v>
      </c>
      <c r="P285" s="2296"/>
      <c r="Q285" s="2296"/>
      <c r="R285" s="2296" t="s">
        <v>341</v>
      </c>
      <c r="S285" s="2296" t="s">
        <v>341</v>
      </c>
      <c r="T285" s="2296" t="s">
        <v>341</v>
      </c>
      <c r="U285" s="2296" t="s">
        <v>341</v>
      </c>
      <c r="V285" s="2296" t="s">
        <v>341</v>
      </c>
      <c r="W285" s="2296"/>
      <c r="X285" s="2296"/>
      <c r="Y285" s="2296" t="s">
        <v>342</v>
      </c>
      <c r="Z285" s="2296" t="s">
        <v>342</v>
      </c>
      <c r="AA285" s="2296" t="s">
        <v>342</v>
      </c>
      <c r="AB285" s="2296" t="s">
        <v>342</v>
      </c>
      <c r="AC285" s="2296" t="s">
        <v>342</v>
      </c>
      <c r="AD285" s="2296"/>
      <c r="AE285" s="2296"/>
      <c r="AF285" s="2296" t="s">
        <v>341</v>
      </c>
    </row>
    <row r="286" spans="1:32" ht="18" customHeight="1" thickBot="1">
      <c r="A286" s="2517"/>
      <c r="B286" s="2213" t="s">
        <v>345</v>
      </c>
      <c r="C286" s="2258"/>
      <c r="D286" s="2258" t="s">
        <v>346</v>
      </c>
      <c r="E286" s="2258" t="s">
        <v>346</v>
      </c>
      <c r="F286" s="2215" t="s">
        <v>346</v>
      </c>
      <c r="G286" s="2215"/>
      <c r="H286" s="2215" t="s">
        <v>341</v>
      </c>
      <c r="I286" s="2258"/>
      <c r="J286" s="2258"/>
      <c r="K286" s="2258"/>
      <c r="L286" s="2258" t="s">
        <v>346</v>
      </c>
      <c r="M286" s="2258" t="s">
        <v>346</v>
      </c>
      <c r="N286" s="2218" t="s">
        <v>346</v>
      </c>
      <c r="O286" s="2518" t="s">
        <v>346</v>
      </c>
      <c r="P286" s="2258"/>
      <c r="Q286" s="2258"/>
      <c r="R286" s="2258" t="s">
        <v>346</v>
      </c>
      <c r="S286" s="2258" t="s">
        <v>346</v>
      </c>
      <c r="T286" s="2258" t="s">
        <v>346</v>
      </c>
      <c r="U286" s="2215" t="s">
        <v>346</v>
      </c>
      <c r="V286" s="2215" t="s">
        <v>346</v>
      </c>
      <c r="W286" s="2258"/>
      <c r="X286" s="2258"/>
      <c r="Y286" s="2432" t="s">
        <v>346</v>
      </c>
      <c r="Z286" s="2258" t="s">
        <v>346</v>
      </c>
      <c r="AA286" s="2432" t="s">
        <v>346</v>
      </c>
      <c r="AB286" s="2519" t="s">
        <v>407</v>
      </c>
      <c r="AC286" s="2215" t="s">
        <v>408</v>
      </c>
      <c r="AD286" s="2258"/>
      <c r="AE286" s="2258"/>
      <c r="AF286" s="2218" t="s">
        <v>346</v>
      </c>
    </row>
    <row r="287" spans="1:32" ht="18" customHeight="1">
      <c r="C287" s="108"/>
      <c r="D287" s="108"/>
      <c r="E287" s="108"/>
      <c r="F287" s="108"/>
      <c r="G287" s="108"/>
      <c r="I287" s="108"/>
      <c r="J287" s="108"/>
      <c r="K287" s="108"/>
      <c r="L287" s="108"/>
      <c r="M287" s="108"/>
      <c r="N287" s="108"/>
      <c r="O287" s="108"/>
      <c r="P287" s="108"/>
      <c r="Q287" s="108"/>
      <c r="R287" s="108"/>
      <c r="S287" s="108"/>
      <c r="T287" s="108"/>
      <c r="U287" s="108"/>
      <c r="V287" s="108"/>
      <c r="W287" s="108"/>
      <c r="X287" s="108"/>
      <c r="Y287" s="108"/>
      <c r="Z287" s="108"/>
      <c r="AA287" s="108"/>
      <c r="AB287" s="108"/>
      <c r="AC287" s="108"/>
      <c r="AD287" s="108"/>
      <c r="AE287" s="108"/>
      <c r="AF287" s="108"/>
    </row>
    <row r="288" spans="1:32" ht="18" customHeight="1">
      <c r="O288" s="116" t="s">
        <v>0</v>
      </c>
    </row>
    <row r="289" spans="1:32" ht="18" customHeight="1" thickBot="1">
      <c r="A289" s="96" t="s">
        <v>348</v>
      </c>
    </row>
    <row r="290" spans="1:32" ht="18" customHeight="1">
      <c r="A290" s="1"/>
      <c r="B290" s="1651" t="s">
        <v>303</v>
      </c>
      <c r="C290" s="1609"/>
      <c r="D290" s="1623" t="s">
        <v>19</v>
      </c>
      <c r="E290" s="1643"/>
      <c r="F290" s="1613"/>
      <c r="G290" s="1609"/>
      <c r="H290" s="2403" t="s">
        <v>20</v>
      </c>
      <c r="I290" s="1643"/>
      <c r="J290" s="1613"/>
      <c r="K290" s="1609"/>
      <c r="L290" s="1623" t="s">
        <v>21</v>
      </c>
      <c r="M290" s="1643"/>
      <c r="N290" s="1613"/>
      <c r="O290" s="1609"/>
      <c r="P290" s="1623" t="s">
        <v>22</v>
      </c>
      <c r="Q290" s="1643"/>
      <c r="R290" s="1613"/>
      <c r="S290" s="1609"/>
      <c r="T290" s="1623" t="s">
        <v>23</v>
      </c>
      <c r="U290" s="1643"/>
      <c r="V290" s="1613"/>
      <c r="W290" s="1609"/>
      <c r="X290" s="1623" t="s">
        <v>24</v>
      </c>
      <c r="Y290" s="1643"/>
      <c r="Z290" s="1613"/>
      <c r="AA290" s="1609"/>
      <c r="AB290" s="1623" t="s">
        <v>25</v>
      </c>
      <c r="AC290" s="1643"/>
      <c r="AD290" s="1643"/>
      <c r="AE290" s="1626" t="s">
        <v>108</v>
      </c>
      <c r="AF290" s="1643"/>
    </row>
    <row r="291" spans="1:32" ht="18" customHeight="1">
      <c r="A291" s="1"/>
      <c r="B291" s="548"/>
      <c r="C291" s="549"/>
      <c r="D291" s="539"/>
      <c r="E291" s="516"/>
      <c r="F291" s="518"/>
      <c r="G291" s="549"/>
      <c r="H291" s="554"/>
      <c r="I291" s="516"/>
      <c r="J291" s="518"/>
      <c r="K291" s="549"/>
      <c r="L291" s="539"/>
      <c r="M291" s="516"/>
      <c r="N291" s="518"/>
      <c r="O291" s="549"/>
      <c r="P291" s="539"/>
      <c r="Q291" s="516"/>
      <c r="R291" s="518"/>
      <c r="S291" s="549"/>
      <c r="T291" s="539"/>
      <c r="U291" s="516"/>
      <c r="V291" s="518"/>
      <c r="W291" s="549"/>
      <c r="X291" s="539"/>
      <c r="Y291" s="516"/>
      <c r="Z291" s="518"/>
      <c r="AA291" s="549"/>
      <c r="AB291" s="539"/>
      <c r="AC291" s="516"/>
      <c r="AD291" s="516"/>
      <c r="AE291" s="542"/>
      <c r="AF291" s="516"/>
    </row>
    <row r="292" spans="1:32" ht="18" customHeight="1">
      <c r="A292" s="68"/>
      <c r="B292" s="2507"/>
      <c r="C292" s="1969"/>
      <c r="D292" s="2177"/>
      <c r="E292" s="2177"/>
      <c r="F292" s="2407"/>
      <c r="G292" s="1969"/>
      <c r="H292" s="2267"/>
      <c r="I292" s="2177"/>
      <c r="J292" s="2407"/>
      <c r="K292" s="1969"/>
      <c r="L292" s="2177"/>
      <c r="M292" s="2177"/>
      <c r="N292" s="2407"/>
      <c r="O292" s="1969"/>
      <c r="P292" s="2177"/>
      <c r="Q292" s="2177"/>
      <c r="R292" s="2407"/>
      <c r="S292" s="1969"/>
      <c r="T292" s="2177"/>
      <c r="U292" s="2177"/>
      <c r="V292" s="2407"/>
      <c r="W292" s="1969"/>
      <c r="X292" s="2177"/>
      <c r="Y292" s="2177"/>
      <c r="Z292" s="2407"/>
      <c r="AA292" s="2405"/>
      <c r="AB292" s="2177"/>
      <c r="AC292" s="2177"/>
      <c r="AD292" s="1968"/>
      <c r="AE292" s="2520"/>
      <c r="AF292" s="2177"/>
    </row>
    <row r="293" spans="1:32" ht="18" customHeight="1" thickBot="1">
      <c r="A293" s="1"/>
      <c r="B293" s="2416"/>
      <c r="C293" s="2417"/>
      <c r="D293" s="2277"/>
      <c r="E293" s="2277"/>
      <c r="F293" s="2435"/>
      <c r="G293" s="2417"/>
      <c r="H293" s="2450"/>
      <c r="I293" s="2277"/>
      <c r="J293" s="2435"/>
      <c r="K293" s="2417"/>
      <c r="L293" s="2277"/>
      <c r="M293" s="2277"/>
      <c r="N293" s="2435"/>
      <c r="O293" s="2417"/>
      <c r="P293" s="2277"/>
      <c r="Q293" s="2277"/>
      <c r="R293" s="2435"/>
      <c r="S293" s="2417"/>
      <c r="T293" s="2277"/>
      <c r="U293" s="2277"/>
      <c r="V293" s="2435"/>
      <c r="W293" s="2434"/>
      <c r="X293" s="2277"/>
      <c r="Y293" s="2277"/>
      <c r="Z293" s="2435"/>
      <c r="AA293" s="2434"/>
      <c r="AB293" s="2277"/>
      <c r="AC293" s="2277"/>
      <c r="AD293" s="2437"/>
      <c r="AE293" s="2434"/>
      <c r="AF293" s="2277"/>
    </row>
    <row r="294" spans="1:32" ht="18" customHeight="1">
      <c r="A294" s="1"/>
      <c r="B294" s="5"/>
      <c r="C294" s="42"/>
      <c r="F294" s="46"/>
      <c r="G294" s="42"/>
      <c r="J294" s="46"/>
      <c r="K294" s="42"/>
      <c r="N294" s="46"/>
      <c r="O294" s="42"/>
      <c r="R294" s="46"/>
      <c r="S294" s="42"/>
      <c r="V294" s="46"/>
      <c r="W294" s="46"/>
      <c r="Z294" s="46"/>
      <c r="AA294" s="46"/>
      <c r="AD294" s="46"/>
      <c r="AE294" s="46"/>
    </row>
    <row r="295" spans="1:32" ht="18" customHeight="1" thickBot="1">
      <c r="A295" s="96" t="s">
        <v>349</v>
      </c>
      <c r="B295" s="5"/>
      <c r="C295" s="42"/>
      <c r="F295" s="46"/>
      <c r="G295" s="42"/>
      <c r="J295" s="46"/>
      <c r="K295" s="42"/>
      <c r="N295" s="46"/>
      <c r="O295" s="42"/>
      <c r="R295" s="46"/>
      <c r="S295" s="42"/>
      <c r="V295" s="46"/>
      <c r="W295" s="46"/>
      <c r="Z295" s="46"/>
      <c r="AA295" s="46"/>
      <c r="AD295" s="46"/>
      <c r="AE295" s="46"/>
    </row>
    <row r="296" spans="1:32" ht="18" customHeight="1" thickBot="1">
      <c r="A296" s="2402" t="s">
        <v>37</v>
      </c>
      <c r="B296" s="2285" t="s">
        <v>38</v>
      </c>
      <c r="C296" s="1580">
        <v>1</v>
      </c>
      <c r="D296" s="1578">
        <v>2</v>
      </c>
      <c r="E296" s="1578">
        <v>3</v>
      </c>
      <c r="F296" s="1578">
        <v>4</v>
      </c>
      <c r="G296" s="1580">
        <v>5</v>
      </c>
      <c r="H296" s="1578">
        <v>6</v>
      </c>
      <c r="I296" s="1580">
        <v>7</v>
      </c>
      <c r="J296" s="1580">
        <v>8</v>
      </c>
      <c r="K296" s="1580">
        <v>9</v>
      </c>
      <c r="L296" s="1578">
        <v>10</v>
      </c>
      <c r="M296" s="1578">
        <v>11</v>
      </c>
      <c r="N296" s="1578">
        <v>12</v>
      </c>
      <c r="O296" s="1578">
        <v>13</v>
      </c>
      <c r="P296" s="1580">
        <v>14</v>
      </c>
      <c r="Q296" s="1580">
        <v>15</v>
      </c>
      <c r="R296" s="1578">
        <v>16</v>
      </c>
      <c r="S296" s="1578">
        <v>17</v>
      </c>
      <c r="T296" s="1578">
        <v>18</v>
      </c>
      <c r="U296" s="1578">
        <v>19</v>
      </c>
      <c r="V296" s="1578">
        <v>20</v>
      </c>
      <c r="W296" s="1580">
        <v>21</v>
      </c>
      <c r="X296" s="1580">
        <v>22</v>
      </c>
      <c r="Y296" s="1578">
        <v>23</v>
      </c>
      <c r="Z296" s="1578">
        <v>24</v>
      </c>
      <c r="AA296" s="1578">
        <v>25</v>
      </c>
      <c r="AB296" s="1578">
        <v>26</v>
      </c>
      <c r="AC296" s="1578">
        <v>27</v>
      </c>
      <c r="AD296" s="1580">
        <v>28</v>
      </c>
      <c r="AE296" s="1580">
        <v>29</v>
      </c>
      <c r="AF296" s="1578">
        <v>30</v>
      </c>
    </row>
    <row r="297" spans="1:32" ht="18" customHeight="1">
      <c r="A297" s="2136"/>
      <c r="B297" s="2137"/>
      <c r="C297" s="2232"/>
      <c r="D297" s="2232" t="s">
        <v>40</v>
      </c>
      <c r="E297" s="2232" t="s">
        <v>40</v>
      </c>
      <c r="F297" s="2232" t="s">
        <v>40</v>
      </c>
      <c r="G297" s="2232"/>
      <c r="H297" s="2232" t="s">
        <v>40</v>
      </c>
      <c r="I297" s="2232"/>
      <c r="J297" s="2232"/>
      <c r="K297" s="2232"/>
      <c r="L297" s="2232" t="s">
        <v>40</v>
      </c>
      <c r="M297" s="2232" t="s">
        <v>40</v>
      </c>
      <c r="N297" s="2232" t="s">
        <v>40</v>
      </c>
      <c r="O297" s="2232" t="s">
        <v>40</v>
      </c>
      <c r="P297" s="2232"/>
      <c r="Q297" s="2232"/>
      <c r="R297" s="2232" t="s">
        <v>40</v>
      </c>
      <c r="S297" s="2232" t="s">
        <v>40</v>
      </c>
      <c r="T297" s="2232" t="s">
        <v>40</v>
      </c>
      <c r="U297" s="2232" t="s">
        <v>40</v>
      </c>
      <c r="V297" s="2232" t="s">
        <v>40</v>
      </c>
      <c r="W297" s="2232"/>
      <c r="X297" s="2232"/>
      <c r="Y297" s="2232" t="s">
        <v>40</v>
      </c>
      <c r="Z297" s="2232"/>
      <c r="AA297" s="2232"/>
      <c r="AB297" s="2232"/>
      <c r="AC297" s="2232" t="s">
        <v>40</v>
      </c>
      <c r="AD297" s="2232"/>
      <c r="AE297" s="2232"/>
      <c r="AF297" s="2232" t="s">
        <v>40</v>
      </c>
    </row>
    <row r="298" spans="1:32" ht="18" customHeight="1">
      <c r="A298" s="2521"/>
      <c r="B298" s="2311" t="s">
        <v>350</v>
      </c>
      <c r="C298" s="2314"/>
      <c r="D298" s="2314" t="s">
        <v>40</v>
      </c>
      <c r="E298" s="2314" t="s">
        <v>40</v>
      </c>
      <c r="F298" s="2314" t="s">
        <v>40</v>
      </c>
      <c r="G298" s="2314"/>
      <c r="H298" s="2314" t="s">
        <v>40</v>
      </c>
      <c r="I298" s="2314"/>
      <c r="J298" s="2314"/>
      <c r="K298" s="2314"/>
      <c r="L298" s="2314" t="s">
        <v>40</v>
      </c>
      <c r="M298" s="2314" t="s">
        <v>40</v>
      </c>
      <c r="N298" s="2314" t="s">
        <v>40</v>
      </c>
      <c r="O298" s="2314" t="s">
        <v>40</v>
      </c>
      <c r="P298" s="2314"/>
      <c r="Q298" s="2314"/>
      <c r="R298" s="2314" t="s">
        <v>40</v>
      </c>
      <c r="S298" s="2314" t="s">
        <v>40</v>
      </c>
      <c r="T298" s="2314" t="s">
        <v>40</v>
      </c>
      <c r="U298" s="2314" t="s">
        <v>40</v>
      </c>
      <c r="V298" s="2314" t="s">
        <v>40</v>
      </c>
      <c r="W298" s="2314"/>
      <c r="X298" s="2314"/>
      <c r="Y298" s="2314" t="s">
        <v>40</v>
      </c>
      <c r="Z298" s="2314"/>
      <c r="AA298" s="2314"/>
      <c r="AB298" s="2314"/>
      <c r="AC298" s="2314" t="s">
        <v>40</v>
      </c>
      <c r="AD298" s="2314"/>
      <c r="AE298" s="2314"/>
      <c r="AF298" s="2314" t="s">
        <v>40</v>
      </c>
    </row>
    <row r="299" spans="1:32" ht="18" customHeight="1">
      <c r="A299" s="2498"/>
      <c r="B299" s="2311" t="s">
        <v>351</v>
      </c>
      <c r="C299" s="2314"/>
      <c r="D299" s="2314" t="s">
        <v>40</v>
      </c>
      <c r="E299" s="2314" t="s">
        <v>40</v>
      </c>
      <c r="F299" s="2314" t="s">
        <v>40</v>
      </c>
      <c r="G299" s="2314"/>
      <c r="H299" s="2314" t="s">
        <v>40</v>
      </c>
      <c r="I299" s="2314"/>
      <c r="J299" s="2314"/>
      <c r="K299" s="2314"/>
      <c r="L299" s="2314" t="s">
        <v>40</v>
      </c>
      <c r="M299" s="2314" t="s">
        <v>40</v>
      </c>
      <c r="N299" s="2314" t="s">
        <v>40</v>
      </c>
      <c r="O299" s="2314" t="s">
        <v>40</v>
      </c>
      <c r="P299" s="2314"/>
      <c r="Q299" s="2314"/>
      <c r="R299" s="2314" t="s">
        <v>40</v>
      </c>
      <c r="S299" s="2314" t="s">
        <v>40</v>
      </c>
      <c r="T299" s="2314" t="s">
        <v>40</v>
      </c>
      <c r="U299" s="2314" t="s">
        <v>40</v>
      </c>
      <c r="V299" s="2314" t="s">
        <v>40</v>
      </c>
      <c r="W299" s="2314"/>
      <c r="X299" s="2314"/>
      <c r="Y299" s="2314" t="s">
        <v>40</v>
      </c>
      <c r="Z299" s="2314"/>
      <c r="AA299" s="2314"/>
      <c r="AB299" s="2314"/>
      <c r="AC299" s="2314" t="s">
        <v>40</v>
      </c>
      <c r="AD299" s="2314"/>
      <c r="AE299" s="2314"/>
      <c r="AF299" s="2314" t="s">
        <v>40</v>
      </c>
    </row>
    <row r="300" spans="1:32" ht="18" customHeight="1">
      <c r="A300" s="2498"/>
      <c r="B300" s="2311" t="s">
        <v>409</v>
      </c>
      <c r="C300" s="2314"/>
      <c r="D300" s="2314" t="s">
        <v>40</v>
      </c>
      <c r="E300" s="2314" t="s">
        <v>40</v>
      </c>
      <c r="F300" s="2314" t="s">
        <v>40</v>
      </c>
      <c r="G300" s="2314"/>
      <c r="H300" s="2315" t="s">
        <v>40</v>
      </c>
      <c r="I300" s="2315"/>
      <c r="J300" s="2314"/>
      <c r="K300" s="2314"/>
      <c r="L300" s="2314" t="s">
        <v>40</v>
      </c>
      <c r="M300" s="2314" t="s">
        <v>40</v>
      </c>
      <c r="N300" s="2314" t="s">
        <v>40</v>
      </c>
      <c r="O300" s="2315" t="s">
        <v>40</v>
      </c>
      <c r="P300" s="2315"/>
      <c r="Q300" s="2314"/>
      <c r="R300" s="2314" t="s">
        <v>40</v>
      </c>
      <c r="S300" s="2314" t="s">
        <v>40</v>
      </c>
      <c r="T300" s="2314" t="s">
        <v>40</v>
      </c>
      <c r="U300" s="2314" t="s">
        <v>40</v>
      </c>
      <c r="V300" s="2315" t="s">
        <v>40</v>
      </c>
      <c r="W300" s="2315"/>
      <c r="X300" s="2314"/>
      <c r="Y300" s="2314" t="s">
        <v>40</v>
      </c>
      <c r="Z300" s="2314"/>
      <c r="AA300" s="2314"/>
      <c r="AB300" s="2314"/>
      <c r="AC300" s="2315" t="s">
        <v>40</v>
      </c>
      <c r="AD300" s="2315"/>
      <c r="AE300" s="2314"/>
      <c r="AF300" s="2314" t="s">
        <v>40</v>
      </c>
    </row>
    <row r="301" spans="1:32" ht="18" customHeight="1">
      <c r="A301" s="2498"/>
      <c r="B301" s="2311" t="s">
        <v>353</v>
      </c>
      <c r="C301" s="2314"/>
      <c r="D301" s="2314" t="s">
        <v>40</v>
      </c>
      <c r="E301" s="2314" t="s">
        <v>40</v>
      </c>
      <c r="F301" s="2314" t="s">
        <v>40</v>
      </c>
      <c r="G301" s="2314"/>
      <c r="H301" s="2314" t="s">
        <v>40</v>
      </c>
      <c r="I301" s="2314"/>
      <c r="J301" s="2314"/>
      <c r="K301" s="2314"/>
      <c r="L301" s="2314" t="s">
        <v>40</v>
      </c>
      <c r="M301" s="2314" t="s">
        <v>40</v>
      </c>
      <c r="N301" s="2314" t="s">
        <v>40</v>
      </c>
      <c r="O301" s="2314" t="s">
        <v>40</v>
      </c>
      <c r="P301" s="2314"/>
      <c r="Q301" s="2314"/>
      <c r="R301" s="2314" t="s">
        <v>40</v>
      </c>
      <c r="S301" s="2314" t="s">
        <v>40</v>
      </c>
      <c r="T301" s="2314" t="s">
        <v>40</v>
      </c>
      <c r="U301" s="2314" t="s">
        <v>40</v>
      </c>
      <c r="V301" s="2314" t="s">
        <v>40</v>
      </c>
      <c r="W301" s="2314"/>
      <c r="X301" s="2314"/>
      <c r="Y301" s="2314" t="s">
        <v>40</v>
      </c>
      <c r="Z301" s="2314"/>
      <c r="AA301" s="2314"/>
      <c r="AB301" s="2314"/>
      <c r="AC301" s="2314" t="s">
        <v>40</v>
      </c>
      <c r="AD301" s="2314"/>
      <c r="AE301" s="2314"/>
      <c r="AF301" s="2314" t="s">
        <v>40</v>
      </c>
    </row>
    <row r="302" spans="1:32" ht="18" customHeight="1">
      <c r="A302" s="2498"/>
      <c r="B302" s="2311" t="s">
        <v>354</v>
      </c>
      <c r="C302" s="2314"/>
      <c r="D302" s="2314" t="s">
        <v>40</v>
      </c>
      <c r="E302" s="2314" t="s">
        <v>40</v>
      </c>
      <c r="F302" s="2314" t="s">
        <v>40</v>
      </c>
      <c r="G302" s="2314"/>
      <c r="H302" s="2314" t="s">
        <v>40</v>
      </c>
      <c r="I302" s="2314"/>
      <c r="J302" s="2314"/>
      <c r="K302" s="2314"/>
      <c r="L302" s="2314" t="s">
        <v>40</v>
      </c>
      <c r="M302" s="2314" t="s">
        <v>40</v>
      </c>
      <c r="N302" s="2314" t="s">
        <v>40</v>
      </c>
      <c r="O302" s="2314" t="s">
        <v>40</v>
      </c>
      <c r="P302" s="2314"/>
      <c r="Q302" s="2314"/>
      <c r="R302" s="2314" t="s">
        <v>40</v>
      </c>
      <c r="S302" s="2314" t="s">
        <v>40</v>
      </c>
      <c r="T302" s="2314" t="s">
        <v>40</v>
      </c>
      <c r="U302" s="2314" t="s">
        <v>40</v>
      </c>
      <c r="V302" s="2314" t="s">
        <v>40</v>
      </c>
      <c r="W302" s="2314"/>
      <c r="X302" s="2314"/>
      <c r="Y302" s="2314" t="s">
        <v>40</v>
      </c>
      <c r="Z302" s="2314"/>
      <c r="AA302" s="2314"/>
      <c r="AB302" s="2314"/>
      <c r="AC302" s="2314" t="s">
        <v>40</v>
      </c>
      <c r="AD302" s="2314"/>
      <c r="AE302" s="2314"/>
      <c r="AF302" s="2314" t="s">
        <v>40</v>
      </c>
    </row>
    <row r="303" spans="1:32" ht="18" customHeight="1">
      <c r="A303" s="2498"/>
      <c r="B303" s="2311" t="s">
        <v>355</v>
      </c>
      <c r="C303" s="2314"/>
      <c r="D303" s="2314" t="s">
        <v>40</v>
      </c>
      <c r="E303" s="2314" t="s">
        <v>40</v>
      </c>
      <c r="F303" s="2314" t="s">
        <v>40</v>
      </c>
      <c r="G303" s="2314"/>
      <c r="H303" s="2314" t="s">
        <v>40</v>
      </c>
      <c r="I303" s="2314"/>
      <c r="J303" s="2314"/>
      <c r="K303" s="2314"/>
      <c r="L303" s="2314" t="s">
        <v>40</v>
      </c>
      <c r="M303" s="2314" t="s">
        <v>40</v>
      </c>
      <c r="N303" s="2314" t="s">
        <v>40</v>
      </c>
      <c r="O303" s="2314" t="s">
        <v>40</v>
      </c>
      <c r="P303" s="2314"/>
      <c r="Q303" s="2314"/>
      <c r="R303" s="2314" t="s">
        <v>40</v>
      </c>
      <c r="S303" s="2314" t="s">
        <v>40</v>
      </c>
      <c r="T303" s="2314" t="s">
        <v>40</v>
      </c>
      <c r="U303" s="2314" t="s">
        <v>40</v>
      </c>
      <c r="V303" s="2314" t="s">
        <v>40</v>
      </c>
      <c r="W303" s="2314"/>
      <c r="X303" s="2314"/>
      <c r="Y303" s="2314" t="s">
        <v>40</v>
      </c>
      <c r="Z303" s="2314"/>
      <c r="AA303" s="2314"/>
      <c r="AB303" s="2314"/>
      <c r="AC303" s="2314" t="s">
        <v>40</v>
      </c>
      <c r="AD303" s="2314"/>
      <c r="AE303" s="2314"/>
      <c r="AF303" s="2314" t="s">
        <v>40</v>
      </c>
    </row>
    <row r="304" spans="1:32" ht="18" customHeight="1">
      <c r="A304" s="2498"/>
      <c r="B304" s="2311" t="s">
        <v>237</v>
      </c>
      <c r="C304" s="2314"/>
      <c r="D304" s="2314" t="s">
        <v>40</v>
      </c>
      <c r="E304" s="2314" t="s">
        <v>40</v>
      </c>
      <c r="F304" s="2314" t="s">
        <v>40</v>
      </c>
      <c r="G304" s="2314"/>
      <c r="H304" s="2314" t="s">
        <v>40</v>
      </c>
      <c r="I304" s="2314"/>
      <c r="J304" s="2314"/>
      <c r="K304" s="2314"/>
      <c r="L304" s="2314" t="s">
        <v>40</v>
      </c>
      <c r="M304" s="2314" t="s">
        <v>40</v>
      </c>
      <c r="N304" s="2314" t="s">
        <v>40</v>
      </c>
      <c r="O304" s="2314" t="s">
        <v>40</v>
      </c>
      <c r="P304" s="2314"/>
      <c r="Q304" s="2314"/>
      <c r="R304" s="2314" t="s">
        <v>40</v>
      </c>
      <c r="S304" s="2314" t="s">
        <v>40</v>
      </c>
      <c r="T304" s="2314" t="s">
        <v>40</v>
      </c>
      <c r="U304" s="2314" t="s">
        <v>40</v>
      </c>
      <c r="V304" s="2314" t="s">
        <v>40</v>
      </c>
      <c r="W304" s="2314"/>
      <c r="X304" s="2314"/>
      <c r="Y304" s="2314" t="s">
        <v>40</v>
      </c>
      <c r="Z304" s="2314"/>
      <c r="AA304" s="2314"/>
      <c r="AB304" s="2314"/>
      <c r="AC304" s="2314" t="s">
        <v>40</v>
      </c>
      <c r="AD304" s="2314"/>
      <c r="AE304" s="2314"/>
      <c r="AF304" s="2314" t="s">
        <v>40</v>
      </c>
    </row>
    <row r="305" spans="1:32" ht="18" customHeight="1">
      <c r="A305" s="2498"/>
      <c r="B305" s="2311" t="s">
        <v>356</v>
      </c>
      <c r="C305" s="2314"/>
      <c r="D305" s="2314" t="s">
        <v>40</v>
      </c>
      <c r="E305" s="2314" t="s">
        <v>40</v>
      </c>
      <c r="F305" s="2314" t="s">
        <v>40</v>
      </c>
      <c r="G305" s="2314"/>
      <c r="H305" s="2314" t="s">
        <v>40</v>
      </c>
      <c r="I305" s="2314"/>
      <c r="J305" s="2314"/>
      <c r="K305" s="2314"/>
      <c r="L305" s="2314" t="s">
        <v>40</v>
      </c>
      <c r="M305" s="2314" t="s">
        <v>40</v>
      </c>
      <c r="N305" s="2314" t="s">
        <v>40</v>
      </c>
      <c r="O305" s="2314" t="s">
        <v>40</v>
      </c>
      <c r="P305" s="2314"/>
      <c r="Q305" s="2314"/>
      <c r="R305" s="2314" t="s">
        <v>40</v>
      </c>
      <c r="S305" s="2314" t="s">
        <v>40</v>
      </c>
      <c r="T305" s="2314" t="s">
        <v>40</v>
      </c>
      <c r="U305" s="2314" t="s">
        <v>40</v>
      </c>
      <c r="V305" s="2314" t="s">
        <v>40</v>
      </c>
      <c r="W305" s="2314"/>
      <c r="X305" s="2314"/>
      <c r="Y305" s="2314" t="s">
        <v>40</v>
      </c>
      <c r="Z305" s="2314"/>
      <c r="AA305" s="2314"/>
      <c r="AB305" s="2314"/>
      <c r="AC305" s="2314" t="s">
        <v>40</v>
      </c>
      <c r="AD305" s="2314"/>
      <c r="AE305" s="2314"/>
      <c r="AF305" s="2314" t="s">
        <v>40</v>
      </c>
    </row>
    <row r="306" spans="1:32" ht="18" customHeight="1">
      <c r="A306" s="2498"/>
      <c r="B306" s="2311" t="s">
        <v>357</v>
      </c>
      <c r="C306" s="2442"/>
      <c r="D306" s="2314" t="s">
        <v>40</v>
      </c>
      <c r="E306" s="2314" t="s">
        <v>40</v>
      </c>
      <c r="F306" s="2314" t="s">
        <v>40</v>
      </c>
      <c r="G306" s="2314"/>
      <c r="H306" s="2314" t="s">
        <v>40</v>
      </c>
      <c r="I306" s="2314"/>
      <c r="J306" s="2442"/>
      <c r="K306" s="2314"/>
      <c r="L306" s="2314" t="s">
        <v>40</v>
      </c>
      <c r="M306" s="2314" t="s">
        <v>40</v>
      </c>
      <c r="N306" s="2314" t="s">
        <v>40</v>
      </c>
      <c r="O306" s="2314" t="s">
        <v>40</v>
      </c>
      <c r="P306" s="2314"/>
      <c r="Q306" s="2442"/>
      <c r="R306" s="2314" t="s">
        <v>40</v>
      </c>
      <c r="S306" s="2314" t="s">
        <v>40</v>
      </c>
      <c r="T306" s="2314" t="s">
        <v>40</v>
      </c>
      <c r="U306" s="2314" t="s">
        <v>40</v>
      </c>
      <c r="V306" s="2314" t="s">
        <v>40</v>
      </c>
      <c r="W306" s="2314"/>
      <c r="X306" s="2442"/>
      <c r="Y306" s="2314" t="s">
        <v>40</v>
      </c>
      <c r="Z306" s="2314"/>
      <c r="AA306" s="2314"/>
      <c r="AB306" s="2314"/>
      <c r="AC306" s="2314" t="s">
        <v>40</v>
      </c>
      <c r="AD306" s="2314"/>
      <c r="AE306" s="2442"/>
      <c r="AF306" s="2314" t="s">
        <v>40</v>
      </c>
    </row>
    <row r="307" spans="1:32" ht="18" customHeight="1">
      <c r="A307" s="2522"/>
      <c r="B307" s="2345" t="s">
        <v>358</v>
      </c>
      <c r="C307" s="2523"/>
      <c r="D307" s="2523" t="s">
        <v>40</v>
      </c>
      <c r="E307" s="2523" t="s">
        <v>40</v>
      </c>
      <c r="F307" s="2523" t="s">
        <v>40</v>
      </c>
      <c r="G307" s="2523"/>
      <c r="H307" s="2523" t="s">
        <v>40</v>
      </c>
      <c r="I307" s="2523"/>
      <c r="J307" s="2523"/>
      <c r="K307" s="2523"/>
      <c r="L307" s="2523" t="s">
        <v>40</v>
      </c>
      <c r="M307" s="2523" t="s">
        <v>40</v>
      </c>
      <c r="N307" s="2523" t="s">
        <v>40</v>
      </c>
      <c r="O307" s="2523" t="s">
        <v>40</v>
      </c>
      <c r="P307" s="2523"/>
      <c r="Q307" s="2523"/>
      <c r="R307" s="2523" t="s">
        <v>40</v>
      </c>
      <c r="S307" s="2523" t="s">
        <v>40</v>
      </c>
      <c r="T307" s="2523" t="s">
        <v>40</v>
      </c>
      <c r="U307" s="2523" t="s">
        <v>40</v>
      </c>
      <c r="V307" s="2523" t="s">
        <v>40</v>
      </c>
      <c r="W307" s="2523"/>
      <c r="X307" s="2523"/>
      <c r="Y307" s="2523" t="s">
        <v>40</v>
      </c>
      <c r="Z307" s="2523"/>
      <c r="AA307" s="2523"/>
      <c r="AB307" s="2523"/>
      <c r="AC307" s="2523" t="s">
        <v>40</v>
      </c>
      <c r="AD307" s="2523"/>
      <c r="AE307" s="2523"/>
      <c r="AF307" s="2523" t="s">
        <v>40</v>
      </c>
    </row>
  </sheetData>
  <sheetProtection algorithmName="SHA-512" hashValue="c4WOvi+sw8yznIBMoVTbMgYS0sXeQmNkGOk6GX2fTQw39asQWuwvFI2F/AtqTEXl6xcfh+jZOloOgaWZOhrgdg==" saltValue="z8BvhwuZbEAgh4Rh49WI3Q==" spinCount="100000" sheet="1" objects="1" scenarios="1"/>
  <mergeCells count="3">
    <mergeCell ref="T37:Z37"/>
    <mergeCell ref="C3:F3"/>
    <mergeCell ref="AB3:AE3"/>
  </mergeCells>
  <phoneticPr fontId="10" type="noConversion"/>
  <pageMargins left="0.7" right="0.7" top="0.75" bottom="0.75" header="0.3" footer="0.3"/>
  <pageSetup paperSize="9" scale="10" orientation="landscape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85CDA-468A-4BB8-B93D-06606266E3BE}">
  <sheetPr codeName="Ark40">
    <pageSetUpPr fitToPage="1"/>
  </sheetPr>
  <dimension ref="A1:AJ307"/>
  <sheetViews>
    <sheetView topLeftCell="B44" zoomScale="110" zoomScaleNormal="110" workbookViewId="0">
      <pane xSplit="1" topLeftCell="C1" activePane="topRight" state="frozen"/>
      <selection pane="topRight" activeCell="B130" sqref="B130"/>
      <selection activeCell="B50" sqref="B50"/>
    </sheetView>
  </sheetViews>
  <sheetFormatPr defaultRowHeight="12"/>
  <cols>
    <col min="1" max="1" width="0" hidden="1" customWidth="1"/>
    <col min="2" max="2" width="31.28515625" customWidth="1"/>
    <col min="3" max="24" width="4.5703125" customWidth="1"/>
    <col min="25" max="25" width="4.7109375" customWidth="1"/>
    <col min="26" max="32" width="4.5703125" customWidth="1"/>
    <col min="33" max="33" width="4.28515625" customWidth="1"/>
    <col min="35" max="35" width="19.5703125" customWidth="1"/>
  </cols>
  <sheetData>
    <row r="1" spans="1:33" ht="18" customHeight="1">
      <c r="A1" t="s">
        <v>0</v>
      </c>
      <c r="B1" s="1" t="s">
        <v>1</v>
      </c>
    </row>
    <row r="2" spans="1:33" ht="18" customHeight="1">
      <c r="B2" s="2524" t="s">
        <v>2</v>
      </c>
      <c r="C2" s="2525" t="s">
        <v>3</v>
      </c>
      <c r="D2" s="2526"/>
      <c r="E2" s="2527" t="s">
        <v>4</v>
      </c>
      <c r="F2" s="2528"/>
      <c r="G2" s="2529"/>
      <c r="H2" s="2529"/>
      <c r="I2" s="2529"/>
      <c r="J2" s="2529"/>
      <c r="K2" s="2530"/>
      <c r="L2" s="2531" t="s">
        <v>5</v>
      </c>
      <c r="M2" s="2532"/>
      <c r="N2" s="2533"/>
      <c r="O2" s="2534" t="s">
        <v>6</v>
      </c>
      <c r="P2" s="2535"/>
      <c r="Q2" s="2536"/>
      <c r="R2" s="2537"/>
      <c r="S2" s="2538" t="s">
        <v>7</v>
      </c>
      <c r="T2" s="2539"/>
      <c r="U2" s="2540"/>
      <c r="V2" s="2539"/>
      <c r="W2" s="2541" t="s">
        <v>8</v>
      </c>
      <c r="X2" s="2542"/>
      <c r="Y2" s="2543"/>
      <c r="Z2" s="98" t="s">
        <v>9</v>
      </c>
      <c r="AA2" s="2544"/>
      <c r="AB2" s="2545"/>
      <c r="AC2" s="2546"/>
      <c r="AD2" s="2547" t="s">
        <v>10</v>
      </c>
      <c r="AE2" s="2548"/>
      <c r="AF2" s="2548"/>
    </row>
    <row r="3" spans="1:33" ht="18" customHeight="1">
      <c r="A3" s="1"/>
      <c r="B3" s="2549" t="s">
        <v>11</v>
      </c>
      <c r="C3" s="2550" t="s">
        <v>12</v>
      </c>
      <c r="D3" s="2551"/>
      <c r="E3" s="2551"/>
      <c r="F3" s="2552"/>
      <c r="G3" s="518"/>
      <c r="H3" s="519" t="s">
        <v>10</v>
      </c>
      <c r="I3" s="520"/>
      <c r="J3" s="520"/>
      <c r="K3" s="521"/>
      <c r="L3" s="2553" t="s">
        <v>13</v>
      </c>
      <c r="M3" s="2554"/>
      <c r="N3" s="2555"/>
      <c r="O3" s="520"/>
      <c r="P3" s="520"/>
      <c r="Q3" s="520"/>
      <c r="R3" s="520"/>
      <c r="S3" s="516"/>
      <c r="T3" s="505" t="s">
        <v>14</v>
      </c>
      <c r="U3" s="522"/>
      <c r="V3" s="523"/>
      <c r="W3" s="524"/>
      <c r="X3" s="551"/>
      <c r="Y3" s="2556" t="s">
        <v>15</v>
      </c>
      <c r="Z3" s="2557"/>
      <c r="AA3" s="2557"/>
      <c r="AB3" s="2558" t="s">
        <v>16</v>
      </c>
      <c r="AC3" s="2559"/>
      <c r="AD3" s="2559"/>
      <c r="AE3" s="2559"/>
    </row>
    <row r="4" spans="1:33" ht="18" customHeight="1">
      <c r="A4" s="96" t="s">
        <v>17</v>
      </c>
      <c r="B4" s="22"/>
      <c r="C4" s="4"/>
      <c r="D4" s="48"/>
      <c r="E4" s="48"/>
      <c r="F4" s="48"/>
      <c r="G4" s="48"/>
      <c r="H4" s="4"/>
      <c r="I4" s="48"/>
      <c r="J4" s="48"/>
      <c r="K4" s="6"/>
      <c r="L4" s="48"/>
      <c r="M4" s="6"/>
      <c r="N4" s="6"/>
      <c r="O4" s="48"/>
      <c r="P4" s="48"/>
      <c r="Q4" s="48"/>
      <c r="R4" s="48"/>
      <c r="T4" s="6"/>
      <c r="U4" s="4"/>
      <c r="W4" s="48"/>
      <c r="X4" s="48"/>
      <c r="Y4" s="4"/>
      <c r="Z4" s="48"/>
      <c r="AB4" s="48"/>
      <c r="AC4" s="48"/>
      <c r="AD4" s="48"/>
      <c r="AE4" s="48"/>
      <c r="AF4" s="48"/>
    </row>
    <row r="5" spans="1:33" ht="18" customHeight="1">
      <c r="A5" s="96" t="s">
        <v>18</v>
      </c>
      <c r="B5" s="1"/>
      <c r="C5" s="2560"/>
      <c r="D5" s="2561" t="s">
        <v>19</v>
      </c>
      <c r="E5" s="2562"/>
      <c r="F5" s="2560"/>
      <c r="G5" s="2561" t="s">
        <v>20</v>
      </c>
      <c r="H5" s="2562"/>
      <c r="I5" s="2560"/>
      <c r="J5" s="2561" t="s">
        <v>21</v>
      </c>
      <c r="K5" s="2562"/>
      <c r="L5" s="2560"/>
      <c r="M5" s="2561" t="s">
        <v>22</v>
      </c>
      <c r="N5" s="2562"/>
      <c r="O5" s="2560"/>
      <c r="P5" s="2561" t="s">
        <v>23</v>
      </c>
      <c r="Q5" s="2562"/>
      <c r="R5" s="2560"/>
      <c r="S5" s="2561" t="s">
        <v>24</v>
      </c>
      <c r="T5" s="2563"/>
      <c r="U5" s="2564"/>
      <c r="V5" s="2565" t="s">
        <v>25</v>
      </c>
      <c r="W5" s="2563"/>
    </row>
    <row r="6" spans="1:33" ht="18" customHeight="1">
      <c r="A6" s="2566"/>
      <c r="B6" s="2567" t="s">
        <v>26</v>
      </c>
      <c r="C6" s="2568" t="s">
        <v>27</v>
      </c>
      <c r="D6" s="2569"/>
      <c r="E6" s="2570"/>
      <c r="F6" s="2568" t="s">
        <v>27</v>
      </c>
      <c r="G6" s="2571"/>
      <c r="H6" s="2571"/>
      <c r="I6" s="2568" t="s">
        <v>27</v>
      </c>
      <c r="J6" s="2571"/>
      <c r="K6" s="2570"/>
      <c r="L6" s="2568" t="s">
        <v>27</v>
      </c>
      <c r="M6" s="2571"/>
      <c r="N6" s="2570"/>
      <c r="O6" s="2568" t="s">
        <v>28</v>
      </c>
      <c r="P6" s="2571"/>
      <c r="Q6" s="2570"/>
      <c r="R6" s="2571"/>
      <c r="S6" s="2571"/>
      <c r="T6" s="2571"/>
      <c r="U6" s="2567"/>
      <c r="V6" s="2571"/>
      <c r="W6" s="2570"/>
      <c r="X6" s="2571"/>
      <c r="Y6" s="2571"/>
      <c r="Z6" s="2571"/>
      <c r="AA6" s="2571"/>
      <c r="AB6" s="2572"/>
      <c r="AC6" s="2570"/>
      <c r="AD6" s="111"/>
      <c r="AE6" s="111"/>
      <c r="AF6" s="111"/>
    </row>
    <row r="7" spans="1:33" ht="18" customHeight="1">
      <c r="A7" s="2567"/>
      <c r="B7" s="2567" t="s">
        <v>29</v>
      </c>
      <c r="C7" s="2573" t="s">
        <v>30</v>
      </c>
      <c r="D7" s="2574"/>
      <c r="E7" s="2575"/>
      <c r="F7" s="2573" t="s">
        <v>30</v>
      </c>
      <c r="G7" s="2574"/>
      <c r="H7" s="2574"/>
      <c r="I7" s="2573" t="s">
        <v>30</v>
      </c>
      <c r="J7" s="2574"/>
      <c r="K7" s="2575"/>
      <c r="L7" s="2573" t="s">
        <v>30</v>
      </c>
      <c r="M7" s="2574"/>
      <c r="N7" s="2574"/>
      <c r="O7" s="2573" t="s">
        <v>30</v>
      </c>
      <c r="P7" s="2574"/>
      <c r="Q7" s="2575"/>
      <c r="R7" s="1523" t="s">
        <v>31</v>
      </c>
      <c r="S7" s="1524"/>
      <c r="T7" s="1524"/>
      <c r="U7" s="2576" t="s">
        <v>31</v>
      </c>
      <c r="V7" s="1524"/>
      <c r="W7" s="1525"/>
      <c r="X7" s="2577"/>
      <c r="Y7" s="2571"/>
      <c r="Z7" s="2571"/>
      <c r="AA7" s="2571"/>
      <c r="AB7" s="2578"/>
      <c r="AC7" s="2570"/>
      <c r="AD7" s="111"/>
      <c r="AE7" s="111"/>
      <c r="AF7" s="111"/>
    </row>
    <row r="8" spans="1:33" ht="18" customHeight="1">
      <c r="A8" s="2567"/>
      <c r="B8" s="2567" t="s">
        <v>32</v>
      </c>
      <c r="C8" s="2568" t="s">
        <v>33</v>
      </c>
      <c r="D8" s="2574"/>
      <c r="E8" s="2575"/>
      <c r="F8" s="2568" t="s">
        <v>33</v>
      </c>
      <c r="G8" s="2571"/>
      <c r="H8" s="2571"/>
      <c r="I8" s="2568" t="s">
        <v>33</v>
      </c>
      <c r="J8" s="2571"/>
      <c r="K8" s="2570"/>
      <c r="L8" s="2568" t="s">
        <v>33</v>
      </c>
      <c r="M8" s="2571"/>
      <c r="N8" s="2570"/>
      <c r="O8" s="2568" t="s">
        <v>33</v>
      </c>
      <c r="P8" s="2571"/>
      <c r="Q8" s="2570"/>
      <c r="R8" s="2579" t="s">
        <v>34</v>
      </c>
      <c r="S8" s="2571"/>
      <c r="T8" s="2571"/>
      <c r="U8" s="2568" t="s">
        <v>35</v>
      </c>
      <c r="V8" s="2571"/>
      <c r="W8" s="2570"/>
      <c r="X8" s="2570"/>
      <c r="Y8" s="2571"/>
      <c r="Z8" s="2571"/>
      <c r="AA8" s="2571"/>
      <c r="AB8" s="2571"/>
      <c r="AC8" s="2578"/>
      <c r="AD8" s="2570"/>
      <c r="AE8" s="111"/>
      <c r="AF8" s="111"/>
      <c r="AG8" s="111"/>
    </row>
    <row r="9" spans="1:33" ht="18" customHeight="1">
      <c r="A9" s="96" t="s">
        <v>10</v>
      </c>
    </row>
    <row r="10" spans="1:33" ht="18" customHeight="1">
      <c r="A10" s="96" t="s">
        <v>10</v>
      </c>
      <c r="AG10" s="103"/>
    </row>
    <row r="11" spans="1:33" ht="18" customHeight="1">
      <c r="AG11" s="105"/>
    </row>
    <row r="12" spans="1:33" ht="18" customHeight="1">
      <c r="B12" s="60" t="s">
        <v>36</v>
      </c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104"/>
    </row>
    <row r="13" spans="1:33" ht="18" customHeight="1">
      <c r="A13" s="1728" t="s">
        <v>37</v>
      </c>
      <c r="B13" s="1729" t="s">
        <v>360</v>
      </c>
      <c r="C13" s="1578">
        <v>1</v>
      </c>
      <c r="D13" s="1578">
        <v>2</v>
      </c>
      <c r="E13" s="1578">
        <v>3</v>
      </c>
      <c r="F13" s="1578">
        <v>4</v>
      </c>
      <c r="G13" s="1580">
        <v>5</v>
      </c>
      <c r="H13" s="1580">
        <v>6</v>
      </c>
      <c r="I13" s="1578">
        <v>7</v>
      </c>
      <c r="J13" s="1578">
        <v>8</v>
      </c>
      <c r="K13" s="1578">
        <v>9</v>
      </c>
      <c r="L13" s="1578">
        <v>10</v>
      </c>
      <c r="M13" s="1578">
        <v>11</v>
      </c>
      <c r="N13" s="1580">
        <v>12</v>
      </c>
      <c r="O13" s="1580">
        <v>13</v>
      </c>
      <c r="P13" s="1578">
        <v>14</v>
      </c>
      <c r="Q13" s="1578">
        <v>15</v>
      </c>
      <c r="R13" s="1578">
        <v>16</v>
      </c>
      <c r="S13" s="1578">
        <v>17</v>
      </c>
      <c r="T13" s="1578">
        <v>18</v>
      </c>
      <c r="U13" s="1580">
        <v>19</v>
      </c>
      <c r="V13" s="1580">
        <v>20</v>
      </c>
      <c r="W13" s="1578">
        <v>21</v>
      </c>
      <c r="X13" s="1578">
        <v>22</v>
      </c>
      <c r="Y13" s="1578">
        <v>23</v>
      </c>
      <c r="Z13" s="1578">
        <v>24</v>
      </c>
      <c r="AA13" s="1578">
        <v>25</v>
      </c>
      <c r="AB13" s="1580">
        <v>26</v>
      </c>
      <c r="AC13" s="1580">
        <v>27</v>
      </c>
      <c r="AD13" s="1578">
        <v>28</v>
      </c>
      <c r="AE13" s="1578">
        <v>29</v>
      </c>
      <c r="AF13" s="1578">
        <v>30</v>
      </c>
      <c r="AG13" s="1578">
        <v>31</v>
      </c>
    </row>
    <row r="14" spans="1:33" ht="18" customHeight="1">
      <c r="A14" s="1730">
        <v>8500</v>
      </c>
      <c r="B14" s="1608" t="s">
        <v>39</v>
      </c>
      <c r="C14" s="2206" t="s">
        <v>40</v>
      </c>
      <c r="D14" s="2206" t="s">
        <v>40</v>
      </c>
      <c r="E14" s="2580" t="s">
        <v>40</v>
      </c>
      <c r="F14" s="2580" t="s">
        <v>40</v>
      </c>
      <c r="G14" s="2580"/>
      <c r="H14" s="2580"/>
      <c r="I14" s="2580" t="s">
        <v>40</v>
      </c>
      <c r="J14" s="2580" t="s">
        <v>40</v>
      </c>
      <c r="K14" s="2580" t="s">
        <v>40</v>
      </c>
      <c r="L14" s="2580" t="s">
        <v>40</v>
      </c>
      <c r="M14" s="2580" t="s">
        <v>40</v>
      </c>
      <c r="N14" s="1648"/>
      <c r="O14" s="1648"/>
      <c r="P14" s="1648" t="s">
        <v>40</v>
      </c>
      <c r="Q14" s="1648" t="s">
        <v>40</v>
      </c>
      <c r="R14" s="1648" t="s">
        <v>40</v>
      </c>
      <c r="S14" s="1648" t="s">
        <v>40</v>
      </c>
      <c r="T14" s="1648" t="s">
        <v>40</v>
      </c>
      <c r="U14" s="1648"/>
      <c r="V14" s="1648"/>
      <c r="W14" s="1648" t="s">
        <v>40</v>
      </c>
      <c r="X14" s="1648" t="s">
        <v>40</v>
      </c>
      <c r="Y14" s="1648" t="s">
        <v>40</v>
      </c>
      <c r="Z14" s="1648" t="s">
        <v>40</v>
      </c>
      <c r="AA14" s="2581" t="s">
        <v>26</v>
      </c>
      <c r="AB14" s="1648"/>
      <c r="AC14" s="1648"/>
      <c r="AD14" s="1648" t="s">
        <v>40</v>
      </c>
      <c r="AE14" s="1648" t="s">
        <v>40</v>
      </c>
      <c r="AF14" s="1647" t="s">
        <v>40</v>
      </c>
      <c r="AG14" s="1647" t="s">
        <v>40</v>
      </c>
    </row>
    <row r="15" spans="1:33" ht="18" customHeight="1">
      <c r="A15" s="2582">
        <v>8546</v>
      </c>
      <c r="B15" s="2583" t="s">
        <v>41</v>
      </c>
      <c r="C15" s="2584" t="s">
        <v>40</v>
      </c>
      <c r="D15" s="2584" t="s">
        <v>40</v>
      </c>
      <c r="E15" s="2585" t="s">
        <v>40</v>
      </c>
      <c r="F15" s="2585" t="s">
        <v>40</v>
      </c>
      <c r="G15" s="2585"/>
      <c r="H15" s="2585"/>
      <c r="I15" s="2585" t="s">
        <v>40</v>
      </c>
      <c r="J15" s="2585" t="s">
        <v>40</v>
      </c>
      <c r="K15" s="2585" t="s">
        <v>40</v>
      </c>
      <c r="L15" s="2585" t="s">
        <v>40</v>
      </c>
      <c r="M15" s="2586" t="s">
        <v>40</v>
      </c>
      <c r="N15" s="2585"/>
      <c r="O15" s="2585"/>
      <c r="P15" s="2587" t="s">
        <v>40</v>
      </c>
      <c r="Q15" s="2587" t="s">
        <v>40</v>
      </c>
      <c r="R15" s="2587" t="s">
        <v>40</v>
      </c>
      <c r="S15" s="2587" t="s">
        <v>40</v>
      </c>
      <c r="T15" s="2587" t="s">
        <v>40</v>
      </c>
      <c r="U15" s="2587"/>
      <c r="V15" s="2587"/>
      <c r="W15" s="2587" t="s">
        <v>40</v>
      </c>
      <c r="X15" s="2587" t="s">
        <v>40</v>
      </c>
      <c r="Y15" s="2587" t="s">
        <v>40</v>
      </c>
      <c r="Z15" s="2587" t="s">
        <v>40</v>
      </c>
      <c r="AA15" s="2587" t="s">
        <v>40</v>
      </c>
      <c r="AB15" s="2587"/>
      <c r="AC15" s="2587"/>
      <c r="AD15" s="2587" t="s">
        <v>40</v>
      </c>
      <c r="AE15" s="2587" t="s">
        <v>40</v>
      </c>
      <c r="AF15" s="2587" t="s">
        <v>40</v>
      </c>
      <c r="AG15" s="2587" t="s">
        <v>40</v>
      </c>
    </row>
    <row r="16" spans="1:33" ht="18" customHeight="1">
      <c r="A16" s="235"/>
      <c r="B16" s="2588" t="s">
        <v>42</v>
      </c>
      <c r="C16" s="2589" t="s">
        <v>40</v>
      </c>
      <c r="D16" s="2589" t="s">
        <v>40</v>
      </c>
      <c r="E16" s="2589" t="s">
        <v>40</v>
      </c>
      <c r="F16" s="2589" t="s">
        <v>40</v>
      </c>
      <c r="G16" s="2590"/>
      <c r="H16" s="2590"/>
      <c r="I16" s="2590" t="s">
        <v>40</v>
      </c>
      <c r="J16" s="2590" t="s">
        <v>40</v>
      </c>
      <c r="K16" s="2590" t="s">
        <v>40</v>
      </c>
      <c r="L16" s="2590" t="s">
        <v>40</v>
      </c>
      <c r="M16" s="2590" t="s">
        <v>40</v>
      </c>
      <c r="N16" s="2590"/>
      <c r="O16" s="2590"/>
      <c r="P16" s="2590" t="s">
        <v>26</v>
      </c>
      <c r="Q16" s="2591" t="s">
        <v>26</v>
      </c>
      <c r="R16" s="2592" t="s">
        <v>26</v>
      </c>
      <c r="S16" s="2592" t="s">
        <v>26</v>
      </c>
      <c r="T16" s="2592" t="s">
        <v>26</v>
      </c>
      <c r="U16" s="2591"/>
      <c r="V16" s="2591"/>
      <c r="W16" s="2592" t="s">
        <v>26</v>
      </c>
      <c r="X16" s="2592" t="s">
        <v>26</v>
      </c>
      <c r="Y16" s="2592" t="s">
        <v>26</v>
      </c>
      <c r="Z16" s="2592" t="s">
        <v>26</v>
      </c>
      <c r="AA16" s="2593" t="s">
        <v>40</v>
      </c>
      <c r="AB16" s="2591"/>
      <c r="AC16" s="2590"/>
      <c r="AD16" s="2594" t="s">
        <v>40</v>
      </c>
      <c r="AE16" s="2590" t="s">
        <v>40</v>
      </c>
      <c r="AF16" s="2595" t="s">
        <v>40</v>
      </c>
      <c r="AG16" s="2595" t="s">
        <v>40</v>
      </c>
    </row>
    <row r="17" spans="1:34" ht="18" customHeight="1">
      <c r="A17" s="2596" t="s">
        <v>44</v>
      </c>
      <c r="B17" s="2597"/>
      <c r="C17" s="506"/>
      <c r="D17" s="506"/>
      <c r="E17" s="506"/>
      <c r="F17" s="506"/>
      <c r="G17" s="506"/>
      <c r="H17" s="506"/>
      <c r="I17" s="506"/>
      <c r="J17" s="506"/>
      <c r="K17" s="506"/>
      <c r="L17" s="506"/>
      <c r="M17" s="506"/>
      <c r="N17" s="506"/>
      <c r="O17" s="506"/>
      <c r="P17" s="506"/>
      <c r="Q17" s="506"/>
      <c r="R17" s="506"/>
      <c r="S17" s="506"/>
      <c r="T17" s="506"/>
      <c r="U17" s="506"/>
      <c r="V17" s="506"/>
      <c r="W17" s="506"/>
      <c r="X17" s="506"/>
      <c r="Y17" s="506"/>
      <c r="Z17" s="506"/>
      <c r="AA17" s="506"/>
      <c r="AB17" s="506"/>
      <c r="AC17" s="506"/>
      <c r="AD17" s="506"/>
      <c r="AE17" s="506"/>
      <c r="AF17" s="506"/>
      <c r="AG17" s="506"/>
    </row>
    <row r="18" spans="1:34" ht="18" customHeight="1">
      <c r="A18" s="1752">
        <v>8546</v>
      </c>
      <c r="B18" s="507" t="s">
        <v>45</v>
      </c>
      <c r="C18" s="2598" t="s">
        <v>50</v>
      </c>
      <c r="D18" s="2598" t="s">
        <v>50</v>
      </c>
      <c r="E18" s="2598" t="s">
        <v>50</v>
      </c>
      <c r="F18" s="2598" t="s">
        <v>50</v>
      </c>
      <c r="G18" s="2598" t="s">
        <v>0</v>
      </c>
      <c r="H18" s="2598"/>
      <c r="I18" s="2598" t="s">
        <v>46</v>
      </c>
      <c r="J18" s="2598" t="s">
        <v>46</v>
      </c>
      <c r="K18" s="2598" t="s">
        <v>46</v>
      </c>
      <c r="L18" s="2598" t="s">
        <v>46</v>
      </c>
      <c r="M18" s="2598" t="s">
        <v>46</v>
      </c>
      <c r="N18" s="2598" t="s">
        <v>47</v>
      </c>
      <c r="O18" s="2598" t="s">
        <v>47</v>
      </c>
      <c r="P18" s="2598" t="s">
        <v>26</v>
      </c>
      <c r="Q18" s="2598" t="s">
        <v>26</v>
      </c>
      <c r="R18" s="2598" t="s">
        <v>26</v>
      </c>
      <c r="S18" s="2598" t="s">
        <v>26</v>
      </c>
      <c r="T18" s="2598" t="s">
        <v>26</v>
      </c>
      <c r="U18" s="2598"/>
      <c r="V18" s="2598"/>
      <c r="W18" s="2598" t="s">
        <v>43</v>
      </c>
      <c r="X18" s="2598" t="s">
        <v>43</v>
      </c>
      <c r="Y18" s="2598" t="s">
        <v>43</v>
      </c>
      <c r="Z18" s="2598" t="s">
        <v>43</v>
      </c>
      <c r="AA18" s="2598" t="s">
        <v>43</v>
      </c>
      <c r="AB18" s="2598"/>
      <c r="AC18" s="2598"/>
      <c r="AD18" s="2598" t="s">
        <v>46</v>
      </c>
      <c r="AE18" s="2598" t="s">
        <v>46</v>
      </c>
      <c r="AF18" s="2598" t="s">
        <v>46</v>
      </c>
      <c r="AG18" s="2598" t="s">
        <v>46</v>
      </c>
      <c r="AH18" s="237" t="s">
        <v>133</v>
      </c>
    </row>
    <row r="19" spans="1:34" ht="18" customHeight="1">
      <c r="A19" s="2582">
        <v>8500</v>
      </c>
      <c r="B19" s="2599" t="s">
        <v>51</v>
      </c>
      <c r="C19" s="2600"/>
      <c r="D19" s="2600"/>
      <c r="E19" s="2601" t="s">
        <v>46</v>
      </c>
      <c r="F19" s="2601" t="s">
        <v>46</v>
      </c>
      <c r="G19" s="2602"/>
      <c r="H19" s="2602"/>
      <c r="I19" s="2601" t="s">
        <v>26</v>
      </c>
      <c r="J19" s="2601" t="s">
        <v>26</v>
      </c>
      <c r="K19" s="2601" t="s">
        <v>26</v>
      </c>
      <c r="L19" s="2601" t="s">
        <v>26</v>
      </c>
      <c r="M19" s="2601" t="s">
        <v>26</v>
      </c>
      <c r="N19" s="2601"/>
      <c r="O19" s="2601"/>
      <c r="P19" s="2601" t="s">
        <v>43</v>
      </c>
      <c r="Q19" s="2601" t="s">
        <v>43</v>
      </c>
      <c r="R19" s="2601" t="s">
        <v>43</v>
      </c>
      <c r="S19" s="2601" t="s">
        <v>43</v>
      </c>
      <c r="T19" s="2601" t="s">
        <v>43</v>
      </c>
      <c r="W19" s="2603" t="s">
        <v>46</v>
      </c>
      <c r="X19" s="2604" t="s">
        <v>46</v>
      </c>
      <c r="Y19" s="2584" t="s">
        <v>46</v>
      </c>
      <c r="Z19" s="2603" t="s">
        <v>46</v>
      </c>
      <c r="AA19" s="2584" t="s">
        <v>46</v>
      </c>
      <c r="AB19" s="2601" t="s">
        <v>49</v>
      </c>
      <c r="AC19" s="2601" t="s">
        <v>49</v>
      </c>
      <c r="AD19" s="2601" t="s">
        <v>50</v>
      </c>
      <c r="AE19" s="2601" t="s">
        <v>50</v>
      </c>
      <c r="AF19" s="2601" t="s">
        <v>50</v>
      </c>
      <c r="AG19" s="2601" t="s">
        <v>50</v>
      </c>
    </row>
    <row r="20" spans="1:34" ht="18" customHeight="1">
      <c r="A20" s="2582">
        <v>8500</v>
      </c>
      <c r="B20" s="2599" t="s">
        <v>54</v>
      </c>
      <c r="C20" s="2605" t="s">
        <v>26</v>
      </c>
      <c r="D20" s="2605" t="s">
        <v>26</v>
      </c>
      <c r="E20" s="2606" t="s">
        <v>26</v>
      </c>
      <c r="F20" s="2606" t="s">
        <v>26</v>
      </c>
      <c r="G20" s="2606"/>
      <c r="H20" s="2606"/>
      <c r="I20" s="2603" t="s">
        <v>43</v>
      </c>
      <c r="J20" s="2603" t="s">
        <v>43</v>
      </c>
      <c r="K20" s="2603" t="s">
        <v>43</v>
      </c>
      <c r="L20" s="2603" t="s">
        <v>43</v>
      </c>
      <c r="M20" s="2604" t="s">
        <v>43</v>
      </c>
      <c r="N20" s="2607"/>
      <c r="O20" s="2608"/>
      <c r="P20" s="2608" t="s">
        <v>46</v>
      </c>
      <c r="Q20" s="2581" t="s">
        <v>46</v>
      </c>
      <c r="R20" s="2581" t="s">
        <v>46</v>
      </c>
      <c r="S20" s="2581" t="s">
        <v>46</v>
      </c>
      <c r="T20" s="2603" t="s">
        <v>46</v>
      </c>
      <c r="U20" s="2581" t="s">
        <v>49</v>
      </c>
      <c r="V20" s="2603" t="s">
        <v>49</v>
      </c>
      <c r="W20" s="2603" t="s">
        <v>50</v>
      </c>
      <c r="X20" s="2581" t="s">
        <v>50</v>
      </c>
      <c r="Y20" s="2603" t="s">
        <v>50</v>
      </c>
      <c r="Z20" s="2603" t="s">
        <v>50</v>
      </c>
      <c r="AA20" s="2603" t="s">
        <v>50</v>
      </c>
      <c r="AB20" s="2603"/>
      <c r="AC20" s="2603"/>
      <c r="AD20" s="2587" t="s">
        <v>46</v>
      </c>
      <c r="AE20" s="2587" t="s">
        <v>46</v>
      </c>
      <c r="AF20" s="2587" t="s">
        <v>46</v>
      </c>
      <c r="AG20" s="2587" t="s">
        <v>46</v>
      </c>
    </row>
    <row r="21" spans="1:34" ht="18" customHeight="1">
      <c r="A21" s="2582">
        <v>8546</v>
      </c>
      <c r="B21" s="2583" t="s">
        <v>56</v>
      </c>
      <c r="C21" s="2587" t="s">
        <v>43</v>
      </c>
      <c r="D21" s="2587" t="s">
        <v>43</v>
      </c>
      <c r="E21" s="2587" t="s">
        <v>43</v>
      </c>
      <c r="F21" s="2587" t="s">
        <v>43</v>
      </c>
      <c r="G21" s="2587"/>
      <c r="H21" s="2587"/>
      <c r="I21" s="2581" t="s">
        <v>46</v>
      </c>
      <c r="J21" s="2581" t="s">
        <v>46</v>
      </c>
      <c r="K21" s="2601" t="s">
        <v>46</v>
      </c>
      <c r="L21" s="2601" t="s">
        <v>46</v>
      </c>
      <c r="M21" s="2598" t="s">
        <v>46</v>
      </c>
      <c r="N21" s="2598" t="s">
        <v>49</v>
      </c>
      <c r="O21" s="2598" t="s">
        <v>49</v>
      </c>
      <c r="P21" s="2598" t="s">
        <v>50</v>
      </c>
      <c r="Q21" s="2598" t="s">
        <v>50</v>
      </c>
      <c r="R21" s="2598" t="s">
        <v>50</v>
      </c>
      <c r="S21" s="2598" t="s">
        <v>50</v>
      </c>
      <c r="T21" s="2598" t="s">
        <v>362</v>
      </c>
      <c r="U21" s="2604"/>
      <c r="V21" s="2584"/>
      <c r="W21" s="2603" t="s">
        <v>46</v>
      </c>
      <c r="X21" s="2604" t="s">
        <v>46</v>
      </c>
      <c r="Y21" s="2584" t="s">
        <v>46</v>
      </c>
      <c r="Z21" s="2603" t="s">
        <v>46</v>
      </c>
      <c r="AA21" s="2584" t="s">
        <v>46</v>
      </c>
      <c r="AB21" s="2581" t="s">
        <v>47</v>
      </c>
      <c r="AC21" s="2581" t="s">
        <v>47</v>
      </c>
      <c r="AD21" s="2603" t="s">
        <v>26</v>
      </c>
      <c r="AE21" s="2581" t="s">
        <v>26</v>
      </c>
      <c r="AF21" s="2581" t="s">
        <v>26</v>
      </c>
      <c r="AG21" s="2581" t="s">
        <v>26</v>
      </c>
      <c r="AH21" s="250" t="s">
        <v>133</v>
      </c>
    </row>
    <row r="22" spans="1:34" ht="18" customHeight="1">
      <c r="B22" s="2583" t="s">
        <v>363</v>
      </c>
      <c r="C22" s="2609" t="s">
        <v>26</v>
      </c>
      <c r="D22" s="2609" t="s">
        <v>26</v>
      </c>
      <c r="E22" t="s">
        <v>46</v>
      </c>
      <c r="F22" t="s">
        <v>46</v>
      </c>
      <c r="G22" s="2605" t="s">
        <v>49</v>
      </c>
      <c r="H22" s="2605" t="s">
        <v>49</v>
      </c>
      <c r="I22" s="2585" t="s">
        <v>50</v>
      </c>
      <c r="J22" s="2603" t="s">
        <v>50</v>
      </c>
      <c r="K22" s="2603" t="s">
        <v>50</v>
      </c>
      <c r="L22" s="2603" t="s">
        <v>50</v>
      </c>
      <c r="M22" s="2603" t="s">
        <v>50</v>
      </c>
      <c r="N22" s="2604"/>
      <c r="O22" s="2564"/>
      <c r="P22" s="2598" t="s">
        <v>26</v>
      </c>
      <c r="Q22" s="2598" t="s">
        <v>26</v>
      </c>
      <c r="R22" s="2598" t="s">
        <v>26</v>
      </c>
      <c r="S22" s="2598" t="s">
        <v>26</v>
      </c>
      <c r="T22" s="2598" t="s">
        <v>26</v>
      </c>
      <c r="U22" s="222"/>
      <c r="V22" s="222"/>
      <c r="W22" s="2598" t="s">
        <v>26</v>
      </c>
      <c r="X22" s="2598" t="s">
        <v>26</v>
      </c>
      <c r="Y22" s="2598" t="s">
        <v>26</v>
      </c>
      <c r="Z22" s="2598" t="s">
        <v>26</v>
      </c>
      <c r="AA22" s="2598" t="s">
        <v>26</v>
      </c>
      <c r="AB22" s="2603"/>
      <c r="AC22" s="2603"/>
    </row>
    <row r="23" spans="1:34" ht="18" customHeight="1">
      <c r="A23" s="2610">
        <v>8546</v>
      </c>
      <c r="B23" s="2611" t="s">
        <v>57</v>
      </c>
      <c r="C23" s="2598" t="s">
        <v>40</v>
      </c>
      <c r="D23" s="2598" t="s">
        <v>40</v>
      </c>
      <c r="E23" s="2598" t="s">
        <v>40</v>
      </c>
      <c r="F23" s="2598" t="s">
        <v>40</v>
      </c>
      <c r="G23" s="2598"/>
      <c r="H23" s="2598"/>
      <c r="I23" s="2598" t="s">
        <v>40</v>
      </c>
      <c r="J23" s="2598" t="s">
        <v>40</v>
      </c>
      <c r="K23" s="2598" t="s">
        <v>40</v>
      </c>
      <c r="L23" s="2598" t="s">
        <v>40</v>
      </c>
      <c r="M23" s="2598" t="s">
        <v>40</v>
      </c>
      <c r="N23" s="2598"/>
      <c r="O23" s="2598"/>
      <c r="P23" s="2598" t="s">
        <v>40</v>
      </c>
      <c r="Q23" s="2598" t="s">
        <v>40</v>
      </c>
      <c r="R23" s="2598" t="s">
        <v>40</v>
      </c>
      <c r="S23" s="2598" t="s">
        <v>40</v>
      </c>
      <c r="T23" s="2598" t="s">
        <v>40</v>
      </c>
      <c r="U23" s="2598"/>
      <c r="V23" s="2598"/>
      <c r="W23" s="2598" t="s">
        <v>26</v>
      </c>
      <c r="X23" s="2598" t="s">
        <v>26</v>
      </c>
      <c r="Y23" s="2598" t="s">
        <v>26</v>
      </c>
      <c r="Z23" s="2598" t="s">
        <v>26</v>
      </c>
      <c r="AA23" s="2598" t="s">
        <v>26</v>
      </c>
      <c r="AB23" s="2598"/>
      <c r="AC23" s="2598"/>
      <c r="AD23" s="2598" t="s">
        <v>40</v>
      </c>
      <c r="AE23" s="2598" t="s">
        <v>40</v>
      </c>
      <c r="AF23" s="2598" t="s">
        <v>40</v>
      </c>
      <c r="AG23" s="2598" t="s">
        <v>40</v>
      </c>
    </row>
    <row r="24" spans="1:34" ht="18" customHeight="1">
      <c r="A24" s="1775" t="s">
        <v>58</v>
      </c>
      <c r="B24" s="1776"/>
      <c r="C24" s="1599"/>
      <c r="D24" s="1599"/>
      <c r="E24" s="1599"/>
      <c r="F24" s="1599"/>
      <c r="G24" s="1599"/>
      <c r="H24" s="1599"/>
      <c r="I24" s="1599"/>
      <c r="J24" s="1599"/>
      <c r="K24" s="1599"/>
      <c r="L24" s="1599"/>
      <c r="M24" s="1599"/>
      <c r="N24" s="1599"/>
      <c r="O24" s="1599"/>
      <c r="P24" s="1599"/>
      <c r="Q24" s="1599"/>
      <c r="R24" s="1599"/>
      <c r="S24" s="1599"/>
      <c r="T24" s="1599"/>
      <c r="U24" s="1599"/>
      <c r="V24" s="1599"/>
      <c r="W24" s="1599"/>
      <c r="X24" s="1599"/>
      <c r="Y24" s="1599"/>
      <c r="Z24" s="1599"/>
      <c r="AA24" s="1599"/>
      <c r="AB24" s="1599"/>
      <c r="AC24" s="1599"/>
      <c r="AD24" s="1599"/>
      <c r="AE24" s="1599"/>
      <c r="AF24" s="1599"/>
      <c r="AG24" s="1599"/>
    </row>
    <row r="25" spans="1:34" ht="18" customHeight="1">
      <c r="A25" s="1752">
        <v>8500</v>
      </c>
      <c r="B25" s="1650" t="s">
        <v>59</v>
      </c>
      <c r="C25" s="2612" t="s">
        <v>40</v>
      </c>
      <c r="D25" s="2612" t="s">
        <v>40</v>
      </c>
      <c r="E25" s="2613" t="s">
        <v>43</v>
      </c>
      <c r="F25" s="2614" t="s">
        <v>43</v>
      </c>
      <c r="G25" s="1579"/>
      <c r="H25" s="1579"/>
      <c r="I25" s="1579" t="s">
        <v>40</v>
      </c>
      <c r="J25" s="1579" t="s">
        <v>40</v>
      </c>
      <c r="K25" s="1579" t="s">
        <v>40</v>
      </c>
      <c r="L25" s="1579" t="s">
        <v>40</v>
      </c>
      <c r="M25" s="1579" t="s">
        <v>40</v>
      </c>
      <c r="N25" s="2615"/>
      <c r="O25" s="2615"/>
      <c r="P25" s="1579" t="s">
        <v>40</v>
      </c>
      <c r="Q25" s="1579" t="s">
        <v>40</v>
      </c>
      <c r="R25" s="1579" t="s">
        <v>40</v>
      </c>
      <c r="S25" s="1579" t="s">
        <v>40</v>
      </c>
      <c r="T25" s="1579" t="s">
        <v>40</v>
      </c>
      <c r="U25" s="225" t="s">
        <v>47</v>
      </c>
      <c r="V25" s="113" t="s">
        <v>0</v>
      </c>
      <c r="W25" s="1579" t="s">
        <v>40</v>
      </c>
      <c r="X25" s="1579" t="s">
        <v>40</v>
      </c>
      <c r="Y25" s="1579" t="s">
        <v>40</v>
      </c>
      <c r="Z25" s="1579" t="s">
        <v>40</v>
      </c>
      <c r="AA25" s="1579" t="s">
        <v>40</v>
      </c>
      <c r="AB25" s="1579"/>
      <c r="AC25" s="1579"/>
      <c r="AD25" s="1579" t="s">
        <v>40</v>
      </c>
      <c r="AE25" s="1579" t="s">
        <v>40</v>
      </c>
      <c r="AF25" s="2612" t="s">
        <v>40</v>
      </c>
      <c r="AG25" s="2612" t="s">
        <v>40</v>
      </c>
    </row>
    <row r="26" spans="1:34" ht="18" customHeight="1">
      <c r="A26" s="2582">
        <v>8500</v>
      </c>
      <c r="B26" s="221" t="s">
        <v>364</v>
      </c>
      <c r="C26" s="2564" t="s">
        <v>50</v>
      </c>
      <c r="D26" s="2564" t="s">
        <v>50</v>
      </c>
      <c r="E26" s="2564" t="s">
        <v>50</v>
      </c>
      <c r="F26" s="2564" t="s">
        <v>50</v>
      </c>
      <c r="G26" s="2603"/>
      <c r="H26" s="2603"/>
      <c r="I26" s="2581" t="s">
        <v>46</v>
      </c>
      <c r="J26" s="2581" t="s">
        <v>46</v>
      </c>
      <c r="K26" s="2581" t="s">
        <v>46</v>
      </c>
      <c r="L26" s="2581" t="s">
        <v>46</v>
      </c>
      <c r="M26" s="2581" t="s">
        <v>46</v>
      </c>
      <c r="N26" s="2615" t="s">
        <v>47</v>
      </c>
      <c r="O26" s="2615" t="s">
        <v>47</v>
      </c>
      <c r="P26" s="2603" t="s">
        <v>50</v>
      </c>
      <c r="Q26" s="2603" t="s">
        <v>50</v>
      </c>
      <c r="R26" s="2603" t="s">
        <v>50</v>
      </c>
      <c r="S26" s="2616" t="s">
        <v>50</v>
      </c>
      <c r="T26" s="2603" t="s">
        <v>50</v>
      </c>
      <c r="U26" s="2606"/>
      <c r="V26" s="2606"/>
      <c r="W26" s="2606" t="s">
        <v>43</v>
      </c>
      <c r="X26" s="2606" t="s">
        <v>43</v>
      </c>
      <c r="Y26" s="2606" t="s">
        <v>43</v>
      </c>
      <c r="Z26" s="2606" t="s">
        <v>43</v>
      </c>
      <c r="AA26" s="2606" t="s">
        <v>43</v>
      </c>
      <c r="AB26" s="2603"/>
      <c r="AC26" s="2616"/>
      <c r="AD26" s="2603" t="s">
        <v>43</v>
      </c>
      <c r="AE26" s="2585" t="s">
        <v>43</v>
      </c>
      <c r="AF26" s="2617" t="s">
        <v>43</v>
      </c>
      <c r="AG26" s="2617" t="s">
        <v>43</v>
      </c>
    </row>
    <row r="27" spans="1:34" ht="18" customHeight="1">
      <c r="A27" s="2564"/>
      <c r="B27" s="2583" t="s">
        <v>63</v>
      </c>
      <c r="C27" s="2618" t="s">
        <v>40</v>
      </c>
      <c r="D27" s="2618" t="s">
        <v>40</v>
      </c>
      <c r="E27" s="2618" t="s">
        <v>40</v>
      </c>
      <c r="F27" s="2618" t="s">
        <v>40</v>
      </c>
      <c r="G27" s="2584"/>
      <c r="H27" s="2601"/>
      <c r="I27" s="2618" t="s">
        <v>40</v>
      </c>
      <c r="J27" s="2618" t="s">
        <v>40</v>
      </c>
      <c r="K27" s="2618" t="s">
        <v>40</v>
      </c>
      <c r="L27" s="2618" t="s">
        <v>40</v>
      </c>
      <c r="M27" s="2618" t="s">
        <v>40</v>
      </c>
      <c r="N27" s="2584"/>
      <c r="O27" s="2601"/>
      <c r="P27" s="2619" t="s">
        <v>40</v>
      </c>
      <c r="Q27" s="2619" t="s">
        <v>40</v>
      </c>
      <c r="R27" s="2619" t="s">
        <v>40</v>
      </c>
      <c r="S27" s="2619" t="s">
        <v>40</v>
      </c>
      <c r="T27" s="888" t="s">
        <v>40</v>
      </c>
      <c r="U27" s="888"/>
      <c r="V27" s="888"/>
      <c r="W27" s="888" t="s">
        <v>40</v>
      </c>
      <c r="X27" s="888" t="s">
        <v>40</v>
      </c>
      <c r="Y27" s="888" t="s">
        <v>40</v>
      </c>
      <c r="Z27" s="888" t="s">
        <v>40</v>
      </c>
      <c r="AA27" s="888" t="s">
        <v>40</v>
      </c>
      <c r="AB27" s="2584"/>
      <c r="AC27" s="2601"/>
      <c r="AD27" s="2587" t="s">
        <v>40</v>
      </c>
      <c r="AE27" s="2587" t="s">
        <v>40</v>
      </c>
      <c r="AF27" s="2587" t="s">
        <v>40</v>
      </c>
      <c r="AG27" s="2587" t="s">
        <v>40</v>
      </c>
    </row>
    <row r="28" spans="1:34" ht="18" customHeight="1">
      <c r="A28" s="2620"/>
      <c r="B28" s="2621" t="s">
        <v>65</v>
      </c>
      <c r="C28" s="2622" t="s">
        <v>40</v>
      </c>
      <c r="D28" s="2590" t="s">
        <v>40</v>
      </c>
      <c r="E28" s="2590" t="s">
        <v>40</v>
      </c>
      <c r="F28" s="2623" t="s">
        <v>40</v>
      </c>
      <c r="G28" s="2624"/>
      <c r="H28" s="2624"/>
      <c r="I28" s="2624" t="s">
        <v>40</v>
      </c>
      <c r="J28" s="2625" t="s">
        <v>40</v>
      </c>
      <c r="K28" s="2591" t="s">
        <v>40</v>
      </c>
      <c r="L28" s="2626" t="s">
        <v>40</v>
      </c>
      <c r="M28" s="2627" t="s">
        <v>410</v>
      </c>
      <c r="N28" s="2628"/>
      <c r="O28" s="2624"/>
      <c r="P28" s="2591" t="s">
        <v>40</v>
      </c>
      <c r="Q28" s="2625" t="s">
        <v>40</v>
      </c>
      <c r="R28" s="2591" t="s">
        <v>40</v>
      </c>
      <c r="S28" s="2591" t="s">
        <v>40</v>
      </c>
      <c r="T28" s="2591" t="s">
        <v>40</v>
      </c>
      <c r="U28" s="2624"/>
      <c r="V28" s="2624"/>
      <c r="W28" s="2590" t="s">
        <v>40</v>
      </c>
      <c r="X28" s="2622" t="s">
        <v>40</v>
      </c>
      <c r="Y28" s="2629" t="s">
        <v>40</v>
      </c>
      <c r="Z28" s="2590" t="s">
        <v>40</v>
      </c>
      <c r="AA28" s="2591" t="s">
        <v>40</v>
      </c>
      <c r="AB28" s="2624"/>
      <c r="AC28" s="2624"/>
      <c r="AD28" s="2591" t="s">
        <v>40</v>
      </c>
      <c r="AE28" s="2625" t="s">
        <v>40</v>
      </c>
      <c r="AF28" s="2591" t="s">
        <v>40</v>
      </c>
      <c r="AG28" s="2591" t="s">
        <v>40</v>
      </c>
    </row>
    <row r="29" spans="1:34" ht="18" customHeight="1">
      <c r="A29" s="153"/>
      <c r="B29" s="116"/>
      <c r="C29" s="124"/>
      <c r="D29" s="129"/>
      <c r="G29" s="116"/>
      <c r="H29" s="116"/>
      <c r="I29" s="128"/>
      <c r="J29" s="128"/>
      <c r="K29" s="111"/>
      <c r="L29" s="111"/>
      <c r="M29" s="111"/>
      <c r="P29" s="116"/>
      <c r="Q29" s="116"/>
      <c r="R29" s="201"/>
      <c r="S29" s="201"/>
      <c r="T29" s="116"/>
      <c r="W29" s="2630">
        <v>21</v>
      </c>
      <c r="X29" s="2631">
        <v>21</v>
      </c>
      <c r="Y29" s="2631">
        <v>21</v>
      </c>
      <c r="Z29" s="2630">
        <v>21</v>
      </c>
      <c r="AB29" s="116"/>
      <c r="AC29" s="116"/>
      <c r="AD29" s="179"/>
      <c r="AE29" s="179"/>
      <c r="AF29" s="179"/>
    </row>
    <row r="30" spans="1:34" ht="18" customHeight="1">
      <c r="A30" s="152"/>
      <c r="B30" s="116"/>
      <c r="C30" s="127"/>
      <c r="D30" s="129"/>
      <c r="E30" s="129"/>
      <c r="F30" s="129"/>
      <c r="G30" s="116"/>
      <c r="H30" s="179"/>
      <c r="I30" s="179"/>
      <c r="J30" s="179"/>
      <c r="K30" s="179"/>
      <c r="L30" s="179"/>
      <c r="M30" s="179"/>
      <c r="N30" s="179"/>
      <c r="O30" s="179"/>
      <c r="P30" s="2441">
        <v>23</v>
      </c>
      <c r="Q30" s="2632">
        <v>23</v>
      </c>
      <c r="R30" s="2441">
        <v>23</v>
      </c>
      <c r="S30" s="129" t="s">
        <v>0</v>
      </c>
      <c r="T30" s="129"/>
      <c r="U30" s="116"/>
      <c r="V30" s="116"/>
      <c r="W30" s="129"/>
      <c r="X30" s="127"/>
      <c r="Y30" s="129"/>
      <c r="Z30" s="129"/>
      <c r="AB30" s="116"/>
      <c r="AC30" s="116"/>
      <c r="AD30" s="129"/>
      <c r="AE30" s="127"/>
      <c r="AF30" s="129"/>
    </row>
    <row r="31" spans="1:34" ht="18" customHeight="1">
      <c r="A31" s="152"/>
      <c r="B31" s="116"/>
      <c r="C31" s="127"/>
      <c r="D31" s="116"/>
      <c r="E31" s="124"/>
      <c r="F31" s="124"/>
      <c r="G31" s="124"/>
      <c r="H31" s="124"/>
      <c r="J31" s="581"/>
      <c r="K31" s="504" t="s">
        <v>373</v>
      </c>
      <c r="L31" s="504" t="s">
        <v>373</v>
      </c>
      <c r="M31" s="504" t="s">
        <v>373</v>
      </c>
      <c r="N31" s="595"/>
      <c r="O31" s="581"/>
      <c r="P31" s="116" t="s">
        <v>130</v>
      </c>
      <c r="Q31" s="116"/>
      <c r="R31" s="129"/>
      <c r="S31" s="129"/>
      <c r="T31" s="129"/>
      <c r="U31" s="116"/>
      <c r="V31" s="116"/>
      <c r="W31" s="128"/>
      <c r="X31" s="128"/>
      <c r="Y31" s="124"/>
      <c r="Z31" s="124"/>
      <c r="AA31" s="124" t="s">
        <v>145</v>
      </c>
      <c r="AB31" s="124"/>
      <c r="AC31" s="124"/>
      <c r="AG31">
        <v>23</v>
      </c>
    </row>
    <row r="36" spans="1:34" ht="15.75" customHeight="1">
      <c r="A36" s="96" t="s">
        <v>66</v>
      </c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 t="s">
        <v>0</v>
      </c>
      <c r="P36" s="48"/>
      <c r="Q36" s="48" t="s">
        <v>67</v>
      </c>
      <c r="R36" s="48" t="s">
        <v>0</v>
      </c>
      <c r="S36" s="48" t="s">
        <v>68</v>
      </c>
      <c r="T36" s="48"/>
      <c r="U36" s="48"/>
      <c r="V36" s="48"/>
      <c r="W36" s="48"/>
      <c r="X36" s="48"/>
      <c r="Y36" s="48"/>
      <c r="Z36" s="48"/>
      <c r="AA36" s="48"/>
      <c r="AB36" s="48"/>
      <c r="AC36" s="48"/>
      <c r="AD36" s="48"/>
      <c r="AE36" s="48"/>
      <c r="AF36" s="48"/>
    </row>
    <row r="37" spans="1:34" ht="23.25" customHeight="1">
      <c r="A37" s="1595" t="s">
        <v>69</v>
      </c>
      <c r="B37" s="1595" t="s">
        <v>69</v>
      </c>
      <c r="C37" s="1596"/>
      <c r="D37" s="1641" t="s">
        <v>70</v>
      </c>
      <c r="E37" s="1581"/>
      <c r="F37" s="1581"/>
      <c r="G37" s="1581"/>
      <c r="H37" s="1581"/>
      <c r="I37" s="1581"/>
      <c r="J37" s="1581"/>
      <c r="K37" s="1581"/>
      <c r="L37" s="1581"/>
      <c r="M37" s="1597" t="s">
        <v>71</v>
      </c>
      <c r="N37" s="1581"/>
      <c r="O37" s="1581"/>
      <c r="P37" s="1581"/>
      <c r="Q37" s="1581"/>
      <c r="R37" s="1581"/>
      <c r="S37" s="1598"/>
      <c r="T37" s="1796" t="s">
        <v>72</v>
      </c>
      <c r="U37" s="1796"/>
      <c r="V37" s="1796"/>
      <c r="W37" s="1796"/>
      <c r="X37" s="1796"/>
      <c r="Y37" s="1796"/>
      <c r="Z37" s="1796"/>
      <c r="AA37" s="1642" t="s">
        <v>73</v>
      </c>
      <c r="AB37" s="1643"/>
      <c r="AC37" s="1643"/>
      <c r="AD37" s="1643"/>
      <c r="AE37" s="1643"/>
      <c r="AF37" s="1643"/>
    </row>
    <row r="38" spans="1:34" ht="18" customHeight="1">
      <c r="A38" s="2633" t="s">
        <v>74</v>
      </c>
      <c r="B38" s="2633" t="s">
        <v>74</v>
      </c>
      <c r="C38" s="2634"/>
      <c r="D38" s="2635" t="s">
        <v>75</v>
      </c>
      <c r="E38" s="2636"/>
      <c r="F38" s="2554"/>
      <c r="G38" s="2554"/>
      <c r="H38" s="2554"/>
      <c r="I38" s="2554"/>
      <c r="J38" s="2554"/>
      <c r="K38" s="2554"/>
      <c r="L38" s="2637"/>
      <c r="M38" s="2638" t="s">
        <v>76</v>
      </c>
      <c r="N38" s="2634"/>
      <c r="O38" s="2639"/>
      <c r="P38" s="2634"/>
      <c r="Q38" s="2634"/>
      <c r="R38" s="2634"/>
      <c r="S38" s="2640"/>
      <c r="T38" s="2635" t="s">
        <v>77</v>
      </c>
      <c r="U38" s="2554"/>
      <c r="V38" s="2636"/>
      <c r="W38" s="2554"/>
      <c r="X38" s="2554"/>
      <c r="Y38" s="2554"/>
      <c r="Z38" s="2637"/>
      <c r="AA38" s="97" t="s">
        <v>78</v>
      </c>
      <c r="AD38" s="59"/>
    </row>
    <row r="39" spans="1:34" ht="18" customHeight="1">
      <c r="A39" s="2641" t="s">
        <v>79</v>
      </c>
      <c r="B39" s="2641" t="s">
        <v>79</v>
      </c>
      <c r="C39" s="2554"/>
      <c r="D39" s="2642"/>
      <c r="E39" s="2554"/>
      <c r="F39" s="2554"/>
      <c r="G39" s="2637"/>
      <c r="H39" s="2643" t="s">
        <v>80</v>
      </c>
      <c r="I39" s="2554"/>
      <c r="J39" s="2554"/>
      <c r="K39" s="2554"/>
      <c r="L39" s="2554"/>
      <c r="M39" s="2644"/>
      <c r="N39" s="2554"/>
      <c r="O39" s="2554"/>
      <c r="P39" s="2554"/>
      <c r="Q39" s="2554"/>
      <c r="R39" s="2554"/>
      <c r="S39" s="2554"/>
      <c r="T39" s="2642"/>
      <c r="U39" s="96" t="s">
        <v>81</v>
      </c>
      <c r="AA39" s="2639"/>
      <c r="AB39" s="2634"/>
      <c r="AC39" s="2634"/>
      <c r="AD39" s="2634"/>
      <c r="AE39" s="2634"/>
      <c r="AF39" s="2634"/>
    </row>
    <row r="40" spans="1:34" ht="18" customHeight="1">
      <c r="A40" s="2645" t="s">
        <v>82</v>
      </c>
      <c r="B40" s="2645" t="s">
        <v>82</v>
      </c>
      <c r="C40" s="2646"/>
      <c r="D40" s="2647"/>
      <c r="E40" s="2646"/>
      <c r="F40" s="2646"/>
      <c r="G40" s="2648"/>
      <c r="H40" s="2649" t="s">
        <v>83</v>
      </c>
      <c r="I40" s="2648"/>
      <c r="J40" s="2646"/>
      <c r="K40" s="2646"/>
      <c r="L40" s="2646"/>
      <c r="M40" s="2650"/>
      <c r="N40" s="2646"/>
      <c r="O40" s="2646"/>
      <c r="P40" s="2646"/>
      <c r="Q40" s="2651"/>
      <c r="R40" s="2651"/>
      <c r="S40" s="2651"/>
      <c r="T40" s="2647"/>
      <c r="U40" s="2652" t="s">
        <v>84</v>
      </c>
      <c r="V40" s="2646"/>
      <c r="W40" s="2646"/>
      <c r="X40" s="2646"/>
      <c r="Y40" s="2646"/>
      <c r="Z40" s="2646"/>
      <c r="AA40" s="2646"/>
      <c r="AB40" s="2646"/>
      <c r="AC40" s="2646"/>
      <c r="AD40" s="2646"/>
      <c r="AE40" s="2646"/>
      <c r="AF40" s="2646"/>
    </row>
    <row r="41" spans="1:34" ht="18" customHeight="1">
      <c r="B41" s="62" t="s">
        <v>36</v>
      </c>
      <c r="C41" s="48"/>
      <c r="D41" s="48"/>
      <c r="E41" s="48"/>
      <c r="F41" s="48"/>
      <c r="G41" s="48"/>
      <c r="H41" s="48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  <c r="AA41" s="48"/>
      <c r="AB41" s="48"/>
      <c r="AC41" s="48"/>
      <c r="AD41" s="48"/>
      <c r="AE41" s="48"/>
      <c r="AF41" s="48"/>
      <c r="AG41" s="103"/>
    </row>
    <row r="42" spans="1:34" ht="18" customHeight="1">
      <c r="A42" s="2653" t="s">
        <v>37</v>
      </c>
      <c r="B42" s="2654" t="s">
        <v>365</v>
      </c>
      <c r="C42" s="1578">
        <v>1</v>
      </c>
      <c r="D42" s="1578">
        <v>2</v>
      </c>
      <c r="E42" s="1578">
        <v>3</v>
      </c>
      <c r="F42" s="1578">
        <v>4</v>
      </c>
      <c r="G42" s="1580">
        <v>5</v>
      </c>
      <c r="H42" s="1580">
        <v>6</v>
      </c>
      <c r="I42" s="1578">
        <v>7</v>
      </c>
      <c r="J42" s="1578">
        <v>8</v>
      </c>
      <c r="K42" s="1578">
        <v>9</v>
      </c>
      <c r="L42" s="1578">
        <v>10</v>
      </c>
      <c r="M42" s="1578">
        <v>11</v>
      </c>
      <c r="N42" s="1580">
        <v>12</v>
      </c>
      <c r="O42" s="1580">
        <v>13</v>
      </c>
      <c r="P42" s="1578">
        <v>14</v>
      </c>
      <c r="Q42" s="1578">
        <v>15</v>
      </c>
      <c r="R42" s="1578">
        <v>16</v>
      </c>
      <c r="S42" s="1578">
        <v>17</v>
      </c>
      <c r="T42" s="1578">
        <v>18</v>
      </c>
      <c r="U42" s="1580">
        <v>19</v>
      </c>
      <c r="V42" s="1580">
        <v>20</v>
      </c>
      <c r="W42" s="1578">
        <v>21</v>
      </c>
      <c r="X42" s="1578">
        <v>22</v>
      </c>
      <c r="Y42" s="1578">
        <v>23</v>
      </c>
      <c r="Z42" s="1578">
        <v>24</v>
      </c>
      <c r="AA42" s="1578">
        <v>25</v>
      </c>
      <c r="AB42" s="1580">
        <v>26</v>
      </c>
      <c r="AC42" s="1580">
        <v>27</v>
      </c>
      <c r="AD42" s="1578">
        <v>28</v>
      </c>
      <c r="AE42" s="1578">
        <v>29</v>
      </c>
      <c r="AF42" s="1578">
        <v>30</v>
      </c>
      <c r="AG42" s="1578">
        <v>31</v>
      </c>
    </row>
    <row r="43" spans="1:34" ht="18" customHeight="1">
      <c r="A43" s="1818">
        <v>1</v>
      </c>
      <c r="B43" s="2583" t="s">
        <v>85</v>
      </c>
      <c r="C43" s="1644">
        <v>9</v>
      </c>
      <c r="D43" s="1645">
        <v>9</v>
      </c>
      <c r="E43" s="1644">
        <v>9</v>
      </c>
      <c r="F43" s="1644">
        <v>9</v>
      </c>
      <c r="G43" s="1644" t="s">
        <v>52</v>
      </c>
      <c r="H43" s="1644" t="s">
        <v>52</v>
      </c>
      <c r="I43" s="2655" t="s">
        <v>46</v>
      </c>
      <c r="J43" s="2656" t="s">
        <v>46</v>
      </c>
      <c r="K43" s="1644" t="s">
        <v>46</v>
      </c>
      <c r="L43" s="1644" t="s">
        <v>46</v>
      </c>
      <c r="M43" s="1644" t="s">
        <v>46</v>
      </c>
      <c r="N43" s="2655" t="s">
        <v>91</v>
      </c>
      <c r="O43" s="1645" t="s">
        <v>89</v>
      </c>
      <c r="P43" s="1644">
        <v>6</v>
      </c>
      <c r="Q43" s="1646">
        <v>6</v>
      </c>
      <c r="R43" s="1645">
        <v>6</v>
      </c>
      <c r="S43" s="1644">
        <v>6</v>
      </c>
      <c r="T43" s="1644" t="s">
        <v>142</v>
      </c>
      <c r="U43" s="1644"/>
      <c r="V43" s="1644"/>
      <c r="W43" s="2655" t="s">
        <v>46</v>
      </c>
      <c r="X43" s="2655" t="s">
        <v>46</v>
      </c>
      <c r="Y43" s="2655" t="s">
        <v>46</v>
      </c>
      <c r="Z43" s="2655" t="s">
        <v>46</v>
      </c>
      <c r="AA43" s="2657" t="s">
        <v>46</v>
      </c>
      <c r="AB43" s="1646"/>
      <c r="AC43" s="1646"/>
      <c r="AD43" s="1646">
        <v>5</v>
      </c>
      <c r="AE43" s="1644">
        <v>5</v>
      </c>
      <c r="AF43" s="1644">
        <v>5</v>
      </c>
      <c r="AG43" s="1644">
        <v>5</v>
      </c>
    </row>
    <row r="44" spans="1:34" ht="18" customHeight="1">
      <c r="A44" s="2658">
        <v>6</v>
      </c>
      <c r="B44" s="2583" t="s">
        <v>88</v>
      </c>
      <c r="C44" s="2608">
        <v>10</v>
      </c>
      <c r="D44" s="2608">
        <v>10</v>
      </c>
      <c r="E44" s="2608">
        <v>10</v>
      </c>
      <c r="F44" s="2608">
        <v>10</v>
      </c>
      <c r="G44" s="2608" t="s">
        <v>53</v>
      </c>
      <c r="H44" s="2608" t="s">
        <v>53</v>
      </c>
      <c r="I44" s="2608" t="s">
        <v>46</v>
      </c>
      <c r="J44" s="2608" t="s">
        <v>46</v>
      </c>
      <c r="K44" s="2608" t="s">
        <v>46</v>
      </c>
      <c r="L44" s="2608" t="s">
        <v>46</v>
      </c>
      <c r="M44" s="2608" t="s">
        <v>46</v>
      </c>
      <c r="N44" s="2608" t="s">
        <v>86</v>
      </c>
      <c r="O44" s="2608" t="s">
        <v>86</v>
      </c>
      <c r="P44" s="2608">
        <v>7</v>
      </c>
      <c r="Q44" s="2608">
        <v>7</v>
      </c>
      <c r="R44" s="2608">
        <v>7</v>
      </c>
      <c r="S44" s="2608">
        <v>7</v>
      </c>
      <c r="T44" s="2608">
        <v>7</v>
      </c>
      <c r="U44" s="2608"/>
      <c r="V44" s="2608"/>
      <c r="W44" s="2608">
        <v>4</v>
      </c>
      <c r="X44" s="2608">
        <v>4</v>
      </c>
      <c r="Y44" s="2608">
        <v>4</v>
      </c>
      <c r="Z44" s="2608">
        <v>4</v>
      </c>
      <c r="AA44" s="2608">
        <v>4</v>
      </c>
      <c r="AB44" s="2608"/>
      <c r="AC44" s="2608"/>
      <c r="AD44" s="2608">
        <v>3</v>
      </c>
      <c r="AE44" s="2608">
        <v>3</v>
      </c>
      <c r="AF44" s="2608">
        <v>3</v>
      </c>
      <c r="AG44" s="2608">
        <v>3</v>
      </c>
    </row>
    <row r="45" spans="1:34" ht="18" customHeight="1">
      <c r="A45" s="2659">
        <v>11</v>
      </c>
      <c r="B45" s="2588" t="s">
        <v>90</v>
      </c>
      <c r="C45" s="2660">
        <v>11</v>
      </c>
      <c r="D45" s="2660">
        <v>11</v>
      </c>
      <c r="E45" s="2661">
        <v>11</v>
      </c>
      <c r="F45" s="2660">
        <v>11</v>
      </c>
      <c r="G45" s="2660" t="s">
        <v>87</v>
      </c>
      <c r="H45" s="2660" t="s">
        <v>87</v>
      </c>
      <c r="I45" s="2660" t="s">
        <v>46</v>
      </c>
      <c r="J45" s="2660" t="s">
        <v>46</v>
      </c>
      <c r="K45" s="2660" t="s">
        <v>46</v>
      </c>
      <c r="L45" s="2660" t="s">
        <v>46</v>
      </c>
      <c r="M45" s="2595" t="s">
        <v>46</v>
      </c>
      <c r="N45" s="2660" t="s">
        <v>89</v>
      </c>
      <c r="O45" s="2662" t="s">
        <v>89</v>
      </c>
      <c r="P45" s="2660">
        <v>8</v>
      </c>
      <c r="Q45" s="2660">
        <v>8</v>
      </c>
      <c r="R45" s="2660">
        <v>8</v>
      </c>
      <c r="S45" s="2660">
        <v>8</v>
      </c>
      <c r="T45" s="2590">
        <v>8</v>
      </c>
      <c r="U45" s="2660"/>
      <c r="V45" s="2660"/>
      <c r="W45" s="2660" t="s">
        <v>46</v>
      </c>
      <c r="X45" s="2660" t="s">
        <v>46</v>
      </c>
      <c r="Y45" s="2660" t="s">
        <v>46</v>
      </c>
      <c r="Z45" s="2660" t="s">
        <v>46</v>
      </c>
      <c r="AA45" s="2660" t="s">
        <v>46</v>
      </c>
      <c r="AB45" s="2660"/>
      <c r="AC45" s="2660"/>
      <c r="AD45" s="2660">
        <v>1</v>
      </c>
      <c r="AE45" s="2660">
        <v>1</v>
      </c>
      <c r="AF45" s="2663" t="s">
        <v>411</v>
      </c>
      <c r="AG45" s="2623">
        <v>1</v>
      </c>
    </row>
    <row r="46" spans="1:34" ht="18" customHeight="1">
      <c r="A46" s="1818">
        <v>2</v>
      </c>
      <c r="B46" s="2664" t="s">
        <v>92</v>
      </c>
      <c r="C46" s="2295" t="s">
        <v>46</v>
      </c>
      <c r="D46" s="2295" t="s">
        <v>46</v>
      </c>
      <c r="E46" s="2295" t="s">
        <v>46</v>
      </c>
      <c r="F46" s="2295" t="s">
        <v>46</v>
      </c>
      <c r="G46" s="2295" t="s">
        <v>91</v>
      </c>
      <c r="H46" s="2295" t="s">
        <v>89</v>
      </c>
      <c r="I46" s="2295">
        <v>6</v>
      </c>
      <c r="J46" s="2295">
        <v>6</v>
      </c>
      <c r="K46" s="2295">
        <v>6</v>
      </c>
      <c r="L46" s="2295">
        <v>6</v>
      </c>
      <c r="M46" s="2295">
        <v>6</v>
      </c>
      <c r="N46" s="2295"/>
      <c r="O46" s="2295"/>
      <c r="P46" s="2295" t="s">
        <v>46</v>
      </c>
      <c r="Q46" s="2295" t="s">
        <v>46</v>
      </c>
      <c r="R46" s="2295" t="s">
        <v>46</v>
      </c>
      <c r="S46" s="2295" t="s">
        <v>46</v>
      </c>
      <c r="T46" s="2295" t="s">
        <v>46</v>
      </c>
      <c r="U46" s="2295"/>
      <c r="V46" s="2295"/>
      <c r="W46" s="2295">
        <v>5</v>
      </c>
      <c r="X46" s="2295">
        <v>5</v>
      </c>
      <c r="Y46" s="2295">
        <v>5</v>
      </c>
      <c r="Z46" s="2295">
        <v>5</v>
      </c>
      <c r="AA46" s="2295">
        <v>5</v>
      </c>
      <c r="AB46" s="2295" t="s">
        <v>0</v>
      </c>
      <c r="AC46" s="2295"/>
      <c r="AD46" s="2295">
        <v>10</v>
      </c>
      <c r="AE46" s="2295">
        <v>10</v>
      </c>
      <c r="AF46" s="2295">
        <v>10</v>
      </c>
      <c r="AG46" s="2295">
        <v>10</v>
      </c>
      <c r="AH46" t="s">
        <v>133</v>
      </c>
    </row>
    <row r="47" spans="1:34" ht="18" customHeight="1">
      <c r="A47" s="2658">
        <v>7</v>
      </c>
      <c r="B47" s="2583" t="s">
        <v>93</v>
      </c>
      <c r="C47" s="2595" t="s">
        <v>46</v>
      </c>
      <c r="D47" s="2595" t="s">
        <v>46</v>
      </c>
      <c r="E47" s="2595" t="s">
        <v>46</v>
      </c>
      <c r="F47" s="2595" t="s">
        <v>46</v>
      </c>
      <c r="G47" s="2665" t="s">
        <v>49</v>
      </c>
      <c r="H47" s="2598" t="s">
        <v>49</v>
      </c>
      <c r="I47" s="583" t="s">
        <v>125</v>
      </c>
      <c r="J47" s="583" t="s">
        <v>125</v>
      </c>
      <c r="K47" s="583" t="s">
        <v>125</v>
      </c>
      <c r="L47" s="583" t="s">
        <v>125</v>
      </c>
      <c r="M47" s="583" t="s">
        <v>125</v>
      </c>
      <c r="N47" s="2598"/>
      <c r="O47" s="2598"/>
      <c r="P47" s="2598">
        <v>4</v>
      </c>
      <c r="Q47" s="2598">
        <v>4</v>
      </c>
      <c r="R47" s="251">
        <v>4</v>
      </c>
      <c r="S47" s="251">
        <v>4</v>
      </c>
      <c r="T47" s="251">
        <v>4</v>
      </c>
      <c r="U47" s="2598"/>
      <c r="V47" s="2598"/>
      <c r="W47" s="2598">
        <v>3</v>
      </c>
      <c r="X47" s="2598">
        <v>3</v>
      </c>
      <c r="Y47" s="2598">
        <v>3</v>
      </c>
      <c r="Z47" s="2598">
        <v>3</v>
      </c>
      <c r="AA47" s="2598">
        <v>3</v>
      </c>
      <c r="AB47" s="222"/>
      <c r="AC47" s="222"/>
      <c r="AD47" s="2598">
        <v>11</v>
      </c>
      <c r="AE47" s="2598">
        <v>11</v>
      </c>
      <c r="AF47" s="2598" t="s">
        <v>100</v>
      </c>
      <c r="AG47" s="2598" t="s">
        <v>100</v>
      </c>
    </row>
    <row r="48" spans="1:34" ht="18" customHeight="1">
      <c r="A48" s="2659">
        <v>12</v>
      </c>
      <c r="B48" s="2666" t="s">
        <v>94</v>
      </c>
      <c r="C48" s="2595" t="s">
        <v>46</v>
      </c>
      <c r="D48" s="2595" t="s">
        <v>46</v>
      </c>
      <c r="E48" s="2595" t="s">
        <v>46</v>
      </c>
      <c r="F48" s="2595" t="s">
        <v>46</v>
      </c>
      <c r="G48" s="2595" t="s">
        <v>89</v>
      </c>
      <c r="H48" s="2595" t="s">
        <v>89</v>
      </c>
      <c r="I48" s="2589">
        <v>8</v>
      </c>
      <c r="J48" s="2589">
        <v>8</v>
      </c>
      <c r="K48" s="2589">
        <v>8</v>
      </c>
      <c r="L48" s="2589">
        <v>8</v>
      </c>
      <c r="M48" s="2589">
        <v>8</v>
      </c>
      <c r="N48" s="2589"/>
      <c r="O48" s="2589"/>
      <c r="P48" s="2589" t="s">
        <v>46</v>
      </c>
      <c r="Q48" s="2589" t="s">
        <v>46</v>
      </c>
      <c r="R48" s="2589" t="s">
        <v>46</v>
      </c>
      <c r="S48" s="2589" t="s">
        <v>46</v>
      </c>
      <c r="T48" s="2589" t="s">
        <v>46</v>
      </c>
      <c r="U48" s="2589"/>
      <c r="V48" s="2589"/>
      <c r="W48" s="2589">
        <v>1</v>
      </c>
      <c r="X48" s="2589">
        <v>1</v>
      </c>
      <c r="Y48" s="2589">
        <v>1</v>
      </c>
      <c r="Z48" s="2589">
        <v>1</v>
      </c>
      <c r="AA48" s="2589">
        <v>1</v>
      </c>
      <c r="AB48" s="2589"/>
      <c r="AC48" s="2589"/>
      <c r="AD48" s="2595">
        <v>9</v>
      </c>
      <c r="AE48" s="2595">
        <v>9</v>
      </c>
      <c r="AF48" s="2594">
        <v>9</v>
      </c>
      <c r="AG48" s="2595">
        <v>10</v>
      </c>
      <c r="AH48" t="s">
        <v>133</v>
      </c>
    </row>
    <row r="49" spans="1:34" ht="18" customHeight="1">
      <c r="A49" s="1818">
        <v>3</v>
      </c>
      <c r="B49" s="1843" t="s">
        <v>95</v>
      </c>
      <c r="C49" s="501">
        <v>6</v>
      </c>
      <c r="D49" s="508">
        <v>6</v>
      </c>
      <c r="E49" s="504">
        <v>6</v>
      </c>
      <c r="F49" s="504">
        <v>6</v>
      </c>
      <c r="G49" s="504"/>
      <c r="H49" s="504"/>
      <c r="I49" s="504" t="s">
        <v>46</v>
      </c>
      <c r="J49" s="508" t="s">
        <v>46</v>
      </c>
      <c r="K49" s="508" t="s">
        <v>46</v>
      </c>
      <c r="L49" s="508" t="s">
        <v>46</v>
      </c>
      <c r="M49" s="508" t="s">
        <v>46</v>
      </c>
      <c r="N49" s="1649" t="s">
        <v>53</v>
      </c>
      <c r="O49" s="1645" t="s">
        <v>53</v>
      </c>
      <c r="P49" s="508">
        <v>5</v>
      </c>
      <c r="Q49" s="508">
        <v>5</v>
      </c>
      <c r="R49" s="504">
        <v>5</v>
      </c>
      <c r="S49" s="504">
        <v>5</v>
      </c>
      <c r="T49" s="504">
        <v>5</v>
      </c>
      <c r="U49" s="504"/>
      <c r="V49" s="508"/>
      <c r="W49" s="508">
        <v>10</v>
      </c>
      <c r="X49" s="501">
        <v>10</v>
      </c>
      <c r="Y49" s="504">
        <v>10</v>
      </c>
      <c r="Z49" s="504">
        <v>10</v>
      </c>
      <c r="AA49" s="504">
        <v>10</v>
      </c>
      <c r="AB49" s="504" t="s">
        <v>53</v>
      </c>
      <c r="AC49" s="509" t="s">
        <v>53</v>
      </c>
      <c r="AD49" s="504" t="s">
        <v>46</v>
      </c>
      <c r="AE49" s="504" t="s">
        <v>46</v>
      </c>
      <c r="AF49" s="504" t="s">
        <v>46</v>
      </c>
      <c r="AG49" s="504" t="s">
        <v>46</v>
      </c>
    </row>
    <row r="50" spans="1:34" ht="18" customHeight="1">
      <c r="A50" s="2658">
        <v>8</v>
      </c>
      <c r="B50" s="2583" t="s">
        <v>96</v>
      </c>
      <c r="C50" s="2584">
        <v>7</v>
      </c>
      <c r="D50" s="2584">
        <v>7</v>
      </c>
      <c r="E50" s="2584">
        <v>7</v>
      </c>
      <c r="F50" s="2584">
        <v>7</v>
      </c>
      <c r="G50" s="2584"/>
      <c r="H50" s="2584"/>
      <c r="I50" s="2584">
        <v>4</v>
      </c>
      <c r="J50" s="2584">
        <v>4</v>
      </c>
      <c r="K50" s="2584">
        <v>4</v>
      </c>
      <c r="L50" s="2584">
        <v>4</v>
      </c>
      <c r="M50" s="2584">
        <v>4</v>
      </c>
      <c r="N50" s="2584"/>
      <c r="O50" s="2584"/>
      <c r="P50" s="2584">
        <v>3</v>
      </c>
      <c r="Q50" s="2584">
        <v>3</v>
      </c>
      <c r="R50" s="2584">
        <v>3</v>
      </c>
      <c r="S50" s="2584">
        <v>3</v>
      </c>
      <c r="T50" s="2584">
        <v>3</v>
      </c>
      <c r="U50" s="2584"/>
      <c r="V50" s="2584"/>
      <c r="W50" s="2584">
        <v>11</v>
      </c>
      <c r="X50" s="2584">
        <v>11</v>
      </c>
      <c r="Y50" s="2617">
        <v>11</v>
      </c>
      <c r="Z50" s="2617">
        <v>11</v>
      </c>
      <c r="AA50" s="2617">
        <v>11</v>
      </c>
      <c r="AB50" s="2617" t="s">
        <v>87</v>
      </c>
      <c r="AC50" s="2617" t="s">
        <v>87</v>
      </c>
      <c r="AD50" s="2581" t="s">
        <v>46</v>
      </c>
      <c r="AE50" s="2581" t="s">
        <v>46</v>
      </c>
      <c r="AF50" s="2667" t="s">
        <v>46</v>
      </c>
      <c r="AG50" s="2667" t="s">
        <v>46</v>
      </c>
    </row>
    <row r="51" spans="1:34" ht="18" customHeight="1">
      <c r="A51" s="2659">
        <v>13</v>
      </c>
      <c r="B51" s="2588" t="s">
        <v>97</v>
      </c>
      <c r="C51" s="2668">
        <v>8</v>
      </c>
      <c r="D51" s="2668">
        <v>8</v>
      </c>
      <c r="E51" s="2660">
        <v>8</v>
      </c>
      <c r="F51" s="2660">
        <v>8</v>
      </c>
      <c r="G51" s="2660"/>
      <c r="H51" s="2660"/>
      <c r="I51" s="2589" t="s">
        <v>46</v>
      </c>
      <c r="J51" s="2589" t="s">
        <v>46</v>
      </c>
      <c r="K51" s="2589" t="s">
        <v>46</v>
      </c>
      <c r="L51" s="2589" t="s">
        <v>46</v>
      </c>
      <c r="M51" s="2589" t="s">
        <v>46</v>
      </c>
      <c r="N51" s="2589"/>
      <c r="O51" s="2589"/>
      <c r="P51" s="2589">
        <v>1</v>
      </c>
      <c r="Q51" s="2589">
        <v>1</v>
      </c>
      <c r="R51" s="2589">
        <v>1</v>
      </c>
      <c r="S51" s="2589">
        <v>1</v>
      </c>
      <c r="T51" s="2589">
        <v>1</v>
      </c>
      <c r="U51" s="2589"/>
      <c r="V51" s="2589"/>
      <c r="W51" s="2589">
        <v>9</v>
      </c>
      <c r="X51" s="2589">
        <v>9</v>
      </c>
      <c r="Y51" s="2589">
        <v>9</v>
      </c>
      <c r="Z51" s="2589">
        <v>9</v>
      </c>
      <c r="AA51" s="2589">
        <v>9</v>
      </c>
      <c r="AB51" s="2589" t="s">
        <v>52</v>
      </c>
      <c r="AC51" s="2589" t="s">
        <v>53</v>
      </c>
      <c r="AD51" s="2660" t="s">
        <v>46</v>
      </c>
      <c r="AE51" s="2595" t="s">
        <v>46</v>
      </c>
      <c r="AF51" s="2660" t="s">
        <v>46</v>
      </c>
      <c r="AG51" s="2660" t="s">
        <v>46</v>
      </c>
      <c r="AH51" s="252" t="s">
        <v>133</v>
      </c>
    </row>
    <row r="52" spans="1:34" ht="18" customHeight="1">
      <c r="A52" s="1818">
        <v>4</v>
      </c>
      <c r="B52" s="1650" t="s">
        <v>99</v>
      </c>
      <c r="C52" s="501" t="s">
        <v>46</v>
      </c>
      <c r="D52" s="508" t="s">
        <v>46</v>
      </c>
      <c r="E52" s="504" t="s">
        <v>46</v>
      </c>
      <c r="F52" s="504" t="s">
        <v>46</v>
      </c>
      <c r="G52" s="504"/>
      <c r="H52" s="504"/>
      <c r="I52" s="504">
        <v>5</v>
      </c>
      <c r="J52" s="508">
        <v>5</v>
      </c>
      <c r="K52" s="508">
        <v>5</v>
      </c>
      <c r="L52" s="508">
        <v>5</v>
      </c>
      <c r="M52" s="508">
        <v>5</v>
      </c>
      <c r="N52" s="508"/>
      <c r="O52" s="508"/>
      <c r="P52" s="508">
        <v>10</v>
      </c>
      <c r="Q52" s="508">
        <v>10</v>
      </c>
      <c r="R52" s="504">
        <v>10</v>
      </c>
      <c r="S52" s="504">
        <v>10</v>
      </c>
      <c r="T52" s="504">
        <v>10</v>
      </c>
      <c r="U52" s="504" t="s">
        <v>53</v>
      </c>
      <c r="V52" s="508" t="s">
        <v>53</v>
      </c>
      <c r="W52" s="508" t="s">
        <v>46</v>
      </c>
      <c r="X52" s="501" t="s">
        <v>46</v>
      </c>
      <c r="Y52" s="504" t="s">
        <v>46</v>
      </c>
      <c r="Z52" s="504" t="s">
        <v>46</v>
      </c>
      <c r="AA52" s="504" t="s">
        <v>46</v>
      </c>
      <c r="AB52" s="504" t="s">
        <v>86</v>
      </c>
      <c r="AC52" s="509" t="s">
        <v>86</v>
      </c>
      <c r="AD52" s="504">
        <v>7</v>
      </c>
      <c r="AE52" s="504">
        <v>7</v>
      </c>
      <c r="AF52" s="504">
        <v>7</v>
      </c>
      <c r="AG52" s="504">
        <v>7</v>
      </c>
    </row>
    <row r="53" spans="1:34" ht="18" customHeight="1">
      <c r="A53" s="2658">
        <v>9</v>
      </c>
      <c r="B53" s="2583" t="s">
        <v>101</v>
      </c>
      <c r="C53" s="2587">
        <v>4</v>
      </c>
      <c r="D53" s="2587">
        <v>4</v>
      </c>
      <c r="E53" s="2587">
        <v>4</v>
      </c>
      <c r="F53" s="2587">
        <v>4</v>
      </c>
      <c r="G53" s="2587"/>
      <c r="H53" s="2587"/>
      <c r="I53" s="2585">
        <v>3</v>
      </c>
      <c r="J53" s="2584">
        <v>3</v>
      </c>
      <c r="K53" s="2584">
        <v>3</v>
      </c>
      <c r="L53" s="2584">
        <v>3</v>
      </c>
      <c r="M53" s="2584">
        <v>3</v>
      </c>
      <c r="N53" s="2581"/>
      <c r="O53" s="2584"/>
      <c r="P53" s="2584">
        <v>11</v>
      </c>
      <c r="Q53" s="2584">
        <v>11</v>
      </c>
      <c r="R53" s="2584">
        <v>11</v>
      </c>
      <c r="S53" s="2584">
        <v>11</v>
      </c>
      <c r="T53" s="2584">
        <v>11</v>
      </c>
      <c r="U53" s="2584" t="s">
        <v>87</v>
      </c>
      <c r="V53" s="2617" t="s">
        <v>87</v>
      </c>
      <c r="W53" s="2617" t="s">
        <v>46</v>
      </c>
      <c r="X53" s="2601" t="s">
        <v>46</v>
      </c>
      <c r="Y53" s="2617" t="s">
        <v>46</v>
      </c>
      <c r="Z53" s="2617" t="s">
        <v>46</v>
      </c>
      <c r="AA53" s="2617" t="s">
        <v>46</v>
      </c>
      <c r="AB53" s="2617" t="s">
        <v>89</v>
      </c>
      <c r="AC53" s="2617" t="s">
        <v>89</v>
      </c>
      <c r="AD53" s="2581">
        <v>8</v>
      </c>
      <c r="AE53" s="2581">
        <v>8</v>
      </c>
      <c r="AF53" s="2667">
        <v>8</v>
      </c>
      <c r="AG53" s="2667">
        <v>8</v>
      </c>
      <c r="AH53" t="s">
        <v>133</v>
      </c>
    </row>
    <row r="54" spans="1:34" ht="18" customHeight="1">
      <c r="A54" s="2659">
        <v>14</v>
      </c>
      <c r="B54" s="2588" t="s">
        <v>102</v>
      </c>
      <c r="C54" s="2668" t="s">
        <v>46</v>
      </c>
      <c r="D54" s="2668" t="s">
        <v>46</v>
      </c>
      <c r="E54" s="2660" t="s">
        <v>46</v>
      </c>
      <c r="F54" s="2660" t="s">
        <v>46</v>
      </c>
      <c r="G54" s="2660"/>
      <c r="H54" s="2660"/>
      <c r="I54" s="2660">
        <v>1</v>
      </c>
      <c r="J54" s="2668">
        <v>1</v>
      </c>
      <c r="K54" s="2660">
        <v>1</v>
      </c>
      <c r="L54" s="2669">
        <v>1</v>
      </c>
      <c r="M54" s="2660">
        <v>1</v>
      </c>
      <c r="N54" s="2592"/>
      <c r="O54" s="2592"/>
      <c r="P54" s="2669">
        <v>9</v>
      </c>
      <c r="Q54" s="2660">
        <v>9</v>
      </c>
      <c r="R54" s="2660">
        <v>9</v>
      </c>
      <c r="S54" s="2660">
        <v>9</v>
      </c>
      <c r="T54" s="2660" t="s">
        <v>149</v>
      </c>
      <c r="U54" s="2660" t="s">
        <v>52</v>
      </c>
      <c r="V54" s="2660" t="s">
        <v>52</v>
      </c>
      <c r="W54" s="2660" t="s">
        <v>46</v>
      </c>
      <c r="X54" s="2595" t="s">
        <v>46</v>
      </c>
      <c r="Y54" s="2668" t="s">
        <v>46</v>
      </c>
      <c r="Z54" s="2660" t="s">
        <v>46</v>
      </c>
      <c r="AA54" s="2660" t="s">
        <v>46</v>
      </c>
      <c r="AB54" s="2660" t="s">
        <v>91</v>
      </c>
      <c r="AC54" s="2660" t="s">
        <v>89</v>
      </c>
      <c r="AD54" s="2589">
        <v>6</v>
      </c>
      <c r="AE54" s="2589">
        <v>6</v>
      </c>
      <c r="AF54" s="2589">
        <v>6</v>
      </c>
      <c r="AG54" s="2589">
        <v>6</v>
      </c>
      <c r="AH54" t="s">
        <v>133</v>
      </c>
    </row>
    <row r="55" spans="1:34" ht="18" customHeight="1">
      <c r="A55" s="1818">
        <v>5</v>
      </c>
      <c r="B55" s="2583" t="s">
        <v>103</v>
      </c>
      <c r="C55" s="1819">
        <v>5</v>
      </c>
      <c r="D55" s="1819">
        <v>5</v>
      </c>
      <c r="E55" s="1819">
        <v>5</v>
      </c>
      <c r="F55" s="1819">
        <v>5</v>
      </c>
      <c r="G55" s="1819"/>
      <c r="H55" s="1819"/>
      <c r="I55" s="1647">
        <v>10</v>
      </c>
      <c r="J55" s="1647">
        <v>10</v>
      </c>
      <c r="K55" s="1644">
        <v>10</v>
      </c>
      <c r="L55" s="1644">
        <v>10</v>
      </c>
      <c r="M55" s="2670">
        <v>10</v>
      </c>
      <c r="N55" s="482"/>
      <c r="O55" s="482"/>
      <c r="P55" s="2671" t="s">
        <v>46</v>
      </c>
      <c r="Q55" s="1644" t="s">
        <v>46</v>
      </c>
      <c r="R55" s="1645" t="s">
        <v>46</v>
      </c>
      <c r="S55" s="1644" t="s">
        <v>46</v>
      </c>
      <c r="T55" s="1644" t="s">
        <v>46</v>
      </c>
      <c r="U55" s="1646" t="s">
        <v>86</v>
      </c>
      <c r="V55" s="1646" t="s">
        <v>86</v>
      </c>
      <c r="W55" s="2672">
        <v>1</v>
      </c>
      <c r="X55" s="2672">
        <v>1</v>
      </c>
      <c r="Y55" s="2672">
        <v>1</v>
      </c>
      <c r="Z55" s="2672">
        <v>1</v>
      </c>
      <c r="AA55" s="2672">
        <v>1</v>
      </c>
      <c r="AB55" s="1646"/>
      <c r="AC55" s="1646"/>
      <c r="AD55" s="1644">
        <v>4</v>
      </c>
      <c r="AE55" s="1644">
        <v>4</v>
      </c>
      <c r="AF55" s="1645">
        <v>4</v>
      </c>
      <c r="AG55" s="1645">
        <v>4</v>
      </c>
      <c r="AH55" t="s">
        <v>133</v>
      </c>
    </row>
    <row r="56" spans="1:34" ht="18" customHeight="1">
      <c r="A56" s="2658">
        <v>10</v>
      </c>
      <c r="B56" s="2583" t="s">
        <v>105</v>
      </c>
      <c r="C56" s="2581">
        <v>3</v>
      </c>
      <c r="D56" s="2581">
        <v>3</v>
      </c>
      <c r="E56" s="2581">
        <v>3</v>
      </c>
      <c r="F56" s="2581">
        <v>3</v>
      </c>
      <c r="G56" s="2581"/>
      <c r="H56" s="2581"/>
      <c r="I56" s="2585">
        <v>11</v>
      </c>
      <c r="J56" s="2585">
        <v>11</v>
      </c>
      <c r="K56" s="2585">
        <v>11</v>
      </c>
      <c r="L56" s="2585">
        <v>11</v>
      </c>
      <c r="M56" s="2585">
        <v>11</v>
      </c>
      <c r="N56" s="596" t="s">
        <v>87</v>
      </c>
      <c r="O56" s="508" t="s">
        <v>87</v>
      </c>
      <c r="P56" s="2581" t="s">
        <v>46</v>
      </c>
      <c r="Q56" s="2581" t="s">
        <v>46</v>
      </c>
      <c r="R56" s="2581" t="s">
        <v>46</v>
      </c>
      <c r="S56" s="2581" t="s">
        <v>46</v>
      </c>
      <c r="T56" s="2585" t="s">
        <v>46</v>
      </c>
      <c r="U56" s="2585" t="s">
        <v>89</v>
      </c>
      <c r="V56" s="2584" t="s">
        <v>89</v>
      </c>
      <c r="W56" s="581">
        <v>8</v>
      </c>
      <c r="X56" s="581">
        <v>8</v>
      </c>
      <c r="Y56" s="581">
        <v>8</v>
      </c>
      <c r="Z56" s="581">
        <v>8</v>
      </c>
      <c r="AA56" s="581">
        <v>8</v>
      </c>
      <c r="AB56" s="2584"/>
      <c r="AC56" s="2617"/>
      <c r="AD56" s="2617" t="s">
        <v>46</v>
      </c>
      <c r="AE56" s="2617" t="s">
        <v>46</v>
      </c>
      <c r="AF56" s="2617" t="s">
        <v>46</v>
      </c>
      <c r="AG56" s="2617" t="s">
        <v>46</v>
      </c>
    </row>
    <row r="57" spans="1:34" ht="18" customHeight="1">
      <c r="A57" s="2659">
        <v>15</v>
      </c>
      <c r="B57" s="2588" t="s">
        <v>106</v>
      </c>
      <c r="C57" s="2660">
        <v>1</v>
      </c>
      <c r="D57" s="2660">
        <v>1</v>
      </c>
      <c r="E57" s="2660">
        <v>1</v>
      </c>
      <c r="F57" s="2669">
        <v>1</v>
      </c>
      <c r="G57" s="2669"/>
      <c r="H57" s="2669"/>
      <c r="I57" s="2669">
        <v>9</v>
      </c>
      <c r="J57" s="2669">
        <v>9</v>
      </c>
      <c r="K57" s="2668">
        <v>9</v>
      </c>
      <c r="L57" s="2660">
        <v>9</v>
      </c>
      <c r="M57" s="2660">
        <v>9</v>
      </c>
      <c r="N57" s="2660" t="s">
        <v>52</v>
      </c>
      <c r="O57" s="2595" t="s">
        <v>53</v>
      </c>
      <c r="P57" s="2595" t="s">
        <v>46</v>
      </c>
      <c r="Q57" s="2595" t="s">
        <v>46</v>
      </c>
      <c r="R57" s="2595" t="s">
        <v>46</v>
      </c>
      <c r="S57" s="2595" t="s">
        <v>46</v>
      </c>
      <c r="T57" s="2595" t="s">
        <v>46</v>
      </c>
      <c r="U57" s="2595" t="s">
        <v>91</v>
      </c>
      <c r="V57" s="2660" t="s">
        <v>89</v>
      </c>
      <c r="W57" s="2660">
        <v>6</v>
      </c>
      <c r="X57" s="2660">
        <v>6</v>
      </c>
      <c r="Y57" s="2668">
        <v>6</v>
      </c>
      <c r="Z57" s="2660">
        <v>6</v>
      </c>
      <c r="AA57" s="2660">
        <v>6</v>
      </c>
      <c r="AB57" s="2660"/>
      <c r="AC57" s="2660"/>
      <c r="AD57" s="2660" t="s">
        <v>46</v>
      </c>
      <c r="AE57" s="2668" t="s">
        <v>46</v>
      </c>
      <c r="AF57" s="2668" t="s">
        <v>46</v>
      </c>
      <c r="AG57" s="2668" t="s">
        <v>46</v>
      </c>
    </row>
    <row r="58" spans="1:34" ht="18" customHeight="1">
      <c r="A58" s="61"/>
      <c r="B58" s="108"/>
      <c r="C58" s="2584"/>
      <c r="D58" s="2584"/>
      <c r="E58" s="2584"/>
      <c r="F58" s="2584"/>
      <c r="N58" s="48"/>
      <c r="O58" s="48"/>
      <c r="AB58" s="2617"/>
      <c r="AC58" s="2617"/>
      <c r="AD58" s="2617"/>
      <c r="AE58" s="2617"/>
      <c r="AF58" s="2617"/>
    </row>
    <row r="59" spans="1:34" ht="18" customHeight="1">
      <c r="A59" s="67"/>
      <c r="B59" s="42" t="s">
        <v>107</v>
      </c>
      <c r="D59" s="64"/>
      <c r="E59" s="64"/>
      <c r="F59" s="64"/>
      <c r="G59" s="64"/>
      <c r="H59" s="64"/>
      <c r="I59" s="64"/>
      <c r="J59" s="64"/>
      <c r="K59" s="64"/>
      <c r="L59" s="64"/>
      <c r="M59" s="64"/>
      <c r="N59" s="64"/>
      <c r="O59" s="64"/>
      <c r="P59" s="64"/>
      <c r="Q59" s="64"/>
      <c r="R59" s="64"/>
      <c r="S59" s="64"/>
      <c r="T59" s="64"/>
      <c r="U59" s="64"/>
      <c r="V59" s="64"/>
      <c r="AH59" s="1"/>
    </row>
    <row r="60" spans="1:34" ht="18" customHeight="1">
      <c r="A60" s="2565" t="s">
        <v>37</v>
      </c>
      <c r="B60" s="2565"/>
      <c r="C60" s="2564"/>
      <c r="D60" s="2565" t="s">
        <v>19</v>
      </c>
      <c r="E60" s="2563"/>
      <c r="F60" s="2564"/>
      <c r="G60" s="2565" t="s">
        <v>20</v>
      </c>
      <c r="H60" s="2563"/>
      <c r="I60" s="2564"/>
      <c r="J60" s="2565" t="s">
        <v>21</v>
      </c>
      <c r="K60" s="2563"/>
      <c r="L60" s="2564"/>
      <c r="M60" s="2565" t="s">
        <v>22</v>
      </c>
      <c r="N60" s="2563"/>
      <c r="O60" s="2564"/>
      <c r="P60" s="2565" t="s">
        <v>23</v>
      </c>
      <c r="Q60" s="2563"/>
      <c r="R60" s="2560"/>
      <c r="S60" s="2561" t="s">
        <v>24</v>
      </c>
      <c r="T60" s="2563"/>
      <c r="U60" s="2564"/>
      <c r="V60" s="2565" t="s">
        <v>25</v>
      </c>
      <c r="W60" s="2563"/>
      <c r="X60" s="2673" t="s">
        <v>108</v>
      </c>
      <c r="Y60" s="2563"/>
      <c r="Z60" s="2563"/>
      <c r="AA60" s="2674"/>
      <c r="AB60" s="2675"/>
      <c r="AC60" s="2675"/>
      <c r="AD60" s="2675"/>
      <c r="AE60" s="2675"/>
      <c r="AF60" s="2675"/>
      <c r="AG60" s="2676"/>
      <c r="AH60" s="1"/>
    </row>
    <row r="61" spans="1:34" ht="18" customHeight="1">
      <c r="B61" s="2582" t="s">
        <v>109</v>
      </c>
      <c r="C61" s="2677" t="s">
        <v>110</v>
      </c>
      <c r="D61" s="2678"/>
      <c r="E61" s="2679"/>
      <c r="F61" s="2677" t="s">
        <v>110</v>
      </c>
      <c r="G61" s="2555"/>
      <c r="H61" s="2679"/>
      <c r="I61" s="2677" t="s">
        <v>110</v>
      </c>
      <c r="J61" s="2678"/>
      <c r="K61" s="2679"/>
      <c r="L61" s="2677" t="s">
        <v>110</v>
      </c>
      <c r="M61" s="2678"/>
      <c r="N61" s="2679"/>
      <c r="O61" s="2677" t="s">
        <v>111</v>
      </c>
      <c r="P61" s="2678"/>
      <c r="Q61" s="2555"/>
      <c r="R61" s="2680" t="s">
        <v>0</v>
      </c>
      <c r="S61" s="2678"/>
      <c r="T61" s="2679"/>
      <c r="U61" s="2678" t="s">
        <v>0</v>
      </c>
      <c r="V61" s="2678"/>
      <c r="W61" s="2555"/>
      <c r="X61" s="248" t="s">
        <v>0</v>
      </c>
      <c r="Y61" s="48"/>
      <c r="Z61" s="48"/>
      <c r="AA61" s="48"/>
      <c r="AB61" s="48"/>
      <c r="AC61" s="48"/>
      <c r="AD61" s="48"/>
      <c r="AE61" s="48"/>
      <c r="AF61" s="48"/>
      <c r="AG61" s="191"/>
      <c r="AH61" s="1"/>
    </row>
    <row r="62" spans="1:34" ht="18" customHeight="1">
      <c r="A62" s="37"/>
      <c r="B62" s="61"/>
      <c r="C62" s="46"/>
      <c r="D62" s="46"/>
      <c r="E62" s="6"/>
      <c r="F62" s="46"/>
      <c r="G62" s="46"/>
      <c r="H62" s="6"/>
      <c r="I62" s="46"/>
      <c r="J62" s="46"/>
      <c r="K62" s="6"/>
      <c r="L62" s="46"/>
      <c r="M62" s="46"/>
      <c r="N62" s="6"/>
      <c r="O62" s="46"/>
      <c r="P62" s="46"/>
      <c r="Q62" s="6"/>
      <c r="R62" s="46"/>
      <c r="S62" s="46"/>
      <c r="T62" s="6"/>
      <c r="U62" s="46"/>
      <c r="V62" s="46"/>
      <c r="W62" s="6"/>
      <c r="X62" s="6"/>
      <c r="Y62" s="48"/>
      <c r="Z62" s="48"/>
      <c r="AA62" s="48"/>
      <c r="AB62" s="48"/>
      <c r="AC62" s="48"/>
      <c r="AD62" s="48"/>
      <c r="AE62" s="48"/>
      <c r="AF62" s="48"/>
    </row>
    <row r="63" spans="1:34" ht="18" customHeight="1">
      <c r="A63" s="2681"/>
      <c r="B63" s="2682" t="s">
        <v>38</v>
      </c>
      <c r="C63" s="1578">
        <v>1</v>
      </c>
      <c r="D63" s="1578">
        <v>2</v>
      </c>
      <c r="E63" s="1578">
        <v>3</v>
      </c>
      <c r="F63" s="1578">
        <v>4</v>
      </c>
      <c r="G63" s="1580">
        <v>5</v>
      </c>
      <c r="H63" s="1580">
        <v>6</v>
      </c>
      <c r="I63" s="1578">
        <v>7</v>
      </c>
      <c r="J63" s="1578">
        <v>8</v>
      </c>
      <c r="K63" s="1577">
        <v>9</v>
      </c>
      <c r="L63" s="1577">
        <v>10</v>
      </c>
      <c r="M63" s="1577">
        <v>11</v>
      </c>
      <c r="N63" s="1576">
        <v>12</v>
      </c>
      <c r="O63" s="1576">
        <v>13</v>
      </c>
      <c r="P63" s="1578">
        <v>14</v>
      </c>
      <c r="Q63" s="1578">
        <v>15</v>
      </c>
      <c r="R63" s="1578">
        <v>16</v>
      </c>
      <c r="S63" s="1578">
        <v>17</v>
      </c>
      <c r="T63" s="1578">
        <v>18</v>
      </c>
      <c r="U63" s="1580">
        <v>19</v>
      </c>
      <c r="V63" s="1580">
        <v>20</v>
      </c>
      <c r="W63" s="1578">
        <v>21</v>
      </c>
      <c r="X63" s="1578">
        <v>22</v>
      </c>
      <c r="Y63" s="1578">
        <v>23</v>
      </c>
      <c r="Z63" s="1578">
        <v>24</v>
      </c>
      <c r="AA63" s="1578">
        <v>25</v>
      </c>
      <c r="AB63" s="1580">
        <v>26</v>
      </c>
      <c r="AC63" s="1580">
        <v>27</v>
      </c>
      <c r="AD63" s="1578">
        <v>28</v>
      </c>
      <c r="AE63" s="1578">
        <v>29</v>
      </c>
      <c r="AF63" s="1578">
        <v>30</v>
      </c>
      <c r="AG63" s="1578">
        <v>31</v>
      </c>
    </row>
    <row r="64" spans="1:34" ht="18" customHeight="1">
      <c r="A64" s="2683"/>
      <c r="B64" s="2390" t="s">
        <v>112</v>
      </c>
      <c r="C64" s="2587" t="s">
        <v>40</v>
      </c>
      <c r="D64" s="2587" t="s">
        <v>40</v>
      </c>
      <c r="E64" s="2587" t="s">
        <v>40</v>
      </c>
      <c r="F64" s="2587" t="s">
        <v>40</v>
      </c>
      <c r="G64" s="2587"/>
      <c r="H64" s="2587"/>
      <c r="I64" s="2601" t="s">
        <v>40</v>
      </c>
      <c r="J64" t="s">
        <v>40</v>
      </c>
      <c r="K64" s="2684" t="s">
        <v>104</v>
      </c>
      <c r="L64" s="2684" t="s">
        <v>40</v>
      </c>
      <c r="M64" s="2684" t="s">
        <v>40</v>
      </c>
      <c r="N64" s="2685"/>
      <c r="O64" s="2684"/>
      <c r="P64" s="2584" t="s">
        <v>40</v>
      </c>
      <c r="Q64" s="2584" t="s">
        <v>40</v>
      </c>
      <c r="R64" s="2584" t="s">
        <v>40</v>
      </c>
      <c r="S64" s="2584" t="s">
        <v>40</v>
      </c>
      <c r="T64" s="2584" t="s">
        <v>40</v>
      </c>
      <c r="U64" s="2581"/>
      <c r="V64" s="225" t="s">
        <v>47</v>
      </c>
      <c r="W64" s="2584" t="s">
        <v>40</v>
      </c>
      <c r="X64" s="2584" t="s">
        <v>40</v>
      </c>
      <c r="Y64" s="2584" t="s">
        <v>40</v>
      </c>
      <c r="Z64" s="2584" t="s">
        <v>40</v>
      </c>
      <c r="AA64" s="2584" t="s">
        <v>40</v>
      </c>
      <c r="AB64" s="2584"/>
      <c r="AC64" s="2602" t="s">
        <v>412</v>
      </c>
      <c r="AD64" s="2441" t="s">
        <v>413</v>
      </c>
      <c r="AE64" s="2632" t="s">
        <v>130</v>
      </c>
      <c r="AF64" s="2441">
        <v>69</v>
      </c>
      <c r="AG64" s="2441">
        <v>69</v>
      </c>
    </row>
    <row r="65" spans="2:34" ht="18" customHeight="1">
      <c r="B65" s="2390" t="s">
        <v>114</v>
      </c>
      <c r="C65" s="2618">
        <v>25</v>
      </c>
      <c r="D65" s="2618">
        <v>25</v>
      </c>
      <c r="E65" s="2618">
        <v>25</v>
      </c>
      <c r="F65" s="2618">
        <v>25</v>
      </c>
      <c r="G65" s="2584"/>
      <c r="H65" s="2584"/>
      <c r="I65" s="2587" t="s">
        <v>40</v>
      </c>
      <c r="J65" s="2587" t="s">
        <v>40</v>
      </c>
      <c r="K65" s="510" t="s">
        <v>40</v>
      </c>
      <c r="L65" s="510" t="s">
        <v>40</v>
      </c>
      <c r="M65" s="510" t="s">
        <v>40</v>
      </c>
      <c r="N65" s="510"/>
      <c r="O65" s="510"/>
      <c r="P65" s="2587" t="s">
        <v>40</v>
      </c>
      <c r="Q65" s="2587" t="s">
        <v>40</v>
      </c>
      <c r="R65" s="2587" t="s">
        <v>40</v>
      </c>
      <c r="S65" s="2587" t="s">
        <v>40</v>
      </c>
      <c r="T65" s="2587" t="s">
        <v>40</v>
      </c>
      <c r="U65" s="2587"/>
      <c r="V65" s="2587"/>
      <c r="W65" s="2587" t="s">
        <v>40</v>
      </c>
      <c r="X65" s="2587" t="s">
        <v>40</v>
      </c>
      <c r="Y65" s="2587" t="s">
        <v>40</v>
      </c>
      <c r="Z65" s="2587" t="s">
        <v>40</v>
      </c>
      <c r="AA65" s="2587" t="s">
        <v>40</v>
      </c>
      <c r="AB65" s="2587"/>
      <c r="AC65" s="2587"/>
      <c r="AD65" s="2035">
        <v>10</v>
      </c>
      <c r="AE65" s="2035">
        <v>10</v>
      </c>
      <c r="AF65" s="2035">
        <v>10</v>
      </c>
      <c r="AG65" s="2686">
        <v>10</v>
      </c>
      <c r="AH65" t="s">
        <v>133</v>
      </c>
    </row>
    <row r="66" spans="2:34" ht="18" customHeight="1">
      <c r="B66" s="2390" t="s">
        <v>115</v>
      </c>
      <c r="C66" s="2606">
        <v>4</v>
      </c>
      <c r="D66" s="2600">
        <v>4</v>
      </c>
      <c r="E66" s="2606">
        <v>4</v>
      </c>
      <c r="F66" s="2687">
        <v>4</v>
      </c>
      <c r="G66" s="2584" t="s">
        <v>104</v>
      </c>
      <c r="H66" s="2601" t="s">
        <v>104</v>
      </c>
      <c r="I66" s="2587" t="s">
        <v>40</v>
      </c>
      <c r="J66" s="2587" t="s">
        <v>40</v>
      </c>
      <c r="K66" s="2587" t="s">
        <v>40</v>
      </c>
      <c r="L66" s="2587" t="s">
        <v>40</v>
      </c>
      <c r="M66" s="2587" t="s">
        <v>40</v>
      </c>
      <c r="N66" s="2587"/>
      <c r="O66" s="2587"/>
      <c r="P66" s="2587" t="s">
        <v>40</v>
      </c>
      <c r="Q66" s="2587" t="s">
        <v>40</v>
      </c>
      <c r="R66" s="2587" t="s">
        <v>40</v>
      </c>
      <c r="S66" s="2587" t="s">
        <v>40</v>
      </c>
      <c r="T66" s="2587" t="s">
        <v>40</v>
      </c>
      <c r="U66" s="2587"/>
      <c r="V66" s="2587"/>
      <c r="W66" s="2587" t="s">
        <v>40</v>
      </c>
      <c r="X66" s="2587" t="s">
        <v>40</v>
      </c>
      <c r="Y66" s="2587" t="s">
        <v>40</v>
      </c>
      <c r="Z66" s="2587" t="s">
        <v>40</v>
      </c>
      <c r="AA66" s="2587" t="s">
        <v>40</v>
      </c>
      <c r="AB66" s="2587"/>
      <c r="AC66" s="2587"/>
      <c r="AD66" s="2688" t="s">
        <v>130</v>
      </c>
      <c r="AE66" s="2688">
        <v>69</v>
      </c>
      <c r="AF66" s="2688" t="s">
        <v>130</v>
      </c>
      <c r="AG66" s="2688" t="s">
        <v>130</v>
      </c>
      <c r="AH66" t="s">
        <v>133</v>
      </c>
    </row>
    <row r="67" spans="2:34" ht="18" customHeight="1">
      <c r="B67" s="2390" t="s">
        <v>117</v>
      </c>
      <c r="C67" s="2584">
        <v>25</v>
      </c>
      <c r="D67" s="2601">
        <v>25</v>
      </c>
      <c r="E67" s="2689">
        <v>25</v>
      </c>
      <c r="F67" s="2584">
        <v>25</v>
      </c>
      <c r="G67" s="2584"/>
      <c r="H67" s="2584"/>
      <c r="I67" s="2690">
        <v>8</v>
      </c>
      <c r="J67" s="2690">
        <v>8</v>
      </c>
      <c r="K67" s="2690">
        <v>8</v>
      </c>
      <c r="L67" s="2690">
        <v>8</v>
      </c>
      <c r="M67" s="2690">
        <v>8</v>
      </c>
      <c r="N67" s="2617"/>
      <c r="O67" s="2617"/>
      <c r="P67" s="2631"/>
      <c r="Q67" s="2631" t="s">
        <v>61</v>
      </c>
      <c r="R67" s="2631" t="s">
        <v>61</v>
      </c>
      <c r="S67" s="2631" t="s">
        <v>61</v>
      </c>
      <c r="T67" s="2631" t="s">
        <v>61</v>
      </c>
      <c r="U67" s="2631" t="s">
        <v>61</v>
      </c>
      <c r="V67" s="2631" t="s">
        <v>61</v>
      </c>
      <c r="W67" s="253" t="s">
        <v>46</v>
      </c>
      <c r="X67" s="253" t="s">
        <v>46</v>
      </c>
      <c r="Y67" s="253" t="s">
        <v>46</v>
      </c>
      <c r="Z67" s="253" t="s">
        <v>46</v>
      </c>
      <c r="AA67" s="2352" t="s">
        <v>118</v>
      </c>
      <c r="AB67" s="2617"/>
      <c r="AC67" s="2617"/>
      <c r="AD67" s="2352" t="s">
        <v>127</v>
      </c>
      <c r="AE67" s="2352" t="s">
        <v>127</v>
      </c>
      <c r="AF67" s="2352" t="s">
        <v>127</v>
      </c>
      <c r="AG67" s="2352" t="s">
        <v>127</v>
      </c>
    </row>
    <row r="68" spans="2:34" ht="18" customHeight="1">
      <c r="B68" s="2390" t="s">
        <v>119</v>
      </c>
      <c r="C68" s="2035">
        <v>5</v>
      </c>
      <c r="D68" s="2035">
        <v>5</v>
      </c>
      <c r="E68" s="2035">
        <v>5</v>
      </c>
      <c r="F68" s="2035">
        <v>5</v>
      </c>
      <c r="G68" s="2601" t="s">
        <v>104</v>
      </c>
      <c r="H68" s="2601" t="s">
        <v>104</v>
      </c>
      <c r="I68" s="2587" t="s">
        <v>40</v>
      </c>
      <c r="J68" s="2587" t="s">
        <v>40</v>
      </c>
      <c r="K68" s="2587" t="s">
        <v>40</v>
      </c>
      <c r="L68" s="2587" t="s">
        <v>40</v>
      </c>
      <c r="M68" s="2587" t="s">
        <v>40</v>
      </c>
      <c r="N68" s="2587"/>
      <c r="O68" s="2587"/>
      <c r="P68" s="2587" t="s">
        <v>40</v>
      </c>
      <c r="Q68" s="2587" t="s">
        <v>40</v>
      </c>
      <c r="R68" s="2587" t="s">
        <v>40</v>
      </c>
      <c r="S68" s="2587" t="s">
        <v>40</v>
      </c>
      <c r="T68" s="2587" t="s">
        <v>40</v>
      </c>
      <c r="U68" s="2587"/>
      <c r="V68" s="2587"/>
      <c r="W68" s="2587" t="s">
        <v>40</v>
      </c>
      <c r="X68" s="2587" t="s">
        <v>40</v>
      </c>
      <c r="Y68" s="2587" t="s">
        <v>40</v>
      </c>
      <c r="Z68" s="2587" t="s">
        <v>40</v>
      </c>
      <c r="AA68" s="2587" t="s">
        <v>40</v>
      </c>
      <c r="AB68" s="2587"/>
      <c r="AC68" s="2691"/>
      <c r="AD68" s="2692">
        <v>6</v>
      </c>
      <c r="AE68" s="2692">
        <v>6</v>
      </c>
      <c r="AF68" s="2692">
        <v>6</v>
      </c>
      <c r="AG68" s="2692">
        <v>6</v>
      </c>
      <c r="AH68" t="s">
        <v>133</v>
      </c>
    </row>
    <row r="69" spans="2:34" ht="18" customHeight="1">
      <c r="B69" s="2476" t="s">
        <v>296</v>
      </c>
      <c r="C69" s="2352" t="s">
        <v>116</v>
      </c>
      <c r="D69" s="2352" t="s">
        <v>116</v>
      </c>
      <c r="E69" s="2352" t="s">
        <v>116</v>
      </c>
      <c r="F69" s="2352" t="s">
        <v>116</v>
      </c>
      <c r="G69" s="2352"/>
      <c r="H69" s="2352"/>
      <c r="I69" s="2352" t="s">
        <v>116</v>
      </c>
      <c r="J69" s="2352" t="s">
        <v>116</v>
      </c>
      <c r="K69" s="2352" t="s">
        <v>116</v>
      </c>
      <c r="L69" s="2352" t="s">
        <v>116</v>
      </c>
      <c r="M69" s="2352" t="s">
        <v>116</v>
      </c>
      <c r="N69" s="2352"/>
      <c r="O69" s="2352"/>
      <c r="P69" s="2352" t="s">
        <v>116</v>
      </c>
      <c r="Q69" s="2352" t="s">
        <v>116</v>
      </c>
      <c r="R69" s="2352" t="s">
        <v>116</v>
      </c>
      <c r="S69" s="2352" t="s">
        <v>116</v>
      </c>
      <c r="T69" s="2352" t="s">
        <v>116</v>
      </c>
      <c r="U69" s="2352"/>
      <c r="V69" s="2352"/>
      <c r="W69" s="2352" t="s">
        <v>116</v>
      </c>
      <c r="X69" s="2352" t="s">
        <v>116</v>
      </c>
      <c r="Y69" s="2352" t="s">
        <v>116</v>
      </c>
      <c r="Z69" s="2352" t="s">
        <v>116</v>
      </c>
      <c r="AA69" s="2352" t="s">
        <v>116</v>
      </c>
      <c r="AB69" s="2352"/>
      <c r="AC69" s="2352"/>
      <c r="AD69" s="2352" t="s">
        <v>116</v>
      </c>
      <c r="AE69" s="2352" t="s">
        <v>116</v>
      </c>
      <c r="AF69" s="2352" t="s">
        <v>116</v>
      </c>
      <c r="AG69" s="2352" t="s">
        <v>116</v>
      </c>
    </row>
    <row r="70" spans="2:34" ht="18" customHeight="1">
      <c r="B70" s="2390"/>
      <c r="C70" s="2601"/>
      <c r="E70" s="2604"/>
      <c r="F70" s="2617"/>
      <c r="G70" s="2617"/>
      <c r="I70" s="2617"/>
      <c r="J70" s="2617"/>
      <c r="K70" s="2601"/>
      <c r="L70" s="2601"/>
      <c r="M70" s="2601"/>
      <c r="N70" s="2601"/>
      <c r="O70" s="2601"/>
      <c r="P70" s="2601"/>
      <c r="Q70" s="2601"/>
      <c r="R70" s="2617"/>
      <c r="S70" s="2604"/>
      <c r="T70" s="2617"/>
      <c r="U70" s="2617"/>
      <c r="V70" s="2601"/>
      <c r="AB70" s="2693"/>
      <c r="AC70" s="2693"/>
    </row>
    <row r="71" spans="2:34" ht="18" customHeight="1">
      <c r="B71" s="2390" t="s">
        <v>122</v>
      </c>
      <c r="C71" s="1647" t="s">
        <v>46</v>
      </c>
      <c r="D71" s="1648" t="s">
        <v>46</v>
      </c>
      <c r="E71" s="1648" t="s">
        <v>46</v>
      </c>
      <c r="F71" s="1647" t="s">
        <v>46</v>
      </c>
      <c r="G71" s="1647" t="s">
        <v>91</v>
      </c>
      <c r="H71" s="1644" t="s">
        <v>91</v>
      </c>
      <c r="I71" s="1656">
        <v>6</v>
      </c>
      <c r="J71" s="1656">
        <v>6</v>
      </c>
      <c r="K71" s="1656">
        <v>6</v>
      </c>
      <c r="L71" s="1656">
        <v>6</v>
      </c>
      <c r="M71" s="1656">
        <v>6</v>
      </c>
      <c r="N71" s="1644"/>
      <c r="O71" s="1646"/>
      <c r="P71" s="1644" t="s">
        <v>46</v>
      </c>
      <c r="Q71" s="1646" t="s">
        <v>46</v>
      </c>
      <c r="R71" s="1646" t="s">
        <v>46</v>
      </c>
      <c r="S71" s="1645" t="s">
        <v>46</v>
      </c>
      <c r="T71" s="1646" t="s">
        <v>46</v>
      </c>
      <c r="U71" s="1646"/>
      <c r="V71" s="1646"/>
      <c r="W71" s="1646">
        <v>5</v>
      </c>
      <c r="X71" s="1646">
        <v>5</v>
      </c>
      <c r="Y71" s="1644">
        <v>5</v>
      </c>
      <c r="Z71" s="1644">
        <v>5</v>
      </c>
      <c r="AA71" s="1644">
        <v>5</v>
      </c>
      <c r="AB71" s="1644"/>
      <c r="AC71" s="1646"/>
      <c r="AD71" s="2688">
        <v>79</v>
      </c>
      <c r="AE71" s="2688">
        <v>79</v>
      </c>
      <c r="AF71" s="2688">
        <v>79</v>
      </c>
      <c r="AG71" s="2688">
        <v>79</v>
      </c>
    </row>
    <row r="72" spans="2:34" ht="18" customHeight="1">
      <c r="B72" s="2390" t="s">
        <v>129</v>
      </c>
      <c r="C72" s="2601" t="s">
        <v>46</v>
      </c>
      <c r="D72" s="2606" t="s">
        <v>46</v>
      </c>
      <c r="E72" s="2617" t="s">
        <v>123</v>
      </c>
      <c r="F72" s="2617" t="s">
        <v>40</v>
      </c>
      <c r="G72" s="2617"/>
      <c r="H72" s="2617"/>
      <c r="I72" s="2694">
        <v>8</v>
      </c>
      <c r="J72" s="2694">
        <v>8</v>
      </c>
      <c r="K72" s="2694">
        <v>8</v>
      </c>
      <c r="L72" s="2694">
        <v>8</v>
      </c>
      <c r="M72" s="2694">
        <v>8</v>
      </c>
      <c r="N72" s="2352"/>
      <c r="O72" s="2352"/>
      <c r="P72" s="2352" t="s">
        <v>130</v>
      </c>
      <c r="Q72" s="2352" t="s">
        <v>130</v>
      </c>
      <c r="R72" s="2352" t="s">
        <v>130</v>
      </c>
      <c r="S72" s="2352" t="s">
        <v>130</v>
      </c>
      <c r="T72" s="2352" t="s">
        <v>130</v>
      </c>
      <c r="U72" s="2352"/>
      <c r="V72" s="2352"/>
      <c r="W72" s="2352" t="s">
        <v>130</v>
      </c>
      <c r="X72" s="2352" t="s">
        <v>130</v>
      </c>
      <c r="Y72" s="2354" t="s">
        <v>414</v>
      </c>
      <c r="Z72" s="2352" t="s">
        <v>130</v>
      </c>
      <c r="AA72" s="2352" t="s">
        <v>130</v>
      </c>
      <c r="AB72" s="2352"/>
      <c r="AC72" s="2352"/>
      <c r="AD72" s="2587" t="s">
        <v>40</v>
      </c>
      <c r="AE72" s="2587" t="s">
        <v>40</v>
      </c>
      <c r="AF72" s="2691" t="s">
        <v>40</v>
      </c>
      <c r="AG72" s="2392" t="s">
        <v>40</v>
      </c>
      <c r="AH72" s="193" t="s">
        <v>133</v>
      </c>
    </row>
    <row r="73" spans="2:34" ht="18" customHeight="1">
      <c r="B73" s="2683" t="s">
        <v>134</v>
      </c>
      <c r="C73" s="2695">
        <v>79</v>
      </c>
      <c r="D73" s="2696">
        <v>79</v>
      </c>
      <c r="E73" s="2697" t="s">
        <v>145</v>
      </c>
      <c r="F73" s="2697" t="s">
        <v>145</v>
      </c>
      <c r="G73" s="2697"/>
      <c r="H73" s="2697"/>
      <c r="I73" s="2698" t="s">
        <v>40</v>
      </c>
      <c r="J73" s="2698" t="s">
        <v>40</v>
      </c>
      <c r="K73" s="2698" t="s">
        <v>40</v>
      </c>
      <c r="L73" s="2698" t="s">
        <v>40</v>
      </c>
      <c r="M73" s="2698" t="s">
        <v>40</v>
      </c>
      <c r="N73" s="2698"/>
      <c r="O73" s="2698"/>
      <c r="P73" s="2698" t="s">
        <v>40</v>
      </c>
      <c r="Q73" s="2698" t="s">
        <v>40</v>
      </c>
      <c r="R73" s="2698" t="s">
        <v>40</v>
      </c>
      <c r="S73" s="2698" t="s">
        <v>40</v>
      </c>
      <c r="T73" s="2698" t="s">
        <v>40</v>
      </c>
      <c r="U73" s="2698"/>
      <c r="V73" s="2698"/>
      <c r="W73" s="2698" t="s">
        <v>40</v>
      </c>
      <c r="X73" s="2698" t="s">
        <v>40</v>
      </c>
      <c r="Y73" s="2698" t="s">
        <v>40</v>
      </c>
      <c r="Z73" s="2698" t="s">
        <v>40</v>
      </c>
      <c r="AA73" s="2698" t="s">
        <v>40</v>
      </c>
      <c r="AB73" s="2698"/>
      <c r="AC73" s="2698"/>
      <c r="AD73" s="2630">
        <v>11</v>
      </c>
      <c r="AE73" s="2630">
        <v>11</v>
      </c>
      <c r="AF73" s="2630">
        <v>11</v>
      </c>
      <c r="AG73" s="2630">
        <v>11</v>
      </c>
      <c r="AH73" t="s">
        <v>133</v>
      </c>
    </row>
    <row r="74" spans="2:34" ht="18" customHeight="1">
      <c r="B74" s="2683" t="s">
        <v>135</v>
      </c>
      <c r="C74" s="2695">
        <v>26</v>
      </c>
      <c r="D74" s="2696">
        <v>26</v>
      </c>
      <c r="E74" s="2697" t="s">
        <v>137</v>
      </c>
      <c r="F74" s="2697" t="s">
        <v>137</v>
      </c>
      <c r="G74" s="2697"/>
      <c r="H74" s="2697"/>
      <c r="I74" s="2699" t="s">
        <v>121</v>
      </c>
      <c r="J74" s="2699" t="s">
        <v>121</v>
      </c>
      <c r="K74" s="2699" t="s">
        <v>121</v>
      </c>
      <c r="L74" s="2699" t="s">
        <v>121</v>
      </c>
      <c r="M74" s="2699" t="s">
        <v>121</v>
      </c>
      <c r="N74" s="2699" t="s">
        <v>120</v>
      </c>
      <c r="O74" s="2699" t="s">
        <v>120</v>
      </c>
      <c r="P74" s="2693" t="s">
        <v>46</v>
      </c>
      <c r="Q74" s="2693" t="s">
        <v>46</v>
      </c>
      <c r="R74" s="2693" t="s">
        <v>46</v>
      </c>
      <c r="S74" s="2693" t="s">
        <v>46</v>
      </c>
      <c r="T74" s="2693" t="s">
        <v>46</v>
      </c>
      <c r="U74" s="2693" t="s">
        <v>46</v>
      </c>
      <c r="V74" s="2693" t="s">
        <v>46</v>
      </c>
      <c r="W74" s="2700">
        <v>25</v>
      </c>
      <c r="X74" s="2700">
        <v>25</v>
      </c>
      <c r="Y74" s="2700">
        <v>25</v>
      </c>
      <c r="Z74" s="2700">
        <v>25</v>
      </c>
      <c r="AA74" s="2700">
        <v>25</v>
      </c>
      <c r="AB74" s="2693"/>
      <c r="AC74" s="2699">
        <v>26</v>
      </c>
      <c r="AD74" s="2699">
        <v>26</v>
      </c>
      <c r="AE74" s="2699">
        <v>26</v>
      </c>
      <c r="AF74" s="2699">
        <v>26</v>
      </c>
      <c r="AG74" s="2699">
        <v>26</v>
      </c>
    </row>
    <row r="75" spans="2:34" ht="18" customHeight="1">
      <c r="B75" s="2683" t="s">
        <v>138</v>
      </c>
      <c r="C75" s="2695" t="s">
        <v>46</v>
      </c>
      <c r="D75" s="2696" t="s">
        <v>373</v>
      </c>
      <c r="E75" s="2701" t="s">
        <v>373</v>
      </c>
      <c r="F75" s="2630" t="s">
        <v>373</v>
      </c>
      <c r="G75" s="2630" t="s">
        <v>412</v>
      </c>
      <c r="H75" s="2630" t="s">
        <v>412</v>
      </c>
      <c r="I75" s="223" t="s">
        <v>373</v>
      </c>
      <c r="J75" s="2702" t="s">
        <v>113</v>
      </c>
      <c r="K75" s="2703" t="s">
        <v>113</v>
      </c>
      <c r="L75" s="2703" t="s">
        <v>113</v>
      </c>
      <c r="M75" s="2703" t="s">
        <v>46</v>
      </c>
      <c r="N75" s="2703"/>
      <c r="O75" s="2703"/>
      <c r="P75" s="2584">
        <v>4</v>
      </c>
      <c r="Q75" s="2584">
        <v>4</v>
      </c>
      <c r="R75" s="2598" t="s">
        <v>415</v>
      </c>
      <c r="S75" s="2584">
        <v>4</v>
      </c>
      <c r="T75" s="2584">
        <v>4</v>
      </c>
      <c r="U75" s="2693"/>
      <c r="V75" s="2704"/>
      <c r="W75" s="2392">
        <v>79</v>
      </c>
      <c r="X75" s="2392">
        <v>79</v>
      </c>
      <c r="Y75" s="2392">
        <v>79</v>
      </c>
      <c r="Z75" s="2392">
        <v>79</v>
      </c>
      <c r="AA75" s="2392">
        <v>79</v>
      </c>
      <c r="AB75" s="2705"/>
      <c r="AC75" s="2698"/>
      <c r="AD75" s="2392" t="s">
        <v>153</v>
      </c>
      <c r="AE75" s="2392" t="s">
        <v>153</v>
      </c>
      <c r="AF75" s="2392" t="s">
        <v>153</v>
      </c>
      <c r="AG75" s="2392" t="s">
        <v>153</v>
      </c>
    </row>
    <row r="76" spans="2:34" ht="18" customHeight="1">
      <c r="B76" s="2683" t="s">
        <v>140</v>
      </c>
      <c r="C76" s="2696" t="s">
        <v>46</v>
      </c>
      <c r="D76" s="2696" t="s">
        <v>46</v>
      </c>
      <c r="E76" s="2697" t="s">
        <v>46</v>
      </c>
      <c r="F76" s="254" t="s">
        <v>46</v>
      </c>
      <c r="G76" s="168" t="s">
        <v>86</v>
      </c>
      <c r="H76" s="168" t="s">
        <v>86</v>
      </c>
      <c r="I76" s="2584">
        <v>7</v>
      </c>
      <c r="J76" s="2584">
        <v>7</v>
      </c>
      <c r="K76" s="2584">
        <v>7</v>
      </c>
      <c r="L76" s="2584">
        <v>7</v>
      </c>
      <c r="M76" s="2584">
        <v>7</v>
      </c>
      <c r="N76" s="2693" t="s">
        <v>46</v>
      </c>
      <c r="O76" s="2693" t="s">
        <v>46</v>
      </c>
      <c r="P76" s="2706">
        <v>89</v>
      </c>
      <c r="Q76" s="2706">
        <v>89</v>
      </c>
      <c r="R76" s="2706">
        <v>89</v>
      </c>
      <c r="S76" s="2706">
        <v>89</v>
      </c>
      <c r="T76" s="2706">
        <v>89</v>
      </c>
      <c r="U76" s="2706">
        <v>89</v>
      </c>
      <c r="V76" s="2706"/>
      <c r="W76" s="597">
        <v>99</v>
      </c>
      <c r="X76" s="597">
        <v>99</v>
      </c>
      <c r="Y76" s="597">
        <v>99</v>
      </c>
      <c r="Z76" s="597">
        <v>99</v>
      </c>
      <c r="AA76" s="597" t="s">
        <v>46</v>
      </c>
      <c r="AB76" s="2706"/>
      <c r="AC76" s="2706"/>
      <c r="AD76" s="2706" t="s">
        <v>159</v>
      </c>
      <c r="AE76" s="2706" t="s">
        <v>159</v>
      </c>
      <c r="AF76" s="2706" t="s">
        <v>159</v>
      </c>
      <c r="AG76" s="2706" t="s">
        <v>159</v>
      </c>
    </row>
    <row r="77" spans="2:34" ht="18" customHeight="1">
      <c r="B77" s="2683" t="s">
        <v>416</v>
      </c>
      <c r="C77" s="2606"/>
      <c r="D77" s="2606"/>
      <c r="E77" s="2606"/>
      <c r="F77" s="2606"/>
      <c r="G77" s="2606"/>
      <c r="H77" s="2606"/>
      <c r="I77" s="2699" t="s">
        <v>40</v>
      </c>
      <c r="J77" s="2609" t="s">
        <v>61</v>
      </c>
      <c r="K77" s="2609" t="s">
        <v>139</v>
      </c>
      <c r="L77" s="2609" t="s">
        <v>118</v>
      </c>
      <c r="M77" s="2693" t="s">
        <v>46</v>
      </c>
      <c r="N77" s="2693" t="s">
        <v>46</v>
      </c>
      <c r="O77" s="2693" t="s">
        <v>46</v>
      </c>
      <c r="P77" s="2698" t="s">
        <v>46</v>
      </c>
      <c r="Q77" s="2698" t="s">
        <v>46</v>
      </c>
      <c r="R77" s="2698" t="s">
        <v>46</v>
      </c>
      <c r="S77" s="2698" t="s">
        <v>46</v>
      </c>
      <c r="T77" s="2698" t="s">
        <v>46</v>
      </c>
      <c r="U77" s="2698" t="s">
        <v>46</v>
      </c>
      <c r="V77" s="2698" t="s">
        <v>46</v>
      </c>
      <c r="W77" s="2392" t="s">
        <v>46</v>
      </c>
      <c r="X77" s="2392" t="s">
        <v>46</v>
      </c>
      <c r="Y77" s="2392" t="s">
        <v>46</v>
      </c>
      <c r="Z77" s="2392" t="s">
        <v>46</v>
      </c>
      <c r="AA77" s="2392" t="s">
        <v>46</v>
      </c>
      <c r="AB77" s="2352" t="s">
        <v>46</v>
      </c>
      <c r="AC77" s="2352" t="s">
        <v>46</v>
      </c>
      <c r="AD77" s="2707" t="s">
        <v>139</v>
      </c>
      <c r="AE77" s="2707" t="s">
        <v>139</v>
      </c>
      <c r="AF77" s="2707" t="s">
        <v>139</v>
      </c>
      <c r="AG77" s="2707" t="s">
        <v>139</v>
      </c>
    </row>
    <row r="78" spans="2:34" ht="18" customHeight="1">
      <c r="B78" s="2683" t="s">
        <v>147</v>
      </c>
      <c r="C78" s="2696" t="s">
        <v>46</v>
      </c>
      <c r="D78" s="2696" t="s">
        <v>46</v>
      </c>
      <c r="E78" s="2696" t="s">
        <v>46</v>
      </c>
      <c r="F78" s="2696" t="s">
        <v>46</v>
      </c>
      <c r="G78" s="2697"/>
      <c r="H78" s="2697"/>
      <c r="I78" s="2708" t="s">
        <v>159</v>
      </c>
      <c r="J78" s="2708" t="s">
        <v>159</v>
      </c>
      <c r="K78" s="2708" t="s">
        <v>159</v>
      </c>
      <c r="L78" s="2708" t="s">
        <v>159</v>
      </c>
      <c r="M78" s="2708" t="s">
        <v>159</v>
      </c>
      <c r="N78" s="2708"/>
      <c r="O78" s="2708"/>
      <c r="P78" s="2708">
        <v>69</v>
      </c>
      <c r="Q78" s="2708">
        <v>69</v>
      </c>
      <c r="R78" s="2708">
        <v>69</v>
      </c>
      <c r="S78" s="2708">
        <v>69</v>
      </c>
      <c r="T78" s="2708">
        <v>69</v>
      </c>
      <c r="U78" s="2708"/>
      <c r="V78" s="2708"/>
      <c r="W78" s="2709">
        <v>9</v>
      </c>
      <c r="X78" s="2709">
        <v>9</v>
      </c>
      <c r="Y78" s="2709">
        <v>9</v>
      </c>
      <c r="Z78" s="2709">
        <v>9</v>
      </c>
      <c r="AA78" s="2709">
        <v>9</v>
      </c>
      <c r="AB78" s="2709" t="s">
        <v>52</v>
      </c>
      <c r="AC78" s="2710" t="s">
        <v>53</v>
      </c>
      <c r="AD78" s="2711" t="s">
        <v>46</v>
      </c>
      <c r="AE78" s="2711" t="s">
        <v>46</v>
      </c>
      <c r="AF78" s="2711" t="s">
        <v>46</v>
      </c>
      <c r="AG78" s="2711" t="s">
        <v>46</v>
      </c>
    </row>
    <row r="79" spans="2:34" ht="18" customHeight="1">
      <c r="B79" s="2683" t="s">
        <v>150</v>
      </c>
      <c r="C79" s="2630" t="s">
        <v>118</v>
      </c>
      <c r="D79" s="2712" t="s">
        <v>46</v>
      </c>
      <c r="E79" s="2630" t="s">
        <v>46</v>
      </c>
      <c r="F79" s="2352" t="s">
        <v>46</v>
      </c>
      <c r="G79" s="2352"/>
      <c r="H79" s="2352"/>
      <c r="I79" s="2352" t="s">
        <v>46</v>
      </c>
      <c r="J79" s="2352" t="s">
        <v>46</v>
      </c>
      <c r="K79" s="2713">
        <v>23</v>
      </c>
      <c r="L79" s="2713">
        <v>23</v>
      </c>
      <c r="M79" s="2713" t="s">
        <v>113</v>
      </c>
      <c r="N79" s="2631">
        <v>23</v>
      </c>
      <c r="O79" s="2631">
        <v>23</v>
      </c>
      <c r="P79" s="2702" t="s">
        <v>46</v>
      </c>
      <c r="Q79" s="2398" t="s">
        <v>46</v>
      </c>
      <c r="R79" s="2398" t="s">
        <v>46</v>
      </c>
      <c r="S79" s="2713" t="s">
        <v>46</v>
      </c>
      <c r="T79" s="2713" t="s">
        <v>46</v>
      </c>
      <c r="U79" s="2713"/>
      <c r="V79" s="2352" t="s">
        <v>118</v>
      </c>
      <c r="W79" s="2352" t="s">
        <v>118</v>
      </c>
      <c r="X79" s="2352" t="s">
        <v>118</v>
      </c>
      <c r="Y79" s="2352" t="s">
        <v>118</v>
      </c>
      <c r="Z79" s="2352" t="s">
        <v>118</v>
      </c>
      <c r="AA79" s="2684" t="s">
        <v>46</v>
      </c>
      <c r="AB79" s="2713" t="s">
        <v>104</v>
      </c>
      <c r="AC79" s="2713" t="s">
        <v>104</v>
      </c>
      <c r="AD79" s="2354">
        <v>23</v>
      </c>
      <c r="AE79" s="2354">
        <v>23</v>
      </c>
      <c r="AF79" s="2354">
        <v>23</v>
      </c>
      <c r="AG79" s="2703" t="s">
        <v>104</v>
      </c>
    </row>
    <row r="82" spans="1:33" ht="18" customHeight="1">
      <c r="A82" s="1563"/>
      <c r="B82" s="1517" t="s">
        <v>154</v>
      </c>
      <c r="C82" s="1578">
        <v>1</v>
      </c>
      <c r="D82" s="1578">
        <v>2</v>
      </c>
      <c r="E82" s="1578">
        <v>3</v>
      </c>
      <c r="F82" s="1578">
        <v>4</v>
      </c>
      <c r="G82" s="1580">
        <v>5</v>
      </c>
      <c r="H82" s="1580">
        <v>6</v>
      </c>
      <c r="I82" s="1578">
        <v>7</v>
      </c>
      <c r="J82" s="1578">
        <v>8</v>
      </c>
      <c r="K82" s="1578">
        <v>9</v>
      </c>
      <c r="L82" s="1578">
        <v>10</v>
      </c>
      <c r="M82" s="1578">
        <v>11</v>
      </c>
      <c r="N82" s="1580">
        <v>12</v>
      </c>
      <c r="O82" s="1580">
        <v>13</v>
      </c>
      <c r="P82" s="1578">
        <v>14</v>
      </c>
      <c r="Q82" s="1578">
        <v>15</v>
      </c>
      <c r="R82" s="1578">
        <v>16</v>
      </c>
      <c r="S82" s="1578">
        <v>17</v>
      </c>
      <c r="T82" s="1578">
        <v>18</v>
      </c>
      <c r="U82" s="1580">
        <v>19</v>
      </c>
      <c r="V82" s="1580">
        <v>20</v>
      </c>
      <c r="W82" s="1578">
        <v>21</v>
      </c>
      <c r="X82" s="1578">
        <v>22</v>
      </c>
      <c r="Y82" s="1578">
        <v>23</v>
      </c>
      <c r="Z82" s="1578">
        <v>24</v>
      </c>
      <c r="AA82" s="1578">
        <v>25</v>
      </c>
      <c r="AB82" s="1580">
        <v>26</v>
      </c>
      <c r="AC82" s="1580">
        <v>27</v>
      </c>
      <c r="AD82" s="1578">
        <v>28</v>
      </c>
      <c r="AE82" s="1578">
        <v>29</v>
      </c>
      <c r="AF82" s="1578">
        <v>30</v>
      </c>
      <c r="AG82" s="1578">
        <v>31</v>
      </c>
    </row>
    <row r="83" spans="1:33" ht="18" customHeight="1">
      <c r="A83" s="2714"/>
      <c r="B83" s="2715"/>
      <c r="C83" s="2695"/>
      <c r="D83" s="2696"/>
      <c r="E83" s="2697"/>
      <c r="F83" s="2697"/>
      <c r="G83" s="2697"/>
      <c r="H83" s="2697"/>
      <c r="I83" s="2693"/>
      <c r="J83" s="2696"/>
      <c r="K83" s="2716"/>
      <c r="L83" s="2716"/>
      <c r="M83" s="2700"/>
      <c r="N83" s="2700"/>
      <c r="O83" s="2700"/>
      <c r="P83" s="2716"/>
      <c r="Q83" s="2716"/>
      <c r="R83" s="2697"/>
      <c r="S83" s="2697"/>
      <c r="T83" s="2697"/>
      <c r="U83" s="2716"/>
      <c r="V83" s="2716"/>
      <c r="W83" s="2716"/>
      <c r="X83" s="2716"/>
      <c r="Y83" s="2716"/>
      <c r="Z83" s="2716"/>
      <c r="AA83" s="2716"/>
      <c r="AB83" s="2716"/>
      <c r="AC83" s="2697"/>
      <c r="AD83" s="2716"/>
      <c r="AE83" s="2716"/>
      <c r="AF83" s="2697"/>
      <c r="AG83" s="2697"/>
    </row>
    <row r="84" spans="1:33" ht="18" customHeight="1">
      <c r="A84" s="2714"/>
      <c r="B84" s="2664" t="s">
        <v>374</v>
      </c>
      <c r="C84" s="2695" t="s">
        <v>40</v>
      </c>
      <c r="D84" s="2696">
        <v>99</v>
      </c>
      <c r="E84" s="2697" t="s">
        <v>417</v>
      </c>
      <c r="F84" s="2697" t="s">
        <v>148</v>
      </c>
      <c r="G84" s="2697"/>
      <c r="H84" s="2717"/>
      <c r="I84" s="2352">
        <v>23</v>
      </c>
      <c r="J84" s="2352">
        <v>23</v>
      </c>
      <c r="K84" s="2718">
        <v>10</v>
      </c>
      <c r="L84" s="2584">
        <v>10</v>
      </c>
      <c r="M84" s="2584">
        <v>10</v>
      </c>
      <c r="N84" s="2584" t="s">
        <v>53</v>
      </c>
      <c r="O84" s="2601" t="s">
        <v>53</v>
      </c>
      <c r="P84" s="2716" t="s">
        <v>104</v>
      </c>
      <c r="Q84" s="2716" t="s">
        <v>104</v>
      </c>
      <c r="R84" s="2716" t="s">
        <v>104</v>
      </c>
      <c r="S84" s="2697" t="s">
        <v>40</v>
      </c>
      <c r="T84" s="2697" t="s">
        <v>46</v>
      </c>
      <c r="U84" s="2716" t="s">
        <v>418</v>
      </c>
      <c r="V84" s="2719" t="s">
        <v>412</v>
      </c>
      <c r="W84" s="2712">
        <v>7</v>
      </c>
      <c r="X84" s="2712">
        <v>7</v>
      </c>
      <c r="Y84" s="2442">
        <v>7</v>
      </c>
      <c r="Z84" s="2712">
        <v>7</v>
      </c>
      <c r="AA84" s="2352">
        <v>21</v>
      </c>
      <c r="AB84" s="2352">
        <v>21</v>
      </c>
      <c r="AC84" s="2352">
        <v>21</v>
      </c>
      <c r="AD84" s="2720" t="s">
        <v>46</v>
      </c>
      <c r="AE84" s="2716" t="s">
        <v>46</v>
      </c>
      <c r="AF84" s="2697" t="s">
        <v>46</v>
      </c>
      <c r="AG84" s="1915" t="s">
        <v>118</v>
      </c>
    </row>
    <row r="85" spans="1:33" ht="18" customHeight="1">
      <c r="A85" s="2721"/>
      <c r="B85" s="2722" t="s">
        <v>375</v>
      </c>
      <c r="C85" s="2695" t="s">
        <v>373</v>
      </c>
      <c r="D85" s="1586" t="s">
        <v>46</v>
      </c>
      <c r="E85" s="1586" t="s">
        <v>46</v>
      </c>
      <c r="F85" s="1949" t="s">
        <v>46</v>
      </c>
      <c r="G85" s="1949"/>
      <c r="H85" s="1634"/>
      <c r="I85" s="1452"/>
      <c r="J85" s="1452"/>
      <c r="K85" s="1634"/>
      <c r="L85" s="1634"/>
      <c r="M85" s="1634"/>
      <c r="N85" s="1634"/>
      <c r="O85" s="1634"/>
      <c r="P85" s="1634"/>
      <c r="Q85" s="1634"/>
      <c r="R85" s="1634"/>
      <c r="S85" s="1634"/>
      <c r="T85" s="1634"/>
      <c r="U85" s="1634"/>
      <c r="V85" s="1634"/>
      <c r="W85" s="1452"/>
      <c r="X85" s="1452"/>
      <c r="Y85" s="1452"/>
      <c r="Z85" s="1452"/>
      <c r="AA85" s="1452"/>
      <c r="AB85" s="1452"/>
      <c r="AC85" s="1452"/>
      <c r="AD85" s="1634"/>
      <c r="AE85" s="1634"/>
      <c r="AF85" s="1634"/>
      <c r="AG85" s="1634"/>
    </row>
    <row r="86" spans="1:33" ht="18" customHeight="1">
      <c r="A86" s="1311"/>
      <c r="B86" s="1481" t="s">
        <v>156</v>
      </c>
      <c r="C86" s="1578">
        <v>1</v>
      </c>
      <c r="D86" s="1578">
        <v>2</v>
      </c>
      <c r="E86" s="1578">
        <v>3</v>
      </c>
      <c r="F86" s="1578">
        <v>4</v>
      </c>
      <c r="G86" s="1580">
        <v>5</v>
      </c>
      <c r="H86" s="1580">
        <v>6</v>
      </c>
      <c r="I86" s="1578">
        <v>7</v>
      </c>
      <c r="J86" s="1578">
        <v>8</v>
      </c>
      <c r="K86" s="1578">
        <v>9</v>
      </c>
      <c r="L86" s="1578">
        <v>10</v>
      </c>
      <c r="M86" s="1578">
        <v>11</v>
      </c>
      <c r="N86" s="1580">
        <v>12</v>
      </c>
      <c r="O86" s="1580">
        <v>13</v>
      </c>
      <c r="P86" s="1578">
        <v>14</v>
      </c>
      <c r="Q86" s="1578">
        <v>15</v>
      </c>
      <c r="R86" s="1578">
        <v>16</v>
      </c>
      <c r="S86" s="1578">
        <v>17</v>
      </c>
      <c r="T86" s="1578">
        <v>18</v>
      </c>
      <c r="U86" s="1580">
        <v>19</v>
      </c>
      <c r="V86" s="1580">
        <v>20</v>
      </c>
      <c r="W86" s="1578">
        <v>21</v>
      </c>
      <c r="X86" s="1578">
        <v>22</v>
      </c>
      <c r="Y86" s="1578">
        <v>23</v>
      </c>
      <c r="Z86" s="1578">
        <v>24</v>
      </c>
      <c r="AA86" s="1578">
        <v>25</v>
      </c>
      <c r="AB86" s="1580">
        <v>26</v>
      </c>
      <c r="AC86" s="1580">
        <v>27</v>
      </c>
      <c r="AD86" s="1577">
        <v>28</v>
      </c>
      <c r="AE86" s="1577">
        <v>29</v>
      </c>
      <c r="AF86" s="1577">
        <v>30</v>
      </c>
      <c r="AG86" s="1577">
        <v>31</v>
      </c>
    </row>
    <row r="87" spans="1:33" ht="18" customHeight="1">
      <c r="A87" s="2723"/>
      <c r="B87" s="2575" t="s">
        <v>157</v>
      </c>
      <c r="C87" s="2352" t="s">
        <v>46</v>
      </c>
      <c r="D87" s="2352" t="s">
        <v>46</v>
      </c>
      <c r="E87" s="2352" t="s">
        <v>46</v>
      </c>
      <c r="F87" s="2352" t="s">
        <v>46</v>
      </c>
      <c r="G87" s="2713" t="s">
        <v>104</v>
      </c>
      <c r="H87" s="2631" t="s">
        <v>104</v>
      </c>
      <c r="I87" s="2392" t="s">
        <v>40</v>
      </c>
      <c r="J87" s="2392" t="s">
        <v>40</v>
      </c>
      <c r="K87" s="2392" t="s">
        <v>40</v>
      </c>
      <c r="L87" s="2392" t="s">
        <v>40</v>
      </c>
      <c r="M87" s="2392" t="s">
        <v>40</v>
      </c>
      <c r="N87" s="2392"/>
      <c r="O87" s="2392"/>
      <c r="P87" s="2392" t="s">
        <v>40</v>
      </c>
      <c r="Q87" s="2392" t="s">
        <v>40</v>
      </c>
      <c r="R87" s="2392" t="s">
        <v>40</v>
      </c>
      <c r="S87" s="2392" t="s">
        <v>40</v>
      </c>
      <c r="T87" s="2392" t="s">
        <v>40</v>
      </c>
      <c r="U87" s="2392"/>
      <c r="V87" s="2392"/>
      <c r="W87" s="2392" t="s">
        <v>40</v>
      </c>
      <c r="X87" s="2392" t="s">
        <v>40</v>
      </c>
      <c r="Y87" s="2392" t="s">
        <v>40</v>
      </c>
      <c r="Z87" s="2392" t="s">
        <v>40</v>
      </c>
      <c r="AA87" s="2392" t="s">
        <v>40</v>
      </c>
      <c r="AB87" s="2392"/>
      <c r="AC87" s="2392"/>
      <c r="AD87" s="2684" t="s">
        <v>153</v>
      </c>
      <c r="AE87" s="2684" t="s">
        <v>153</v>
      </c>
      <c r="AF87" s="2684" t="s">
        <v>153</v>
      </c>
      <c r="AG87" s="2684" t="s">
        <v>153</v>
      </c>
    </row>
    <row r="88" spans="1:33" ht="18" customHeight="1">
      <c r="A88" s="2724"/>
      <c r="B88" s="2725" t="s">
        <v>158</v>
      </c>
      <c r="C88" s="2726" t="s">
        <v>40</v>
      </c>
      <c r="D88" s="2726" t="s">
        <v>40</v>
      </c>
      <c r="E88" s="2726" t="s">
        <v>40</v>
      </c>
      <c r="F88" s="2726" t="s">
        <v>40</v>
      </c>
      <c r="G88" s="2726"/>
      <c r="H88" s="2726"/>
      <c r="I88" s="2726" t="s">
        <v>40</v>
      </c>
      <c r="J88" s="2726" t="s">
        <v>40</v>
      </c>
      <c r="K88" s="2726" t="s">
        <v>40</v>
      </c>
      <c r="L88" s="2726" t="s">
        <v>40</v>
      </c>
      <c r="M88" s="2726" t="s">
        <v>40</v>
      </c>
      <c r="N88" s="2726"/>
      <c r="O88" s="2726"/>
      <c r="P88" s="2726" t="s">
        <v>40</v>
      </c>
      <c r="Q88" s="2726" t="s">
        <v>40</v>
      </c>
      <c r="R88" s="2726" t="s">
        <v>40</v>
      </c>
      <c r="S88" s="2726" t="s">
        <v>40</v>
      </c>
      <c r="T88" s="2726" t="s">
        <v>40</v>
      </c>
      <c r="U88" s="2726"/>
      <c r="V88" s="2726"/>
      <c r="W88" s="2726" t="s">
        <v>40</v>
      </c>
      <c r="X88" s="2726" t="s">
        <v>40</v>
      </c>
      <c r="Y88" s="2726" t="s">
        <v>40</v>
      </c>
      <c r="Z88" s="2726" t="s">
        <v>40</v>
      </c>
      <c r="AA88" s="2726" t="s">
        <v>40</v>
      </c>
      <c r="AB88" s="2726"/>
      <c r="AC88" s="2726"/>
      <c r="AD88" s="2727" t="s">
        <v>40</v>
      </c>
      <c r="AE88" s="2727" t="s">
        <v>40</v>
      </c>
      <c r="AF88" s="2727" t="s">
        <v>40</v>
      </c>
      <c r="AG88" s="2728" t="s">
        <v>419</v>
      </c>
    </row>
    <row r="89" spans="1:33" ht="18" customHeight="1">
      <c r="A89" s="584"/>
      <c r="B89" s="241" t="s">
        <v>38</v>
      </c>
      <c r="C89" s="1578">
        <v>1</v>
      </c>
      <c r="D89" s="1578">
        <v>2</v>
      </c>
      <c r="E89" s="1578">
        <v>3</v>
      </c>
      <c r="F89" s="1578">
        <v>4</v>
      </c>
      <c r="G89" s="1580">
        <v>5</v>
      </c>
      <c r="H89" s="1580">
        <v>6</v>
      </c>
      <c r="I89" s="1578">
        <v>7</v>
      </c>
      <c r="J89" s="1578">
        <v>8</v>
      </c>
      <c r="K89" s="1578">
        <v>9</v>
      </c>
      <c r="L89" s="1578">
        <v>10</v>
      </c>
      <c r="M89" s="1578">
        <v>11</v>
      </c>
      <c r="N89" s="1580">
        <v>12</v>
      </c>
      <c r="O89" s="1580">
        <v>13</v>
      </c>
      <c r="P89" s="1578">
        <v>14</v>
      </c>
      <c r="Q89" s="1578">
        <v>15</v>
      </c>
      <c r="R89" s="1578">
        <v>16</v>
      </c>
      <c r="S89" s="1578">
        <v>17</v>
      </c>
      <c r="T89" s="1578">
        <v>18</v>
      </c>
      <c r="U89" s="1580">
        <v>19</v>
      </c>
      <c r="V89" s="1580">
        <v>20</v>
      </c>
      <c r="W89" s="1578">
        <v>21</v>
      </c>
      <c r="X89" s="1578">
        <v>22</v>
      </c>
      <c r="Y89" s="1578">
        <v>23</v>
      </c>
      <c r="Z89" s="1578">
        <v>24</v>
      </c>
      <c r="AA89" s="1578">
        <v>25</v>
      </c>
      <c r="AB89" s="1580">
        <v>26</v>
      </c>
      <c r="AC89" s="1580">
        <v>27</v>
      </c>
      <c r="AD89" s="1578">
        <v>28</v>
      </c>
      <c r="AE89" s="1578">
        <v>29</v>
      </c>
      <c r="AF89" s="1578">
        <v>30</v>
      </c>
      <c r="AG89" s="1578">
        <v>31</v>
      </c>
    </row>
    <row r="90" spans="1:33" ht="18" customHeight="1">
      <c r="A90" s="2729"/>
      <c r="B90" s="2611" t="s">
        <v>160</v>
      </c>
      <c r="C90" s="1645"/>
      <c r="D90" s="1961"/>
      <c r="E90" s="1645"/>
      <c r="F90" s="1645"/>
      <c r="G90" s="1645"/>
      <c r="H90" s="1645"/>
      <c r="I90" s="1645"/>
      <c r="J90" s="1645"/>
      <c r="K90" s="1645"/>
      <c r="L90" s="1645"/>
      <c r="M90" s="1645"/>
      <c r="N90" s="1645"/>
      <c r="O90" s="1645"/>
      <c r="P90" s="1645"/>
      <c r="Q90" s="1645"/>
      <c r="R90" s="1645"/>
      <c r="S90" s="1645"/>
      <c r="T90" s="1645"/>
      <c r="U90" s="1645"/>
      <c r="V90" s="1645"/>
      <c r="W90" s="1645"/>
      <c r="X90" s="1645"/>
      <c r="Y90" s="1645"/>
      <c r="Z90" s="1645"/>
      <c r="AA90" s="1645"/>
      <c r="AB90" s="1645"/>
      <c r="AC90" s="1645"/>
      <c r="AD90" s="1645"/>
      <c r="AE90" s="1645"/>
      <c r="AF90" s="1645"/>
      <c r="AG90" s="1645"/>
    </row>
    <row r="91" spans="1:33" ht="18" customHeight="1">
      <c r="A91" s="2729"/>
      <c r="B91" s="2583"/>
      <c r="C91" s="2699"/>
      <c r="D91" s="2699"/>
      <c r="E91" s="2699"/>
      <c r="F91" s="2585"/>
      <c r="G91" s="2585"/>
      <c r="H91" s="2699"/>
      <c r="I91" s="2699"/>
      <c r="J91" s="2699"/>
      <c r="K91" s="2699"/>
      <c r="L91" s="2699"/>
      <c r="M91" s="2699"/>
      <c r="N91" s="2699"/>
      <c r="O91" s="2699"/>
      <c r="P91" s="2699"/>
      <c r="Q91" s="2699"/>
      <c r="R91" s="2699"/>
      <c r="S91" s="2699"/>
      <c r="T91" s="2601"/>
      <c r="U91" s="2699"/>
      <c r="V91" s="2699"/>
      <c r="W91" s="2699"/>
      <c r="X91" s="2699"/>
      <c r="Y91" s="2699"/>
      <c r="Z91" s="2699"/>
      <c r="AA91" s="2699"/>
      <c r="AB91" s="2699"/>
      <c r="AC91" s="2699"/>
      <c r="AD91" s="2699"/>
      <c r="AE91" s="2699"/>
      <c r="AF91" s="2699"/>
      <c r="AG91" s="2699"/>
    </row>
    <row r="92" spans="1:33" ht="18" customHeight="1">
      <c r="A92" s="2729"/>
      <c r="B92" s="2583"/>
      <c r="C92" s="2601"/>
      <c r="D92" s="2601"/>
      <c r="E92" s="2601"/>
      <c r="F92" s="2601"/>
      <c r="G92" s="2601"/>
      <c r="H92" s="2601"/>
      <c r="I92" s="2601"/>
      <c r="J92" s="2601"/>
      <c r="K92" s="2601"/>
      <c r="L92" s="2601"/>
      <c r="M92" s="2601"/>
      <c r="N92" s="2601"/>
      <c r="O92" s="2601"/>
      <c r="P92" s="2601"/>
      <c r="Q92" s="2601"/>
      <c r="R92" s="2601"/>
      <c r="S92" s="2601"/>
      <c r="T92" s="2601"/>
      <c r="U92" s="2601"/>
      <c r="V92" s="2601"/>
      <c r="W92" s="2601"/>
      <c r="X92" s="2601"/>
      <c r="Y92" s="2601"/>
      <c r="Z92" s="2601"/>
      <c r="AA92" s="2601"/>
      <c r="AB92" s="2601"/>
      <c r="AC92" s="2601"/>
      <c r="AD92" s="2601"/>
      <c r="AE92" s="2601"/>
      <c r="AF92" s="2601"/>
      <c r="AG92" s="2601"/>
    </row>
    <row r="93" spans="1:33" ht="18" customHeight="1">
      <c r="A93" s="89"/>
      <c r="B93" s="2588"/>
      <c r="C93" s="2730"/>
      <c r="D93" s="2730"/>
      <c r="E93" s="2730"/>
      <c r="F93" s="2730"/>
      <c r="G93" s="2730"/>
      <c r="H93" s="2730"/>
      <c r="I93" s="2730"/>
      <c r="J93" s="2730"/>
      <c r="K93" s="2730"/>
      <c r="L93" s="2730"/>
      <c r="M93" s="2730"/>
      <c r="N93" s="2730"/>
      <c r="O93" s="2730"/>
      <c r="P93" s="2730"/>
      <c r="Q93" s="2730"/>
      <c r="R93" s="2730"/>
      <c r="S93" s="2730"/>
      <c r="T93" s="2730"/>
      <c r="U93" s="2730"/>
      <c r="V93" s="2730"/>
      <c r="W93" s="2730"/>
      <c r="X93" s="2730"/>
      <c r="Y93" s="2730"/>
      <c r="Z93" s="2730"/>
      <c r="AA93" s="2730"/>
      <c r="AB93" s="2730"/>
      <c r="AC93" s="2730"/>
      <c r="AD93" s="2730"/>
      <c r="AE93" s="2730"/>
      <c r="AF93" s="2730"/>
      <c r="AG93" s="2730"/>
    </row>
    <row r="94" spans="1:33" ht="18" customHeight="1">
      <c r="A94" s="114"/>
      <c r="B94" s="115"/>
      <c r="C94" s="126"/>
      <c r="D94" s="126"/>
      <c r="E94" s="126"/>
      <c r="F94" s="126"/>
      <c r="G94" s="126"/>
      <c r="H94" s="126"/>
      <c r="I94" s="126"/>
      <c r="J94" s="126"/>
      <c r="K94" s="126"/>
      <c r="L94" s="126"/>
      <c r="M94" s="126"/>
      <c r="N94" s="126"/>
      <c r="O94" s="126"/>
      <c r="P94" s="126"/>
      <c r="Q94" s="126"/>
      <c r="R94" s="126"/>
      <c r="S94" s="126"/>
      <c r="T94" s="126"/>
      <c r="U94" s="126"/>
      <c r="V94" s="126"/>
      <c r="W94" s="126"/>
      <c r="X94" s="126"/>
      <c r="Y94" s="126"/>
      <c r="Z94" s="126"/>
      <c r="AA94" s="126"/>
      <c r="AB94" s="126"/>
      <c r="AC94" s="126"/>
      <c r="AD94" s="126"/>
      <c r="AE94" s="126"/>
      <c r="AF94" s="126"/>
    </row>
    <row r="95" spans="1:33" ht="18" customHeight="1">
      <c r="A95" s="42" t="s">
        <v>161</v>
      </c>
      <c r="C95" s="110"/>
      <c r="D95" s="110"/>
      <c r="E95" s="110"/>
      <c r="F95" s="110"/>
      <c r="G95" s="110"/>
      <c r="H95" s="110"/>
      <c r="I95" s="110"/>
      <c r="J95" s="110"/>
      <c r="K95" s="110"/>
      <c r="L95" s="110"/>
      <c r="M95" s="110"/>
      <c r="N95" s="110"/>
      <c r="O95" s="110"/>
      <c r="P95" s="110"/>
      <c r="Q95" s="110"/>
      <c r="R95" s="110"/>
      <c r="S95" s="110"/>
      <c r="T95" s="110"/>
      <c r="U95" s="110"/>
      <c r="V95" s="110"/>
      <c r="W95" s="110"/>
      <c r="X95" s="110"/>
      <c r="Y95" s="110"/>
      <c r="Z95" s="110"/>
      <c r="AA95" s="110"/>
      <c r="AB95" s="110"/>
      <c r="AC95" s="110"/>
      <c r="AD95" s="110"/>
      <c r="AE95" s="110"/>
      <c r="AF95" s="110"/>
    </row>
    <row r="96" spans="1:33" ht="18" customHeight="1">
      <c r="B96" s="2565"/>
      <c r="C96" s="2564"/>
      <c r="D96" s="2565" t="s">
        <v>19</v>
      </c>
      <c r="E96" s="2564"/>
      <c r="F96" s="2564"/>
      <c r="G96" s="2565" t="s">
        <v>20</v>
      </c>
      <c r="H96" s="2564"/>
      <c r="I96" s="2564"/>
      <c r="J96" s="2565" t="s">
        <v>21</v>
      </c>
      <c r="K96" s="2564"/>
      <c r="L96" s="2564"/>
      <c r="M96" s="2565" t="s">
        <v>22</v>
      </c>
      <c r="N96" s="2564"/>
      <c r="O96" s="2564"/>
      <c r="P96" s="2565" t="s">
        <v>23</v>
      </c>
      <c r="Q96" s="2564"/>
      <c r="R96" s="2560"/>
      <c r="S96" s="2561" t="s">
        <v>24</v>
      </c>
      <c r="T96" s="2564"/>
      <c r="U96" s="2564"/>
      <c r="V96" s="2565" t="s">
        <v>25</v>
      </c>
      <c r="W96" s="2564"/>
      <c r="X96" s="68"/>
      <c r="Y96" s="68"/>
      <c r="Z96" s="68"/>
      <c r="AA96" s="68"/>
      <c r="AB96" s="68"/>
      <c r="AC96" s="68"/>
      <c r="AD96" s="68"/>
      <c r="AE96" s="68"/>
      <c r="AF96" s="68"/>
    </row>
    <row r="97" spans="1:34" ht="18" customHeight="1">
      <c r="B97" s="2731" t="s">
        <v>162</v>
      </c>
      <c r="C97" s="2732" t="s">
        <v>163</v>
      </c>
      <c r="D97" s="2678"/>
      <c r="E97" s="2678"/>
      <c r="F97" s="2732" t="s">
        <v>163</v>
      </c>
      <c r="G97" s="2678"/>
      <c r="H97" s="2678"/>
      <c r="I97" s="2732" t="s">
        <v>163</v>
      </c>
      <c r="J97" s="2678"/>
      <c r="K97" s="2678"/>
      <c r="L97" s="2732" t="s">
        <v>163</v>
      </c>
      <c r="M97" s="2678"/>
      <c r="N97" s="2678"/>
      <c r="O97" s="2732" t="s">
        <v>163</v>
      </c>
      <c r="P97" s="2678"/>
      <c r="Q97" s="2678"/>
      <c r="R97" s="2677"/>
      <c r="S97" s="2678"/>
      <c r="T97" s="2678"/>
      <c r="U97" s="2677" t="s">
        <v>164</v>
      </c>
      <c r="V97" s="2678"/>
      <c r="W97" s="2733"/>
      <c r="X97" s="68"/>
      <c r="Y97" s="68"/>
      <c r="Z97" s="68"/>
      <c r="AA97" s="68"/>
      <c r="AB97" s="68"/>
      <c r="AC97" s="68"/>
      <c r="AD97" s="68"/>
      <c r="AE97" s="68"/>
      <c r="AF97" s="68"/>
    </row>
    <row r="98" spans="1:34" ht="18" customHeight="1">
      <c r="B98" s="2731" t="s">
        <v>165</v>
      </c>
      <c r="C98" s="2734" t="s">
        <v>166</v>
      </c>
      <c r="D98" s="2735"/>
      <c r="E98" s="2735"/>
      <c r="F98" s="2734" t="s">
        <v>167</v>
      </c>
      <c r="G98" s="2735"/>
      <c r="H98" s="2735"/>
      <c r="I98" s="2734" t="s">
        <v>167</v>
      </c>
      <c r="J98" s="2735"/>
      <c r="K98" s="2735"/>
      <c r="L98" s="2734" t="s">
        <v>167</v>
      </c>
      <c r="M98" s="2735"/>
      <c r="N98" s="2735"/>
      <c r="O98" s="2734" t="s">
        <v>168</v>
      </c>
      <c r="P98" s="2735"/>
      <c r="Q98" s="2735"/>
      <c r="R98" s="242"/>
      <c r="S98" s="46"/>
      <c r="T98" s="2733"/>
      <c r="U98" s="242"/>
      <c r="V98" s="46"/>
      <c r="W98" s="2733"/>
      <c r="X98" s="68"/>
      <c r="Y98" s="68"/>
      <c r="Z98" s="68"/>
      <c r="AA98" s="68"/>
      <c r="AB98" s="68"/>
      <c r="AC98" s="68"/>
      <c r="AD98" s="68"/>
      <c r="AE98" s="68"/>
      <c r="AF98" s="68"/>
    </row>
    <row r="99" spans="1:34" ht="18" customHeight="1">
      <c r="B99" s="2731" t="s">
        <v>169</v>
      </c>
      <c r="C99" s="2736" t="s">
        <v>170</v>
      </c>
      <c r="D99" s="2554"/>
      <c r="E99" s="2554"/>
      <c r="F99" s="2736" t="s">
        <v>171</v>
      </c>
      <c r="G99" s="2644"/>
      <c r="H99" s="2554"/>
      <c r="I99" s="2736" t="s">
        <v>171</v>
      </c>
      <c r="J99" s="2571"/>
      <c r="K99" s="2570"/>
      <c r="L99" s="2664" t="s">
        <v>172</v>
      </c>
      <c r="M99" s="2571"/>
      <c r="N99" s="2737"/>
      <c r="O99" s="2736" t="s">
        <v>172</v>
      </c>
      <c r="P99" s="2554"/>
      <c r="Q99" s="2554"/>
      <c r="R99" s="2664" t="s">
        <v>173</v>
      </c>
      <c r="S99" s="2571"/>
      <c r="T99" s="2570"/>
      <c r="U99" s="2664" t="s">
        <v>173</v>
      </c>
      <c r="V99" s="2571"/>
      <c r="W99" s="2570"/>
      <c r="X99" s="68"/>
      <c r="Y99" s="68"/>
      <c r="Z99" s="68"/>
      <c r="AA99" s="68"/>
      <c r="AB99" s="68"/>
      <c r="AC99" s="68"/>
      <c r="AD99" s="68"/>
      <c r="AE99" s="68"/>
      <c r="AF99" s="68"/>
    </row>
    <row r="100" spans="1:34" ht="18" customHeight="1">
      <c r="B100" s="2731" t="s">
        <v>174</v>
      </c>
      <c r="C100" s="2736" t="s">
        <v>46</v>
      </c>
      <c r="D100" s="2554"/>
      <c r="E100" s="2554"/>
      <c r="F100" s="2736" t="s">
        <v>46</v>
      </c>
      <c r="G100" s="2644"/>
      <c r="H100" s="2554"/>
      <c r="I100" s="2664" t="s">
        <v>46</v>
      </c>
      <c r="J100" s="2571"/>
      <c r="K100" s="2570"/>
      <c r="L100" s="2664" t="s">
        <v>46</v>
      </c>
      <c r="M100" s="2571"/>
      <c r="N100" s="2737"/>
      <c r="O100" s="2736" t="s">
        <v>46</v>
      </c>
      <c r="P100" s="2554"/>
      <c r="Q100" s="2554"/>
      <c r="R100" s="2664"/>
      <c r="S100" s="2571"/>
      <c r="T100" s="2570"/>
      <c r="U100" s="2664"/>
      <c r="V100" s="2571"/>
      <c r="W100" s="2570"/>
      <c r="X100" s="68"/>
      <c r="Y100" s="68"/>
      <c r="Z100" s="68"/>
      <c r="AA100" s="68"/>
      <c r="AB100" s="68"/>
      <c r="AC100" s="68"/>
      <c r="AD100" s="68"/>
      <c r="AE100" s="68"/>
      <c r="AF100" s="68"/>
    </row>
    <row r="101" spans="1:34" ht="18" customHeight="1">
      <c r="B101" s="243"/>
      <c r="C101" s="244"/>
      <c r="D101" s="111"/>
      <c r="E101" s="111"/>
      <c r="F101" s="244"/>
      <c r="G101" s="115"/>
      <c r="H101" s="111"/>
      <c r="I101" s="115"/>
      <c r="J101" s="111"/>
      <c r="K101" s="111"/>
      <c r="L101" s="115"/>
      <c r="M101" s="111"/>
      <c r="N101" s="32"/>
      <c r="O101" s="244"/>
      <c r="P101" s="111"/>
      <c r="Q101" s="111"/>
      <c r="R101" s="115"/>
      <c r="S101" s="111"/>
      <c r="T101" s="111"/>
      <c r="U101" s="115"/>
      <c r="V101" s="111"/>
      <c r="W101" s="111"/>
      <c r="X101" s="68"/>
      <c r="Y101" s="68"/>
      <c r="Z101" s="68"/>
      <c r="AA101" s="68"/>
      <c r="AB101" s="68"/>
      <c r="AC101" s="68"/>
      <c r="AD101" s="68"/>
      <c r="AE101" s="68"/>
      <c r="AF101" s="68"/>
    </row>
    <row r="102" spans="1:34" ht="18" customHeight="1">
      <c r="B102" s="1658" t="s">
        <v>379</v>
      </c>
      <c r="C102" s="1578">
        <v>1</v>
      </c>
      <c r="D102" s="1578">
        <v>2</v>
      </c>
      <c r="E102" s="1578">
        <v>3</v>
      </c>
      <c r="F102" s="1578">
        <v>4</v>
      </c>
      <c r="G102" s="1580">
        <v>5</v>
      </c>
      <c r="H102" s="1580">
        <v>6</v>
      </c>
      <c r="I102" s="1578">
        <v>7</v>
      </c>
      <c r="J102" s="1578">
        <v>8</v>
      </c>
      <c r="K102" s="1578">
        <v>9</v>
      </c>
      <c r="L102" s="1578">
        <v>10</v>
      </c>
      <c r="M102" s="1578">
        <v>11</v>
      </c>
      <c r="N102" s="1580">
        <v>12</v>
      </c>
      <c r="O102" s="1580">
        <v>13</v>
      </c>
      <c r="P102" s="1578">
        <v>14</v>
      </c>
      <c r="Q102" s="1578">
        <v>15</v>
      </c>
      <c r="R102" s="1578">
        <v>16</v>
      </c>
      <c r="S102" s="1578">
        <v>17</v>
      </c>
      <c r="T102" s="1578">
        <v>18</v>
      </c>
      <c r="U102" s="1580">
        <v>19</v>
      </c>
      <c r="V102" s="1580">
        <v>20</v>
      </c>
      <c r="W102" s="1578">
        <v>21</v>
      </c>
      <c r="X102" s="1578">
        <v>22</v>
      </c>
      <c r="Y102" s="1578">
        <v>23</v>
      </c>
      <c r="Z102" s="1578">
        <v>24</v>
      </c>
      <c r="AA102" s="1578">
        <v>25</v>
      </c>
      <c r="AB102" s="1580">
        <v>26</v>
      </c>
      <c r="AC102" s="1580">
        <v>27</v>
      </c>
      <c r="AD102" s="1578">
        <v>28</v>
      </c>
      <c r="AE102" s="1578">
        <v>29</v>
      </c>
      <c r="AF102" s="1578">
        <v>30</v>
      </c>
      <c r="AG102" s="1578">
        <v>31</v>
      </c>
    </row>
    <row r="103" spans="1:34" ht="18" customHeight="1">
      <c r="B103" s="1976" t="s">
        <v>175</v>
      </c>
      <c r="C103" s="2587">
        <v>25</v>
      </c>
      <c r="D103" s="2587">
        <v>25</v>
      </c>
      <c r="E103" s="2587">
        <v>25</v>
      </c>
      <c r="F103" s="2587">
        <v>25</v>
      </c>
      <c r="G103" s="2587"/>
      <c r="H103" s="2587">
        <v>26</v>
      </c>
      <c r="I103" s="2699">
        <v>26</v>
      </c>
      <c r="J103" s="2699">
        <v>26</v>
      </c>
      <c r="K103" s="2699">
        <v>26</v>
      </c>
      <c r="L103" s="2699">
        <v>26</v>
      </c>
      <c r="M103" s="2699">
        <v>26</v>
      </c>
      <c r="N103" s="585"/>
      <c r="O103" s="585"/>
      <c r="P103" s="585" t="s">
        <v>121</v>
      </c>
      <c r="Q103" s="585" t="s">
        <v>121</v>
      </c>
      <c r="R103" s="585" t="s">
        <v>121</v>
      </c>
      <c r="S103" s="585" t="s">
        <v>121</v>
      </c>
      <c r="T103" s="585" t="s">
        <v>121</v>
      </c>
      <c r="U103" s="2699" t="s">
        <v>120</v>
      </c>
      <c r="V103" s="2564" t="s">
        <v>120</v>
      </c>
      <c r="W103" s="2564" t="s">
        <v>46</v>
      </c>
      <c r="X103" s="2564" t="s">
        <v>46</v>
      </c>
      <c r="Y103" s="2564" t="s">
        <v>46</v>
      </c>
      <c r="Z103" s="2699" t="s">
        <v>46</v>
      </c>
      <c r="AA103" s="2699" t="s">
        <v>46</v>
      </c>
      <c r="AB103" s="2699"/>
      <c r="AC103" s="2699"/>
      <c r="AD103" s="2699">
        <v>25</v>
      </c>
      <c r="AE103" s="2699">
        <v>25</v>
      </c>
      <c r="AF103" s="2699">
        <v>25</v>
      </c>
      <c r="AG103" s="2699">
        <v>25</v>
      </c>
      <c r="AH103" t="s">
        <v>133</v>
      </c>
    </row>
    <row r="104" spans="1:34" ht="18" customHeight="1">
      <c r="B104" s="2664" t="s">
        <v>420</v>
      </c>
      <c r="C104" s="2738">
        <v>26</v>
      </c>
      <c r="D104" s="2738">
        <v>26</v>
      </c>
      <c r="E104" s="2738">
        <v>26</v>
      </c>
      <c r="F104" s="2738">
        <v>26</v>
      </c>
      <c r="G104" s="587"/>
      <c r="H104" s="587"/>
      <c r="I104" s="587" t="s">
        <v>121</v>
      </c>
      <c r="J104" s="587" t="s">
        <v>121</v>
      </c>
      <c r="K104" s="587" t="s">
        <v>121</v>
      </c>
      <c r="L104" s="587" t="s">
        <v>121</v>
      </c>
      <c r="M104" s="587" t="s">
        <v>121</v>
      </c>
      <c r="N104" s="2738" t="s">
        <v>120</v>
      </c>
      <c r="O104" s="2738" t="s">
        <v>120</v>
      </c>
      <c r="P104" s="2738" t="s">
        <v>46</v>
      </c>
      <c r="Q104" s="2738" t="s">
        <v>46</v>
      </c>
      <c r="R104" s="2587" t="s">
        <v>46</v>
      </c>
      <c r="S104" s="2587" t="s">
        <v>46</v>
      </c>
      <c r="T104" s="2587" t="s">
        <v>46</v>
      </c>
      <c r="U104" s="2587"/>
      <c r="V104" s="2587"/>
      <c r="W104" s="2587">
        <v>25</v>
      </c>
      <c r="X104" s="2587">
        <v>25</v>
      </c>
      <c r="Y104" s="2587">
        <v>25</v>
      </c>
      <c r="Z104" s="2587">
        <v>25</v>
      </c>
      <c r="AA104" s="2587">
        <v>25</v>
      </c>
      <c r="AB104" s="2587"/>
      <c r="AC104" s="2587">
        <v>26</v>
      </c>
      <c r="AD104" s="2587">
        <v>26</v>
      </c>
      <c r="AE104" s="2587">
        <v>26</v>
      </c>
      <c r="AF104" s="2587">
        <v>26</v>
      </c>
      <c r="AG104" s="2587">
        <v>26</v>
      </c>
      <c r="AH104" t="s">
        <v>133</v>
      </c>
    </row>
    <row r="105" spans="1:34" ht="18" customHeight="1">
      <c r="B105" s="2722" t="s">
        <v>177</v>
      </c>
      <c r="C105" s="2699" t="s">
        <v>121</v>
      </c>
      <c r="D105" s="2699" t="s">
        <v>121</v>
      </c>
      <c r="E105" s="2699" t="s">
        <v>121</v>
      </c>
      <c r="F105" s="2699" t="s">
        <v>121</v>
      </c>
      <c r="G105" s="2699" t="s">
        <v>120</v>
      </c>
      <c r="H105" s="2699" t="s">
        <v>120</v>
      </c>
      <c r="I105" s="2699" t="s">
        <v>46</v>
      </c>
      <c r="J105" s="2699" t="s">
        <v>46</v>
      </c>
      <c r="K105" s="2699" t="s">
        <v>46</v>
      </c>
      <c r="L105" s="2699" t="s">
        <v>46</v>
      </c>
      <c r="M105" s="2699" t="s">
        <v>46</v>
      </c>
      <c r="N105" s="2699"/>
      <c r="O105" s="2699"/>
      <c r="P105" s="2699">
        <v>25</v>
      </c>
      <c r="Q105" s="2699">
        <v>25</v>
      </c>
      <c r="R105" s="2699">
        <v>25</v>
      </c>
      <c r="S105" s="2699">
        <v>25</v>
      </c>
      <c r="T105" s="2699">
        <v>25</v>
      </c>
      <c r="U105" s="2699"/>
      <c r="V105" s="2699">
        <v>26</v>
      </c>
      <c r="W105" s="2699">
        <v>26</v>
      </c>
      <c r="X105" s="2699">
        <v>26</v>
      </c>
      <c r="Y105" s="2699">
        <v>26</v>
      </c>
      <c r="Z105" s="2699">
        <v>26</v>
      </c>
      <c r="AA105" s="2699">
        <v>26</v>
      </c>
      <c r="AB105" s="2699"/>
      <c r="AC105" s="2699"/>
      <c r="AD105" s="2699" t="s">
        <v>121</v>
      </c>
      <c r="AE105" s="2699" t="s">
        <v>121</v>
      </c>
      <c r="AF105" s="2699" t="s">
        <v>121</v>
      </c>
      <c r="AG105" s="2699" t="s">
        <v>121</v>
      </c>
    </row>
    <row r="106" spans="1:34" ht="18" customHeight="1">
      <c r="B106" s="2683" t="s">
        <v>146</v>
      </c>
      <c r="C106" s="2699" t="s">
        <v>46</v>
      </c>
      <c r="D106" s="2699" t="s">
        <v>46</v>
      </c>
      <c r="E106" s="2699" t="s">
        <v>46</v>
      </c>
      <c r="F106" s="2699" t="s">
        <v>46</v>
      </c>
      <c r="G106" s="2699"/>
      <c r="H106" s="2699"/>
      <c r="I106" s="2699">
        <v>25</v>
      </c>
      <c r="J106" s="2699">
        <v>25</v>
      </c>
      <c r="K106" s="2699">
        <v>25</v>
      </c>
      <c r="L106" s="2699">
        <v>25</v>
      </c>
      <c r="M106" s="2699">
        <v>25</v>
      </c>
      <c r="N106" s="2699"/>
      <c r="O106" s="2699">
        <v>26</v>
      </c>
      <c r="P106" s="2699">
        <v>26</v>
      </c>
      <c r="Q106" s="2699">
        <v>26</v>
      </c>
      <c r="R106" s="2699">
        <v>26</v>
      </c>
      <c r="S106" s="2699">
        <v>26</v>
      </c>
      <c r="T106" s="2699">
        <v>26</v>
      </c>
      <c r="U106" s="2699"/>
      <c r="V106" s="2699"/>
      <c r="W106" s="2699" t="s">
        <v>121</v>
      </c>
      <c r="X106" s="2699" t="s">
        <v>121</v>
      </c>
      <c r="Y106" s="2699" t="s">
        <v>121</v>
      </c>
      <c r="Z106" s="2699" t="s">
        <v>121</v>
      </c>
      <c r="AA106" s="2699" t="s">
        <v>121</v>
      </c>
      <c r="AB106" s="2699" t="s">
        <v>120</v>
      </c>
      <c r="AC106" s="2699" t="s">
        <v>120</v>
      </c>
      <c r="AD106" s="2699" t="s">
        <v>46</v>
      </c>
      <c r="AE106" s="2699" t="s">
        <v>46</v>
      </c>
      <c r="AF106" s="2699" t="s">
        <v>46</v>
      </c>
      <c r="AG106" s="2699" t="s">
        <v>46</v>
      </c>
    </row>
    <row r="107" spans="1:34" ht="18" customHeight="1">
      <c r="A107" s="114"/>
      <c r="B107" s="115"/>
      <c r="C107" s="126"/>
      <c r="D107" s="126"/>
      <c r="E107" s="126"/>
      <c r="F107" s="126"/>
      <c r="G107" s="126"/>
      <c r="H107" s="126"/>
      <c r="I107" s="126"/>
      <c r="J107" s="126"/>
      <c r="K107" s="126"/>
      <c r="L107" s="126"/>
      <c r="M107" s="126"/>
      <c r="N107" s="126"/>
      <c r="O107" s="126"/>
      <c r="P107" s="126"/>
      <c r="Q107" s="126"/>
      <c r="R107" s="126"/>
      <c r="S107" s="126"/>
      <c r="T107" s="126"/>
      <c r="U107" s="126"/>
      <c r="V107" s="126"/>
      <c r="W107" s="126"/>
      <c r="X107" s="126"/>
      <c r="Y107" s="126"/>
      <c r="Z107" s="126"/>
      <c r="AA107" s="126"/>
      <c r="AB107" s="126"/>
      <c r="AC107" s="126"/>
      <c r="AD107" s="126"/>
      <c r="AE107" s="126"/>
      <c r="AF107" s="126"/>
    </row>
    <row r="108" spans="1:34" ht="18" customHeight="1">
      <c r="A108" s="114"/>
      <c r="B108" s="115"/>
      <c r="C108" s="126"/>
      <c r="D108" s="126"/>
      <c r="E108" s="126"/>
      <c r="F108" s="126"/>
      <c r="G108" s="126"/>
      <c r="H108" s="126"/>
      <c r="I108" s="126"/>
      <c r="J108" s="126"/>
      <c r="K108" s="126"/>
      <c r="L108" s="126"/>
      <c r="M108" s="126"/>
      <c r="N108" s="126"/>
      <c r="O108" s="126"/>
      <c r="P108" s="126"/>
      <c r="Q108" s="126"/>
      <c r="R108" s="126"/>
      <c r="S108" s="126"/>
      <c r="T108" s="126"/>
      <c r="U108" s="126"/>
      <c r="V108" s="126"/>
      <c r="W108" s="126"/>
      <c r="X108" s="126"/>
      <c r="Y108" s="126"/>
      <c r="Z108" s="126"/>
      <c r="AA108" s="126"/>
      <c r="AB108" s="126"/>
      <c r="AC108" s="126"/>
      <c r="AD108" s="126"/>
      <c r="AE108" s="126"/>
      <c r="AF108" s="126"/>
    </row>
    <row r="109" spans="1:34" ht="18" customHeight="1">
      <c r="A109" s="133" t="s">
        <v>178</v>
      </c>
      <c r="B109" s="115"/>
      <c r="C109" s="159"/>
      <c r="D109" s="159"/>
      <c r="E109" s="159"/>
      <c r="F109" s="159"/>
      <c r="G109" s="159"/>
      <c r="H109" s="159"/>
      <c r="I109" s="159"/>
      <c r="J109" s="159"/>
      <c r="K109" s="159"/>
      <c r="L109" s="159"/>
      <c r="M109" s="159"/>
      <c r="N109" s="159"/>
      <c r="O109" s="159"/>
      <c r="P109" s="159"/>
      <c r="Q109" s="159"/>
      <c r="R109" s="159"/>
      <c r="S109" s="159"/>
      <c r="T109" s="159"/>
      <c r="U109" s="126"/>
      <c r="V109" s="126"/>
      <c r="W109" s="126"/>
      <c r="X109" s="126"/>
      <c r="Y109" s="126"/>
      <c r="Z109" s="126"/>
      <c r="AA109" s="126"/>
      <c r="AB109" s="126"/>
      <c r="AC109" s="126"/>
      <c r="AD109" s="126"/>
      <c r="AE109" s="126"/>
      <c r="AF109" s="126"/>
    </row>
    <row r="110" spans="1:34" ht="18" customHeight="1">
      <c r="A110" s="114"/>
      <c r="B110" s="160"/>
      <c r="C110" s="161"/>
      <c r="D110" s="161"/>
      <c r="E110" s="162" t="s">
        <v>179</v>
      </c>
      <c r="F110" s="161"/>
      <c r="G110" s="161"/>
      <c r="H110" s="161"/>
      <c r="I110" s="161"/>
      <c r="J110" s="161"/>
      <c r="K110" s="163" t="s">
        <v>15</v>
      </c>
      <c r="L110" s="164"/>
      <c r="M110" s="164"/>
      <c r="N110" s="164"/>
      <c r="O110" s="164"/>
      <c r="P110" s="164"/>
      <c r="Q110" s="164"/>
      <c r="R110" s="164"/>
      <c r="S110" s="164"/>
      <c r="T110" s="165"/>
      <c r="W110" s="101"/>
      <c r="X110" s="101"/>
      <c r="Y110" s="101"/>
      <c r="Z110" s="101"/>
      <c r="AA110" s="101"/>
      <c r="AB110" s="101"/>
      <c r="AC110" s="101"/>
      <c r="AD110" s="101"/>
      <c r="AE110" s="101"/>
      <c r="AF110" s="101"/>
    </row>
    <row r="111" spans="1:34" ht="18" customHeight="1">
      <c r="A111" s="114"/>
      <c r="B111" s="160" t="s">
        <v>180</v>
      </c>
      <c r="C111" s="161"/>
      <c r="D111" s="161"/>
      <c r="E111" s="166" t="s">
        <v>181</v>
      </c>
      <c r="F111" s="161"/>
      <c r="G111" s="161"/>
      <c r="H111" s="161"/>
      <c r="I111" s="161"/>
      <c r="J111" s="161"/>
      <c r="K111" s="169"/>
      <c r="L111" s="169"/>
      <c r="M111" s="169"/>
      <c r="N111" s="169"/>
      <c r="O111" s="169"/>
      <c r="P111" s="161"/>
      <c r="Q111" s="161"/>
      <c r="R111" s="101"/>
      <c r="S111" s="101"/>
      <c r="T111" s="101"/>
      <c r="W111" s="101"/>
      <c r="X111" s="101"/>
      <c r="Y111" s="101"/>
      <c r="Z111" s="101"/>
      <c r="AA111" s="101"/>
      <c r="AB111" s="101"/>
      <c r="AC111" s="101"/>
      <c r="AD111" s="101"/>
      <c r="AE111" s="101"/>
      <c r="AF111" s="101"/>
    </row>
    <row r="113" spans="1:34" ht="18" customHeight="1">
      <c r="A113" s="114"/>
      <c r="B113" s="2739" t="s">
        <v>421</v>
      </c>
      <c r="C113" s="1578">
        <v>1</v>
      </c>
      <c r="D113" s="1578">
        <v>2</v>
      </c>
      <c r="E113" s="1578">
        <v>3</v>
      </c>
      <c r="F113" s="1578">
        <v>4</v>
      </c>
      <c r="G113" s="1580">
        <v>5</v>
      </c>
      <c r="H113" s="1580">
        <v>6</v>
      </c>
      <c r="I113" s="1578">
        <v>7</v>
      </c>
      <c r="J113" s="1578">
        <v>8</v>
      </c>
      <c r="K113" s="1578">
        <v>9</v>
      </c>
      <c r="L113" s="1578">
        <v>10</v>
      </c>
      <c r="M113" s="1578">
        <v>11</v>
      </c>
      <c r="N113" s="1580">
        <v>12</v>
      </c>
      <c r="O113" s="1580">
        <v>13</v>
      </c>
      <c r="P113" s="1578">
        <v>14</v>
      </c>
      <c r="Q113" s="1578">
        <v>15</v>
      </c>
      <c r="R113" s="1578">
        <v>16</v>
      </c>
      <c r="S113" s="1578">
        <v>17</v>
      </c>
      <c r="T113" s="1578">
        <v>18</v>
      </c>
      <c r="U113" s="1580">
        <v>19</v>
      </c>
      <c r="V113" s="1580">
        <v>20</v>
      </c>
      <c r="W113" s="1578">
        <v>21</v>
      </c>
      <c r="X113" s="1578">
        <v>22</v>
      </c>
      <c r="Y113" s="1578">
        <v>23</v>
      </c>
      <c r="Z113" s="1578">
        <v>24</v>
      </c>
      <c r="AA113" s="1578">
        <v>25</v>
      </c>
      <c r="AB113" s="1580">
        <v>26</v>
      </c>
      <c r="AC113" s="1580">
        <v>27</v>
      </c>
      <c r="AD113" s="1578">
        <v>28</v>
      </c>
      <c r="AE113" s="1578">
        <v>29</v>
      </c>
      <c r="AF113" s="1578">
        <v>30</v>
      </c>
      <c r="AG113" s="1578">
        <v>31</v>
      </c>
    </row>
    <row r="114" spans="1:34" ht="18" customHeight="1">
      <c r="B114" s="1981" t="s">
        <v>184</v>
      </c>
      <c r="C114" s="2740" t="s">
        <v>118</v>
      </c>
      <c r="D114" s="2740" t="s">
        <v>46</v>
      </c>
      <c r="E114" s="2740" t="s">
        <v>46</v>
      </c>
      <c r="F114" s="2740" t="s">
        <v>46</v>
      </c>
      <c r="G114" s="2740" t="s">
        <v>46</v>
      </c>
      <c r="H114" s="2740" t="s">
        <v>46</v>
      </c>
      <c r="I114" s="2740" t="s">
        <v>46</v>
      </c>
      <c r="J114" s="2740" t="s">
        <v>46</v>
      </c>
      <c r="K114" s="2740" t="s">
        <v>46</v>
      </c>
      <c r="L114" s="2740" t="s">
        <v>46</v>
      </c>
      <c r="M114" s="2740" t="s">
        <v>46</v>
      </c>
      <c r="N114" s="2740" t="s">
        <v>46</v>
      </c>
      <c r="O114" s="2740" t="s">
        <v>46</v>
      </c>
      <c r="P114" s="2740" t="s">
        <v>118</v>
      </c>
      <c r="Q114" s="2740" t="s">
        <v>118</v>
      </c>
      <c r="R114" s="2740" t="s">
        <v>118</v>
      </c>
      <c r="S114" s="2740" t="s">
        <v>118</v>
      </c>
      <c r="T114" s="2740" t="s">
        <v>118</v>
      </c>
      <c r="U114" s="2740" t="s">
        <v>118</v>
      </c>
      <c r="V114" s="2740" t="s">
        <v>46</v>
      </c>
      <c r="W114" s="2740" t="s">
        <v>46</v>
      </c>
      <c r="X114" s="2740" t="s">
        <v>46</v>
      </c>
      <c r="Y114" s="2740" t="s">
        <v>46</v>
      </c>
      <c r="Z114" s="2740" t="s">
        <v>46</v>
      </c>
      <c r="AA114" s="2740" t="s">
        <v>46</v>
      </c>
      <c r="AB114" s="2740" t="s">
        <v>118</v>
      </c>
      <c r="AC114" s="2740" t="s">
        <v>118</v>
      </c>
      <c r="AD114" s="2740" t="s">
        <v>118</v>
      </c>
      <c r="AE114" s="2740" t="s">
        <v>118</v>
      </c>
      <c r="AF114" s="2740" t="s">
        <v>118</v>
      </c>
      <c r="AG114" s="2740" t="s">
        <v>118</v>
      </c>
    </row>
    <row r="115" spans="1:34" ht="18" customHeight="1">
      <c r="B115" s="2741" t="s">
        <v>185</v>
      </c>
      <c r="C115" s="2742" t="s">
        <v>46</v>
      </c>
      <c r="D115" s="2742" t="s">
        <v>118</v>
      </c>
      <c r="E115" s="2742" t="s">
        <v>118</v>
      </c>
      <c r="F115" s="2684" t="s">
        <v>118</v>
      </c>
      <c r="G115" s="2684" t="s">
        <v>118</v>
      </c>
      <c r="H115" s="2684" t="s">
        <v>118</v>
      </c>
      <c r="I115" s="2392" t="s">
        <v>118</v>
      </c>
      <c r="J115" s="2392" t="s">
        <v>46</v>
      </c>
      <c r="K115" s="2392" t="s">
        <v>46</v>
      </c>
      <c r="L115" s="2392" t="s">
        <v>46</v>
      </c>
      <c r="M115" s="2392" t="s">
        <v>46</v>
      </c>
      <c r="N115" s="2392" t="s">
        <v>46</v>
      </c>
      <c r="O115" s="2392" t="s">
        <v>46</v>
      </c>
      <c r="P115" s="2392" t="s">
        <v>46</v>
      </c>
      <c r="Q115" s="2392" t="s">
        <v>46</v>
      </c>
      <c r="R115" s="2392" t="s">
        <v>46</v>
      </c>
      <c r="S115" s="2392" t="s">
        <v>46</v>
      </c>
      <c r="T115" s="2392" t="s">
        <v>46</v>
      </c>
      <c r="U115" s="2392" t="s">
        <v>46</v>
      </c>
      <c r="V115" s="2392" t="s">
        <v>118</v>
      </c>
      <c r="W115" s="2392" t="s">
        <v>118</v>
      </c>
      <c r="X115" s="2392" t="s">
        <v>118</v>
      </c>
      <c r="Y115" s="2392" t="s">
        <v>118</v>
      </c>
      <c r="Z115" s="2392" t="s">
        <v>118</v>
      </c>
      <c r="AA115" s="2392" t="s">
        <v>118</v>
      </c>
      <c r="AB115" s="2392" t="s">
        <v>46</v>
      </c>
      <c r="AC115" s="2392" t="s">
        <v>46</v>
      </c>
      <c r="AD115" s="2742" t="s">
        <v>46</v>
      </c>
      <c r="AE115" s="2743" t="s">
        <v>46</v>
      </c>
      <c r="AF115" s="2742" t="s">
        <v>46</v>
      </c>
      <c r="AG115" s="2744" t="s">
        <v>46</v>
      </c>
      <c r="AH115" s="120" t="s">
        <v>133</v>
      </c>
    </row>
    <row r="116" spans="1:34" ht="18" customHeight="1">
      <c r="B116" s="2390" t="s">
        <v>385</v>
      </c>
      <c r="C116" s="2587" t="s">
        <v>118</v>
      </c>
      <c r="D116" s="2587" t="s">
        <v>46</v>
      </c>
      <c r="E116" s="2587" t="s">
        <v>46</v>
      </c>
      <c r="F116" s="2587" t="s">
        <v>46</v>
      </c>
      <c r="G116" s="2587" t="s">
        <v>46</v>
      </c>
      <c r="H116" s="2587" t="s">
        <v>46</v>
      </c>
      <c r="I116" s="1457" t="s">
        <v>46</v>
      </c>
      <c r="J116" s="1457" t="s">
        <v>46</v>
      </c>
      <c r="K116" s="1457" t="s">
        <v>46</v>
      </c>
      <c r="L116" s="1457" t="s">
        <v>46</v>
      </c>
      <c r="M116" s="1457" t="s">
        <v>46</v>
      </c>
      <c r="N116" s="1457" t="s">
        <v>46</v>
      </c>
      <c r="O116" s="1457" t="s">
        <v>46</v>
      </c>
      <c r="P116" s="2352" t="s">
        <v>118</v>
      </c>
      <c r="Q116" s="2352" t="s">
        <v>118</v>
      </c>
      <c r="R116" s="2745" t="s">
        <v>118</v>
      </c>
      <c r="S116" s="2746" t="s">
        <v>118</v>
      </c>
      <c r="T116" s="2747" t="s">
        <v>422</v>
      </c>
      <c r="U116" s="2747" t="s">
        <v>118</v>
      </c>
      <c r="V116" s="2748" t="s">
        <v>46</v>
      </c>
      <c r="W116" s="2352" t="s">
        <v>46</v>
      </c>
      <c r="X116" s="2352" t="s">
        <v>46</v>
      </c>
      <c r="Y116" s="2352" t="s">
        <v>46</v>
      </c>
      <c r="Z116" s="2352" t="s">
        <v>46</v>
      </c>
      <c r="AA116" s="2352" t="s">
        <v>46</v>
      </c>
      <c r="AB116" s="2352" t="s">
        <v>118</v>
      </c>
      <c r="AC116" s="2352" t="s">
        <v>118</v>
      </c>
      <c r="AD116" s="2352" t="s">
        <v>118</v>
      </c>
      <c r="AE116" s="2352" t="s">
        <v>118</v>
      </c>
      <c r="AF116" s="2352" t="s">
        <v>118</v>
      </c>
      <c r="AG116" s="2749" t="s">
        <v>118</v>
      </c>
      <c r="AH116" s="179" t="s">
        <v>133</v>
      </c>
    </row>
    <row r="117" spans="1:34" ht="18" customHeight="1">
      <c r="A117" s="3" t="s">
        <v>188</v>
      </c>
    </row>
    <row r="118" spans="1:34" ht="18" customHeight="1">
      <c r="B118" s="134"/>
      <c r="C118" s="135"/>
      <c r="D118" s="135"/>
      <c r="E118" s="138" t="s">
        <v>179</v>
      </c>
      <c r="F118" s="135"/>
      <c r="G118" s="135"/>
      <c r="H118" s="135"/>
      <c r="I118" s="135"/>
      <c r="J118" s="135"/>
      <c r="K118" s="141" t="s">
        <v>15</v>
      </c>
      <c r="L118" s="139"/>
      <c r="M118" s="139"/>
      <c r="N118" s="139"/>
      <c r="O118" s="139"/>
      <c r="P118" s="139"/>
      <c r="Q118" s="139"/>
      <c r="R118" s="139"/>
      <c r="S118" s="139"/>
      <c r="T118" s="140"/>
    </row>
    <row r="119" spans="1:34" ht="18" customHeight="1">
      <c r="B119" s="134"/>
      <c r="C119" s="135"/>
      <c r="D119" s="135"/>
      <c r="E119" s="138"/>
      <c r="F119" s="135"/>
      <c r="G119" s="135"/>
      <c r="H119" s="135"/>
      <c r="I119" s="135"/>
      <c r="J119" s="135"/>
      <c r="K119" s="141"/>
      <c r="L119" s="139"/>
      <c r="M119" s="139"/>
      <c r="N119" s="139"/>
      <c r="O119" s="139"/>
      <c r="P119" s="139"/>
      <c r="Q119" s="139"/>
      <c r="R119" s="158"/>
      <c r="S119" s="158"/>
      <c r="T119" s="158"/>
    </row>
    <row r="120" spans="1:34" ht="18" customHeight="1">
      <c r="B120" s="134" t="s">
        <v>180</v>
      </c>
      <c r="C120" s="135"/>
      <c r="D120" s="135"/>
      <c r="E120" s="136" t="s">
        <v>389</v>
      </c>
      <c r="F120" s="135"/>
      <c r="G120" s="135"/>
      <c r="H120" s="135"/>
      <c r="I120" s="135"/>
      <c r="J120" s="135"/>
      <c r="K120" s="135"/>
      <c r="L120" s="135"/>
      <c r="M120" s="135"/>
      <c r="N120" s="135"/>
      <c r="O120" s="135"/>
      <c r="P120" s="135"/>
      <c r="Q120" s="135"/>
      <c r="R120" s="147"/>
      <c r="S120" s="147"/>
      <c r="T120" s="147"/>
    </row>
    <row r="121" spans="1:34" ht="18" customHeight="1">
      <c r="T121" s="101"/>
      <c r="U121" s="101"/>
      <c r="V121" s="101"/>
    </row>
    <row r="122" spans="1:34" ht="18" customHeight="1">
      <c r="B122" s="1469" t="s">
        <v>423</v>
      </c>
      <c r="C122" s="1578">
        <v>1</v>
      </c>
      <c r="D122" s="1578">
        <v>2</v>
      </c>
      <c r="E122" s="1578">
        <v>3</v>
      </c>
      <c r="F122" s="1578">
        <v>4</v>
      </c>
      <c r="G122" s="1580">
        <v>5</v>
      </c>
      <c r="H122" s="1580">
        <v>6</v>
      </c>
      <c r="I122" s="1578">
        <v>7</v>
      </c>
      <c r="J122" s="1578">
        <v>8</v>
      </c>
      <c r="K122" s="1578">
        <v>9</v>
      </c>
      <c r="L122" s="1578">
        <v>10</v>
      </c>
      <c r="M122" s="1578">
        <v>11</v>
      </c>
      <c r="N122" s="1580">
        <v>12</v>
      </c>
      <c r="O122" s="1580">
        <v>13</v>
      </c>
      <c r="P122" s="1578">
        <v>14</v>
      </c>
      <c r="Q122" s="1578">
        <v>15</v>
      </c>
      <c r="R122" s="1578">
        <v>16</v>
      </c>
      <c r="S122" s="1578">
        <v>17</v>
      </c>
      <c r="T122" s="1578">
        <v>18</v>
      </c>
      <c r="U122" s="1580">
        <v>19</v>
      </c>
      <c r="V122" s="1580">
        <v>20</v>
      </c>
      <c r="W122" s="1578">
        <v>21</v>
      </c>
      <c r="X122" s="1578">
        <v>22</v>
      </c>
      <c r="Y122" s="1578">
        <v>23</v>
      </c>
      <c r="Z122" s="1578">
        <v>24</v>
      </c>
      <c r="AA122" s="1578">
        <v>25</v>
      </c>
      <c r="AB122" s="1580">
        <v>26</v>
      </c>
      <c r="AC122" s="1580">
        <v>27</v>
      </c>
      <c r="AD122" s="1578">
        <v>28</v>
      </c>
      <c r="AE122" s="1578">
        <v>29</v>
      </c>
      <c r="AF122" s="1578">
        <v>30</v>
      </c>
      <c r="AG122" s="1578">
        <v>31</v>
      </c>
    </row>
    <row r="123" spans="1:34" ht="18" customHeight="1">
      <c r="B123" s="2750" t="s">
        <v>190</v>
      </c>
      <c r="C123" s="2630" t="s">
        <v>46</v>
      </c>
      <c r="D123" s="2630" t="s">
        <v>46</v>
      </c>
      <c r="E123" s="2631" t="s">
        <v>61</v>
      </c>
      <c r="F123" s="2631" t="s">
        <v>61</v>
      </c>
      <c r="G123" s="2631" t="s">
        <v>61</v>
      </c>
      <c r="H123" s="2631" t="s">
        <v>61</v>
      </c>
      <c r="I123" s="2631" t="s">
        <v>61</v>
      </c>
      <c r="J123" s="2751" t="s">
        <v>61</v>
      </c>
      <c r="K123" s="2630" t="s">
        <v>46</v>
      </c>
      <c r="L123" s="2630" t="s">
        <v>46</v>
      </c>
      <c r="M123" s="2630" t="s">
        <v>46</v>
      </c>
      <c r="N123" s="2630" t="s">
        <v>46</v>
      </c>
      <c r="O123" s="2630" t="s">
        <v>46</v>
      </c>
      <c r="P123" s="2630" t="s">
        <v>46</v>
      </c>
      <c r="Q123" s="2630" t="s">
        <v>46</v>
      </c>
      <c r="R123" s="2630" t="s">
        <v>46</v>
      </c>
      <c r="S123" s="2630" t="s">
        <v>46</v>
      </c>
      <c r="T123" s="2630" t="s">
        <v>46</v>
      </c>
      <c r="U123" s="2630" t="s">
        <v>46</v>
      </c>
      <c r="V123" s="2630" t="s">
        <v>46</v>
      </c>
      <c r="W123" s="2631" t="s">
        <v>61</v>
      </c>
      <c r="X123" s="2631" t="s">
        <v>61</v>
      </c>
      <c r="Y123" s="2631" t="s">
        <v>61</v>
      </c>
      <c r="Z123" s="2631" t="s">
        <v>61</v>
      </c>
      <c r="AA123" s="2631" t="s">
        <v>61</v>
      </c>
      <c r="AB123" s="480" t="s">
        <v>61</v>
      </c>
      <c r="AC123" s="2713" t="s">
        <v>46</v>
      </c>
      <c r="AD123" s="2713" t="s">
        <v>46</v>
      </c>
      <c r="AE123" s="2713" t="s">
        <v>46</v>
      </c>
      <c r="AF123" s="2713" t="s">
        <v>46</v>
      </c>
      <c r="AG123" s="2713" t="s">
        <v>46</v>
      </c>
    </row>
    <row r="124" spans="1:34" ht="18" customHeight="1">
      <c r="B124" s="2750" t="s">
        <v>191</v>
      </c>
      <c r="C124" s="2631" t="s">
        <v>61</v>
      </c>
      <c r="D124" s="2631" t="s">
        <v>61</v>
      </c>
      <c r="E124" s="2630" t="s">
        <v>46</v>
      </c>
      <c r="F124" s="2630" t="s">
        <v>46</v>
      </c>
      <c r="G124" s="2630" t="s">
        <v>46</v>
      </c>
      <c r="H124" s="2630" t="s">
        <v>46</v>
      </c>
      <c r="I124" s="2630" t="s">
        <v>46</v>
      </c>
      <c r="J124" s="2630" t="s">
        <v>46</v>
      </c>
      <c r="K124" s="2631" t="s">
        <v>61</v>
      </c>
      <c r="L124" s="2631" t="s">
        <v>61</v>
      </c>
      <c r="M124" s="2631" t="s">
        <v>61</v>
      </c>
      <c r="N124" s="2631" t="s">
        <v>61</v>
      </c>
      <c r="O124" s="2631" t="s">
        <v>61</v>
      </c>
      <c r="P124" s="2631" t="s">
        <v>61</v>
      </c>
      <c r="Q124" s="2630" t="s">
        <v>46</v>
      </c>
      <c r="R124" s="2630" t="s">
        <v>46</v>
      </c>
      <c r="S124" s="2630" t="s">
        <v>46</v>
      </c>
      <c r="T124" s="2630" t="s">
        <v>46</v>
      </c>
      <c r="U124" s="2630" t="s">
        <v>46</v>
      </c>
      <c r="V124" s="2630" t="s">
        <v>46</v>
      </c>
      <c r="W124" s="2630" t="s">
        <v>46</v>
      </c>
      <c r="X124" s="2630" t="s">
        <v>46</v>
      </c>
      <c r="Y124" s="2630" t="s">
        <v>46</v>
      </c>
      <c r="Z124" s="2630" t="s">
        <v>46</v>
      </c>
      <c r="AA124" s="2630" t="s">
        <v>46</v>
      </c>
      <c r="AB124" s="2630" t="s">
        <v>46</v>
      </c>
      <c r="AC124" s="480" t="s">
        <v>61</v>
      </c>
      <c r="AD124" s="480" t="s">
        <v>61</v>
      </c>
      <c r="AE124" s="480" t="s">
        <v>61</v>
      </c>
      <c r="AF124" s="480" t="s">
        <v>61</v>
      </c>
      <c r="AG124" s="480" t="s">
        <v>61</v>
      </c>
    </row>
    <row r="125" spans="1:34" ht="18" customHeight="1">
      <c r="B125" s="1455" t="s">
        <v>0</v>
      </c>
      <c r="C125" s="1456" t="s">
        <v>0</v>
      </c>
      <c r="D125" s="1456" t="s">
        <v>0</v>
      </c>
      <c r="E125" s="1456" t="s">
        <v>0</v>
      </c>
      <c r="F125" s="1456" t="s">
        <v>0</v>
      </c>
      <c r="G125" s="1456"/>
      <c r="H125" s="1456"/>
      <c r="I125" s="1456" t="s">
        <v>0</v>
      </c>
      <c r="J125" s="1456" t="s">
        <v>0</v>
      </c>
      <c r="K125" s="1456" t="s">
        <v>0</v>
      </c>
      <c r="L125" s="1456" t="s">
        <v>0</v>
      </c>
      <c r="M125" s="1456" t="s">
        <v>0</v>
      </c>
      <c r="N125" s="1456" t="s">
        <v>0</v>
      </c>
      <c r="O125" s="1456" t="s">
        <v>0</v>
      </c>
      <c r="P125" s="1456" t="s">
        <v>0</v>
      </c>
      <c r="Q125" s="1456" t="s">
        <v>0</v>
      </c>
      <c r="R125" s="1456" t="s">
        <v>0</v>
      </c>
      <c r="S125" s="1456" t="s">
        <v>0</v>
      </c>
      <c r="T125" s="1456" t="s">
        <v>0</v>
      </c>
      <c r="U125" s="1456" t="s">
        <v>0</v>
      </c>
      <c r="V125" s="1456" t="s">
        <v>0</v>
      </c>
      <c r="W125" s="1456" t="s">
        <v>0</v>
      </c>
      <c r="X125" s="1456" t="s">
        <v>0</v>
      </c>
      <c r="Y125" s="1456" t="s">
        <v>0</v>
      </c>
      <c r="Z125" s="1456" t="s">
        <v>0</v>
      </c>
      <c r="AA125" s="1456" t="s">
        <v>0</v>
      </c>
      <c r="AB125" s="1456"/>
      <c r="AC125" s="1456"/>
      <c r="AD125" s="1456" t="s">
        <v>0</v>
      </c>
      <c r="AE125" s="1456" t="s">
        <v>0</v>
      </c>
      <c r="AF125" s="1456" t="s">
        <v>0</v>
      </c>
    </row>
    <row r="126" spans="1:34" ht="18" customHeight="1">
      <c r="A126" s="3" t="s">
        <v>192</v>
      </c>
    </row>
    <row r="127" spans="1:34" ht="18" customHeight="1">
      <c r="B127" s="134"/>
      <c r="C127" s="135"/>
      <c r="D127" s="135"/>
      <c r="E127" s="138" t="s">
        <v>179</v>
      </c>
      <c r="F127" s="135"/>
      <c r="G127" s="135"/>
      <c r="H127" s="135"/>
      <c r="I127" s="135"/>
      <c r="J127" s="135"/>
      <c r="K127" s="141" t="s">
        <v>15</v>
      </c>
      <c r="L127" s="139"/>
      <c r="M127" s="139"/>
      <c r="N127" s="139"/>
      <c r="O127" s="139"/>
      <c r="P127" s="139"/>
      <c r="Q127" s="139"/>
      <c r="R127" s="139"/>
      <c r="S127" s="139"/>
      <c r="T127" s="140"/>
    </row>
    <row r="128" spans="1:34" ht="18" customHeight="1">
      <c r="B128" s="134" t="s">
        <v>180</v>
      </c>
      <c r="C128" s="135"/>
      <c r="D128" s="135"/>
      <c r="E128" s="136" t="s">
        <v>389</v>
      </c>
      <c r="F128" s="135"/>
      <c r="G128" s="135"/>
      <c r="H128" s="135"/>
      <c r="I128" s="135"/>
      <c r="J128" s="135"/>
      <c r="K128" s="135" t="s">
        <v>0</v>
      </c>
      <c r="L128" s="135"/>
      <c r="M128" s="135"/>
      <c r="N128" s="135"/>
      <c r="O128" s="135"/>
      <c r="P128" s="135"/>
      <c r="Q128" s="135"/>
      <c r="R128" s="147"/>
      <c r="S128" s="147"/>
      <c r="T128" s="147"/>
    </row>
    <row r="130" spans="1:36" ht="18" customHeight="1">
      <c r="B130" s="1469" t="s">
        <v>424</v>
      </c>
      <c r="C130" s="1578">
        <v>1</v>
      </c>
      <c r="D130" s="1578">
        <v>2</v>
      </c>
      <c r="E130" s="1578">
        <v>3</v>
      </c>
      <c r="F130" s="1578">
        <v>4</v>
      </c>
      <c r="G130" s="1580">
        <v>5</v>
      </c>
      <c r="H130" s="1580">
        <v>6</v>
      </c>
      <c r="I130" s="1578">
        <v>7</v>
      </c>
      <c r="J130" s="1578">
        <v>8</v>
      </c>
      <c r="K130" s="1578">
        <v>9</v>
      </c>
      <c r="L130" s="1578">
        <v>10</v>
      </c>
      <c r="M130" s="1578">
        <v>11</v>
      </c>
      <c r="N130" s="1580">
        <v>12</v>
      </c>
      <c r="O130" s="1580">
        <v>13</v>
      </c>
      <c r="P130" s="1578">
        <v>14</v>
      </c>
      <c r="Q130" s="1578">
        <v>15</v>
      </c>
      <c r="R130" s="1578">
        <v>16</v>
      </c>
      <c r="S130" s="1578">
        <v>17</v>
      </c>
      <c r="T130" s="1578">
        <v>18</v>
      </c>
      <c r="U130" s="1580">
        <v>19</v>
      </c>
      <c r="V130" s="1580">
        <v>20</v>
      </c>
      <c r="W130" s="1578">
        <v>21</v>
      </c>
      <c r="X130" s="1578">
        <v>22</v>
      </c>
      <c r="Y130" s="1578">
        <v>23</v>
      </c>
      <c r="Z130" s="1578">
        <v>24</v>
      </c>
      <c r="AA130" s="1578">
        <v>25</v>
      </c>
      <c r="AB130" s="1580">
        <v>26</v>
      </c>
      <c r="AC130" s="1580">
        <v>27</v>
      </c>
      <c r="AD130" s="1578">
        <v>28</v>
      </c>
      <c r="AE130" s="1578">
        <v>29</v>
      </c>
      <c r="AF130" s="1578">
        <v>30</v>
      </c>
      <c r="AG130" s="1578">
        <v>31</v>
      </c>
    </row>
    <row r="131" spans="1:36" ht="18" customHeight="1">
      <c r="B131" s="1997" t="s">
        <v>194</v>
      </c>
      <c r="C131" s="2000" t="s">
        <v>139</v>
      </c>
      <c r="D131" s="2000" t="s">
        <v>139</v>
      </c>
      <c r="E131" s="2000" t="s">
        <v>139</v>
      </c>
      <c r="F131" s="1998" t="s">
        <v>46</v>
      </c>
      <c r="G131" s="1998" t="s">
        <v>46</v>
      </c>
      <c r="H131" s="1998" t="s">
        <v>46</v>
      </c>
      <c r="I131" s="1998" t="s">
        <v>46</v>
      </c>
      <c r="J131" s="1998" t="s">
        <v>46</v>
      </c>
      <c r="K131" s="1998" t="s">
        <v>46</v>
      </c>
      <c r="L131" s="2630" t="s">
        <v>139</v>
      </c>
      <c r="M131" s="2630" t="s">
        <v>139</v>
      </c>
      <c r="N131" s="2630" t="s">
        <v>139</v>
      </c>
      <c r="O131" s="2630" t="s">
        <v>139</v>
      </c>
      <c r="P131" s="2000" t="s">
        <v>139</v>
      </c>
      <c r="Q131" s="2000" t="s">
        <v>139</v>
      </c>
      <c r="R131" s="2631" t="s">
        <v>46</v>
      </c>
      <c r="S131" s="2631" t="s">
        <v>46</v>
      </c>
      <c r="T131" s="2631" t="s">
        <v>46</v>
      </c>
      <c r="U131" s="2631" t="s">
        <v>46</v>
      </c>
      <c r="V131" s="2631" t="s">
        <v>46</v>
      </c>
      <c r="W131" s="1998" t="s">
        <v>46</v>
      </c>
      <c r="X131" s="1998" t="s">
        <v>46</v>
      </c>
      <c r="Y131" s="1998" t="s">
        <v>46</v>
      </c>
      <c r="Z131" s="1998" t="s">
        <v>46</v>
      </c>
      <c r="AA131" s="1998" t="s">
        <v>46</v>
      </c>
      <c r="AB131" s="1998" t="s">
        <v>46</v>
      </c>
      <c r="AC131" s="1998" t="s">
        <v>46</v>
      </c>
      <c r="AD131" s="2752" t="s">
        <v>139</v>
      </c>
      <c r="AE131" s="2752" t="s">
        <v>139</v>
      </c>
      <c r="AF131" s="2752" t="s">
        <v>139</v>
      </c>
      <c r="AG131" s="2753" t="s">
        <v>139</v>
      </c>
      <c r="AH131" s="193" t="s">
        <v>133</v>
      </c>
    </row>
    <row r="132" spans="1:36" ht="18" customHeight="1">
      <c r="B132" s="2573" t="s">
        <v>195</v>
      </c>
      <c r="C132" s="2631" t="s">
        <v>46</v>
      </c>
      <c r="D132" s="2631" t="s">
        <v>46</v>
      </c>
      <c r="E132" s="2631" t="s">
        <v>46</v>
      </c>
      <c r="F132" s="2630" t="s">
        <v>139</v>
      </c>
      <c r="G132" s="2630" t="s">
        <v>139</v>
      </c>
      <c r="H132" s="2630" t="s">
        <v>139</v>
      </c>
      <c r="I132" s="2630" t="s">
        <v>139</v>
      </c>
      <c r="J132" s="2630" t="s">
        <v>139</v>
      </c>
      <c r="K132" s="2751" t="s">
        <v>139</v>
      </c>
      <c r="L132" s="2631" t="s">
        <v>46</v>
      </c>
      <c r="M132" s="2631" t="s">
        <v>46</v>
      </c>
      <c r="N132" s="2631" t="s">
        <v>46</v>
      </c>
      <c r="O132" s="2631" t="s">
        <v>46</v>
      </c>
      <c r="P132" s="2631" t="s">
        <v>46</v>
      </c>
      <c r="Q132" s="2631" t="s">
        <v>46</v>
      </c>
      <c r="R132" s="2630" t="s">
        <v>139</v>
      </c>
      <c r="S132" s="2630" t="s">
        <v>139</v>
      </c>
      <c r="T132" s="2630" t="s">
        <v>139</v>
      </c>
      <c r="U132" s="2630" t="s">
        <v>139</v>
      </c>
      <c r="V132" s="2630" t="s">
        <v>139</v>
      </c>
      <c r="W132" s="2630" t="s">
        <v>139</v>
      </c>
      <c r="X132" s="2631" t="s">
        <v>46</v>
      </c>
      <c r="Y132" s="2631" t="s">
        <v>46</v>
      </c>
      <c r="Z132" s="2631" t="s">
        <v>46</v>
      </c>
      <c r="AA132" s="2631" t="s">
        <v>46</v>
      </c>
      <c r="AB132" s="2631" t="s">
        <v>46</v>
      </c>
      <c r="AC132" s="2631" t="s">
        <v>46</v>
      </c>
      <c r="AD132" s="2631" t="s">
        <v>46</v>
      </c>
      <c r="AE132" s="2631" t="s">
        <v>46</v>
      </c>
      <c r="AF132" s="2631" t="s">
        <v>46</v>
      </c>
      <c r="AG132" s="2631" t="s">
        <v>46</v>
      </c>
    </row>
    <row r="133" spans="1:36" ht="18" customHeight="1">
      <c r="B133" s="115"/>
      <c r="C133" s="116"/>
      <c r="D133" s="116"/>
      <c r="E133" s="116"/>
      <c r="F133" s="116"/>
      <c r="G133" s="116"/>
      <c r="H133" s="116"/>
      <c r="I133" s="116"/>
      <c r="J133" s="116"/>
      <c r="K133" s="116"/>
      <c r="L133" s="116"/>
      <c r="M133" s="116"/>
      <c r="N133" s="116"/>
      <c r="O133" s="116"/>
      <c r="P133" s="116"/>
      <c r="Q133" s="116"/>
      <c r="R133" s="116"/>
      <c r="S133" s="116"/>
      <c r="T133" s="116"/>
      <c r="U133" s="116"/>
      <c r="V133" s="116"/>
      <c r="W133" s="116"/>
      <c r="X133" s="116"/>
      <c r="Y133" s="116"/>
      <c r="Z133" s="116"/>
      <c r="AA133" s="116"/>
      <c r="AB133" s="116"/>
      <c r="AC133" s="116"/>
      <c r="AD133" s="116"/>
      <c r="AE133" s="116"/>
      <c r="AF133" s="116"/>
    </row>
    <row r="134" spans="1:36" ht="18" customHeight="1">
      <c r="A134" s="3" t="s">
        <v>196</v>
      </c>
      <c r="AH134" s="2754" t="s">
        <v>425</v>
      </c>
      <c r="AI134" s="1457"/>
      <c r="AJ134" s="1457"/>
    </row>
    <row r="135" spans="1:36" ht="18" customHeight="1">
      <c r="B135" s="134"/>
      <c r="C135" s="135"/>
      <c r="D135" s="135"/>
      <c r="E135" s="138" t="s">
        <v>179</v>
      </c>
      <c r="F135" s="135"/>
      <c r="G135" s="135"/>
      <c r="H135" s="135"/>
      <c r="I135" s="135"/>
      <c r="J135" s="135"/>
      <c r="K135" s="141" t="s">
        <v>15</v>
      </c>
      <c r="L135" s="139"/>
      <c r="M135" s="139"/>
      <c r="N135" s="139"/>
      <c r="O135" s="139"/>
      <c r="P135" s="139"/>
      <c r="Q135" s="139"/>
      <c r="R135" s="139"/>
      <c r="S135" s="139"/>
      <c r="T135" s="140"/>
      <c r="AE135" s="224"/>
      <c r="AF135" s="224"/>
      <c r="AG135" s="224"/>
      <c r="AH135" s="288" t="s">
        <v>426</v>
      </c>
      <c r="AI135" s="289" t="s">
        <v>427</v>
      </c>
      <c r="AJ135" s="289" t="s">
        <v>428</v>
      </c>
    </row>
    <row r="136" spans="1:36" ht="18" customHeight="1">
      <c r="B136" s="134" t="s">
        <v>180</v>
      </c>
      <c r="C136" s="135"/>
      <c r="D136" s="135"/>
      <c r="E136" s="136" t="s">
        <v>389</v>
      </c>
      <c r="F136" s="135"/>
      <c r="G136" s="135"/>
      <c r="H136" s="135"/>
      <c r="I136" s="135"/>
      <c r="J136" s="135"/>
      <c r="K136" s="135" t="s">
        <v>0</v>
      </c>
      <c r="L136" s="135"/>
      <c r="M136" s="135"/>
      <c r="N136" s="135"/>
      <c r="O136" s="135"/>
      <c r="P136" s="135"/>
      <c r="Q136" s="135"/>
      <c r="R136" s="147" t="s">
        <v>0</v>
      </c>
      <c r="S136" s="147"/>
      <c r="T136" s="147"/>
      <c r="AH136" s="288" t="s">
        <v>20</v>
      </c>
      <c r="AI136" s="289"/>
      <c r="AJ136" s="289" t="s">
        <v>428</v>
      </c>
    </row>
    <row r="137" spans="1:36" ht="18" customHeight="1">
      <c r="T137" s="101"/>
      <c r="U137" s="101"/>
      <c r="V137" s="101"/>
      <c r="AH137" s="288" t="s">
        <v>21</v>
      </c>
      <c r="AI137" s="289"/>
      <c r="AJ137" s="289" t="s">
        <v>428</v>
      </c>
    </row>
    <row r="138" spans="1:36" ht="18" customHeight="1">
      <c r="B138" s="1469" t="s">
        <v>197</v>
      </c>
      <c r="C138" s="1578">
        <v>1</v>
      </c>
      <c r="D138" s="1578">
        <v>2</v>
      </c>
      <c r="E138" s="1578">
        <v>3</v>
      </c>
      <c r="F138" s="1578">
        <v>4</v>
      </c>
      <c r="G138" s="1580">
        <v>5</v>
      </c>
      <c r="H138" s="1580">
        <v>6</v>
      </c>
      <c r="I138" s="1578">
        <v>7</v>
      </c>
      <c r="J138" s="1578">
        <v>8</v>
      </c>
      <c r="K138" s="1578">
        <v>9</v>
      </c>
      <c r="L138" s="1578">
        <v>10</v>
      </c>
      <c r="M138" s="1578">
        <v>11</v>
      </c>
      <c r="N138" s="1580">
        <v>12</v>
      </c>
      <c r="O138" s="1580">
        <v>13</v>
      </c>
      <c r="P138" s="1578">
        <v>14</v>
      </c>
      <c r="Q138" s="1578">
        <v>15</v>
      </c>
      <c r="R138" s="1578">
        <v>16</v>
      </c>
      <c r="S138" s="1578">
        <v>17</v>
      </c>
      <c r="T138" s="1578">
        <v>18</v>
      </c>
      <c r="U138" s="1580">
        <v>19</v>
      </c>
      <c r="V138" s="1580">
        <v>20</v>
      </c>
      <c r="W138" s="1578">
        <v>21</v>
      </c>
      <c r="X138" s="1578">
        <v>22</v>
      </c>
      <c r="Y138" s="1578">
        <v>23</v>
      </c>
      <c r="Z138" s="1578">
        <v>24</v>
      </c>
      <c r="AA138" s="1578">
        <v>25</v>
      </c>
      <c r="AB138" s="1580">
        <v>26</v>
      </c>
      <c r="AC138" s="1580">
        <v>27</v>
      </c>
      <c r="AD138" s="1578">
        <v>28</v>
      </c>
      <c r="AE138" s="1578">
        <v>29</v>
      </c>
      <c r="AF138" s="1578">
        <v>30</v>
      </c>
      <c r="AG138" s="2755">
        <v>31</v>
      </c>
      <c r="AH138" s="288" t="s">
        <v>22</v>
      </c>
      <c r="AI138" s="289"/>
      <c r="AJ138" s="289" t="s">
        <v>428</v>
      </c>
    </row>
    <row r="139" spans="1:36" ht="18" customHeight="1">
      <c r="B139" s="2756" t="s">
        <v>198</v>
      </c>
      <c r="C139" s="2630" t="s">
        <v>113</v>
      </c>
      <c r="D139" s="2630" t="s">
        <v>113</v>
      </c>
      <c r="E139" s="2630" t="s">
        <v>113</v>
      </c>
      <c r="F139" s="2630" t="s">
        <v>113</v>
      </c>
      <c r="G139" s="2630" t="s">
        <v>113</v>
      </c>
      <c r="H139" s="2630" t="s">
        <v>46</v>
      </c>
      <c r="I139" s="2630" t="s">
        <v>46</v>
      </c>
      <c r="J139" s="2630" t="s">
        <v>46</v>
      </c>
      <c r="K139" s="2630" t="s">
        <v>46</v>
      </c>
      <c r="L139" s="2630" t="s">
        <v>46</v>
      </c>
      <c r="M139" s="2630" t="s">
        <v>46</v>
      </c>
      <c r="N139" s="2630" t="s">
        <v>429</v>
      </c>
      <c r="O139" s="2630" t="s">
        <v>429</v>
      </c>
      <c r="P139" s="2630" t="s">
        <v>113</v>
      </c>
      <c r="Q139" s="2630" t="s">
        <v>113</v>
      </c>
      <c r="R139" s="2630" t="s">
        <v>113</v>
      </c>
      <c r="S139" s="2630" t="s">
        <v>113</v>
      </c>
      <c r="T139" s="2630" t="s">
        <v>46</v>
      </c>
      <c r="U139" s="2630" t="s">
        <v>46</v>
      </c>
      <c r="V139" s="2630" t="s">
        <v>46</v>
      </c>
      <c r="W139" s="2630" t="s">
        <v>46</v>
      </c>
      <c r="X139" s="2630" t="s">
        <v>46</v>
      </c>
      <c r="Y139" s="2630" t="s">
        <v>46</v>
      </c>
      <c r="Z139" s="2630" t="s">
        <v>113</v>
      </c>
      <c r="AA139" s="2630" t="s">
        <v>113</v>
      </c>
      <c r="AB139" s="2630" t="s">
        <v>429</v>
      </c>
      <c r="AC139" s="2630" t="s">
        <v>429</v>
      </c>
      <c r="AD139" s="2392" t="s">
        <v>113</v>
      </c>
      <c r="AE139" s="2392" t="s">
        <v>113</v>
      </c>
      <c r="AF139" s="2392" t="s">
        <v>46</v>
      </c>
      <c r="AG139" s="2757" t="s">
        <v>46</v>
      </c>
      <c r="AH139" s="288" t="s">
        <v>430</v>
      </c>
      <c r="AI139" s="289"/>
      <c r="AJ139" s="289" t="s">
        <v>428</v>
      </c>
    </row>
    <row r="140" spans="1:36" ht="18" customHeight="1">
      <c r="B140" s="2756" t="s">
        <v>199</v>
      </c>
      <c r="C140" s="2630" t="s">
        <v>46</v>
      </c>
      <c r="D140" s="2630" t="s">
        <v>46</v>
      </c>
      <c r="E140" s="2630" t="s">
        <v>46</v>
      </c>
      <c r="F140" s="2630" t="s">
        <v>46</v>
      </c>
      <c r="G140" s="2630" t="s">
        <v>46</v>
      </c>
      <c r="H140" s="2630" t="s">
        <v>113</v>
      </c>
      <c r="I140" s="2758" t="s">
        <v>113</v>
      </c>
      <c r="J140" s="2758" t="s">
        <v>113</v>
      </c>
      <c r="K140" s="2354" t="s">
        <v>113</v>
      </c>
      <c r="L140" s="2354" t="s">
        <v>113</v>
      </c>
      <c r="M140" s="2354" t="s">
        <v>113</v>
      </c>
      <c r="N140" s="2354" t="s">
        <v>46</v>
      </c>
      <c r="O140" s="2354" t="s">
        <v>46</v>
      </c>
      <c r="P140" s="2354" t="s">
        <v>431</v>
      </c>
      <c r="Q140" s="2759" t="s">
        <v>46</v>
      </c>
      <c r="R140" s="2759" t="s">
        <v>46</v>
      </c>
      <c r="S140" s="2398" t="s">
        <v>46</v>
      </c>
      <c r="T140" s="2759" t="s">
        <v>113</v>
      </c>
      <c r="U140" s="2759" t="s">
        <v>429</v>
      </c>
      <c r="V140" s="2759" t="s">
        <v>429</v>
      </c>
      <c r="W140" s="2759" t="s">
        <v>113</v>
      </c>
      <c r="X140" s="2759" t="s">
        <v>113</v>
      </c>
      <c r="Y140" s="2759" t="s">
        <v>113</v>
      </c>
      <c r="Z140" s="2759" t="s">
        <v>46</v>
      </c>
      <c r="AA140" s="2759" t="s">
        <v>46</v>
      </c>
      <c r="AB140" s="2759" t="s">
        <v>46</v>
      </c>
      <c r="AC140" s="2759" t="s">
        <v>46</v>
      </c>
      <c r="AD140" s="2759" t="s">
        <v>46</v>
      </c>
      <c r="AE140" s="2759" t="s">
        <v>46</v>
      </c>
      <c r="AF140" s="2759" t="s">
        <v>113</v>
      </c>
      <c r="AG140" s="2760" t="s">
        <v>113</v>
      </c>
      <c r="AH140" s="288" t="s">
        <v>24</v>
      </c>
      <c r="AI140" s="289" t="s">
        <v>432</v>
      </c>
      <c r="AJ140" s="289" t="s">
        <v>433</v>
      </c>
    </row>
    <row r="141" spans="1:36" ht="18" customHeight="1">
      <c r="B141" s="157"/>
      <c r="C141" s="124"/>
      <c r="D141" s="124"/>
      <c r="E141" s="116"/>
      <c r="F141" s="116"/>
      <c r="G141" s="116"/>
      <c r="H141" s="116"/>
      <c r="I141" s="116"/>
      <c r="J141" s="116"/>
      <c r="K141" s="124"/>
      <c r="L141" s="124"/>
      <c r="M141" s="124"/>
      <c r="N141" s="124"/>
      <c r="O141" s="124"/>
      <c r="P141" s="124"/>
      <c r="Q141" s="124"/>
      <c r="R141" s="124"/>
      <c r="S141" s="124"/>
      <c r="T141" s="124"/>
      <c r="U141" s="124"/>
      <c r="V141" s="124"/>
      <c r="W141" s="124"/>
      <c r="X141" s="124"/>
      <c r="Y141" s="124"/>
      <c r="Z141" s="124"/>
      <c r="AA141" s="124"/>
      <c r="AB141" s="124"/>
      <c r="AC141" s="124"/>
      <c r="AD141" s="124"/>
      <c r="AE141" s="124"/>
      <c r="AF141" s="124"/>
      <c r="AG141" s="124"/>
      <c r="AH141" s="290" t="s">
        <v>434</v>
      </c>
      <c r="AI141" s="2761" t="s">
        <v>435</v>
      </c>
      <c r="AJ141" s="2761" t="s">
        <v>433</v>
      </c>
    </row>
    <row r="142" spans="1:36" ht="18" customHeight="1">
      <c r="A142" s="3" t="s">
        <v>436</v>
      </c>
    </row>
    <row r="143" spans="1:36" ht="18" customHeight="1">
      <c r="B143" s="134"/>
      <c r="C143" s="135"/>
      <c r="D143" s="135"/>
      <c r="E143" s="138" t="s">
        <v>179</v>
      </c>
      <c r="F143" s="135"/>
      <c r="G143" s="135"/>
      <c r="H143" s="135"/>
      <c r="I143" s="135"/>
      <c r="J143" s="135"/>
      <c r="K143" s="141" t="s">
        <v>15</v>
      </c>
      <c r="L143" s="139"/>
      <c r="M143" s="139"/>
      <c r="N143" s="139"/>
      <c r="O143" s="139"/>
      <c r="P143" s="139"/>
      <c r="Q143" s="139"/>
      <c r="R143" s="139"/>
      <c r="S143" s="139"/>
      <c r="T143" s="140"/>
    </row>
    <row r="144" spans="1:36" ht="18" customHeight="1">
      <c r="B144" s="134" t="s">
        <v>180</v>
      </c>
      <c r="C144" s="135"/>
      <c r="D144" s="135"/>
      <c r="E144" s="136" t="s">
        <v>389</v>
      </c>
      <c r="F144" s="135"/>
      <c r="G144" s="135"/>
      <c r="H144" s="135"/>
      <c r="I144" s="135"/>
      <c r="J144" s="135"/>
      <c r="K144" s="135" t="s">
        <v>0</v>
      </c>
      <c r="L144" s="135"/>
      <c r="M144" s="135"/>
      <c r="N144" s="135"/>
      <c r="O144" s="135"/>
      <c r="P144" s="135"/>
      <c r="Q144" s="135"/>
      <c r="R144" s="147" t="s">
        <v>0</v>
      </c>
      <c r="S144" s="147"/>
      <c r="T144" s="147"/>
    </row>
    <row r="146" spans="1:33" ht="18" customHeight="1">
      <c r="B146" s="1469" t="s">
        <v>197</v>
      </c>
      <c r="C146" s="1578">
        <v>1</v>
      </c>
      <c r="D146" s="1578">
        <v>2</v>
      </c>
      <c r="E146" s="1578">
        <v>3</v>
      </c>
      <c r="F146" s="1578">
        <v>4</v>
      </c>
      <c r="G146" s="1580">
        <v>5</v>
      </c>
      <c r="H146" s="1580">
        <v>6</v>
      </c>
      <c r="I146" s="1578">
        <v>7</v>
      </c>
      <c r="J146" s="1578">
        <v>8</v>
      </c>
      <c r="K146" s="1578">
        <v>9</v>
      </c>
      <c r="L146" s="1578">
        <v>10</v>
      </c>
      <c r="M146" s="1578">
        <v>11</v>
      </c>
      <c r="N146" s="1580">
        <v>12</v>
      </c>
      <c r="O146" s="1580">
        <v>13</v>
      </c>
      <c r="P146" s="1578">
        <v>14</v>
      </c>
      <c r="Q146" s="1578">
        <v>15</v>
      </c>
      <c r="R146" s="1578">
        <v>16</v>
      </c>
      <c r="S146" s="1578">
        <v>17</v>
      </c>
      <c r="T146" s="1578">
        <v>18</v>
      </c>
      <c r="U146" s="1580">
        <v>19</v>
      </c>
      <c r="V146" s="1580">
        <v>20</v>
      </c>
      <c r="W146" s="1578">
        <v>21</v>
      </c>
      <c r="X146" s="1578">
        <v>22</v>
      </c>
      <c r="Y146" s="1578">
        <v>23</v>
      </c>
      <c r="Z146" s="1578">
        <v>24</v>
      </c>
      <c r="AA146" s="1578">
        <v>25</v>
      </c>
      <c r="AB146" s="2762">
        <v>26</v>
      </c>
      <c r="AC146" s="1312">
        <v>27</v>
      </c>
      <c r="AD146" s="1313">
        <v>28</v>
      </c>
      <c r="AE146" s="1313">
        <v>29</v>
      </c>
      <c r="AF146" s="1313">
        <v>30</v>
      </c>
      <c r="AG146" s="1314">
        <v>31</v>
      </c>
    </row>
    <row r="147" spans="1:33" ht="18" customHeight="1">
      <c r="B147" s="1997" t="s">
        <v>437</v>
      </c>
      <c r="C147" s="2631"/>
      <c r="D147" s="2631"/>
      <c r="E147" s="2630"/>
      <c r="F147" s="2630"/>
      <c r="G147" s="2630"/>
      <c r="H147" s="2630"/>
      <c r="I147" s="2630" t="s">
        <v>118</v>
      </c>
      <c r="J147" s="2763" t="s">
        <v>118</v>
      </c>
      <c r="K147" s="2763" t="s">
        <v>118</v>
      </c>
      <c r="L147" s="2751" t="s">
        <v>118</v>
      </c>
      <c r="M147" s="2763" t="s">
        <v>118</v>
      </c>
      <c r="N147" s="2763" t="s">
        <v>118</v>
      </c>
      <c r="O147" s="2763" t="s">
        <v>118</v>
      </c>
      <c r="P147" s="2763"/>
      <c r="Q147" s="2631"/>
      <c r="R147" s="2631"/>
      <c r="S147" s="2631"/>
      <c r="T147" s="2631"/>
      <c r="U147" s="2631"/>
      <c r="V147" s="2631"/>
      <c r="W147" s="2630"/>
      <c r="X147" s="2630" t="s">
        <v>139</v>
      </c>
      <c r="Y147" s="2630" t="s">
        <v>139</v>
      </c>
      <c r="Z147" s="2630" t="s">
        <v>139</v>
      </c>
      <c r="AA147" s="2630" t="s">
        <v>139</v>
      </c>
      <c r="AB147" s="2630" t="s">
        <v>139</v>
      </c>
      <c r="AC147" s="484" t="s">
        <v>139</v>
      </c>
      <c r="AD147" s="486" t="s">
        <v>113</v>
      </c>
      <c r="AE147" s="487" t="s">
        <v>113</v>
      </c>
      <c r="AF147" s="482"/>
      <c r="AG147" s="482"/>
    </row>
    <row r="148" spans="1:33" ht="18" customHeight="1">
      <c r="B148" s="2741" t="s">
        <v>397</v>
      </c>
      <c r="C148" s="2630" t="s">
        <v>118</v>
      </c>
      <c r="D148" s="2630"/>
      <c r="E148" s="2631"/>
      <c r="F148" s="2631"/>
      <c r="G148" s="2631"/>
      <c r="H148" s="2631"/>
      <c r="I148" s="2631"/>
      <c r="J148" s="2631"/>
      <c r="K148" s="2630"/>
      <c r="L148" s="2630"/>
      <c r="M148" s="2630"/>
      <c r="N148" s="2630"/>
      <c r="O148" s="2630"/>
      <c r="P148" s="2631" t="s">
        <v>61</v>
      </c>
      <c r="Q148" s="2631" t="s">
        <v>61</v>
      </c>
      <c r="R148" s="2631" t="s">
        <v>61</v>
      </c>
      <c r="S148" s="2631" t="s">
        <v>61</v>
      </c>
      <c r="T148" s="2631" t="s">
        <v>61</v>
      </c>
      <c r="U148" s="2631" t="s">
        <v>61</v>
      </c>
      <c r="V148" s="2631" t="s">
        <v>61</v>
      </c>
      <c r="W148" s="2630"/>
      <c r="X148" s="2630"/>
      <c r="Y148" s="2630"/>
      <c r="Z148" s="2630"/>
      <c r="AA148" s="2630"/>
      <c r="AB148" s="2630"/>
      <c r="AC148" s="2630"/>
      <c r="AD148" s="2703" t="s">
        <v>139</v>
      </c>
      <c r="AE148" s="2703" t="s">
        <v>139</v>
      </c>
      <c r="AF148" s="2703" t="s">
        <v>139</v>
      </c>
      <c r="AG148" s="2703" t="s">
        <v>139</v>
      </c>
    </row>
    <row r="149" spans="1:33" ht="18" customHeight="1">
      <c r="B149" s="115"/>
      <c r="C149" s="116"/>
      <c r="D149" s="116"/>
      <c r="E149" s="116"/>
      <c r="F149" s="116"/>
      <c r="G149" s="116"/>
      <c r="H149" s="116"/>
      <c r="I149" s="116"/>
      <c r="J149" s="116"/>
      <c r="K149" s="116"/>
      <c r="L149" s="116"/>
      <c r="M149" s="116"/>
      <c r="N149" s="116"/>
      <c r="O149" s="116"/>
      <c r="P149" s="116"/>
      <c r="Q149" s="116"/>
      <c r="R149" s="116"/>
      <c r="S149" s="116"/>
      <c r="T149" s="116"/>
      <c r="U149" s="116"/>
      <c r="V149" s="116"/>
      <c r="W149" s="116"/>
      <c r="X149" s="116"/>
      <c r="Y149" s="116"/>
      <c r="Z149" s="116"/>
      <c r="AA149" s="116"/>
      <c r="AB149" s="116"/>
      <c r="AC149" s="116"/>
      <c r="AD149" s="116"/>
      <c r="AE149" s="116"/>
      <c r="AF149" s="116"/>
    </row>
    <row r="150" spans="1:33" ht="18" customHeight="1">
      <c r="A150" s="117"/>
      <c r="B150" s="111"/>
      <c r="C150" s="118"/>
      <c r="D150" s="118"/>
      <c r="E150" s="118"/>
      <c r="F150" s="118"/>
      <c r="G150" s="118"/>
      <c r="H150" s="118"/>
      <c r="I150" s="118"/>
      <c r="J150" s="118"/>
      <c r="K150" s="118"/>
      <c r="L150" s="118"/>
      <c r="M150" s="118"/>
      <c r="N150" s="118"/>
      <c r="O150" s="118"/>
      <c r="P150" s="118"/>
      <c r="Q150" s="118"/>
      <c r="R150" s="118"/>
      <c r="S150" s="118"/>
      <c r="T150" s="118"/>
      <c r="U150" s="118"/>
      <c r="V150" s="118"/>
      <c r="W150" s="118"/>
      <c r="X150" s="118"/>
      <c r="Y150" s="118"/>
      <c r="Z150" s="118"/>
      <c r="AA150" s="118"/>
      <c r="AB150" s="118"/>
      <c r="AC150" s="118"/>
      <c r="AD150" s="118"/>
      <c r="AE150" s="118"/>
      <c r="AF150" s="118"/>
      <c r="AG150" s="105"/>
    </row>
    <row r="151" spans="1:33" ht="18" customHeight="1">
      <c r="A151" s="48"/>
      <c r="B151" s="2764" t="s">
        <v>201</v>
      </c>
      <c r="C151" s="2765"/>
      <c r="D151" s="2766" t="s">
        <v>19</v>
      </c>
      <c r="E151" s="2767"/>
      <c r="F151" s="2765"/>
      <c r="G151" s="2768" t="s">
        <v>20</v>
      </c>
      <c r="H151" s="2769"/>
      <c r="I151" s="2770"/>
      <c r="J151" s="2768" t="s">
        <v>21</v>
      </c>
      <c r="K151" s="2771"/>
      <c r="L151" s="2770"/>
      <c r="M151" s="2772" t="s">
        <v>22</v>
      </c>
      <c r="N151" s="2771"/>
      <c r="O151" s="2770"/>
      <c r="P151" s="2768" t="s">
        <v>23</v>
      </c>
      <c r="Q151" s="2773"/>
      <c r="R151" s="2770"/>
      <c r="S151" s="2768" t="s">
        <v>24</v>
      </c>
      <c r="T151" s="2774"/>
      <c r="U151" s="2770"/>
      <c r="V151" s="2768" t="s">
        <v>25</v>
      </c>
      <c r="W151" s="2773"/>
      <c r="X151" s="2775" t="s">
        <v>202</v>
      </c>
      <c r="Y151" s="2776"/>
      <c r="Z151" s="2776"/>
      <c r="AA151" s="2777"/>
      <c r="AB151" s="2778" t="s">
        <v>108</v>
      </c>
      <c r="AC151" s="2779"/>
      <c r="AD151" s="2779"/>
      <c r="AE151" s="2780"/>
      <c r="AF151" s="2780"/>
      <c r="AG151" s="105"/>
    </row>
    <row r="152" spans="1:33" ht="18" customHeight="1">
      <c r="A152" s="48"/>
      <c r="B152" s="2781" t="s">
        <v>203</v>
      </c>
      <c r="C152" s="2782" t="s">
        <v>204</v>
      </c>
      <c r="D152" s="2675"/>
      <c r="E152" s="2676"/>
      <c r="F152" s="2782" t="s">
        <v>204</v>
      </c>
      <c r="G152" s="2675"/>
      <c r="H152" s="2676"/>
      <c r="I152" s="2782" t="s">
        <v>204</v>
      </c>
      <c r="J152" s="2675"/>
      <c r="K152" s="2676"/>
      <c r="L152" s="2782" t="s">
        <v>204</v>
      </c>
      <c r="M152" s="2675"/>
      <c r="N152" s="2676"/>
      <c r="O152" s="2782" t="s">
        <v>205</v>
      </c>
      <c r="P152" s="2675"/>
      <c r="Q152" s="2676"/>
      <c r="R152" s="2782"/>
      <c r="S152" s="2675"/>
      <c r="T152" s="2676"/>
      <c r="U152" s="2782"/>
      <c r="V152" s="2675"/>
      <c r="W152" s="2676"/>
      <c r="X152" s="2782"/>
      <c r="Y152" s="2783"/>
      <c r="Z152" s="2783"/>
      <c r="AA152" s="2783"/>
      <c r="AB152" s="2553"/>
      <c r="AC152" s="2783"/>
      <c r="AD152" s="2783"/>
      <c r="AE152" s="2783"/>
      <c r="AF152" s="2783"/>
      <c r="AG152" s="105"/>
    </row>
    <row r="153" spans="1:33" ht="18" customHeight="1">
      <c r="A153" s="48"/>
      <c r="B153" s="4"/>
      <c r="C153" s="48"/>
      <c r="D153" s="48"/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  <c r="AA153" s="48"/>
      <c r="AB153" s="48"/>
      <c r="AC153" s="48"/>
      <c r="AD153" s="48"/>
      <c r="AE153" s="48"/>
      <c r="AF153" s="48"/>
      <c r="AG153" s="105"/>
    </row>
    <row r="154" spans="1:33" ht="18" customHeight="1">
      <c r="A154" s="2784" t="s">
        <v>37</v>
      </c>
      <c r="B154" s="2654" t="s">
        <v>38</v>
      </c>
      <c r="C154" s="1578">
        <v>1</v>
      </c>
      <c r="D154" s="1578">
        <v>2</v>
      </c>
      <c r="E154" s="1578">
        <v>3</v>
      </c>
      <c r="F154" s="1578">
        <v>4</v>
      </c>
      <c r="G154" s="1580">
        <v>5</v>
      </c>
      <c r="H154" s="1580">
        <v>6</v>
      </c>
      <c r="I154" s="1578">
        <v>7</v>
      </c>
      <c r="J154" s="1578">
        <v>8</v>
      </c>
      <c r="K154" s="1578">
        <v>9</v>
      </c>
      <c r="L154" s="1578">
        <v>10</v>
      </c>
      <c r="M154" s="1578">
        <v>11</v>
      </c>
      <c r="N154" s="1580">
        <v>12</v>
      </c>
      <c r="O154" s="1580">
        <v>13</v>
      </c>
      <c r="P154" s="1578">
        <v>14</v>
      </c>
      <c r="Q154" s="1578">
        <v>15</v>
      </c>
      <c r="R154" s="1578">
        <v>16</v>
      </c>
      <c r="S154" s="1578">
        <v>17</v>
      </c>
      <c r="T154" s="1578">
        <v>18</v>
      </c>
      <c r="U154" s="1580">
        <v>19</v>
      </c>
      <c r="V154" s="1580">
        <v>20</v>
      </c>
      <c r="W154" s="1578">
        <v>21</v>
      </c>
      <c r="X154" s="1578">
        <v>22</v>
      </c>
      <c r="Y154" s="1578">
        <v>23</v>
      </c>
      <c r="Z154" s="1578">
        <v>24</v>
      </c>
      <c r="AA154" s="1578">
        <v>25</v>
      </c>
      <c r="AB154" s="1580">
        <v>26</v>
      </c>
      <c r="AC154" s="1580">
        <v>27</v>
      </c>
      <c r="AD154" s="1578">
        <v>28</v>
      </c>
      <c r="AE154" s="1578">
        <v>29</v>
      </c>
      <c r="AF154" s="1578">
        <v>30</v>
      </c>
      <c r="AG154" s="1578">
        <v>31</v>
      </c>
    </row>
    <row r="155" spans="1:33" ht="18" customHeight="1">
      <c r="A155" s="2785">
        <v>8520</v>
      </c>
      <c r="B155" s="2786" t="s">
        <v>206</v>
      </c>
      <c r="C155" s="1645" t="s">
        <v>207</v>
      </c>
      <c r="D155" s="1645" t="s">
        <v>207</v>
      </c>
      <c r="E155" s="1645" t="s">
        <v>207</v>
      </c>
      <c r="F155" s="1645" t="s">
        <v>207</v>
      </c>
      <c r="G155" s="1645"/>
      <c r="H155" s="1645"/>
      <c r="I155" s="1645" t="s">
        <v>207</v>
      </c>
      <c r="J155" s="1645" t="s">
        <v>207</v>
      </c>
      <c r="K155" s="1645" t="s">
        <v>207</v>
      </c>
      <c r="L155" s="1645" t="s">
        <v>207</v>
      </c>
      <c r="M155" s="1645" t="s">
        <v>207</v>
      </c>
      <c r="N155" s="1645"/>
      <c r="O155" s="1645"/>
      <c r="P155" s="1645" t="s">
        <v>207</v>
      </c>
      <c r="Q155" s="1645" t="s">
        <v>207</v>
      </c>
      <c r="R155" s="1645" t="s">
        <v>207</v>
      </c>
      <c r="S155" s="1645" t="s">
        <v>207</v>
      </c>
      <c r="T155" s="1645" t="s">
        <v>207</v>
      </c>
      <c r="U155" s="1645"/>
      <c r="V155" s="1645"/>
      <c r="W155" s="1645" t="s">
        <v>207</v>
      </c>
      <c r="X155" s="1645" t="s">
        <v>207</v>
      </c>
      <c r="Y155" s="1645" t="s">
        <v>207</v>
      </c>
      <c r="Z155" s="1645" t="s">
        <v>207</v>
      </c>
      <c r="AA155" s="1645" t="s">
        <v>207</v>
      </c>
      <c r="AB155" s="1645"/>
      <c r="AC155" s="1645"/>
      <c r="AD155" s="1645" t="s">
        <v>207</v>
      </c>
      <c r="AE155" s="1645" t="s">
        <v>207</v>
      </c>
      <c r="AF155" s="1645" t="s">
        <v>207</v>
      </c>
      <c r="AG155" s="1645" t="s">
        <v>207</v>
      </c>
    </row>
    <row r="156" spans="1:33" ht="18" customHeight="1">
      <c r="A156" s="122"/>
      <c r="B156" s="121"/>
      <c r="C156" s="116"/>
      <c r="D156" s="116"/>
      <c r="E156" s="116"/>
      <c r="F156" s="116"/>
      <c r="G156" s="116"/>
      <c r="H156" s="116"/>
      <c r="I156" s="116"/>
      <c r="J156" s="116"/>
      <c r="K156" s="116"/>
      <c r="L156" s="116"/>
      <c r="M156" s="116"/>
      <c r="N156" s="116"/>
      <c r="O156" s="116"/>
      <c r="P156" s="116"/>
      <c r="Q156" s="116"/>
      <c r="R156" s="116"/>
      <c r="S156" s="116"/>
      <c r="T156" s="116"/>
      <c r="U156" s="116"/>
      <c r="V156" s="116"/>
      <c r="W156" s="116"/>
      <c r="X156" s="116"/>
      <c r="Y156" s="116"/>
      <c r="Z156" s="116"/>
      <c r="AA156" s="116"/>
      <c r="AB156" s="116"/>
      <c r="AC156" s="116"/>
      <c r="AD156" s="116"/>
      <c r="AE156" s="116"/>
      <c r="AF156" s="116"/>
      <c r="AG156" s="105"/>
    </row>
    <row r="157" spans="1:33" ht="18" customHeight="1">
      <c r="AG157" s="65"/>
    </row>
    <row r="158" spans="1:33" ht="18" customHeight="1">
      <c r="A158" s="100" t="s">
        <v>208</v>
      </c>
      <c r="B158" s="101"/>
      <c r="C158" s="101"/>
      <c r="D158" s="102"/>
      <c r="E158" s="102"/>
      <c r="F158" s="102"/>
      <c r="G158" s="63"/>
      <c r="H158" s="102"/>
      <c r="I158" s="102"/>
      <c r="J158" s="102"/>
      <c r="K158" s="102"/>
      <c r="L158" s="102"/>
      <c r="M158" s="102"/>
      <c r="N158" s="102"/>
      <c r="O158" s="102"/>
      <c r="P158" s="102"/>
      <c r="Q158" s="102"/>
      <c r="R158" s="102"/>
      <c r="S158" s="102"/>
      <c r="T158" s="102"/>
      <c r="U158" s="102"/>
      <c r="V158" s="102"/>
      <c r="W158" s="102"/>
      <c r="X158" s="102"/>
      <c r="Y158" s="102"/>
      <c r="Z158" s="102"/>
      <c r="AA158" s="102"/>
      <c r="AB158" s="102"/>
      <c r="AC158" s="102"/>
      <c r="AD158" s="102"/>
      <c r="AE158" s="102"/>
      <c r="AF158" s="102"/>
      <c r="AG158" s="101"/>
    </row>
    <row r="159" spans="1:33" ht="18" customHeight="1">
      <c r="A159" s="100"/>
      <c r="B159" s="2764" t="s">
        <v>209</v>
      </c>
      <c r="C159" s="2787"/>
      <c r="D159" s="2788" t="s">
        <v>19</v>
      </c>
      <c r="E159" s="2789"/>
      <c r="F159" s="2790"/>
      <c r="G159" s="2787"/>
      <c r="H159" s="2788" t="s">
        <v>20</v>
      </c>
      <c r="I159" s="2789"/>
      <c r="J159" s="2790"/>
      <c r="K159" s="2787"/>
      <c r="L159" s="2788" t="s">
        <v>21</v>
      </c>
      <c r="M159" s="2789"/>
      <c r="N159" s="2790"/>
      <c r="O159" s="2787"/>
      <c r="P159" s="2788" t="s">
        <v>22</v>
      </c>
      <c r="Q159" s="2789"/>
      <c r="R159" s="2790"/>
      <c r="S159" s="2787"/>
      <c r="T159" s="2788" t="s">
        <v>23</v>
      </c>
      <c r="U159" s="2789"/>
      <c r="V159" s="2790"/>
      <c r="W159" s="2787"/>
      <c r="X159" s="2788" t="s">
        <v>24</v>
      </c>
      <c r="Y159" s="2789"/>
      <c r="Z159" s="2790"/>
      <c r="AA159" s="2787"/>
      <c r="AB159" s="2788" t="s">
        <v>25</v>
      </c>
      <c r="AC159" s="2789"/>
      <c r="AD159" s="2789"/>
      <c r="AE159" s="2791" t="s">
        <v>108</v>
      </c>
      <c r="AF159" s="2789"/>
      <c r="AG159" s="2792"/>
    </row>
    <row r="160" spans="1:33" ht="18" customHeight="1">
      <c r="A160" s="100"/>
      <c r="B160" s="2793" t="s">
        <v>210</v>
      </c>
      <c r="C160" s="2794">
        <v>69</v>
      </c>
      <c r="D160" s="2795" t="s">
        <v>211</v>
      </c>
      <c r="E160" s="2795"/>
      <c r="F160" s="2796"/>
      <c r="G160" s="2794">
        <v>69</v>
      </c>
      <c r="H160" s="2795" t="s">
        <v>211</v>
      </c>
      <c r="I160" s="2795"/>
      <c r="J160" s="2796"/>
      <c r="K160" s="2794">
        <v>69</v>
      </c>
      <c r="L160" s="2795" t="s">
        <v>211</v>
      </c>
      <c r="M160" s="2795"/>
      <c r="N160" s="2796"/>
      <c r="O160" s="2794">
        <v>69</v>
      </c>
      <c r="P160" s="2795" t="s">
        <v>211</v>
      </c>
      <c r="Q160" s="2795"/>
      <c r="R160" s="2796"/>
      <c r="S160" s="2794">
        <v>69</v>
      </c>
      <c r="T160" s="2795" t="s">
        <v>211</v>
      </c>
      <c r="U160" s="2795"/>
      <c r="V160" s="2796"/>
      <c r="W160" s="2794"/>
      <c r="X160" s="2797"/>
      <c r="Y160" s="2797"/>
      <c r="Z160" s="2798"/>
      <c r="AA160" s="2794"/>
      <c r="AB160" s="2795"/>
      <c r="AC160" s="2795"/>
      <c r="AD160" s="2678"/>
      <c r="AE160" s="2799">
        <v>35</v>
      </c>
      <c r="AF160" s="2795"/>
      <c r="AG160" s="2800"/>
    </row>
    <row r="161" spans="1:34" ht="18" customHeight="1">
      <c r="A161" s="100"/>
      <c r="B161" s="2793" t="s">
        <v>212</v>
      </c>
      <c r="C161" s="2794">
        <v>79</v>
      </c>
      <c r="D161" s="2795" t="s">
        <v>213</v>
      </c>
      <c r="E161" s="2795"/>
      <c r="F161" s="2796"/>
      <c r="G161" s="2794">
        <v>79</v>
      </c>
      <c r="H161" s="2795" t="s">
        <v>213</v>
      </c>
      <c r="I161" s="2795"/>
      <c r="J161" s="2796"/>
      <c r="K161" s="2794">
        <v>79</v>
      </c>
      <c r="L161" s="2795" t="s">
        <v>213</v>
      </c>
      <c r="M161" s="2795"/>
      <c r="N161" s="2796"/>
      <c r="O161" s="2794">
        <v>79</v>
      </c>
      <c r="P161" s="2795" t="s">
        <v>213</v>
      </c>
      <c r="Q161" s="2795"/>
      <c r="R161" s="2796"/>
      <c r="S161" s="2794">
        <v>79</v>
      </c>
      <c r="T161" s="2795" t="s">
        <v>213</v>
      </c>
      <c r="U161" s="2795"/>
      <c r="V161" s="2796"/>
      <c r="W161" s="2794"/>
      <c r="X161" s="2795"/>
      <c r="Y161" s="2795"/>
      <c r="Z161" s="2796"/>
      <c r="AA161" s="2795"/>
      <c r="AB161" s="2795"/>
      <c r="AC161" s="2795"/>
      <c r="AD161" s="2678"/>
      <c r="AE161" s="2799">
        <v>40</v>
      </c>
      <c r="AF161" s="2795"/>
      <c r="AG161" s="2800"/>
    </row>
    <row r="162" spans="1:34" ht="18" customHeight="1">
      <c r="A162" s="100"/>
      <c r="B162" s="2793"/>
      <c r="C162" s="2794">
        <v>89</v>
      </c>
      <c r="D162" s="2795" t="s">
        <v>215</v>
      </c>
      <c r="E162" s="2795"/>
      <c r="F162" s="2796"/>
      <c r="G162" s="2794">
        <v>89</v>
      </c>
      <c r="H162" s="2795" t="s">
        <v>215</v>
      </c>
      <c r="I162" s="2795"/>
      <c r="J162" s="2796"/>
      <c r="K162" s="2794">
        <v>89</v>
      </c>
      <c r="L162" s="2795" t="s">
        <v>215</v>
      </c>
      <c r="M162" s="2795"/>
      <c r="N162" s="2796"/>
      <c r="O162" s="2794">
        <v>89</v>
      </c>
      <c r="P162" s="2795" t="s">
        <v>215</v>
      </c>
      <c r="Q162" s="2795"/>
      <c r="R162" s="2796"/>
      <c r="S162" s="2794">
        <v>89</v>
      </c>
      <c r="T162" s="2795" t="s">
        <v>216</v>
      </c>
      <c r="U162" s="2795"/>
      <c r="V162" s="2796"/>
      <c r="W162" s="2801"/>
      <c r="X162" s="2802" t="s">
        <v>217</v>
      </c>
      <c r="Y162" s="2802"/>
      <c r="Z162" s="2733"/>
      <c r="AA162" s="2801"/>
      <c r="AB162" s="2802"/>
      <c r="AC162" s="2802"/>
      <c r="AD162" s="2735"/>
      <c r="AE162" s="2799">
        <v>44</v>
      </c>
      <c r="AF162" s="2795"/>
      <c r="AG162" s="2800"/>
    </row>
    <row r="163" spans="1:34" ht="18" customHeight="1">
      <c r="A163" s="100"/>
      <c r="B163" s="19" t="s">
        <v>218</v>
      </c>
      <c r="C163" s="2801">
        <v>99</v>
      </c>
      <c r="D163" s="2802" t="s">
        <v>219</v>
      </c>
      <c r="E163" s="2802"/>
      <c r="F163" s="2733"/>
      <c r="G163" s="2801">
        <v>99</v>
      </c>
      <c r="H163" s="2802" t="s">
        <v>219</v>
      </c>
      <c r="I163" s="2802"/>
      <c r="J163" s="2733"/>
      <c r="K163" s="2801">
        <v>99</v>
      </c>
      <c r="L163" s="2802" t="s">
        <v>219</v>
      </c>
      <c r="M163" s="2802"/>
      <c r="N163" s="2733"/>
      <c r="O163" s="2801">
        <v>99</v>
      </c>
      <c r="P163" s="2802" t="s">
        <v>219</v>
      </c>
      <c r="Q163" s="2802"/>
      <c r="R163" s="2733"/>
      <c r="S163" s="2801">
        <v>99</v>
      </c>
      <c r="T163" s="2802" t="s">
        <v>220</v>
      </c>
      <c r="U163" s="2802"/>
      <c r="V163" s="2735"/>
      <c r="W163" s="2734"/>
      <c r="X163" s="2735"/>
      <c r="Y163" s="2802"/>
      <c r="Z163" s="2733"/>
      <c r="AA163" s="2734"/>
      <c r="AB163" s="2735"/>
      <c r="AC163" s="2802"/>
      <c r="AD163" s="2733"/>
      <c r="AE163" s="2803">
        <v>28</v>
      </c>
      <c r="AF163" s="2802"/>
      <c r="AG163" s="2804"/>
    </row>
    <row r="164" spans="1:34" ht="18" customHeight="1">
      <c r="A164" s="100"/>
      <c r="B164" s="2805" t="s">
        <v>221</v>
      </c>
      <c r="C164" s="2806" t="s">
        <v>159</v>
      </c>
      <c r="D164" s="2807" t="s">
        <v>222</v>
      </c>
      <c r="E164" s="2808"/>
      <c r="F164" s="2648"/>
      <c r="G164" s="2806" t="s">
        <v>159</v>
      </c>
      <c r="H164" s="2807" t="s">
        <v>222</v>
      </c>
      <c r="I164" s="2646"/>
      <c r="J164" s="2808"/>
      <c r="K164" s="2806" t="s">
        <v>159</v>
      </c>
      <c r="L164" s="2807" t="s">
        <v>222</v>
      </c>
      <c r="M164" s="2808"/>
      <c r="N164" s="2809"/>
      <c r="O164" s="2806" t="s">
        <v>159</v>
      </c>
      <c r="P164" s="2807" t="s">
        <v>222</v>
      </c>
      <c r="Q164" s="2808"/>
      <c r="R164" s="2807"/>
      <c r="S164" s="2806" t="s">
        <v>159</v>
      </c>
      <c r="T164" s="2650" t="s">
        <v>223</v>
      </c>
      <c r="U164" s="2807"/>
      <c r="V164" s="2809"/>
      <c r="W164" s="2808"/>
      <c r="X164" s="2807"/>
      <c r="Y164" s="2807"/>
      <c r="Z164" s="2807"/>
      <c r="AA164" s="2810"/>
      <c r="AB164" s="2811"/>
      <c r="AC164" s="2807"/>
      <c r="AD164" s="2812"/>
      <c r="AE164" s="2807"/>
      <c r="AF164" s="2807"/>
      <c r="AG164" s="2813"/>
    </row>
    <row r="165" spans="1:34" ht="18" customHeight="1">
      <c r="A165" s="66"/>
      <c r="B165" s="100"/>
      <c r="C165" s="102"/>
      <c r="D165" s="102"/>
      <c r="E165" s="102"/>
      <c r="F165" s="102"/>
      <c r="G165" s="102"/>
      <c r="H165" s="102"/>
      <c r="I165" s="102"/>
      <c r="J165" s="102"/>
      <c r="K165" s="102"/>
      <c r="L165" s="102"/>
      <c r="M165" s="102"/>
      <c r="N165" s="102"/>
      <c r="O165" s="102"/>
      <c r="P165" s="102"/>
      <c r="Q165" s="102"/>
      <c r="R165" s="102"/>
      <c r="S165" s="102"/>
      <c r="T165" s="102"/>
      <c r="U165" s="102"/>
      <c r="V165" s="102"/>
      <c r="W165" s="102"/>
      <c r="X165" s="102"/>
      <c r="Y165" s="102"/>
      <c r="Z165" s="102"/>
      <c r="AA165" s="102"/>
      <c r="AB165" s="102"/>
      <c r="AC165" s="102"/>
      <c r="AD165" s="102"/>
      <c r="AE165" s="102"/>
      <c r="AF165" s="102"/>
      <c r="AG165" s="101"/>
    </row>
    <row r="166" spans="1:34" ht="18" customHeight="1">
      <c r="A166" s="2784"/>
      <c r="B166" s="2654" t="s">
        <v>398</v>
      </c>
      <c r="C166" s="1578">
        <v>1</v>
      </c>
      <c r="D166" s="1578">
        <v>2</v>
      </c>
      <c r="E166" s="1578">
        <v>3</v>
      </c>
      <c r="F166" s="1578">
        <v>4</v>
      </c>
      <c r="G166" s="1580">
        <v>5</v>
      </c>
      <c r="H166" s="1580">
        <v>6</v>
      </c>
      <c r="I166" s="1578">
        <v>7</v>
      </c>
      <c r="J166" s="1578">
        <v>8</v>
      </c>
      <c r="K166" s="1578">
        <v>9</v>
      </c>
      <c r="L166" s="1578">
        <v>10</v>
      </c>
      <c r="M166" s="1578">
        <v>11</v>
      </c>
      <c r="N166" s="1580">
        <v>12</v>
      </c>
      <c r="O166" s="1580">
        <v>13</v>
      </c>
      <c r="P166" s="1578">
        <v>14</v>
      </c>
      <c r="Q166" s="1578">
        <v>15</v>
      </c>
      <c r="R166" s="1578">
        <v>16</v>
      </c>
      <c r="S166" s="1578">
        <v>17</v>
      </c>
      <c r="T166" s="1578">
        <v>18</v>
      </c>
      <c r="U166" s="1580">
        <v>19</v>
      </c>
      <c r="V166" s="1580">
        <v>20</v>
      </c>
      <c r="W166" s="1578">
        <v>21</v>
      </c>
      <c r="X166" s="1578">
        <v>22</v>
      </c>
      <c r="Y166" s="1578">
        <v>23</v>
      </c>
      <c r="Z166" s="1578">
        <v>24</v>
      </c>
      <c r="AA166" s="1578">
        <v>25</v>
      </c>
      <c r="AB166" s="1580">
        <v>26</v>
      </c>
      <c r="AC166" s="1580">
        <v>27</v>
      </c>
      <c r="AD166" s="1578">
        <v>28</v>
      </c>
      <c r="AE166" s="1578">
        <v>29</v>
      </c>
      <c r="AF166" s="1578">
        <v>30</v>
      </c>
      <c r="AG166" s="1578">
        <v>31</v>
      </c>
    </row>
    <row r="167" spans="1:34" ht="18" customHeight="1">
      <c r="A167" s="2814">
        <v>1</v>
      </c>
      <c r="B167" s="2815" t="s">
        <v>224</v>
      </c>
      <c r="C167" s="1644" t="s">
        <v>159</v>
      </c>
      <c r="D167" s="2816" t="s">
        <v>159</v>
      </c>
      <c r="E167" s="1645" t="s">
        <v>159</v>
      </c>
      <c r="F167" s="1645" t="s">
        <v>159</v>
      </c>
      <c r="G167" s="1646"/>
      <c r="H167" s="1644"/>
      <c r="I167" s="1646">
        <v>69</v>
      </c>
      <c r="J167" s="1646">
        <v>69</v>
      </c>
      <c r="K167" s="1644">
        <v>69</v>
      </c>
      <c r="L167" s="1646">
        <v>69</v>
      </c>
      <c r="M167" s="2817">
        <v>69</v>
      </c>
      <c r="N167" s="1646"/>
      <c r="O167" s="1644"/>
      <c r="P167" s="1644">
        <v>79</v>
      </c>
      <c r="Q167" s="1644">
        <v>79</v>
      </c>
      <c r="R167" s="1644">
        <v>79</v>
      </c>
      <c r="S167" s="1645">
        <v>79</v>
      </c>
      <c r="T167" s="1645">
        <v>79</v>
      </c>
      <c r="U167" s="1644"/>
      <c r="V167" s="1644"/>
      <c r="W167" s="1644">
        <v>89</v>
      </c>
      <c r="X167" s="1644">
        <v>89</v>
      </c>
      <c r="Y167" s="1644">
        <v>89</v>
      </c>
      <c r="Z167" s="1644">
        <v>89</v>
      </c>
      <c r="AA167" s="1646">
        <v>89</v>
      </c>
      <c r="AB167" s="1644">
        <v>89</v>
      </c>
      <c r="AC167" s="1644"/>
      <c r="AD167" s="1644">
        <v>99</v>
      </c>
      <c r="AE167" s="1644">
        <v>99</v>
      </c>
      <c r="AF167" s="1646">
        <v>99</v>
      </c>
      <c r="AG167" s="1646">
        <v>99</v>
      </c>
    </row>
    <row r="168" spans="1:34" ht="18" customHeight="1">
      <c r="A168" s="2818">
        <v>2</v>
      </c>
      <c r="B168" s="2819" t="s">
        <v>225</v>
      </c>
      <c r="C168" s="2585">
        <v>69</v>
      </c>
      <c r="D168" s="2601">
        <v>69</v>
      </c>
      <c r="E168" s="2585">
        <v>69</v>
      </c>
      <c r="F168" s="2585">
        <v>69</v>
      </c>
      <c r="G168" s="2585"/>
      <c r="H168" s="2617"/>
      <c r="I168" s="2581">
        <v>79</v>
      </c>
      <c r="J168" s="2617">
        <v>79</v>
      </c>
      <c r="K168" s="2617">
        <v>79</v>
      </c>
      <c r="L168" s="2601">
        <v>79</v>
      </c>
      <c r="M168" s="2618">
        <v>79</v>
      </c>
      <c r="N168" s="2617"/>
      <c r="O168" s="2584"/>
      <c r="P168" s="2738">
        <v>89</v>
      </c>
      <c r="Q168" s="2738">
        <v>89</v>
      </c>
      <c r="R168" s="2738">
        <v>89</v>
      </c>
      <c r="S168" s="2738">
        <v>89</v>
      </c>
      <c r="T168" s="2738">
        <v>89</v>
      </c>
      <c r="U168" s="2738">
        <v>89</v>
      </c>
      <c r="V168" s="2738"/>
      <c r="W168" s="2738">
        <v>99</v>
      </c>
      <c r="X168" s="2738">
        <v>99</v>
      </c>
      <c r="Y168" s="2738">
        <v>99</v>
      </c>
      <c r="Z168" s="2738">
        <v>99</v>
      </c>
      <c r="AA168" s="2738" t="s">
        <v>46</v>
      </c>
      <c r="AB168" s="2738"/>
      <c r="AC168" s="2738"/>
      <c r="AD168" s="2587" t="s">
        <v>159</v>
      </c>
      <c r="AE168" s="2587" t="s">
        <v>159</v>
      </c>
      <c r="AF168" s="2587" t="s">
        <v>159</v>
      </c>
      <c r="AG168" s="2691" t="s">
        <v>159</v>
      </c>
      <c r="AH168" s="198" t="s">
        <v>133</v>
      </c>
    </row>
    <row r="169" spans="1:34" ht="18" customHeight="1">
      <c r="A169" s="2818">
        <v>3</v>
      </c>
      <c r="B169" s="2390" t="s">
        <v>124</v>
      </c>
      <c r="C169" s="2606">
        <v>79</v>
      </c>
      <c r="D169" s="2606">
        <v>79</v>
      </c>
      <c r="E169" s="2606">
        <v>79</v>
      </c>
      <c r="F169" s="2820">
        <v>79</v>
      </c>
      <c r="G169" s="2606"/>
      <c r="H169" s="2606"/>
      <c r="I169" s="2581">
        <v>89</v>
      </c>
      <c r="J169" s="2821">
        <v>89</v>
      </c>
      <c r="K169" s="2821">
        <v>89</v>
      </c>
      <c r="L169" s="2821">
        <v>89</v>
      </c>
      <c r="M169" s="2821">
        <v>89</v>
      </c>
      <c r="N169" s="2617">
        <v>89</v>
      </c>
      <c r="O169" s="2584"/>
      <c r="P169" s="2699">
        <v>99</v>
      </c>
      <c r="Q169" s="2584">
        <v>99</v>
      </c>
      <c r="R169" s="2584">
        <v>99</v>
      </c>
      <c r="S169" s="2584">
        <v>99</v>
      </c>
      <c r="T169" s="2584" t="s">
        <v>46</v>
      </c>
      <c r="U169" s="2584"/>
      <c r="V169" s="2584"/>
      <c r="W169" s="2584" t="s">
        <v>159</v>
      </c>
      <c r="X169" s="2584" t="s">
        <v>159</v>
      </c>
      <c r="Y169" s="2821" t="s">
        <v>159</v>
      </c>
      <c r="Z169" s="2821" t="s">
        <v>159</v>
      </c>
      <c r="AA169" s="2821" t="s">
        <v>159</v>
      </c>
      <c r="AB169" s="2821"/>
      <c r="AC169" s="2821"/>
      <c r="AD169" s="2587">
        <v>69</v>
      </c>
      <c r="AE169" s="2587">
        <v>69</v>
      </c>
      <c r="AF169" s="2587">
        <v>69</v>
      </c>
      <c r="AG169" s="2587">
        <v>69</v>
      </c>
      <c r="AH169" t="s">
        <v>133</v>
      </c>
    </row>
    <row r="170" spans="1:34" ht="18" customHeight="1">
      <c r="A170" s="2818">
        <v>4</v>
      </c>
      <c r="B170" s="2819" t="s">
        <v>226</v>
      </c>
      <c r="C170" s="2601">
        <v>89</v>
      </c>
      <c r="D170" s="2601">
        <v>89</v>
      </c>
      <c r="E170" s="2601">
        <v>89</v>
      </c>
      <c r="F170" s="2601">
        <v>89</v>
      </c>
      <c r="G170" s="2601">
        <v>89</v>
      </c>
      <c r="H170" s="2601"/>
      <c r="I170" s="2581">
        <v>99</v>
      </c>
      <c r="J170" s="2601">
        <v>99</v>
      </c>
      <c r="K170" s="2601">
        <v>99</v>
      </c>
      <c r="L170" s="2601">
        <v>99</v>
      </c>
      <c r="M170" s="2601" t="s">
        <v>46</v>
      </c>
      <c r="N170" s="2617"/>
      <c r="O170" s="2601"/>
      <c r="P170" s="2601" t="s">
        <v>159</v>
      </c>
      <c r="Q170" s="2699" t="s">
        <v>159</v>
      </c>
      <c r="R170" s="2699" t="s">
        <v>159</v>
      </c>
      <c r="S170" s="2601" t="s">
        <v>64</v>
      </c>
      <c r="T170" s="2601" t="s">
        <v>64</v>
      </c>
      <c r="U170" s="2601"/>
      <c r="V170" s="2601"/>
      <c r="W170" s="2601">
        <v>69</v>
      </c>
      <c r="X170" s="2601">
        <v>69</v>
      </c>
      <c r="Y170" s="2699">
        <v>69</v>
      </c>
      <c r="Z170" s="2699">
        <v>69</v>
      </c>
      <c r="AA170" s="2601">
        <v>69</v>
      </c>
      <c r="AB170" s="2601"/>
      <c r="AC170" s="2601"/>
      <c r="AD170" s="2587">
        <v>79</v>
      </c>
      <c r="AE170" s="2587">
        <v>79</v>
      </c>
      <c r="AF170" s="2587">
        <v>79</v>
      </c>
      <c r="AG170" s="2587">
        <v>79</v>
      </c>
      <c r="AH170" t="s">
        <v>133</v>
      </c>
    </row>
    <row r="171" spans="1:34" ht="18" customHeight="1">
      <c r="A171" s="2822">
        <v>5</v>
      </c>
      <c r="B171" s="2666" t="s">
        <v>227</v>
      </c>
      <c r="C171" s="2730">
        <v>99</v>
      </c>
      <c r="D171" s="2623">
        <v>99</v>
      </c>
      <c r="E171" s="2623">
        <v>99</v>
      </c>
      <c r="F171" s="2595" t="s">
        <v>46</v>
      </c>
      <c r="G171" s="2595"/>
      <c r="H171" s="2660"/>
      <c r="I171" s="2589" t="s">
        <v>159</v>
      </c>
      <c r="J171" s="2589" t="s">
        <v>159</v>
      </c>
      <c r="K171" s="2589" t="s">
        <v>159</v>
      </c>
      <c r="L171" s="2589" t="s">
        <v>159</v>
      </c>
      <c r="M171" s="2589" t="s">
        <v>159</v>
      </c>
      <c r="N171" s="2589"/>
      <c r="O171" s="2589"/>
      <c r="P171" s="2589">
        <v>69</v>
      </c>
      <c r="Q171" s="2589">
        <v>69</v>
      </c>
      <c r="R171" s="2589">
        <v>69</v>
      </c>
      <c r="S171" s="2589">
        <v>69</v>
      </c>
      <c r="T171" s="2589">
        <v>69</v>
      </c>
      <c r="U171" s="2589"/>
      <c r="V171" s="2589"/>
      <c r="W171" s="2589">
        <v>79</v>
      </c>
      <c r="X171" s="2589">
        <v>79</v>
      </c>
      <c r="Y171" s="2589">
        <v>79</v>
      </c>
      <c r="Z171" s="2589">
        <v>79</v>
      </c>
      <c r="AA171" s="2589">
        <v>79</v>
      </c>
      <c r="AB171" s="2589"/>
      <c r="AC171" s="2589"/>
      <c r="AD171" s="2668">
        <v>89</v>
      </c>
      <c r="AE171" s="2668">
        <v>89</v>
      </c>
      <c r="AF171" s="2668">
        <v>89</v>
      </c>
      <c r="AG171" s="2668">
        <v>89</v>
      </c>
      <c r="AH171" t="s">
        <v>133</v>
      </c>
    </row>
    <row r="172" spans="1:34" ht="18" customHeight="1">
      <c r="A172" s="117"/>
      <c r="B172" s="125"/>
      <c r="C172" s="126"/>
      <c r="D172" s="126"/>
      <c r="E172" s="126"/>
      <c r="F172" s="116"/>
      <c r="G172" s="124"/>
      <c r="H172" s="124"/>
      <c r="I172" s="124"/>
      <c r="J172" s="124"/>
      <c r="K172" s="124"/>
      <c r="L172" s="116"/>
      <c r="M172" s="116"/>
      <c r="N172" s="126"/>
      <c r="O172" s="126"/>
      <c r="P172" s="126"/>
      <c r="Q172" s="126"/>
      <c r="R172" s="126"/>
      <c r="S172" s="116"/>
      <c r="T172" s="127"/>
      <c r="U172" s="126"/>
      <c r="V172" s="126"/>
      <c r="W172" s="126"/>
      <c r="X172" s="126"/>
      <c r="Y172" s="126"/>
      <c r="Z172" s="128"/>
      <c r="AA172" s="128"/>
      <c r="AB172" s="126"/>
      <c r="AC172" s="126"/>
      <c r="AD172" s="126"/>
      <c r="AE172" s="126"/>
      <c r="AF172" s="126"/>
      <c r="AG172" s="204"/>
    </row>
    <row r="173" spans="1:34" ht="18" customHeight="1">
      <c r="A173" s="67"/>
      <c r="B173" s="68"/>
      <c r="C173" s="64"/>
      <c r="D173" s="64"/>
      <c r="E173" s="64"/>
      <c r="F173" s="64"/>
      <c r="G173" s="64"/>
      <c r="H173" s="64"/>
      <c r="I173" s="64"/>
      <c r="J173" s="64"/>
      <c r="K173" s="64"/>
      <c r="L173" s="64"/>
      <c r="M173" s="64"/>
      <c r="N173" s="64"/>
      <c r="O173" s="64"/>
      <c r="P173" s="64"/>
      <c r="Q173" s="64"/>
      <c r="R173" s="64"/>
      <c r="S173" s="64"/>
      <c r="T173" s="64"/>
      <c r="U173" s="64"/>
      <c r="V173" s="64"/>
      <c r="W173" s="64"/>
      <c r="X173" s="64"/>
      <c r="Y173" s="64"/>
      <c r="Z173" s="64"/>
      <c r="AA173" s="64"/>
      <c r="AB173" s="64"/>
      <c r="AC173" s="64"/>
      <c r="AD173" s="64"/>
      <c r="AE173" s="64"/>
      <c r="AF173" s="64"/>
      <c r="AG173" s="65"/>
    </row>
    <row r="174" spans="1:34" ht="18" customHeight="1">
      <c r="A174" s="100" t="s">
        <v>228</v>
      </c>
      <c r="B174" s="101"/>
      <c r="C174" s="101"/>
      <c r="D174" s="102"/>
      <c r="E174" s="102"/>
      <c r="F174" s="102"/>
      <c r="G174" s="63"/>
      <c r="H174" s="102"/>
      <c r="I174" s="102"/>
      <c r="J174" s="102"/>
      <c r="K174" s="102"/>
      <c r="L174" s="102"/>
      <c r="M174" s="102"/>
      <c r="N174" s="102"/>
      <c r="O174" s="102"/>
      <c r="P174" s="102"/>
      <c r="Q174" s="102"/>
      <c r="R174" s="102"/>
      <c r="S174" s="102"/>
      <c r="T174" s="102"/>
      <c r="U174" s="102"/>
      <c r="V174" s="102"/>
      <c r="W174" s="102"/>
      <c r="X174" s="102"/>
      <c r="Y174" s="102"/>
      <c r="Z174" s="102"/>
      <c r="AA174" s="102"/>
      <c r="AB174" s="102"/>
      <c r="AC174" s="102"/>
      <c r="AD174" s="102"/>
      <c r="AE174" s="102"/>
      <c r="AF174" s="102"/>
      <c r="AG174" s="101"/>
    </row>
    <row r="175" spans="1:34" ht="18" customHeight="1">
      <c r="A175" s="100"/>
      <c r="B175" s="2764" t="s">
        <v>209</v>
      </c>
      <c r="C175" s="2787"/>
      <c r="D175" s="2788" t="s">
        <v>19</v>
      </c>
      <c r="E175" s="2789"/>
      <c r="F175" s="2790"/>
      <c r="G175" s="2787"/>
      <c r="H175" s="2788" t="s">
        <v>20</v>
      </c>
      <c r="I175" s="2789"/>
      <c r="J175" s="2790"/>
      <c r="K175" s="2787"/>
      <c r="L175" s="2788" t="s">
        <v>21</v>
      </c>
      <c r="M175" s="2789"/>
      <c r="N175" s="2790"/>
      <c r="O175" s="2787"/>
      <c r="P175" s="2788" t="s">
        <v>22</v>
      </c>
      <c r="Q175" s="2789"/>
      <c r="R175" s="2790"/>
      <c r="S175" s="2787"/>
      <c r="T175" s="2788" t="s">
        <v>23</v>
      </c>
      <c r="U175" s="2789"/>
      <c r="V175" s="2790"/>
      <c r="W175" s="2787"/>
      <c r="X175" s="2788" t="s">
        <v>24</v>
      </c>
      <c r="Y175" s="2789"/>
      <c r="Z175" s="2790"/>
      <c r="AA175" s="2787"/>
      <c r="AB175" s="2788" t="s">
        <v>25</v>
      </c>
      <c r="AC175" s="2789"/>
      <c r="AD175" s="2789"/>
      <c r="AE175" s="2791" t="s">
        <v>108</v>
      </c>
      <c r="AF175" s="2789"/>
      <c r="AG175" s="2792"/>
    </row>
    <row r="176" spans="1:34" ht="18" customHeight="1">
      <c r="A176" s="100"/>
      <c r="B176" s="2793" t="s">
        <v>229</v>
      </c>
      <c r="C176" s="2677" t="s">
        <v>230</v>
      </c>
      <c r="D176" s="2795"/>
      <c r="E176" s="2795"/>
      <c r="F176" s="2796"/>
      <c r="G176" s="2677" t="s">
        <v>230</v>
      </c>
      <c r="H176" s="2795"/>
      <c r="I176" s="2795"/>
      <c r="J176" s="2796"/>
      <c r="K176" s="2677" t="s">
        <v>230</v>
      </c>
      <c r="L176" s="2795"/>
      <c r="M176" s="2795"/>
      <c r="N176" s="2796"/>
      <c r="O176" s="2677" t="s">
        <v>231</v>
      </c>
      <c r="P176" s="2795"/>
      <c r="Q176" s="2795"/>
      <c r="R176" s="2796"/>
      <c r="S176" s="2677" t="s">
        <v>232</v>
      </c>
      <c r="T176" s="2795"/>
      <c r="U176" s="2795"/>
      <c r="V176" s="2796"/>
      <c r="W176" s="2677" t="s">
        <v>233</v>
      </c>
      <c r="X176" s="2797"/>
      <c r="Y176" s="2797"/>
      <c r="Z176" s="2798"/>
      <c r="AA176" s="2677" t="s">
        <v>233</v>
      </c>
      <c r="AB176" s="2795"/>
      <c r="AC176" s="2795"/>
      <c r="AD176" s="2678"/>
      <c r="AE176" s="2799">
        <v>68</v>
      </c>
      <c r="AF176" s="530"/>
      <c r="AG176" s="465"/>
    </row>
    <row r="177" spans="1:34" ht="18" customHeight="1">
      <c r="A177" s="100"/>
      <c r="B177" s="2793"/>
      <c r="C177" s="2677" t="s">
        <v>220</v>
      </c>
      <c r="D177" s="2795"/>
      <c r="E177" s="2795"/>
      <c r="F177" s="2796"/>
      <c r="G177" s="2677" t="s">
        <v>220</v>
      </c>
      <c r="H177" s="2795"/>
      <c r="I177" s="2795"/>
      <c r="J177" s="2796"/>
      <c r="K177" s="2677" t="s">
        <v>220</v>
      </c>
      <c r="L177" s="2795"/>
      <c r="M177" s="2795"/>
      <c r="N177" s="2796"/>
      <c r="O177" s="2677" t="s">
        <v>220</v>
      </c>
      <c r="P177" s="2795"/>
      <c r="Q177" s="2795"/>
      <c r="R177" s="2796"/>
      <c r="S177" s="2677" t="s">
        <v>220</v>
      </c>
      <c r="T177" s="2795"/>
      <c r="U177" s="2795"/>
      <c r="V177" s="2796"/>
      <c r="W177" s="2677" t="s">
        <v>220</v>
      </c>
      <c r="X177" s="2795"/>
      <c r="Y177" s="2795"/>
      <c r="Z177" s="2796"/>
      <c r="AA177" s="2795" t="s">
        <v>220</v>
      </c>
      <c r="AB177" s="2795"/>
      <c r="AC177" s="2795"/>
      <c r="AD177" s="2678"/>
      <c r="AE177" s="2799">
        <v>0</v>
      </c>
      <c r="AF177" s="530"/>
      <c r="AG177" s="465"/>
    </row>
    <row r="178" spans="1:34" ht="18" customHeight="1">
      <c r="A178" s="100"/>
      <c r="B178" s="2793" t="s">
        <v>234</v>
      </c>
      <c r="C178" s="2677" t="s">
        <v>231</v>
      </c>
      <c r="D178" s="2795"/>
      <c r="E178" s="2795"/>
      <c r="F178" s="2796"/>
      <c r="G178" s="2677" t="s">
        <v>231</v>
      </c>
      <c r="H178" s="2795"/>
      <c r="I178" s="2795"/>
      <c r="J178" s="2796"/>
      <c r="K178" s="2677" t="s">
        <v>231</v>
      </c>
      <c r="L178" s="2795"/>
      <c r="M178" s="2795"/>
      <c r="N178" s="2796"/>
      <c r="O178" s="2677" t="s">
        <v>230</v>
      </c>
      <c r="P178" s="2795"/>
      <c r="Q178" s="2795"/>
      <c r="R178" s="2796"/>
      <c r="S178" s="2677" t="s">
        <v>230</v>
      </c>
      <c r="T178" s="2795"/>
      <c r="U178" s="2795"/>
      <c r="V178" s="2796"/>
      <c r="W178" s="2677" t="s">
        <v>232</v>
      </c>
      <c r="X178" s="2797"/>
      <c r="Y178" s="2797"/>
      <c r="Z178" s="2798"/>
      <c r="AA178" s="2677" t="s">
        <v>232</v>
      </c>
      <c r="AB178" s="2795"/>
      <c r="AC178" s="2795"/>
      <c r="AD178" s="2678"/>
      <c r="AE178" s="2799">
        <v>68</v>
      </c>
      <c r="AF178" s="2795"/>
      <c r="AG178" s="2800"/>
    </row>
    <row r="179" spans="1:34" ht="18" customHeight="1">
      <c r="A179" s="100"/>
      <c r="B179" s="2793"/>
      <c r="C179" s="2677" t="s">
        <v>220</v>
      </c>
      <c r="D179" s="2795"/>
      <c r="E179" s="2795"/>
      <c r="F179" s="2796"/>
      <c r="G179" s="2677" t="s">
        <v>220</v>
      </c>
      <c r="H179" s="2795"/>
      <c r="I179" s="2795"/>
      <c r="J179" s="2796"/>
      <c r="K179" s="2677" t="s">
        <v>220</v>
      </c>
      <c r="L179" s="2795"/>
      <c r="M179" s="2795"/>
      <c r="N179" s="2796"/>
      <c r="O179" s="2677" t="s">
        <v>220</v>
      </c>
      <c r="P179" s="2795"/>
      <c r="Q179" s="2795"/>
      <c r="R179" s="2796"/>
      <c r="S179" s="2677" t="s">
        <v>220</v>
      </c>
      <c r="T179" s="2795"/>
      <c r="U179" s="2795"/>
      <c r="V179" s="2796"/>
      <c r="W179" s="2677" t="s">
        <v>220</v>
      </c>
      <c r="X179" s="2795"/>
      <c r="Y179" s="2795"/>
      <c r="Z179" s="2796"/>
      <c r="AA179" s="2795" t="s">
        <v>220</v>
      </c>
      <c r="AB179" s="2795"/>
      <c r="AC179" s="2795"/>
      <c r="AD179" s="2678"/>
      <c r="AE179" s="2799">
        <v>0</v>
      </c>
      <c r="AF179" s="2795"/>
      <c r="AG179" s="2800"/>
    </row>
    <row r="180" spans="1:34" ht="18" customHeight="1">
      <c r="A180" s="100"/>
      <c r="B180" s="2793" t="s">
        <v>235</v>
      </c>
      <c r="C180" s="2677" t="s">
        <v>230</v>
      </c>
      <c r="D180" s="2795"/>
      <c r="E180" s="2795"/>
      <c r="F180" s="2796"/>
      <c r="G180" s="2677" t="s">
        <v>230</v>
      </c>
      <c r="H180" s="2795"/>
      <c r="I180" s="2795"/>
      <c r="J180" s="2796"/>
      <c r="K180" s="2677" t="s">
        <v>230</v>
      </c>
      <c r="L180" s="2795"/>
      <c r="M180" s="2795"/>
      <c r="N180" s="2796"/>
      <c r="O180" s="2677" t="s">
        <v>230</v>
      </c>
      <c r="P180" s="2795"/>
      <c r="Q180" s="2795"/>
      <c r="R180" s="2796"/>
      <c r="S180" s="2677" t="s">
        <v>230</v>
      </c>
      <c r="T180" s="2795"/>
      <c r="U180" s="2795"/>
      <c r="V180" s="2796"/>
      <c r="W180" s="2677" t="s">
        <v>236</v>
      </c>
      <c r="X180" s="2802"/>
      <c r="Y180" s="2802"/>
      <c r="Z180" s="2733"/>
      <c r="AA180" s="2677" t="s">
        <v>236</v>
      </c>
      <c r="AB180" s="2802"/>
      <c r="AC180" s="2802"/>
      <c r="AD180" s="2735"/>
      <c r="AE180" s="2799">
        <v>68</v>
      </c>
      <c r="AF180" s="2795"/>
      <c r="AG180" s="2800"/>
    </row>
    <row r="181" spans="1:34" ht="18" customHeight="1">
      <c r="A181" s="100"/>
      <c r="B181" s="2793"/>
      <c r="C181" s="2823" t="s">
        <v>220</v>
      </c>
      <c r="D181" s="2824"/>
      <c r="E181" s="2824"/>
      <c r="F181" s="2825"/>
      <c r="G181" s="2823" t="s">
        <v>220</v>
      </c>
      <c r="H181" s="2824"/>
      <c r="I181" s="2824"/>
      <c r="J181" s="2825"/>
      <c r="K181" s="2823" t="s">
        <v>220</v>
      </c>
      <c r="L181" s="2824"/>
      <c r="M181" s="2824"/>
      <c r="N181" s="2825"/>
      <c r="O181" s="2823" t="s">
        <v>220</v>
      </c>
      <c r="P181" s="2824"/>
      <c r="Q181" s="2824"/>
      <c r="R181" s="2825"/>
      <c r="S181" s="2823" t="s">
        <v>220</v>
      </c>
      <c r="T181" s="2824"/>
      <c r="U181" s="2824"/>
      <c r="V181" s="2826"/>
      <c r="W181" s="2823" t="s">
        <v>220</v>
      </c>
      <c r="X181" s="2826"/>
      <c r="Y181" s="2824"/>
      <c r="Z181" s="2825"/>
      <c r="AA181" s="2823" t="s">
        <v>220</v>
      </c>
      <c r="AB181" s="2826"/>
      <c r="AC181" s="2824"/>
      <c r="AD181" s="2825"/>
      <c r="AE181" s="2827" t="s">
        <v>438</v>
      </c>
      <c r="AF181" s="2824"/>
      <c r="AG181" s="2813"/>
    </row>
    <row r="182" spans="1:34" ht="18" customHeight="1">
      <c r="A182" s="66"/>
      <c r="B182" s="100"/>
      <c r="C182" s="102"/>
      <c r="D182" s="102"/>
      <c r="E182" s="102"/>
      <c r="F182" s="102"/>
      <c r="G182" s="102"/>
      <c r="H182" s="102"/>
      <c r="I182" s="102"/>
      <c r="J182" s="102"/>
      <c r="K182" s="102"/>
      <c r="L182" s="102"/>
      <c r="M182" s="102"/>
      <c r="N182" s="102"/>
      <c r="O182" s="102"/>
      <c r="P182" s="102"/>
      <c r="Q182" s="102"/>
      <c r="R182" s="102"/>
      <c r="S182" s="102"/>
      <c r="T182" s="102"/>
      <c r="U182" s="102"/>
      <c r="V182" s="102"/>
      <c r="W182" s="102"/>
      <c r="X182" s="102"/>
      <c r="Y182" s="102"/>
      <c r="Z182" s="102"/>
      <c r="AA182" s="102"/>
      <c r="AB182" s="102"/>
      <c r="AC182" s="102"/>
      <c r="AD182" s="102"/>
      <c r="AE182" s="102"/>
      <c r="AF182" s="102"/>
      <c r="AG182" s="101"/>
    </row>
    <row r="183" spans="1:34" ht="18" customHeight="1">
      <c r="A183" s="2784"/>
      <c r="B183" s="2654" t="s">
        <v>399</v>
      </c>
      <c r="C183" s="1578">
        <v>1</v>
      </c>
      <c r="D183" s="1578">
        <v>2</v>
      </c>
      <c r="E183" s="1578">
        <v>3</v>
      </c>
      <c r="F183" s="1578">
        <v>4</v>
      </c>
      <c r="G183" s="1580">
        <v>5</v>
      </c>
      <c r="H183" s="1580">
        <v>6</v>
      </c>
      <c r="I183" s="1578">
        <v>7</v>
      </c>
      <c r="J183" s="1578">
        <v>8</v>
      </c>
      <c r="K183" s="1578">
        <v>9</v>
      </c>
      <c r="L183" s="1578">
        <v>10</v>
      </c>
      <c r="M183" s="1578">
        <v>11</v>
      </c>
      <c r="N183" s="1580">
        <v>12</v>
      </c>
      <c r="O183" s="1580">
        <v>13</v>
      </c>
      <c r="P183" s="1578">
        <v>14</v>
      </c>
      <c r="Q183" s="1578">
        <v>15</v>
      </c>
      <c r="R183" s="1578">
        <v>16</v>
      </c>
      <c r="S183" s="1578">
        <v>17</v>
      </c>
      <c r="T183" s="1578">
        <v>18</v>
      </c>
      <c r="U183" s="1580">
        <v>19</v>
      </c>
      <c r="V183" s="1580">
        <v>20</v>
      </c>
      <c r="W183" s="1578">
        <v>21</v>
      </c>
      <c r="X183" s="1578">
        <v>22</v>
      </c>
      <c r="Y183" s="1578">
        <v>23</v>
      </c>
      <c r="Z183" s="1578">
        <v>24</v>
      </c>
      <c r="AA183" s="1578">
        <v>25</v>
      </c>
      <c r="AB183" s="1580">
        <v>26</v>
      </c>
      <c r="AC183" s="1580">
        <v>27</v>
      </c>
      <c r="AD183" s="1578">
        <v>28</v>
      </c>
      <c r="AE183" s="1578">
        <v>29</v>
      </c>
      <c r="AF183" s="1578">
        <v>30</v>
      </c>
      <c r="AG183" s="1578">
        <v>31</v>
      </c>
    </row>
    <row r="184" spans="1:34" ht="18" customHeight="1">
      <c r="A184" s="2828">
        <v>1</v>
      </c>
      <c r="B184" s="2683" t="s">
        <v>237</v>
      </c>
      <c r="C184" s="2829">
        <v>21</v>
      </c>
      <c r="D184" s="2830">
        <v>21</v>
      </c>
      <c r="E184" s="2830">
        <v>21</v>
      </c>
      <c r="F184" s="2830">
        <v>21</v>
      </c>
      <c r="G184" s="2830">
        <v>21</v>
      </c>
      <c r="H184" s="2829">
        <v>21</v>
      </c>
      <c r="I184" s="2829" t="s">
        <v>46</v>
      </c>
      <c r="J184" s="2829" t="s">
        <v>46</v>
      </c>
      <c r="K184" s="2831" t="s">
        <v>46</v>
      </c>
      <c r="L184" s="2831" t="s">
        <v>46</v>
      </c>
      <c r="M184" s="2831" t="s">
        <v>46</v>
      </c>
      <c r="N184" s="2830"/>
      <c r="O184" s="2830"/>
      <c r="P184" s="2830">
        <v>22</v>
      </c>
      <c r="Q184" s="2830">
        <v>22</v>
      </c>
      <c r="R184" s="2830">
        <v>22</v>
      </c>
      <c r="S184" s="2830">
        <v>22</v>
      </c>
      <c r="T184" s="2830">
        <v>22</v>
      </c>
      <c r="U184" s="2830">
        <v>22</v>
      </c>
      <c r="V184" s="2829">
        <v>22</v>
      </c>
      <c r="W184" s="2829" t="s">
        <v>46</v>
      </c>
      <c r="X184" s="2829" t="s">
        <v>46</v>
      </c>
      <c r="Y184" s="2829" t="s">
        <v>46</v>
      </c>
      <c r="Z184" s="2829" t="s">
        <v>46</v>
      </c>
      <c r="AA184" s="2829" t="s">
        <v>46</v>
      </c>
      <c r="AB184" s="2829"/>
      <c r="AC184" s="2832"/>
      <c r="AD184" s="2833">
        <v>23</v>
      </c>
      <c r="AE184" s="2833">
        <v>23</v>
      </c>
      <c r="AF184" s="2833">
        <v>23</v>
      </c>
      <c r="AG184" s="2833">
        <v>23</v>
      </c>
      <c r="AH184" t="s">
        <v>133</v>
      </c>
    </row>
    <row r="185" spans="1:34" ht="18" customHeight="1">
      <c r="A185" s="2834">
        <v>2</v>
      </c>
      <c r="B185" s="2683" t="s">
        <v>238</v>
      </c>
      <c r="C185" s="2631">
        <v>22</v>
      </c>
      <c r="D185" s="2631">
        <v>22</v>
      </c>
      <c r="E185" s="2630">
        <v>22</v>
      </c>
      <c r="F185" s="2712">
        <v>22</v>
      </c>
      <c r="G185" s="2712">
        <v>22</v>
      </c>
      <c r="H185" s="2712">
        <v>22</v>
      </c>
      <c r="I185" s="2712" t="s">
        <v>46</v>
      </c>
      <c r="J185" s="2712" t="s">
        <v>46</v>
      </c>
      <c r="K185" s="2441" t="s">
        <v>46</v>
      </c>
      <c r="L185" s="2441" t="s">
        <v>46</v>
      </c>
      <c r="M185" s="2441" t="s">
        <v>46</v>
      </c>
      <c r="N185" s="2713"/>
      <c r="O185" s="2713"/>
      <c r="P185" s="2835">
        <v>23</v>
      </c>
      <c r="Q185" s="2835">
        <v>23</v>
      </c>
      <c r="R185" s="2836">
        <v>23</v>
      </c>
      <c r="S185" s="2758">
        <v>23</v>
      </c>
      <c r="T185" s="2837">
        <v>23</v>
      </c>
      <c r="U185" s="2354">
        <v>23</v>
      </c>
      <c r="V185" s="2354" t="s">
        <v>241</v>
      </c>
      <c r="W185" s="2712" t="s">
        <v>46</v>
      </c>
      <c r="X185" s="2712" t="s">
        <v>46</v>
      </c>
      <c r="Y185" s="2631" t="s">
        <v>46</v>
      </c>
      <c r="Z185" s="2631" t="s">
        <v>46</v>
      </c>
      <c r="AA185" s="2631" t="s">
        <v>46</v>
      </c>
      <c r="AB185" s="2631"/>
      <c r="AC185" s="2712"/>
      <c r="AD185" s="2712">
        <v>21</v>
      </c>
      <c r="AE185" s="2712">
        <v>21</v>
      </c>
      <c r="AF185" s="2712">
        <v>21</v>
      </c>
      <c r="AG185" s="2712">
        <v>21</v>
      </c>
    </row>
    <row r="186" spans="1:34" ht="18" customHeight="1">
      <c r="A186" s="2834">
        <v>3</v>
      </c>
      <c r="B186" s="2683" t="s">
        <v>239</v>
      </c>
      <c r="C186" s="2631">
        <v>23</v>
      </c>
      <c r="D186" s="2713">
        <v>23</v>
      </c>
      <c r="E186" s="2713">
        <v>23</v>
      </c>
      <c r="F186" s="2713">
        <v>23</v>
      </c>
      <c r="G186" s="2713">
        <v>23</v>
      </c>
      <c r="H186" s="2713">
        <v>23</v>
      </c>
      <c r="I186" s="2631" t="s">
        <v>46</v>
      </c>
      <c r="J186" s="2631" t="s">
        <v>46</v>
      </c>
      <c r="K186" s="2441" t="s">
        <v>46</v>
      </c>
      <c r="L186" s="2441" t="s">
        <v>46</v>
      </c>
      <c r="M186" s="2441" t="s">
        <v>46</v>
      </c>
      <c r="N186" s="2713"/>
      <c r="O186" s="2713"/>
      <c r="P186" s="2713">
        <v>21</v>
      </c>
      <c r="Q186" s="2713">
        <v>21</v>
      </c>
      <c r="R186" s="2631">
        <v>21</v>
      </c>
      <c r="S186" s="2630">
        <v>21</v>
      </c>
      <c r="T186" s="2631">
        <v>21</v>
      </c>
      <c r="U186" s="2631">
        <v>21</v>
      </c>
      <c r="V186" s="2631">
        <v>21</v>
      </c>
      <c r="W186" s="2631" t="s">
        <v>46</v>
      </c>
      <c r="X186" s="2631" t="s">
        <v>46</v>
      </c>
      <c r="Y186" s="2631" t="s">
        <v>46</v>
      </c>
      <c r="Z186" s="2631" t="s">
        <v>46</v>
      </c>
      <c r="AA186" s="2631" t="s">
        <v>46</v>
      </c>
      <c r="AB186" s="2631"/>
      <c r="AC186" s="2712"/>
      <c r="AD186" s="2712">
        <v>22</v>
      </c>
      <c r="AE186" s="2712">
        <v>22</v>
      </c>
      <c r="AF186" s="2631">
        <v>22</v>
      </c>
      <c r="AG186" s="2631">
        <v>22</v>
      </c>
    </row>
    <row r="187" spans="1:34" ht="18" customHeight="1">
      <c r="A187" s="2834">
        <v>4</v>
      </c>
      <c r="B187" s="485" t="s">
        <v>240</v>
      </c>
      <c r="C187" s="2631" t="s">
        <v>46</v>
      </c>
      <c r="D187" s="2441" t="s">
        <v>46</v>
      </c>
      <c r="E187" s="2441" t="s">
        <v>46</v>
      </c>
      <c r="F187" s="2441" t="s">
        <v>46</v>
      </c>
      <c r="G187" s="2713"/>
      <c r="H187" s="2713"/>
      <c r="I187" s="2713">
        <v>21</v>
      </c>
      <c r="J187" s="2713">
        <v>21</v>
      </c>
      <c r="K187" s="2713">
        <v>21</v>
      </c>
      <c r="L187" s="2713">
        <v>21</v>
      </c>
      <c r="M187" s="2713">
        <v>21</v>
      </c>
      <c r="N187" s="2713">
        <v>21</v>
      </c>
      <c r="O187" s="2713">
        <v>21</v>
      </c>
      <c r="P187" s="2631" t="s">
        <v>46</v>
      </c>
      <c r="Q187" s="2631" t="s">
        <v>46</v>
      </c>
      <c r="R187" s="2442" t="s">
        <v>46</v>
      </c>
      <c r="S187" s="2442" t="s">
        <v>46</v>
      </c>
      <c r="T187" s="2631" t="s">
        <v>46</v>
      </c>
      <c r="U187" s="2712"/>
      <c r="V187" s="2712"/>
      <c r="W187" s="2630">
        <v>22</v>
      </c>
      <c r="X187" s="2631">
        <v>22</v>
      </c>
      <c r="Y187" s="2713">
        <v>22</v>
      </c>
      <c r="Z187" s="2713">
        <v>22</v>
      </c>
      <c r="AA187" s="2713">
        <v>22</v>
      </c>
      <c r="AB187" s="2713">
        <v>22</v>
      </c>
      <c r="AC187" s="2631">
        <v>22</v>
      </c>
      <c r="AD187" s="2631" t="s">
        <v>46</v>
      </c>
      <c r="AE187" s="2631" t="s">
        <v>46</v>
      </c>
      <c r="AF187" s="2631" t="s">
        <v>46</v>
      </c>
      <c r="AG187" s="2631" t="s">
        <v>46</v>
      </c>
    </row>
    <row r="188" spans="1:34" ht="18" customHeight="1">
      <c r="A188" s="2834">
        <v>5</v>
      </c>
      <c r="B188" s="2838" t="s">
        <v>242</v>
      </c>
      <c r="C188" s="2713" t="s">
        <v>46</v>
      </c>
      <c r="D188" s="2747" t="s">
        <v>46</v>
      </c>
      <c r="E188" s="2747" t="s">
        <v>46</v>
      </c>
      <c r="F188" s="2747" t="s">
        <v>46</v>
      </c>
      <c r="G188" s="2747"/>
      <c r="H188" s="2747"/>
      <c r="I188" s="2747">
        <v>22</v>
      </c>
      <c r="J188" s="2747">
        <v>22</v>
      </c>
      <c r="K188" s="2631">
        <v>22</v>
      </c>
      <c r="L188" s="2630">
        <v>22</v>
      </c>
      <c r="M188" s="2631">
        <v>22</v>
      </c>
      <c r="N188" s="2631">
        <v>22</v>
      </c>
      <c r="O188" s="2631">
        <v>22</v>
      </c>
      <c r="P188" s="2631" t="s">
        <v>46</v>
      </c>
      <c r="Q188" s="2631" t="s">
        <v>46</v>
      </c>
      <c r="R188" s="2442" t="s">
        <v>46</v>
      </c>
      <c r="S188" s="2442" t="s">
        <v>46</v>
      </c>
      <c r="T188" s="2631" t="s">
        <v>46</v>
      </c>
      <c r="U188" s="2712"/>
      <c r="V188" s="2712"/>
      <c r="W188" s="2630">
        <v>23</v>
      </c>
      <c r="X188" s="2631">
        <v>23</v>
      </c>
      <c r="Y188" s="2631">
        <v>23</v>
      </c>
      <c r="Z188" s="2630">
        <v>23</v>
      </c>
      <c r="AA188" s="2712">
        <v>23</v>
      </c>
      <c r="AB188" s="2712">
        <v>23</v>
      </c>
      <c r="AC188" s="2712">
        <v>23</v>
      </c>
      <c r="AD188" s="2712" t="s">
        <v>46</v>
      </c>
      <c r="AE188" s="2712" t="s">
        <v>46</v>
      </c>
      <c r="AF188" s="2631" t="s">
        <v>46</v>
      </c>
      <c r="AG188" s="2631" t="s">
        <v>46</v>
      </c>
    </row>
    <row r="189" spans="1:34" ht="18" customHeight="1">
      <c r="A189" s="2839">
        <v>6</v>
      </c>
      <c r="B189" s="2447" t="s">
        <v>243</v>
      </c>
      <c r="C189" s="1586" t="s">
        <v>46</v>
      </c>
      <c r="D189" s="1634" t="s">
        <v>46</v>
      </c>
      <c r="E189" s="1634" t="s">
        <v>46</v>
      </c>
      <c r="F189" s="1634" t="s">
        <v>46</v>
      </c>
      <c r="G189" s="2840"/>
      <c r="H189" s="2840"/>
      <c r="I189" s="2726">
        <v>23</v>
      </c>
      <c r="J189" s="2726">
        <v>23</v>
      </c>
      <c r="K189" s="2726">
        <v>23</v>
      </c>
      <c r="L189" s="2726">
        <v>23</v>
      </c>
      <c r="M189" s="2726">
        <v>23</v>
      </c>
      <c r="N189" s="2726">
        <v>23</v>
      </c>
      <c r="O189" s="2726">
        <v>23</v>
      </c>
      <c r="P189" s="2726" t="s">
        <v>46</v>
      </c>
      <c r="Q189" s="2726" t="s">
        <v>46</v>
      </c>
      <c r="R189" s="2726" t="s">
        <v>46</v>
      </c>
      <c r="S189" s="2726" t="s">
        <v>46</v>
      </c>
      <c r="T189" s="2726" t="s">
        <v>46</v>
      </c>
      <c r="U189" s="2726"/>
      <c r="V189" s="2726"/>
      <c r="W189" s="2726">
        <v>21</v>
      </c>
      <c r="X189" s="2726">
        <v>21</v>
      </c>
      <c r="Y189" s="2726">
        <v>21</v>
      </c>
      <c r="Z189" s="2726">
        <v>21</v>
      </c>
      <c r="AA189" s="2726">
        <v>21</v>
      </c>
      <c r="AB189" s="2726">
        <v>21</v>
      </c>
      <c r="AC189" s="2726">
        <v>21</v>
      </c>
      <c r="AD189" s="1586" t="s">
        <v>46</v>
      </c>
      <c r="AE189" s="1586" t="s">
        <v>46</v>
      </c>
      <c r="AF189" s="1586" t="s">
        <v>46</v>
      </c>
      <c r="AG189" s="1586" t="s">
        <v>46</v>
      </c>
      <c r="AH189" s="280" t="s">
        <v>133</v>
      </c>
    </row>
    <row r="190" spans="1:34" ht="18" customHeight="1">
      <c r="A190" s="117"/>
      <c r="B190" s="115"/>
      <c r="C190" s="116"/>
      <c r="D190" s="116"/>
      <c r="E190" s="124"/>
      <c r="F190" s="116"/>
      <c r="G190" s="116"/>
      <c r="H190" s="129"/>
      <c r="I190" s="129"/>
      <c r="J190" s="129"/>
      <c r="K190" s="129"/>
      <c r="L190" s="129"/>
      <c r="M190" s="129"/>
      <c r="N190" s="113"/>
      <c r="O190" s="113"/>
      <c r="P190" s="124"/>
      <c r="Q190" s="116"/>
      <c r="R190" s="116"/>
      <c r="S190" s="124"/>
      <c r="T190" s="116"/>
      <c r="U190" s="116"/>
      <c r="V190" s="116"/>
      <c r="W190" s="116"/>
      <c r="X190" s="116"/>
      <c r="Y190" s="116"/>
      <c r="Z190" s="116"/>
      <c r="AA190" s="116"/>
      <c r="AB190" s="113"/>
      <c r="AC190" s="113"/>
      <c r="AD190" s="124"/>
      <c r="AE190" s="116"/>
      <c r="AF190" s="116"/>
      <c r="AG190" s="65"/>
    </row>
    <row r="191" spans="1:34" ht="18" customHeight="1">
      <c r="A191" s="67"/>
      <c r="B191" s="68"/>
      <c r="C191" s="108"/>
      <c r="D191" s="108"/>
      <c r="E191" s="99"/>
      <c r="F191" s="108"/>
      <c r="G191" s="108"/>
      <c r="H191" s="108"/>
      <c r="I191" s="108"/>
      <c r="J191" s="108"/>
      <c r="K191" s="108"/>
      <c r="L191" s="108"/>
      <c r="M191" s="108"/>
      <c r="N191" s="108"/>
      <c r="O191" s="108"/>
      <c r="P191" s="99"/>
      <c r="Q191" s="108"/>
      <c r="R191" s="108"/>
      <c r="S191" s="99"/>
      <c r="T191" s="108"/>
      <c r="U191" s="108"/>
      <c r="V191" s="108"/>
      <c r="W191" s="108"/>
      <c r="X191" s="108"/>
      <c r="Y191" s="108"/>
      <c r="Z191" s="108"/>
      <c r="AA191" s="108"/>
      <c r="AB191" s="108"/>
      <c r="AC191" s="109"/>
      <c r="AD191" s="109"/>
      <c r="AE191" s="109"/>
      <c r="AF191" s="108"/>
      <c r="AG191" s="65"/>
    </row>
    <row r="192" spans="1:34" ht="18" customHeight="1">
      <c r="A192" s="96" t="s">
        <v>244</v>
      </c>
      <c r="D192" s="48"/>
      <c r="E192" s="48"/>
      <c r="F192" s="48"/>
      <c r="G192" s="63"/>
      <c r="H192" s="48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  <c r="AA192" s="48"/>
      <c r="AB192" s="48"/>
      <c r="AC192" s="48"/>
      <c r="AD192" s="48"/>
      <c r="AE192" s="48"/>
      <c r="AF192" s="48"/>
    </row>
    <row r="193" spans="1:33" ht="18" customHeight="1">
      <c r="A193" s="1"/>
      <c r="B193" s="2764" t="s">
        <v>209</v>
      </c>
      <c r="C193" s="2765"/>
      <c r="D193" s="2788" t="s">
        <v>19</v>
      </c>
      <c r="E193" s="1643"/>
      <c r="F193" s="2769"/>
      <c r="G193" s="2765"/>
      <c r="H193" s="2788" t="s">
        <v>20</v>
      </c>
      <c r="I193" s="1643"/>
      <c r="J193" s="2769"/>
      <c r="K193" s="2765"/>
      <c r="L193" s="2788" t="s">
        <v>21</v>
      </c>
      <c r="M193" s="1643"/>
      <c r="N193" s="2769"/>
      <c r="O193" s="2765"/>
      <c r="P193" s="2788" t="s">
        <v>22</v>
      </c>
      <c r="Q193" s="1643"/>
      <c r="R193" s="2769"/>
      <c r="S193" s="2765"/>
      <c r="T193" s="2788" t="s">
        <v>23</v>
      </c>
      <c r="U193" s="1643"/>
      <c r="V193" s="2769"/>
      <c r="W193" s="2765"/>
      <c r="X193" s="2788" t="s">
        <v>24</v>
      </c>
      <c r="Y193" s="1643"/>
      <c r="Z193" s="2769"/>
      <c r="AA193" s="2765"/>
      <c r="AB193" s="2788" t="s">
        <v>25</v>
      </c>
      <c r="AC193" s="1643"/>
      <c r="AD193" s="1643"/>
      <c r="AE193" s="2791" t="s">
        <v>108</v>
      </c>
      <c r="AF193" s="1643"/>
      <c r="AG193" s="2841"/>
    </row>
    <row r="194" spans="1:33" ht="18" customHeight="1">
      <c r="A194" s="1"/>
      <c r="B194" s="2793" t="s">
        <v>210</v>
      </c>
      <c r="C194" s="2677" t="s">
        <v>211</v>
      </c>
      <c r="D194" s="2554"/>
      <c r="E194" s="2554"/>
      <c r="F194" s="2796"/>
      <c r="G194" s="2677" t="s">
        <v>211</v>
      </c>
      <c r="H194" s="2554"/>
      <c r="I194" s="2554"/>
      <c r="J194" s="2796"/>
      <c r="K194" s="2677" t="s">
        <v>211</v>
      </c>
      <c r="L194" s="2554"/>
      <c r="M194" s="2554"/>
      <c r="N194" s="2796"/>
      <c r="O194" s="2677" t="s">
        <v>245</v>
      </c>
      <c r="P194" s="2554"/>
      <c r="Q194" s="2554"/>
      <c r="R194" s="2796"/>
      <c r="S194" s="2677" t="s">
        <v>220</v>
      </c>
      <c r="T194" s="2554"/>
      <c r="U194" s="2554"/>
      <c r="V194" s="2796"/>
      <c r="W194" s="2842"/>
      <c r="X194" s="2843"/>
      <c r="Y194" s="2843"/>
      <c r="Z194" s="2798"/>
      <c r="AA194" s="2794"/>
      <c r="AB194" s="2554"/>
      <c r="AC194" s="2554"/>
      <c r="AD194" s="2678"/>
      <c r="AE194" s="2799">
        <v>27</v>
      </c>
      <c r="AF194" s="2554"/>
      <c r="AG194" s="2844"/>
    </row>
    <row r="195" spans="1:33" ht="18" customHeight="1">
      <c r="A195" s="1"/>
      <c r="B195" s="2793" t="s">
        <v>212</v>
      </c>
      <c r="C195" s="2677" t="s">
        <v>246</v>
      </c>
      <c r="D195" s="2554"/>
      <c r="E195" s="2554"/>
      <c r="F195" s="2796"/>
      <c r="G195" s="2677" t="s">
        <v>246</v>
      </c>
      <c r="H195" s="2554"/>
      <c r="I195" s="2554"/>
      <c r="J195" s="2796"/>
      <c r="K195" s="2677" t="s">
        <v>246</v>
      </c>
      <c r="L195" s="2554"/>
      <c r="M195" s="2554"/>
      <c r="N195" s="2796"/>
      <c r="O195" s="2677" t="s">
        <v>246</v>
      </c>
      <c r="P195" s="2554"/>
      <c r="Q195" s="2554"/>
      <c r="R195" s="2796"/>
      <c r="S195" s="2677" t="s">
        <v>211</v>
      </c>
      <c r="T195" s="2554"/>
      <c r="U195" s="2554"/>
      <c r="V195" s="2796"/>
      <c r="W195" s="2677"/>
      <c r="X195" s="2554"/>
      <c r="Y195" s="2554"/>
      <c r="Z195" s="2796"/>
      <c r="AA195" s="2554"/>
      <c r="AB195" s="2554"/>
      <c r="AC195" s="2554"/>
      <c r="AD195" s="2678"/>
      <c r="AE195" s="2799">
        <v>39</v>
      </c>
      <c r="AF195" s="2554"/>
      <c r="AG195" s="2844"/>
    </row>
    <row r="196" spans="1:33" ht="18" customHeight="1">
      <c r="A196" s="1"/>
      <c r="B196" s="2793" t="s">
        <v>214</v>
      </c>
      <c r="C196" s="2677" t="s">
        <v>246</v>
      </c>
      <c r="D196" s="2554"/>
      <c r="E196" s="2554"/>
      <c r="F196" s="2796"/>
      <c r="G196" s="2677" t="s">
        <v>246</v>
      </c>
      <c r="H196" s="2554"/>
      <c r="I196" s="2554"/>
      <c r="J196" s="2796"/>
      <c r="K196" s="2677" t="s">
        <v>246</v>
      </c>
      <c r="L196" s="2554"/>
      <c r="M196" s="2554"/>
      <c r="N196" s="2796"/>
      <c r="O196" s="2677" t="s">
        <v>246</v>
      </c>
      <c r="P196" s="2554"/>
      <c r="Q196" s="2554"/>
      <c r="R196" s="2796"/>
      <c r="S196" s="2677" t="s">
        <v>246</v>
      </c>
      <c r="T196" s="2554"/>
      <c r="U196" s="2554"/>
      <c r="V196" s="2796"/>
      <c r="W196" s="2734" t="s">
        <v>217</v>
      </c>
      <c r="X196" s="2634"/>
      <c r="Y196" s="2634"/>
      <c r="Z196" s="2733"/>
      <c r="AA196" s="2801"/>
      <c r="AB196" s="2634"/>
      <c r="AC196" s="2634"/>
      <c r="AD196" s="2735"/>
      <c r="AE196" s="2799">
        <v>45</v>
      </c>
      <c r="AF196" s="2554"/>
      <c r="AG196" s="2844"/>
    </row>
    <row r="197" spans="1:33" ht="18" customHeight="1">
      <c r="A197" s="1"/>
      <c r="B197" s="1484" t="s">
        <v>218</v>
      </c>
      <c r="C197" s="2823"/>
      <c r="D197" s="2646"/>
      <c r="E197" s="2646"/>
      <c r="F197" s="2825"/>
      <c r="G197" s="2823"/>
      <c r="H197" s="2646"/>
      <c r="I197" s="2646"/>
      <c r="J197" s="2825"/>
      <c r="K197" s="2823"/>
      <c r="L197" s="2646"/>
      <c r="M197" s="2646"/>
      <c r="N197" s="2825"/>
      <c r="O197" s="2823"/>
      <c r="P197" s="2646"/>
      <c r="Q197" s="2646"/>
      <c r="R197" s="2825"/>
      <c r="S197" s="2823"/>
      <c r="T197" s="2646"/>
      <c r="U197" s="2646"/>
      <c r="V197" s="2826"/>
      <c r="W197" s="2823"/>
      <c r="X197" s="2826"/>
      <c r="Y197" s="2646"/>
      <c r="Z197" s="2825"/>
      <c r="AA197" s="2823"/>
      <c r="AB197" s="2826"/>
      <c r="AC197" s="2646"/>
      <c r="AD197" s="2825"/>
      <c r="AE197" s="2845"/>
      <c r="AF197" s="2646"/>
      <c r="AG197" s="2846"/>
    </row>
    <row r="198" spans="1:33" ht="18" customHeight="1">
      <c r="A198" s="66"/>
      <c r="B198" s="1"/>
      <c r="C198" s="48"/>
      <c r="D198" s="48"/>
      <c r="E198" s="48"/>
      <c r="F198" s="48"/>
      <c r="G198" s="48"/>
      <c r="H198" s="48"/>
      <c r="I198" s="48"/>
      <c r="J198" s="48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Y198" s="48"/>
      <c r="Z198" s="48"/>
      <c r="AA198" s="48"/>
      <c r="AB198" s="48"/>
      <c r="AC198" s="48"/>
      <c r="AD198" s="48"/>
      <c r="AE198" s="48"/>
      <c r="AF198" s="48"/>
    </row>
    <row r="199" spans="1:33" ht="18" customHeight="1">
      <c r="A199" s="2784"/>
      <c r="B199" s="2654" t="s">
        <v>400</v>
      </c>
      <c r="C199" s="1578">
        <v>1</v>
      </c>
      <c r="D199" s="1578">
        <v>2</v>
      </c>
      <c r="E199" s="1578">
        <v>3</v>
      </c>
      <c r="F199" s="1578">
        <v>4</v>
      </c>
      <c r="G199" s="1580">
        <v>5</v>
      </c>
      <c r="H199" s="1580">
        <v>6</v>
      </c>
      <c r="I199" s="1578">
        <v>7</v>
      </c>
      <c r="J199" s="1578">
        <v>8</v>
      </c>
      <c r="K199" s="1578">
        <v>9</v>
      </c>
      <c r="L199" s="1578">
        <v>10</v>
      </c>
      <c r="M199" s="1578">
        <v>11</v>
      </c>
      <c r="N199" s="1580">
        <v>12</v>
      </c>
      <c r="O199" s="1580">
        <v>13</v>
      </c>
      <c r="P199" s="1578">
        <v>14</v>
      </c>
      <c r="Q199" s="1578">
        <v>15</v>
      </c>
      <c r="R199" s="1578">
        <v>16</v>
      </c>
      <c r="S199" s="1578">
        <v>17</v>
      </c>
      <c r="T199" s="1578">
        <v>18</v>
      </c>
      <c r="U199" s="1580">
        <v>19</v>
      </c>
      <c r="V199" s="1580">
        <v>20</v>
      </c>
      <c r="W199" s="1578">
        <v>21</v>
      </c>
      <c r="X199" s="1578">
        <v>22</v>
      </c>
      <c r="Y199" s="1578">
        <v>23</v>
      </c>
      <c r="Z199" s="1578">
        <v>24</v>
      </c>
      <c r="AA199" s="1578">
        <v>25</v>
      </c>
      <c r="AB199" s="1580">
        <v>26</v>
      </c>
      <c r="AC199" s="1580">
        <v>27</v>
      </c>
      <c r="AD199" s="1578">
        <v>28</v>
      </c>
      <c r="AE199" s="1578">
        <v>29</v>
      </c>
      <c r="AF199" s="1578">
        <v>30</v>
      </c>
      <c r="AG199" s="1578">
        <v>31</v>
      </c>
    </row>
    <row r="200" spans="1:33" ht="18" customHeight="1">
      <c r="A200" s="2814">
        <v>1</v>
      </c>
      <c r="B200" s="2847" t="s">
        <v>247</v>
      </c>
      <c r="C200" s="1645" t="s">
        <v>40</v>
      </c>
      <c r="D200" s="1645" t="s">
        <v>40</v>
      </c>
      <c r="E200" s="1645" t="s">
        <v>40</v>
      </c>
      <c r="F200" s="1645" t="s">
        <v>40</v>
      </c>
      <c r="G200" s="2848"/>
      <c r="H200" s="1645"/>
      <c r="I200" s="1645" t="s">
        <v>40</v>
      </c>
      <c r="J200" s="1645" t="s">
        <v>40</v>
      </c>
      <c r="K200" s="1645" t="s">
        <v>40</v>
      </c>
      <c r="L200" s="1645" t="s">
        <v>40</v>
      </c>
      <c r="M200" s="1645" t="s">
        <v>40</v>
      </c>
      <c r="N200" s="1645"/>
      <c r="O200" s="1645"/>
      <c r="P200" s="1819" t="s">
        <v>40</v>
      </c>
      <c r="Q200" s="1819" t="s">
        <v>40</v>
      </c>
      <c r="R200" s="1819" t="s">
        <v>40</v>
      </c>
      <c r="S200" s="1819" t="s">
        <v>40</v>
      </c>
      <c r="T200" s="1819" t="s">
        <v>40</v>
      </c>
      <c r="U200" s="1819" t="s">
        <v>248</v>
      </c>
      <c r="V200" s="1819"/>
      <c r="W200" s="1819" t="s">
        <v>40</v>
      </c>
      <c r="X200" s="1819" t="s">
        <v>40</v>
      </c>
      <c r="Y200" s="1819" t="s">
        <v>40</v>
      </c>
      <c r="Z200" s="1819" t="s">
        <v>40</v>
      </c>
      <c r="AA200" s="1819" t="s">
        <v>40</v>
      </c>
      <c r="AB200" s="1819"/>
      <c r="AC200" s="1819"/>
      <c r="AD200" s="1819" t="s">
        <v>40</v>
      </c>
      <c r="AE200" s="1819" t="s">
        <v>40</v>
      </c>
      <c r="AF200" s="1819" t="s">
        <v>40</v>
      </c>
      <c r="AG200" s="1819" t="s">
        <v>40</v>
      </c>
    </row>
    <row r="201" spans="1:33" ht="18" customHeight="1">
      <c r="A201" s="2818">
        <v>2</v>
      </c>
      <c r="B201" s="2849" t="s">
        <v>249</v>
      </c>
      <c r="C201" s="2587" t="s">
        <v>250</v>
      </c>
      <c r="D201" s="2587" t="s">
        <v>250</v>
      </c>
      <c r="E201" s="2587" t="s">
        <v>250</v>
      </c>
      <c r="F201" s="2587" t="s">
        <v>250</v>
      </c>
      <c r="G201" s="2587"/>
      <c r="H201" s="2587"/>
      <c r="I201" s="2587" t="s">
        <v>248</v>
      </c>
      <c r="J201" s="2587" t="s">
        <v>248</v>
      </c>
      <c r="K201" s="2587" t="s">
        <v>248</v>
      </c>
      <c r="L201" s="2587" t="s">
        <v>248</v>
      </c>
      <c r="M201" s="2587" t="s">
        <v>248</v>
      </c>
      <c r="N201" s="2587" t="s">
        <v>248</v>
      </c>
      <c r="O201" s="2587"/>
      <c r="P201" s="2587" t="s">
        <v>251</v>
      </c>
      <c r="Q201" s="2587" t="s">
        <v>251</v>
      </c>
      <c r="R201" s="2587" t="s">
        <v>251</v>
      </c>
      <c r="S201" s="2587" t="s">
        <v>251</v>
      </c>
      <c r="T201" s="2587" t="s">
        <v>46</v>
      </c>
      <c r="U201" s="2587"/>
      <c r="V201" s="2587"/>
      <c r="W201" s="2601" t="s">
        <v>250</v>
      </c>
      <c r="X201" s="2601" t="s">
        <v>250</v>
      </c>
      <c r="Y201" s="2601" t="s">
        <v>250</v>
      </c>
      <c r="Z201" s="2601" t="s">
        <v>250</v>
      </c>
      <c r="AA201" s="2601" t="s">
        <v>250</v>
      </c>
      <c r="AB201" s="2601"/>
      <c r="AC201" s="2601"/>
      <c r="AD201" s="2601" t="s">
        <v>248</v>
      </c>
      <c r="AE201" s="2601" t="s">
        <v>248</v>
      </c>
      <c r="AF201" s="2601" t="s">
        <v>248</v>
      </c>
      <c r="AG201" s="2601" t="s">
        <v>248</v>
      </c>
    </row>
    <row r="202" spans="1:33" ht="18" customHeight="1">
      <c r="A202" s="2818">
        <v>3</v>
      </c>
      <c r="B202" s="2850" t="s">
        <v>252</v>
      </c>
      <c r="C202" s="2584" t="s">
        <v>248</v>
      </c>
      <c r="D202" s="2584" t="s">
        <v>248</v>
      </c>
      <c r="E202" s="2601" t="s">
        <v>248</v>
      </c>
      <c r="F202" s="2601" t="s">
        <v>248</v>
      </c>
      <c r="G202" s="2601" t="s">
        <v>248</v>
      </c>
      <c r="H202" s="2601"/>
      <c r="I202" s="2601" t="s">
        <v>251</v>
      </c>
      <c r="J202" s="2601" t="s">
        <v>251</v>
      </c>
      <c r="K202" s="2601" t="s">
        <v>251</v>
      </c>
      <c r="L202" s="2601" t="s">
        <v>251</v>
      </c>
      <c r="M202" s="2601" t="s">
        <v>46</v>
      </c>
      <c r="N202" s="2584"/>
      <c r="O202" s="2584"/>
      <c r="P202" s="2601" t="s">
        <v>250</v>
      </c>
      <c r="Q202" s="2601" t="s">
        <v>250</v>
      </c>
      <c r="R202" s="2601" t="s">
        <v>250</v>
      </c>
      <c r="S202" s="2601" t="s">
        <v>250</v>
      </c>
      <c r="T202" s="2601" t="s">
        <v>250</v>
      </c>
      <c r="U202" s="2584"/>
      <c r="V202" s="2601"/>
      <c r="W202" s="2601" t="s">
        <v>248</v>
      </c>
      <c r="X202" s="2584" t="s">
        <v>248</v>
      </c>
      <c r="Y202" s="2584" t="s">
        <v>248</v>
      </c>
      <c r="Z202" s="2601" t="s">
        <v>248</v>
      </c>
      <c r="AA202" s="2601" t="s">
        <v>248</v>
      </c>
      <c r="AB202" s="2601" t="s">
        <v>248</v>
      </c>
      <c r="AC202" s="2601"/>
      <c r="AD202" s="2601" t="s">
        <v>251</v>
      </c>
      <c r="AE202" s="2601" t="s">
        <v>251</v>
      </c>
      <c r="AF202" s="2601" t="s">
        <v>251</v>
      </c>
      <c r="AG202" s="2601" t="s">
        <v>251</v>
      </c>
    </row>
    <row r="203" spans="1:33" ht="18" customHeight="1">
      <c r="A203" s="2818">
        <v>4</v>
      </c>
      <c r="B203" s="2850" t="s">
        <v>253</v>
      </c>
      <c r="C203" s="2601"/>
      <c r="D203" s="2601"/>
      <c r="E203" s="2601"/>
      <c r="F203" s="2601"/>
      <c r="G203" s="2601"/>
      <c r="H203" s="2601"/>
      <c r="I203" s="2601"/>
      <c r="J203" s="2601"/>
      <c r="K203" s="2601"/>
      <c r="L203" s="2601"/>
      <c r="M203" s="2601"/>
      <c r="N203" s="2585"/>
      <c r="O203" s="2601"/>
      <c r="P203" s="2601"/>
      <c r="Q203" s="2601"/>
      <c r="R203" s="2601"/>
      <c r="S203" s="2601"/>
      <c r="T203" s="2601"/>
      <c r="U203" s="2601"/>
      <c r="V203" s="2601"/>
      <c r="W203" s="2601"/>
      <c r="X203" s="2601"/>
      <c r="Y203" s="2601"/>
      <c r="Z203" s="2601"/>
      <c r="AA203" s="2601"/>
      <c r="AB203" s="2601"/>
      <c r="AC203" s="2601"/>
      <c r="AD203" s="2601"/>
      <c r="AE203" s="2601"/>
      <c r="AF203" s="2601"/>
      <c r="AG203" s="2601"/>
    </row>
    <row r="204" spans="1:33" ht="18" customHeight="1">
      <c r="A204" s="2818">
        <v>5</v>
      </c>
      <c r="B204" s="2850"/>
      <c r="C204" s="2601"/>
      <c r="D204" s="2601"/>
      <c r="E204" s="2584"/>
      <c r="F204" s="2584"/>
      <c r="G204" s="2617"/>
      <c r="H204" s="2617"/>
      <c r="I204" s="2617"/>
      <c r="J204" s="2617"/>
      <c r="K204" s="2617"/>
      <c r="L204" s="2617"/>
      <c r="M204" s="2617"/>
      <c r="N204" s="2617"/>
      <c r="O204" s="2584"/>
      <c r="P204" s="2584"/>
      <c r="Q204" s="2617"/>
      <c r="R204" s="2617"/>
      <c r="S204" s="2617"/>
      <c r="T204" s="2617"/>
      <c r="U204" s="2617"/>
      <c r="V204" s="2617"/>
      <c r="W204" s="2617"/>
      <c r="X204" s="2601"/>
      <c r="Y204" s="2601"/>
      <c r="Z204" s="2584"/>
      <c r="AA204" s="2584"/>
      <c r="AB204" s="2617"/>
      <c r="AC204" s="2617"/>
      <c r="AD204" s="2617"/>
      <c r="AE204" s="2617"/>
      <c r="AF204" s="2617"/>
      <c r="AG204" s="2617"/>
    </row>
    <row r="205" spans="1:33" ht="18" customHeight="1">
      <c r="A205" s="2818">
        <v>6</v>
      </c>
      <c r="B205" s="2583"/>
      <c r="C205" s="2601"/>
      <c r="D205" s="2601"/>
      <c r="E205" s="2584"/>
      <c r="F205" s="2584"/>
      <c r="G205" s="2617"/>
      <c r="H205" s="2617"/>
      <c r="I205" s="2617"/>
      <c r="J205" s="2617"/>
      <c r="K205" s="2617"/>
      <c r="L205" s="2617"/>
      <c r="M205" s="2617"/>
      <c r="N205" s="2617"/>
      <c r="O205" s="2584"/>
      <c r="P205" s="2584"/>
      <c r="Q205" s="2617"/>
      <c r="R205" s="2617"/>
      <c r="S205" s="2617"/>
      <c r="T205" s="2617"/>
      <c r="U205" s="2617"/>
      <c r="V205" s="2617"/>
      <c r="W205" s="2617"/>
      <c r="X205" s="2601"/>
      <c r="Y205" s="2601"/>
      <c r="Z205" s="2584"/>
      <c r="AA205" s="2584"/>
      <c r="AB205" s="2617"/>
      <c r="AC205" s="2617"/>
      <c r="AD205" s="2617"/>
      <c r="AE205" s="2617"/>
      <c r="AF205" s="2617"/>
      <c r="AG205" s="2617"/>
    </row>
    <row r="209" spans="1:31" ht="18" customHeight="1">
      <c r="A209" s="90" t="s">
        <v>254</v>
      </c>
      <c r="B209" s="48"/>
      <c r="C209" s="64"/>
      <c r="D209" s="48"/>
      <c r="E209" s="48"/>
      <c r="F209" s="64"/>
      <c r="G209" s="48"/>
      <c r="H209" s="48"/>
      <c r="I209" s="64"/>
      <c r="J209" s="64"/>
      <c r="K209" s="48"/>
      <c r="L209" s="64"/>
      <c r="M209" s="48"/>
      <c r="N209" s="48"/>
      <c r="O209" s="64"/>
      <c r="P209" s="48"/>
      <c r="Q209" s="64"/>
      <c r="R209" s="64"/>
      <c r="S209" s="48"/>
      <c r="T209" s="48"/>
      <c r="U209" s="64"/>
      <c r="V209" s="48"/>
      <c r="W209" s="64"/>
      <c r="X209" s="64"/>
      <c r="Y209" s="48"/>
      <c r="Z209" s="48"/>
      <c r="AA209" s="48"/>
      <c r="AB209" s="48"/>
      <c r="AC209" s="48"/>
      <c r="AD209" s="48"/>
      <c r="AE209" s="64"/>
    </row>
    <row r="210" spans="1:31" ht="18" customHeight="1">
      <c r="A210" s="67"/>
      <c r="B210" s="2851" t="s">
        <v>255</v>
      </c>
      <c r="C210" s="2852"/>
      <c r="D210" s="2853" t="s">
        <v>19</v>
      </c>
      <c r="E210" s="1457"/>
      <c r="F210" s="2854"/>
      <c r="G210" s="2855"/>
      <c r="H210" s="2853" t="s">
        <v>20</v>
      </c>
      <c r="I210" s="1457"/>
      <c r="J210" s="2854"/>
      <c r="K210" s="2855"/>
      <c r="L210" s="2853" t="s">
        <v>21</v>
      </c>
      <c r="M210" s="1457"/>
      <c r="N210" s="2854"/>
      <c r="O210" s="2855"/>
      <c r="P210" s="2853" t="s">
        <v>22</v>
      </c>
      <c r="Q210" s="1457"/>
      <c r="R210" s="2854"/>
      <c r="S210" s="2855"/>
      <c r="T210" s="2853" t="s">
        <v>23</v>
      </c>
      <c r="U210" s="1457"/>
      <c r="V210" s="2854"/>
      <c r="W210" s="2855"/>
      <c r="X210" s="2853" t="s">
        <v>24</v>
      </c>
      <c r="Y210" s="1457"/>
      <c r="Z210" s="2854"/>
      <c r="AA210" s="2855"/>
      <c r="AB210" s="2853" t="s">
        <v>25</v>
      </c>
      <c r="AC210" s="1457"/>
      <c r="AD210" s="1457"/>
      <c r="AE210" s="2856" t="s">
        <v>108</v>
      </c>
    </row>
    <row r="211" spans="1:31" ht="18" customHeight="1">
      <c r="A211" s="67"/>
      <c r="B211" s="2567" t="s">
        <v>256</v>
      </c>
      <c r="C211" s="2857" t="s">
        <v>257</v>
      </c>
      <c r="D211" s="2858" t="s">
        <v>439</v>
      </c>
      <c r="E211" s="2859"/>
      <c r="F211" s="2860"/>
      <c r="G211" s="2861"/>
      <c r="H211" s="2858" t="s">
        <v>439</v>
      </c>
      <c r="I211" s="2862"/>
      <c r="J211" s="2860"/>
      <c r="K211" s="2861"/>
      <c r="L211" s="2858" t="s">
        <v>439</v>
      </c>
      <c r="M211" s="2862"/>
      <c r="N211" s="2860"/>
      <c r="O211" s="2861"/>
      <c r="P211" s="2863" t="s">
        <v>440</v>
      </c>
      <c r="Q211" s="2862"/>
      <c r="R211" s="2860"/>
      <c r="S211" s="2861"/>
      <c r="T211" s="2863" t="s">
        <v>441</v>
      </c>
      <c r="U211" s="2862"/>
      <c r="V211" s="2860"/>
      <c r="W211" s="2864"/>
      <c r="X211" s="2571"/>
      <c r="Y211" s="2571"/>
      <c r="Z211" s="2865"/>
      <c r="AA211" s="2864"/>
      <c r="AB211" s="2571"/>
      <c r="AC211" s="2571"/>
      <c r="AD211" s="2571"/>
      <c r="AE211" s="2864"/>
    </row>
    <row r="212" spans="1:31" ht="18" customHeight="1">
      <c r="A212" s="67"/>
      <c r="B212" s="2567" t="s">
        <v>261</v>
      </c>
      <c r="C212" s="2857" t="s">
        <v>130</v>
      </c>
      <c r="D212" s="2858" t="s">
        <v>439</v>
      </c>
      <c r="E212" s="2859"/>
      <c r="F212" s="2860"/>
      <c r="G212" s="2861"/>
      <c r="H212" s="2858" t="s">
        <v>439</v>
      </c>
      <c r="I212" s="2862"/>
      <c r="J212" s="2860"/>
      <c r="K212" s="2861"/>
      <c r="L212" s="2863" t="s">
        <v>442</v>
      </c>
      <c r="M212" s="2862"/>
      <c r="N212" s="2860"/>
      <c r="O212" s="2861"/>
      <c r="P212" s="2863" t="s">
        <v>443</v>
      </c>
      <c r="Q212" s="2862"/>
      <c r="R212" s="2860"/>
      <c r="S212" s="2861"/>
      <c r="T212" s="2863" t="s">
        <v>289</v>
      </c>
      <c r="U212" s="2862"/>
      <c r="V212" s="2860"/>
      <c r="W212" s="2864"/>
      <c r="X212" s="2571"/>
      <c r="Y212" s="2571"/>
      <c r="Z212" s="2865"/>
      <c r="AA212" s="2864"/>
      <c r="AB212" s="2571"/>
      <c r="AC212" s="2571"/>
      <c r="AD212" s="2571"/>
      <c r="AE212" s="2864"/>
    </row>
    <row r="213" spans="1:31" ht="18" customHeight="1">
      <c r="A213" s="67"/>
      <c r="B213" s="2567" t="s">
        <v>265</v>
      </c>
      <c r="C213" s="2857" t="s">
        <v>153</v>
      </c>
      <c r="D213" s="2858" t="s">
        <v>444</v>
      </c>
      <c r="E213" s="2859"/>
      <c r="F213" s="2860"/>
      <c r="G213" s="2861"/>
      <c r="H213" s="2858" t="s">
        <v>444</v>
      </c>
      <c r="I213" s="2862"/>
      <c r="J213" s="2860"/>
      <c r="K213" s="2861"/>
      <c r="L213" s="2858" t="s">
        <v>444</v>
      </c>
      <c r="M213" s="2862"/>
      <c r="N213" s="2860"/>
      <c r="O213" s="2861"/>
      <c r="P213" s="2863" t="s">
        <v>267</v>
      </c>
      <c r="Q213" s="2862"/>
      <c r="R213" s="2860"/>
      <c r="S213" s="2861"/>
      <c r="T213" s="2863" t="s">
        <v>289</v>
      </c>
      <c r="U213" s="2862"/>
      <c r="V213" s="2860"/>
      <c r="W213" s="2864"/>
      <c r="X213" s="2571"/>
      <c r="Y213" s="2571"/>
      <c r="Z213" s="2865"/>
      <c r="AA213" s="2864"/>
      <c r="AB213" s="2571"/>
      <c r="AC213" s="2571"/>
      <c r="AD213" s="2571"/>
      <c r="AE213" s="2864"/>
    </row>
    <row r="214" spans="1:31" ht="18" customHeight="1">
      <c r="A214" s="67"/>
      <c r="B214" s="2866" t="s">
        <v>272</v>
      </c>
      <c r="C214" s="2857" t="s">
        <v>128</v>
      </c>
      <c r="D214" s="2858" t="s">
        <v>445</v>
      </c>
      <c r="E214" s="2859"/>
      <c r="F214" s="2867"/>
      <c r="G214" s="2868"/>
      <c r="H214" s="2858" t="s">
        <v>445</v>
      </c>
      <c r="I214" s="2869"/>
      <c r="J214" s="2867"/>
      <c r="K214" s="2868"/>
      <c r="L214" s="2858" t="s">
        <v>445</v>
      </c>
      <c r="M214" s="2869"/>
      <c r="N214" s="2867"/>
      <c r="O214" s="2868"/>
      <c r="P214" s="2863" t="s">
        <v>274</v>
      </c>
      <c r="Q214" s="2869"/>
      <c r="R214" s="2867"/>
      <c r="S214" s="2868"/>
      <c r="T214" s="2863" t="s">
        <v>289</v>
      </c>
      <c r="U214" s="2869"/>
      <c r="V214" s="2570"/>
      <c r="W214" s="2870"/>
      <c r="X214" s="2871"/>
      <c r="Y214" s="2871"/>
      <c r="Z214" s="2872"/>
      <c r="AA214" s="2870"/>
      <c r="AB214" s="2871"/>
      <c r="AC214" s="2871"/>
      <c r="AD214" s="2871"/>
      <c r="AE214" s="2870"/>
    </row>
    <row r="215" spans="1:31" ht="18" customHeight="1">
      <c r="A215" s="67"/>
      <c r="B215" s="2567" t="s">
        <v>275</v>
      </c>
      <c r="C215" s="2857" t="s">
        <v>127</v>
      </c>
      <c r="D215" s="2858" t="s">
        <v>276</v>
      </c>
      <c r="E215" s="2859"/>
      <c r="F215" s="2860"/>
      <c r="G215" s="2861"/>
      <c r="H215" s="2858" t="s">
        <v>276</v>
      </c>
      <c r="I215" s="2862"/>
      <c r="J215" s="2860"/>
      <c r="K215" s="2861"/>
      <c r="L215" s="2858" t="s">
        <v>276</v>
      </c>
      <c r="M215" s="2862"/>
      <c r="N215" s="2860"/>
      <c r="O215" s="2861"/>
      <c r="P215" s="2863" t="s">
        <v>277</v>
      </c>
      <c r="Q215" s="2862"/>
      <c r="R215" s="2860"/>
      <c r="S215" s="2861"/>
      <c r="T215" s="2863" t="s">
        <v>289</v>
      </c>
      <c r="U215" s="2862"/>
      <c r="V215" s="2860"/>
      <c r="W215" s="2864"/>
      <c r="X215" s="2571"/>
      <c r="Y215" s="2571"/>
      <c r="Z215" s="2571"/>
      <c r="AA215" s="2864"/>
      <c r="AB215" s="2571"/>
      <c r="AC215" s="2571"/>
      <c r="AD215" s="2571"/>
      <c r="AE215" s="2864"/>
    </row>
    <row r="216" spans="1:31" ht="18" customHeight="1">
      <c r="A216" s="67"/>
      <c r="B216" s="2567" t="s">
        <v>446</v>
      </c>
      <c r="C216" s="2857" t="s">
        <v>403</v>
      </c>
      <c r="D216" s="2858" t="s">
        <v>447</v>
      </c>
      <c r="E216" s="2859"/>
      <c r="F216" s="2860"/>
      <c r="G216" s="2861"/>
      <c r="H216" s="2858" t="s">
        <v>447</v>
      </c>
      <c r="I216" s="2862"/>
      <c r="J216" s="2860"/>
      <c r="K216" s="2861"/>
      <c r="L216" s="2858" t="s">
        <v>447</v>
      </c>
      <c r="M216" s="2862"/>
      <c r="N216" s="2862"/>
      <c r="O216" s="2861"/>
      <c r="P216" s="2858" t="s">
        <v>447</v>
      </c>
      <c r="Q216" s="2862"/>
      <c r="R216" s="2862"/>
      <c r="S216" s="2861"/>
      <c r="T216" s="2863" t="s">
        <v>289</v>
      </c>
      <c r="U216" s="2862"/>
      <c r="V216" s="2860"/>
      <c r="W216" s="2567"/>
      <c r="X216" s="2571"/>
      <c r="Y216" s="2571"/>
      <c r="Z216" s="2571"/>
      <c r="AA216" s="2864"/>
      <c r="AB216" s="2571"/>
      <c r="AC216" s="2571"/>
      <c r="AD216" s="2571"/>
      <c r="AE216" s="2864"/>
    </row>
    <row r="217" spans="1:31" ht="18" customHeight="1">
      <c r="A217" s="67"/>
      <c r="B217" s="2567" t="s">
        <v>278</v>
      </c>
      <c r="C217" s="2857" t="s">
        <v>116</v>
      </c>
      <c r="D217" s="2858" t="s">
        <v>447</v>
      </c>
      <c r="E217" s="2859"/>
      <c r="F217" s="2860"/>
      <c r="G217" s="2861"/>
      <c r="H217" s="2858" t="s">
        <v>447</v>
      </c>
      <c r="I217" s="2862"/>
      <c r="J217" s="2860"/>
      <c r="K217" s="2861"/>
      <c r="L217" s="2858" t="s">
        <v>447</v>
      </c>
      <c r="M217" s="2862"/>
      <c r="N217" s="2862"/>
      <c r="O217" s="2861"/>
      <c r="P217" s="2858" t="s">
        <v>447</v>
      </c>
      <c r="Q217" s="2862"/>
      <c r="R217" s="2862"/>
      <c r="S217" s="2861"/>
      <c r="T217" s="2863" t="s">
        <v>289</v>
      </c>
      <c r="U217" s="2862"/>
      <c r="V217" s="2860"/>
      <c r="W217" s="2567"/>
      <c r="X217" s="2571"/>
      <c r="Y217" s="2571"/>
      <c r="Z217" s="2865"/>
      <c r="AA217" s="2873"/>
      <c r="AB217" s="2571"/>
      <c r="AC217" s="2571"/>
      <c r="AD217" s="2571"/>
      <c r="AE217" s="2864"/>
    </row>
    <row r="218" spans="1:31" ht="18" customHeight="1">
      <c r="A218" s="67"/>
      <c r="B218" s="2567" t="s">
        <v>280</v>
      </c>
      <c r="C218" s="2857" t="s">
        <v>123</v>
      </c>
      <c r="D218" s="2858" t="s">
        <v>448</v>
      </c>
      <c r="E218" s="2859"/>
      <c r="F218" s="2860"/>
      <c r="G218" s="2861"/>
      <c r="H218" s="2858" t="s">
        <v>448</v>
      </c>
      <c r="I218" s="2858"/>
      <c r="J218" s="2860"/>
      <c r="K218" s="2861"/>
      <c r="L218" s="2858" t="s">
        <v>448</v>
      </c>
      <c r="M218" s="2858"/>
      <c r="N218" s="2862"/>
      <c r="O218" s="2861"/>
      <c r="P218" s="2863" t="s">
        <v>449</v>
      </c>
      <c r="Q218" s="2862"/>
      <c r="R218" s="2862"/>
      <c r="S218" s="2861"/>
      <c r="T218" s="2863" t="s">
        <v>450</v>
      </c>
      <c r="U218" s="2862"/>
      <c r="V218" s="2860"/>
      <c r="AA218" s="110"/>
      <c r="AE218" s="110"/>
    </row>
    <row r="219" spans="1:31" ht="18" customHeight="1">
      <c r="A219" s="67"/>
      <c r="B219" t="s">
        <v>284</v>
      </c>
      <c r="C219" s="110"/>
      <c r="F219" s="110"/>
      <c r="I219" s="110"/>
      <c r="J219" s="110"/>
      <c r="L219" s="110"/>
      <c r="O219" s="110"/>
      <c r="Q219" s="110"/>
      <c r="R219" s="110"/>
      <c r="U219" s="110"/>
      <c r="W219" s="110"/>
      <c r="X219" s="110"/>
      <c r="AE219" s="110"/>
    </row>
    <row r="220" spans="1:31" ht="18" customHeight="1">
      <c r="A220" s="67"/>
      <c r="B220" s="2851" t="s">
        <v>255</v>
      </c>
      <c r="C220" s="2874"/>
      <c r="D220" s="2853" t="s">
        <v>19</v>
      </c>
      <c r="E220" s="1457"/>
      <c r="F220" s="2854"/>
      <c r="G220" s="2855"/>
      <c r="H220" s="2853" t="s">
        <v>20</v>
      </c>
      <c r="I220" s="1457"/>
      <c r="J220" s="2854"/>
      <c r="K220" s="2855"/>
      <c r="L220" s="2853" t="s">
        <v>21</v>
      </c>
      <c r="M220" s="1457"/>
      <c r="N220" s="2854"/>
      <c r="O220" s="2855"/>
      <c r="P220" s="2853" t="s">
        <v>22</v>
      </c>
      <c r="Q220" s="1457"/>
      <c r="R220" s="2854"/>
      <c r="S220" s="2855"/>
      <c r="T220" s="2853" t="s">
        <v>23</v>
      </c>
      <c r="U220" s="1457"/>
      <c r="V220" s="2854"/>
      <c r="W220" s="2855"/>
      <c r="X220" s="2853" t="s">
        <v>24</v>
      </c>
      <c r="Y220" s="1457"/>
      <c r="Z220" s="2854"/>
      <c r="AA220" s="2855"/>
      <c r="AB220" s="2853" t="s">
        <v>25</v>
      </c>
      <c r="AC220" s="1457"/>
      <c r="AD220" s="1457"/>
      <c r="AE220" s="2856" t="s">
        <v>108</v>
      </c>
    </row>
    <row r="221" spans="1:31" ht="18" customHeight="1">
      <c r="A221" s="67"/>
      <c r="B221" s="2567" t="s">
        <v>256</v>
      </c>
      <c r="C221" s="2857" t="s">
        <v>257</v>
      </c>
      <c r="D221" s="2858" t="s">
        <v>285</v>
      </c>
      <c r="E221" s="2859"/>
      <c r="F221" s="2860"/>
      <c r="G221" s="2861"/>
      <c r="H221" s="2858" t="s">
        <v>285</v>
      </c>
      <c r="I221" s="2862"/>
      <c r="J221" s="2860"/>
      <c r="K221" s="2861"/>
      <c r="L221" s="2858" t="s">
        <v>285</v>
      </c>
      <c r="M221" s="2862"/>
      <c r="N221" s="2860"/>
      <c r="O221" s="2861"/>
      <c r="P221" s="2863" t="s">
        <v>286</v>
      </c>
      <c r="Q221" s="2862"/>
      <c r="R221" s="2860"/>
      <c r="S221" s="2861"/>
      <c r="T221" s="2863" t="s">
        <v>287</v>
      </c>
      <c r="U221" s="2862"/>
      <c r="V221" s="2860"/>
      <c r="W221" s="2744"/>
      <c r="X221" s="2571"/>
      <c r="Y221" s="2571"/>
      <c r="Z221" s="2570"/>
      <c r="AA221" s="2744"/>
      <c r="AB221" s="2571"/>
      <c r="AC221" s="2571"/>
      <c r="AD221" s="2571"/>
      <c r="AE221" s="2744"/>
    </row>
    <row r="222" spans="1:31" ht="18" customHeight="1">
      <c r="A222" s="67"/>
      <c r="B222" s="2567" t="s">
        <v>261</v>
      </c>
      <c r="C222" s="2857" t="s">
        <v>130</v>
      </c>
      <c r="D222" s="2858" t="s">
        <v>285</v>
      </c>
      <c r="E222" s="2859"/>
      <c r="F222" s="2860"/>
      <c r="G222" s="2861"/>
      <c r="H222" s="2858" t="s">
        <v>285</v>
      </c>
      <c r="I222" s="2862"/>
      <c r="J222" s="2860"/>
      <c r="K222" s="2861"/>
      <c r="L222" s="2863" t="s">
        <v>262</v>
      </c>
      <c r="M222" s="2862"/>
      <c r="N222" s="2860"/>
      <c r="O222" s="2861"/>
      <c r="P222" s="2863" t="s">
        <v>288</v>
      </c>
      <c r="Q222" s="2862"/>
      <c r="R222" s="2860"/>
      <c r="S222" s="2861"/>
      <c r="T222" s="2863" t="s">
        <v>289</v>
      </c>
      <c r="U222" s="2862"/>
      <c r="V222" s="2860"/>
      <c r="W222" s="2744"/>
      <c r="X222" s="2571"/>
      <c r="Y222" s="2571"/>
      <c r="Z222" s="2570"/>
      <c r="AA222" s="2744"/>
      <c r="AB222" s="2571"/>
      <c r="AC222" s="2571"/>
      <c r="AD222" s="2571"/>
      <c r="AE222" s="2744"/>
    </row>
    <row r="223" spans="1:31" ht="18" customHeight="1">
      <c r="A223" s="67"/>
      <c r="B223" s="2567" t="s">
        <v>265</v>
      </c>
      <c r="C223" s="2857" t="s">
        <v>153</v>
      </c>
      <c r="D223" s="2858" t="s">
        <v>285</v>
      </c>
      <c r="E223" s="2859"/>
      <c r="F223" s="2860"/>
      <c r="G223" s="2861"/>
      <c r="H223" s="2858" t="s">
        <v>285</v>
      </c>
      <c r="I223" s="2862"/>
      <c r="J223" s="2860"/>
      <c r="K223" s="2861"/>
      <c r="L223" s="2858" t="s">
        <v>285</v>
      </c>
      <c r="M223" s="2862"/>
      <c r="N223" s="2860"/>
      <c r="O223" s="2861"/>
      <c r="P223" s="2863" t="s">
        <v>290</v>
      </c>
      <c r="Q223" s="2862"/>
      <c r="R223" s="2860"/>
      <c r="S223" s="2861"/>
      <c r="T223" s="2863" t="s">
        <v>289</v>
      </c>
      <c r="U223" s="2862"/>
      <c r="V223" s="2860"/>
      <c r="W223" s="2744"/>
      <c r="X223" s="2571"/>
      <c r="Y223" s="2571"/>
      <c r="Z223" s="2570"/>
      <c r="AA223" s="2744"/>
      <c r="AB223" s="2571"/>
      <c r="AC223" s="2571"/>
      <c r="AD223" s="2571"/>
      <c r="AE223" s="2744"/>
    </row>
    <row r="224" spans="1:31" ht="18" customHeight="1">
      <c r="A224" s="67"/>
      <c r="B224" s="2866" t="s">
        <v>272</v>
      </c>
      <c r="C224" s="2857" t="s">
        <v>128</v>
      </c>
      <c r="D224" s="2858" t="s">
        <v>285</v>
      </c>
      <c r="E224" s="2859"/>
      <c r="F224" s="2860"/>
      <c r="G224" s="2861"/>
      <c r="H224" s="2858" t="s">
        <v>285</v>
      </c>
      <c r="I224" s="2862"/>
      <c r="J224" s="2860"/>
      <c r="K224" s="2861"/>
      <c r="L224" s="2858" t="s">
        <v>285</v>
      </c>
      <c r="M224" s="2862"/>
      <c r="N224" s="2860"/>
      <c r="O224" s="2861"/>
      <c r="P224" s="2863" t="s">
        <v>290</v>
      </c>
      <c r="Q224" s="2862"/>
      <c r="R224" s="2860"/>
      <c r="S224" s="2861"/>
      <c r="T224" s="2863" t="s">
        <v>289</v>
      </c>
      <c r="U224" s="2862"/>
      <c r="V224" s="2860"/>
      <c r="W224" s="2870"/>
      <c r="X224" s="2871"/>
      <c r="Y224" s="2871"/>
      <c r="Z224" s="2872"/>
      <c r="AA224" s="2870"/>
      <c r="AB224" s="2871"/>
      <c r="AC224" s="2871"/>
      <c r="AD224" s="2871"/>
      <c r="AE224" s="2870"/>
    </row>
    <row r="225" spans="1:34" ht="18" customHeight="1">
      <c r="A225" s="67"/>
      <c r="B225" s="2567" t="s">
        <v>275</v>
      </c>
      <c r="C225" s="2857" t="s">
        <v>127</v>
      </c>
      <c r="D225" s="2858" t="s">
        <v>285</v>
      </c>
      <c r="E225" s="2859"/>
      <c r="F225" s="2860"/>
      <c r="G225" s="2861"/>
      <c r="H225" s="2858" t="s">
        <v>285</v>
      </c>
      <c r="I225" s="2862"/>
      <c r="J225" s="2860"/>
      <c r="K225" s="2861"/>
      <c r="L225" s="2858" t="s">
        <v>285</v>
      </c>
      <c r="M225" s="2862"/>
      <c r="N225" s="2860"/>
      <c r="O225" s="2861"/>
      <c r="P225" s="2863" t="s">
        <v>286</v>
      </c>
      <c r="Q225" s="2862"/>
      <c r="R225" s="2860"/>
      <c r="S225" s="2861"/>
      <c r="T225" s="2863" t="s">
        <v>287</v>
      </c>
      <c r="U225" s="2862"/>
      <c r="V225" s="2860"/>
      <c r="W225" s="2744"/>
      <c r="X225" s="2571"/>
      <c r="Y225" s="2571"/>
      <c r="Z225" s="2571"/>
      <c r="AA225" s="2744"/>
      <c r="AB225" s="2571"/>
      <c r="AC225" s="2571"/>
      <c r="AD225" s="2571"/>
      <c r="AE225" s="2744"/>
      <c r="AF225" s="2571"/>
      <c r="AG225" s="2875"/>
    </row>
    <row r="226" spans="1:34" ht="18" customHeight="1">
      <c r="A226" s="67"/>
      <c r="B226" s="2567" t="s">
        <v>278</v>
      </c>
      <c r="C226" s="2857" t="s">
        <v>116</v>
      </c>
      <c r="D226" s="2858" t="s">
        <v>447</v>
      </c>
      <c r="E226" s="2859"/>
      <c r="F226" s="2860"/>
      <c r="G226" s="2861"/>
      <c r="H226" s="2863" t="s">
        <v>447</v>
      </c>
      <c r="I226" s="2862"/>
      <c r="J226" s="2860"/>
      <c r="K226" s="2861"/>
      <c r="L226" s="2858" t="s">
        <v>447</v>
      </c>
      <c r="M226" s="2862"/>
      <c r="N226" s="2862"/>
      <c r="O226" s="2861"/>
      <c r="P226" s="2863" t="s">
        <v>447</v>
      </c>
      <c r="Q226" s="2862"/>
      <c r="R226" s="2862"/>
      <c r="S226" s="2861"/>
      <c r="T226" s="2863" t="s">
        <v>289</v>
      </c>
      <c r="U226" s="2862"/>
      <c r="V226" s="2860"/>
      <c r="W226" s="2567"/>
      <c r="X226" s="2571"/>
      <c r="Y226" s="2571"/>
      <c r="Z226" s="2570"/>
      <c r="AA226" s="2873"/>
      <c r="AB226" s="2571"/>
      <c r="AC226" s="2571"/>
      <c r="AD226" s="2571"/>
      <c r="AE226" s="2744"/>
      <c r="AF226" s="2571"/>
      <c r="AG226" s="2875"/>
    </row>
    <row r="227" spans="1:34" ht="18" customHeight="1">
      <c r="A227" s="67"/>
      <c r="B227" s="2567" t="s">
        <v>280</v>
      </c>
      <c r="C227" s="2857" t="s">
        <v>123</v>
      </c>
      <c r="D227" s="2858" t="s">
        <v>448</v>
      </c>
      <c r="E227" s="2859"/>
      <c r="F227" s="2860"/>
      <c r="G227" s="2861"/>
      <c r="H227" s="2858" t="s">
        <v>448</v>
      </c>
      <c r="I227" s="2858"/>
      <c r="J227" s="2860"/>
      <c r="K227" s="2861"/>
      <c r="L227" s="2858" t="s">
        <v>448</v>
      </c>
      <c r="M227" s="2858"/>
      <c r="N227" s="2862"/>
      <c r="O227" s="2861"/>
      <c r="P227" s="2863" t="s">
        <v>449</v>
      </c>
      <c r="Q227" s="2862"/>
      <c r="R227" s="2862"/>
      <c r="S227" s="2861"/>
      <c r="T227" s="2863" t="s">
        <v>450</v>
      </c>
      <c r="U227" s="2862"/>
      <c r="V227" s="2860"/>
      <c r="W227" s="2567"/>
      <c r="X227" s="2571"/>
      <c r="Y227" s="2571"/>
      <c r="Z227" s="2570"/>
      <c r="AA227" s="2873"/>
      <c r="AB227" s="2571"/>
      <c r="AC227" s="2571"/>
      <c r="AD227" s="2571"/>
      <c r="AE227" s="2744"/>
      <c r="AF227" s="2571"/>
      <c r="AG227" s="2875"/>
    </row>
    <row r="228" spans="1:34" ht="18" customHeight="1">
      <c r="A228" s="67"/>
      <c r="B228" s="119"/>
      <c r="C228" s="120"/>
      <c r="D228" s="121"/>
      <c r="E228" s="122"/>
      <c r="F228" s="122"/>
      <c r="G228" s="123"/>
      <c r="H228" s="121"/>
      <c r="I228" s="122"/>
      <c r="J228" s="122"/>
      <c r="K228" s="123"/>
      <c r="L228" s="121"/>
      <c r="M228" s="122"/>
      <c r="N228" s="122"/>
      <c r="O228" s="123"/>
      <c r="P228" s="115"/>
      <c r="Q228" s="122"/>
      <c r="R228" s="122"/>
      <c r="S228" s="123"/>
      <c r="T228" s="115"/>
      <c r="U228" s="122"/>
      <c r="V228" s="122"/>
      <c r="W228" s="122"/>
      <c r="X228" s="122"/>
      <c r="Y228" s="122"/>
      <c r="Z228" s="122"/>
      <c r="AA228" s="123"/>
      <c r="AB228" s="122"/>
      <c r="AC228" s="122"/>
      <c r="AD228" s="122"/>
      <c r="AE228" s="123"/>
      <c r="AF228" s="122"/>
      <c r="AG228" s="112"/>
    </row>
    <row r="229" spans="1:34" ht="18" customHeight="1">
      <c r="A229" s="89"/>
      <c r="B229" s="2876" t="s">
        <v>401</v>
      </c>
      <c r="C229" s="1578">
        <v>1</v>
      </c>
      <c r="D229" s="1578">
        <v>2</v>
      </c>
      <c r="E229" s="1578">
        <v>3</v>
      </c>
      <c r="F229" s="1578">
        <v>4</v>
      </c>
      <c r="G229" s="1580">
        <v>5</v>
      </c>
      <c r="H229" s="1580">
        <v>6</v>
      </c>
      <c r="I229" s="1578">
        <v>7</v>
      </c>
      <c r="J229" s="1578">
        <v>8</v>
      </c>
      <c r="K229" s="1578">
        <v>9</v>
      </c>
      <c r="L229" s="1578">
        <v>10</v>
      </c>
      <c r="M229" s="1578">
        <v>11</v>
      </c>
      <c r="N229" s="1580">
        <v>12</v>
      </c>
      <c r="O229" s="1580">
        <v>13</v>
      </c>
      <c r="P229" s="1578">
        <v>14</v>
      </c>
      <c r="Q229" s="1578">
        <v>15</v>
      </c>
      <c r="R229" s="1578">
        <v>16</v>
      </c>
      <c r="S229" s="1578">
        <v>17</v>
      </c>
      <c r="T229" s="1578">
        <v>18</v>
      </c>
      <c r="U229" s="1580">
        <v>19</v>
      </c>
      <c r="V229" s="1580">
        <v>20</v>
      </c>
      <c r="W229" s="1578">
        <v>21</v>
      </c>
      <c r="X229" s="1578">
        <v>22</v>
      </c>
      <c r="Y229" s="1578">
        <v>23</v>
      </c>
      <c r="Z229" s="1578">
        <v>24</v>
      </c>
      <c r="AA229" s="1578">
        <v>25</v>
      </c>
      <c r="AB229" s="1580">
        <v>26</v>
      </c>
      <c r="AC229" s="1580">
        <v>27</v>
      </c>
      <c r="AD229" s="1578">
        <v>28</v>
      </c>
      <c r="AE229" s="1578">
        <v>29</v>
      </c>
      <c r="AF229" s="1578">
        <v>30</v>
      </c>
      <c r="AG229" s="1578">
        <v>31</v>
      </c>
    </row>
    <row r="230" spans="1:34" ht="18" customHeight="1">
      <c r="A230" s="67"/>
      <c r="B230" s="2476" t="s">
        <v>293</v>
      </c>
      <c r="C230" s="2630" t="s">
        <v>152</v>
      </c>
      <c r="D230" s="2630" t="s">
        <v>152</v>
      </c>
      <c r="E230" s="2630" t="s">
        <v>152</v>
      </c>
      <c r="F230" s="2630" t="s">
        <v>152</v>
      </c>
      <c r="G230" s="2630"/>
      <c r="H230" s="2630"/>
      <c r="I230" s="2630" t="s">
        <v>152</v>
      </c>
      <c r="J230" s="2630" t="s">
        <v>152</v>
      </c>
      <c r="K230" s="2630" t="s">
        <v>152</v>
      </c>
      <c r="L230" s="2630" t="s">
        <v>152</v>
      </c>
      <c r="M230" s="2630" t="s">
        <v>152</v>
      </c>
      <c r="N230" s="2630"/>
      <c r="O230" s="2630"/>
      <c r="P230" s="2630" t="s">
        <v>152</v>
      </c>
      <c r="Q230" s="2630" t="s">
        <v>152</v>
      </c>
      <c r="R230" s="2630" t="s">
        <v>152</v>
      </c>
      <c r="S230" s="2630" t="s">
        <v>152</v>
      </c>
      <c r="T230" s="2630" t="s">
        <v>152</v>
      </c>
      <c r="U230" s="2630"/>
      <c r="V230" s="2630"/>
      <c r="W230" s="2630" t="s">
        <v>152</v>
      </c>
      <c r="X230" s="2630" t="s">
        <v>152</v>
      </c>
      <c r="Y230" s="2630" t="s">
        <v>152</v>
      </c>
      <c r="Z230" s="2630" t="s">
        <v>152</v>
      </c>
      <c r="AA230" s="2630" t="s">
        <v>152</v>
      </c>
      <c r="AB230" s="2630"/>
      <c r="AC230" s="2630"/>
      <c r="AD230" s="2630" t="s">
        <v>152</v>
      </c>
      <c r="AE230" s="2630" t="s">
        <v>152</v>
      </c>
      <c r="AF230" s="2630" t="s">
        <v>152</v>
      </c>
      <c r="AG230" s="2877" t="s">
        <v>152</v>
      </c>
      <c r="AH230" s="281"/>
    </row>
    <row r="231" spans="1:34" ht="18" customHeight="1">
      <c r="A231" s="67"/>
      <c r="B231" s="2476" t="s">
        <v>294</v>
      </c>
      <c r="C231" s="2441" t="s">
        <v>130</v>
      </c>
      <c r="D231" s="2441" t="s">
        <v>130</v>
      </c>
      <c r="E231" s="2441" t="s">
        <v>130</v>
      </c>
      <c r="F231" s="2441" t="s">
        <v>130</v>
      </c>
      <c r="G231" s="2441"/>
      <c r="H231" s="2441"/>
      <c r="I231" s="2352" t="s">
        <v>130</v>
      </c>
      <c r="J231" s="2352" t="s">
        <v>130</v>
      </c>
      <c r="K231" s="2352" t="s">
        <v>130</v>
      </c>
      <c r="L231" s="2352" t="s">
        <v>130</v>
      </c>
      <c r="M231" s="2352" t="s">
        <v>130</v>
      </c>
      <c r="N231" s="2352"/>
      <c r="O231" s="2352"/>
      <c r="P231" s="2392" t="s">
        <v>130</v>
      </c>
      <c r="Q231" s="2392" t="s">
        <v>130</v>
      </c>
      <c r="R231" s="2392" t="s">
        <v>130</v>
      </c>
      <c r="S231" s="2392" t="s">
        <v>130</v>
      </c>
      <c r="T231" s="2392" t="s">
        <v>130</v>
      </c>
      <c r="U231" s="2392"/>
      <c r="V231" s="2392"/>
      <c r="W231" s="2392" t="s">
        <v>130</v>
      </c>
      <c r="X231" s="2392" t="s">
        <v>130</v>
      </c>
      <c r="Y231" s="2392" t="s">
        <v>130</v>
      </c>
      <c r="Z231" s="2392" t="s">
        <v>130</v>
      </c>
      <c r="AA231" s="2392" t="s">
        <v>130</v>
      </c>
      <c r="AB231" s="2392"/>
      <c r="AC231" s="2392"/>
      <c r="AD231" s="2392" t="s">
        <v>130</v>
      </c>
      <c r="AE231" s="2392" t="s">
        <v>130</v>
      </c>
      <c r="AF231" s="2392" t="s">
        <v>130</v>
      </c>
      <c r="AG231" s="2757" t="s">
        <v>130</v>
      </c>
      <c r="AH231" s="282" t="s">
        <v>133</v>
      </c>
    </row>
    <row r="232" spans="1:34" ht="18" customHeight="1">
      <c r="A232" s="67"/>
      <c r="B232" s="2878" t="s">
        <v>295</v>
      </c>
      <c r="C232" s="2630" t="s">
        <v>153</v>
      </c>
      <c r="D232" s="2630" t="s">
        <v>153</v>
      </c>
      <c r="E232" s="2630" t="s">
        <v>153</v>
      </c>
      <c r="F232" s="2630" t="s">
        <v>153</v>
      </c>
      <c r="G232" s="2630"/>
      <c r="H232" s="2630"/>
      <c r="I232" s="2630" t="s">
        <v>153</v>
      </c>
      <c r="J232" s="2630" t="s">
        <v>153</v>
      </c>
      <c r="K232" s="2630" t="s">
        <v>153</v>
      </c>
      <c r="L232" s="2630" t="s">
        <v>153</v>
      </c>
      <c r="M232" s="2630" t="s">
        <v>153</v>
      </c>
      <c r="N232" s="2630"/>
      <c r="O232" s="2630"/>
      <c r="P232" s="2630" t="s">
        <v>153</v>
      </c>
      <c r="Q232" s="2630" t="s">
        <v>153</v>
      </c>
      <c r="R232" s="2630" t="s">
        <v>153</v>
      </c>
      <c r="S232" s="2630" t="s">
        <v>153</v>
      </c>
      <c r="T232" s="2630" t="s">
        <v>153</v>
      </c>
      <c r="U232" s="2630"/>
      <c r="V232" s="2630"/>
      <c r="W232" s="2630" t="s">
        <v>153</v>
      </c>
      <c r="X232" s="2630" t="s">
        <v>153</v>
      </c>
      <c r="Y232" s="2630" t="s">
        <v>153</v>
      </c>
      <c r="Z232" s="2630" t="s">
        <v>153</v>
      </c>
      <c r="AA232" s="2630" t="s">
        <v>153</v>
      </c>
      <c r="AB232" s="2630"/>
      <c r="AC232" s="2630"/>
      <c r="AD232" s="2392" t="s">
        <v>153</v>
      </c>
      <c r="AE232" s="2392" t="s">
        <v>153</v>
      </c>
      <c r="AF232" s="2392" t="s">
        <v>153</v>
      </c>
      <c r="AG232" s="2757" t="s">
        <v>153</v>
      </c>
      <c r="AH232" s="283" t="s">
        <v>133</v>
      </c>
    </row>
    <row r="233" spans="1:34" ht="18" customHeight="1">
      <c r="A233" s="67"/>
      <c r="C233" s="2684"/>
      <c r="D233" s="2684"/>
      <c r="E233" s="2684"/>
      <c r="F233" s="2684"/>
      <c r="G233" s="2684"/>
      <c r="H233" s="2684"/>
      <c r="I233" s="2684"/>
      <c r="J233" s="2684"/>
      <c r="K233" s="2684"/>
      <c r="L233" s="2684"/>
      <c r="M233" s="2684"/>
      <c r="N233" s="2684"/>
      <c r="O233" s="2684"/>
      <c r="P233" s="2684"/>
      <c r="Q233" s="2684"/>
      <c r="R233" s="2684"/>
      <c r="S233" s="2684"/>
      <c r="T233" s="2684"/>
      <c r="U233" s="2684"/>
      <c r="V233" s="2684"/>
      <c r="W233" s="2684"/>
      <c r="X233" s="2684"/>
      <c r="Y233" s="2684"/>
      <c r="Z233" s="2684"/>
      <c r="AA233" s="2684"/>
      <c r="AB233" s="2684"/>
      <c r="AC233" s="2684"/>
      <c r="AD233" s="2684"/>
      <c r="AE233" s="2684"/>
      <c r="AF233" s="2684"/>
      <c r="AG233" s="2567"/>
      <c r="AH233" s="281"/>
    </row>
    <row r="234" spans="1:34" ht="18" customHeight="1">
      <c r="A234" s="67"/>
      <c r="B234" s="2573" t="s">
        <v>297</v>
      </c>
      <c r="C234" s="2630" t="s">
        <v>128</v>
      </c>
      <c r="D234" s="2630" t="s">
        <v>128</v>
      </c>
      <c r="E234" s="2630" t="s">
        <v>128</v>
      </c>
      <c r="F234" s="2630" t="s">
        <v>128</v>
      </c>
      <c r="G234" s="2630"/>
      <c r="H234" s="2630"/>
      <c r="I234" s="2630" t="s">
        <v>128</v>
      </c>
      <c r="J234" s="2630" t="s">
        <v>128</v>
      </c>
      <c r="K234" s="2630" t="s">
        <v>128</v>
      </c>
      <c r="L234" s="2630" t="s">
        <v>128</v>
      </c>
      <c r="M234" s="2630" t="s">
        <v>128</v>
      </c>
      <c r="N234" s="2630"/>
      <c r="O234" s="2630"/>
      <c r="P234" s="2630" t="s">
        <v>128</v>
      </c>
      <c r="Q234" s="2630" t="s">
        <v>128</v>
      </c>
      <c r="R234" s="2630" t="s">
        <v>128</v>
      </c>
      <c r="S234" s="2630" t="s">
        <v>128</v>
      </c>
      <c r="T234" s="2630" t="s">
        <v>128</v>
      </c>
      <c r="U234" s="2630"/>
      <c r="V234" s="2630"/>
      <c r="W234" s="2630" t="s">
        <v>128</v>
      </c>
      <c r="X234" s="2630" t="s">
        <v>128</v>
      </c>
      <c r="Y234" s="2630" t="s">
        <v>128</v>
      </c>
      <c r="Z234" s="2630" t="s">
        <v>128</v>
      </c>
      <c r="AA234" s="2630" t="s">
        <v>128</v>
      </c>
      <c r="AB234" s="2398" t="s">
        <v>418</v>
      </c>
      <c r="AC234" s="2630"/>
      <c r="AD234" s="2630" t="s">
        <v>128</v>
      </c>
      <c r="AE234" s="2630" t="s">
        <v>128</v>
      </c>
      <c r="AF234" s="2630" t="s">
        <v>128</v>
      </c>
      <c r="AG234" s="2630" t="s">
        <v>128</v>
      </c>
    </row>
    <row r="235" spans="1:34" ht="18" customHeight="1">
      <c r="A235" s="67"/>
      <c r="B235" s="2879" t="s">
        <v>298</v>
      </c>
      <c r="C235" s="2630" t="s">
        <v>127</v>
      </c>
      <c r="D235" s="2630" t="s">
        <v>127</v>
      </c>
      <c r="E235" s="2630" t="s">
        <v>127</v>
      </c>
      <c r="F235" s="2630" t="s">
        <v>127</v>
      </c>
      <c r="G235" s="2630"/>
      <c r="H235" s="2630"/>
      <c r="I235" s="2630" t="s">
        <v>127</v>
      </c>
      <c r="J235" s="2630" t="s">
        <v>127</v>
      </c>
      <c r="K235" s="2630" t="s">
        <v>127</v>
      </c>
      <c r="L235" s="2630" t="s">
        <v>127</v>
      </c>
      <c r="M235" s="2630" t="s">
        <v>127</v>
      </c>
      <c r="N235" s="2630"/>
      <c r="O235" s="2630"/>
      <c r="P235" s="2630" t="s">
        <v>127</v>
      </c>
      <c r="Q235" s="2630" t="s">
        <v>127</v>
      </c>
      <c r="R235" s="2630" t="s">
        <v>127</v>
      </c>
      <c r="S235" s="2630" t="s">
        <v>127</v>
      </c>
      <c r="T235" s="2630" t="s">
        <v>127</v>
      </c>
      <c r="U235" s="2630"/>
      <c r="V235" s="2630"/>
      <c r="W235" s="2630" t="s">
        <v>127</v>
      </c>
      <c r="X235" s="2630" t="s">
        <v>127</v>
      </c>
      <c r="Y235" s="2630" t="s">
        <v>127</v>
      </c>
      <c r="Z235" s="2630" t="s">
        <v>127</v>
      </c>
      <c r="AA235" s="2630" t="s">
        <v>127</v>
      </c>
      <c r="AB235" s="2630"/>
      <c r="AC235" s="2630"/>
      <c r="AD235" s="2392" t="s">
        <v>127</v>
      </c>
      <c r="AE235" s="2392" t="s">
        <v>127</v>
      </c>
      <c r="AF235" s="2392" t="s">
        <v>127</v>
      </c>
      <c r="AG235" s="2392" t="s">
        <v>127</v>
      </c>
    </row>
    <row r="236" spans="1:34" ht="18" customHeight="1">
      <c r="A236" s="67"/>
      <c r="B236" s="2683"/>
      <c r="C236" s="2630" t="s">
        <v>403</v>
      </c>
      <c r="D236" s="2630" t="s">
        <v>403</v>
      </c>
      <c r="E236" s="2630" t="s">
        <v>403</v>
      </c>
      <c r="F236" s="2630" t="s">
        <v>403</v>
      </c>
      <c r="G236" s="2630"/>
      <c r="H236" s="2630"/>
      <c r="I236" s="2630" t="s">
        <v>403</v>
      </c>
      <c r="J236" s="2630" t="s">
        <v>403</v>
      </c>
      <c r="K236" s="2630" t="s">
        <v>403</v>
      </c>
      <c r="L236" s="2630" t="s">
        <v>403</v>
      </c>
      <c r="M236" s="2630" t="s">
        <v>403</v>
      </c>
      <c r="N236" s="2630"/>
      <c r="O236" s="2630"/>
      <c r="P236" s="2630" t="s">
        <v>403</v>
      </c>
      <c r="Q236" s="2630" t="s">
        <v>403</v>
      </c>
      <c r="R236" s="2630" t="s">
        <v>403</v>
      </c>
      <c r="S236" s="2630" t="s">
        <v>403</v>
      </c>
      <c r="T236" s="2630" t="s">
        <v>403</v>
      </c>
      <c r="U236" s="2630"/>
      <c r="V236" s="2630"/>
      <c r="W236" s="2630" t="s">
        <v>403</v>
      </c>
      <c r="X236" s="2630" t="s">
        <v>403</v>
      </c>
      <c r="Y236" s="2630" t="s">
        <v>403</v>
      </c>
      <c r="Z236" s="2630" t="s">
        <v>403</v>
      </c>
      <c r="AA236" s="2630" t="s">
        <v>403</v>
      </c>
      <c r="AB236" s="2630"/>
      <c r="AC236" s="2630"/>
      <c r="AD236" s="2630" t="s">
        <v>403</v>
      </c>
      <c r="AE236" s="2630" t="s">
        <v>403</v>
      </c>
      <c r="AF236" s="2630" t="s">
        <v>403</v>
      </c>
      <c r="AG236" s="2630" t="s">
        <v>403</v>
      </c>
    </row>
    <row r="237" spans="1:34" ht="18" customHeight="1">
      <c r="A237" s="67"/>
      <c r="B237" s="2880" t="s">
        <v>299</v>
      </c>
      <c r="C237" s="2630" t="s">
        <v>123</v>
      </c>
      <c r="D237" s="2630" t="s">
        <v>123</v>
      </c>
      <c r="E237" s="2392" t="s">
        <v>123</v>
      </c>
      <c r="F237" s="2630" t="s">
        <v>123</v>
      </c>
      <c r="G237" s="2630"/>
      <c r="H237" s="2630"/>
      <c r="I237" s="2630" t="s">
        <v>123</v>
      </c>
      <c r="J237" s="2630" t="s">
        <v>123</v>
      </c>
      <c r="K237" s="2352" t="s">
        <v>123</v>
      </c>
      <c r="L237" s="2630" t="s">
        <v>123</v>
      </c>
      <c r="M237" s="2630" t="s">
        <v>123</v>
      </c>
      <c r="N237" s="2630"/>
      <c r="O237" s="2630"/>
      <c r="P237" s="2630" t="s">
        <v>123</v>
      </c>
      <c r="Q237" s="2630" t="s">
        <v>123</v>
      </c>
      <c r="R237" s="2630" t="s">
        <v>123</v>
      </c>
      <c r="S237" s="2630" t="s">
        <v>123</v>
      </c>
      <c r="T237" s="2630" t="s">
        <v>123</v>
      </c>
      <c r="U237" s="2630"/>
      <c r="V237" s="2630"/>
      <c r="W237" s="2630" t="s">
        <v>123</v>
      </c>
      <c r="X237" s="2354" t="s">
        <v>123</v>
      </c>
      <c r="Y237" s="2354" t="s">
        <v>451</v>
      </c>
      <c r="Z237" s="2630" t="s">
        <v>123</v>
      </c>
      <c r="AA237" s="2630" t="s">
        <v>123</v>
      </c>
      <c r="AB237" s="2630"/>
      <c r="AC237" s="2630"/>
      <c r="AD237" s="2630" t="s">
        <v>123</v>
      </c>
      <c r="AE237" s="2630" t="s">
        <v>123</v>
      </c>
      <c r="AF237" s="2630" t="s">
        <v>123</v>
      </c>
      <c r="AG237" s="2630" t="s">
        <v>123</v>
      </c>
    </row>
    <row r="238" spans="1:34" ht="18" customHeight="1">
      <c r="A238" s="67"/>
      <c r="B238" s="2880" t="s">
        <v>300</v>
      </c>
      <c r="C238" s="2354" t="s">
        <v>116</v>
      </c>
      <c r="D238" s="2354" t="s">
        <v>116</v>
      </c>
      <c r="E238" s="2354" t="s">
        <v>116</v>
      </c>
      <c r="F238" s="2354" t="s">
        <v>116</v>
      </c>
      <c r="G238" s="2354"/>
      <c r="H238" s="2354"/>
      <c r="I238" s="2354" t="s">
        <v>116</v>
      </c>
      <c r="J238" s="2354" t="s">
        <v>116</v>
      </c>
      <c r="K238" s="2354" t="s">
        <v>116</v>
      </c>
      <c r="L238" s="2354" t="s">
        <v>116</v>
      </c>
      <c r="M238" s="2354" t="s">
        <v>116</v>
      </c>
      <c r="N238" s="2354"/>
      <c r="O238" s="2354"/>
      <c r="P238" s="2354" t="s">
        <v>116</v>
      </c>
      <c r="Q238" s="2354" t="s">
        <v>116</v>
      </c>
      <c r="R238" s="2354" t="s">
        <v>116</v>
      </c>
      <c r="S238" s="2354" t="s">
        <v>116</v>
      </c>
      <c r="T238" s="2354" t="s">
        <v>116</v>
      </c>
      <c r="U238" s="2354"/>
      <c r="V238" s="2354"/>
      <c r="W238" s="2354" t="s">
        <v>116</v>
      </c>
      <c r="X238" s="2354" t="s">
        <v>116</v>
      </c>
      <c r="Y238" s="2354" t="s">
        <v>116</v>
      </c>
      <c r="Z238" s="2354" t="s">
        <v>116</v>
      </c>
      <c r="AA238" s="2354" t="s">
        <v>116</v>
      </c>
      <c r="AB238" s="2354"/>
      <c r="AC238" s="2354"/>
      <c r="AD238" s="2354" t="s">
        <v>116</v>
      </c>
      <c r="AE238" s="2354" t="s">
        <v>116</v>
      </c>
      <c r="AF238" s="2354" t="s">
        <v>116</v>
      </c>
      <c r="AG238" s="2354" t="s">
        <v>116</v>
      </c>
    </row>
    <row r="241" spans="1:33" ht="18" customHeight="1">
      <c r="A241" s="1" t="s">
        <v>302</v>
      </c>
      <c r="B241" s="37"/>
    </row>
    <row r="242" spans="1:33" ht="18" customHeight="1">
      <c r="A242" s="1"/>
      <c r="B242" s="2881" t="s">
        <v>303</v>
      </c>
      <c r="C242" s="2882" t="s">
        <v>19</v>
      </c>
      <c r="D242" s="2883"/>
      <c r="E242" s="2883"/>
      <c r="F242" s="2883"/>
      <c r="G242" s="2882" t="s">
        <v>20</v>
      </c>
      <c r="H242" s="2883"/>
      <c r="I242" s="2883"/>
      <c r="J242" s="2883"/>
      <c r="K242" s="2882" t="s">
        <v>21</v>
      </c>
      <c r="L242" s="2883"/>
      <c r="M242" s="2883"/>
      <c r="N242" s="2883"/>
      <c r="O242" s="2882" t="s">
        <v>22</v>
      </c>
      <c r="P242" s="2883"/>
      <c r="Q242" s="2883"/>
      <c r="R242" s="2883"/>
      <c r="S242" s="2882" t="s">
        <v>23</v>
      </c>
      <c r="T242" s="2883"/>
      <c r="U242" s="2883"/>
      <c r="V242" s="2883"/>
      <c r="W242" s="2882" t="s">
        <v>24</v>
      </c>
      <c r="X242" s="1643"/>
      <c r="Y242" s="2883"/>
      <c r="Z242" s="2884"/>
      <c r="AA242" s="2882" t="s">
        <v>25</v>
      </c>
      <c r="AB242" s="1643"/>
      <c r="AC242" s="2883"/>
      <c r="AD242" s="2884"/>
      <c r="AE242" s="2885" t="s">
        <v>108</v>
      </c>
      <c r="AF242" s="2883"/>
      <c r="AG242" s="2841"/>
    </row>
    <row r="243" spans="1:33" ht="18" customHeight="1">
      <c r="A243" s="1"/>
      <c r="B243" s="2886">
        <v>3701</v>
      </c>
      <c r="C243" s="68" t="s">
        <v>304</v>
      </c>
      <c r="D243" s="68"/>
      <c r="E243" s="68"/>
      <c r="F243" s="68"/>
      <c r="G243" s="279" t="s">
        <v>305</v>
      </c>
      <c r="H243" s="68"/>
      <c r="I243" s="68"/>
      <c r="J243" s="68"/>
      <c r="K243" s="279" t="s">
        <v>305</v>
      </c>
      <c r="L243" s="68"/>
      <c r="M243" s="68"/>
      <c r="N243" s="68"/>
      <c r="O243" s="279" t="s">
        <v>305</v>
      </c>
      <c r="P243" s="68"/>
      <c r="Q243" s="68"/>
      <c r="R243" s="68"/>
      <c r="S243" s="279" t="s">
        <v>306</v>
      </c>
      <c r="T243" s="68"/>
      <c r="U243" s="68"/>
      <c r="V243" s="68"/>
      <c r="W243" s="2736"/>
      <c r="X243" s="2887"/>
      <c r="Y243" s="2644"/>
      <c r="Z243" s="2888"/>
      <c r="AA243" s="2736"/>
      <c r="AB243" s="2887"/>
      <c r="AC243" s="2644"/>
      <c r="AD243" s="2888"/>
      <c r="AE243" s="2794"/>
      <c r="AF243" s="2644"/>
      <c r="AG243" s="2844"/>
    </row>
    <row r="244" spans="1:33" ht="18" customHeight="1">
      <c r="B244" s="2881">
        <v>3700</v>
      </c>
      <c r="C244" s="2644" t="s">
        <v>204</v>
      </c>
      <c r="D244" s="2644"/>
      <c r="E244" s="2644"/>
      <c r="F244" s="2644"/>
      <c r="G244" s="2889" t="s">
        <v>204</v>
      </c>
      <c r="H244" s="2644"/>
      <c r="I244" s="2644"/>
      <c r="J244" s="2644"/>
      <c r="K244" s="2889" t="s">
        <v>204</v>
      </c>
      <c r="L244" s="2644"/>
      <c r="M244" s="2644"/>
      <c r="N244" s="2644"/>
      <c r="O244" s="2889" t="s">
        <v>204</v>
      </c>
      <c r="P244" s="2644"/>
      <c r="Q244" s="2644"/>
      <c r="R244" s="2644"/>
      <c r="S244" s="2889" t="s">
        <v>205</v>
      </c>
      <c r="T244" s="2644"/>
      <c r="U244" s="2644"/>
      <c r="V244" s="2644"/>
      <c r="W244" s="2736"/>
      <c r="X244" s="2644"/>
      <c r="Y244" s="2644"/>
      <c r="Z244" s="2796"/>
      <c r="AA244" s="2794"/>
      <c r="AB244" s="2644"/>
      <c r="AC244" s="2644"/>
      <c r="AD244" s="2678"/>
      <c r="AE244" s="2890"/>
      <c r="AF244" s="2644"/>
      <c r="AG244" s="2844"/>
    </row>
    <row r="245" spans="1:33" ht="18" customHeight="1">
      <c r="A245" s="1"/>
      <c r="B245" s="2881">
        <v>8514</v>
      </c>
      <c r="C245" s="2644" t="s">
        <v>305</v>
      </c>
      <c r="D245" s="2644"/>
      <c r="E245" s="2644"/>
      <c r="F245" s="2644"/>
      <c r="G245" s="2889" t="s">
        <v>305</v>
      </c>
      <c r="H245" s="2644"/>
      <c r="I245" s="2644"/>
      <c r="J245" s="2644"/>
      <c r="K245" s="2889" t="s">
        <v>305</v>
      </c>
      <c r="L245" s="2644"/>
      <c r="M245" s="2644"/>
      <c r="N245" s="2644"/>
      <c r="O245" s="2889" t="s">
        <v>305</v>
      </c>
      <c r="P245" s="2644"/>
      <c r="Q245" s="2644"/>
      <c r="R245" s="2644"/>
      <c r="S245" s="2889" t="s">
        <v>307</v>
      </c>
      <c r="T245" s="2644"/>
      <c r="U245" s="2644"/>
      <c r="V245" s="2644"/>
      <c r="W245" s="2736"/>
      <c r="X245" s="2644"/>
      <c r="Y245" s="2644"/>
      <c r="Z245" s="2796"/>
      <c r="AA245" s="2677"/>
      <c r="AB245" s="2644"/>
      <c r="AC245" s="2644"/>
      <c r="AD245" s="2678"/>
      <c r="AE245" s="2677"/>
      <c r="AF245" s="2644"/>
      <c r="AG245" s="2844"/>
    </row>
    <row r="246" spans="1:33" ht="18" customHeight="1">
      <c r="A246" s="1"/>
      <c r="B246" s="2881">
        <v>8500</v>
      </c>
      <c r="C246" s="531" t="s">
        <v>308</v>
      </c>
      <c r="D246" s="531"/>
      <c r="E246" s="531"/>
      <c r="F246" s="531"/>
      <c r="G246" s="534" t="s">
        <v>308</v>
      </c>
      <c r="H246" s="531"/>
      <c r="I246" s="531"/>
      <c r="J246" s="531"/>
      <c r="K246" s="534" t="s">
        <v>308</v>
      </c>
      <c r="L246" s="531"/>
      <c r="M246" s="531"/>
      <c r="N246" s="531"/>
      <c r="O246" s="534" t="s">
        <v>308</v>
      </c>
      <c r="P246" s="531"/>
      <c r="Q246" s="531"/>
      <c r="R246" s="531"/>
      <c r="S246" s="534" t="s">
        <v>309</v>
      </c>
      <c r="T246" s="531"/>
      <c r="U246" s="531"/>
      <c r="V246" s="531"/>
      <c r="W246" s="2736"/>
      <c r="X246" s="531"/>
      <c r="Y246" s="531"/>
      <c r="Z246" s="535"/>
      <c r="AA246" s="536"/>
      <c r="AB246" s="531"/>
      <c r="AC246" s="531"/>
      <c r="AD246" s="535"/>
      <c r="AE246" s="536"/>
      <c r="AF246" s="531"/>
      <c r="AG246" s="466"/>
    </row>
    <row r="247" spans="1:33" ht="18" customHeight="1">
      <c r="A247" s="1"/>
      <c r="B247" s="2881">
        <v>8514</v>
      </c>
      <c r="C247" s="537" t="s">
        <v>305</v>
      </c>
      <c r="D247" s="537"/>
      <c r="E247" s="537"/>
      <c r="F247" s="537"/>
      <c r="G247" s="538" t="s">
        <v>305</v>
      </c>
      <c r="H247" s="537"/>
      <c r="I247" s="537"/>
      <c r="J247" s="537"/>
      <c r="K247" s="538" t="s">
        <v>305</v>
      </c>
      <c r="L247" s="537"/>
      <c r="M247" s="537"/>
      <c r="N247" s="537"/>
      <c r="O247" s="538" t="s">
        <v>305</v>
      </c>
      <c r="P247" s="537"/>
      <c r="Q247" s="537"/>
      <c r="R247" s="537"/>
      <c r="S247" s="538" t="s">
        <v>307</v>
      </c>
      <c r="T247" s="537"/>
      <c r="U247" s="537"/>
      <c r="V247" s="537"/>
      <c r="W247" s="2891"/>
      <c r="X247" s="539"/>
      <c r="Y247" s="531"/>
      <c r="Z247" s="540"/>
      <c r="AA247" s="541"/>
      <c r="AB247" s="539"/>
      <c r="AC247" s="531"/>
      <c r="AD247" s="531"/>
      <c r="AE247" s="542"/>
      <c r="AF247" s="531"/>
      <c r="AG247" s="466"/>
    </row>
    <row r="248" spans="1:33" ht="18" customHeight="1">
      <c r="A248" s="1"/>
      <c r="B248" s="2892" t="s">
        <v>310</v>
      </c>
      <c r="C248" s="2650" t="s">
        <v>10</v>
      </c>
      <c r="D248" s="2650"/>
      <c r="E248" s="2650"/>
      <c r="F248" s="2650"/>
      <c r="G248" s="2893" t="s">
        <v>10</v>
      </c>
      <c r="H248" s="2650"/>
      <c r="I248" s="2650"/>
      <c r="J248" s="2650"/>
      <c r="K248" s="2894" t="s">
        <v>10</v>
      </c>
      <c r="L248" s="2650"/>
      <c r="M248" s="2650"/>
      <c r="N248" s="2650"/>
      <c r="O248" s="2893" t="s">
        <v>10</v>
      </c>
      <c r="P248" s="2650"/>
      <c r="Q248" s="2650"/>
      <c r="R248" s="2650"/>
      <c r="S248" s="2893" t="s">
        <v>10</v>
      </c>
      <c r="T248" s="2650"/>
      <c r="U248" s="2650"/>
      <c r="V248" s="2650"/>
      <c r="W248" s="2894"/>
      <c r="X248" s="2650"/>
      <c r="Y248" s="2650"/>
      <c r="Z248" s="2825"/>
      <c r="AA248" s="2806"/>
      <c r="AB248" s="2650"/>
      <c r="AC248" s="2650"/>
      <c r="AD248" s="2826"/>
      <c r="AE248" s="2895"/>
      <c r="AF248" s="2650"/>
      <c r="AG248" s="2846"/>
    </row>
    <row r="249" spans="1:33" ht="18" customHeight="1">
      <c r="A249" s="1"/>
      <c r="B249" s="5"/>
      <c r="C249" s="42"/>
      <c r="D249" s="68"/>
      <c r="E249" s="68"/>
      <c r="F249" s="46"/>
      <c r="G249" s="42"/>
      <c r="H249" s="68"/>
      <c r="I249" s="68"/>
      <c r="J249" s="46"/>
      <c r="K249" s="42"/>
      <c r="L249" s="68"/>
      <c r="M249" s="68"/>
      <c r="N249" s="46"/>
      <c r="O249" s="42"/>
      <c r="P249" s="68"/>
      <c r="Q249" s="68"/>
      <c r="R249" s="46"/>
      <c r="S249" s="42"/>
      <c r="T249" s="68"/>
      <c r="U249" s="68"/>
      <c r="V249" s="46"/>
      <c r="W249" s="46"/>
      <c r="Z249" s="46"/>
      <c r="AA249" s="46"/>
      <c r="AD249" s="46"/>
      <c r="AE249" s="46"/>
    </row>
    <row r="250" spans="1:33" ht="18" customHeight="1">
      <c r="A250" s="1" t="s">
        <v>311</v>
      </c>
      <c r="B250" s="5"/>
      <c r="C250" s="42"/>
      <c r="D250" s="68"/>
      <c r="E250" s="68"/>
      <c r="F250" s="46"/>
      <c r="G250" s="42"/>
      <c r="H250" s="68"/>
      <c r="I250" s="68"/>
      <c r="J250" s="46"/>
      <c r="K250" s="42"/>
      <c r="L250" s="68"/>
      <c r="M250" s="68"/>
      <c r="N250" s="46"/>
      <c r="O250" s="42"/>
      <c r="P250" s="68"/>
      <c r="Q250" s="68"/>
      <c r="R250" s="46"/>
      <c r="S250" s="42"/>
      <c r="T250" s="68"/>
      <c r="U250" s="68"/>
      <c r="V250" s="46"/>
      <c r="W250" s="46"/>
      <c r="Z250" s="46"/>
      <c r="AA250" s="46"/>
      <c r="AD250" s="46"/>
      <c r="AE250" s="46"/>
    </row>
    <row r="251" spans="1:33" ht="18" customHeight="1">
      <c r="A251" s="2784"/>
      <c r="B251" s="2654" t="s">
        <v>38</v>
      </c>
      <c r="C251" s="1578">
        <v>1</v>
      </c>
      <c r="D251" s="1578">
        <v>2</v>
      </c>
      <c r="E251" s="1578">
        <v>3</v>
      </c>
      <c r="F251" s="1578">
        <v>4</v>
      </c>
      <c r="G251" s="1580">
        <v>5</v>
      </c>
      <c r="H251" s="1580">
        <v>6</v>
      </c>
      <c r="I251" s="1578">
        <v>7</v>
      </c>
      <c r="J251" s="1578">
        <v>8</v>
      </c>
      <c r="K251" s="1578">
        <v>9</v>
      </c>
      <c r="L251" s="1578">
        <v>10</v>
      </c>
      <c r="M251" s="1578">
        <v>11</v>
      </c>
      <c r="N251" s="1580">
        <v>12</v>
      </c>
      <c r="O251" s="1580">
        <v>13</v>
      </c>
      <c r="P251" s="1578">
        <v>14</v>
      </c>
      <c r="Q251" s="1578">
        <v>15</v>
      </c>
      <c r="R251" s="1578">
        <v>16</v>
      </c>
      <c r="S251" s="1578">
        <v>17</v>
      </c>
      <c r="T251" s="1578">
        <v>18</v>
      </c>
      <c r="U251" s="1580">
        <v>19</v>
      </c>
      <c r="V251" s="1580">
        <v>20</v>
      </c>
      <c r="W251" s="1578">
        <v>21</v>
      </c>
      <c r="X251" s="1578">
        <v>22</v>
      </c>
      <c r="Y251" s="1578">
        <v>23</v>
      </c>
      <c r="Z251" s="1578">
        <v>24</v>
      </c>
      <c r="AA251" s="1578">
        <v>25</v>
      </c>
      <c r="AB251" s="1580">
        <v>26</v>
      </c>
      <c r="AC251" s="1580">
        <v>27</v>
      </c>
      <c r="AD251" s="1578">
        <v>28</v>
      </c>
      <c r="AE251" s="1578">
        <v>29</v>
      </c>
      <c r="AF251" s="1578">
        <v>30</v>
      </c>
      <c r="AG251" s="1578">
        <v>31</v>
      </c>
    </row>
    <row r="252" spans="1:33" ht="18" customHeight="1">
      <c r="A252" s="2896"/>
      <c r="B252" s="2897"/>
      <c r="C252" s="2601" t="s">
        <v>40</v>
      </c>
      <c r="D252" s="2601" t="s">
        <v>40</v>
      </c>
      <c r="E252" s="2601" t="s">
        <v>40</v>
      </c>
      <c r="F252" s="2581" t="s">
        <v>40</v>
      </c>
      <c r="G252" s="2601"/>
      <c r="H252" s="2601"/>
      <c r="I252" s="2601" t="s">
        <v>40</v>
      </c>
      <c r="J252" s="2601" t="s">
        <v>40</v>
      </c>
      <c r="K252" s="2601" t="s">
        <v>40</v>
      </c>
      <c r="L252" s="2601" t="s">
        <v>40</v>
      </c>
      <c r="M252" s="2581" t="s">
        <v>40</v>
      </c>
      <c r="N252" s="2601"/>
      <c r="O252" s="2601"/>
      <c r="P252" s="2601" t="s">
        <v>40</v>
      </c>
      <c r="Q252" s="2601" t="s">
        <v>40</v>
      </c>
      <c r="R252" s="2601" t="s">
        <v>40</v>
      </c>
      <c r="S252" s="2601" t="s">
        <v>40</v>
      </c>
      <c r="T252" s="2581" t="s">
        <v>40</v>
      </c>
      <c r="U252" s="2601"/>
      <c r="V252" s="2601"/>
      <c r="W252" s="2601" t="s">
        <v>40</v>
      </c>
      <c r="X252" s="2601" t="s">
        <v>40</v>
      </c>
      <c r="Y252" s="2601" t="s">
        <v>40</v>
      </c>
      <c r="Z252" s="2601" t="s">
        <v>40</v>
      </c>
      <c r="AA252" s="2581" t="s">
        <v>40</v>
      </c>
      <c r="AB252" s="2601"/>
      <c r="AC252" s="2601"/>
      <c r="AD252" s="2601" t="s">
        <v>40</v>
      </c>
      <c r="AE252" s="2601" t="s">
        <v>40</v>
      </c>
      <c r="AF252" s="2601" t="s">
        <v>40</v>
      </c>
      <c r="AG252" s="2601" t="s">
        <v>40</v>
      </c>
    </row>
    <row r="253" spans="1:33" ht="18" customHeight="1">
      <c r="A253" s="2898"/>
      <c r="B253" s="2899" t="s">
        <v>312</v>
      </c>
      <c r="C253" s="2441"/>
      <c r="D253" s="2441"/>
      <c r="E253" s="2441"/>
      <c r="F253" s="2441"/>
      <c r="G253" s="2631"/>
      <c r="H253" s="2631"/>
      <c r="I253" s="2631"/>
      <c r="J253" s="2441"/>
      <c r="K253" s="2441"/>
      <c r="L253" s="2441"/>
      <c r="M253" s="2441"/>
      <c r="N253" s="2631"/>
      <c r="O253" s="2631"/>
      <c r="P253" s="2631"/>
      <c r="Q253" s="2441"/>
      <c r="R253" s="2441"/>
      <c r="S253" s="2441"/>
      <c r="T253" s="2441"/>
      <c r="U253" s="2631"/>
      <c r="V253" s="2631"/>
      <c r="W253" s="2631"/>
      <c r="X253" s="2441"/>
      <c r="Y253" s="2441"/>
      <c r="Z253" s="2441"/>
      <c r="AA253" s="2441"/>
      <c r="AB253" s="2631"/>
      <c r="AC253" s="2631"/>
      <c r="AD253" s="2631"/>
      <c r="AE253" s="2441"/>
      <c r="AF253" s="2441"/>
      <c r="AG253" s="2441"/>
    </row>
    <row r="254" spans="1:33" ht="18" customHeight="1">
      <c r="A254" s="2900">
        <v>8514</v>
      </c>
      <c r="B254" s="2901" t="s">
        <v>313</v>
      </c>
      <c r="C254" s="2587" t="s">
        <v>40</v>
      </c>
      <c r="D254" s="2587" t="s">
        <v>40</v>
      </c>
      <c r="E254" s="2587" t="s">
        <v>40</v>
      </c>
      <c r="F254" s="2587" t="s">
        <v>40</v>
      </c>
      <c r="G254" s="2587"/>
      <c r="H254" s="2587"/>
      <c r="I254" s="2587" t="s">
        <v>40</v>
      </c>
      <c r="J254" s="2587" t="s">
        <v>40</v>
      </c>
      <c r="K254" s="2587" t="s">
        <v>40</v>
      </c>
      <c r="L254" s="2587" t="s">
        <v>40</v>
      </c>
      <c r="M254" s="2587" t="s">
        <v>40</v>
      </c>
      <c r="N254" s="2587"/>
      <c r="O254" s="2587"/>
      <c r="P254" s="2587" t="s">
        <v>40</v>
      </c>
      <c r="Q254" s="2587" t="s">
        <v>40</v>
      </c>
      <c r="R254" s="2587" t="s">
        <v>40</v>
      </c>
      <c r="S254" s="2587" t="s">
        <v>40</v>
      </c>
      <c r="T254" s="2587" t="s">
        <v>40</v>
      </c>
      <c r="U254" s="2601"/>
      <c r="V254" s="2601"/>
      <c r="W254" s="2619" t="s">
        <v>40</v>
      </c>
      <c r="X254" s="2619" t="s">
        <v>40</v>
      </c>
      <c r="Y254" s="2601" t="s">
        <v>40</v>
      </c>
      <c r="Z254" s="2601" t="s">
        <v>40</v>
      </c>
      <c r="AA254" s="2581" t="s">
        <v>40</v>
      </c>
      <c r="AB254" s="2601"/>
      <c r="AC254" s="2601"/>
      <c r="AD254" s="2601" t="s">
        <v>40</v>
      </c>
      <c r="AE254" s="2601" t="s">
        <v>40</v>
      </c>
      <c r="AF254" s="2601" t="s">
        <v>40</v>
      </c>
      <c r="AG254" s="2601" t="s">
        <v>40</v>
      </c>
    </row>
    <row r="255" spans="1:33" ht="18" customHeight="1">
      <c r="A255" s="2900">
        <v>3701</v>
      </c>
      <c r="B255" s="2902" t="s">
        <v>404</v>
      </c>
      <c r="C255" s="2903"/>
      <c r="D255" s="2903"/>
      <c r="E255" s="2903"/>
      <c r="F255" s="2903"/>
      <c r="G255" s="2904"/>
      <c r="H255" s="2904"/>
      <c r="I255" s="2904"/>
      <c r="J255" s="2903"/>
      <c r="K255" s="2903"/>
      <c r="L255" s="2903"/>
      <c r="M255" s="2903"/>
      <c r="N255" s="2904"/>
      <c r="O255" s="2904"/>
      <c r="P255" s="2904"/>
      <c r="Q255" s="2903"/>
      <c r="R255" s="2903"/>
      <c r="S255" s="2903"/>
      <c r="T255" s="2903"/>
      <c r="U255" s="2904"/>
      <c r="V255" s="2904"/>
      <c r="W255" s="2904"/>
      <c r="X255" s="2903"/>
      <c r="Y255" s="2903"/>
      <c r="Z255" s="2903"/>
      <c r="AA255" s="2903"/>
      <c r="AB255" s="2904"/>
      <c r="AC255" s="2904"/>
      <c r="AD255" s="2904"/>
      <c r="AE255" s="2903"/>
      <c r="AF255" s="2903"/>
      <c r="AG255" s="2903"/>
    </row>
    <row r="256" spans="1:33" ht="18" customHeight="1">
      <c r="A256" s="2900">
        <v>3701</v>
      </c>
      <c r="B256" s="2878" t="s">
        <v>315</v>
      </c>
      <c r="C256" s="2601" t="s">
        <v>40</v>
      </c>
      <c r="D256" s="2601" t="s">
        <v>40</v>
      </c>
      <c r="E256" s="2601" t="s">
        <v>40</v>
      </c>
      <c r="F256" s="2581" t="s">
        <v>40</v>
      </c>
      <c r="G256" s="2601"/>
      <c r="H256" s="2601"/>
      <c r="I256" s="2587" t="s">
        <v>40</v>
      </c>
      <c r="J256" s="2587" t="s">
        <v>40</v>
      </c>
      <c r="K256" s="2587" t="s">
        <v>40</v>
      </c>
      <c r="L256" s="2587" t="s">
        <v>40</v>
      </c>
      <c r="M256" s="2587" t="s">
        <v>40</v>
      </c>
      <c r="N256" s="2587"/>
      <c r="O256" s="2587"/>
      <c r="P256" s="2587" t="s">
        <v>40</v>
      </c>
      <c r="Q256" s="2587" t="s">
        <v>40</v>
      </c>
      <c r="R256" s="2587" t="s">
        <v>40</v>
      </c>
      <c r="S256" s="2587" t="s">
        <v>40</v>
      </c>
      <c r="T256" s="2587" t="s">
        <v>40</v>
      </c>
      <c r="U256" s="2587"/>
      <c r="V256" s="2587"/>
      <c r="W256" s="2587" t="s">
        <v>40</v>
      </c>
      <c r="X256" s="2587" t="s">
        <v>40</v>
      </c>
      <c r="Y256" s="2587" t="s">
        <v>40</v>
      </c>
      <c r="Z256" s="2587" t="s">
        <v>40</v>
      </c>
      <c r="AA256" s="2587" t="s">
        <v>40</v>
      </c>
      <c r="AB256" s="2587"/>
      <c r="AC256" s="2587"/>
      <c r="AD256" s="2618" t="s">
        <v>40</v>
      </c>
      <c r="AE256" s="2618" t="s">
        <v>40</v>
      </c>
      <c r="AF256" s="2618" t="s">
        <v>40</v>
      </c>
      <c r="AG256" s="2618" t="s">
        <v>40</v>
      </c>
    </row>
    <row r="257" spans="1:33" ht="18" customHeight="1">
      <c r="A257" s="2900">
        <v>3701</v>
      </c>
      <c r="B257" s="2878" t="s">
        <v>316</v>
      </c>
      <c r="C257" s="2601" t="s">
        <v>40</v>
      </c>
      <c r="D257" s="2601" t="s">
        <v>40</v>
      </c>
      <c r="E257" s="2601" t="s">
        <v>40</v>
      </c>
      <c r="F257" s="2581" t="s">
        <v>40</v>
      </c>
      <c r="G257" s="2601"/>
      <c r="H257" s="2601"/>
      <c r="I257" s="2601" t="s">
        <v>40</v>
      </c>
      <c r="J257" s="2601" t="s">
        <v>40</v>
      </c>
      <c r="K257" s="2618" t="s">
        <v>40</v>
      </c>
      <c r="L257" s="2618" t="s">
        <v>40</v>
      </c>
      <c r="M257" s="2618" t="s">
        <v>40</v>
      </c>
      <c r="N257" s="2601"/>
      <c r="O257" s="2601"/>
      <c r="P257" s="2587" t="s">
        <v>40</v>
      </c>
      <c r="Q257" s="2587" t="s">
        <v>40</v>
      </c>
      <c r="R257" s="2587" t="s">
        <v>40</v>
      </c>
      <c r="S257" s="2587" t="s">
        <v>40</v>
      </c>
      <c r="T257" s="2587" t="s">
        <v>40</v>
      </c>
      <c r="U257" s="2587"/>
      <c r="V257" s="2587"/>
      <c r="W257" s="2587" t="s">
        <v>40</v>
      </c>
      <c r="X257" s="2587" t="s">
        <v>40</v>
      </c>
      <c r="Y257" s="2587" t="s">
        <v>40</v>
      </c>
      <c r="Z257" s="2587" t="s">
        <v>40</v>
      </c>
      <c r="AA257" s="2587" t="s">
        <v>40</v>
      </c>
      <c r="AB257" s="2587"/>
      <c r="AC257" s="2587"/>
      <c r="AD257" s="2587" t="s">
        <v>40</v>
      </c>
      <c r="AE257" s="2587" t="s">
        <v>40</v>
      </c>
      <c r="AF257" s="2587" t="s">
        <v>40</v>
      </c>
      <c r="AG257" s="2587" t="s">
        <v>40</v>
      </c>
    </row>
    <row r="258" spans="1:33" ht="18" customHeight="1">
      <c r="A258" s="2900">
        <v>3701</v>
      </c>
      <c r="B258" s="2878" t="s">
        <v>317</v>
      </c>
      <c r="C258" s="2601" t="s">
        <v>40</v>
      </c>
      <c r="D258" s="2601" t="s">
        <v>40</v>
      </c>
      <c r="E258" s="2601" t="s">
        <v>40</v>
      </c>
      <c r="F258" s="2581" t="s">
        <v>40</v>
      </c>
      <c r="G258" s="2601"/>
      <c r="H258" s="2601"/>
      <c r="I258" s="2587" t="s">
        <v>40</v>
      </c>
      <c r="J258" s="2587" t="s">
        <v>40</v>
      </c>
      <c r="K258" s="2587" t="s">
        <v>40</v>
      </c>
      <c r="L258" s="2587" t="s">
        <v>40</v>
      </c>
      <c r="M258" s="2587" t="s">
        <v>40</v>
      </c>
      <c r="N258" s="2587"/>
      <c r="O258" s="2587"/>
      <c r="P258" s="2587" t="s">
        <v>40</v>
      </c>
      <c r="Q258" s="2587" t="s">
        <v>40</v>
      </c>
      <c r="R258" s="2587" t="s">
        <v>40</v>
      </c>
      <c r="S258" s="2587" t="s">
        <v>40</v>
      </c>
      <c r="T258" s="2587" t="s">
        <v>40</v>
      </c>
      <c r="U258" s="2587"/>
      <c r="V258" s="2587"/>
      <c r="W258" s="2587" t="s">
        <v>40</v>
      </c>
      <c r="X258" s="2587" t="s">
        <v>40</v>
      </c>
      <c r="Y258" s="2587" t="s">
        <v>40</v>
      </c>
      <c r="Z258" s="2587" t="s">
        <v>40</v>
      </c>
      <c r="AA258" s="2587" t="s">
        <v>40</v>
      </c>
      <c r="AB258" s="2587"/>
      <c r="AC258" s="2587"/>
      <c r="AD258" s="2606" t="s">
        <v>40</v>
      </c>
      <c r="AE258" s="2606" t="s">
        <v>40</v>
      </c>
      <c r="AF258" s="2606" t="s">
        <v>40</v>
      </c>
      <c r="AG258" s="2606" t="s">
        <v>40</v>
      </c>
    </row>
    <row r="259" spans="1:33" ht="18" customHeight="1">
      <c r="A259" s="2900">
        <v>3701</v>
      </c>
      <c r="B259" s="2902" t="s">
        <v>318</v>
      </c>
      <c r="C259" s="2903"/>
      <c r="D259" s="2903"/>
      <c r="E259" s="2903"/>
      <c r="F259" s="2903"/>
      <c r="G259" s="2904"/>
      <c r="H259" s="2904"/>
      <c r="I259" s="2904"/>
      <c r="J259" s="2903"/>
      <c r="K259" s="2903"/>
      <c r="L259" s="2903"/>
      <c r="M259" s="2903"/>
      <c r="N259" s="2904"/>
      <c r="O259" s="2904"/>
      <c r="P259" s="2904"/>
      <c r="Q259" s="2903"/>
      <c r="R259" s="2903"/>
      <c r="S259" s="2903"/>
      <c r="T259" s="2903"/>
      <c r="U259" s="2904"/>
      <c r="V259" s="2904"/>
      <c r="W259" s="2904"/>
      <c r="X259" s="2903"/>
      <c r="Y259" s="2903"/>
      <c r="Z259" s="2903"/>
      <c r="AA259" s="2903"/>
      <c r="AB259" s="2904"/>
      <c r="AC259" s="2904"/>
      <c r="AD259" s="2904"/>
      <c r="AE259" s="2903"/>
      <c r="AF259" s="2903"/>
      <c r="AG259" s="2903"/>
    </row>
    <row r="260" spans="1:33" ht="18" customHeight="1">
      <c r="A260" s="2900">
        <v>3701</v>
      </c>
      <c r="B260" s="2878" t="s">
        <v>319</v>
      </c>
      <c r="C260" s="2587" t="s">
        <v>40</v>
      </c>
      <c r="D260" s="2587" t="s">
        <v>40</v>
      </c>
      <c r="E260" s="2587" t="s">
        <v>40</v>
      </c>
      <c r="F260" s="2587" t="s">
        <v>40</v>
      </c>
      <c r="G260" s="2587"/>
      <c r="H260" s="2587"/>
      <c r="I260" s="2587" t="s">
        <v>40</v>
      </c>
      <c r="J260" s="2587" t="s">
        <v>40</v>
      </c>
      <c r="K260" s="2587" t="s">
        <v>40</v>
      </c>
      <c r="L260" s="2587" t="s">
        <v>40</v>
      </c>
      <c r="M260" s="2587" t="s">
        <v>40</v>
      </c>
      <c r="N260" s="2587"/>
      <c r="O260" s="2587"/>
      <c r="P260" s="2587" t="s">
        <v>40</v>
      </c>
      <c r="Q260" s="2587" t="s">
        <v>40</v>
      </c>
      <c r="R260" s="2587" t="s">
        <v>40</v>
      </c>
      <c r="S260" s="2587" t="s">
        <v>40</v>
      </c>
      <c r="T260" s="2587" t="s">
        <v>40</v>
      </c>
      <c r="U260" s="2587"/>
      <c r="V260" s="2587"/>
      <c r="W260" s="2587" t="s">
        <v>40</v>
      </c>
      <c r="X260" s="2587" t="s">
        <v>40</v>
      </c>
      <c r="Y260" s="2587" t="s">
        <v>40</v>
      </c>
      <c r="Z260" s="2587" t="s">
        <v>40</v>
      </c>
      <c r="AA260" s="2587" t="s">
        <v>40</v>
      </c>
      <c r="AB260" s="2587"/>
      <c r="AC260" s="2587"/>
      <c r="AD260" s="2587" t="s">
        <v>40</v>
      </c>
      <c r="AE260" s="2587" t="s">
        <v>40</v>
      </c>
      <c r="AF260" s="2587" t="s">
        <v>40</v>
      </c>
      <c r="AG260" s="2587" t="s">
        <v>40</v>
      </c>
    </row>
    <row r="261" spans="1:33" ht="18" customHeight="1">
      <c r="A261" s="2900">
        <v>3701</v>
      </c>
      <c r="B261" s="2878" t="s">
        <v>320</v>
      </c>
      <c r="C261" s="2601" t="s">
        <v>40</v>
      </c>
      <c r="D261" s="2601" t="s">
        <v>40</v>
      </c>
      <c r="E261" s="2601" t="s">
        <v>40</v>
      </c>
      <c r="F261" s="2581" t="s">
        <v>40</v>
      </c>
      <c r="G261" s="2601"/>
      <c r="H261" s="2601"/>
      <c r="I261" s="2587" t="s">
        <v>40</v>
      </c>
      <c r="J261" s="2587" t="s">
        <v>40</v>
      </c>
      <c r="K261" s="2587" t="s">
        <v>40</v>
      </c>
      <c r="L261" s="2587" t="s">
        <v>40</v>
      </c>
      <c r="M261" s="2587" t="s">
        <v>40</v>
      </c>
      <c r="N261" s="2601"/>
      <c r="O261" s="2601"/>
      <c r="P261" s="2601" t="s">
        <v>40</v>
      </c>
      <c r="Q261" s="2601" t="s">
        <v>40</v>
      </c>
      <c r="R261" s="2601" t="s">
        <v>40</v>
      </c>
      <c r="S261" s="2601" t="s">
        <v>40</v>
      </c>
      <c r="T261" s="2581" t="s">
        <v>40</v>
      </c>
      <c r="U261" s="2601"/>
      <c r="V261" s="2601"/>
      <c r="W261" s="2606" t="s">
        <v>40</v>
      </c>
      <c r="X261" s="2606" t="s">
        <v>40</v>
      </c>
      <c r="Y261" s="2606" t="s">
        <v>40</v>
      </c>
      <c r="Z261" s="2606" t="s">
        <v>40</v>
      </c>
      <c r="AA261" s="2606" t="s">
        <v>40</v>
      </c>
      <c r="AB261" s="2606"/>
      <c r="AC261" s="2606"/>
      <c r="AD261" s="2587" t="s">
        <v>40</v>
      </c>
      <c r="AE261" s="2587" t="s">
        <v>40</v>
      </c>
      <c r="AF261" s="2587" t="s">
        <v>40</v>
      </c>
      <c r="AG261" s="2587" t="s">
        <v>40</v>
      </c>
    </row>
    <row r="262" spans="1:33" ht="18" customHeight="1">
      <c r="A262" s="2905">
        <v>3701</v>
      </c>
      <c r="B262" s="2878" t="s">
        <v>321</v>
      </c>
      <c r="C262" s="2601" t="s">
        <v>40</v>
      </c>
      <c r="D262" s="2601" t="s">
        <v>40</v>
      </c>
      <c r="E262" s="2619" t="s">
        <v>40</v>
      </c>
      <c r="F262" s="2619" t="s">
        <v>40</v>
      </c>
      <c r="G262" s="2601"/>
      <c r="H262" s="2601"/>
      <c r="I262" s="2587" t="s">
        <v>40</v>
      </c>
      <c r="J262" s="2587" t="s">
        <v>40</v>
      </c>
      <c r="K262" s="2587" t="s">
        <v>40</v>
      </c>
      <c r="L262" s="2587" t="s">
        <v>40</v>
      </c>
      <c r="M262" s="2587" t="s">
        <v>40</v>
      </c>
      <c r="N262" s="2587"/>
      <c r="O262" s="2587"/>
      <c r="P262" s="2587" t="s">
        <v>40</v>
      </c>
      <c r="Q262" s="2587" t="s">
        <v>40</v>
      </c>
      <c r="R262" s="2587" t="s">
        <v>40</v>
      </c>
      <c r="S262" s="2587" t="s">
        <v>40</v>
      </c>
      <c r="T262" s="2587" t="s">
        <v>40</v>
      </c>
      <c r="U262" s="2587"/>
      <c r="V262" s="2587"/>
      <c r="W262" s="2587" t="s">
        <v>40</v>
      </c>
      <c r="X262" s="2587" t="s">
        <v>40</v>
      </c>
      <c r="Y262" s="2587" t="s">
        <v>40</v>
      </c>
      <c r="Z262" s="2587" t="s">
        <v>40</v>
      </c>
      <c r="AA262" s="2587" t="s">
        <v>40</v>
      </c>
      <c r="AB262" s="2587"/>
      <c r="AC262" s="2587"/>
      <c r="AD262" s="2587" t="s">
        <v>40</v>
      </c>
      <c r="AE262" s="2587" t="s">
        <v>40</v>
      </c>
      <c r="AF262" s="2587" t="s">
        <v>40</v>
      </c>
      <c r="AG262" s="2587" t="s">
        <v>40</v>
      </c>
    </row>
    <row r="263" spans="1:33" ht="18" customHeight="1">
      <c r="A263" s="2900">
        <v>3701</v>
      </c>
      <c r="B263" s="2878" t="s">
        <v>322</v>
      </c>
      <c r="C263" s="2601" t="s">
        <v>40</v>
      </c>
      <c r="D263" s="2601" t="s">
        <v>40</v>
      </c>
      <c r="E263" s="2601" t="s">
        <v>40</v>
      </c>
      <c r="F263" s="2618" t="s">
        <v>40</v>
      </c>
      <c r="G263" s="2601"/>
      <c r="H263" s="2601"/>
      <c r="I263" s="2587" t="s">
        <v>40</v>
      </c>
      <c r="J263" s="2587" t="s">
        <v>40</v>
      </c>
      <c r="K263" s="2587" t="s">
        <v>40</v>
      </c>
      <c r="L263" s="2587" t="s">
        <v>40</v>
      </c>
      <c r="M263" s="2587" t="s">
        <v>40</v>
      </c>
      <c r="N263" s="2587"/>
      <c r="O263" s="2587"/>
      <c r="P263" s="2587" t="s">
        <v>40</v>
      </c>
      <c r="Q263" s="2587" t="s">
        <v>40</v>
      </c>
      <c r="R263" s="2587" t="s">
        <v>40</v>
      </c>
      <c r="S263" s="2587" t="s">
        <v>40</v>
      </c>
      <c r="T263" s="2587" t="s">
        <v>40</v>
      </c>
      <c r="U263" s="2587"/>
      <c r="V263" s="2587"/>
      <c r="W263" s="2587" t="s">
        <v>40</v>
      </c>
      <c r="X263" s="2587" t="s">
        <v>40</v>
      </c>
      <c r="Y263" s="2587" t="s">
        <v>40</v>
      </c>
      <c r="Z263" s="2587" t="s">
        <v>40</v>
      </c>
      <c r="AA263" s="2587" t="s">
        <v>40</v>
      </c>
      <c r="AB263" s="2601"/>
      <c r="AC263" s="2601"/>
      <c r="AD263" s="2601" t="s">
        <v>40</v>
      </c>
      <c r="AE263" s="2601" t="s">
        <v>40</v>
      </c>
      <c r="AF263" s="2584" t="s">
        <v>40</v>
      </c>
      <c r="AG263" s="2584" t="s">
        <v>40</v>
      </c>
    </row>
    <row r="264" spans="1:33" ht="18" customHeight="1">
      <c r="A264" s="2900">
        <v>3701</v>
      </c>
      <c r="B264" s="2878" t="s">
        <v>323</v>
      </c>
      <c r="C264" s="2601" t="s">
        <v>40</v>
      </c>
      <c r="D264" s="2601" t="s">
        <v>40</v>
      </c>
      <c r="E264" s="2601" t="s">
        <v>40</v>
      </c>
      <c r="F264" s="2581" t="s">
        <v>40</v>
      </c>
      <c r="G264" s="2601"/>
      <c r="H264" s="2601"/>
      <c r="I264" s="2587" t="s">
        <v>40</v>
      </c>
      <c r="J264" s="2587" t="s">
        <v>40</v>
      </c>
      <c r="K264" s="2587" t="s">
        <v>40</v>
      </c>
      <c r="L264" s="2587" t="s">
        <v>40</v>
      </c>
      <c r="M264" s="2587" t="s">
        <v>40</v>
      </c>
      <c r="N264" s="2587"/>
      <c r="O264" s="2587"/>
      <c r="P264" s="2587" t="s">
        <v>40</v>
      </c>
      <c r="Q264" s="2587" t="s">
        <v>40</v>
      </c>
      <c r="R264" s="2587" t="s">
        <v>40</v>
      </c>
      <c r="S264" s="2587" t="s">
        <v>40</v>
      </c>
      <c r="T264" s="2587" t="s">
        <v>40</v>
      </c>
      <c r="U264" s="2587"/>
      <c r="V264" s="2587"/>
      <c r="W264" s="2587" t="s">
        <v>40</v>
      </c>
      <c r="X264" s="2587" t="s">
        <v>40</v>
      </c>
      <c r="Y264" s="2587" t="s">
        <v>40</v>
      </c>
      <c r="Z264" s="2587" t="s">
        <v>40</v>
      </c>
      <c r="AA264" s="2587" t="s">
        <v>40</v>
      </c>
      <c r="AB264" s="2601"/>
      <c r="AC264" s="2601"/>
      <c r="AD264" s="2601" t="s">
        <v>40</v>
      </c>
      <c r="AE264" s="2601" t="s">
        <v>40</v>
      </c>
      <c r="AF264" s="2584" t="s">
        <v>40</v>
      </c>
      <c r="AG264" s="2584" t="s">
        <v>40</v>
      </c>
    </row>
    <row r="265" spans="1:33" ht="18" customHeight="1">
      <c r="A265" s="2900"/>
      <c r="B265" s="2878" t="s">
        <v>324</v>
      </c>
      <c r="C265" s="2601" t="s">
        <v>40</v>
      </c>
      <c r="D265" s="2601" t="s">
        <v>40</v>
      </c>
      <c r="E265" s="2906" t="s">
        <v>40</v>
      </c>
      <c r="F265" s="2907" t="s">
        <v>325</v>
      </c>
      <c r="G265" s="2601"/>
      <c r="H265" s="2601"/>
      <c r="I265" s="2587" t="s">
        <v>40</v>
      </c>
      <c r="J265" s="2587" t="s">
        <v>40</v>
      </c>
      <c r="K265" s="2587" t="s">
        <v>40</v>
      </c>
      <c r="L265" s="2587" t="s">
        <v>40</v>
      </c>
      <c r="M265" s="2587" t="s">
        <v>40</v>
      </c>
      <c r="N265" s="2587"/>
      <c r="O265" s="2587"/>
      <c r="P265" s="2587" t="s">
        <v>40</v>
      </c>
      <c r="Q265" s="2587" t="s">
        <v>40</v>
      </c>
      <c r="R265" s="2587" t="s">
        <v>40</v>
      </c>
      <c r="S265" s="2587" t="s">
        <v>40</v>
      </c>
      <c r="T265" s="2587" t="s">
        <v>40</v>
      </c>
      <c r="U265" s="2587"/>
      <c r="V265" s="2587"/>
      <c r="W265" s="2587" t="s">
        <v>40</v>
      </c>
      <c r="X265" s="2587" t="s">
        <v>40</v>
      </c>
      <c r="Y265" s="2587" t="s">
        <v>40</v>
      </c>
      <c r="Z265" s="2587" t="s">
        <v>40</v>
      </c>
      <c r="AA265" s="2587" t="s">
        <v>40</v>
      </c>
      <c r="AB265" s="2601"/>
      <c r="AC265" s="2601"/>
      <c r="AD265" s="2601" t="s">
        <v>40</v>
      </c>
      <c r="AE265" s="2601" t="s">
        <v>40</v>
      </c>
      <c r="AF265" s="2584" t="s">
        <v>40</v>
      </c>
      <c r="AG265" s="2584" t="s">
        <v>40</v>
      </c>
    </row>
    <row r="266" spans="1:33" ht="18" customHeight="1">
      <c r="A266" s="2900"/>
      <c r="B266" s="2878"/>
      <c r="C266" s="2601" t="s">
        <v>40</v>
      </c>
      <c r="D266" s="2601" t="s">
        <v>40</v>
      </c>
      <c r="E266" s="2601" t="s">
        <v>40</v>
      </c>
      <c r="F266" s="2581" t="s">
        <v>40</v>
      </c>
      <c r="G266" s="2601"/>
      <c r="H266" s="2601"/>
      <c r="I266" s="2601" t="s">
        <v>40</v>
      </c>
      <c r="J266" s="2601" t="s">
        <v>40</v>
      </c>
      <c r="K266" s="2601" t="s">
        <v>40</v>
      </c>
      <c r="L266" s="2601" t="s">
        <v>40</v>
      </c>
      <c r="M266" s="2581" t="s">
        <v>40</v>
      </c>
      <c r="N266" s="2601"/>
      <c r="O266" s="2601"/>
      <c r="P266" s="2601" t="s">
        <v>40</v>
      </c>
      <c r="Q266" s="2601" t="s">
        <v>40</v>
      </c>
      <c r="R266" s="2601" t="s">
        <v>40</v>
      </c>
      <c r="S266" s="2601" t="s">
        <v>40</v>
      </c>
      <c r="T266" s="2581" t="s">
        <v>40</v>
      </c>
      <c r="U266" s="2601"/>
      <c r="V266" s="2601"/>
      <c r="W266" s="2601" t="s">
        <v>40</v>
      </c>
      <c r="X266" s="2601" t="s">
        <v>40</v>
      </c>
      <c r="Y266" s="2601" t="s">
        <v>40</v>
      </c>
      <c r="Z266" s="2601" t="s">
        <v>40</v>
      </c>
      <c r="AA266" s="2581" t="s">
        <v>40</v>
      </c>
      <c r="AB266" s="2601"/>
      <c r="AC266" s="2601"/>
      <c r="AD266" s="2601" t="s">
        <v>40</v>
      </c>
      <c r="AE266" s="2601" t="s">
        <v>40</v>
      </c>
      <c r="AF266" s="2584" t="s">
        <v>40</v>
      </c>
      <c r="AG266" s="2584" t="s">
        <v>40</v>
      </c>
    </row>
    <row r="267" spans="1:33" ht="18" customHeight="1">
      <c r="A267" s="2900"/>
      <c r="B267" s="2878" t="s">
        <v>326</v>
      </c>
      <c r="C267" s="2601" t="s">
        <v>40</v>
      </c>
      <c r="D267" s="2606" t="s">
        <v>40</v>
      </c>
      <c r="E267" s="2606" t="s">
        <v>40</v>
      </c>
      <c r="F267" s="2606" t="s">
        <v>40</v>
      </c>
      <c r="G267" s="2606"/>
      <c r="H267" s="2606"/>
      <c r="I267" s="2606" t="s">
        <v>40</v>
      </c>
      <c r="J267" s="2606" t="s">
        <v>40</v>
      </c>
      <c r="K267" s="2606" t="s">
        <v>40</v>
      </c>
      <c r="L267" s="2606" t="s">
        <v>40</v>
      </c>
      <c r="M267" s="2606" t="s">
        <v>40</v>
      </c>
      <c r="N267" s="2606"/>
      <c r="O267" s="2606"/>
      <c r="P267" s="2587" t="s">
        <v>40</v>
      </c>
      <c r="Q267" s="2587" t="s">
        <v>40</v>
      </c>
      <c r="R267" s="2587" t="s">
        <v>40</v>
      </c>
      <c r="S267" s="2587" t="s">
        <v>40</v>
      </c>
      <c r="T267" s="2587" t="s">
        <v>40</v>
      </c>
      <c r="U267" s="2606"/>
      <c r="V267" s="2606"/>
      <c r="W267" s="2606" t="s">
        <v>40</v>
      </c>
      <c r="X267" s="2606" t="s">
        <v>40</v>
      </c>
      <c r="Y267" s="2606" t="s">
        <v>40</v>
      </c>
      <c r="Z267" s="2606" t="s">
        <v>40</v>
      </c>
      <c r="AA267" s="2606" t="s">
        <v>40</v>
      </c>
      <c r="AB267" s="2601"/>
      <c r="AC267" s="2601"/>
      <c r="AD267" s="2601" t="s">
        <v>40</v>
      </c>
      <c r="AE267" s="2601" t="s">
        <v>40</v>
      </c>
      <c r="AF267" s="2584" t="s">
        <v>40</v>
      </c>
      <c r="AG267" s="2584" t="s">
        <v>40</v>
      </c>
    </row>
    <row r="268" spans="1:33" ht="18" customHeight="1">
      <c r="A268" s="2900"/>
      <c r="B268" s="2902" t="s">
        <v>327</v>
      </c>
      <c r="C268" s="2903"/>
      <c r="D268" s="2903"/>
      <c r="E268" s="2903"/>
      <c r="F268" s="2903"/>
      <c r="G268" s="2904"/>
      <c r="H268" s="2904"/>
      <c r="I268" s="2904"/>
      <c r="J268" s="2903"/>
      <c r="K268" s="2903"/>
      <c r="L268" s="2903"/>
      <c r="M268" s="2903"/>
      <c r="N268" s="2904"/>
      <c r="O268" s="2904"/>
      <c r="P268" s="2904"/>
      <c r="Q268" s="2903"/>
      <c r="R268" s="2903"/>
      <c r="S268" s="2903"/>
      <c r="T268" s="2903"/>
      <c r="U268" s="2904"/>
      <c r="V268" s="2904"/>
      <c r="W268" s="2904"/>
      <c r="X268" s="2903"/>
      <c r="Y268" s="2903"/>
      <c r="Z268" s="2903"/>
      <c r="AA268" s="2903"/>
      <c r="AB268" s="2904"/>
      <c r="AC268" s="2904"/>
      <c r="AD268" s="2904"/>
      <c r="AE268" s="2903"/>
      <c r="AF268" s="2903"/>
      <c r="AG268" s="2903"/>
    </row>
    <row r="269" spans="1:33" ht="18" customHeight="1">
      <c r="A269" s="2900"/>
      <c r="B269" s="2878" t="s">
        <v>328</v>
      </c>
      <c r="C269" s="2601" t="s">
        <v>40</v>
      </c>
      <c r="D269" s="2601" t="s">
        <v>40</v>
      </c>
      <c r="E269" s="2601" t="s">
        <v>40</v>
      </c>
      <c r="F269" s="2581" t="s">
        <v>40</v>
      </c>
      <c r="G269" s="2601"/>
      <c r="H269" s="2601"/>
      <c r="I269" s="2587" t="s">
        <v>40</v>
      </c>
      <c r="J269" s="2587" t="s">
        <v>40</v>
      </c>
      <c r="K269" s="2587" t="s">
        <v>40</v>
      </c>
      <c r="L269" s="2587" t="s">
        <v>40</v>
      </c>
      <c r="M269" s="2587" t="s">
        <v>40</v>
      </c>
      <c r="N269" s="2587"/>
      <c r="O269" s="2587"/>
      <c r="P269" s="2587" t="s">
        <v>40</v>
      </c>
      <c r="Q269" s="2587" t="s">
        <v>40</v>
      </c>
      <c r="R269" s="2587" t="s">
        <v>40</v>
      </c>
      <c r="S269" s="2587" t="s">
        <v>40</v>
      </c>
      <c r="T269" s="2587" t="s">
        <v>40</v>
      </c>
      <c r="U269" s="2587"/>
      <c r="V269" s="2587"/>
      <c r="W269" s="2587" t="s">
        <v>40</v>
      </c>
      <c r="X269" s="2587" t="s">
        <v>40</v>
      </c>
      <c r="Y269" s="2587" t="s">
        <v>40</v>
      </c>
      <c r="Z269" s="2587" t="s">
        <v>40</v>
      </c>
      <c r="AA269" s="2587" t="s">
        <v>40</v>
      </c>
      <c r="AB269" s="2601"/>
      <c r="AC269" s="2601"/>
      <c r="AD269" s="2601" t="s">
        <v>40</v>
      </c>
      <c r="AE269" s="2601" t="s">
        <v>40</v>
      </c>
      <c r="AF269" s="2584" t="s">
        <v>40</v>
      </c>
      <c r="AG269" s="2584" t="s">
        <v>40</v>
      </c>
    </row>
    <row r="270" spans="1:33" ht="18" customHeight="1">
      <c r="A270" s="2900"/>
      <c r="B270" s="2878" t="s">
        <v>329</v>
      </c>
      <c r="C270" s="2587" t="s">
        <v>40</v>
      </c>
      <c r="D270" s="2587" t="s">
        <v>40</v>
      </c>
      <c r="E270" s="2587" t="s">
        <v>40</v>
      </c>
      <c r="F270" s="2587" t="s">
        <v>40</v>
      </c>
      <c r="G270" s="2587"/>
      <c r="H270" s="2587"/>
      <c r="I270" s="2587" t="s">
        <v>40</v>
      </c>
      <c r="J270" s="2587" t="s">
        <v>40</v>
      </c>
      <c r="K270" s="2587" t="s">
        <v>40</v>
      </c>
      <c r="L270" s="2587" t="s">
        <v>40</v>
      </c>
      <c r="M270" s="2587" t="s">
        <v>40</v>
      </c>
      <c r="N270" s="2587"/>
      <c r="O270" s="2587"/>
      <c r="P270" s="2587" t="s">
        <v>40</v>
      </c>
      <c r="Q270" s="2587" t="s">
        <v>40</v>
      </c>
      <c r="R270" s="2587" t="s">
        <v>40</v>
      </c>
      <c r="S270" s="2587" t="s">
        <v>40</v>
      </c>
      <c r="T270" s="2587" t="s">
        <v>40</v>
      </c>
      <c r="U270" s="2601"/>
      <c r="V270" s="2601"/>
      <c r="W270" s="2601" t="s">
        <v>40</v>
      </c>
      <c r="X270" s="2601" t="s">
        <v>40</v>
      </c>
      <c r="Y270" s="2601" t="s">
        <v>40</v>
      </c>
      <c r="Z270" s="2601" t="s">
        <v>40</v>
      </c>
      <c r="AA270" s="2581" t="s">
        <v>40</v>
      </c>
      <c r="AB270" s="2601"/>
      <c r="AC270" s="2601"/>
      <c r="AD270" s="2601" t="s">
        <v>40</v>
      </c>
      <c r="AE270" s="2601" t="s">
        <v>40</v>
      </c>
      <c r="AF270" s="2584" t="s">
        <v>40</v>
      </c>
      <c r="AG270" s="2584" t="s">
        <v>40</v>
      </c>
    </row>
    <row r="271" spans="1:33" ht="18" customHeight="1">
      <c r="B271" s="2878" t="s">
        <v>330</v>
      </c>
      <c r="C271" s="2601" t="s">
        <v>40</v>
      </c>
      <c r="D271" s="2601" t="s">
        <v>40</v>
      </c>
      <c r="E271" s="2601" t="s">
        <v>40</v>
      </c>
      <c r="F271" s="2581" t="s">
        <v>40</v>
      </c>
      <c r="G271" s="2601"/>
      <c r="H271" s="2601"/>
      <c r="I271" s="2601" t="s">
        <v>40</v>
      </c>
      <c r="J271" s="2601" t="s">
        <v>40</v>
      </c>
      <c r="K271" s="2601" t="s">
        <v>40</v>
      </c>
      <c r="L271" s="2601" t="s">
        <v>40</v>
      </c>
      <c r="M271" s="2581" t="s">
        <v>40</v>
      </c>
      <c r="N271" s="2601"/>
      <c r="O271" s="2601"/>
      <c r="P271" s="2601" t="s">
        <v>40</v>
      </c>
      <c r="Q271" s="2601" t="s">
        <v>40</v>
      </c>
      <c r="R271" s="2601" t="s">
        <v>40</v>
      </c>
      <c r="S271" s="2601" t="s">
        <v>40</v>
      </c>
      <c r="T271" s="2581" t="s">
        <v>40</v>
      </c>
      <c r="U271" s="2601"/>
      <c r="V271" s="2601"/>
      <c r="W271" s="2601" t="s">
        <v>40</v>
      </c>
      <c r="X271" s="2601" t="s">
        <v>40</v>
      </c>
      <c r="Y271" s="2601" t="s">
        <v>40</v>
      </c>
      <c r="Z271" s="2601" t="s">
        <v>40</v>
      </c>
      <c r="AA271" s="2581" t="s">
        <v>40</v>
      </c>
      <c r="AB271" s="2601"/>
      <c r="AC271" s="2601"/>
      <c r="AD271" s="2601" t="s">
        <v>40</v>
      </c>
      <c r="AE271" s="2601" t="s">
        <v>40</v>
      </c>
      <c r="AF271" s="2584" t="s">
        <v>40</v>
      </c>
      <c r="AG271" s="2584" t="s">
        <v>40</v>
      </c>
    </row>
    <row r="273" spans="1:33" ht="18" customHeight="1">
      <c r="A273" s="96" t="s">
        <v>331</v>
      </c>
    </row>
    <row r="274" spans="1:33" ht="18" customHeight="1">
      <c r="B274" s="2908" t="s">
        <v>303</v>
      </c>
      <c r="C274" s="2765"/>
      <c r="D274" s="2788" t="s">
        <v>19</v>
      </c>
      <c r="E274" s="1643"/>
      <c r="F274" s="2769"/>
      <c r="G274" s="2765"/>
      <c r="H274" s="2788" t="s">
        <v>20</v>
      </c>
      <c r="I274" s="1643"/>
      <c r="J274" s="2769"/>
      <c r="K274" s="2765"/>
      <c r="L274" s="2788" t="s">
        <v>21</v>
      </c>
      <c r="M274" s="1643"/>
      <c r="N274" s="2769"/>
      <c r="O274" s="2765"/>
      <c r="P274" s="2788" t="s">
        <v>22</v>
      </c>
      <c r="Q274" s="1643"/>
      <c r="R274" s="2769"/>
      <c r="S274" s="2765"/>
      <c r="T274" s="2788" t="s">
        <v>23</v>
      </c>
      <c r="U274" s="1643"/>
      <c r="V274" s="2769"/>
      <c r="W274" s="2765"/>
      <c r="X274" s="2788" t="s">
        <v>24</v>
      </c>
      <c r="Y274" s="1643"/>
      <c r="Z274" s="2769"/>
      <c r="AA274" s="2765"/>
      <c r="AB274" s="2788" t="s">
        <v>25</v>
      </c>
      <c r="AC274" s="1643"/>
      <c r="AD274" s="1643"/>
      <c r="AE274" s="2791"/>
      <c r="AF274" s="1643"/>
      <c r="AG274" s="1643"/>
    </row>
    <row r="275" spans="1:33" ht="18" customHeight="1">
      <c r="B275" s="2909" t="s">
        <v>210</v>
      </c>
      <c r="C275" s="543" t="s">
        <v>332</v>
      </c>
      <c r="D275" s="539"/>
      <c r="E275" s="544"/>
      <c r="F275" s="545"/>
      <c r="G275" s="543" t="s">
        <v>332</v>
      </c>
      <c r="H275" s="539"/>
      <c r="I275" s="544"/>
      <c r="J275" s="545"/>
      <c r="K275" s="543" t="s">
        <v>332</v>
      </c>
      <c r="L275" s="539"/>
      <c r="M275" s="544"/>
      <c r="N275" s="545"/>
      <c r="O275" s="543" t="s">
        <v>332</v>
      </c>
      <c r="P275" s="546"/>
      <c r="Q275" s="544"/>
      <c r="R275" s="545"/>
      <c r="S275" s="547" t="s">
        <v>333</v>
      </c>
      <c r="T275" s="539"/>
      <c r="U275" s="544"/>
      <c r="V275" s="545"/>
      <c r="W275" s="541"/>
      <c r="X275" s="539"/>
      <c r="Y275" s="531"/>
      <c r="Z275" s="540"/>
      <c r="AA275" s="541"/>
      <c r="AB275" s="539"/>
      <c r="AC275" s="531"/>
      <c r="AD275" s="531"/>
      <c r="AE275" s="542"/>
      <c r="AF275" s="531"/>
      <c r="AG275" s="516"/>
    </row>
    <row r="276" spans="1:33" ht="18" customHeight="1">
      <c r="A276" s="68"/>
      <c r="B276" s="2909" t="s">
        <v>212</v>
      </c>
      <c r="C276" s="543" t="s">
        <v>334</v>
      </c>
      <c r="D276" s="539"/>
      <c r="E276" s="544"/>
      <c r="F276" s="545"/>
      <c r="G276" s="543" t="s">
        <v>334</v>
      </c>
      <c r="H276" s="539"/>
      <c r="I276" s="544"/>
      <c r="J276" s="545"/>
      <c r="K276" s="543" t="s">
        <v>334</v>
      </c>
      <c r="L276" s="539"/>
      <c r="M276" s="544"/>
      <c r="N276" s="545"/>
      <c r="O276" s="543" t="s">
        <v>334</v>
      </c>
      <c r="P276" s="539"/>
      <c r="Q276" s="544"/>
      <c r="R276" s="545"/>
      <c r="S276" s="543" t="s">
        <v>335</v>
      </c>
      <c r="T276" s="539"/>
      <c r="U276" s="544"/>
      <c r="V276" s="545"/>
      <c r="W276" s="541"/>
      <c r="X276" s="539"/>
      <c r="Y276" s="531"/>
      <c r="Z276" s="540"/>
      <c r="AA276" s="541"/>
      <c r="AB276" s="539"/>
      <c r="AC276" s="531"/>
      <c r="AD276" s="531"/>
      <c r="AE276" s="542"/>
      <c r="AF276" s="531"/>
      <c r="AG276" s="516"/>
    </row>
    <row r="277" spans="1:33" ht="18" customHeight="1">
      <c r="B277" s="2910" t="s">
        <v>336</v>
      </c>
      <c r="C277" s="2842" t="s">
        <v>334</v>
      </c>
      <c r="D277" s="2911"/>
      <c r="E277" s="544"/>
      <c r="F277" s="545"/>
      <c r="G277" s="2842" t="s">
        <v>334</v>
      </c>
      <c r="H277" s="2911"/>
      <c r="I277" s="544"/>
      <c r="J277" s="545"/>
      <c r="K277" s="2842" t="s">
        <v>334</v>
      </c>
      <c r="L277" s="2911"/>
      <c r="M277" s="544"/>
      <c r="N277" s="545"/>
      <c r="O277" s="2842" t="s">
        <v>334</v>
      </c>
      <c r="P277" s="2911"/>
      <c r="Q277" s="544"/>
      <c r="R277" s="545"/>
      <c r="S277" s="2842" t="s">
        <v>335</v>
      </c>
      <c r="T277" s="539"/>
      <c r="U277" s="544"/>
      <c r="V277" s="545"/>
      <c r="W277" s="541"/>
      <c r="X277" s="539"/>
      <c r="Y277" s="531"/>
      <c r="Z277" s="540"/>
      <c r="AA277" s="541"/>
      <c r="AB277" s="539"/>
      <c r="AC277" s="531"/>
      <c r="AD277" s="531"/>
      <c r="AE277" s="542"/>
      <c r="AF277" s="531"/>
      <c r="AG277" s="516"/>
    </row>
    <row r="278" spans="1:33" ht="18" customHeight="1">
      <c r="B278" s="37"/>
      <c r="C278" s="42"/>
      <c r="D278" s="5"/>
      <c r="G278" s="42"/>
      <c r="H278" s="5"/>
      <c r="K278" s="42"/>
      <c r="L278" s="5"/>
      <c r="O278" s="42"/>
      <c r="P278" s="5"/>
      <c r="S278" s="42"/>
      <c r="T278" s="42"/>
      <c r="X278" s="42"/>
      <c r="AB278" s="42"/>
      <c r="AE278" s="42"/>
    </row>
    <row r="279" spans="1:33" ht="18" customHeight="1">
      <c r="A279" s="588" t="s">
        <v>337</v>
      </c>
    </row>
    <row r="280" spans="1:33" ht="18" customHeight="1">
      <c r="A280" s="2784"/>
      <c r="B280" s="2654" t="s">
        <v>38</v>
      </c>
      <c r="C280" s="1578">
        <v>1</v>
      </c>
      <c r="D280" s="1578">
        <v>2</v>
      </c>
      <c r="E280" s="1578">
        <v>3</v>
      </c>
      <c r="F280" s="1578">
        <v>4</v>
      </c>
      <c r="G280" s="1580">
        <v>5</v>
      </c>
      <c r="H280" s="1580">
        <v>6</v>
      </c>
      <c r="I280" s="1578">
        <v>7</v>
      </c>
      <c r="J280" s="1578">
        <v>8</v>
      </c>
      <c r="K280" s="1578">
        <v>9</v>
      </c>
      <c r="L280" s="1578">
        <v>10</v>
      </c>
      <c r="M280" s="1578">
        <v>11</v>
      </c>
      <c r="N280" s="1580">
        <v>12</v>
      </c>
      <c r="O280" s="1580">
        <v>13</v>
      </c>
      <c r="P280" s="1578">
        <v>14</v>
      </c>
      <c r="Q280" s="1578">
        <v>15</v>
      </c>
      <c r="R280" s="1578">
        <v>16</v>
      </c>
      <c r="S280" s="1578">
        <v>17</v>
      </c>
      <c r="T280" s="1578">
        <v>18</v>
      </c>
      <c r="U280" s="1580">
        <v>19</v>
      </c>
      <c r="V280" s="1580">
        <v>20</v>
      </c>
      <c r="W280" s="1578">
        <v>21</v>
      </c>
      <c r="X280" s="1578">
        <v>22</v>
      </c>
      <c r="Y280" s="1578">
        <v>23</v>
      </c>
      <c r="Z280" s="1578">
        <v>24</v>
      </c>
      <c r="AA280" s="1578">
        <v>25</v>
      </c>
      <c r="AB280" s="1580">
        <v>26</v>
      </c>
      <c r="AC280" s="1580">
        <v>27</v>
      </c>
      <c r="AD280" s="1578">
        <v>28</v>
      </c>
      <c r="AE280" s="1578">
        <v>29</v>
      </c>
      <c r="AF280" s="1578">
        <v>30</v>
      </c>
      <c r="AG280" s="1578">
        <v>31</v>
      </c>
    </row>
    <row r="281" spans="1:33" ht="18" customHeight="1">
      <c r="A281" s="2912">
        <v>3702</v>
      </c>
      <c r="B281" s="2913" t="s">
        <v>338</v>
      </c>
      <c r="C281" s="1645" t="s">
        <v>40</v>
      </c>
      <c r="D281" s="1645" t="s">
        <v>40</v>
      </c>
      <c r="E281" s="1645" t="s">
        <v>40</v>
      </c>
      <c r="F281" s="1645" t="s">
        <v>40</v>
      </c>
      <c r="G281" s="1645"/>
      <c r="H281" s="1645"/>
      <c r="I281" s="1645" t="s">
        <v>40</v>
      </c>
      <c r="J281" s="1645" t="s">
        <v>40</v>
      </c>
      <c r="K281" s="1645" t="s">
        <v>40</v>
      </c>
      <c r="L281" s="1645" t="s">
        <v>40</v>
      </c>
      <c r="M281" s="1645" t="s">
        <v>40</v>
      </c>
      <c r="N281" s="1645"/>
      <c r="O281" s="1645"/>
      <c r="P281" s="1819" t="s">
        <v>40</v>
      </c>
      <c r="Q281" s="1819" t="s">
        <v>40</v>
      </c>
      <c r="R281" s="1819" t="s">
        <v>40</v>
      </c>
      <c r="S281" s="1819" t="s">
        <v>40</v>
      </c>
      <c r="T281" s="1819" t="s">
        <v>40</v>
      </c>
      <c r="U281" s="1819"/>
      <c r="V281" s="1819"/>
      <c r="W281" s="1645" t="s">
        <v>40</v>
      </c>
      <c r="X281" s="1645" t="s">
        <v>40</v>
      </c>
      <c r="Y281" s="1645" t="s">
        <v>40</v>
      </c>
      <c r="Z281" s="1645" t="s">
        <v>40</v>
      </c>
      <c r="AA281" s="1645" t="s">
        <v>40</v>
      </c>
      <c r="AB281" s="1645"/>
      <c r="AC281" s="1645"/>
      <c r="AD281" s="1645" t="s">
        <v>40</v>
      </c>
      <c r="AE281" s="1645" t="s">
        <v>40</v>
      </c>
      <c r="AF281" s="1645" t="s">
        <v>40</v>
      </c>
      <c r="AG281" s="1645" t="s">
        <v>40</v>
      </c>
    </row>
    <row r="282" spans="1:33" ht="18" customHeight="1">
      <c r="A282" s="2914"/>
      <c r="B282" s="2915"/>
      <c r="C282" s="2601"/>
      <c r="D282" s="2601"/>
      <c r="E282" s="2601"/>
      <c r="F282" s="2601"/>
      <c r="G282" s="2601"/>
      <c r="H282" s="2601"/>
      <c r="I282" s="2601"/>
      <c r="J282" s="2601"/>
      <c r="K282" s="2601"/>
      <c r="L282" s="2601"/>
      <c r="M282" s="2601"/>
      <c r="N282" s="2601"/>
      <c r="O282" s="2601"/>
      <c r="P282" s="2601"/>
      <c r="Q282" s="2601"/>
      <c r="R282" s="2601"/>
      <c r="S282" s="2601"/>
      <c r="T282" s="2601"/>
      <c r="U282" s="2601"/>
      <c r="V282" s="2601"/>
      <c r="W282" s="2601"/>
      <c r="X282" s="2601"/>
      <c r="Y282" s="2601"/>
      <c r="Z282" s="2601"/>
      <c r="AA282" s="2601"/>
      <c r="AB282" s="2601"/>
      <c r="AC282" s="2601"/>
      <c r="AD282" s="2601"/>
      <c r="AE282" s="2601"/>
      <c r="AF282" s="2601"/>
      <c r="AG282" s="2601"/>
    </row>
    <row r="283" spans="1:33" ht="18" customHeight="1">
      <c r="A283" s="2916"/>
      <c r="B283" s="2917" t="s">
        <v>339</v>
      </c>
      <c r="C283" s="2918"/>
      <c r="D283" s="2918"/>
      <c r="E283" s="2918"/>
      <c r="F283" s="2918"/>
      <c r="G283" s="2918"/>
      <c r="H283" s="2918"/>
      <c r="I283" s="2918"/>
      <c r="J283" s="2918"/>
      <c r="K283" s="2918"/>
      <c r="L283" s="2918"/>
      <c r="M283" s="2918"/>
      <c r="N283" s="2918"/>
      <c r="O283" s="2918"/>
      <c r="P283" s="2918"/>
      <c r="Q283" s="2918"/>
      <c r="R283" s="2918"/>
      <c r="S283" s="2918"/>
      <c r="T283" s="2918"/>
      <c r="U283" s="2918"/>
      <c r="V283" s="2918"/>
      <c r="W283" s="2918"/>
      <c r="X283" s="2918"/>
      <c r="Y283" s="2918"/>
      <c r="Z283" s="2918"/>
      <c r="AA283" s="2918"/>
      <c r="AB283" s="2918"/>
      <c r="AC283" s="2918"/>
      <c r="AD283" s="2918"/>
      <c r="AE283" s="2918"/>
      <c r="AF283" s="2918"/>
      <c r="AG283" s="2918"/>
    </row>
    <row r="284" spans="1:33" ht="18" customHeight="1">
      <c r="A284" s="2919">
        <v>3702</v>
      </c>
      <c r="B284" s="2583" t="s">
        <v>340</v>
      </c>
      <c r="C284" s="2617" t="s">
        <v>342</v>
      </c>
      <c r="D284" s="2617" t="s">
        <v>342</v>
      </c>
      <c r="E284" s="2617" t="s">
        <v>342</v>
      </c>
      <c r="F284" s="2617" t="s">
        <v>342</v>
      </c>
      <c r="G284" s="2617"/>
      <c r="H284" s="2617"/>
      <c r="I284" s="2584" t="s">
        <v>341</v>
      </c>
      <c r="J284" s="2617" t="s">
        <v>341</v>
      </c>
      <c r="K284" s="2617" t="s">
        <v>341</v>
      </c>
      <c r="L284" s="2584" t="s">
        <v>341</v>
      </c>
      <c r="M284" s="2584" t="s">
        <v>341</v>
      </c>
      <c r="N284" s="2617"/>
      <c r="O284" s="2617"/>
      <c r="P284" s="2617" t="s">
        <v>342</v>
      </c>
      <c r="Q284" s="2617" t="s">
        <v>342</v>
      </c>
      <c r="R284" s="2617" t="s">
        <v>342</v>
      </c>
      <c r="S284" s="2617" t="s">
        <v>342</v>
      </c>
      <c r="T284" s="2617" t="s">
        <v>342</v>
      </c>
      <c r="U284" s="2617"/>
      <c r="V284" s="2617"/>
      <c r="W284" s="2584" t="s">
        <v>341</v>
      </c>
      <c r="X284" s="2617" t="s">
        <v>341</v>
      </c>
      <c r="Y284" s="2617" t="s">
        <v>341</v>
      </c>
      <c r="Z284" s="2584" t="s">
        <v>341</v>
      </c>
      <c r="AA284" s="2584" t="s">
        <v>341</v>
      </c>
      <c r="AB284" s="2617"/>
      <c r="AC284" s="2617"/>
      <c r="AD284" s="2617" t="s">
        <v>342</v>
      </c>
      <c r="AE284" s="2617" t="s">
        <v>342</v>
      </c>
      <c r="AF284" s="2617" t="s">
        <v>342</v>
      </c>
      <c r="AG284" s="2617" t="s">
        <v>342</v>
      </c>
    </row>
    <row r="285" spans="1:33" ht="18" customHeight="1">
      <c r="A285" s="2919"/>
      <c r="B285" s="2583" t="s">
        <v>343</v>
      </c>
      <c r="C285" s="2584" t="s">
        <v>341</v>
      </c>
      <c r="D285" s="2584" t="s">
        <v>341</v>
      </c>
      <c r="E285" s="2584" t="s">
        <v>341</v>
      </c>
      <c r="F285" s="2584" t="s">
        <v>341</v>
      </c>
      <c r="G285" s="2617"/>
      <c r="H285" s="2617"/>
      <c r="I285" s="2617" t="s">
        <v>342</v>
      </c>
      <c r="J285" s="2617" t="s">
        <v>342</v>
      </c>
      <c r="K285" s="2617" t="s">
        <v>342</v>
      </c>
      <c r="L285" s="2617" t="s">
        <v>342</v>
      </c>
      <c r="M285" s="2617" t="s">
        <v>342</v>
      </c>
      <c r="N285" s="2617"/>
      <c r="O285" s="2617"/>
      <c r="P285" s="2584" t="s">
        <v>341</v>
      </c>
      <c r="Q285" s="2584" t="s">
        <v>341</v>
      </c>
      <c r="R285" s="2584" t="s">
        <v>341</v>
      </c>
      <c r="S285" s="2584" t="s">
        <v>341</v>
      </c>
      <c r="T285" s="2584" t="s">
        <v>341</v>
      </c>
      <c r="U285" s="2617"/>
      <c r="V285" s="2617"/>
      <c r="W285" s="2617" t="s">
        <v>342</v>
      </c>
      <c r="X285" s="2617" t="s">
        <v>342</v>
      </c>
      <c r="Y285" s="2617" t="s">
        <v>342</v>
      </c>
      <c r="Z285" s="2617" t="s">
        <v>342</v>
      </c>
      <c r="AA285" s="2617" t="s">
        <v>342</v>
      </c>
      <c r="AB285" s="2617"/>
      <c r="AC285" s="2617"/>
      <c r="AD285" s="2584" t="s">
        <v>341</v>
      </c>
      <c r="AE285" s="2584" t="s">
        <v>341</v>
      </c>
      <c r="AF285" s="2584" t="s">
        <v>341</v>
      </c>
      <c r="AG285" s="2584" t="s">
        <v>341</v>
      </c>
    </row>
    <row r="286" spans="1:33" ht="18" customHeight="1">
      <c r="A286" s="2920"/>
      <c r="B286" s="2588" t="s">
        <v>345</v>
      </c>
      <c r="C286" s="2589" t="s">
        <v>346</v>
      </c>
      <c r="D286" s="2589" t="s">
        <v>346</v>
      </c>
      <c r="E286" s="2589" t="s">
        <v>346</v>
      </c>
      <c r="F286" s="2589" t="s">
        <v>346</v>
      </c>
      <c r="G286" s="2660"/>
      <c r="H286" s="2660"/>
      <c r="I286" s="2921" t="s">
        <v>347</v>
      </c>
      <c r="J286" s="2660" t="s">
        <v>346</v>
      </c>
      <c r="K286" s="2922" t="s">
        <v>346</v>
      </c>
      <c r="L286" s="2589" t="s">
        <v>346</v>
      </c>
      <c r="M286" s="2595" t="s">
        <v>346</v>
      </c>
      <c r="N286" s="2660"/>
      <c r="O286" s="2660"/>
      <c r="P286" s="2922">
        <v>1</v>
      </c>
      <c r="Q286" s="2922">
        <v>1</v>
      </c>
      <c r="R286" s="2922">
        <v>1</v>
      </c>
      <c r="S286" s="2922">
        <v>1</v>
      </c>
      <c r="T286" s="2922">
        <v>1</v>
      </c>
      <c r="U286" s="2660"/>
      <c r="V286" s="2660"/>
      <c r="W286" s="2595" t="s">
        <v>346</v>
      </c>
      <c r="X286" s="2660" t="s">
        <v>346</v>
      </c>
      <c r="Y286" s="2595" t="s">
        <v>346</v>
      </c>
      <c r="Z286" s="2595" t="s">
        <v>346</v>
      </c>
      <c r="AA286" s="2595" t="s">
        <v>346</v>
      </c>
      <c r="AB286" s="2660"/>
      <c r="AC286" s="2660"/>
      <c r="AD286" s="2589" t="s">
        <v>346</v>
      </c>
      <c r="AE286" s="2589" t="s">
        <v>346</v>
      </c>
      <c r="AF286" s="2589" t="s">
        <v>346</v>
      </c>
      <c r="AG286" s="2589" t="s">
        <v>346</v>
      </c>
    </row>
    <row r="289" spans="1:33" ht="18" customHeight="1">
      <c r="A289" s="96" t="s">
        <v>348</v>
      </c>
    </row>
    <row r="290" spans="1:33" ht="18" customHeight="1">
      <c r="A290" s="1"/>
      <c r="B290" s="2908" t="s">
        <v>303</v>
      </c>
      <c r="C290" s="2765"/>
      <c r="D290" s="2788" t="s">
        <v>19</v>
      </c>
      <c r="E290" s="1643"/>
      <c r="F290" s="2769"/>
      <c r="G290" s="2765"/>
      <c r="H290" s="2788" t="s">
        <v>20</v>
      </c>
      <c r="I290" s="1643"/>
      <c r="J290" s="2769"/>
      <c r="K290" s="2765"/>
      <c r="L290" s="2788" t="s">
        <v>21</v>
      </c>
      <c r="M290" s="1643"/>
      <c r="N290" s="2769"/>
      <c r="O290" s="2765"/>
      <c r="P290" s="2788" t="s">
        <v>22</v>
      </c>
      <c r="Q290" s="1643"/>
      <c r="R290" s="2769"/>
      <c r="S290" s="2765"/>
      <c r="T290" s="2788" t="s">
        <v>23</v>
      </c>
      <c r="U290" s="1643"/>
      <c r="V290" s="2769"/>
      <c r="W290" s="2765"/>
      <c r="X290" s="2788" t="s">
        <v>24</v>
      </c>
      <c r="Y290" s="1643"/>
      <c r="Z290" s="2769"/>
      <c r="AA290" s="2765"/>
      <c r="AB290" s="2788" t="s">
        <v>25</v>
      </c>
      <c r="AC290" s="1643"/>
      <c r="AD290" s="1643"/>
      <c r="AE290" s="2791" t="s">
        <v>108</v>
      </c>
      <c r="AF290" s="1643"/>
      <c r="AG290" s="2841"/>
    </row>
    <row r="291" spans="1:33" ht="18" customHeight="1">
      <c r="A291" s="1"/>
      <c r="B291" s="548"/>
      <c r="C291" s="549"/>
      <c r="D291" s="539"/>
      <c r="E291" s="516"/>
      <c r="F291" s="518"/>
      <c r="G291" s="549"/>
      <c r="H291" s="539"/>
      <c r="I291" s="516"/>
      <c r="J291" s="518"/>
      <c r="K291" s="549"/>
      <c r="L291" s="539"/>
      <c r="M291" s="516"/>
      <c r="N291" s="518"/>
      <c r="O291" s="549"/>
      <c r="P291" s="539"/>
      <c r="Q291" s="516"/>
      <c r="R291" s="518"/>
      <c r="S291" s="549"/>
      <c r="T291" s="539"/>
      <c r="U291" s="516"/>
      <c r="V291" s="518"/>
      <c r="W291" s="549"/>
      <c r="X291" s="539"/>
      <c r="Y291" s="516"/>
      <c r="Z291" s="518"/>
      <c r="AA291" s="549"/>
      <c r="AB291" s="539"/>
      <c r="AC291" s="516"/>
      <c r="AD291" s="516"/>
      <c r="AE291" s="542"/>
      <c r="AF291" s="516"/>
      <c r="AG291" s="466"/>
    </row>
    <row r="292" spans="1:33" ht="18" customHeight="1">
      <c r="A292" s="68"/>
      <c r="B292" s="2909"/>
      <c r="C292" s="2677"/>
      <c r="D292" s="2554"/>
      <c r="E292" s="2554"/>
      <c r="F292" s="2796"/>
      <c r="G292" s="2677"/>
      <c r="H292" s="2554"/>
      <c r="I292" s="2554"/>
      <c r="J292" s="2796"/>
      <c r="K292" s="2677"/>
      <c r="L292" s="2554"/>
      <c r="M292" s="2554"/>
      <c r="N292" s="2796"/>
      <c r="O292" s="2677"/>
      <c r="P292" s="2554"/>
      <c r="Q292" s="2554"/>
      <c r="R292" s="2796"/>
      <c r="S292" s="2677"/>
      <c r="T292" s="2554"/>
      <c r="U292" s="2554"/>
      <c r="V292" s="2796"/>
      <c r="W292" s="2677"/>
      <c r="X292" s="2554"/>
      <c r="Y292" s="2554"/>
      <c r="Z292" s="2796"/>
      <c r="AA292" s="2794"/>
      <c r="AB292" s="2554"/>
      <c r="AC292" s="2554"/>
      <c r="AD292" s="2678"/>
      <c r="AE292" s="2923"/>
      <c r="AF292" s="2554"/>
      <c r="AG292" s="2844"/>
    </row>
    <row r="293" spans="1:33" ht="18" customHeight="1">
      <c r="A293" s="1"/>
      <c r="B293" s="2805"/>
      <c r="C293" s="2806"/>
      <c r="D293" s="2646"/>
      <c r="E293" s="2646"/>
      <c r="F293" s="2825"/>
      <c r="G293" s="2806"/>
      <c r="H293" s="2646"/>
      <c r="I293" s="2646"/>
      <c r="J293" s="2825"/>
      <c r="K293" s="2806"/>
      <c r="L293" s="2646"/>
      <c r="M293" s="2646"/>
      <c r="N293" s="2825"/>
      <c r="O293" s="2806"/>
      <c r="P293" s="2646"/>
      <c r="Q293" s="2646"/>
      <c r="R293" s="2825"/>
      <c r="S293" s="2806"/>
      <c r="T293" s="2646"/>
      <c r="U293" s="2646"/>
      <c r="V293" s="2825"/>
      <c r="W293" s="2823"/>
      <c r="X293" s="2646"/>
      <c r="Y293" s="2646"/>
      <c r="Z293" s="2825"/>
      <c r="AA293" s="2823"/>
      <c r="AB293" s="2646"/>
      <c r="AC293" s="2646"/>
      <c r="AD293" s="2826"/>
      <c r="AE293" s="2823"/>
      <c r="AF293" s="2646"/>
      <c r="AG293" s="2846"/>
    </row>
    <row r="294" spans="1:33" ht="18" customHeight="1">
      <c r="A294" s="1"/>
      <c r="B294" s="5"/>
      <c r="C294" s="42"/>
      <c r="F294" s="46"/>
      <c r="G294" s="42"/>
      <c r="J294" s="46"/>
      <c r="K294" s="42"/>
      <c r="N294" s="46"/>
      <c r="O294" s="42"/>
      <c r="R294" s="46"/>
      <c r="S294" s="42"/>
      <c r="V294" s="46"/>
      <c r="W294" s="46"/>
      <c r="Z294" s="46"/>
      <c r="AA294" s="46"/>
      <c r="AD294" s="46"/>
      <c r="AE294" s="46"/>
    </row>
    <row r="295" spans="1:33" ht="18" customHeight="1">
      <c r="A295" s="96" t="s">
        <v>349</v>
      </c>
      <c r="B295" s="5"/>
      <c r="C295" s="42"/>
      <c r="F295" s="46"/>
      <c r="G295" s="42"/>
      <c r="J295" s="46"/>
      <c r="K295" s="42"/>
      <c r="N295" s="46"/>
      <c r="O295" s="42"/>
      <c r="R295" s="46"/>
      <c r="S295" s="42"/>
      <c r="V295" s="46"/>
      <c r="W295" s="46"/>
      <c r="Z295" s="46"/>
      <c r="AA295" s="46"/>
      <c r="AD295" s="46"/>
      <c r="AE295" s="46"/>
      <c r="AG295" s="111"/>
    </row>
    <row r="296" spans="1:33" ht="18" customHeight="1">
      <c r="A296" s="2784" t="s">
        <v>37</v>
      </c>
      <c r="B296" s="2654" t="s">
        <v>38</v>
      </c>
      <c r="C296" s="1578">
        <v>1</v>
      </c>
      <c r="D296" s="1578">
        <v>2</v>
      </c>
      <c r="E296" s="1578">
        <v>3</v>
      </c>
      <c r="F296" s="1578">
        <v>4</v>
      </c>
      <c r="G296" s="1580">
        <v>5</v>
      </c>
      <c r="H296" s="1580">
        <v>6</v>
      </c>
      <c r="I296" s="1578">
        <v>7</v>
      </c>
      <c r="J296" s="1578">
        <v>8</v>
      </c>
      <c r="K296" s="1578">
        <v>9</v>
      </c>
      <c r="L296" s="1578">
        <v>10</v>
      </c>
      <c r="M296" s="1578">
        <v>11</v>
      </c>
      <c r="N296" s="1580">
        <v>12</v>
      </c>
      <c r="O296" s="1580">
        <v>13</v>
      </c>
      <c r="P296" s="1578">
        <v>14</v>
      </c>
      <c r="Q296" s="1578">
        <v>15</v>
      </c>
      <c r="R296" s="1578">
        <v>16</v>
      </c>
      <c r="S296" s="1578">
        <v>17</v>
      </c>
      <c r="T296" s="1578">
        <v>18</v>
      </c>
      <c r="U296" s="1580">
        <v>19</v>
      </c>
      <c r="V296" s="1580">
        <v>20</v>
      </c>
      <c r="W296" s="1578">
        <v>21</v>
      </c>
      <c r="X296" s="1578">
        <v>22</v>
      </c>
      <c r="Y296" s="1578">
        <v>23</v>
      </c>
      <c r="Z296" s="1578">
        <v>24</v>
      </c>
      <c r="AA296" s="1578">
        <v>25</v>
      </c>
      <c r="AB296" s="1580">
        <v>26</v>
      </c>
      <c r="AC296" s="1580">
        <v>27</v>
      </c>
      <c r="AD296" s="1578">
        <v>28</v>
      </c>
      <c r="AE296" s="1578">
        <v>29</v>
      </c>
      <c r="AF296" s="1578">
        <v>30</v>
      </c>
      <c r="AG296" s="1578">
        <v>31</v>
      </c>
    </row>
    <row r="297" spans="1:33" ht="18" customHeight="1">
      <c r="A297" s="2924"/>
      <c r="B297" s="2925"/>
      <c r="C297" s="2601" t="s">
        <v>40</v>
      </c>
      <c r="D297" s="2601" t="s">
        <v>40</v>
      </c>
      <c r="E297" s="2601" t="s">
        <v>40</v>
      </c>
      <c r="F297" s="2601" t="s">
        <v>40</v>
      </c>
      <c r="G297" s="2601"/>
      <c r="H297" s="2601"/>
      <c r="I297" s="2601" t="s">
        <v>40</v>
      </c>
      <c r="J297" s="2601" t="s">
        <v>40</v>
      </c>
      <c r="K297" s="2601" t="s">
        <v>40</v>
      </c>
      <c r="L297" s="2601" t="s">
        <v>40</v>
      </c>
      <c r="M297" s="2601" t="s">
        <v>40</v>
      </c>
      <c r="N297" s="2601"/>
      <c r="O297" s="2601"/>
      <c r="P297" s="2601" t="s">
        <v>40</v>
      </c>
      <c r="Q297" s="2601" t="s">
        <v>40</v>
      </c>
      <c r="R297" s="2601" t="s">
        <v>40</v>
      </c>
      <c r="S297" s="2601" t="s">
        <v>40</v>
      </c>
      <c r="T297" s="2601" t="s">
        <v>40</v>
      </c>
      <c r="U297" s="2601"/>
      <c r="V297" s="2601"/>
      <c r="W297" s="2601" t="s">
        <v>40</v>
      </c>
      <c r="X297" s="2601" t="s">
        <v>40</v>
      </c>
      <c r="Y297" s="2601" t="s">
        <v>40</v>
      </c>
      <c r="Z297" s="2601" t="s">
        <v>40</v>
      </c>
      <c r="AA297" s="2601" t="s">
        <v>40</v>
      </c>
      <c r="AB297" s="2601"/>
      <c r="AC297" s="2601"/>
      <c r="AD297" s="2601" t="s">
        <v>40</v>
      </c>
      <c r="AE297" s="2601" t="s">
        <v>40</v>
      </c>
      <c r="AF297" s="2601" t="s">
        <v>40</v>
      </c>
      <c r="AG297" s="2601" t="s">
        <v>40</v>
      </c>
    </row>
    <row r="298" spans="1:33" ht="18" customHeight="1">
      <c r="A298" s="2926"/>
      <c r="B298" s="2683" t="s">
        <v>350</v>
      </c>
      <c r="C298" s="2601" t="s">
        <v>40</v>
      </c>
      <c r="D298" s="2601" t="s">
        <v>40</v>
      </c>
      <c r="E298" s="2601" t="s">
        <v>40</v>
      </c>
      <c r="F298" s="2601" t="s">
        <v>40</v>
      </c>
      <c r="G298" s="2601"/>
      <c r="H298" s="2601"/>
      <c r="I298" s="2601" t="s">
        <v>40</v>
      </c>
      <c r="J298" s="2601" t="s">
        <v>40</v>
      </c>
      <c r="K298" s="2601" t="s">
        <v>40</v>
      </c>
      <c r="L298" s="2601" t="s">
        <v>40</v>
      </c>
      <c r="M298" s="2601" t="s">
        <v>40</v>
      </c>
      <c r="N298" s="2601"/>
      <c r="O298" s="2601"/>
      <c r="P298" s="2601" t="s">
        <v>40</v>
      </c>
      <c r="Q298" s="2601" t="s">
        <v>40</v>
      </c>
      <c r="R298" s="2601" t="s">
        <v>40</v>
      </c>
      <c r="S298" s="2601" t="s">
        <v>40</v>
      </c>
      <c r="T298" s="2601" t="s">
        <v>40</v>
      </c>
      <c r="U298" s="2601"/>
      <c r="V298" s="2601"/>
      <c r="W298" s="2601" t="s">
        <v>40</v>
      </c>
      <c r="X298" s="2601" t="s">
        <v>40</v>
      </c>
      <c r="Y298" s="2601" t="s">
        <v>40</v>
      </c>
      <c r="Z298" s="2601" t="s">
        <v>40</v>
      </c>
      <c r="AA298" s="2601" t="s">
        <v>40</v>
      </c>
      <c r="AB298" s="2601"/>
      <c r="AC298" s="2601"/>
      <c r="AD298" s="2601" t="s">
        <v>40</v>
      </c>
      <c r="AE298" s="2601" t="s">
        <v>40</v>
      </c>
      <c r="AF298" s="2601" t="s">
        <v>40</v>
      </c>
      <c r="AG298" s="2601" t="s">
        <v>40</v>
      </c>
    </row>
    <row r="299" spans="1:33" ht="18" customHeight="1">
      <c r="A299" s="2900"/>
      <c r="B299" s="2683" t="s">
        <v>351</v>
      </c>
      <c r="C299" s="2601" t="s">
        <v>40</v>
      </c>
      <c r="D299" s="2601" t="s">
        <v>40</v>
      </c>
      <c r="E299" s="2601" t="s">
        <v>40</v>
      </c>
      <c r="F299" s="2601" t="s">
        <v>40</v>
      </c>
      <c r="G299" s="2601"/>
      <c r="H299" s="2601"/>
      <c r="I299" s="2601" t="s">
        <v>40</v>
      </c>
      <c r="J299" s="2601" t="s">
        <v>40</v>
      </c>
      <c r="K299" s="2601" t="s">
        <v>40</v>
      </c>
      <c r="L299" s="2601" t="s">
        <v>40</v>
      </c>
      <c r="M299" s="2601" t="s">
        <v>40</v>
      </c>
      <c r="N299" s="2601"/>
      <c r="O299" s="2601"/>
      <c r="P299" s="2601" t="s">
        <v>40</v>
      </c>
      <c r="Q299" s="2601" t="s">
        <v>40</v>
      </c>
      <c r="R299" s="2601" t="s">
        <v>40</v>
      </c>
      <c r="S299" s="2601" t="s">
        <v>40</v>
      </c>
      <c r="T299" s="2601" t="s">
        <v>40</v>
      </c>
      <c r="U299" s="2601"/>
      <c r="V299" s="2601"/>
      <c r="W299" s="2601" t="s">
        <v>40</v>
      </c>
      <c r="X299" s="2601" t="s">
        <v>40</v>
      </c>
      <c r="Y299" s="2601" t="s">
        <v>40</v>
      </c>
      <c r="Z299" s="2601" t="s">
        <v>40</v>
      </c>
      <c r="AA299" s="2601" t="s">
        <v>40</v>
      </c>
      <c r="AB299" s="2601"/>
      <c r="AC299" s="2601"/>
      <c r="AD299" s="2601" t="s">
        <v>40</v>
      </c>
      <c r="AE299" s="2601" t="s">
        <v>40</v>
      </c>
      <c r="AF299" s="2601" t="s">
        <v>40</v>
      </c>
      <c r="AG299" s="2601" t="s">
        <v>40</v>
      </c>
    </row>
    <row r="300" spans="1:33" ht="18" customHeight="1">
      <c r="A300" s="2900"/>
      <c r="B300" s="2683" t="s">
        <v>352</v>
      </c>
      <c r="C300" s="2601" t="s">
        <v>40</v>
      </c>
      <c r="D300" s="2601" t="s">
        <v>40</v>
      </c>
      <c r="E300" s="2601" t="s">
        <v>40</v>
      </c>
      <c r="F300" s="2601" t="s">
        <v>40</v>
      </c>
      <c r="G300" s="2601"/>
      <c r="H300" s="2601"/>
      <c r="I300" s="2601" t="s">
        <v>40</v>
      </c>
      <c r="J300" s="2601" t="s">
        <v>40</v>
      </c>
      <c r="K300" s="2601" t="s">
        <v>40</v>
      </c>
      <c r="L300" s="2601" t="s">
        <v>40</v>
      </c>
      <c r="M300" s="2601" t="s">
        <v>40</v>
      </c>
      <c r="N300" s="2601"/>
      <c r="O300" s="2601"/>
      <c r="P300" s="2601" t="s">
        <v>40</v>
      </c>
      <c r="Q300" s="2601" t="s">
        <v>40</v>
      </c>
      <c r="R300" s="2601" t="s">
        <v>40</v>
      </c>
      <c r="S300" s="2601" t="s">
        <v>40</v>
      </c>
      <c r="T300" s="2601" t="s">
        <v>40</v>
      </c>
      <c r="U300" s="2601"/>
      <c r="V300" s="2601"/>
      <c r="W300" s="2601" t="s">
        <v>40</v>
      </c>
      <c r="X300" s="2601" t="s">
        <v>40</v>
      </c>
      <c r="Y300" s="2601" t="s">
        <v>40</v>
      </c>
      <c r="Z300" s="2601" t="s">
        <v>40</v>
      </c>
      <c r="AA300" s="2601" t="s">
        <v>40</v>
      </c>
      <c r="AB300" s="2601"/>
      <c r="AC300" s="2601"/>
      <c r="AD300" s="2601" t="s">
        <v>40</v>
      </c>
      <c r="AE300" s="2601" t="s">
        <v>40</v>
      </c>
      <c r="AF300" s="2601" t="s">
        <v>40</v>
      </c>
      <c r="AG300" s="2601" t="s">
        <v>40</v>
      </c>
    </row>
    <row r="301" spans="1:33" ht="18" customHeight="1">
      <c r="A301" s="2900"/>
      <c r="B301" s="2683" t="s">
        <v>353</v>
      </c>
      <c r="C301" s="2601" t="s">
        <v>40</v>
      </c>
      <c r="D301" s="2601" t="s">
        <v>40</v>
      </c>
      <c r="E301" s="2601" t="s">
        <v>40</v>
      </c>
      <c r="F301" s="2601" t="s">
        <v>40</v>
      </c>
      <c r="G301" s="2601"/>
      <c r="H301" s="2601"/>
      <c r="I301" s="2601" t="s">
        <v>40</v>
      </c>
      <c r="J301" s="2601" t="s">
        <v>40</v>
      </c>
      <c r="K301" s="2601" t="s">
        <v>40</v>
      </c>
      <c r="L301" s="2601" t="s">
        <v>40</v>
      </c>
      <c r="M301" s="2601" t="s">
        <v>40</v>
      </c>
      <c r="N301" s="2601"/>
      <c r="O301" s="2601"/>
      <c r="P301" s="2601" t="s">
        <v>40</v>
      </c>
      <c r="Q301" s="2601" t="s">
        <v>40</v>
      </c>
      <c r="R301" s="2601" t="s">
        <v>40</v>
      </c>
      <c r="S301" s="2601" t="s">
        <v>40</v>
      </c>
      <c r="T301" s="2601" t="s">
        <v>40</v>
      </c>
      <c r="U301" s="2601"/>
      <c r="V301" s="2601"/>
      <c r="W301" s="2601" t="s">
        <v>40</v>
      </c>
      <c r="X301" s="2601" t="s">
        <v>40</v>
      </c>
      <c r="Y301" s="2601" t="s">
        <v>40</v>
      </c>
      <c r="Z301" s="2601" t="s">
        <v>40</v>
      </c>
      <c r="AA301" s="2601" t="s">
        <v>40</v>
      </c>
      <c r="AB301" s="2601"/>
      <c r="AC301" s="2601"/>
      <c r="AD301" s="2601" t="s">
        <v>40</v>
      </c>
      <c r="AE301" s="2601" t="s">
        <v>40</v>
      </c>
      <c r="AF301" s="2601" t="s">
        <v>40</v>
      </c>
      <c r="AG301" s="2601" t="s">
        <v>40</v>
      </c>
    </row>
    <row r="302" spans="1:33" ht="18" customHeight="1">
      <c r="A302" s="2900"/>
      <c r="B302" s="2683" t="s">
        <v>354</v>
      </c>
      <c r="C302" s="2601" t="s">
        <v>40</v>
      </c>
      <c r="D302" s="2601" t="s">
        <v>40</v>
      </c>
      <c r="E302" s="2601" t="s">
        <v>40</v>
      </c>
      <c r="F302" s="2601" t="s">
        <v>40</v>
      </c>
      <c r="G302" s="2601"/>
      <c r="H302" s="2601"/>
      <c r="I302" s="2601" t="s">
        <v>40</v>
      </c>
      <c r="J302" s="2601" t="s">
        <v>40</v>
      </c>
      <c r="K302" s="2601" t="s">
        <v>40</v>
      </c>
      <c r="L302" s="2601" t="s">
        <v>40</v>
      </c>
      <c r="M302" s="2601" t="s">
        <v>40</v>
      </c>
      <c r="N302" s="2601"/>
      <c r="O302" s="2601"/>
      <c r="P302" s="2601" t="s">
        <v>40</v>
      </c>
      <c r="Q302" s="2601" t="s">
        <v>40</v>
      </c>
      <c r="R302" s="2601" t="s">
        <v>40</v>
      </c>
      <c r="S302" s="2601" t="s">
        <v>40</v>
      </c>
      <c r="T302" s="2601" t="s">
        <v>40</v>
      </c>
      <c r="U302" s="2601"/>
      <c r="V302" s="2601"/>
      <c r="W302" s="2601" t="s">
        <v>40</v>
      </c>
      <c r="X302" s="2601" t="s">
        <v>40</v>
      </c>
      <c r="Y302" s="2601" t="s">
        <v>40</v>
      </c>
      <c r="Z302" s="2601" t="s">
        <v>40</v>
      </c>
      <c r="AA302" s="2601" t="s">
        <v>40</v>
      </c>
      <c r="AB302" s="2601"/>
      <c r="AC302" s="2601"/>
      <c r="AD302" s="2601" t="s">
        <v>40</v>
      </c>
      <c r="AE302" s="2601" t="s">
        <v>40</v>
      </c>
      <c r="AF302" s="2601" t="s">
        <v>40</v>
      </c>
      <c r="AG302" s="2601" t="s">
        <v>40</v>
      </c>
    </row>
    <row r="303" spans="1:33" ht="18" customHeight="1">
      <c r="A303" s="2900"/>
      <c r="B303" s="2683" t="s">
        <v>355</v>
      </c>
      <c r="C303" s="2601" t="s">
        <v>40</v>
      </c>
      <c r="D303" s="2601" t="s">
        <v>40</v>
      </c>
      <c r="E303" s="2601" t="s">
        <v>40</v>
      </c>
      <c r="F303" s="2601" t="s">
        <v>40</v>
      </c>
      <c r="G303" s="2601"/>
      <c r="H303" s="2601"/>
      <c r="I303" s="2601" t="s">
        <v>40</v>
      </c>
      <c r="J303" s="2601" t="s">
        <v>40</v>
      </c>
      <c r="K303" s="2601" t="s">
        <v>40</v>
      </c>
      <c r="L303" s="2601" t="s">
        <v>40</v>
      </c>
      <c r="M303" s="2601" t="s">
        <v>40</v>
      </c>
      <c r="N303" s="2601"/>
      <c r="O303" s="2601"/>
      <c r="P303" s="2601" t="s">
        <v>40</v>
      </c>
      <c r="Q303" s="2601" t="s">
        <v>40</v>
      </c>
      <c r="R303" s="2601" t="s">
        <v>40</v>
      </c>
      <c r="S303" s="2601" t="s">
        <v>40</v>
      </c>
      <c r="T303" s="2601" t="s">
        <v>40</v>
      </c>
      <c r="U303" s="2601"/>
      <c r="V303" s="2601"/>
      <c r="W303" s="2601" t="s">
        <v>40</v>
      </c>
      <c r="X303" s="2601" t="s">
        <v>40</v>
      </c>
      <c r="Y303" s="2601" t="s">
        <v>40</v>
      </c>
      <c r="Z303" s="2601" t="s">
        <v>40</v>
      </c>
      <c r="AA303" s="2601" t="s">
        <v>40</v>
      </c>
      <c r="AB303" s="2601"/>
      <c r="AC303" s="2601"/>
      <c r="AD303" s="2601" t="s">
        <v>40</v>
      </c>
      <c r="AE303" s="2601" t="s">
        <v>40</v>
      </c>
      <c r="AF303" s="2601" t="s">
        <v>40</v>
      </c>
      <c r="AG303" s="2601" t="s">
        <v>40</v>
      </c>
    </row>
    <row r="304" spans="1:33" ht="18" customHeight="1">
      <c r="A304" s="2900"/>
      <c r="B304" s="2683" t="s">
        <v>237</v>
      </c>
      <c r="C304" s="2601" t="s">
        <v>40</v>
      </c>
      <c r="D304" s="2601" t="s">
        <v>40</v>
      </c>
      <c r="E304" s="2601" t="s">
        <v>40</v>
      </c>
      <c r="F304" s="2601" t="s">
        <v>40</v>
      </c>
      <c r="G304" s="2601"/>
      <c r="H304" s="2601"/>
      <c r="I304" s="2601" t="s">
        <v>40</v>
      </c>
      <c r="J304" s="2601" t="s">
        <v>40</v>
      </c>
      <c r="K304" s="2601" t="s">
        <v>40</v>
      </c>
      <c r="L304" s="2601" t="s">
        <v>40</v>
      </c>
      <c r="M304" s="2601" t="s">
        <v>40</v>
      </c>
      <c r="N304" s="2601"/>
      <c r="O304" s="2601"/>
      <c r="P304" s="2601" t="s">
        <v>40</v>
      </c>
      <c r="Q304" s="2601" t="s">
        <v>40</v>
      </c>
      <c r="R304" s="2601" t="s">
        <v>40</v>
      </c>
      <c r="S304" s="2601" t="s">
        <v>40</v>
      </c>
      <c r="T304" s="2601" t="s">
        <v>40</v>
      </c>
      <c r="U304" s="2601"/>
      <c r="V304" s="2601"/>
      <c r="W304" s="2601" t="s">
        <v>40</v>
      </c>
      <c r="X304" s="2601" t="s">
        <v>40</v>
      </c>
      <c r="Y304" s="2601" t="s">
        <v>40</v>
      </c>
      <c r="Z304" s="2601" t="s">
        <v>40</v>
      </c>
      <c r="AA304" s="2601" t="s">
        <v>40</v>
      </c>
      <c r="AB304" s="2601"/>
      <c r="AC304" s="2601"/>
      <c r="AD304" s="2601" t="s">
        <v>40</v>
      </c>
      <c r="AE304" s="2601" t="s">
        <v>40</v>
      </c>
      <c r="AF304" s="2601" t="s">
        <v>40</v>
      </c>
      <c r="AG304" s="2601" t="s">
        <v>40</v>
      </c>
    </row>
    <row r="305" spans="1:33" ht="18" customHeight="1">
      <c r="A305" s="2900"/>
      <c r="B305" s="2683" t="s">
        <v>356</v>
      </c>
      <c r="C305" s="2601" t="s">
        <v>40</v>
      </c>
      <c r="D305" s="2601" t="s">
        <v>40</v>
      </c>
      <c r="E305" s="2601" t="s">
        <v>40</v>
      </c>
      <c r="F305" s="2601" t="s">
        <v>40</v>
      </c>
      <c r="G305" s="2601"/>
      <c r="H305" s="2601"/>
      <c r="I305" s="2601" t="s">
        <v>40</v>
      </c>
      <c r="J305" s="2601" t="s">
        <v>40</v>
      </c>
      <c r="K305" s="2601" t="s">
        <v>40</v>
      </c>
      <c r="L305" s="2601" t="s">
        <v>40</v>
      </c>
      <c r="M305" s="2601" t="s">
        <v>40</v>
      </c>
      <c r="N305" s="2601"/>
      <c r="O305" s="2601"/>
      <c r="P305" s="2601" t="s">
        <v>40</v>
      </c>
      <c r="Q305" s="2601" t="s">
        <v>40</v>
      </c>
      <c r="R305" s="2601" t="s">
        <v>40</v>
      </c>
      <c r="S305" s="2601" t="s">
        <v>40</v>
      </c>
      <c r="T305" s="2601" t="s">
        <v>40</v>
      </c>
      <c r="U305" s="2601"/>
      <c r="V305" s="2601"/>
      <c r="W305" s="2601" t="s">
        <v>40</v>
      </c>
      <c r="X305" s="2601" t="s">
        <v>40</v>
      </c>
      <c r="Y305" s="2601" t="s">
        <v>40</v>
      </c>
      <c r="Z305" s="2601" t="s">
        <v>40</v>
      </c>
      <c r="AA305" s="2601" t="s">
        <v>40</v>
      </c>
      <c r="AB305" s="2601"/>
      <c r="AC305" s="2601"/>
      <c r="AD305" s="2601" t="s">
        <v>40</v>
      </c>
      <c r="AE305" s="2601" t="s">
        <v>40</v>
      </c>
      <c r="AF305" s="2601" t="s">
        <v>40</v>
      </c>
      <c r="AG305" s="2601" t="s">
        <v>40</v>
      </c>
    </row>
    <row r="306" spans="1:33" ht="18" customHeight="1">
      <c r="A306" s="2900"/>
      <c r="B306" s="2683" t="s">
        <v>357</v>
      </c>
      <c r="C306" s="2601" t="s">
        <v>40</v>
      </c>
      <c r="D306" s="2601" t="s">
        <v>40</v>
      </c>
      <c r="E306" s="2601" t="s">
        <v>40</v>
      </c>
      <c r="F306" s="2601" t="s">
        <v>40</v>
      </c>
      <c r="G306" s="2601"/>
      <c r="H306" s="2601"/>
      <c r="I306" s="2601" t="s">
        <v>40</v>
      </c>
      <c r="J306" s="2601" t="s">
        <v>40</v>
      </c>
      <c r="K306" s="2601" t="s">
        <v>40</v>
      </c>
      <c r="L306" s="2601" t="s">
        <v>40</v>
      </c>
      <c r="M306" s="2601" t="s">
        <v>40</v>
      </c>
      <c r="N306" s="2601"/>
      <c r="O306" s="2601"/>
      <c r="P306" s="2601" t="s">
        <v>40</v>
      </c>
      <c r="Q306" s="2601" t="s">
        <v>40</v>
      </c>
      <c r="R306" s="2601" t="s">
        <v>40</v>
      </c>
      <c r="S306" s="2601" t="s">
        <v>40</v>
      </c>
      <c r="T306" s="2601" t="s">
        <v>40</v>
      </c>
      <c r="U306" s="2601"/>
      <c r="V306" s="2601"/>
      <c r="W306" s="2601" t="s">
        <v>40</v>
      </c>
      <c r="X306" s="2601" t="s">
        <v>40</v>
      </c>
      <c r="Y306" s="2601" t="s">
        <v>40</v>
      </c>
      <c r="Z306" s="2601" t="s">
        <v>40</v>
      </c>
      <c r="AA306" s="2601" t="s">
        <v>40</v>
      </c>
      <c r="AB306" s="2601"/>
      <c r="AC306" s="2601"/>
      <c r="AD306" s="2601" t="s">
        <v>40</v>
      </c>
      <c r="AE306" s="2601" t="s">
        <v>40</v>
      </c>
      <c r="AF306" s="2601" t="s">
        <v>40</v>
      </c>
      <c r="AG306" s="2601" t="s">
        <v>40</v>
      </c>
    </row>
    <row r="307" spans="1:33" ht="18" customHeight="1">
      <c r="A307" s="2927"/>
      <c r="B307" s="2722" t="s">
        <v>358</v>
      </c>
      <c r="C307" s="2601" t="s">
        <v>40</v>
      </c>
      <c r="D307" s="2601" t="s">
        <v>40</v>
      </c>
      <c r="E307" s="2601" t="s">
        <v>40</v>
      </c>
      <c r="F307" s="2601" t="s">
        <v>40</v>
      </c>
      <c r="G307" s="2601"/>
      <c r="H307" s="2601"/>
      <c r="I307" s="2601" t="s">
        <v>40</v>
      </c>
      <c r="J307" s="2601" t="s">
        <v>40</v>
      </c>
      <c r="K307" s="2601" t="s">
        <v>40</v>
      </c>
      <c r="L307" s="2601" t="s">
        <v>40</v>
      </c>
      <c r="M307" s="2601" t="s">
        <v>40</v>
      </c>
      <c r="N307" s="2601"/>
      <c r="O307" s="2601"/>
      <c r="P307" s="2601" t="s">
        <v>40</v>
      </c>
      <c r="Q307" s="2601" t="s">
        <v>40</v>
      </c>
      <c r="R307" s="2601" t="s">
        <v>40</v>
      </c>
      <c r="S307" s="2601" t="s">
        <v>40</v>
      </c>
      <c r="T307" s="2601" t="s">
        <v>40</v>
      </c>
      <c r="U307" s="2601"/>
      <c r="V307" s="2601"/>
      <c r="W307" s="2601" t="s">
        <v>40</v>
      </c>
      <c r="X307" s="2601" t="s">
        <v>40</v>
      </c>
      <c r="Y307" s="2601" t="s">
        <v>40</v>
      </c>
      <c r="Z307" s="2601" t="s">
        <v>40</v>
      </c>
      <c r="AA307" s="2601" t="s">
        <v>40</v>
      </c>
      <c r="AB307" s="2601"/>
      <c r="AC307" s="2601"/>
      <c r="AD307" s="2601" t="s">
        <v>40</v>
      </c>
      <c r="AE307" s="2601" t="s">
        <v>40</v>
      </c>
      <c r="AF307" s="2601" t="s">
        <v>40</v>
      </c>
      <c r="AG307" s="2601" t="s">
        <v>40</v>
      </c>
    </row>
  </sheetData>
  <sheetProtection algorithmName="SHA-512" hashValue="ju9QXb1W2qXmfex/P+WVWyqAR7S0k/sP0wLtV/989kRX1PLBDvHGB6KzMU+6FFN/pNslWaKx/TSokrQadQz0xA==" saltValue="fpG//Y4Hy/s1xhpr7SIMag==" spinCount="100000" sheet="1" objects="1" scenarios="1"/>
  <mergeCells count="3">
    <mergeCell ref="T37:Z37"/>
    <mergeCell ref="C3:F3"/>
    <mergeCell ref="AB3:AE3"/>
  </mergeCells>
  <phoneticPr fontId="10" type="noConversion"/>
  <pageMargins left="0.7" right="0.7" top="0.75" bottom="0.75" header="0.3" footer="0.3"/>
  <pageSetup paperSize="9" scale="10" orientation="landscape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6291F6-02C8-4444-95B6-971601FEA1BF}">
  <sheetPr codeName="Ark41">
    <pageSetUpPr fitToPage="1"/>
  </sheetPr>
  <dimension ref="A1:AK308"/>
  <sheetViews>
    <sheetView topLeftCell="B57" zoomScale="110" zoomScaleNormal="110" workbookViewId="0">
      <pane xSplit="1" topLeftCell="C1" activePane="topRight" state="frozen"/>
      <selection pane="topRight" activeCell="Q25" sqref="Q25"/>
      <selection activeCell="B55" sqref="B55"/>
    </sheetView>
  </sheetViews>
  <sheetFormatPr defaultRowHeight="12"/>
  <cols>
    <col min="1" max="1" width="12.140625" hidden="1" customWidth="1"/>
    <col min="2" max="2" width="31.28515625" customWidth="1"/>
    <col min="3" max="32" width="4.5703125" customWidth="1"/>
    <col min="33" max="33" width="4.28515625" customWidth="1"/>
    <col min="36" max="36" width="16.28515625" bestFit="1" customWidth="1"/>
  </cols>
  <sheetData>
    <row r="1" spans="1:33" ht="18" customHeight="1">
      <c r="A1" t="s">
        <v>0</v>
      </c>
      <c r="B1" s="1" t="s">
        <v>1</v>
      </c>
    </row>
    <row r="2" spans="1:33" ht="18" customHeight="1">
      <c r="B2" s="2928" t="s">
        <v>2</v>
      </c>
      <c r="C2" s="2929" t="s">
        <v>3</v>
      </c>
      <c r="D2" s="2930"/>
      <c r="E2" s="2931" t="s">
        <v>4</v>
      </c>
      <c r="F2" s="2932"/>
      <c r="G2" s="2933"/>
      <c r="H2" s="2933"/>
      <c r="I2" s="2933"/>
      <c r="J2" s="2933"/>
      <c r="K2" s="2934"/>
      <c r="L2" s="2935" t="s">
        <v>5</v>
      </c>
      <c r="M2" s="2936"/>
      <c r="N2" s="2937"/>
      <c r="O2" s="2938" t="s">
        <v>6</v>
      </c>
      <c r="P2" s="2939"/>
      <c r="Q2" s="2940"/>
      <c r="R2" s="2941"/>
      <c r="S2" s="2942" t="s">
        <v>7</v>
      </c>
      <c r="T2" s="2943"/>
      <c r="U2" s="2944"/>
      <c r="V2" s="2943"/>
      <c r="W2" s="2945" t="s">
        <v>8</v>
      </c>
      <c r="X2" s="2946"/>
      <c r="Y2" s="2947"/>
      <c r="Z2" s="98" t="s">
        <v>9</v>
      </c>
      <c r="AA2" s="2948"/>
      <c r="AB2" s="2949"/>
      <c r="AC2" s="2950"/>
      <c r="AD2" s="2951" t="s">
        <v>10</v>
      </c>
      <c r="AE2" s="2952"/>
      <c r="AF2" s="2952"/>
    </row>
    <row r="3" spans="1:33" ht="18" customHeight="1">
      <c r="A3" s="1"/>
      <c r="B3" s="2953" t="s">
        <v>11</v>
      </c>
      <c r="C3" s="2954" t="s">
        <v>12</v>
      </c>
      <c r="D3" s="2955"/>
      <c r="E3" s="2955"/>
      <c r="F3" s="2956"/>
      <c r="G3" s="518"/>
      <c r="H3" s="519" t="s">
        <v>10</v>
      </c>
      <c r="I3" s="520"/>
      <c r="J3" s="520"/>
      <c r="K3" s="521"/>
      <c r="L3" s="2957" t="s">
        <v>13</v>
      </c>
      <c r="M3" s="2958"/>
      <c r="N3" s="2959"/>
      <c r="O3" s="520"/>
      <c r="P3" s="520"/>
      <c r="Q3" s="520"/>
      <c r="R3" s="520"/>
      <c r="S3" s="516"/>
      <c r="T3" s="505" t="s">
        <v>14</v>
      </c>
      <c r="U3" s="522"/>
      <c r="V3" s="523"/>
      <c r="W3" s="524"/>
      <c r="X3" s="551"/>
      <c r="Y3" s="2960" t="s">
        <v>15</v>
      </c>
      <c r="Z3" s="2961"/>
      <c r="AA3" s="2961"/>
      <c r="AB3" s="2962" t="s">
        <v>16</v>
      </c>
      <c r="AC3" s="2963"/>
      <c r="AD3" s="2963"/>
      <c r="AE3" s="2963"/>
    </row>
    <row r="4" spans="1:33" ht="18" customHeight="1">
      <c r="A4" s="96" t="s">
        <v>17</v>
      </c>
      <c r="B4" s="22"/>
      <c r="C4" s="4"/>
      <c r="D4" s="48"/>
      <c r="E4" s="48"/>
      <c r="F4" s="48"/>
      <c r="G4" s="48"/>
      <c r="H4" s="4"/>
      <c r="I4" s="48"/>
      <c r="J4" s="48"/>
      <c r="K4" s="6"/>
      <c r="L4" s="48"/>
      <c r="M4" s="6"/>
      <c r="N4" s="6"/>
      <c r="O4" s="48"/>
      <c r="P4" s="48"/>
      <c r="Q4" s="48"/>
      <c r="R4" s="48"/>
      <c r="T4" s="6"/>
      <c r="U4" s="4"/>
      <c r="W4" s="48"/>
      <c r="X4" s="48"/>
      <c r="Y4" s="4"/>
      <c r="Z4" s="48"/>
      <c r="AB4" s="48"/>
      <c r="AC4" s="48"/>
      <c r="AD4" s="48"/>
      <c r="AE4" s="48"/>
      <c r="AF4" s="48"/>
    </row>
    <row r="5" spans="1:33" ht="18" customHeight="1">
      <c r="A5" s="96" t="s">
        <v>18</v>
      </c>
      <c r="B5" s="1"/>
      <c r="C5" s="2964"/>
      <c r="D5" s="2965" t="s">
        <v>19</v>
      </c>
      <c r="E5" s="2966"/>
      <c r="F5" s="2964"/>
      <c r="G5" s="2965" t="s">
        <v>20</v>
      </c>
      <c r="H5" s="2966"/>
      <c r="I5" s="2964"/>
      <c r="J5" s="2965" t="s">
        <v>21</v>
      </c>
      <c r="K5" s="2966"/>
      <c r="L5" s="2964"/>
      <c r="M5" s="2965" t="s">
        <v>22</v>
      </c>
      <c r="N5" s="2966"/>
      <c r="O5" s="2964"/>
      <c r="P5" s="2965" t="s">
        <v>23</v>
      </c>
      <c r="Q5" s="2966"/>
      <c r="R5" s="2964"/>
      <c r="S5" s="2965" t="s">
        <v>24</v>
      </c>
      <c r="T5" s="2967"/>
      <c r="U5" s="2968"/>
      <c r="V5" s="2969" t="s">
        <v>25</v>
      </c>
      <c r="W5" s="2967"/>
    </row>
    <row r="6" spans="1:33" ht="18" customHeight="1">
      <c r="A6" s="2970"/>
      <c r="B6" s="2971" t="s">
        <v>26</v>
      </c>
      <c r="C6" s="2972" t="s">
        <v>27</v>
      </c>
      <c r="D6" s="2973"/>
      <c r="E6" s="2974"/>
      <c r="F6" s="2972" t="s">
        <v>27</v>
      </c>
      <c r="G6" s="2975"/>
      <c r="H6" s="2975"/>
      <c r="I6" s="2972" t="s">
        <v>27</v>
      </c>
      <c r="J6" s="2975"/>
      <c r="K6" s="2974"/>
      <c r="L6" s="2972" t="s">
        <v>27</v>
      </c>
      <c r="M6" s="2975"/>
      <c r="N6" s="2974"/>
      <c r="O6" s="2972" t="s">
        <v>28</v>
      </c>
      <c r="P6" s="2975"/>
      <c r="Q6" s="2974"/>
      <c r="R6" s="2975"/>
      <c r="S6" s="2975"/>
      <c r="T6" s="2975"/>
      <c r="U6" s="2971"/>
      <c r="V6" s="2975"/>
      <c r="W6" s="2974"/>
      <c r="X6" s="2975"/>
      <c r="Y6" s="2975"/>
      <c r="Z6" s="2975"/>
      <c r="AA6" s="2975"/>
      <c r="AB6" s="2976"/>
      <c r="AC6" s="2974"/>
      <c r="AD6" s="111"/>
      <c r="AE6" s="111"/>
      <c r="AF6" s="111"/>
    </row>
    <row r="7" spans="1:33" ht="18" customHeight="1">
      <c r="A7" s="2971"/>
      <c r="B7" s="2971" t="s">
        <v>29</v>
      </c>
      <c r="C7" s="2977" t="s">
        <v>30</v>
      </c>
      <c r="D7" s="2978"/>
      <c r="E7" s="2979"/>
      <c r="F7" s="2977" t="s">
        <v>30</v>
      </c>
      <c r="G7" s="2978"/>
      <c r="H7" s="2978"/>
      <c r="I7" s="2977" t="s">
        <v>30</v>
      </c>
      <c r="J7" s="2978"/>
      <c r="K7" s="2979"/>
      <c r="L7" s="2977" t="s">
        <v>30</v>
      </c>
      <c r="M7" s="2978"/>
      <c r="N7" s="2978"/>
      <c r="O7" s="2977" t="s">
        <v>30</v>
      </c>
      <c r="P7" s="2978"/>
      <c r="Q7" s="2979"/>
      <c r="R7" s="1491" t="s">
        <v>31</v>
      </c>
      <c r="S7" s="1492"/>
      <c r="T7" s="1492"/>
      <c r="U7" s="2980" t="s">
        <v>31</v>
      </c>
      <c r="V7" s="1492"/>
      <c r="W7" s="1493"/>
      <c r="X7" s="2975"/>
      <c r="Y7" s="2975"/>
      <c r="Z7" s="2975"/>
      <c r="AA7" s="2975"/>
      <c r="AB7" s="2981"/>
      <c r="AC7" s="2974"/>
      <c r="AD7" s="111"/>
      <c r="AE7" s="111"/>
      <c r="AF7" s="111"/>
    </row>
    <row r="8" spans="1:33" ht="18" customHeight="1">
      <c r="A8" s="2971"/>
      <c r="B8" s="2971" t="s">
        <v>32</v>
      </c>
      <c r="C8" s="2972" t="s">
        <v>33</v>
      </c>
      <c r="D8" s="2978"/>
      <c r="E8" s="2979"/>
      <c r="F8" s="2972" t="s">
        <v>33</v>
      </c>
      <c r="G8" s="2975"/>
      <c r="H8" s="2975"/>
      <c r="I8" s="2972" t="s">
        <v>33</v>
      </c>
      <c r="J8" s="2975"/>
      <c r="K8" s="2974"/>
      <c r="L8" s="2972" t="s">
        <v>33</v>
      </c>
      <c r="M8" s="2975"/>
      <c r="N8" s="2974"/>
      <c r="O8" s="2972" t="s">
        <v>33</v>
      </c>
      <c r="P8" s="2975"/>
      <c r="Q8" s="2974"/>
      <c r="R8" s="2982" t="s">
        <v>34</v>
      </c>
      <c r="S8" s="2975"/>
      <c r="T8" s="2975"/>
      <c r="U8" s="2972" t="s">
        <v>35</v>
      </c>
      <c r="V8" s="2975"/>
      <c r="W8" s="2974"/>
      <c r="X8" s="2975"/>
      <c r="Y8" s="2975"/>
      <c r="Z8" s="2975"/>
      <c r="AA8" s="2975"/>
      <c r="AB8" s="2981"/>
      <c r="AC8" s="2974"/>
      <c r="AD8" s="111"/>
      <c r="AE8" s="111"/>
      <c r="AF8" s="111"/>
    </row>
    <row r="9" spans="1:33" ht="18" customHeight="1">
      <c r="A9" s="96" t="s">
        <v>10</v>
      </c>
    </row>
    <row r="10" spans="1:33" ht="18" customHeight="1">
      <c r="A10" s="96" t="s">
        <v>10</v>
      </c>
      <c r="AG10" s="103"/>
    </row>
    <row r="11" spans="1:33" ht="18" customHeight="1">
      <c r="AG11" s="105"/>
    </row>
    <row r="12" spans="1:33" ht="18" customHeight="1" thickBot="1">
      <c r="B12" s="60" t="s">
        <v>36</v>
      </c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104"/>
    </row>
    <row r="13" spans="1:33" ht="18" customHeight="1" thickBot="1">
      <c r="A13" s="2983" t="s">
        <v>37</v>
      </c>
      <c r="B13" s="2984" t="s">
        <v>38</v>
      </c>
      <c r="C13" s="2985">
        <v>1</v>
      </c>
      <c r="D13" s="2986">
        <v>2</v>
      </c>
      <c r="E13" s="2986">
        <v>3</v>
      </c>
      <c r="F13" s="2985">
        <v>4</v>
      </c>
      <c r="G13" s="2985">
        <v>5</v>
      </c>
      <c r="H13" s="2985">
        <v>6</v>
      </c>
      <c r="I13" s="2985">
        <v>7</v>
      </c>
      <c r="J13" s="2985">
        <v>8</v>
      </c>
      <c r="K13" s="2986">
        <v>9</v>
      </c>
      <c r="L13" s="2986">
        <v>10</v>
      </c>
      <c r="M13" s="2985">
        <v>11</v>
      </c>
      <c r="N13" s="2985">
        <v>12</v>
      </c>
      <c r="O13" s="2985">
        <v>13</v>
      </c>
      <c r="P13" s="2985">
        <v>14</v>
      </c>
      <c r="Q13" s="2985">
        <v>15</v>
      </c>
      <c r="R13" s="2986">
        <v>16</v>
      </c>
      <c r="S13" s="2986">
        <v>17</v>
      </c>
      <c r="T13" s="2985">
        <v>18</v>
      </c>
      <c r="U13" s="2985">
        <v>19</v>
      </c>
      <c r="V13" s="2985">
        <v>20</v>
      </c>
      <c r="W13" s="2985">
        <v>21</v>
      </c>
      <c r="X13" s="2985">
        <v>22</v>
      </c>
      <c r="Y13" s="2986">
        <v>23</v>
      </c>
      <c r="Z13" s="2986">
        <v>24</v>
      </c>
      <c r="AA13" s="2985">
        <v>25</v>
      </c>
      <c r="AB13" s="2985">
        <v>26</v>
      </c>
      <c r="AC13" s="2985">
        <v>27</v>
      </c>
      <c r="AD13" s="2985">
        <v>28</v>
      </c>
      <c r="AE13" s="2985">
        <v>29</v>
      </c>
      <c r="AF13" s="2986">
        <v>30</v>
      </c>
      <c r="AG13" s="2986">
        <v>31</v>
      </c>
    </row>
    <row r="14" spans="1:33" ht="18" customHeight="1">
      <c r="A14" s="2987">
        <v>8500</v>
      </c>
      <c r="B14" s="2988" t="s">
        <v>39</v>
      </c>
      <c r="C14" s="2989" t="s">
        <v>40</v>
      </c>
      <c r="D14" s="2989"/>
      <c r="E14" s="2990"/>
      <c r="F14" s="2990" t="s">
        <v>40</v>
      </c>
      <c r="G14" s="2990" t="s">
        <v>40</v>
      </c>
      <c r="H14" s="2990" t="s">
        <v>40</v>
      </c>
      <c r="I14" s="2990" t="s">
        <v>40</v>
      </c>
      <c r="J14" s="2990" t="s">
        <v>40</v>
      </c>
      <c r="K14" s="2989"/>
      <c r="L14" s="2990"/>
      <c r="M14" s="2990" t="s">
        <v>40</v>
      </c>
      <c r="N14" s="2990" t="s">
        <v>40</v>
      </c>
      <c r="O14" s="2990" t="s">
        <v>40</v>
      </c>
      <c r="P14" s="2990" t="s">
        <v>40</v>
      </c>
      <c r="Q14" s="2990" t="s">
        <v>40</v>
      </c>
      <c r="R14" s="2989"/>
      <c r="S14" s="2990"/>
      <c r="T14" s="2990" t="s">
        <v>40</v>
      </c>
      <c r="U14" s="2990" t="s">
        <v>40</v>
      </c>
      <c r="V14" s="2990" t="s">
        <v>40</v>
      </c>
      <c r="W14" s="2990" t="s">
        <v>40</v>
      </c>
      <c r="X14" s="2990" t="s">
        <v>40</v>
      </c>
      <c r="Y14" s="2989"/>
      <c r="Z14" s="2990"/>
      <c r="AA14" s="2990" t="s">
        <v>40</v>
      </c>
      <c r="AB14" s="2990" t="s">
        <v>40</v>
      </c>
      <c r="AC14" s="2990" t="s">
        <v>40</v>
      </c>
      <c r="AD14" s="2990" t="s">
        <v>40</v>
      </c>
      <c r="AE14" s="2990" t="s">
        <v>40</v>
      </c>
      <c r="AF14" s="2989"/>
      <c r="AG14" s="2989"/>
    </row>
    <row r="15" spans="1:33" ht="18" customHeight="1">
      <c r="A15" s="2991">
        <v>8546</v>
      </c>
      <c r="B15" s="2992" t="s">
        <v>41</v>
      </c>
      <c r="C15" s="2993" t="s">
        <v>40</v>
      </c>
      <c r="D15" s="2993"/>
      <c r="E15" s="2993"/>
      <c r="F15" s="2994" t="s">
        <v>26</v>
      </c>
      <c r="G15" s="2994" t="s">
        <v>26</v>
      </c>
      <c r="H15" s="2994" t="s">
        <v>26</v>
      </c>
      <c r="I15" s="2994" t="s">
        <v>26</v>
      </c>
      <c r="J15" s="2995" t="s">
        <v>26</v>
      </c>
      <c r="K15" s="2996"/>
      <c r="L15" s="2997"/>
      <c r="M15" s="2997" t="s">
        <v>26</v>
      </c>
      <c r="N15" s="2997" t="s">
        <v>26</v>
      </c>
      <c r="O15" s="2997" t="s">
        <v>26</v>
      </c>
      <c r="P15" s="2998" t="s">
        <v>26</v>
      </c>
      <c r="Q15" s="2998" t="s">
        <v>26</v>
      </c>
      <c r="R15" s="2996"/>
      <c r="S15" s="2997"/>
      <c r="T15" s="2997" t="s">
        <v>40</v>
      </c>
      <c r="U15" s="2997" t="s">
        <v>40</v>
      </c>
      <c r="V15" s="2997" t="s">
        <v>40</v>
      </c>
      <c r="W15" s="2997" t="s">
        <v>40</v>
      </c>
      <c r="X15" s="2997" t="s">
        <v>40</v>
      </c>
      <c r="Y15" s="2996"/>
      <c r="Z15" s="2997"/>
      <c r="AA15" s="2999" t="s">
        <v>26</v>
      </c>
      <c r="AB15" s="3000" t="s">
        <v>26</v>
      </c>
      <c r="AC15" s="3001" t="s">
        <v>26</v>
      </c>
      <c r="AD15" s="2997" t="s">
        <v>26</v>
      </c>
      <c r="AE15" s="2997" t="s">
        <v>26</v>
      </c>
      <c r="AF15" s="2996"/>
      <c r="AG15" s="2996"/>
    </row>
    <row r="16" spans="1:33" ht="18" customHeight="1" thickBot="1">
      <c r="A16" s="235"/>
      <c r="B16" s="3002" t="s">
        <v>42</v>
      </c>
      <c r="C16" s="3003" t="s">
        <v>40</v>
      </c>
      <c r="D16" s="3003"/>
      <c r="E16" s="3004"/>
      <c r="F16" s="3005" t="s">
        <v>40</v>
      </c>
      <c r="G16" s="3006" t="s">
        <v>40</v>
      </c>
      <c r="H16" s="3006" t="s">
        <v>40</v>
      </c>
      <c r="I16" s="3007" t="s">
        <v>40</v>
      </c>
      <c r="J16" s="3008" t="s">
        <v>40</v>
      </c>
      <c r="K16" s="3006"/>
      <c r="L16" s="3006"/>
      <c r="M16" s="3008" t="s">
        <v>40</v>
      </c>
      <c r="N16" s="3008" t="s">
        <v>40</v>
      </c>
      <c r="O16" s="3008" t="s">
        <v>40</v>
      </c>
      <c r="P16" s="3006" t="s">
        <v>40</v>
      </c>
      <c r="Q16" s="3006" t="s">
        <v>40</v>
      </c>
      <c r="R16" s="3006"/>
      <c r="S16" s="3006"/>
      <c r="T16" s="2999" t="s">
        <v>26</v>
      </c>
      <c r="U16" s="3009" t="s">
        <v>26</v>
      </c>
      <c r="V16" s="2999" t="s">
        <v>26</v>
      </c>
      <c r="W16" s="2999" t="s">
        <v>26</v>
      </c>
      <c r="X16" s="2999" t="s">
        <v>26</v>
      </c>
      <c r="Y16" s="3003"/>
      <c r="Z16" s="3004"/>
      <c r="AA16" s="2994" t="s">
        <v>43</v>
      </c>
      <c r="AB16" s="2994" t="s">
        <v>43</v>
      </c>
      <c r="AC16" s="2994" t="s">
        <v>43</v>
      </c>
      <c r="AD16" s="2994" t="s">
        <v>43</v>
      </c>
      <c r="AE16" s="2994" t="s">
        <v>43</v>
      </c>
      <c r="AF16" s="3003"/>
      <c r="AG16" s="3003"/>
    </row>
    <row r="17" spans="1:34" ht="18" customHeight="1" thickBot="1">
      <c r="A17" s="3010" t="s">
        <v>44</v>
      </c>
      <c r="B17" s="3011"/>
      <c r="C17" s="506"/>
      <c r="D17" s="506"/>
      <c r="E17" s="506"/>
      <c r="F17" s="506"/>
      <c r="G17" s="506"/>
      <c r="H17" s="506"/>
      <c r="I17" s="506"/>
      <c r="J17" s="506"/>
      <c r="K17" s="506"/>
      <c r="L17" s="506"/>
      <c r="M17" s="506"/>
      <c r="N17" s="506"/>
      <c r="O17" s="506"/>
      <c r="P17" s="506"/>
      <c r="Q17" s="506"/>
      <c r="R17" s="506"/>
      <c r="S17" s="506"/>
      <c r="T17" s="506"/>
      <c r="U17" s="506"/>
      <c r="V17" s="506"/>
      <c r="W17" s="506"/>
      <c r="X17" s="506"/>
      <c r="Y17" s="506"/>
      <c r="Z17" s="506"/>
      <c r="AA17" s="506"/>
      <c r="AB17" s="506"/>
      <c r="AC17" s="506"/>
      <c r="AD17" s="506"/>
      <c r="AE17" s="506"/>
      <c r="AF17" s="506"/>
      <c r="AG17" s="526"/>
      <c r="AH17" s="111"/>
    </row>
    <row r="18" spans="1:34" ht="18" customHeight="1">
      <c r="A18" s="3012">
        <v>8546</v>
      </c>
      <c r="B18" s="507" t="s">
        <v>45</v>
      </c>
      <c r="C18" s="3013" t="s">
        <v>46</v>
      </c>
      <c r="D18" s="3013" t="s">
        <v>49</v>
      </c>
      <c r="E18" s="3013" t="s">
        <v>452</v>
      </c>
      <c r="F18" s="3013" t="s">
        <v>50</v>
      </c>
      <c r="G18" s="3013" t="s">
        <v>50</v>
      </c>
      <c r="H18" s="3013" t="s">
        <v>50</v>
      </c>
      <c r="I18" s="3013" t="s">
        <v>50</v>
      </c>
      <c r="J18" s="3013" t="s">
        <v>50</v>
      </c>
      <c r="K18" s="3013"/>
      <c r="L18" s="3013"/>
      <c r="M18" s="3013" t="s">
        <v>46</v>
      </c>
      <c r="N18" s="3013" t="s">
        <v>46</v>
      </c>
      <c r="O18" s="3013" t="s">
        <v>46</v>
      </c>
      <c r="P18" s="3013" t="s">
        <v>46</v>
      </c>
      <c r="Q18" s="3013" t="s">
        <v>46</v>
      </c>
      <c r="R18" s="3013" t="s">
        <v>47</v>
      </c>
      <c r="S18" s="3013" t="s">
        <v>47</v>
      </c>
      <c r="T18" s="3013" t="s">
        <v>26</v>
      </c>
      <c r="U18" s="3013" t="s">
        <v>26</v>
      </c>
      <c r="V18" s="3013" t="s">
        <v>26</v>
      </c>
      <c r="W18" s="3013" t="s">
        <v>26</v>
      </c>
      <c r="X18" s="3013" t="s">
        <v>26</v>
      </c>
      <c r="Y18" s="3013"/>
      <c r="Z18" s="3013"/>
      <c r="AA18" s="3013" t="s">
        <v>43</v>
      </c>
      <c r="AB18" s="3013" t="s">
        <v>43</v>
      </c>
      <c r="AC18" s="3013" t="s">
        <v>43</v>
      </c>
      <c r="AD18" s="3013" t="s">
        <v>43</v>
      </c>
      <c r="AE18" s="3013" t="s">
        <v>43</v>
      </c>
      <c r="AF18" s="3013" t="s">
        <v>0</v>
      </c>
      <c r="AG18" s="3014" t="s">
        <v>0</v>
      </c>
      <c r="AH18" s="111"/>
    </row>
    <row r="19" spans="1:34" ht="18" customHeight="1">
      <c r="A19" s="2991">
        <v>8500</v>
      </c>
      <c r="B19" s="3015" t="s">
        <v>51</v>
      </c>
      <c r="C19" s="3016" t="s">
        <v>50</v>
      </c>
      <c r="D19" s="3016"/>
      <c r="E19" s="3016"/>
      <c r="F19" s="3016" t="s">
        <v>46</v>
      </c>
      <c r="G19" s="2998" t="s">
        <v>46</v>
      </c>
      <c r="H19" s="2998" t="s">
        <v>46</v>
      </c>
      <c r="I19" s="2998" t="s">
        <v>46</v>
      </c>
      <c r="J19" s="3016" t="s">
        <v>46</v>
      </c>
      <c r="K19" s="3016" t="s">
        <v>47</v>
      </c>
      <c r="L19" s="3016" t="s">
        <v>47</v>
      </c>
      <c r="M19" s="2993" t="s">
        <v>453</v>
      </c>
      <c r="N19" s="2993" t="s">
        <v>26</v>
      </c>
      <c r="O19" s="2993" t="s">
        <v>26</v>
      </c>
      <c r="P19" s="2993" t="s">
        <v>26</v>
      </c>
      <c r="Q19" s="2993" t="s">
        <v>26</v>
      </c>
      <c r="R19" s="2993"/>
      <c r="S19" s="2993"/>
      <c r="T19" s="2993" t="s">
        <v>43</v>
      </c>
      <c r="U19" s="2993" t="s">
        <v>43</v>
      </c>
      <c r="V19" s="2993" t="s">
        <v>43</v>
      </c>
      <c r="W19" s="2993" t="s">
        <v>43</v>
      </c>
      <c r="X19" s="2993" t="s">
        <v>43</v>
      </c>
      <c r="Y19" s="196"/>
      <c r="Z19" s="196"/>
      <c r="AA19" s="196"/>
      <c r="AB19" s="2993" t="s">
        <v>46</v>
      </c>
      <c r="AC19" s="2993" t="s">
        <v>46</v>
      </c>
      <c r="AD19" s="2993" t="s">
        <v>46</v>
      </c>
      <c r="AE19" s="2993" t="s">
        <v>46</v>
      </c>
      <c r="AF19" s="2993" t="s">
        <v>49</v>
      </c>
      <c r="AG19" s="3017" t="s">
        <v>49</v>
      </c>
      <c r="AH19" s="193" t="s">
        <v>133</v>
      </c>
    </row>
    <row r="20" spans="1:34" ht="18" customHeight="1">
      <c r="A20" s="2991">
        <v>8500</v>
      </c>
      <c r="B20" s="3015" t="s">
        <v>54</v>
      </c>
      <c r="C20" s="2993" t="s">
        <v>46</v>
      </c>
      <c r="D20" s="2993" t="s">
        <v>47</v>
      </c>
      <c r="E20" s="2993" t="s">
        <v>47</v>
      </c>
      <c r="F20" s="2993" t="s">
        <v>26</v>
      </c>
      <c r="G20" s="2993" t="s">
        <v>26</v>
      </c>
      <c r="H20" s="2993" t="s">
        <v>26</v>
      </c>
      <c r="I20" s="2993" t="s">
        <v>26</v>
      </c>
      <c r="J20" s="2993" t="s">
        <v>26</v>
      </c>
      <c r="K20" s="2993"/>
      <c r="L20" s="2993"/>
      <c r="M20" s="2993" t="s">
        <v>43</v>
      </c>
      <c r="N20" s="2993" t="s">
        <v>43</v>
      </c>
      <c r="O20" s="2993" t="s">
        <v>43</v>
      </c>
      <c r="P20" s="2993" t="s">
        <v>43</v>
      </c>
      <c r="Q20" s="2993" t="s">
        <v>43</v>
      </c>
      <c r="R20" s="2993"/>
      <c r="S20" s="2993"/>
      <c r="T20" s="2994" t="s">
        <v>46</v>
      </c>
      <c r="U20" s="2994" t="s">
        <v>46</v>
      </c>
      <c r="V20" s="2994" t="s">
        <v>46</v>
      </c>
      <c r="W20" s="2994" t="s">
        <v>46</v>
      </c>
      <c r="X20" s="2994" t="s">
        <v>46</v>
      </c>
      <c r="Y20" s="2994" t="s">
        <v>49</v>
      </c>
      <c r="Z20" s="2994" t="s">
        <v>49</v>
      </c>
      <c r="AA20" s="2994" t="s">
        <v>50</v>
      </c>
      <c r="AB20" s="2994" t="s">
        <v>50</v>
      </c>
      <c r="AC20" s="2994" t="s">
        <v>50</v>
      </c>
      <c r="AD20" s="2994" t="s">
        <v>50</v>
      </c>
      <c r="AE20" s="888" t="s">
        <v>50</v>
      </c>
      <c r="AF20" s="2994"/>
      <c r="AG20" s="3018"/>
      <c r="AH20" s="179" t="s">
        <v>133</v>
      </c>
    </row>
    <row r="21" spans="1:34" ht="18" customHeight="1">
      <c r="A21" s="2991">
        <v>8546</v>
      </c>
      <c r="B21" s="2992" t="s">
        <v>56</v>
      </c>
      <c r="C21" s="3019" t="s">
        <v>26</v>
      </c>
      <c r="D21" s="3019"/>
      <c r="E21" s="3019"/>
      <c r="F21" s="3019" t="s">
        <v>43</v>
      </c>
      <c r="G21" s="3019" t="s">
        <v>43</v>
      </c>
      <c r="H21" s="3020" t="s">
        <v>43</v>
      </c>
      <c r="I21" s="3020" t="s">
        <v>43</v>
      </c>
      <c r="J21" s="3021" t="s">
        <v>43</v>
      </c>
      <c r="K21" s="3021"/>
      <c r="L21" s="2999"/>
      <c r="M21" s="2998" t="s">
        <v>46</v>
      </c>
      <c r="N21" s="2998" t="s">
        <v>46</v>
      </c>
      <c r="O21" s="2998" t="s">
        <v>46</v>
      </c>
      <c r="P21" s="3022" t="s">
        <v>46</v>
      </c>
      <c r="Q21" s="2999" t="s">
        <v>46</v>
      </c>
      <c r="R21" s="3009" t="s">
        <v>49</v>
      </c>
      <c r="S21" s="2996" t="s">
        <v>49</v>
      </c>
      <c r="T21" s="2994" t="s">
        <v>50</v>
      </c>
      <c r="U21" s="3023" t="s">
        <v>50</v>
      </c>
      <c r="V21" s="3023" t="s">
        <v>50</v>
      </c>
      <c r="W21" s="2994" t="s">
        <v>50</v>
      </c>
      <c r="X21" s="2994" t="s">
        <v>50</v>
      </c>
      <c r="Y21" s="3024"/>
      <c r="Z21" s="3024"/>
      <c r="AA21" s="3024" t="s">
        <v>46</v>
      </c>
      <c r="AB21" s="3024" t="s">
        <v>46</v>
      </c>
      <c r="AC21" s="3024" t="s">
        <v>46</v>
      </c>
      <c r="AD21" s="3024" t="s">
        <v>46</v>
      </c>
      <c r="AE21" s="3024" t="s">
        <v>46</v>
      </c>
      <c r="AF21" s="3024" t="s">
        <v>47</v>
      </c>
      <c r="AG21" s="3025" t="s">
        <v>47</v>
      </c>
      <c r="AH21" s="111"/>
    </row>
    <row r="22" spans="1:34" ht="18" customHeight="1" thickBot="1">
      <c r="B22" s="3026" t="s">
        <v>454</v>
      </c>
      <c r="C22" s="3027"/>
      <c r="D22" s="3027"/>
      <c r="E22" s="3027"/>
      <c r="F22" s="3027"/>
      <c r="G22" s="3027"/>
      <c r="H22" s="3027"/>
      <c r="I22" s="3027"/>
      <c r="J22" s="3027"/>
      <c r="K22" s="3028"/>
      <c r="L22" s="3029"/>
      <c r="M22" s="2994"/>
      <c r="N22" s="2994"/>
      <c r="O22" s="2994"/>
      <c r="P22" s="2994"/>
      <c r="Q22" s="2994"/>
      <c r="R22" s="2999"/>
      <c r="S22" s="3009"/>
      <c r="T22" s="2999"/>
      <c r="U22" s="237"/>
      <c r="V22" s="237"/>
      <c r="W22" s="2999"/>
      <c r="X22" s="3030"/>
      <c r="Y22" s="3027"/>
      <c r="Z22" s="3027"/>
      <c r="AA22" s="3027" t="s">
        <v>40</v>
      </c>
      <c r="AB22" s="3031" t="s">
        <v>26</v>
      </c>
      <c r="AC22" s="3031">
        <v>69</v>
      </c>
      <c r="AD22" s="3031" t="s">
        <v>40</v>
      </c>
      <c r="AE22" s="3031">
        <v>79</v>
      </c>
      <c r="AF22" s="3027"/>
      <c r="AG22" s="3027"/>
    </row>
    <row r="23" spans="1:34" ht="18" customHeight="1" thickBot="1">
      <c r="A23" s="3032" t="s">
        <v>58</v>
      </c>
      <c r="B23" s="3033"/>
      <c r="C23" s="3034"/>
      <c r="D23" s="3034"/>
      <c r="E23" s="3034"/>
      <c r="F23" s="3034"/>
      <c r="G23" s="3034"/>
      <c r="H23" s="3034"/>
      <c r="I23" s="3034"/>
      <c r="J23" s="3034"/>
      <c r="K23" s="3034"/>
      <c r="L23" s="3034"/>
      <c r="M23" s="3034"/>
      <c r="N23" s="3034"/>
      <c r="O23" s="3034"/>
      <c r="P23" s="3034"/>
      <c r="Q23" s="3034"/>
      <c r="R23" s="3034"/>
      <c r="S23" s="3034"/>
      <c r="T23" s="3034"/>
      <c r="U23" s="3034"/>
      <c r="V23" s="3034"/>
      <c r="W23" s="3034"/>
      <c r="X23" s="3034"/>
      <c r="Y23" s="3034"/>
      <c r="Z23" s="3034"/>
      <c r="AA23" s="3034"/>
      <c r="AB23" s="3034"/>
      <c r="AC23" s="3034"/>
      <c r="AD23" s="3034"/>
      <c r="AE23" s="3034"/>
      <c r="AF23" s="3034"/>
      <c r="AG23" s="3034"/>
    </row>
    <row r="24" spans="1:34" ht="18" customHeight="1">
      <c r="A24" s="3012">
        <v>8500</v>
      </c>
      <c r="B24" s="3035" t="s">
        <v>59</v>
      </c>
      <c r="C24" s="3036" t="s">
        <v>40</v>
      </c>
      <c r="D24" s="2995" t="s">
        <v>47</v>
      </c>
      <c r="E24" s="2995" t="s">
        <v>47</v>
      </c>
      <c r="F24" s="3037" t="s">
        <v>40</v>
      </c>
      <c r="G24" s="3037" t="s">
        <v>40</v>
      </c>
      <c r="H24" s="3037" t="s">
        <v>40</v>
      </c>
      <c r="I24" s="3037" t="s">
        <v>40</v>
      </c>
      <c r="J24" s="3037" t="s">
        <v>40</v>
      </c>
      <c r="K24" s="3038"/>
      <c r="L24" s="3039"/>
      <c r="M24" s="3039" t="s">
        <v>40</v>
      </c>
      <c r="N24" s="3039" t="s">
        <v>40</v>
      </c>
      <c r="O24" s="3039" t="s">
        <v>40</v>
      </c>
      <c r="P24" s="3039" t="s">
        <v>40</v>
      </c>
      <c r="Q24" s="3039" t="s">
        <v>40</v>
      </c>
      <c r="R24" s="3038"/>
      <c r="S24" s="3039"/>
      <c r="T24" s="3039" t="s">
        <v>40</v>
      </c>
      <c r="U24" s="3039" t="s">
        <v>40</v>
      </c>
      <c r="V24" s="3040" t="s">
        <v>40</v>
      </c>
      <c r="W24" s="3037" t="s">
        <v>40</v>
      </c>
      <c r="X24" s="3037" t="s">
        <v>40</v>
      </c>
      <c r="Y24" s="3041" t="s">
        <v>47</v>
      </c>
      <c r="Z24" s="3041" t="s">
        <v>47</v>
      </c>
      <c r="AA24" s="3037" t="s">
        <v>40</v>
      </c>
      <c r="AB24" s="3037" t="s">
        <v>40</v>
      </c>
      <c r="AC24" s="3037" t="s">
        <v>40</v>
      </c>
      <c r="AD24" s="3037" t="s">
        <v>40</v>
      </c>
      <c r="AE24" s="3037" t="s">
        <v>40</v>
      </c>
      <c r="AF24" s="3036"/>
      <c r="AG24" s="331" t="s">
        <v>49</v>
      </c>
    </row>
    <row r="25" spans="1:34" ht="18" customHeight="1">
      <c r="A25" s="2991">
        <v>8500</v>
      </c>
      <c r="B25" s="221" t="s">
        <v>364</v>
      </c>
      <c r="C25" s="3042" t="s">
        <v>43</v>
      </c>
      <c r="D25" s="2995" t="s">
        <v>49</v>
      </c>
      <c r="E25" s="2995" t="s">
        <v>49</v>
      </c>
      <c r="F25" s="3043" t="s">
        <v>46</v>
      </c>
      <c r="G25" s="3027" t="s">
        <v>46</v>
      </c>
      <c r="H25" s="3027" t="s">
        <v>46</v>
      </c>
      <c r="I25" s="3027" t="s">
        <v>46</v>
      </c>
      <c r="J25" s="3027" t="s">
        <v>46</v>
      </c>
      <c r="K25" s="3044" t="s">
        <v>49</v>
      </c>
      <c r="L25" s="3028" t="s">
        <v>49</v>
      </c>
      <c r="M25" s="3028" t="s">
        <v>50</v>
      </c>
      <c r="N25" s="3045" t="s">
        <v>50</v>
      </c>
      <c r="O25" s="3045" t="s">
        <v>50</v>
      </c>
      <c r="P25" s="3046" t="s">
        <v>50</v>
      </c>
      <c r="Q25" s="3046" t="s">
        <v>50</v>
      </c>
      <c r="R25" s="3047"/>
      <c r="S25" s="3047"/>
      <c r="T25" s="2994" t="s">
        <v>43</v>
      </c>
      <c r="U25" s="2994" t="s">
        <v>43</v>
      </c>
      <c r="V25" s="2994" t="s">
        <v>43</v>
      </c>
      <c r="W25" s="2994" t="s">
        <v>43</v>
      </c>
      <c r="X25" s="2994" t="s">
        <v>43</v>
      </c>
      <c r="Y25" s="3027"/>
      <c r="Z25" s="3027"/>
      <c r="AA25" s="3028">
        <v>8</v>
      </c>
      <c r="AB25" s="3029">
        <v>8</v>
      </c>
      <c r="AC25" s="3022">
        <v>8</v>
      </c>
      <c r="AD25" s="2999">
        <v>8</v>
      </c>
      <c r="AE25" s="3009" t="s">
        <v>50</v>
      </c>
      <c r="AF25" s="2994" t="s">
        <v>49</v>
      </c>
      <c r="AG25" s="2994"/>
    </row>
    <row r="26" spans="1:34" ht="18" customHeight="1">
      <c r="A26" s="2968"/>
      <c r="B26" s="2992" t="s">
        <v>63</v>
      </c>
      <c r="C26" s="2993" t="s">
        <v>40</v>
      </c>
      <c r="D26" s="510"/>
      <c r="E26" s="510"/>
      <c r="F26" s="510" t="s">
        <v>40</v>
      </c>
      <c r="G26" s="510" t="s">
        <v>40</v>
      </c>
      <c r="H26" s="510" t="s">
        <v>40</v>
      </c>
      <c r="I26" s="510" t="s">
        <v>40</v>
      </c>
      <c r="J26" s="510" t="s">
        <v>40</v>
      </c>
      <c r="K26" s="510"/>
      <c r="L26" s="510"/>
      <c r="M26" s="510" t="s">
        <v>40</v>
      </c>
      <c r="N26" s="510" t="s">
        <v>40</v>
      </c>
      <c r="O26" s="510" t="s">
        <v>40</v>
      </c>
      <c r="P26" s="510" t="s">
        <v>40</v>
      </c>
      <c r="Q26" s="510" t="s">
        <v>40</v>
      </c>
      <c r="R26" s="510"/>
      <c r="S26" s="510"/>
      <c r="T26" s="510" t="s">
        <v>40</v>
      </c>
      <c r="U26" s="510" t="s">
        <v>40</v>
      </c>
      <c r="V26" s="510" t="s">
        <v>40</v>
      </c>
      <c r="W26" s="510" t="s">
        <v>40</v>
      </c>
      <c r="X26" s="510" t="s">
        <v>40</v>
      </c>
      <c r="Y26" s="510"/>
      <c r="Z26" s="510"/>
      <c r="AA26" s="510" t="s">
        <v>40</v>
      </c>
      <c r="AB26" s="2993" t="s">
        <v>40</v>
      </c>
      <c r="AC26" s="2993" t="s">
        <v>40</v>
      </c>
      <c r="AD26" s="2993" t="s">
        <v>40</v>
      </c>
      <c r="AE26" s="2993" t="s">
        <v>40</v>
      </c>
      <c r="AF26" s="3048"/>
      <c r="AG26" s="3048"/>
    </row>
    <row r="27" spans="1:34" ht="18" customHeight="1" thickBot="1">
      <c r="A27" s="3049"/>
      <c r="B27" s="3050" t="s">
        <v>65</v>
      </c>
      <c r="C27" s="3051" t="s">
        <v>40</v>
      </c>
      <c r="D27" s="3004"/>
      <c r="E27" s="3004"/>
      <c r="F27" s="3004" t="s">
        <v>40</v>
      </c>
      <c r="G27" s="3052" t="s">
        <v>40</v>
      </c>
      <c r="H27" s="3053" t="s">
        <v>40</v>
      </c>
      <c r="I27" s="3053" t="s">
        <v>40</v>
      </c>
      <c r="J27" s="3051" t="s">
        <v>40</v>
      </c>
      <c r="K27" s="3004"/>
      <c r="L27" s="3004"/>
      <c r="M27" s="3004" t="s">
        <v>40</v>
      </c>
      <c r="N27" s="3054" t="s">
        <v>40</v>
      </c>
      <c r="O27" s="3053" t="s">
        <v>40</v>
      </c>
      <c r="P27" s="3004" t="s">
        <v>40</v>
      </c>
      <c r="Q27" s="3051" t="s">
        <v>40</v>
      </c>
      <c r="R27" s="3004"/>
      <c r="S27" s="3004"/>
      <c r="T27" s="3004" t="s">
        <v>40</v>
      </c>
      <c r="U27" s="3053" t="s">
        <v>40</v>
      </c>
      <c r="V27" s="3053" t="s">
        <v>40</v>
      </c>
      <c r="W27" s="3004" t="s">
        <v>40</v>
      </c>
      <c r="X27" s="3051" t="s">
        <v>40</v>
      </c>
      <c r="Y27" s="3055"/>
      <c r="Z27" s="3004"/>
      <c r="AA27" s="3006" t="s">
        <v>40</v>
      </c>
      <c r="AB27" s="3006" t="s">
        <v>40</v>
      </c>
      <c r="AC27" s="3006" t="s">
        <v>40</v>
      </c>
      <c r="AD27" s="3006" t="s">
        <v>40</v>
      </c>
      <c r="AE27" s="3006" t="s">
        <v>40</v>
      </c>
      <c r="AF27" s="3006"/>
      <c r="AG27" s="3006"/>
    </row>
    <row r="28" spans="1:34" ht="18" customHeight="1">
      <c r="A28" s="153"/>
      <c r="B28" s="116"/>
      <c r="C28" s="124"/>
      <c r="D28" s="129"/>
      <c r="E28" s="129"/>
      <c r="F28" s="129"/>
      <c r="G28" s="116"/>
      <c r="H28" s="116"/>
      <c r="I28" s="124"/>
      <c r="J28" s="116"/>
      <c r="K28" s="129"/>
      <c r="L28" s="116"/>
      <c r="R28" t="s">
        <v>0</v>
      </c>
      <c r="S28" s="129"/>
      <c r="T28" s="129"/>
      <c r="U28" s="116"/>
      <c r="V28" s="116"/>
      <c r="W28" s="129"/>
      <c r="X28" s="127"/>
      <c r="Y28" s="129"/>
      <c r="Z28" s="129"/>
      <c r="AA28" s="129" t="s">
        <v>0</v>
      </c>
      <c r="AB28" s="116"/>
      <c r="AC28" s="116"/>
      <c r="AD28" s="129"/>
      <c r="AE28" s="127"/>
      <c r="AF28" s="129"/>
    </row>
    <row r="29" spans="1:34" ht="18" customHeight="1">
      <c r="A29" s="152"/>
      <c r="B29" s="111"/>
      <c r="C29" s="3027">
        <v>23</v>
      </c>
      <c r="D29" s="111"/>
      <c r="E29" s="111"/>
      <c r="F29" s="182"/>
      <c r="G29" s="111"/>
      <c r="H29" s="116"/>
      <c r="I29" s="182"/>
      <c r="J29" s="183"/>
      <c r="K29" s="182"/>
      <c r="L29" s="111"/>
      <c r="S29" s="182"/>
      <c r="T29" s="182"/>
      <c r="U29" s="111"/>
      <c r="V29" s="111"/>
      <c r="W29" s="116"/>
      <c r="X29" s="116"/>
      <c r="Y29" s="182"/>
      <c r="Z29" s="182"/>
      <c r="AA29" s="113"/>
      <c r="AB29" s="113"/>
      <c r="AC29" s="113"/>
      <c r="AD29" s="124"/>
      <c r="AF29" s="179"/>
    </row>
    <row r="30" spans="1:34" ht="18" customHeight="1">
      <c r="A30" s="152"/>
      <c r="B30" s="111"/>
      <c r="D30" s="111"/>
      <c r="E30" s="120"/>
      <c r="F30" s="120"/>
      <c r="G30" s="120"/>
      <c r="H30" s="120"/>
      <c r="I30" s="120"/>
      <c r="J30" s="186"/>
      <c r="K30" s="182"/>
      <c r="L30" s="111"/>
      <c r="N30" s="128" t="s">
        <v>128</v>
      </c>
      <c r="O30" s="128"/>
      <c r="P30" s="128"/>
      <c r="Q30" s="128"/>
      <c r="T30" s="182"/>
      <c r="U30" s="111"/>
      <c r="V30" s="111"/>
      <c r="Y30" s="182"/>
      <c r="Z30" s="182" t="s">
        <v>0</v>
      </c>
      <c r="AA30" s="182"/>
      <c r="AB30" s="111"/>
      <c r="AC30" s="111"/>
      <c r="AD30" s="111"/>
      <c r="AE30" s="3047"/>
      <c r="AF30" s="3047"/>
      <c r="AG30" s="3047"/>
    </row>
    <row r="31" spans="1:34" ht="18" customHeight="1">
      <c r="A31" s="152"/>
      <c r="B31" s="111"/>
      <c r="C31" s="183"/>
      <c r="D31" s="182"/>
      <c r="E31" s="182"/>
      <c r="F31" s="182"/>
      <c r="G31" s="111"/>
      <c r="H31" s="111"/>
      <c r="I31" s="111"/>
      <c r="J31" s="111"/>
      <c r="K31" s="182"/>
      <c r="L31" s="111"/>
      <c r="M31" s="111"/>
      <c r="N31" s="128"/>
      <c r="O31" s="111"/>
      <c r="P31" s="182"/>
      <c r="Q31" s="183"/>
      <c r="R31" s="182"/>
      <c r="S31" s="182"/>
      <c r="T31" s="182"/>
      <c r="U31" s="111">
        <v>6</v>
      </c>
      <c r="AA31" s="2968" t="s">
        <v>159</v>
      </c>
      <c r="AB31" s="2968"/>
      <c r="AC31" s="111"/>
      <c r="AD31" s="182"/>
      <c r="AE31" s="183"/>
      <c r="AF31" s="182"/>
      <c r="AG31" s="111"/>
    </row>
    <row r="32" spans="1:34" ht="18" customHeight="1">
      <c r="A32" s="152"/>
      <c r="B32" s="111"/>
      <c r="C32" s="183"/>
      <c r="D32" s="182"/>
      <c r="E32" s="182"/>
      <c r="F32" s="182"/>
      <c r="G32" s="111"/>
      <c r="H32" s="111"/>
      <c r="I32" s="186"/>
      <c r="J32" s="186"/>
      <c r="K32" s="182"/>
      <c r="L32" s="111"/>
      <c r="M32" s="111"/>
      <c r="N32" s="111"/>
      <c r="O32" s="111"/>
      <c r="P32" s="182">
        <v>89</v>
      </c>
      <c r="Q32" s="183"/>
      <c r="R32" s="182"/>
      <c r="S32" s="182"/>
      <c r="Y32" s="182"/>
      <c r="Z32" s="182"/>
      <c r="AA32" s="182"/>
      <c r="AB32" s="111"/>
      <c r="AC32" s="111"/>
      <c r="AD32" s="182"/>
      <c r="AE32" s="183"/>
      <c r="AF32" s="182"/>
      <c r="AG32" s="111"/>
    </row>
    <row r="33" spans="1:34"/>
    <row r="35" spans="1:34" ht="18" customHeight="1" thickBot="1">
      <c r="A35" s="96" t="s">
        <v>66</v>
      </c>
      <c r="D35" s="48"/>
      <c r="E35" s="48"/>
      <c r="F35" s="48"/>
      <c r="G35" s="48"/>
      <c r="H35" s="48"/>
      <c r="I35" s="48"/>
      <c r="J35" s="48"/>
      <c r="K35" s="48"/>
      <c r="L35" s="48"/>
      <c r="M35" s="48"/>
      <c r="N35" s="48"/>
      <c r="O35" s="48" t="s">
        <v>0</v>
      </c>
      <c r="P35" s="48"/>
      <c r="Q35" s="48" t="s">
        <v>67</v>
      </c>
      <c r="R35" s="48" t="s">
        <v>0</v>
      </c>
      <c r="S35" s="48" t="s">
        <v>68</v>
      </c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4" ht="18" customHeight="1">
      <c r="A36" s="3056" t="s">
        <v>69</v>
      </c>
      <c r="B36" s="3056" t="s">
        <v>69</v>
      </c>
      <c r="C36" s="3057"/>
      <c r="D36" s="3058" t="s">
        <v>70</v>
      </c>
      <c r="E36" s="3059"/>
      <c r="F36" s="3059"/>
      <c r="G36" s="3059"/>
      <c r="H36" s="3059"/>
      <c r="I36" s="3059"/>
      <c r="J36" s="3059"/>
      <c r="K36" s="3059"/>
      <c r="L36" s="3059"/>
      <c r="M36" s="3060" t="s">
        <v>71</v>
      </c>
      <c r="N36" s="3059"/>
      <c r="O36" s="3059"/>
      <c r="P36" s="3059"/>
      <c r="Q36" s="3059"/>
      <c r="R36" s="3059"/>
      <c r="S36" s="3061"/>
      <c r="T36" s="2791" t="s">
        <v>72</v>
      </c>
      <c r="U36" s="3062"/>
      <c r="V36" s="3062"/>
      <c r="W36" s="3062"/>
      <c r="X36" s="3062"/>
      <c r="Y36" s="3062"/>
      <c r="Z36" s="3062"/>
      <c r="AA36" s="3063" t="s">
        <v>73</v>
      </c>
      <c r="AB36" s="3064"/>
      <c r="AC36" s="3064"/>
      <c r="AD36" s="3064"/>
      <c r="AE36" s="3064"/>
      <c r="AF36" s="3064"/>
    </row>
    <row r="37" spans="1:34" ht="18" customHeight="1">
      <c r="A37" s="3065" t="s">
        <v>74</v>
      </c>
      <c r="B37" s="3065" t="s">
        <v>74</v>
      </c>
      <c r="C37" s="3066"/>
      <c r="D37" s="3067" t="s">
        <v>75</v>
      </c>
      <c r="E37" s="3068"/>
      <c r="F37" s="2958"/>
      <c r="G37" s="2958"/>
      <c r="H37" s="2958"/>
      <c r="I37" s="2958"/>
      <c r="J37" s="2958"/>
      <c r="K37" s="2958"/>
      <c r="L37" s="3069"/>
      <c r="M37" s="3070" t="s">
        <v>76</v>
      </c>
      <c r="N37" s="3066"/>
      <c r="O37" s="3071"/>
      <c r="P37" s="3066"/>
      <c r="Q37" s="3066"/>
      <c r="R37" s="3066"/>
      <c r="S37" s="3072"/>
      <c r="T37" s="3067" t="s">
        <v>77</v>
      </c>
      <c r="U37" s="2958"/>
      <c r="V37" s="3068"/>
      <c r="W37" s="2958"/>
      <c r="X37" s="2958"/>
      <c r="Y37" s="2958"/>
      <c r="Z37" s="3069"/>
      <c r="AA37" s="97" t="s">
        <v>78</v>
      </c>
      <c r="AD37" s="59"/>
    </row>
    <row r="38" spans="1:34" ht="18" customHeight="1">
      <c r="A38" s="3073" t="s">
        <v>79</v>
      </c>
      <c r="B38" s="3073" t="s">
        <v>79</v>
      </c>
      <c r="C38" s="2958"/>
      <c r="D38" s="3074"/>
      <c r="E38" s="2958"/>
      <c r="F38" s="2958"/>
      <c r="G38" s="3069"/>
      <c r="H38" s="3075" t="s">
        <v>80</v>
      </c>
      <c r="I38" s="2958"/>
      <c r="J38" s="2958"/>
      <c r="K38" s="2958"/>
      <c r="L38" s="2958"/>
      <c r="M38" s="3076"/>
      <c r="N38" s="2958"/>
      <c r="O38" s="2958"/>
      <c r="P38" s="2958"/>
      <c r="Q38" s="2958"/>
      <c r="R38" s="2958"/>
      <c r="S38" s="2958"/>
      <c r="T38" s="3074"/>
      <c r="U38" s="96" t="s">
        <v>81</v>
      </c>
      <c r="AA38" s="3071"/>
      <c r="AB38" s="3066"/>
      <c r="AC38" s="3066"/>
      <c r="AD38" s="3066"/>
      <c r="AE38" s="3066"/>
      <c r="AF38" s="3066"/>
    </row>
    <row r="39" spans="1:34" ht="18" customHeight="1" thickBot="1">
      <c r="A39" s="3077" t="s">
        <v>82</v>
      </c>
      <c r="B39" s="3077" t="s">
        <v>82</v>
      </c>
      <c r="C39" s="3078"/>
      <c r="D39" s="3079"/>
      <c r="E39" s="3078"/>
      <c r="F39" s="3078"/>
      <c r="G39" s="3080"/>
      <c r="H39" s="3081" t="s">
        <v>83</v>
      </c>
      <c r="I39" s="3080"/>
      <c r="J39" s="3078"/>
      <c r="K39" s="3078"/>
      <c r="L39" s="3078"/>
      <c r="M39" s="3082"/>
      <c r="N39" s="3078"/>
      <c r="O39" s="3078"/>
      <c r="P39" s="3078"/>
      <c r="Q39" s="3083"/>
      <c r="R39" s="3083"/>
      <c r="S39" s="3083"/>
      <c r="T39" s="3079"/>
      <c r="U39" s="3084" t="s">
        <v>84</v>
      </c>
      <c r="V39" s="3078"/>
      <c r="W39" s="3078"/>
      <c r="X39" s="3078"/>
      <c r="Y39" s="3078"/>
      <c r="Z39" s="3078"/>
      <c r="AA39" s="3078"/>
      <c r="AB39" s="3078"/>
      <c r="AC39" s="3078"/>
      <c r="AD39" s="3078"/>
      <c r="AE39" s="3078"/>
      <c r="AF39" s="3078"/>
    </row>
    <row r="40" spans="1:34" ht="18" customHeight="1" thickBot="1">
      <c r="B40" s="62" t="s">
        <v>36</v>
      </c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  <c r="AA40" s="48"/>
      <c r="AB40" s="48"/>
      <c r="AC40" s="48"/>
      <c r="AD40" s="48"/>
      <c r="AE40" s="48"/>
      <c r="AF40" s="48"/>
      <c r="AG40" s="103"/>
    </row>
    <row r="41" spans="1:34" ht="18" customHeight="1" thickBot="1">
      <c r="A41" s="3085" t="s">
        <v>37</v>
      </c>
      <c r="B41" s="3086" t="s">
        <v>38</v>
      </c>
      <c r="C41" s="2985">
        <v>1</v>
      </c>
      <c r="D41" s="2986">
        <v>2</v>
      </c>
      <c r="E41" s="2986">
        <v>3</v>
      </c>
      <c r="F41" s="2985">
        <v>4</v>
      </c>
      <c r="G41" s="2985">
        <v>5</v>
      </c>
      <c r="H41" s="2985">
        <v>6</v>
      </c>
      <c r="I41" s="2985">
        <v>7</v>
      </c>
      <c r="J41" s="2985">
        <v>8</v>
      </c>
      <c r="K41" s="2986">
        <v>9</v>
      </c>
      <c r="L41" s="2986">
        <v>10</v>
      </c>
      <c r="M41" s="2985">
        <v>11</v>
      </c>
      <c r="N41" s="2985">
        <v>12</v>
      </c>
      <c r="O41" s="2985">
        <v>13</v>
      </c>
      <c r="P41" s="2985">
        <v>14</v>
      </c>
      <c r="Q41" s="2985">
        <v>15</v>
      </c>
      <c r="R41" s="2986">
        <v>16</v>
      </c>
      <c r="S41" s="2986">
        <v>17</v>
      </c>
      <c r="T41" s="2985">
        <v>18</v>
      </c>
      <c r="U41" s="2985">
        <v>19</v>
      </c>
      <c r="V41" s="2985">
        <v>20</v>
      </c>
      <c r="W41" s="2985">
        <v>21</v>
      </c>
      <c r="X41" s="2985">
        <v>22</v>
      </c>
      <c r="Y41" s="2986">
        <v>23</v>
      </c>
      <c r="Z41" s="2986">
        <v>24</v>
      </c>
      <c r="AA41" s="2985">
        <v>25</v>
      </c>
      <c r="AB41" s="2985">
        <v>26</v>
      </c>
      <c r="AC41" s="2985">
        <v>27</v>
      </c>
      <c r="AD41" s="2985">
        <v>28</v>
      </c>
      <c r="AE41" s="2985">
        <v>29</v>
      </c>
      <c r="AF41" s="2986">
        <v>30</v>
      </c>
      <c r="AG41" s="2986">
        <v>31</v>
      </c>
    </row>
    <row r="42" spans="1:34" ht="18" customHeight="1">
      <c r="A42" s="3087">
        <v>1</v>
      </c>
      <c r="B42" s="2977" t="s">
        <v>85</v>
      </c>
      <c r="C42" s="3088">
        <v>5</v>
      </c>
      <c r="D42" s="3089"/>
      <c r="E42" s="3088"/>
      <c r="F42" s="3088">
        <v>10</v>
      </c>
      <c r="G42" s="3088">
        <v>10</v>
      </c>
      <c r="H42" s="3088">
        <v>10</v>
      </c>
      <c r="I42" s="3088">
        <v>10</v>
      </c>
      <c r="J42" s="2989">
        <v>10</v>
      </c>
      <c r="K42" s="3088" t="s">
        <v>53</v>
      </c>
      <c r="L42" s="3088" t="s">
        <v>53</v>
      </c>
      <c r="M42" s="3088" t="s">
        <v>46</v>
      </c>
      <c r="N42" s="3088" t="s">
        <v>46</v>
      </c>
      <c r="O42" s="3089" t="s">
        <v>46</v>
      </c>
      <c r="P42" s="3088" t="s">
        <v>46</v>
      </c>
      <c r="Q42" s="3090" t="s">
        <v>46</v>
      </c>
      <c r="R42" s="3089" t="s">
        <v>86</v>
      </c>
      <c r="S42" s="3088" t="s">
        <v>86</v>
      </c>
      <c r="T42" s="3088">
        <v>7</v>
      </c>
      <c r="U42" s="3088">
        <v>7</v>
      </c>
      <c r="V42" s="3088">
        <v>7</v>
      </c>
      <c r="W42" s="3088">
        <v>7</v>
      </c>
      <c r="X42" s="3090">
        <v>7</v>
      </c>
      <c r="Y42" s="3090"/>
      <c r="Z42" s="293" t="s">
        <v>89</v>
      </c>
      <c r="AA42" s="3088">
        <v>4</v>
      </c>
      <c r="AB42" s="3090">
        <v>4</v>
      </c>
      <c r="AC42" s="3090">
        <v>4</v>
      </c>
      <c r="AD42" s="3090">
        <v>4</v>
      </c>
      <c r="AE42" s="3088">
        <v>4</v>
      </c>
      <c r="AF42" s="3088"/>
      <c r="AG42" s="3088"/>
    </row>
    <row r="43" spans="1:34" ht="18" customHeight="1">
      <c r="A43" s="3091">
        <v>6</v>
      </c>
      <c r="B43" s="2992" t="s">
        <v>88</v>
      </c>
      <c r="C43" s="2994">
        <v>3</v>
      </c>
      <c r="D43" s="3048"/>
      <c r="E43" s="3048"/>
      <c r="F43" s="3048">
        <v>11</v>
      </c>
      <c r="G43" s="3048">
        <v>11</v>
      </c>
      <c r="H43" s="3048">
        <v>11</v>
      </c>
      <c r="I43" s="3048">
        <v>11</v>
      </c>
      <c r="J43" s="3048">
        <v>11</v>
      </c>
      <c r="K43" s="3048" t="s">
        <v>87</v>
      </c>
      <c r="L43" s="3048" t="s">
        <v>87</v>
      </c>
      <c r="M43" s="3048" t="s">
        <v>46</v>
      </c>
      <c r="N43" s="3048" t="s">
        <v>46</v>
      </c>
      <c r="O43" s="3048" t="s">
        <v>46</v>
      </c>
      <c r="P43" s="3048" t="s">
        <v>46</v>
      </c>
      <c r="Q43" s="3048" t="s">
        <v>46</v>
      </c>
      <c r="R43" s="3048" t="s">
        <v>89</v>
      </c>
      <c r="S43" s="3048" t="s">
        <v>89</v>
      </c>
      <c r="T43" s="3048">
        <v>8</v>
      </c>
      <c r="U43" s="3048">
        <v>8</v>
      </c>
      <c r="V43" s="3048">
        <v>8</v>
      </c>
      <c r="W43" s="3048">
        <v>8</v>
      </c>
      <c r="X43" s="3048">
        <v>8</v>
      </c>
      <c r="Y43" s="294" t="s">
        <v>89</v>
      </c>
      <c r="Z43" s="3092"/>
      <c r="AA43" s="2968" t="s">
        <v>46</v>
      </c>
      <c r="AB43" s="3048" t="s">
        <v>46</v>
      </c>
      <c r="AC43" s="3048" t="s">
        <v>46</v>
      </c>
      <c r="AD43" s="3048" t="s">
        <v>46</v>
      </c>
      <c r="AE43" s="3048" t="s">
        <v>46</v>
      </c>
      <c r="AF43" s="3048"/>
      <c r="AG43" s="3048"/>
    </row>
    <row r="44" spans="1:34" ht="18" customHeight="1" thickBot="1">
      <c r="A44" s="3093">
        <v>11</v>
      </c>
      <c r="B44" s="3002" t="s">
        <v>90</v>
      </c>
      <c r="C44" s="3052">
        <v>1</v>
      </c>
      <c r="D44" s="3094"/>
      <c r="E44" s="3094"/>
      <c r="F44" s="3054">
        <v>9</v>
      </c>
      <c r="G44" s="3054">
        <v>9</v>
      </c>
      <c r="H44" s="3054">
        <v>9</v>
      </c>
      <c r="I44" s="3054">
        <v>9</v>
      </c>
      <c r="J44" s="3054">
        <v>9</v>
      </c>
      <c r="K44" s="3054" t="s">
        <v>52</v>
      </c>
      <c r="L44" s="3054" t="s">
        <v>53</v>
      </c>
      <c r="M44" s="3003" t="s">
        <v>46</v>
      </c>
      <c r="N44" s="3054" t="s">
        <v>46</v>
      </c>
      <c r="O44" s="3054" t="s">
        <v>46</v>
      </c>
      <c r="P44" s="3054" t="s">
        <v>46</v>
      </c>
      <c r="Q44" s="3054" t="s">
        <v>46</v>
      </c>
      <c r="R44" s="3054" t="s">
        <v>91</v>
      </c>
      <c r="S44" s="3054" t="s">
        <v>89</v>
      </c>
      <c r="T44" s="3006">
        <v>6</v>
      </c>
      <c r="U44" s="3006">
        <v>6</v>
      </c>
      <c r="V44" s="3006">
        <v>6</v>
      </c>
      <c r="W44" s="3006">
        <v>6</v>
      </c>
      <c r="X44" s="3006">
        <v>6</v>
      </c>
      <c r="Y44" s="3006"/>
      <c r="Z44" s="3006"/>
      <c r="AA44" s="3006" t="s">
        <v>46</v>
      </c>
      <c r="AB44" s="3006" t="s">
        <v>46</v>
      </c>
      <c r="AC44" s="3006" t="s">
        <v>46</v>
      </c>
      <c r="AD44" s="3006" t="s">
        <v>46</v>
      </c>
      <c r="AE44" s="3006" t="s">
        <v>46</v>
      </c>
      <c r="AF44" s="3006"/>
      <c r="AG44" s="3095"/>
      <c r="AH44" s="193" t="s">
        <v>133</v>
      </c>
    </row>
    <row r="45" spans="1:34" ht="18" customHeight="1">
      <c r="A45" s="3087">
        <v>2</v>
      </c>
      <c r="B45" s="3035" t="s">
        <v>92</v>
      </c>
      <c r="C45" s="3096">
        <v>10</v>
      </c>
      <c r="D45" s="3096" t="s">
        <v>53</v>
      </c>
      <c r="E45" s="3096" t="s">
        <v>53</v>
      </c>
      <c r="F45" s="3096" t="s">
        <v>46</v>
      </c>
      <c r="G45" s="3096" t="s">
        <v>46</v>
      </c>
      <c r="H45" s="3096" t="s">
        <v>46</v>
      </c>
      <c r="I45" s="3096" t="s">
        <v>46</v>
      </c>
      <c r="J45" s="3096" t="s">
        <v>46</v>
      </c>
      <c r="K45" s="3096" t="s">
        <v>86</v>
      </c>
      <c r="L45" s="3096" t="s">
        <v>86</v>
      </c>
      <c r="M45" s="3096">
        <v>7</v>
      </c>
      <c r="N45" s="3096">
        <v>7</v>
      </c>
      <c r="O45" s="3096">
        <v>7</v>
      </c>
      <c r="P45" s="3096">
        <v>7</v>
      </c>
      <c r="Q45" s="3096">
        <v>7</v>
      </c>
      <c r="R45" s="3096"/>
      <c r="S45" s="3096"/>
      <c r="T45" s="3096">
        <v>4</v>
      </c>
      <c r="U45" s="3096" t="s">
        <v>415</v>
      </c>
      <c r="V45" s="3090">
        <v>4</v>
      </c>
      <c r="W45" s="3090">
        <v>4</v>
      </c>
      <c r="X45" s="3090">
        <v>4</v>
      </c>
      <c r="Y45" s="3088"/>
      <c r="Z45" s="3088"/>
      <c r="AA45" s="3088">
        <v>3</v>
      </c>
      <c r="AB45" s="3088">
        <v>3</v>
      </c>
      <c r="AC45" s="3090">
        <v>3</v>
      </c>
      <c r="AD45" s="3090">
        <v>3</v>
      </c>
      <c r="AE45" s="3088">
        <v>3</v>
      </c>
      <c r="AF45" s="3088"/>
      <c r="AG45" s="3097"/>
      <c r="AH45" s="111" t="s">
        <v>133</v>
      </c>
    </row>
    <row r="46" spans="1:34" ht="18" customHeight="1">
      <c r="A46" s="3091">
        <v>7</v>
      </c>
      <c r="B46" s="2992" t="s">
        <v>93</v>
      </c>
      <c r="C46" s="222">
        <v>11</v>
      </c>
      <c r="D46" s="3013" t="s">
        <v>87</v>
      </c>
      <c r="E46" s="3013" t="s">
        <v>87</v>
      </c>
      <c r="F46" s="3013" t="s">
        <v>46</v>
      </c>
      <c r="G46" s="3013" t="s">
        <v>46</v>
      </c>
      <c r="H46" s="3013" t="s">
        <v>46</v>
      </c>
      <c r="I46" s="3013" t="s">
        <v>46</v>
      </c>
      <c r="J46" s="3013" t="s">
        <v>46</v>
      </c>
      <c r="K46" s="222"/>
      <c r="L46" s="222"/>
      <c r="M46" s="3013">
        <v>8</v>
      </c>
      <c r="N46" s="3013">
        <v>8</v>
      </c>
      <c r="O46" s="3013">
        <v>8</v>
      </c>
      <c r="P46" s="3013">
        <v>8</v>
      </c>
      <c r="Q46" s="3013">
        <v>8</v>
      </c>
      <c r="R46" s="3013" t="s">
        <v>104</v>
      </c>
      <c r="S46" s="3013" t="s">
        <v>104</v>
      </c>
      <c r="T46" s="3013" t="s">
        <v>46</v>
      </c>
      <c r="U46" s="3098" t="s">
        <v>46</v>
      </c>
      <c r="V46" s="3098" t="s">
        <v>46</v>
      </c>
      <c r="W46" s="3013" t="s">
        <v>46</v>
      </c>
      <c r="X46" s="3013" t="s">
        <v>46</v>
      </c>
      <c r="Y46" s="222"/>
      <c r="Z46" s="222"/>
      <c r="AA46" s="3013">
        <v>1</v>
      </c>
      <c r="AB46" s="3013">
        <v>1</v>
      </c>
      <c r="AC46" s="3013">
        <v>1</v>
      </c>
      <c r="AD46" s="3013">
        <v>1</v>
      </c>
      <c r="AE46" s="3013">
        <v>1</v>
      </c>
      <c r="AF46" s="3013"/>
      <c r="AG46" s="3099"/>
      <c r="AH46" s="111"/>
    </row>
    <row r="47" spans="1:34" ht="18" customHeight="1" thickBot="1">
      <c r="A47" s="3093">
        <v>12</v>
      </c>
      <c r="B47" s="3100" t="s">
        <v>94</v>
      </c>
      <c r="C47" s="3003">
        <v>9</v>
      </c>
      <c r="D47" s="3003" t="s">
        <v>52</v>
      </c>
      <c r="E47" s="3003" t="s">
        <v>53</v>
      </c>
      <c r="F47" s="3003" t="s">
        <v>46</v>
      </c>
      <c r="G47" s="3003" t="s">
        <v>46</v>
      </c>
      <c r="H47" s="3003" t="s">
        <v>46</v>
      </c>
      <c r="I47" s="3101" t="s">
        <v>46</v>
      </c>
      <c r="J47" s="3101" t="s">
        <v>46</v>
      </c>
      <c r="K47" s="3003" t="s">
        <v>91</v>
      </c>
      <c r="L47" s="3003" t="s">
        <v>89</v>
      </c>
      <c r="M47" s="3003">
        <v>6</v>
      </c>
      <c r="N47" s="3003">
        <v>6</v>
      </c>
      <c r="O47" s="3003">
        <v>6</v>
      </c>
      <c r="P47" s="3003">
        <v>6</v>
      </c>
      <c r="Q47" s="3003">
        <v>6</v>
      </c>
      <c r="R47" s="3101"/>
      <c r="S47" s="3101"/>
      <c r="T47" s="3003" t="s">
        <v>46</v>
      </c>
      <c r="U47" s="3003" t="s">
        <v>46</v>
      </c>
      <c r="V47" s="3102" t="s">
        <v>46</v>
      </c>
      <c r="W47" s="3102" t="s">
        <v>46</v>
      </c>
      <c r="X47" s="3102" t="s">
        <v>46</v>
      </c>
      <c r="Y47" s="3003"/>
      <c r="Z47" s="3003"/>
      <c r="AA47" s="3003">
        <v>1</v>
      </c>
      <c r="AB47" s="3003">
        <v>1</v>
      </c>
      <c r="AC47" s="3003">
        <v>1</v>
      </c>
      <c r="AD47" s="3003">
        <v>1</v>
      </c>
      <c r="AE47" s="3003">
        <v>1</v>
      </c>
      <c r="AF47" s="3003"/>
      <c r="AG47" s="3103"/>
      <c r="AH47" s="111"/>
    </row>
    <row r="48" spans="1:34" ht="18" customHeight="1">
      <c r="A48" s="3087">
        <v>3</v>
      </c>
      <c r="B48" s="3104" t="s">
        <v>95</v>
      </c>
      <c r="C48" s="501" t="s">
        <v>46</v>
      </c>
      <c r="D48" s="508" t="s">
        <v>86</v>
      </c>
      <c r="E48" s="504" t="s">
        <v>86</v>
      </c>
      <c r="F48" s="504">
        <v>7</v>
      </c>
      <c r="G48" s="504">
        <v>7</v>
      </c>
      <c r="H48" s="504">
        <v>7</v>
      </c>
      <c r="I48" s="504">
        <v>7</v>
      </c>
      <c r="J48" s="594">
        <v>7</v>
      </c>
      <c r="K48" s="508"/>
      <c r="L48" s="508"/>
      <c r="M48" s="508">
        <v>4</v>
      </c>
      <c r="N48" s="591">
        <v>4</v>
      </c>
      <c r="O48" s="598">
        <v>4</v>
      </c>
      <c r="P48" s="591">
        <v>4</v>
      </c>
      <c r="Q48" s="591">
        <v>4</v>
      </c>
      <c r="R48" s="504"/>
      <c r="S48" s="504"/>
      <c r="T48" s="591">
        <v>3</v>
      </c>
      <c r="U48" s="555">
        <v>3</v>
      </c>
      <c r="V48" s="3027">
        <v>6</v>
      </c>
      <c r="W48" s="3105">
        <v>6</v>
      </c>
      <c r="X48" s="3106">
        <v>6</v>
      </c>
      <c r="Y48" s="556"/>
      <c r="Z48" s="504"/>
      <c r="AA48" s="504">
        <v>11</v>
      </c>
      <c r="AB48" s="504">
        <v>11</v>
      </c>
      <c r="AC48" s="509">
        <v>11</v>
      </c>
      <c r="AD48" s="504">
        <v>11</v>
      </c>
      <c r="AE48" s="504">
        <v>11</v>
      </c>
      <c r="AF48" s="504" t="s">
        <v>87</v>
      </c>
      <c r="AG48" s="557" t="s">
        <v>87</v>
      </c>
      <c r="AH48" s="111"/>
    </row>
    <row r="49" spans="1:34" ht="18" customHeight="1">
      <c r="A49" s="3091">
        <v>8</v>
      </c>
      <c r="B49" s="2992" t="s">
        <v>96</v>
      </c>
      <c r="C49" s="2996" t="s">
        <v>46</v>
      </c>
      <c r="D49" s="2996" t="s">
        <v>89</v>
      </c>
      <c r="E49" s="2996" t="s">
        <v>89</v>
      </c>
      <c r="F49" s="2996">
        <v>8</v>
      </c>
      <c r="G49" s="2996">
        <v>8</v>
      </c>
      <c r="H49" s="2996">
        <v>8</v>
      </c>
      <c r="I49" s="2996">
        <v>8</v>
      </c>
      <c r="J49" s="2996">
        <v>8</v>
      </c>
      <c r="K49" s="2996"/>
      <c r="L49" s="2996"/>
      <c r="M49" s="2996" t="s">
        <v>46</v>
      </c>
      <c r="N49" s="2996" t="s">
        <v>46</v>
      </c>
      <c r="O49" s="2996" t="s">
        <v>46</v>
      </c>
      <c r="P49" s="2996" t="s">
        <v>46</v>
      </c>
      <c r="Q49" s="2996" t="s">
        <v>46</v>
      </c>
      <c r="R49" s="2996"/>
      <c r="S49" s="2996"/>
      <c r="T49" s="2996">
        <v>1</v>
      </c>
      <c r="U49" s="2996">
        <v>1</v>
      </c>
      <c r="V49" s="581">
        <v>1</v>
      </c>
      <c r="W49" s="581">
        <v>1</v>
      </c>
      <c r="X49" s="581">
        <v>1</v>
      </c>
      <c r="Y49" s="3001"/>
      <c r="Z49" s="3001"/>
      <c r="AA49" s="3001">
        <v>9</v>
      </c>
      <c r="AB49" s="3001">
        <v>9</v>
      </c>
      <c r="AC49" s="3001">
        <v>9</v>
      </c>
      <c r="AD49" s="3107">
        <v>9</v>
      </c>
      <c r="AE49" s="3107">
        <v>9</v>
      </c>
      <c r="AF49" s="3108" t="s">
        <v>52</v>
      </c>
      <c r="AG49" s="3109" t="s">
        <v>52</v>
      </c>
      <c r="AH49" s="111"/>
    </row>
    <row r="50" spans="1:34" ht="18" customHeight="1" thickBot="1">
      <c r="A50" s="3093">
        <v>13</v>
      </c>
      <c r="B50" s="3002" t="s">
        <v>97</v>
      </c>
      <c r="C50" s="3053" t="s">
        <v>46</v>
      </c>
      <c r="D50" s="3053" t="s">
        <v>91</v>
      </c>
      <c r="E50" s="3054" t="s">
        <v>89</v>
      </c>
      <c r="F50" s="3054">
        <v>6</v>
      </c>
      <c r="G50" s="3101">
        <v>6</v>
      </c>
      <c r="H50" s="3054">
        <v>6</v>
      </c>
      <c r="I50" s="3094">
        <v>6</v>
      </c>
      <c r="J50" s="3094">
        <v>6</v>
      </c>
      <c r="K50" s="3054"/>
      <c r="L50" s="3110"/>
      <c r="M50" s="3054" t="s">
        <v>46</v>
      </c>
      <c r="N50" s="3110" t="s">
        <v>46</v>
      </c>
      <c r="O50" s="3110" t="s">
        <v>46</v>
      </c>
      <c r="P50" s="3110" t="s">
        <v>46</v>
      </c>
      <c r="Q50" s="3054" t="s">
        <v>46</v>
      </c>
      <c r="R50" s="3054"/>
      <c r="S50" s="3054"/>
      <c r="T50" s="3054">
        <v>5</v>
      </c>
      <c r="U50" s="3054">
        <v>5</v>
      </c>
      <c r="V50" s="3054">
        <v>5</v>
      </c>
      <c r="W50" s="3054">
        <v>5</v>
      </c>
      <c r="X50" s="3054">
        <v>5</v>
      </c>
      <c r="Y50" s="3053"/>
      <c r="Z50" s="3054"/>
      <c r="AA50" s="842">
        <v>10</v>
      </c>
      <c r="AB50" s="842">
        <v>10</v>
      </c>
      <c r="AC50" s="842">
        <v>10</v>
      </c>
      <c r="AD50" s="842">
        <v>10</v>
      </c>
      <c r="AE50" s="842">
        <v>10</v>
      </c>
      <c r="AF50" s="842" t="s">
        <v>53</v>
      </c>
      <c r="AG50" s="842" t="s">
        <v>53</v>
      </c>
      <c r="AH50" s="111" t="s">
        <v>133</v>
      </c>
    </row>
    <row r="51" spans="1:34" ht="18" customHeight="1">
      <c r="A51" s="3087">
        <v>4</v>
      </c>
      <c r="B51" s="3035" t="s">
        <v>99</v>
      </c>
      <c r="C51" s="501">
        <v>7</v>
      </c>
      <c r="D51" s="508"/>
      <c r="E51" s="504"/>
      <c r="F51" s="504">
        <v>4</v>
      </c>
      <c r="G51" s="504">
        <v>4</v>
      </c>
      <c r="H51" s="504">
        <v>4</v>
      </c>
      <c r="I51" s="504">
        <v>4</v>
      </c>
      <c r="J51" s="508">
        <v>4</v>
      </c>
      <c r="K51" s="508"/>
      <c r="L51" s="508"/>
      <c r="M51" s="508">
        <v>3</v>
      </c>
      <c r="N51" s="508">
        <v>3</v>
      </c>
      <c r="O51" s="508">
        <v>3</v>
      </c>
      <c r="P51" s="508">
        <v>3</v>
      </c>
      <c r="Q51" s="508">
        <v>3</v>
      </c>
      <c r="R51" s="504"/>
      <c r="S51" s="504"/>
      <c r="T51" s="510">
        <v>11</v>
      </c>
      <c r="U51" s="510">
        <v>11</v>
      </c>
      <c r="V51" s="510">
        <v>11</v>
      </c>
      <c r="W51" s="510">
        <v>11</v>
      </c>
      <c r="X51" s="510">
        <v>11</v>
      </c>
      <c r="Y51" s="510" t="s">
        <v>87</v>
      </c>
      <c r="Z51" s="510" t="s">
        <v>87</v>
      </c>
      <c r="AA51" s="510" t="s">
        <v>46</v>
      </c>
      <c r="AB51" s="510" t="s">
        <v>46</v>
      </c>
      <c r="AC51" s="510" t="s">
        <v>46</v>
      </c>
      <c r="AD51" s="510" t="s">
        <v>46</v>
      </c>
      <c r="AE51" s="510" t="s">
        <v>46</v>
      </c>
      <c r="AF51" s="510" t="s">
        <v>89</v>
      </c>
      <c r="AG51" s="558" t="s">
        <v>89</v>
      </c>
      <c r="AH51" s="179" t="s">
        <v>133</v>
      </c>
    </row>
    <row r="52" spans="1:34" ht="18" customHeight="1">
      <c r="A52" s="3091">
        <v>9</v>
      </c>
      <c r="B52" s="2992" t="s">
        <v>101</v>
      </c>
      <c r="C52" s="2996">
        <v>8</v>
      </c>
      <c r="D52" s="2996"/>
      <c r="E52" s="2996"/>
      <c r="F52" s="2996" t="s">
        <v>46</v>
      </c>
      <c r="G52" s="2996" t="s">
        <v>46</v>
      </c>
      <c r="H52" s="2996" t="s">
        <v>46</v>
      </c>
      <c r="I52" s="2997" t="s">
        <v>46</v>
      </c>
      <c r="J52" s="2996" t="s">
        <v>46</v>
      </c>
      <c r="K52" s="2996"/>
      <c r="L52" s="2996"/>
      <c r="M52" s="2996">
        <v>1</v>
      </c>
      <c r="N52" s="3107">
        <v>1</v>
      </c>
      <c r="O52" s="2996">
        <v>1</v>
      </c>
      <c r="P52" s="2996">
        <v>1</v>
      </c>
      <c r="Q52" s="2996">
        <v>1</v>
      </c>
      <c r="R52" s="2996"/>
      <c r="S52" s="2996"/>
      <c r="T52" s="2996">
        <v>9</v>
      </c>
      <c r="U52" s="2998">
        <v>9</v>
      </c>
      <c r="V52" s="2998">
        <v>9</v>
      </c>
      <c r="W52" s="3001">
        <v>9</v>
      </c>
      <c r="X52" s="3016">
        <v>9</v>
      </c>
      <c r="Y52" s="3001" t="s">
        <v>52</v>
      </c>
      <c r="Z52" s="3001" t="s">
        <v>53</v>
      </c>
      <c r="AA52" s="3001" t="s">
        <v>46</v>
      </c>
      <c r="AB52" s="3001" t="s">
        <v>46</v>
      </c>
      <c r="AC52" s="3001" t="s">
        <v>46</v>
      </c>
      <c r="AD52" s="3107" t="s">
        <v>46</v>
      </c>
      <c r="AE52" s="3107" t="s">
        <v>46</v>
      </c>
      <c r="AF52" s="3108" t="s">
        <v>91</v>
      </c>
      <c r="AG52" s="3109" t="s">
        <v>91</v>
      </c>
      <c r="AH52" s="111"/>
    </row>
    <row r="53" spans="1:34" ht="18" customHeight="1" thickBot="1">
      <c r="A53" s="3093">
        <v>14</v>
      </c>
      <c r="B53" s="3002" t="s">
        <v>102</v>
      </c>
      <c r="C53" s="3006">
        <v>6</v>
      </c>
      <c r="D53" s="3006"/>
      <c r="E53" s="3006"/>
      <c r="F53" s="3006" t="s">
        <v>46</v>
      </c>
      <c r="G53" s="3006" t="s">
        <v>46</v>
      </c>
      <c r="H53" s="3006" t="s">
        <v>46</v>
      </c>
      <c r="I53" s="3006" t="s">
        <v>46</v>
      </c>
      <c r="J53" s="3006" t="s">
        <v>46</v>
      </c>
      <c r="K53" s="3006"/>
      <c r="L53" s="3006"/>
      <c r="M53" s="3006">
        <v>5</v>
      </c>
      <c r="N53" s="3006">
        <v>5</v>
      </c>
      <c r="O53" s="3006">
        <v>5</v>
      </c>
      <c r="P53" s="3006">
        <v>5</v>
      </c>
      <c r="Q53" s="3006">
        <v>5</v>
      </c>
      <c r="R53" s="3006"/>
      <c r="S53" s="3006"/>
      <c r="T53" s="3054">
        <v>10</v>
      </c>
      <c r="U53" s="3054">
        <v>10</v>
      </c>
      <c r="V53" s="3054">
        <v>10</v>
      </c>
      <c r="W53" s="3054">
        <v>10</v>
      </c>
      <c r="X53" s="3003">
        <v>10</v>
      </c>
      <c r="Y53" s="3053" t="s">
        <v>53</v>
      </c>
      <c r="Z53" s="3054" t="s">
        <v>53</v>
      </c>
      <c r="AA53" s="3054" t="s">
        <v>46</v>
      </c>
      <c r="AB53" s="3054"/>
      <c r="AC53" s="3054" t="s">
        <v>46</v>
      </c>
      <c r="AD53" s="3054" t="s">
        <v>46</v>
      </c>
      <c r="AE53" s="3053" t="s">
        <v>46</v>
      </c>
      <c r="AF53" s="3054" t="s">
        <v>86</v>
      </c>
      <c r="AG53" s="3111" t="s">
        <v>86</v>
      </c>
      <c r="AH53" s="120" t="s">
        <v>133</v>
      </c>
    </row>
    <row r="54" spans="1:34" ht="18" customHeight="1">
      <c r="A54" s="3087">
        <v>5</v>
      </c>
      <c r="B54" s="2992" t="s">
        <v>103</v>
      </c>
      <c r="C54" s="3089">
        <v>4</v>
      </c>
      <c r="D54" s="2989"/>
      <c r="E54" s="2989"/>
      <c r="F54" s="2989">
        <v>3</v>
      </c>
      <c r="G54" s="2989">
        <v>3</v>
      </c>
      <c r="H54" s="2989">
        <v>3</v>
      </c>
      <c r="I54" s="2989">
        <v>3</v>
      </c>
      <c r="J54" s="2989">
        <v>3</v>
      </c>
      <c r="K54" s="3088"/>
      <c r="L54" s="3088"/>
      <c r="M54" s="3088">
        <v>11</v>
      </c>
      <c r="N54" s="3112">
        <v>11</v>
      </c>
      <c r="O54" s="3089">
        <v>11</v>
      </c>
      <c r="P54" s="3088">
        <v>11</v>
      </c>
      <c r="Q54" s="3088">
        <v>11</v>
      </c>
      <c r="R54" s="3089" t="s">
        <v>53</v>
      </c>
      <c r="S54" s="3088" t="s">
        <v>53</v>
      </c>
      <c r="T54" s="3088" t="s">
        <v>46</v>
      </c>
      <c r="U54" s="3090" t="s">
        <v>46</v>
      </c>
      <c r="V54" s="3090" t="s">
        <v>46</v>
      </c>
      <c r="W54" s="3090" t="s">
        <v>46</v>
      </c>
      <c r="X54" s="3090" t="s">
        <v>46</v>
      </c>
      <c r="Y54" s="3112" t="s">
        <v>89</v>
      </c>
      <c r="Z54" s="3090" t="s">
        <v>89</v>
      </c>
      <c r="AA54" s="3090">
        <v>8</v>
      </c>
      <c r="AB54" s="3090">
        <v>8</v>
      </c>
      <c r="AC54" s="3090">
        <v>8</v>
      </c>
      <c r="AD54" s="3088">
        <v>8</v>
      </c>
      <c r="AE54" s="3088">
        <v>8</v>
      </c>
      <c r="AF54" s="3089"/>
      <c r="AG54" s="3113"/>
      <c r="AH54" s="111"/>
    </row>
    <row r="55" spans="1:34" ht="18" customHeight="1">
      <c r="A55" s="3091">
        <v>10</v>
      </c>
      <c r="B55" s="2992" t="s">
        <v>105</v>
      </c>
      <c r="C55" s="3107" t="s">
        <v>46</v>
      </c>
      <c r="D55" s="3107"/>
      <c r="E55" s="3107"/>
      <c r="F55" s="3107">
        <v>1</v>
      </c>
      <c r="G55" s="3107">
        <v>1</v>
      </c>
      <c r="H55" s="3107">
        <v>1</v>
      </c>
      <c r="I55" s="2997">
        <v>1</v>
      </c>
      <c r="J55" s="2997">
        <v>1</v>
      </c>
      <c r="K55" s="2997"/>
      <c r="L55" s="2997"/>
      <c r="M55" s="2997">
        <v>9</v>
      </c>
      <c r="N55" s="2997">
        <v>9</v>
      </c>
      <c r="O55" s="3107">
        <v>9</v>
      </c>
      <c r="P55" s="3107">
        <v>9</v>
      </c>
      <c r="Q55" s="3107">
        <v>9</v>
      </c>
      <c r="R55" s="3107" t="s">
        <v>52</v>
      </c>
      <c r="S55" s="3107" t="s">
        <v>52</v>
      </c>
      <c r="T55" s="2997" t="s">
        <v>46</v>
      </c>
      <c r="U55" s="2997" t="s">
        <v>46</v>
      </c>
      <c r="V55" s="2996" t="s">
        <v>46</v>
      </c>
      <c r="W55" s="2996" t="s">
        <v>46</v>
      </c>
      <c r="X55" s="2996" t="s">
        <v>46</v>
      </c>
      <c r="Y55" s="2996" t="s">
        <v>91</v>
      </c>
      <c r="Z55" s="2996" t="s">
        <v>89</v>
      </c>
      <c r="AA55" s="2996">
        <v>6</v>
      </c>
      <c r="AB55" s="2996">
        <v>6</v>
      </c>
      <c r="AC55" s="3001">
        <v>6</v>
      </c>
      <c r="AD55" s="3001">
        <v>6</v>
      </c>
      <c r="AE55" s="3001">
        <v>6</v>
      </c>
      <c r="AF55" s="3114"/>
      <c r="AG55" s="3001"/>
    </row>
    <row r="56" spans="1:34" ht="18" customHeight="1" thickBot="1">
      <c r="A56" s="3093">
        <v>15</v>
      </c>
      <c r="B56" s="3002" t="s">
        <v>106</v>
      </c>
      <c r="C56" s="3054" t="s">
        <v>46</v>
      </c>
      <c r="D56" s="3054"/>
      <c r="E56" s="3054"/>
      <c r="F56" s="3110">
        <v>5</v>
      </c>
      <c r="G56" s="3110">
        <v>5</v>
      </c>
      <c r="H56" s="3110">
        <v>5</v>
      </c>
      <c r="I56" s="3110">
        <v>5</v>
      </c>
      <c r="J56" s="3110">
        <v>5</v>
      </c>
      <c r="K56" s="3053"/>
      <c r="L56" s="3054"/>
      <c r="M56" s="3054">
        <v>10</v>
      </c>
      <c r="N56" s="3054">
        <v>10</v>
      </c>
      <c r="O56" s="3003">
        <v>10</v>
      </c>
      <c r="P56" s="3052">
        <v>10</v>
      </c>
      <c r="Q56" s="3115">
        <v>10</v>
      </c>
      <c r="R56" s="3052" t="s">
        <v>53</v>
      </c>
      <c r="S56" s="3115" t="s">
        <v>53</v>
      </c>
      <c r="T56" s="3003" t="s">
        <v>46</v>
      </c>
      <c r="U56" s="3003" t="s">
        <v>46</v>
      </c>
      <c r="V56" s="3054" t="s">
        <v>46</v>
      </c>
      <c r="W56" s="3054" t="s">
        <v>46</v>
      </c>
      <c r="X56" s="3054" t="s">
        <v>46</v>
      </c>
      <c r="Y56" s="3052" t="s">
        <v>86</v>
      </c>
      <c r="Z56" s="3116" t="s">
        <v>86</v>
      </c>
      <c r="AA56" s="3052">
        <v>7</v>
      </c>
      <c r="AB56" s="3052">
        <v>7</v>
      </c>
      <c r="AC56" s="3052">
        <v>7</v>
      </c>
      <c r="AD56" s="3052">
        <v>7</v>
      </c>
      <c r="AE56" s="3117">
        <v>7</v>
      </c>
      <c r="AF56" s="3118"/>
      <c r="AG56" s="3119"/>
    </row>
    <row r="57" spans="1:34" ht="18" customHeight="1">
      <c r="A57" s="61"/>
      <c r="AF57" s="111"/>
    </row>
    <row r="58" spans="1:34" ht="18" customHeight="1">
      <c r="A58" s="67"/>
      <c r="B58" s="42"/>
      <c r="D58" s="64"/>
      <c r="E58" s="64"/>
      <c r="F58" s="64"/>
      <c r="G58" s="64"/>
      <c r="H58" s="64"/>
      <c r="I58" s="64"/>
      <c r="J58" s="64"/>
      <c r="K58" s="64"/>
      <c r="L58" s="64"/>
      <c r="M58" s="64"/>
      <c r="N58" s="64"/>
      <c r="O58" s="64"/>
      <c r="P58" s="64"/>
      <c r="Q58" s="64"/>
      <c r="R58" s="64"/>
      <c r="S58" s="64"/>
      <c r="T58" s="64"/>
      <c r="U58" s="64"/>
      <c r="V58" s="64"/>
      <c r="W58" s="64"/>
      <c r="X58" s="64"/>
      <c r="Y58" s="64"/>
      <c r="Z58" s="64"/>
      <c r="AA58" s="64"/>
      <c r="AB58" s="64"/>
      <c r="AC58" s="64"/>
      <c r="AD58" s="64"/>
      <c r="AE58" s="64"/>
      <c r="AF58" s="64"/>
    </row>
    <row r="59" spans="1:34" s="111" customFormat="1" ht="18" customHeight="1">
      <c r="A59" s="3120"/>
      <c r="B59" s="3027"/>
      <c r="C59" s="3120" t="s">
        <v>19</v>
      </c>
      <c r="D59" s="3027"/>
      <c r="E59" s="3027"/>
      <c r="F59" s="3120" t="s">
        <v>20</v>
      </c>
      <c r="G59" s="3027"/>
      <c r="H59" s="3027"/>
      <c r="I59" s="3120" t="s">
        <v>21</v>
      </c>
      <c r="J59" s="3027"/>
      <c r="K59" s="3027"/>
      <c r="L59" s="3120" t="s">
        <v>22</v>
      </c>
      <c r="M59" s="3027"/>
      <c r="N59" s="3027"/>
      <c r="O59" s="3120" t="s">
        <v>23</v>
      </c>
      <c r="P59" s="3027"/>
      <c r="Q59" s="3027"/>
      <c r="R59" s="3120" t="s">
        <v>24</v>
      </c>
      <c r="S59" s="3027"/>
      <c r="T59" s="3027"/>
      <c r="U59" s="3120" t="s">
        <v>25</v>
      </c>
      <c r="V59" s="3027"/>
      <c r="W59" s="3121" t="s">
        <v>108</v>
      </c>
      <c r="X59" s="3027"/>
      <c r="Y59" s="3027"/>
      <c r="Z59" s="3027"/>
      <c r="AA59" s="3027"/>
      <c r="AB59" s="3027"/>
      <c r="AC59" s="3027"/>
      <c r="AD59" s="3027"/>
      <c r="AE59" s="3027"/>
      <c r="AF59" s="3027"/>
      <c r="AG59" s="286"/>
    </row>
    <row r="60" spans="1:34" s="111" customFormat="1" ht="18" customHeight="1" thickBot="1">
      <c r="A60" s="3122" t="s">
        <v>109</v>
      </c>
      <c r="B60" s="3123" t="s">
        <v>110</v>
      </c>
      <c r="C60" s="3123"/>
      <c r="D60" s="3123"/>
      <c r="E60" s="3123" t="s">
        <v>110</v>
      </c>
      <c r="F60" s="3123"/>
      <c r="G60" s="3123"/>
      <c r="H60" s="3123" t="s">
        <v>110</v>
      </c>
      <c r="I60" s="3123"/>
      <c r="J60" s="3123"/>
      <c r="K60" s="3123" t="s">
        <v>110</v>
      </c>
      <c r="L60" s="3123"/>
      <c r="M60" s="3123"/>
      <c r="N60" s="3123" t="s">
        <v>111</v>
      </c>
      <c r="O60" s="3123"/>
      <c r="P60" s="3123"/>
      <c r="Q60" s="3121" t="s">
        <v>0</v>
      </c>
      <c r="R60" s="3123"/>
      <c r="S60" s="3123"/>
      <c r="T60" s="3123" t="s">
        <v>0</v>
      </c>
      <c r="U60" s="3123"/>
      <c r="V60" s="3123"/>
      <c r="W60" s="3123" t="s">
        <v>0</v>
      </c>
      <c r="X60" s="3027"/>
      <c r="Y60" s="3027"/>
      <c r="Z60" s="3027"/>
      <c r="AA60" s="3027"/>
      <c r="AB60" s="3027"/>
      <c r="AC60" s="3027"/>
      <c r="AD60" s="3027"/>
      <c r="AE60" s="3027"/>
      <c r="AF60" s="3027"/>
      <c r="AG60" s="287"/>
      <c r="AH60" s="131"/>
    </row>
    <row r="61" spans="1:34" s="111" customFormat="1" ht="18" customHeight="1" thickBot="1">
      <c r="A61" s="1563"/>
      <c r="B61" s="1517" t="s">
        <v>455</v>
      </c>
      <c r="C61" s="2985">
        <v>1</v>
      </c>
      <c r="D61" s="2986">
        <v>2</v>
      </c>
      <c r="E61" s="2986">
        <v>3</v>
      </c>
      <c r="F61" s="2985">
        <v>4</v>
      </c>
      <c r="G61" s="2985">
        <v>5</v>
      </c>
      <c r="H61" s="2985">
        <v>6</v>
      </c>
      <c r="I61" s="2985">
        <v>7</v>
      </c>
      <c r="J61" s="2985">
        <v>8</v>
      </c>
      <c r="K61" s="2986">
        <v>9</v>
      </c>
      <c r="L61" s="2986">
        <v>10</v>
      </c>
      <c r="M61" s="2985">
        <v>11</v>
      </c>
      <c r="N61" s="2985">
        <v>12</v>
      </c>
      <c r="O61" s="2985">
        <v>13</v>
      </c>
      <c r="P61" s="2985">
        <v>14</v>
      </c>
      <c r="Q61" s="2985">
        <v>15</v>
      </c>
      <c r="R61" s="2986">
        <v>16</v>
      </c>
      <c r="S61" s="2986">
        <v>17</v>
      </c>
      <c r="T61" s="2985">
        <v>18</v>
      </c>
      <c r="U61" s="2985">
        <v>19</v>
      </c>
      <c r="V61" s="2985">
        <v>20</v>
      </c>
      <c r="W61" s="2985">
        <v>21</v>
      </c>
      <c r="X61" s="2985">
        <v>22</v>
      </c>
      <c r="Y61" s="2986">
        <v>23</v>
      </c>
      <c r="Z61" s="2986">
        <v>24</v>
      </c>
      <c r="AA61" s="2985">
        <v>25</v>
      </c>
      <c r="AB61" s="2985">
        <v>26</v>
      </c>
      <c r="AC61" s="2985">
        <v>27</v>
      </c>
      <c r="AD61" s="2985">
        <v>28</v>
      </c>
      <c r="AE61" s="2985">
        <v>29</v>
      </c>
      <c r="AF61" s="2986">
        <v>30</v>
      </c>
      <c r="AG61" s="2986">
        <v>31</v>
      </c>
      <c r="AH61"/>
    </row>
    <row r="62" spans="1:34" ht="18" customHeight="1">
      <c r="A62" s="3124"/>
      <c r="B62" s="3125" t="s">
        <v>112</v>
      </c>
      <c r="C62" s="3126">
        <v>69</v>
      </c>
      <c r="D62" s="3016"/>
      <c r="E62" s="3016"/>
      <c r="F62" s="3127" t="s">
        <v>127</v>
      </c>
      <c r="G62" s="3016" t="s">
        <v>46</v>
      </c>
      <c r="H62" s="2996" t="s">
        <v>127</v>
      </c>
      <c r="I62" s="2996" t="s">
        <v>127</v>
      </c>
      <c r="J62" s="2996" t="s">
        <v>127</v>
      </c>
      <c r="K62" s="3016"/>
      <c r="L62" s="3016"/>
      <c r="M62" s="2996" t="s">
        <v>127</v>
      </c>
      <c r="N62" s="2996" t="s">
        <v>46</v>
      </c>
      <c r="O62" s="2996" t="s">
        <v>127</v>
      </c>
      <c r="P62" s="2996" t="s">
        <v>40</v>
      </c>
      <c r="Q62" s="3016" t="s">
        <v>104</v>
      </c>
      <c r="R62" s="3016" t="s">
        <v>47</v>
      </c>
      <c r="S62" s="3016" t="s">
        <v>47</v>
      </c>
      <c r="T62" s="2996" t="s">
        <v>46</v>
      </c>
      <c r="U62" s="3127" t="s">
        <v>40</v>
      </c>
      <c r="V62" s="2996" t="s">
        <v>40</v>
      </c>
      <c r="W62" s="2996" t="s">
        <v>40</v>
      </c>
      <c r="X62" s="2996" t="s">
        <v>40</v>
      </c>
      <c r="Y62" s="3016"/>
      <c r="Z62" s="3128"/>
      <c r="AA62" s="3129" t="s">
        <v>40</v>
      </c>
      <c r="AB62" s="2996" t="s">
        <v>40</v>
      </c>
      <c r="AC62" s="2996" t="s">
        <v>40</v>
      </c>
      <c r="AD62" s="2996" t="s">
        <v>40</v>
      </c>
      <c r="AE62" s="3102" t="s">
        <v>40</v>
      </c>
      <c r="AF62" s="3020"/>
      <c r="AG62" s="3020"/>
    </row>
    <row r="63" spans="1:34" ht="18" customHeight="1" thickBot="1">
      <c r="A63" s="3124"/>
      <c r="B63" s="3130" t="s">
        <v>114</v>
      </c>
      <c r="C63">
        <v>10</v>
      </c>
      <c r="D63" s="3016"/>
      <c r="E63" s="3016"/>
      <c r="F63" s="3131">
        <v>89</v>
      </c>
      <c r="G63" s="3131">
        <v>89</v>
      </c>
      <c r="H63" s="3131">
        <v>89</v>
      </c>
      <c r="I63" s="3131">
        <v>89</v>
      </c>
      <c r="J63" s="3131">
        <v>89</v>
      </c>
      <c r="K63" s="3131"/>
      <c r="L63" s="3131"/>
      <c r="M63" s="3131" t="s">
        <v>40</v>
      </c>
      <c r="N63" s="3132" t="s">
        <v>40</v>
      </c>
      <c r="O63" s="3131" t="s">
        <v>40</v>
      </c>
      <c r="P63" s="3132" t="s">
        <v>40</v>
      </c>
      <c r="Q63" s="3131" t="s">
        <v>46</v>
      </c>
      <c r="R63" s="2996" t="s">
        <v>418</v>
      </c>
      <c r="S63" s="2996" t="s">
        <v>412</v>
      </c>
      <c r="T63" s="3133" t="s">
        <v>123</v>
      </c>
      <c r="U63" s="3132" t="s">
        <v>40</v>
      </c>
      <c r="V63" s="3016" t="s">
        <v>46</v>
      </c>
      <c r="W63" s="3132" t="s">
        <v>40</v>
      </c>
      <c r="X63" s="2994" t="s">
        <v>40</v>
      </c>
      <c r="Y63" s="2996"/>
      <c r="Z63" s="3016"/>
      <c r="AA63" s="2996" t="s">
        <v>116</v>
      </c>
      <c r="AB63" s="3132" t="s">
        <v>40</v>
      </c>
      <c r="AC63" s="3023" t="s">
        <v>40</v>
      </c>
      <c r="AD63" s="3132" t="s">
        <v>40</v>
      </c>
      <c r="AE63" s="3134" t="s">
        <v>40</v>
      </c>
      <c r="AF63" s="3027" t="s">
        <v>104</v>
      </c>
      <c r="AG63" s="3027" t="s">
        <v>104</v>
      </c>
    </row>
    <row r="64" spans="1:34" ht="18" customHeight="1">
      <c r="A64" s="3135"/>
      <c r="B64" s="3130" t="s">
        <v>115</v>
      </c>
      <c r="C64" s="2996" t="s">
        <v>130</v>
      </c>
      <c r="D64" s="2996" t="s">
        <v>104</v>
      </c>
      <c r="E64" s="2996" t="s">
        <v>104</v>
      </c>
      <c r="F64" s="2993" t="s">
        <v>40</v>
      </c>
      <c r="G64" s="2993" t="s">
        <v>40</v>
      </c>
      <c r="H64" s="3016" t="s">
        <v>46</v>
      </c>
      <c r="I64" s="240" t="s">
        <v>118</v>
      </c>
      <c r="J64" s="240" t="s">
        <v>118</v>
      </c>
      <c r="K64" s="240" t="s">
        <v>118</v>
      </c>
      <c r="L64" s="240" t="s">
        <v>118</v>
      </c>
      <c r="M64" s="3136" t="s">
        <v>46</v>
      </c>
      <c r="N64" s="3136" t="s">
        <v>46</v>
      </c>
      <c r="O64" s="3136" t="s">
        <v>46</v>
      </c>
      <c r="P64" s="3016" t="s">
        <v>127</v>
      </c>
      <c r="Q64" s="2996" t="s">
        <v>127</v>
      </c>
      <c r="R64" s="2996"/>
      <c r="S64" s="2996"/>
      <c r="T64" s="2996" t="s">
        <v>128</v>
      </c>
      <c r="U64" s="2996" t="s">
        <v>123</v>
      </c>
      <c r="V64" s="508">
        <v>3</v>
      </c>
      <c r="W64" s="508">
        <v>3</v>
      </c>
      <c r="X64" s="501">
        <v>3</v>
      </c>
      <c r="Y64" s="2996" t="s">
        <v>86</v>
      </c>
      <c r="Z64" s="2996" t="s">
        <v>86</v>
      </c>
      <c r="AA64" s="2996" t="s">
        <v>46</v>
      </c>
      <c r="AB64" s="2996" t="s">
        <v>46</v>
      </c>
      <c r="AC64" s="3016" t="s">
        <v>46</v>
      </c>
      <c r="AD64" s="3016" t="s">
        <v>46</v>
      </c>
      <c r="AE64" s="3137">
        <v>8</v>
      </c>
      <c r="AF64" s="581" t="s">
        <v>104</v>
      </c>
      <c r="AG64" s="581" t="s">
        <v>104</v>
      </c>
    </row>
    <row r="65" spans="1:33" ht="18" customHeight="1">
      <c r="A65" s="3138"/>
      <c r="B65" s="3130" t="s">
        <v>117</v>
      </c>
      <c r="C65" s="3139" t="s">
        <v>127</v>
      </c>
      <c r="D65" s="3139"/>
      <c r="E65" s="3139"/>
      <c r="F65" s="3140" t="s">
        <v>40</v>
      </c>
      <c r="G65" s="3140" t="s">
        <v>40</v>
      </c>
      <c r="H65" s="3140" t="s">
        <v>40</v>
      </c>
      <c r="I65" s="3140" t="s">
        <v>40</v>
      </c>
      <c r="J65" s="3140" t="s">
        <v>40</v>
      </c>
      <c r="K65" s="3140"/>
      <c r="L65" s="3140"/>
      <c r="M65" s="3140" t="s">
        <v>40</v>
      </c>
      <c r="N65" s="3140" t="s">
        <v>40</v>
      </c>
      <c r="O65" s="3140" t="s">
        <v>40</v>
      </c>
      <c r="P65" s="3140" t="s">
        <v>40</v>
      </c>
      <c r="Q65" s="3140" t="s">
        <v>40</v>
      </c>
      <c r="R65" s="2993"/>
      <c r="S65" s="2993"/>
      <c r="T65" s="2993" t="s">
        <v>40</v>
      </c>
      <c r="U65" s="2993" t="s">
        <v>40</v>
      </c>
      <c r="V65" s="2993" t="s">
        <v>40</v>
      </c>
      <c r="W65" s="2993" t="s">
        <v>40</v>
      </c>
      <c r="X65" s="2993" t="s">
        <v>40</v>
      </c>
      <c r="Y65" s="2993"/>
      <c r="Z65" s="2993"/>
      <c r="AA65" s="3131" t="s">
        <v>121</v>
      </c>
      <c r="AB65" s="3131" t="s">
        <v>121</v>
      </c>
      <c r="AC65" s="3131" t="s">
        <v>121</v>
      </c>
      <c r="AD65" s="3131" t="s">
        <v>121</v>
      </c>
      <c r="AE65" s="3131" t="s">
        <v>121</v>
      </c>
      <c r="AF65" s="3131" t="s">
        <v>120</v>
      </c>
      <c r="AG65" s="3131" t="s">
        <v>120</v>
      </c>
    </row>
    <row r="66" spans="1:33" ht="18" customHeight="1">
      <c r="A66" s="3141"/>
      <c r="B66" s="3142" t="s">
        <v>119</v>
      </c>
      <c r="C66" s="3143">
        <v>6</v>
      </c>
      <c r="D66" s="3027"/>
      <c r="E66" s="3143"/>
      <c r="F66" s="3047" t="s">
        <v>40</v>
      </c>
      <c r="G66" s="3143" t="s">
        <v>127</v>
      </c>
      <c r="H66" s="3143" t="s">
        <v>40</v>
      </c>
      <c r="I66" s="3143" t="s">
        <v>46</v>
      </c>
      <c r="J66" s="3143" t="s">
        <v>46</v>
      </c>
      <c r="K66" s="3143" t="s">
        <v>418</v>
      </c>
      <c r="L66" s="3143" t="s">
        <v>412</v>
      </c>
      <c r="M66" s="3143">
        <v>5</v>
      </c>
      <c r="N66" s="3143">
        <v>5</v>
      </c>
      <c r="O66" s="3143">
        <v>5</v>
      </c>
      <c r="P66" s="3143">
        <v>5</v>
      </c>
      <c r="Q66" s="3143">
        <v>5</v>
      </c>
      <c r="R66" s="3133"/>
      <c r="S66" s="3016"/>
      <c r="T66" s="599">
        <v>11</v>
      </c>
      <c r="U66" s="599">
        <v>11</v>
      </c>
      <c r="V66" s="599">
        <v>11</v>
      </c>
      <c r="W66" s="599">
        <v>11</v>
      </c>
      <c r="X66" s="599">
        <v>11</v>
      </c>
      <c r="Y66" s="599" t="s">
        <v>87</v>
      </c>
      <c r="Z66" s="599" t="s">
        <v>87</v>
      </c>
      <c r="AA66" s="600" t="s">
        <v>46</v>
      </c>
      <c r="AB66" s="599" t="s">
        <v>46</v>
      </c>
      <c r="AC66" s="601" t="s">
        <v>40</v>
      </c>
      <c r="AD66" s="601" t="s">
        <v>40</v>
      </c>
      <c r="AE66" s="601" t="s">
        <v>40</v>
      </c>
      <c r="AF66" s="599" t="s">
        <v>89</v>
      </c>
      <c r="AG66" s="599" t="s">
        <v>89</v>
      </c>
    </row>
    <row r="67" spans="1:33" ht="18" customHeight="1">
      <c r="A67" s="3027"/>
      <c r="B67" s="3144" t="s">
        <v>296</v>
      </c>
      <c r="C67" s="602" t="s">
        <v>116</v>
      </c>
      <c r="D67" s="602"/>
      <c r="E67" s="602"/>
      <c r="F67" s="602" t="s">
        <v>116</v>
      </c>
      <c r="G67" s="602" t="s">
        <v>116</v>
      </c>
      <c r="H67" s="602" t="s">
        <v>116</v>
      </c>
      <c r="I67" s="602" t="s">
        <v>116</v>
      </c>
      <c r="J67" s="602" t="s">
        <v>116</v>
      </c>
      <c r="K67" s="602"/>
      <c r="L67" s="602"/>
      <c r="M67" s="602" t="s">
        <v>116</v>
      </c>
      <c r="N67" s="602" t="s">
        <v>116</v>
      </c>
      <c r="O67" s="602" t="s">
        <v>116</v>
      </c>
      <c r="P67" s="602" t="s">
        <v>116</v>
      </c>
      <c r="Q67" s="603" t="s">
        <v>116</v>
      </c>
      <c r="R67" s="3098"/>
      <c r="S67" s="3098"/>
      <c r="T67" s="3098" t="s">
        <v>116</v>
      </c>
      <c r="U67" s="3098" t="s">
        <v>116</v>
      </c>
      <c r="V67" s="3098" t="s">
        <v>116</v>
      </c>
      <c r="W67" s="3098" t="s">
        <v>116</v>
      </c>
      <c r="X67" s="3098" t="s">
        <v>116</v>
      </c>
      <c r="Y67" s="3098"/>
      <c r="Z67" s="3098"/>
      <c r="AA67" s="3098" t="s">
        <v>116</v>
      </c>
      <c r="AB67" s="3098" t="s">
        <v>301</v>
      </c>
      <c r="AC67" s="3145" t="s">
        <v>116</v>
      </c>
      <c r="AD67" s="3145" t="s">
        <v>116</v>
      </c>
      <c r="AE67" s="3145" t="s">
        <v>116</v>
      </c>
      <c r="AF67" s="3145"/>
      <c r="AG67" s="3145"/>
    </row>
    <row r="68" spans="1:33" ht="18" customHeight="1">
      <c r="A68" s="3027"/>
      <c r="B68" s="3124" t="s">
        <v>416</v>
      </c>
      <c r="C68" s="604" t="s">
        <v>139</v>
      </c>
      <c r="D68" s="4" t="s">
        <v>46</v>
      </c>
      <c r="E68" s="604" t="s">
        <v>46</v>
      </c>
      <c r="F68" s="604" t="s">
        <v>46</v>
      </c>
      <c r="G68" s="604" t="s">
        <v>46</v>
      </c>
      <c r="H68" s="604" t="s">
        <v>46</v>
      </c>
      <c r="I68" s="604" t="s">
        <v>46</v>
      </c>
      <c r="J68" s="604" t="s">
        <v>46</v>
      </c>
      <c r="K68" s="604" t="s">
        <v>139</v>
      </c>
      <c r="L68" s="604" t="s">
        <v>139</v>
      </c>
      <c r="M68" s="604" t="s">
        <v>139</v>
      </c>
      <c r="N68" s="604" t="s">
        <v>139</v>
      </c>
      <c r="O68" s="604" t="s">
        <v>139</v>
      </c>
      <c r="P68" s="604" t="s">
        <v>139</v>
      </c>
      <c r="Q68" s="604" t="s">
        <v>46</v>
      </c>
      <c r="R68" s="604" t="s">
        <v>46</v>
      </c>
      <c r="S68" s="604" t="s">
        <v>46</v>
      </c>
      <c r="T68" s="3143" t="s">
        <v>139</v>
      </c>
      <c r="U68" s="3143" t="s">
        <v>139</v>
      </c>
      <c r="V68" s="3143" t="s">
        <v>139</v>
      </c>
      <c r="W68" s="111" t="s">
        <v>113</v>
      </c>
      <c r="X68" s="111" t="s">
        <v>113</v>
      </c>
      <c r="Y68" s="3143" t="s">
        <v>46</v>
      </c>
      <c r="Z68" s="3143" t="s">
        <v>46</v>
      </c>
      <c r="AA68" s="3143" t="s">
        <v>456</v>
      </c>
      <c r="AB68" s="3143" t="s">
        <v>46</v>
      </c>
      <c r="AC68" s="3143" t="s">
        <v>139</v>
      </c>
      <c r="AD68" s="3143" t="s">
        <v>139</v>
      </c>
      <c r="AE68" s="3145" t="s">
        <v>139</v>
      </c>
      <c r="AF68" s="3145" t="s">
        <v>139</v>
      </c>
      <c r="AG68" s="3145" t="s">
        <v>139</v>
      </c>
    </row>
    <row r="69" spans="1:33" ht="18" customHeight="1">
      <c r="A69" s="3141"/>
      <c r="B69" s="3130" t="s">
        <v>122</v>
      </c>
      <c r="C69" s="2996">
        <v>79</v>
      </c>
      <c r="D69" s="3042" t="s">
        <v>53</v>
      </c>
      <c r="E69" s="3146" t="s">
        <v>53</v>
      </c>
      <c r="F69" s="3147" t="s">
        <v>46</v>
      </c>
      <c r="G69" s="3147" t="s">
        <v>46</v>
      </c>
      <c r="H69" s="3147" t="s">
        <v>46</v>
      </c>
      <c r="I69" s="3147" t="s">
        <v>46</v>
      </c>
      <c r="J69" s="3147" t="s">
        <v>46</v>
      </c>
      <c r="K69" s="3146" t="s">
        <v>86</v>
      </c>
      <c r="L69" s="3148" t="s">
        <v>86</v>
      </c>
      <c r="M69" s="2997">
        <v>7</v>
      </c>
      <c r="N69" s="2997">
        <v>7</v>
      </c>
      <c r="O69" s="2997">
        <v>7</v>
      </c>
      <c r="P69" s="2994">
        <v>7</v>
      </c>
      <c r="Q69" s="2997">
        <v>7</v>
      </c>
      <c r="R69" s="3001"/>
      <c r="S69" s="2997"/>
      <c r="T69" s="2997">
        <v>26</v>
      </c>
      <c r="U69" s="2994">
        <v>26</v>
      </c>
      <c r="V69" s="2997">
        <v>26</v>
      </c>
      <c r="W69" s="2997">
        <v>26</v>
      </c>
      <c r="X69" s="2968" t="s">
        <v>46</v>
      </c>
      <c r="Y69" s="2997" t="s">
        <v>418</v>
      </c>
      <c r="Z69" s="2997" t="s">
        <v>412</v>
      </c>
      <c r="AA69" s="3140" t="s">
        <v>40</v>
      </c>
      <c r="AB69" s="3140" t="s">
        <v>40</v>
      </c>
      <c r="AC69" s="3140" t="s">
        <v>40</v>
      </c>
      <c r="AD69" s="3140" t="s">
        <v>40</v>
      </c>
      <c r="AE69" s="3140" t="s">
        <v>40</v>
      </c>
      <c r="AF69" s="3140"/>
      <c r="AG69" s="3140"/>
    </row>
    <row r="70" spans="1:33" ht="18" customHeight="1">
      <c r="A70" s="3141"/>
      <c r="B70" s="3130" t="s">
        <v>129</v>
      </c>
      <c r="C70" s="3140" t="s">
        <v>40</v>
      </c>
      <c r="D70" s="3140"/>
      <c r="E70" s="246"/>
      <c r="F70" s="246" t="s">
        <v>40</v>
      </c>
      <c r="G70" s="246" t="s">
        <v>40</v>
      </c>
      <c r="H70" s="246" t="s">
        <v>40</v>
      </c>
      <c r="I70" s="246" t="s">
        <v>40</v>
      </c>
      <c r="J70" s="246" t="s">
        <v>40</v>
      </c>
      <c r="K70" s="246"/>
      <c r="L70" s="3140"/>
      <c r="M70" s="3143">
        <v>79</v>
      </c>
      <c r="N70" s="3131" t="s">
        <v>127</v>
      </c>
      <c r="O70" s="2968" t="s">
        <v>123</v>
      </c>
      <c r="P70" s="3131" t="s">
        <v>123</v>
      </c>
      <c r="Q70" s="2968" t="s">
        <v>116</v>
      </c>
      <c r="S70" s="3114"/>
      <c r="T70" s="3001" t="s">
        <v>116</v>
      </c>
      <c r="U70" s="3149" t="s">
        <v>116</v>
      </c>
      <c r="V70" s="3149" t="s">
        <v>116</v>
      </c>
      <c r="W70" s="3149" t="s">
        <v>116</v>
      </c>
      <c r="X70" s="3149" t="s">
        <v>116</v>
      </c>
      <c r="Y70" s="3149"/>
      <c r="Z70" s="3150"/>
      <c r="AA70" s="3145" t="s">
        <v>116</v>
      </c>
      <c r="AB70" s="3047" t="s">
        <v>116</v>
      </c>
      <c r="AC70" s="3151" t="s">
        <v>116</v>
      </c>
      <c r="AD70" s="3151" t="s">
        <v>116</v>
      </c>
      <c r="AE70" s="3152" t="s">
        <v>116</v>
      </c>
      <c r="AF70" s="3098"/>
      <c r="AG70" s="3098" t="s">
        <v>376</v>
      </c>
    </row>
    <row r="71" spans="1:33" ht="18" customHeight="1">
      <c r="A71" s="3153"/>
      <c r="B71" s="3154" t="s">
        <v>134</v>
      </c>
      <c r="C71" s="3155">
        <v>11</v>
      </c>
      <c r="D71" s="3156" t="s">
        <v>87</v>
      </c>
      <c r="E71" s="3156" t="s">
        <v>87</v>
      </c>
      <c r="F71" s="3147" t="s">
        <v>46</v>
      </c>
      <c r="G71" s="3147" t="s">
        <v>46</v>
      </c>
      <c r="H71" s="3147" t="s">
        <v>46</v>
      </c>
      <c r="I71" s="3147" t="s">
        <v>46</v>
      </c>
      <c r="J71" s="3147" t="s">
        <v>46</v>
      </c>
      <c r="K71" s="3147" t="s">
        <v>89</v>
      </c>
      <c r="L71" s="3147" t="s">
        <v>89</v>
      </c>
      <c r="M71" s="3126">
        <v>8</v>
      </c>
      <c r="N71" s="3108">
        <v>8</v>
      </c>
      <c r="O71" s="3108">
        <v>8</v>
      </c>
      <c r="P71" s="2996">
        <v>8</v>
      </c>
      <c r="Q71" s="2996">
        <v>8</v>
      </c>
      <c r="R71" s="3157"/>
      <c r="S71" s="3158"/>
      <c r="T71" s="3069">
        <v>4</v>
      </c>
      <c r="U71" s="3159">
        <v>4</v>
      </c>
      <c r="V71" s="3108" t="s">
        <v>46</v>
      </c>
      <c r="W71" s="2996" t="s">
        <v>46</v>
      </c>
      <c r="X71" s="2996" t="s">
        <v>46</v>
      </c>
      <c r="Y71" s="3001"/>
      <c r="Z71" s="3001"/>
      <c r="AA71" s="504" t="s">
        <v>457</v>
      </c>
      <c r="AB71" s="504" t="s">
        <v>457</v>
      </c>
      <c r="AC71" s="504" t="s">
        <v>457</v>
      </c>
      <c r="AD71" s="504" t="s">
        <v>457</v>
      </c>
      <c r="AE71" s="504" t="s">
        <v>457</v>
      </c>
      <c r="AF71" s="581"/>
      <c r="AG71" s="581"/>
    </row>
    <row r="72" spans="1:33" ht="18" customHeight="1">
      <c r="A72" s="3141"/>
      <c r="B72" s="3124" t="s">
        <v>135</v>
      </c>
      <c r="C72" s="3143">
        <v>26</v>
      </c>
      <c r="D72" s="3143"/>
      <c r="E72" s="3143"/>
      <c r="F72" s="3143" t="s">
        <v>121</v>
      </c>
      <c r="G72" s="3143" t="s">
        <v>121</v>
      </c>
      <c r="H72" s="3143" t="s">
        <v>121</v>
      </c>
      <c r="I72" s="3143" t="s">
        <v>121</v>
      </c>
      <c r="J72" s="3143" t="s">
        <v>121</v>
      </c>
      <c r="K72" s="3143" t="s">
        <v>120</v>
      </c>
      <c r="L72" s="3143" t="s">
        <v>120</v>
      </c>
      <c r="M72" s="3160" t="s">
        <v>46</v>
      </c>
      <c r="N72" s="3020" t="s">
        <v>46</v>
      </c>
      <c r="O72" s="3020" t="s">
        <v>46</v>
      </c>
      <c r="P72" s="3102" t="s">
        <v>46</v>
      </c>
      <c r="Q72" s="3161">
        <v>25</v>
      </c>
      <c r="R72" s="3024"/>
      <c r="S72" s="291"/>
      <c r="T72" s="2994">
        <v>25</v>
      </c>
      <c r="U72" s="2994">
        <v>25</v>
      </c>
      <c r="V72" s="2994">
        <v>25</v>
      </c>
      <c r="W72" s="2994">
        <v>25</v>
      </c>
      <c r="X72" s="2997">
        <v>26</v>
      </c>
      <c r="Y72" s="2994"/>
      <c r="Z72" s="2994">
        <v>26</v>
      </c>
      <c r="AA72" s="2994">
        <v>26</v>
      </c>
      <c r="AB72" s="2994">
        <v>26</v>
      </c>
      <c r="AC72" s="2994">
        <v>26</v>
      </c>
      <c r="AD72" s="2994">
        <v>26</v>
      </c>
      <c r="AE72" s="2994">
        <v>26</v>
      </c>
      <c r="AF72" s="2994"/>
      <c r="AG72" s="2994"/>
    </row>
    <row r="73" spans="1:33" ht="18" customHeight="1">
      <c r="A73" s="3141"/>
      <c r="B73" s="3124" t="s">
        <v>138</v>
      </c>
      <c r="C73" s="3038" t="s">
        <v>153</v>
      </c>
      <c r="D73" s="3162"/>
      <c r="E73" s="3162"/>
      <c r="F73" s="3163">
        <v>79</v>
      </c>
      <c r="G73" s="3163">
        <v>79</v>
      </c>
      <c r="H73" s="3163">
        <v>79</v>
      </c>
      <c r="I73" s="3163">
        <v>79</v>
      </c>
      <c r="J73" s="3163">
        <v>79</v>
      </c>
      <c r="K73" s="3162"/>
      <c r="L73" s="3162"/>
      <c r="M73" s="3098">
        <v>89</v>
      </c>
      <c r="N73" s="3098">
        <v>89</v>
      </c>
      <c r="O73" s="3098">
        <v>89</v>
      </c>
      <c r="P73" s="3098">
        <v>89</v>
      </c>
      <c r="Q73" s="3098">
        <v>89</v>
      </c>
      <c r="R73" s="3098">
        <v>89</v>
      </c>
      <c r="S73" s="3164"/>
      <c r="T73" s="3098" t="s">
        <v>128</v>
      </c>
      <c r="U73" s="3098" t="s">
        <v>128</v>
      </c>
      <c r="V73" s="3098" t="s">
        <v>128</v>
      </c>
      <c r="W73" s="3098" t="s">
        <v>128</v>
      </c>
      <c r="X73" s="3098" t="s">
        <v>128</v>
      </c>
      <c r="Y73" s="3098"/>
      <c r="Z73" s="3098"/>
      <c r="AA73" s="3098" t="s">
        <v>128</v>
      </c>
      <c r="AB73" s="3098" t="s">
        <v>128</v>
      </c>
      <c r="AC73" s="3098" t="s">
        <v>128</v>
      </c>
      <c r="AD73" s="3098" t="s">
        <v>128</v>
      </c>
      <c r="AE73" s="3098" t="s">
        <v>128</v>
      </c>
      <c r="AF73" s="2996"/>
      <c r="AG73" s="2996"/>
    </row>
    <row r="74" spans="1:33" ht="18" customHeight="1">
      <c r="A74" s="3141"/>
      <c r="B74" s="3124" t="s">
        <v>140</v>
      </c>
      <c r="C74" s="3143" t="s">
        <v>159</v>
      </c>
      <c r="D74" s="3143"/>
      <c r="E74" s="3143"/>
      <c r="F74" s="3143">
        <v>69</v>
      </c>
      <c r="G74" s="3143">
        <v>69</v>
      </c>
      <c r="H74" s="3143">
        <v>69</v>
      </c>
      <c r="I74" s="3143">
        <v>69</v>
      </c>
      <c r="J74" s="3143">
        <v>69</v>
      </c>
      <c r="K74" s="3143">
        <v>89</v>
      </c>
      <c r="L74" s="3143"/>
      <c r="M74" s="605">
        <v>11</v>
      </c>
      <c r="N74" s="606">
        <v>11</v>
      </c>
      <c r="O74" s="592">
        <v>11</v>
      </c>
      <c r="P74" s="605">
        <v>11</v>
      </c>
      <c r="Q74" s="605">
        <v>11</v>
      </c>
      <c r="R74" s="592" t="s">
        <v>87</v>
      </c>
      <c r="S74" s="605" t="s">
        <v>87</v>
      </c>
      <c r="T74" t="s">
        <v>46</v>
      </c>
      <c r="U74" s="252" t="s">
        <v>46</v>
      </c>
      <c r="V74" s="2968" t="s">
        <v>46</v>
      </c>
      <c r="W74" s="2968" t="s">
        <v>46</v>
      </c>
      <c r="X74" s="2968" t="s">
        <v>46</v>
      </c>
      <c r="Y74" s="2996" t="s">
        <v>46</v>
      </c>
      <c r="Z74" s="3016" t="s">
        <v>46</v>
      </c>
      <c r="AA74" s="3149">
        <v>10</v>
      </c>
      <c r="AB74" s="3149">
        <v>10</v>
      </c>
      <c r="AC74" s="3001" t="s">
        <v>458</v>
      </c>
      <c r="AD74" s="3149">
        <v>10</v>
      </c>
      <c r="AE74" s="3149">
        <v>10</v>
      </c>
      <c r="AF74" s="3001" t="s">
        <v>53</v>
      </c>
      <c r="AG74" s="3001" t="s">
        <v>53</v>
      </c>
    </row>
    <row r="75" spans="1:33" ht="18" customHeight="1">
      <c r="A75" s="3141"/>
      <c r="B75" s="3165" t="s">
        <v>147</v>
      </c>
      <c r="C75" s="3166" t="s">
        <v>459</v>
      </c>
      <c r="D75" s="3020"/>
      <c r="E75" s="3020"/>
      <c r="F75" s="3167" t="s">
        <v>153</v>
      </c>
      <c r="G75" s="3162" t="s">
        <v>153</v>
      </c>
      <c r="H75" s="3162" t="s">
        <v>153</v>
      </c>
      <c r="I75" s="3162" t="s">
        <v>153</v>
      </c>
      <c r="J75" s="3162" t="s">
        <v>153</v>
      </c>
      <c r="K75" s="3131"/>
      <c r="L75" s="3131"/>
      <c r="M75" s="3162" t="s">
        <v>153</v>
      </c>
      <c r="N75" s="3162" t="s">
        <v>153</v>
      </c>
      <c r="O75" s="3162" t="s">
        <v>153</v>
      </c>
      <c r="P75" s="3162" t="s">
        <v>153</v>
      </c>
      <c r="Q75" s="3162" t="s">
        <v>153</v>
      </c>
      <c r="R75" s="3131"/>
      <c r="S75" s="3016"/>
      <c r="T75" s="2994" t="s">
        <v>341</v>
      </c>
      <c r="U75" s="2994" t="s">
        <v>341</v>
      </c>
      <c r="V75" s="2994" t="s">
        <v>341</v>
      </c>
      <c r="W75" s="2994" t="s">
        <v>341</v>
      </c>
      <c r="X75" s="2994" t="s">
        <v>341</v>
      </c>
      <c r="Y75" s="2994"/>
      <c r="Z75" s="2994"/>
      <c r="AA75" s="2994" t="s">
        <v>341</v>
      </c>
      <c r="AB75" s="2994" t="s">
        <v>341</v>
      </c>
      <c r="AC75" s="2994" t="s">
        <v>341</v>
      </c>
      <c r="AD75" s="2994" t="s">
        <v>341</v>
      </c>
      <c r="AE75" s="2994" t="s">
        <v>341</v>
      </c>
      <c r="AF75" s="2996"/>
      <c r="AG75" s="2996"/>
    </row>
    <row r="76" spans="1:33" ht="18" customHeight="1">
      <c r="A76" s="3141"/>
      <c r="B76" s="3168"/>
      <c r="C76" s="3027"/>
      <c r="D76" s="3027"/>
      <c r="E76" s="3027"/>
      <c r="F76" s="3160"/>
      <c r="G76" s="3020"/>
      <c r="H76" s="3020"/>
      <c r="I76" s="3020"/>
      <c r="J76" s="3020"/>
      <c r="K76" s="3016"/>
      <c r="L76" s="3016"/>
      <c r="M76" s="3020"/>
      <c r="N76" s="3020"/>
      <c r="O76" s="3020"/>
      <c r="P76" s="3102"/>
      <c r="Q76" s="3102"/>
      <c r="R76" s="3020"/>
      <c r="S76" s="3016"/>
      <c r="T76" s="3016"/>
      <c r="U76" s="3016"/>
      <c r="V76" s="3016"/>
      <c r="W76" s="3107"/>
      <c r="X76" s="3016"/>
      <c r="Y76" s="2996"/>
      <c r="Z76" s="3016"/>
      <c r="AA76" s="2996"/>
      <c r="AB76" s="2996"/>
      <c r="AC76" s="2996"/>
      <c r="AD76" s="3016"/>
      <c r="AE76" s="3016"/>
      <c r="AF76" s="2996"/>
      <c r="AG76" s="2996"/>
    </row>
    <row r="77" spans="1:33" ht="18" customHeight="1">
      <c r="A77" s="3141"/>
      <c r="B77" s="232"/>
      <c r="C77" s="501"/>
      <c r="D77" s="604" t="s">
        <v>139</v>
      </c>
      <c r="E77" s="582"/>
      <c r="F77" s="3027"/>
      <c r="G77" s="3027"/>
      <c r="H77" s="3027"/>
      <c r="I77" s="3027"/>
      <c r="J77" s="3027"/>
      <c r="K77" s="3133"/>
      <c r="L77" s="3169"/>
      <c r="M77" s="3027"/>
      <c r="N77" s="3027"/>
      <c r="O77" s="3027"/>
      <c r="P77" s="3027"/>
      <c r="Q77" s="3027"/>
      <c r="R77" s="3027"/>
      <c r="S77" s="3133"/>
      <c r="T77" s="2994"/>
      <c r="U77" s="2994"/>
      <c r="V77" s="2994"/>
      <c r="W77" s="2994"/>
      <c r="X77" s="2994"/>
      <c r="Y77" s="2994"/>
      <c r="Z77" s="2994"/>
      <c r="AA77" s="2994"/>
      <c r="AB77" s="2994"/>
      <c r="AC77" s="2994"/>
      <c r="AD77" s="2994"/>
      <c r="AE77" s="2994"/>
      <c r="AF77" s="2996"/>
      <c r="AG77" s="2996"/>
    </row>
    <row r="78" spans="1:33" ht="18" customHeight="1" thickBot="1">
      <c r="A78" s="3141"/>
      <c r="B78" s="3130"/>
      <c r="C78" s="3016"/>
      <c r="D78" s="3107"/>
      <c r="E78" s="3001"/>
      <c r="F78" s="504"/>
      <c r="G78" s="504"/>
      <c r="H78" s="504"/>
      <c r="I78" s="504"/>
      <c r="J78" s="508"/>
      <c r="K78" s="3149"/>
      <c r="L78" s="3149"/>
      <c r="M78" s="585"/>
      <c r="N78" s="585"/>
      <c r="O78" s="585"/>
      <c r="P78" s="607"/>
      <c r="Q78" s="607"/>
      <c r="R78" s="504"/>
      <c r="S78" s="3001"/>
      <c r="T78" s="2994"/>
      <c r="U78" s="2994"/>
      <c r="V78" s="2994"/>
      <c r="W78" s="2994"/>
      <c r="X78" s="2994"/>
      <c r="Y78" s="2994"/>
      <c r="Z78" s="2994"/>
      <c r="AA78" s="2994"/>
      <c r="AB78" s="2994"/>
      <c r="AC78" s="2994"/>
      <c r="AD78" s="2994"/>
      <c r="AE78" s="2994"/>
      <c r="AF78" s="3001"/>
      <c r="AG78" s="3001"/>
    </row>
    <row r="79" spans="1:33" ht="18" customHeight="1" thickBot="1">
      <c r="A79" s="1563"/>
      <c r="B79" s="1517" t="s">
        <v>154</v>
      </c>
      <c r="C79" s="2985">
        <v>1</v>
      </c>
      <c r="D79" s="2986">
        <v>2</v>
      </c>
      <c r="E79" s="2986">
        <v>3</v>
      </c>
      <c r="F79" s="2985">
        <v>4</v>
      </c>
      <c r="G79" s="2985">
        <v>5</v>
      </c>
      <c r="H79" s="2985">
        <v>6</v>
      </c>
      <c r="I79" s="2985">
        <v>7</v>
      </c>
      <c r="J79" s="2985">
        <v>8</v>
      </c>
      <c r="K79" s="2986">
        <v>9</v>
      </c>
      <c r="L79" s="2986">
        <v>10</v>
      </c>
      <c r="M79" s="2985">
        <v>11</v>
      </c>
      <c r="N79" s="2985">
        <v>12</v>
      </c>
      <c r="O79" s="2985">
        <v>13</v>
      </c>
      <c r="P79" s="2985">
        <v>14</v>
      </c>
      <c r="Q79" s="2985">
        <v>15</v>
      </c>
      <c r="R79" s="2986">
        <v>16</v>
      </c>
      <c r="S79" s="2986">
        <v>17</v>
      </c>
      <c r="T79" s="2985">
        <v>18</v>
      </c>
      <c r="U79" s="2985">
        <v>19</v>
      </c>
      <c r="V79" s="2985">
        <v>20</v>
      </c>
      <c r="W79" s="2985">
        <v>21</v>
      </c>
      <c r="X79" s="2985">
        <v>22</v>
      </c>
      <c r="Y79" s="2986">
        <v>23</v>
      </c>
      <c r="Z79" s="2986">
        <v>24</v>
      </c>
      <c r="AA79" s="2985">
        <v>25</v>
      </c>
      <c r="AB79" s="2985">
        <v>26</v>
      </c>
      <c r="AC79" s="2985">
        <v>27</v>
      </c>
      <c r="AD79" s="2985">
        <v>28</v>
      </c>
      <c r="AE79" s="2985">
        <v>29</v>
      </c>
      <c r="AF79" s="2986">
        <v>30</v>
      </c>
      <c r="AG79" s="2986">
        <v>31</v>
      </c>
    </row>
    <row r="80" spans="1:33" ht="18" customHeight="1">
      <c r="A80" s="488"/>
      <c r="C80" s="3001"/>
      <c r="D80" s="3001"/>
      <c r="E80" s="3001"/>
      <c r="F80" s="3001"/>
      <c r="G80" s="3001"/>
      <c r="H80" s="3016"/>
      <c r="I80" s="3016"/>
      <c r="J80" s="3016"/>
      <c r="K80" s="3016"/>
      <c r="L80" s="3016"/>
      <c r="M80" s="3016"/>
      <c r="N80" s="3016"/>
      <c r="O80" s="3016"/>
      <c r="P80" s="3001"/>
      <c r="Q80" s="3001"/>
      <c r="R80" s="3016"/>
      <c r="S80" s="3016"/>
      <c r="T80" s="3048"/>
      <c r="U80" s="3016"/>
      <c r="V80" s="2996"/>
      <c r="W80" s="2996"/>
      <c r="X80" s="2996"/>
      <c r="Y80" s="2996"/>
      <c r="Z80" s="2996"/>
      <c r="AA80" s="2996"/>
      <c r="AB80" s="2996"/>
      <c r="AC80" s="3009"/>
      <c r="AD80" s="3001"/>
      <c r="AE80" s="3001"/>
      <c r="AF80" s="3001"/>
      <c r="AG80" s="3001"/>
    </row>
    <row r="81" spans="1:33" ht="18" customHeight="1">
      <c r="A81" s="3141"/>
      <c r="B81" s="3170" t="s">
        <v>374</v>
      </c>
      <c r="C81" s="3164">
        <v>21</v>
      </c>
      <c r="D81" s="3164">
        <v>21</v>
      </c>
      <c r="E81" s="3171">
        <v>21</v>
      </c>
      <c r="F81" s="3149" t="s">
        <v>46</v>
      </c>
      <c r="G81" s="3149" t="s">
        <v>46</v>
      </c>
      <c r="H81" s="3016" t="s">
        <v>46</v>
      </c>
      <c r="I81" s="3016" t="s">
        <v>46</v>
      </c>
      <c r="J81" s="3016" t="s">
        <v>46</v>
      </c>
      <c r="K81" s="3164" t="s">
        <v>61</v>
      </c>
      <c r="L81" s="3132">
        <v>21</v>
      </c>
      <c r="M81" s="3172" t="s">
        <v>46</v>
      </c>
      <c r="N81" s="3172" t="s">
        <v>46</v>
      </c>
      <c r="O81" s="3132" t="s">
        <v>113</v>
      </c>
      <c r="P81" s="3001" t="s">
        <v>113</v>
      </c>
      <c r="Q81" s="3001" t="s">
        <v>113</v>
      </c>
      <c r="R81" s="3107"/>
      <c r="S81" s="3107"/>
      <c r="T81" s="3143">
        <v>21</v>
      </c>
      <c r="U81" s="3143">
        <v>9</v>
      </c>
      <c r="V81" s="3143">
        <v>9</v>
      </c>
      <c r="W81" s="3143">
        <v>21</v>
      </c>
      <c r="X81" s="3143">
        <v>21</v>
      </c>
      <c r="Y81" s="3143">
        <v>21</v>
      </c>
      <c r="Z81" s="3143">
        <v>21</v>
      </c>
      <c r="AA81" s="3001" t="s">
        <v>46</v>
      </c>
      <c r="AB81" s="3001" t="s">
        <v>46</v>
      </c>
      <c r="AC81" s="3107" t="s">
        <v>46</v>
      </c>
      <c r="AD81" s="3001" t="s">
        <v>46</v>
      </c>
      <c r="AE81" s="3047" t="s">
        <v>139</v>
      </c>
      <c r="AF81" s="3047" t="s">
        <v>139</v>
      </c>
      <c r="AG81" s="3047" t="s">
        <v>139</v>
      </c>
    </row>
    <row r="82" spans="1:33" ht="18" customHeight="1" thickBot="1">
      <c r="A82" s="3173"/>
      <c r="B82" s="3165" t="s">
        <v>0</v>
      </c>
      <c r="C82" s="3174"/>
      <c r="D82" s="3118"/>
      <c r="E82" s="3118"/>
      <c r="F82" s="3175"/>
      <c r="G82" s="3175"/>
      <c r="H82" s="3176"/>
      <c r="J82" s="3177"/>
      <c r="K82" s="3177"/>
      <c r="L82" s="3177"/>
      <c r="M82" s="3177"/>
      <c r="N82" s="3177"/>
      <c r="O82" s="3177"/>
      <c r="P82" s="3177"/>
      <c r="Q82" s="3177"/>
      <c r="R82" s="3177"/>
      <c r="S82" s="3177"/>
      <c r="T82" s="3177"/>
      <c r="U82" s="3177"/>
      <c r="V82" s="3177"/>
      <c r="W82" s="3177"/>
      <c r="X82" s="3177"/>
      <c r="Y82" s="3177"/>
      <c r="Z82" s="3177"/>
      <c r="AA82" s="3177"/>
      <c r="AB82" s="3177"/>
      <c r="AC82" s="3177"/>
      <c r="AD82" s="3176"/>
      <c r="AE82" s="3176"/>
      <c r="AF82" s="3176"/>
      <c r="AG82" s="3176"/>
    </row>
    <row r="83" spans="1:33" ht="18" customHeight="1" thickBot="1">
      <c r="A83" s="1458"/>
      <c r="B83" s="1481" t="s">
        <v>156</v>
      </c>
      <c r="C83" s="2985">
        <v>1</v>
      </c>
      <c r="D83" s="2986">
        <v>2</v>
      </c>
      <c r="E83" s="2986">
        <v>3</v>
      </c>
      <c r="F83" s="2985">
        <v>4</v>
      </c>
      <c r="G83" s="2985">
        <v>5</v>
      </c>
      <c r="H83" s="2985">
        <v>6</v>
      </c>
      <c r="I83" s="2985">
        <v>7</v>
      </c>
      <c r="J83" s="2985">
        <v>8</v>
      </c>
      <c r="K83" s="2986">
        <v>9</v>
      </c>
      <c r="L83" s="2986">
        <v>10</v>
      </c>
      <c r="M83" s="2985">
        <v>11</v>
      </c>
      <c r="N83" s="2985">
        <v>12</v>
      </c>
      <c r="O83" s="2985">
        <v>13</v>
      </c>
      <c r="P83" s="2985">
        <v>14</v>
      </c>
      <c r="Q83" s="2985">
        <v>15</v>
      </c>
      <c r="R83" s="2986">
        <v>16</v>
      </c>
      <c r="S83" s="2986">
        <v>17</v>
      </c>
      <c r="T83" s="2985">
        <v>18</v>
      </c>
      <c r="U83" s="2985">
        <v>19</v>
      </c>
      <c r="V83" s="2985">
        <v>20</v>
      </c>
      <c r="W83" s="2985">
        <v>21</v>
      </c>
      <c r="X83" s="2985">
        <v>22</v>
      </c>
      <c r="Y83" s="2986">
        <v>23</v>
      </c>
      <c r="Z83" s="2986">
        <v>24</v>
      </c>
      <c r="AA83" s="2985">
        <v>25</v>
      </c>
      <c r="AB83" s="2985">
        <v>26</v>
      </c>
      <c r="AC83" s="2985">
        <v>27</v>
      </c>
      <c r="AD83" s="2985">
        <v>28</v>
      </c>
      <c r="AE83" s="2985">
        <v>29</v>
      </c>
      <c r="AF83" s="2986">
        <v>30</v>
      </c>
      <c r="AG83" s="2986">
        <v>31</v>
      </c>
    </row>
    <row r="84" spans="1:33" ht="18" customHeight="1">
      <c r="A84" s="3178"/>
      <c r="B84" s="3124" t="s">
        <v>157</v>
      </c>
      <c r="C84" s="226" t="s">
        <v>153</v>
      </c>
      <c r="D84" s="3179">
        <v>23</v>
      </c>
      <c r="E84" s="3179">
        <v>23</v>
      </c>
      <c r="F84" s="3180" t="s">
        <v>153</v>
      </c>
      <c r="G84" s="3179" t="s">
        <v>46</v>
      </c>
      <c r="H84" s="3020" t="s">
        <v>46</v>
      </c>
      <c r="I84" s="3181" t="s">
        <v>40</v>
      </c>
      <c r="J84" s="3181">
        <v>79</v>
      </c>
      <c r="K84" s="3182"/>
      <c r="L84" s="3182" t="s">
        <v>133</v>
      </c>
      <c r="M84" s="3179">
        <v>21</v>
      </c>
      <c r="N84" s="3179">
        <v>21</v>
      </c>
      <c r="O84" s="3179">
        <v>21</v>
      </c>
      <c r="P84" s="3179">
        <v>21</v>
      </c>
      <c r="Q84" s="3179">
        <v>21</v>
      </c>
      <c r="R84" s="3179">
        <v>21</v>
      </c>
      <c r="S84" s="3179">
        <v>21</v>
      </c>
      <c r="T84" s="3179" t="s">
        <v>46</v>
      </c>
      <c r="U84" s="3179" t="s">
        <v>46</v>
      </c>
      <c r="V84" s="3179" t="s">
        <v>46</v>
      </c>
      <c r="W84" s="3179" t="s">
        <v>46</v>
      </c>
      <c r="X84" s="3179" t="s">
        <v>46</v>
      </c>
      <c r="Y84" s="3102"/>
      <c r="Z84" s="3102"/>
      <c r="AA84" s="504" t="s">
        <v>125</v>
      </c>
      <c r="AB84" s="3102">
        <v>7</v>
      </c>
      <c r="AC84" s="3183" t="s">
        <v>40</v>
      </c>
      <c r="AD84" s="2993" t="s">
        <v>40</v>
      </c>
      <c r="AE84" s="2993" t="s">
        <v>40</v>
      </c>
      <c r="AF84" s="2993" t="s">
        <v>104</v>
      </c>
      <c r="AG84" s="2993" t="s">
        <v>104</v>
      </c>
    </row>
    <row r="85" spans="1:33" ht="18" customHeight="1">
      <c r="A85" s="3178"/>
      <c r="B85" s="3124" t="s">
        <v>460</v>
      </c>
      <c r="C85" s="3106"/>
      <c r="D85" s="3143"/>
      <c r="E85" s="3143"/>
      <c r="F85" s="3143" t="s">
        <v>40</v>
      </c>
      <c r="G85" s="3143" t="s">
        <v>40</v>
      </c>
      <c r="H85" s="3143" t="s">
        <v>40</v>
      </c>
      <c r="I85" s="3143" t="s">
        <v>40</v>
      </c>
      <c r="J85" s="3143" t="s">
        <v>40</v>
      </c>
      <c r="K85" s="3143"/>
      <c r="L85" s="3143"/>
      <c r="M85" s="3143" t="s">
        <v>40</v>
      </c>
      <c r="N85" s="3143" t="s">
        <v>40</v>
      </c>
      <c r="O85" s="3143" t="s">
        <v>40</v>
      </c>
      <c r="P85" s="3143" t="s">
        <v>40</v>
      </c>
      <c r="Q85" s="3143" t="s">
        <v>40</v>
      </c>
      <c r="R85" s="3143"/>
      <c r="S85" s="3143"/>
      <c r="T85" s="3143" t="s">
        <v>40</v>
      </c>
      <c r="U85" s="3143" t="s">
        <v>40</v>
      </c>
      <c r="V85" s="3143" t="s">
        <v>40</v>
      </c>
      <c r="W85" s="3143" t="s">
        <v>40</v>
      </c>
      <c r="X85" s="3143" t="s">
        <v>40</v>
      </c>
      <c r="Y85" s="3184"/>
      <c r="Z85" s="3184"/>
      <c r="AA85" s="3143" t="s">
        <v>40</v>
      </c>
      <c r="AB85" s="3143" t="s">
        <v>40</v>
      </c>
      <c r="AC85" s="3143" t="s">
        <v>40</v>
      </c>
      <c r="AD85" s="3143" t="s">
        <v>40</v>
      </c>
      <c r="AE85" s="3143" t="s">
        <v>40</v>
      </c>
      <c r="AF85" s="3131"/>
      <c r="AG85" s="3131"/>
    </row>
    <row r="86" spans="1:33" ht="18" customHeight="1">
      <c r="A86" s="3178"/>
      <c r="B86" s="3124"/>
      <c r="C86" s="3106"/>
      <c r="D86" s="3143"/>
      <c r="E86" s="3143"/>
      <c r="F86" s="3143" t="s">
        <v>40</v>
      </c>
      <c r="G86" s="3143"/>
      <c r="H86" s="3027"/>
      <c r="I86" s="3027"/>
      <c r="J86" s="3027"/>
      <c r="K86" s="3143"/>
      <c r="L86" s="3143"/>
      <c r="M86" s="3143"/>
      <c r="N86" s="3143"/>
      <c r="O86" s="3143"/>
      <c r="P86" s="3143"/>
      <c r="Q86" s="3143"/>
      <c r="R86" s="3143"/>
      <c r="S86" s="3143"/>
      <c r="T86" s="3185"/>
      <c r="U86" s="3027"/>
      <c r="V86" s="3184"/>
      <c r="W86" s="3184"/>
      <c r="X86" s="3184"/>
      <c r="Y86" s="3184"/>
      <c r="Z86" s="3184"/>
      <c r="AA86" s="3184"/>
      <c r="AB86" s="3184"/>
      <c r="AC86" s="3186"/>
      <c r="AD86" s="3187"/>
      <c r="AE86" s="3131"/>
      <c r="AF86" s="3131"/>
      <c r="AG86" s="3131"/>
    </row>
    <row r="87" spans="1:33" ht="18" customHeight="1" thickBot="1">
      <c r="A87" s="1485"/>
      <c r="B87" s="1486" t="s">
        <v>158</v>
      </c>
      <c r="C87" s="593" t="s">
        <v>40</v>
      </c>
      <c r="D87" s="585"/>
      <c r="E87" s="585"/>
      <c r="F87" s="607" t="s">
        <v>40</v>
      </c>
      <c r="G87" s="607" t="s">
        <v>40</v>
      </c>
      <c r="H87" s="501">
        <v>79</v>
      </c>
      <c r="I87" s="501">
        <v>79</v>
      </c>
      <c r="J87" s="501">
        <v>7</v>
      </c>
      <c r="K87" s="585"/>
      <c r="L87" s="585"/>
      <c r="M87" s="585" t="s">
        <v>46</v>
      </c>
      <c r="N87" s="585" t="s">
        <v>40</v>
      </c>
      <c r="O87" s="504" t="s">
        <v>46</v>
      </c>
      <c r="P87" s="504" t="s">
        <v>458</v>
      </c>
      <c r="Q87" s="504" t="s">
        <v>458</v>
      </c>
      <c r="R87" s="508" t="s">
        <v>53</v>
      </c>
      <c r="S87" s="508" t="s">
        <v>53</v>
      </c>
      <c r="T87" s="508" t="s">
        <v>46</v>
      </c>
      <c r="U87" s="508" t="s">
        <v>40</v>
      </c>
      <c r="V87" s="508" t="s">
        <v>46</v>
      </c>
      <c r="W87" s="504" t="s">
        <v>40</v>
      </c>
      <c r="X87" s="504" t="s">
        <v>40</v>
      </c>
      <c r="Y87" s="607"/>
      <c r="Z87" s="504"/>
      <c r="AB87" s="504" t="s">
        <v>40</v>
      </c>
      <c r="AC87" s="508">
        <v>7</v>
      </c>
      <c r="AD87" s="3001" t="s">
        <v>125</v>
      </c>
      <c r="AE87" s="3107">
        <v>7</v>
      </c>
      <c r="AF87" s="3107"/>
      <c r="AG87" s="3107"/>
    </row>
    <row r="88" spans="1:33" ht="18" customHeight="1" thickBot="1">
      <c r="A88" s="584"/>
      <c r="B88" s="241" t="s">
        <v>38</v>
      </c>
      <c r="C88" s="2985">
        <v>1</v>
      </c>
      <c r="D88" s="2986">
        <v>2</v>
      </c>
      <c r="E88" s="2986">
        <v>3</v>
      </c>
      <c r="F88" s="2985">
        <v>4</v>
      </c>
      <c r="G88" s="2985">
        <v>5</v>
      </c>
      <c r="H88" s="2985">
        <v>6</v>
      </c>
      <c r="I88" s="2985">
        <v>7</v>
      </c>
      <c r="J88" s="2985">
        <v>8</v>
      </c>
      <c r="K88" s="2986">
        <v>9</v>
      </c>
      <c r="L88" s="2986">
        <v>10</v>
      </c>
      <c r="M88" s="2985">
        <v>11</v>
      </c>
      <c r="N88" s="2985">
        <v>12</v>
      </c>
      <c r="O88" s="2985">
        <v>13</v>
      </c>
      <c r="P88" s="2985">
        <v>14</v>
      </c>
      <c r="Q88" s="2985">
        <v>15</v>
      </c>
      <c r="R88" s="2986">
        <v>16</v>
      </c>
      <c r="S88" s="2986">
        <v>17</v>
      </c>
      <c r="T88" s="2985">
        <v>18</v>
      </c>
      <c r="U88" s="2985">
        <v>19</v>
      </c>
      <c r="V88" s="2985">
        <v>20</v>
      </c>
      <c r="W88" s="2985">
        <v>21</v>
      </c>
      <c r="X88" s="2985">
        <v>22</v>
      </c>
      <c r="Y88" s="2986">
        <v>23</v>
      </c>
      <c r="Z88" s="2986">
        <v>24</v>
      </c>
      <c r="AA88" s="2985">
        <v>25</v>
      </c>
      <c r="AB88" s="2985">
        <v>26</v>
      </c>
      <c r="AC88" s="2985">
        <v>27</v>
      </c>
      <c r="AD88" s="2985">
        <v>28</v>
      </c>
      <c r="AE88" s="2985">
        <v>29</v>
      </c>
      <c r="AF88" s="2986">
        <v>30</v>
      </c>
      <c r="AG88" s="2986">
        <v>31</v>
      </c>
    </row>
    <row r="89" spans="1:33" ht="18" customHeight="1">
      <c r="A89" s="3188"/>
      <c r="B89" s="3189" t="s">
        <v>160</v>
      </c>
      <c r="C89" s="3089"/>
      <c r="D89" s="3190"/>
      <c r="E89" s="3089"/>
      <c r="F89" s="3089"/>
      <c r="G89" s="3089"/>
      <c r="H89" s="3089"/>
      <c r="I89" s="3089"/>
      <c r="J89" s="3089"/>
      <c r="K89" s="3089"/>
      <c r="L89" s="3089"/>
      <c r="M89" s="3089"/>
      <c r="N89" s="3089"/>
      <c r="O89" s="3089"/>
      <c r="P89" s="3089"/>
      <c r="Q89" s="3089"/>
      <c r="R89" s="3089"/>
      <c r="S89" s="3089"/>
      <c r="T89" s="3089"/>
      <c r="U89" s="3089"/>
      <c r="V89" s="3089"/>
      <c r="W89" s="3089"/>
      <c r="X89" s="3089"/>
      <c r="Y89" s="3089"/>
      <c r="Z89" s="3089"/>
      <c r="AA89" s="3089"/>
      <c r="AB89" s="3089"/>
      <c r="AC89" s="3089"/>
      <c r="AD89" s="3089"/>
      <c r="AE89" s="3089"/>
      <c r="AF89" s="3089"/>
      <c r="AG89" s="3089"/>
    </row>
    <row r="90" spans="1:33" ht="18" customHeight="1">
      <c r="A90" s="3188"/>
      <c r="B90" s="2992"/>
      <c r="C90" s="3132"/>
      <c r="D90" s="3132"/>
      <c r="E90" s="3132"/>
      <c r="F90" s="2997"/>
      <c r="G90" s="2997"/>
      <c r="H90" s="3132"/>
      <c r="I90" s="3132"/>
      <c r="J90" s="3132"/>
      <c r="K90" s="3132"/>
      <c r="L90" s="3132"/>
      <c r="M90" s="3132"/>
      <c r="N90" s="3132"/>
      <c r="O90" s="3132"/>
      <c r="P90" s="3132"/>
      <c r="Q90" s="3132"/>
      <c r="R90" s="3132"/>
      <c r="S90" s="3132"/>
      <c r="T90" s="3016"/>
      <c r="U90" s="3132"/>
      <c r="V90" s="3132"/>
      <c r="W90" s="3132"/>
      <c r="X90" s="3132"/>
      <c r="Y90" s="3132"/>
      <c r="Z90" s="3132"/>
      <c r="AA90" s="3132"/>
      <c r="AB90" s="3132"/>
      <c r="AC90" s="3132"/>
      <c r="AD90" s="3132"/>
      <c r="AE90" s="3132"/>
      <c r="AF90" s="3132"/>
      <c r="AG90" s="3132"/>
    </row>
    <row r="91" spans="1:33" ht="18" customHeight="1">
      <c r="A91" s="3188"/>
      <c r="B91" s="2992"/>
      <c r="C91" s="3016"/>
      <c r="D91" s="3016"/>
      <c r="E91" s="3016"/>
      <c r="F91" s="3016"/>
      <c r="G91" s="3016"/>
      <c r="H91" s="3016"/>
      <c r="I91" s="3016"/>
      <c r="J91" s="3016"/>
      <c r="K91" s="3016"/>
      <c r="L91" s="3016"/>
      <c r="M91" s="3016"/>
      <c r="N91" s="3016"/>
      <c r="O91" s="3016"/>
      <c r="P91" s="3016"/>
      <c r="Q91" s="3016"/>
      <c r="R91" s="3016"/>
      <c r="S91" s="3016"/>
      <c r="T91" s="3016"/>
      <c r="U91" s="3016"/>
      <c r="V91" s="3016"/>
      <c r="W91" s="3016"/>
      <c r="X91" s="3016"/>
      <c r="Y91" s="3016"/>
      <c r="Z91" s="3016"/>
      <c r="AA91" s="3016"/>
      <c r="AB91" s="3016"/>
      <c r="AC91" s="3016"/>
      <c r="AD91" s="3016"/>
      <c r="AE91" s="3016"/>
      <c r="AF91" s="3016"/>
      <c r="AG91" s="3016"/>
    </row>
    <row r="92" spans="1:33" ht="18" customHeight="1" thickBot="1">
      <c r="A92" s="89"/>
      <c r="B92" s="3002"/>
      <c r="C92" s="3191"/>
      <c r="D92" s="3191"/>
      <c r="E92" s="3191"/>
      <c r="F92" s="3191"/>
      <c r="G92" s="3191"/>
      <c r="H92" s="3191"/>
      <c r="I92" s="3191"/>
      <c r="J92" s="3191"/>
      <c r="K92" s="3191"/>
      <c r="L92" s="3191"/>
      <c r="M92" s="3191"/>
      <c r="N92" s="3191"/>
      <c r="O92" s="3191"/>
      <c r="P92" s="3191"/>
      <c r="Q92" s="3191"/>
      <c r="R92" s="3191"/>
      <c r="S92" s="3191"/>
      <c r="T92" s="3191"/>
      <c r="U92" s="3191"/>
      <c r="V92" s="3191"/>
      <c r="W92" s="3191"/>
      <c r="X92" s="3191"/>
      <c r="Y92" s="3191"/>
      <c r="Z92" s="3191"/>
      <c r="AA92" s="3191"/>
      <c r="AB92" s="3191"/>
      <c r="AC92" s="3191"/>
      <c r="AD92" s="3191"/>
      <c r="AE92" s="3191"/>
      <c r="AF92" s="3191"/>
      <c r="AG92" s="3191"/>
    </row>
    <row r="93" spans="1:33" ht="18" customHeight="1">
      <c r="A93" s="114"/>
      <c r="B93" s="115"/>
      <c r="C93" s="126"/>
      <c r="D93" s="126"/>
      <c r="E93" s="126"/>
      <c r="F93" s="126"/>
      <c r="G93" s="126"/>
      <c r="H93" s="126"/>
      <c r="I93" s="126"/>
      <c r="J93" s="126"/>
      <c r="K93" s="126"/>
      <c r="L93" s="126"/>
      <c r="M93" s="126"/>
      <c r="N93" s="126"/>
      <c r="O93" s="126"/>
      <c r="P93" s="126"/>
      <c r="Q93" s="126"/>
      <c r="R93" s="126"/>
      <c r="S93" s="126"/>
      <c r="T93" s="126"/>
      <c r="U93" s="126"/>
      <c r="V93" s="126"/>
      <c r="W93" s="126"/>
      <c r="X93" s="126"/>
      <c r="Y93" s="126"/>
      <c r="Z93" s="126"/>
      <c r="AA93" s="126"/>
      <c r="AB93" s="126"/>
      <c r="AC93" s="126"/>
      <c r="AD93" s="126"/>
      <c r="AE93" s="126"/>
      <c r="AF93" s="126"/>
    </row>
    <row r="94" spans="1:33" ht="18" customHeight="1">
      <c r="A94" s="42" t="s">
        <v>161</v>
      </c>
      <c r="C94" s="110"/>
      <c r="D94" s="110"/>
      <c r="E94" s="110"/>
      <c r="F94" s="110"/>
      <c r="G94" s="110"/>
      <c r="H94" s="110"/>
      <c r="I94" s="110"/>
      <c r="J94" s="110"/>
      <c r="K94" s="110"/>
      <c r="L94" s="110"/>
      <c r="M94" s="110"/>
      <c r="N94" s="110"/>
      <c r="O94" s="110"/>
      <c r="P94" s="110"/>
      <c r="Q94" s="110"/>
      <c r="R94" s="110"/>
      <c r="S94" s="110"/>
      <c r="T94" s="110"/>
      <c r="U94" s="110"/>
      <c r="V94" s="110"/>
      <c r="W94" s="110"/>
      <c r="X94" s="110"/>
      <c r="Y94" s="110"/>
      <c r="Z94" s="110"/>
      <c r="AA94" s="110"/>
      <c r="AB94" s="110"/>
      <c r="AC94" s="110"/>
      <c r="AD94" s="110"/>
      <c r="AE94" s="110"/>
      <c r="AF94" s="110"/>
    </row>
    <row r="95" spans="1:33" ht="18" customHeight="1">
      <c r="B95" s="2969"/>
      <c r="C95" s="2968"/>
      <c r="D95" s="2969" t="s">
        <v>19</v>
      </c>
      <c r="E95" s="2968"/>
      <c r="F95" s="2968"/>
      <c r="G95" s="2969" t="s">
        <v>20</v>
      </c>
      <c r="H95" s="2968"/>
      <c r="I95" s="2968"/>
      <c r="J95" s="2969" t="s">
        <v>21</v>
      </c>
      <c r="K95" s="2968"/>
      <c r="L95" s="2968"/>
      <c r="M95" s="2969" t="s">
        <v>22</v>
      </c>
      <c r="N95" s="2968"/>
      <c r="O95" s="2968"/>
      <c r="P95" s="2969" t="s">
        <v>23</v>
      </c>
      <c r="Q95" s="2968"/>
      <c r="R95" s="2964"/>
      <c r="S95" s="2965" t="s">
        <v>24</v>
      </c>
      <c r="T95" s="2968"/>
      <c r="U95" s="2968"/>
      <c r="V95" s="2969" t="s">
        <v>25</v>
      </c>
      <c r="W95" s="2968"/>
      <c r="X95" s="68"/>
      <c r="Y95" s="68"/>
      <c r="Z95" s="68"/>
      <c r="AA95" s="68"/>
      <c r="AB95" s="68"/>
      <c r="AC95" s="68"/>
      <c r="AD95" s="68"/>
      <c r="AE95" s="68"/>
      <c r="AF95" s="68"/>
    </row>
    <row r="96" spans="1:33" ht="18" customHeight="1">
      <c r="B96" s="3192" t="s">
        <v>162</v>
      </c>
      <c r="C96" s="3193" t="s">
        <v>163</v>
      </c>
      <c r="D96" s="3194"/>
      <c r="E96" s="3194"/>
      <c r="F96" s="3193" t="s">
        <v>163</v>
      </c>
      <c r="G96" s="3194"/>
      <c r="H96" s="3194"/>
      <c r="I96" s="3193" t="s">
        <v>163</v>
      </c>
      <c r="J96" s="3194"/>
      <c r="K96" s="3194"/>
      <c r="L96" s="3193" t="s">
        <v>163</v>
      </c>
      <c r="M96" s="3194"/>
      <c r="N96" s="3194"/>
      <c r="O96" s="3193" t="s">
        <v>163</v>
      </c>
      <c r="P96" s="3194"/>
      <c r="Q96" s="3194"/>
      <c r="R96" s="3195"/>
      <c r="S96" s="3194"/>
      <c r="T96" s="3194"/>
      <c r="U96" s="3195" t="s">
        <v>164</v>
      </c>
      <c r="V96" s="3194"/>
      <c r="W96" s="3196"/>
      <c r="X96" s="68"/>
      <c r="Y96" s="68"/>
      <c r="Z96" s="68"/>
      <c r="AA96" s="68"/>
      <c r="AB96" s="68"/>
      <c r="AC96" s="68"/>
      <c r="AD96" s="68"/>
      <c r="AE96" s="68"/>
      <c r="AF96" s="68"/>
    </row>
    <row r="97" spans="1:34" ht="18" customHeight="1">
      <c r="B97" s="3192" t="s">
        <v>165</v>
      </c>
      <c r="C97" s="3197" t="s">
        <v>166</v>
      </c>
      <c r="D97" s="3198"/>
      <c r="E97" s="3198"/>
      <c r="F97" s="3197" t="s">
        <v>167</v>
      </c>
      <c r="G97" s="3198"/>
      <c r="H97" s="3198"/>
      <c r="I97" s="3197" t="s">
        <v>167</v>
      </c>
      <c r="J97" s="3198"/>
      <c r="K97" s="3198"/>
      <c r="L97" s="3197" t="s">
        <v>167</v>
      </c>
      <c r="M97" s="3198"/>
      <c r="N97" s="3198"/>
      <c r="O97" s="3197" t="s">
        <v>168</v>
      </c>
      <c r="P97" s="3198"/>
      <c r="Q97" s="3198"/>
      <c r="R97" s="242"/>
      <c r="S97" s="46"/>
      <c r="T97" s="3196"/>
      <c r="U97" s="242"/>
      <c r="V97" s="46"/>
      <c r="W97" s="3196"/>
      <c r="X97" s="68"/>
      <c r="Y97" s="68"/>
      <c r="Z97" s="68"/>
      <c r="AA97" s="68"/>
      <c r="AB97" s="68"/>
      <c r="AC97" s="68"/>
      <c r="AD97" s="68"/>
      <c r="AE97" s="68"/>
      <c r="AF97" s="68"/>
    </row>
    <row r="98" spans="1:34" ht="18" customHeight="1">
      <c r="B98" s="3192" t="s">
        <v>169</v>
      </c>
      <c r="C98" s="3026" t="s">
        <v>170</v>
      </c>
      <c r="D98" s="2958"/>
      <c r="E98" s="2958"/>
      <c r="F98" s="3026" t="s">
        <v>171</v>
      </c>
      <c r="G98" s="3076"/>
      <c r="H98" s="2958"/>
      <c r="I98" s="3026" t="s">
        <v>171</v>
      </c>
      <c r="J98" s="2975"/>
      <c r="K98" s="2974"/>
      <c r="L98" s="3170" t="s">
        <v>172</v>
      </c>
      <c r="M98" s="2975"/>
      <c r="N98" s="3199"/>
      <c r="O98" s="3026" t="s">
        <v>172</v>
      </c>
      <c r="P98" s="2958"/>
      <c r="Q98" s="2958"/>
      <c r="R98" s="3170" t="s">
        <v>173</v>
      </c>
      <c r="S98" s="2975"/>
      <c r="T98" s="2974"/>
      <c r="U98" s="3170" t="s">
        <v>173</v>
      </c>
      <c r="V98" s="2975"/>
      <c r="W98" s="2974"/>
      <c r="X98" s="68"/>
      <c r="Y98" s="68"/>
      <c r="Z98" s="68"/>
      <c r="AA98" s="68"/>
      <c r="AB98" s="68"/>
      <c r="AC98" s="68"/>
      <c r="AD98" s="68"/>
      <c r="AE98" s="68"/>
      <c r="AF98" s="68"/>
    </row>
    <row r="99" spans="1:34" ht="18" customHeight="1">
      <c r="B99" s="3192" t="s">
        <v>174</v>
      </c>
      <c r="C99" s="3026" t="s">
        <v>46</v>
      </c>
      <c r="D99" s="2958"/>
      <c r="E99" s="2958"/>
      <c r="F99" s="3026" t="s">
        <v>46</v>
      </c>
      <c r="G99" s="3076"/>
      <c r="H99" s="2958"/>
      <c r="I99" s="3170" t="s">
        <v>46</v>
      </c>
      <c r="J99" s="2975"/>
      <c r="K99" s="2974"/>
      <c r="L99" s="3170" t="s">
        <v>46</v>
      </c>
      <c r="M99" s="2975"/>
      <c r="N99" s="3199"/>
      <c r="O99" s="3026" t="s">
        <v>46</v>
      </c>
      <c r="P99" s="2958"/>
      <c r="Q99" s="2958"/>
      <c r="R99" s="3170"/>
      <c r="S99" s="2975"/>
      <c r="T99" s="2974"/>
      <c r="U99" s="3170"/>
      <c r="V99" s="2975"/>
      <c r="W99" s="2974"/>
      <c r="X99" s="68"/>
      <c r="Y99" s="68"/>
      <c r="Z99" s="68"/>
      <c r="AA99" s="68"/>
      <c r="AB99" s="68"/>
      <c r="AC99" s="68"/>
      <c r="AD99" s="68"/>
      <c r="AE99" s="68"/>
      <c r="AF99" s="68"/>
    </row>
    <row r="100" spans="1:34" ht="18" customHeight="1" thickBot="1">
      <c r="B100" s="243"/>
      <c r="C100" s="244"/>
      <c r="D100" s="111"/>
      <c r="E100" s="111"/>
      <c r="F100" s="244"/>
      <c r="G100" s="115"/>
      <c r="H100" s="111"/>
      <c r="I100" s="115"/>
      <c r="J100" s="111"/>
      <c r="K100" s="111"/>
      <c r="L100" s="115"/>
      <c r="M100" s="111"/>
      <c r="N100" s="32"/>
      <c r="O100" s="244"/>
      <c r="P100" s="111"/>
      <c r="Q100" s="111"/>
      <c r="R100" s="115"/>
      <c r="S100" s="111"/>
      <c r="T100" s="111"/>
      <c r="U100" s="115"/>
      <c r="V100" s="111"/>
      <c r="W100" s="111"/>
      <c r="X100" s="68"/>
      <c r="Y100" s="68"/>
      <c r="Z100" s="68"/>
      <c r="AA100" s="68"/>
      <c r="AB100" s="68"/>
      <c r="AC100" s="68"/>
      <c r="AD100" s="68"/>
      <c r="AE100" s="68"/>
      <c r="AF100" s="68"/>
    </row>
    <row r="101" spans="1:34" ht="18" customHeight="1">
      <c r="B101" s="3200" t="s">
        <v>38</v>
      </c>
      <c r="C101" s="2985">
        <v>1</v>
      </c>
      <c r="D101" s="2986">
        <v>2</v>
      </c>
      <c r="E101" s="2986">
        <v>3</v>
      </c>
      <c r="F101" s="2985">
        <v>4</v>
      </c>
      <c r="G101" s="2985">
        <v>5</v>
      </c>
      <c r="H101" s="2985">
        <v>6</v>
      </c>
      <c r="I101" s="2985">
        <v>7</v>
      </c>
      <c r="J101" s="2985">
        <v>8</v>
      </c>
      <c r="K101" s="2986">
        <v>9</v>
      </c>
      <c r="L101" s="2986">
        <v>10</v>
      </c>
      <c r="M101" s="2985">
        <v>11</v>
      </c>
      <c r="N101" s="2985">
        <v>12</v>
      </c>
      <c r="O101" s="2985">
        <v>13</v>
      </c>
      <c r="P101" s="2985">
        <v>14</v>
      </c>
      <c r="Q101" s="2985">
        <v>15</v>
      </c>
      <c r="R101" s="2986">
        <v>16</v>
      </c>
      <c r="S101" s="2986">
        <v>17</v>
      </c>
      <c r="T101" s="2985">
        <v>18</v>
      </c>
      <c r="U101" s="2985">
        <v>19</v>
      </c>
      <c r="V101" s="2985">
        <v>20</v>
      </c>
      <c r="W101" s="2985">
        <v>21</v>
      </c>
      <c r="X101" s="2985">
        <v>22</v>
      </c>
      <c r="Y101" s="2986">
        <v>23</v>
      </c>
      <c r="Z101" s="2986">
        <v>24</v>
      </c>
      <c r="AA101" s="2985">
        <v>25</v>
      </c>
      <c r="AB101" s="2985">
        <v>26</v>
      </c>
      <c r="AC101" s="2985">
        <v>27</v>
      </c>
      <c r="AD101" s="2985">
        <v>28</v>
      </c>
      <c r="AE101" s="2985">
        <v>29</v>
      </c>
      <c r="AF101" s="2986">
        <v>30</v>
      </c>
      <c r="AG101" s="3201">
        <v>31</v>
      </c>
    </row>
    <row r="102" spans="1:34" ht="18" customHeight="1">
      <c r="B102" s="3202" t="s">
        <v>175</v>
      </c>
      <c r="C102" s="3132">
        <v>25</v>
      </c>
      <c r="D102" s="3132"/>
      <c r="E102" s="3132">
        <v>26</v>
      </c>
      <c r="F102" s="3132">
        <v>26</v>
      </c>
      <c r="G102" s="3132">
        <v>26</v>
      </c>
      <c r="H102" s="3132">
        <v>26</v>
      </c>
      <c r="I102" s="3132">
        <v>26</v>
      </c>
      <c r="J102" s="3132">
        <v>26</v>
      </c>
      <c r="K102" s="585"/>
      <c r="L102" s="585"/>
      <c r="M102" s="585" t="s">
        <v>121</v>
      </c>
      <c r="N102" s="585" t="s">
        <v>121</v>
      </c>
      <c r="O102" s="585" t="s">
        <v>121</v>
      </c>
      <c r="P102" s="585" t="s">
        <v>121</v>
      </c>
      <c r="Q102" s="585" t="s">
        <v>121</v>
      </c>
      <c r="R102" s="3132" t="s">
        <v>120</v>
      </c>
      <c r="S102" s="2968" t="s">
        <v>120</v>
      </c>
      <c r="T102" s="2968" t="s">
        <v>46</v>
      </c>
      <c r="U102" s="2968" t="s">
        <v>46</v>
      </c>
      <c r="V102" s="2968" t="s">
        <v>46</v>
      </c>
      <c r="W102" s="3132" t="s">
        <v>46</v>
      </c>
      <c r="X102" s="2998" t="s">
        <v>46</v>
      </c>
      <c r="Y102" s="3132"/>
      <c r="Z102" s="3132"/>
      <c r="AA102" s="3132">
        <v>25</v>
      </c>
      <c r="AB102" s="3132">
        <v>25</v>
      </c>
      <c r="AC102" s="3132">
        <v>25</v>
      </c>
      <c r="AD102" s="3132">
        <v>25</v>
      </c>
      <c r="AE102" s="3132">
        <v>25</v>
      </c>
      <c r="AF102" s="3132"/>
      <c r="AG102" s="3203">
        <v>26</v>
      </c>
      <c r="AH102" s="111"/>
    </row>
    <row r="103" spans="1:34" ht="18" customHeight="1">
      <c r="B103" s="3170" t="s">
        <v>380</v>
      </c>
      <c r="C103" s="2993">
        <v>26</v>
      </c>
      <c r="D103" s="510"/>
      <c r="E103" s="510"/>
      <c r="F103" s="510" t="s">
        <v>121</v>
      </c>
      <c r="G103" s="510" t="s">
        <v>121</v>
      </c>
      <c r="H103" s="510" t="s">
        <v>121</v>
      </c>
      <c r="I103" s="510" t="s">
        <v>121</v>
      </c>
      <c r="J103" s="510" t="s">
        <v>121</v>
      </c>
      <c r="K103" s="2993" t="s">
        <v>120</v>
      </c>
      <c r="L103" s="2993" t="s">
        <v>120</v>
      </c>
      <c r="M103" s="2993" t="s">
        <v>46</v>
      </c>
      <c r="N103" s="2993" t="s">
        <v>46</v>
      </c>
      <c r="O103" s="2993" t="s">
        <v>46</v>
      </c>
      <c r="P103" s="2993" t="s">
        <v>46</v>
      </c>
      <c r="Q103" s="2993" t="s">
        <v>46</v>
      </c>
      <c r="R103" s="2993"/>
      <c r="S103" s="2993"/>
      <c r="T103" s="2993">
        <v>25</v>
      </c>
      <c r="U103" s="2993">
        <v>25</v>
      </c>
      <c r="V103" s="2993">
        <v>25</v>
      </c>
      <c r="W103" s="2993">
        <v>25</v>
      </c>
      <c r="X103" s="2993">
        <v>25</v>
      </c>
      <c r="Y103" s="2993"/>
      <c r="Z103" s="2993">
        <v>26</v>
      </c>
      <c r="AA103" s="2993">
        <v>26</v>
      </c>
      <c r="AB103" s="2993">
        <v>26</v>
      </c>
      <c r="AC103" s="2993">
        <v>26</v>
      </c>
      <c r="AD103" s="2993">
        <v>26</v>
      </c>
      <c r="AE103" s="2993">
        <v>26</v>
      </c>
      <c r="AF103" s="510"/>
      <c r="AG103" s="558"/>
      <c r="AH103" s="111" t="s">
        <v>133</v>
      </c>
    </row>
    <row r="104" spans="1:34" ht="18" customHeight="1">
      <c r="B104" s="3165" t="s">
        <v>177</v>
      </c>
      <c r="C104" s="3132" t="s">
        <v>121</v>
      </c>
      <c r="D104" s="3132" t="s">
        <v>120</v>
      </c>
      <c r="E104" s="3132" t="s">
        <v>120</v>
      </c>
      <c r="F104" s="3132" t="s">
        <v>46</v>
      </c>
      <c r="G104" s="3132" t="s">
        <v>46</v>
      </c>
      <c r="H104" s="3132" t="s">
        <v>46</v>
      </c>
      <c r="I104" s="3132" t="s">
        <v>46</v>
      </c>
      <c r="J104" s="3132" t="s">
        <v>46</v>
      </c>
      <c r="K104" s="3132"/>
      <c r="L104" s="3132"/>
      <c r="M104" s="3132">
        <v>25</v>
      </c>
      <c r="N104" s="3132">
        <v>25</v>
      </c>
      <c r="O104" s="3132">
        <v>25</v>
      </c>
      <c r="P104" s="3132">
        <v>25</v>
      </c>
      <c r="Q104" s="3023">
        <v>25</v>
      </c>
      <c r="R104" s="3132"/>
      <c r="S104" s="3132">
        <v>26</v>
      </c>
      <c r="T104" s="2993">
        <v>26</v>
      </c>
      <c r="U104" s="2993">
        <v>26</v>
      </c>
      <c r="V104" s="2993">
        <v>26</v>
      </c>
      <c r="W104" s="2993">
        <v>26</v>
      </c>
      <c r="X104" s="2993">
        <v>26</v>
      </c>
      <c r="Y104" s="2993"/>
      <c r="Z104" s="2993"/>
      <c r="AA104" s="2993" t="s">
        <v>121</v>
      </c>
      <c r="AB104" s="2993" t="s">
        <v>121</v>
      </c>
      <c r="AC104" s="2993" t="s">
        <v>121</v>
      </c>
      <c r="AD104" s="2993" t="s">
        <v>121</v>
      </c>
      <c r="AE104" s="2993" t="s">
        <v>121</v>
      </c>
      <c r="AF104" s="2993" t="s">
        <v>120</v>
      </c>
      <c r="AG104" s="3204" t="s">
        <v>120</v>
      </c>
      <c r="AH104" s="193" t="s">
        <v>133</v>
      </c>
    </row>
    <row r="105" spans="1:34" ht="18" customHeight="1" thickBot="1">
      <c r="B105" s="2725" t="s">
        <v>461</v>
      </c>
      <c r="C105" s="3132" t="s">
        <v>46</v>
      </c>
      <c r="D105" s="3132"/>
      <c r="E105" s="3132"/>
      <c r="F105" s="3132">
        <v>25</v>
      </c>
      <c r="G105" s="3132">
        <v>25</v>
      </c>
      <c r="H105" s="3132">
        <v>25</v>
      </c>
      <c r="I105" s="3132">
        <v>25</v>
      </c>
      <c r="J105" s="3132">
        <v>25</v>
      </c>
      <c r="K105" s="3132" t="s">
        <v>104</v>
      </c>
      <c r="L105" s="3132">
        <v>26</v>
      </c>
      <c r="M105" s="3132">
        <v>26</v>
      </c>
      <c r="N105" s="3132">
        <v>26</v>
      </c>
      <c r="O105" s="3132">
        <v>26</v>
      </c>
      <c r="P105" s="3132">
        <v>26</v>
      </c>
      <c r="Q105" s="3132">
        <v>26</v>
      </c>
      <c r="R105" s="3132"/>
      <c r="S105" s="3132" t="s">
        <v>104</v>
      </c>
      <c r="T105" s="3132" t="s">
        <v>121</v>
      </c>
      <c r="U105" s="3132" t="s">
        <v>121</v>
      </c>
      <c r="V105" s="3132" t="s">
        <v>121</v>
      </c>
      <c r="W105" s="3132" t="s">
        <v>121</v>
      </c>
      <c r="X105" s="3132" t="s">
        <v>121</v>
      </c>
      <c r="Y105" s="3132" t="s">
        <v>120</v>
      </c>
      <c r="Z105" s="3132" t="s">
        <v>120</v>
      </c>
      <c r="AA105" s="3132" t="s">
        <v>46</v>
      </c>
      <c r="AB105" s="3132" t="s">
        <v>46</v>
      </c>
      <c r="AC105" s="3132" t="s">
        <v>46</v>
      </c>
      <c r="AD105" s="3132" t="s">
        <v>46</v>
      </c>
      <c r="AE105" s="3132" t="s">
        <v>46</v>
      </c>
      <c r="AF105" s="3132"/>
      <c r="AG105" s="3203"/>
      <c r="AH105" s="111"/>
    </row>
    <row r="106" spans="1:34" ht="18" customHeight="1">
      <c r="A106" s="114"/>
      <c r="B106" s="115"/>
      <c r="C106" s="126"/>
      <c r="D106" s="126"/>
      <c r="E106" s="126"/>
      <c r="F106" s="126"/>
      <c r="G106" s="126"/>
      <c r="H106" s="126"/>
      <c r="I106" s="126"/>
      <c r="J106" s="126"/>
      <c r="K106" s="126"/>
      <c r="L106" s="126"/>
      <c r="M106" s="126"/>
      <c r="N106" s="126"/>
      <c r="O106" s="126"/>
      <c r="P106" s="126"/>
      <c r="Q106" s="126"/>
      <c r="R106" s="126"/>
      <c r="S106" s="126"/>
      <c r="T106" s="126"/>
      <c r="U106" s="126"/>
      <c r="V106" s="126"/>
      <c r="W106" s="126"/>
      <c r="X106" s="126"/>
      <c r="Y106" s="126"/>
      <c r="Z106" s="126"/>
      <c r="AA106" s="126"/>
      <c r="AB106" s="126"/>
      <c r="AC106" s="126"/>
      <c r="AD106" s="126"/>
      <c r="AE106" s="126"/>
      <c r="AF106" s="126"/>
      <c r="AH106" s="111"/>
    </row>
    <row r="107" spans="1:34" ht="18" customHeight="1">
      <c r="A107" s="114"/>
      <c r="B107" s="115"/>
      <c r="C107" s="126"/>
      <c r="D107" s="126"/>
      <c r="E107" s="126"/>
      <c r="F107" s="126"/>
      <c r="G107" s="126"/>
      <c r="H107" s="126"/>
      <c r="I107" s="126"/>
      <c r="J107" s="126"/>
      <c r="K107" s="126"/>
      <c r="L107" s="126"/>
      <c r="M107" s="126"/>
      <c r="N107" s="126"/>
      <c r="O107" s="126"/>
      <c r="P107" s="126"/>
      <c r="Q107" s="126"/>
      <c r="R107" s="126"/>
      <c r="S107" s="126"/>
      <c r="T107" s="126"/>
      <c r="U107" s="126"/>
      <c r="V107" s="126"/>
      <c r="W107" s="126"/>
      <c r="X107" s="126"/>
      <c r="Y107" s="126"/>
      <c r="Z107" s="126"/>
      <c r="AA107" s="126"/>
      <c r="AB107" s="126"/>
      <c r="AC107" s="126"/>
      <c r="AD107" s="126"/>
      <c r="AE107" s="126"/>
      <c r="AF107" s="126"/>
      <c r="AH107" s="111"/>
    </row>
    <row r="108" spans="1:34" ht="18" customHeight="1" thickBot="1">
      <c r="A108" s="133" t="s">
        <v>178</v>
      </c>
      <c r="B108" s="115"/>
      <c r="C108" s="126"/>
      <c r="D108" s="126"/>
      <c r="E108" s="126"/>
      <c r="F108" s="126"/>
      <c r="G108" s="126"/>
      <c r="H108" s="126"/>
      <c r="I108" s="126"/>
      <c r="J108" s="126"/>
      <c r="K108" s="170"/>
      <c r="L108" s="170"/>
      <c r="M108" s="170"/>
      <c r="N108" s="170"/>
      <c r="O108" s="170"/>
      <c r="P108" s="126"/>
      <c r="Q108" s="126"/>
      <c r="R108" s="148"/>
      <c r="S108" s="148"/>
      <c r="T108" s="148"/>
      <c r="U108" s="126"/>
      <c r="V108" s="126"/>
      <c r="W108" s="126"/>
      <c r="X108" s="126"/>
      <c r="Y108" s="126"/>
      <c r="Z108" s="126"/>
      <c r="AA108" s="126"/>
      <c r="AB108" s="126"/>
      <c r="AC108" s="126"/>
      <c r="AD108" s="126"/>
      <c r="AE108" s="126"/>
      <c r="AF108" s="126"/>
      <c r="AH108" s="111"/>
    </row>
    <row r="109" spans="1:34" ht="18" customHeight="1" thickBot="1">
      <c r="A109" s="114"/>
      <c r="B109" s="134"/>
      <c r="C109" s="135"/>
      <c r="D109" s="135"/>
      <c r="E109" s="138"/>
      <c r="F109" s="135"/>
      <c r="G109" s="135"/>
      <c r="H109" s="135"/>
      <c r="I109" s="135"/>
      <c r="J109" s="135"/>
      <c r="K109" s="135"/>
      <c r="L109" s="135"/>
      <c r="M109" s="135"/>
      <c r="N109" s="135"/>
      <c r="O109" s="135"/>
      <c r="P109" s="135"/>
      <c r="Q109" s="135"/>
      <c r="R109" s="135"/>
      <c r="S109" s="135"/>
      <c r="T109" s="137"/>
      <c r="W109" s="101"/>
      <c r="X109" s="101"/>
      <c r="Y109" s="101"/>
      <c r="Z109" s="101"/>
      <c r="AA109" s="101"/>
      <c r="AB109" s="101"/>
      <c r="AC109" s="101"/>
      <c r="AD109" s="101"/>
      <c r="AE109" s="101"/>
      <c r="AF109" s="101"/>
      <c r="AH109" s="111"/>
    </row>
    <row r="110" spans="1:34" ht="18" customHeight="1" thickBot="1">
      <c r="A110" s="114"/>
      <c r="B110" s="160" t="s">
        <v>180</v>
      </c>
      <c r="C110" s="161"/>
      <c r="D110" s="161"/>
      <c r="E110" s="166" t="s">
        <v>181</v>
      </c>
      <c r="F110" s="161"/>
      <c r="G110" s="161"/>
      <c r="H110" s="161"/>
      <c r="I110" s="135"/>
      <c r="J110" s="135"/>
      <c r="K110" s="135"/>
      <c r="L110" s="144"/>
      <c r="M110" s="144"/>
      <c r="N110" s="144"/>
      <c r="O110" s="144"/>
      <c r="P110" s="144"/>
      <c r="Q110" s="144"/>
      <c r="R110" s="144"/>
      <c r="S110" s="144"/>
      <c r="T110" s="145"/>
      <c r="U110" s="101"/>
      <c r="V110" s="101"/>
      <c r="W110" s="101"/>
      <c r="X110" s="101"/>
      <c r="Y110" s="101"/>
      <c r="Z110" s="101"/>
      <c r="AA110" s="101"/>
      <c r="AB110" s="101"/>
      <c r="AC110" s="101"/>
      <c r="AD110" s="101"/>
      <c r="AE110" s="101"/>
      <c r="AF110" s="101"/>
      <c r="AH110" s="111"/>
    </row>
    <row r="111" spans="1:34" ht="18" customHeight="1" thickBot="1">
      <c r="A111" s="114"/>
      <c r="B111" s="142"/>
      <c r="C111" s="157"/>
      <c r="D111" s="157"/>
      <c r="E111" s="157"/>
      <c r="F111" s="157"/>
      <c r="G111" s="157"/>
      <c r="H111" s="157"/>
      <c r="I111" s="157"/>
      <c r="J111" s="157"/>
      <c r="K111" s="157"/>
      <c r="L111" s="131"/>
      <c r="M111" s="131"/>
      <c r="N111" s="131"/>
      <c r="O111" s="131"/>
      <c r="P111" s="131"/>
      <c r="Q111" s="131"/>
      <c r="R111" s="131"/>
      <c r="S111" s="131"/>
      <c r="T111" s="131"/>
      <c r="U111" s="101"/>
      <c r="V111" s="101"/>
      <c r="W111" s="101"/>
      <c r="X111" s="101"/>
      <c r="Y111" s="101"/>
      <c r="Z111" s="101"/>
      <c r="AA111" s="101"/>
      <c r="AB111" s="101"/>
      <c r="AC111" s="101"/>
      <c r="AD111" s="101"/>
      <c r="AE111" s="101"/>
      <c r="AF111" s="101"/>
      <c r="AH111" s="111"/>
    </row>
    <row r="112" spans="1:34" ht="18" customHeight="1" thickBot="1">
      <c r="A112" s="114"/>
      <c r="B112" s="3205" t="s">
        <v>421</v>
      </c>
      <c r="C112" s="2985">
        <v>1</v>
      </c>
      <c r="D112" s="2986">
        <v>2</v>
      </c>
      <c r="E112" s="2986">
        <v>3</v>
      </c>
      <c r="F112" s="2985">
        <v>4</v>
      </c>
      <c r="G112" s="2985">
        <v>5</v>
      </c>
      <c r="H112" s="2985">
        <v>6</v>
      </c>
      <c r="I112" s="2985">
        <v>7</v>
      </c>
      <c r="J112" s="2985">
        <v>8</v>
      </c>
      <c r="K112" s="2986">
        <v>9</v>
      </c>
      <c r="L112" s="2986">
        <v>10</v>
      </c>
      <c r="M112" s="2985">
        <v>11</v>
      </c>
      <c r="N112" s="2985">
        <v>12</v>
      </c>
      <c r="O112" s="2985">
        <v>13</v>
      </c>
      <c r="P112" s="2985">
        <v>14</v>
      </c>
      <c r="Q112" s="2985">
        <v>15</v>
      </c>
      <c r="R112" s="2986">
        <v>16</v>
      </c>
      <c r="S112" s="2986">
        <v>17</v>
      </c>
      <c r="T112" s="2985">
        <v>18</v>
      </c>
      <c r="U112" s="2985">
        <v>19</v>
      </c>
      <c r="V112" s="2985">
        <v>20</v>
      </c>
      <c r="W112" s="2985">
        <v>21</v>
      </c>
      <c r="X112" s="2985">
        <v>22</v>
      </c>
      <c r="Y112" s="2986">
        <v>23</v>
      </c>
      <c r="Z112" s="2986">
        <v>24</v>
      </c>
      <c r="AA112" s="2985">
        <v>25</v>
      </c>
      <c r="AB112" s="2985">
        <v>26</v>
      </c>
      <c r="AC112" s="2985">
        <v>27</v>
      </c>
      <c r="AD112" s="2985">
        <v>28</v>
      </c>
      <c r="AE112" s="2985">
        <v>29</v>
      </c>
      <c r="AF112" s="2986">
        <v>30</v>
      </c>
      <c r="AG112" s="3201">
        <v>31</v>
      </c>
      <c r="AH112" s="111"/>
    </row>
    <row r="113" spans="1:34" ht="18" customHeight="1">
      <c r="B113" s="1981" t="s">
        <v>184</v>
      </c>
      <c r="C113" s="1982" t="s">
        <v>46</v>
      </c>
      <c r="D113" s="1982" t="s">
        <v>46</v>
      </c>
      <c r="E113" s="1982" t="s">
        <v>46</v>
      </c>
      <c r="F113" s="1982" t="s">
        <v>46</v>
      </c>
      <c r="G113" s="1982" t="s">
        <v>46</v>
      </c>
      <c r="H113" s="1982" t="s">
        <v>46</v>
      </c>
      <c r="I113" s="1982" t="s">
        <v>118</v>
      </c>
      <c r="J113" s="1982" t="s">
        <v>118</v>
      </c>
      <c r="K113" s="1982" t="s">
        <v>118</v>
      </c>
      <c r="L113" s="1982" t="s">
        <v>118</v>
      </c>
      <c r="M113" s="1982" t="s">
        <v>118</v>
      </c>
      <c r="N113" s="1982" t="s">
        <v>118</v>
      </c>
      <c r="O113" s="1982" t="s">
        <v>46</v>
      </c>
      <c r="P113" s="1982" t="s">
        <v>46</v>
      </c>
      <c r="Q113" s="1982" t="s">
        <v>46</v>
      </c>
      <c r="R113" s="1982" t="s">
        <v>46</v>
      </c>
      <c r="S113" s="1982" t="s">
        <v>46</v>
      </c>
      <c r="T113" s="3206" t="s">
        <v>46</v>
      </c>
      <c r="U113" s="3206" t="s">
        <v>46</v>
      </c>
      <c r="V113" s="3206" t="s">
        <v>46</v>
      </c>
      <c r="W113" s="3206" t="s">
        <v>46</v>
      </c>
      <c r="X113" s="3206" t="s">
        <v>46</v>
      </c>
      <c r="Y113" s="1982" t="s">
        <v>46</v>
      </c>
      <c r="Z113" s="1982" t="s">
        <v>46</v>
      </c>
      <c r="AA113" s="1982" t="s">
        <v>118</v>
      </c>
      <c r="AB113" s="1982" t="s">
        <v>118</v>
      </c>
      <c r="AC113" s="1982" t="s">
        <v>118</v>
      </c>
      <c r="AD113" s="1982" t="s">
        <v>118</v>
      </c>
      <c r="AE113" s="1982" t="s">
        <v>118</v>
      </c>
      <c r="AF113" s="1982" t="s">
        <v>118</v>
      </c>
      <c r="AG113" s="1982" t="s">
        <v>46</v>
      </c>
      <c r="AH113" s="111"/>
    </row>
    <row r="114" spans="1:34" ht="18" customHeight="1">
      <c r="B114" s="3207" t="s">
        <v>185</v>
      </c>
      <c r="C114" t="s">
        <v>118</v>
      </c>
      <c r="D114" s="3208" t="s">
        <v>118</v>
      </c>
      <c r="E114" s="3208" t="s">
        <v>118</v>
      </c>
      <c r="F114" s="3209" t="s">
        <v>118</v>
      </c>
      <c r="G114" s="3209" t="s">
        <v>118</v>
      </c>
      <c r="H114" s="3209" t="s">
        <v>118</v>
      </c>
      <c r="I114" s="3209" t="s">
        <v>46</v>
      </c>
      <c r="J114" s="3209" t="s">
        <v>46</v>
      </c>
      <c r="K114" s="3209" t="s">
        <v>46</v>
      </c>
      <c r="L114" s="3209" t="s">
        <v>46</v>
      </c>
      <c r="M114" s="3210" t="s">
        <v>46</v>
      </c>
      <c r="N114" s="3210" t="s">
        <v>46</v>
      </c>
      <c r="O114" s="3210" t="s">
        <v>118</v>
      </c>
      <c r="P114" s="3210" t="s">
        <v>118</v>
      </c>
      <c r="Q114" s="3210" t="s">
        <v>118</v>
      </c>
      <c r="R114" s="3208" t="s">
        <v>118</v>
      </c>
      <c r="S114" s="3208" t="s">
        <v>118</v>
      </c>
      <c r="T114" s="3209" t="s">
        <v>118</v>
      </c>
      <c r="U114" s="3209" t="s">
        <v>46</v>
      </c>
      <c r="V114" s="3209" t="s">
        <v>46</v>
      </c>
      <c r="W114" s="3209" t="s">
        <v>46</v>
      </c>
      <c r="X114" s="3209" t="s">
        <v>46</v>
      </c>
      <c r="Y114" s="3209" t="s">
        <v>46</v>
      </c>
      <c r="Z114" s="3209" t="s">
        <v>46</v>
      </c>
      <c r="AA114" s="3211" t="s">
        <v>46</v>
      </c>
      <c r="AB114" s="3210" t="s">
        <v>46</v>
      </c>
      <c r="AC114" s="3210" t="s">
        <v>46</v>
      </c>
      <c r="AD114" s="3211" t="s">
        <v>46</v>
      </c>
      <c r="AE114" s="3210" t="s">
        <v>46</v>
      </c>
      <c r="AF114" s="3208" t="s">
        <v>46</v>
      </c>
      <c r="AG114" s="3208" t="s">
        <v>118</v>
      </c>
      <c r="AH114" s="111"/>
    </row>
    <row r="115" spans="1:34" ht="18" customHeight="1" thickBot="1">
      <c r="B115" s="3212" t="s">
        <v>385</v>
      </c>
      <c r="C115" s="3213" t="s">
        <v>46</v>
      </c>
      <c r="D115" s="3213" t="s">
        <v>46</v>
      </c>
      <c r="E115" s="3213" t="s">
        <v>46</v>
      </c>
      <c r="F115" s="3213" t="s">
        <v>46</v>
      </c>
      <c r="G115" s="3213" t="s">
        <v>143</v>
      </c>
      <c r="H115" s="3214" t="s">
        <v>46</v>
      </c>
      <c r="I115" s="3215" t="s">
        <v>118</v>
      </c>
      <c r="J115" s="3215" t="s">
        <v>118</v>
      </c>
      <c r="K115" s="3215" t="s">
        <v>118</v>
      </c>
      <c r="L115" s="3215" t="s">
        <v>118</v>
      </c>
      <c r="M115" s="3118" t="s">
        <v>118</v>
      </c>
      <c r="N115" s="3118" t="s">
        <v>118</v>
      </c>
      <c r="O115" s="3216" t="s">
        <v>46</v>
      </c>
      <c r="P115" s="3216" t="s">
        <v>46</v>
      </c>
      <c r="Q115" s="3216" t="s">
        <v>46</v>
      </c>
      <c r="R115" s="3216" t="s">
        <v>46</v>
      </c>
      <c r="S115" s="3216" t="s">
        <v>46</v>
      </c>
      <c r="T115" s="3216" t="s">
        <v>46</v>
      </c>
      <c r="U115" s="3216" t="s">
        <v>46</v>
      </c>
      <c r="V115" s="3216" t="s">
        <v>46</v>
      </c>
      <c r="W115" s="3216" t="s">
        <v>46</v>
      </c>
      <c r="X115" s="3216" t="s">
        <v>46</v>
      </c>
      <c r="Y115" s="3216" t="s">
        <v>46</v>
      </c>
      <c r="Z115" s="3216" t="s">
        <v>46</v>
      </c>
      <c r="AA115" s="3118" t="s">
        <v>118</v>
      </c>
      <c r="AB115" s="3118" t="s">
        <v>118</v>
      </c>
      <c r="AC115" s="3118" t="s">
        <v>118</v>
      </c>
      <c r="AD115" s="3118" t="s">
        <v>118</v>
      </c>
      <c r="AE115" s="3118" t="s">
        <v>118</v>
      </c>
      <c r="AF115" s="3118" t="s">
        <v>118</v>
      </c>
      <c r="AG115" s="3214" t="s">
        <v>46</v>
      </c>
      <c r="AH115" s="111" t="s">
        <v>133</v>
      </c>
    </row>
    <row r="116" spans="1:34" ht="18" customHeight="1">
      <c r="B116" s="142"/>
      <c r="C116" s="124"/>
      <c r="D116" s="124"/>
      <c r="E116" s="116"/>
      <c r="F116" s="116"/>
      <c r="G116" s="116"/>
      <c r="H116" s="116"/>
      <c r="I116" s="116"/>
      <c r="J116" s="116"/>
      <c r="K116" s="116"/>
      <c r="L116" s="116"/>
      <c r="M116" s="116"/>
      <c r="N116" s="116"/>
      <c r="O116" s="116"/>
      <c r="P116" s="116"/>
      <c r="Q116" s="116"/>
      <c r="R116" s="116"/>
      <c r="S116" s="116"/>
      <c r="T116" s="116"/>
      <c r="U116" s="116"/>
      <c r="V116" s="116"/>
      <c r="W116" s="116"/>
      <c r="X116" s="116"/>
      <c r="Y116" s="116"/>
      <c r="Z116" s="116"/>
      <c r="AA116" s="116"/>
      <c r="AB116" s="116"/>
      <c r="AC116" s="116"/>
      <c r="AD116" s="116"/>
      <c r="AE116" s="116"/>
      <c r="AF116" s="116"/>
      <c r="AH116" s="111"/>
    </row>
    <row r="117" spans="1:34" ht="18" customHeight="1" thickBot="1">
      <c r="A117" s="3" t="s">
        <v>188</v>
      </c>
    </row>
    <row r="118" spans="1:34" ht="18" customHeight="1" thickBot="1">
      <c r="B118" s="134"/>
      <c r="C118" s="135"/>
      <c r="D118" s="135"/>
      <c r="E118" s="138"/>
      <c r="F118" s="135"/>
      <c r="G118" s="135"/>
      <c r="H118" s="135"/>
      <c r="I118" s="135"/>
      <c r="J118" s="135"/>
      <c r="K118" s="135"/>
      <c r="L118" s="135"/>
      <c r="M118" s="135"/>
      <c r="N118" s="135"/>
      <c r="O118" s="135"/>
      <c r="P118" s="135"/>
      <c r="Q118" s="135"/>
      <c r="R118" s="135"/>
      <c r="S118" s="135"/>
      <c r="T118" s="137"/>
    </row>
    <row r="119" spans="1:34" ht="18" customHeight="1" thickBot="1">
      <c r="B119" s="160" t="s">
        <v>180</v>
      </c>
      <c r="C119" s="161"/>
      <c r="D119" s="161"/>
      <c r="E119" s="166" t="s">
        <v>189</v>
      </c>
      <c r="F119" s="161"/>
      <c r="G119" s="161"/>
      <c r="H119" s="135"/>
      <c r="I119" s="135"/>
      <c r="J119" s="135"/>
      <c r="K119" s="135"/>
      <c r="L119" s="144"/>
      <c r="M119" s="144"/>
      <c r="N119" s="144"/>
      <c r="O119" s="144"/>
      <c r="P119" s="144"/>
      <c r="Q119" s="144"/>
      <c r="R119" s="144"/>
      <c r="S119" s="144"/>
      <c r="T119" s="145"/>
      <c r="U119" s="101"/>
      <c r="V119" s="101"/>
    </row>
    <row r="120" spans="1:34" ht="18" customHeight="1" thickBot="1">
      <c r="T120" s="101"/>
      <c r="U120" s="101"/>
      <c r="V120" s="101"/>
    </row>
    <row r="121" spans="1:34" ht="18" customHeight="1" thickBot="1">
      <c r="B121" s="3217" t="s">
        <v>423</v>
      </c>
      <c r="C121" s="2985">
        <v>1</v>
      </c>
      <c r="D121" s="2986">
        <v>2</v>
      </c>
      <c r="E121" s="2986">
        <v>3</v>
      </c>
      <c r="F121" s="2985">
        <v>4</v>
      </c>
      <c r="G121" s="2985">
        <v>5</v>
      </c>
      <c r="H121" s="2985">
        <v>6</v>
      </c>
      <c r="I121" s="2985">
        <v>7</v>
      </c>
      <c r="J121" s="2985">
        <v>8</v>
      </c>
      <c r="K121" s="2986">
        <v>9</v>
      </c>
      <c r="L121" s="2986">
        <v>10</v>
      </c>
      <c r="M121" s="2985">
        <v>11</v>
      </c>
      <c r="N121" s="2985">
        <v>12</v>
      </c>
      <c r="O121" s="2985">
        <v>13</v>
      </c>
      <c r="P121" s="2985">
        <v>14</v>
      </c>
      <c r="Q121" s="2985">
        <v>15</v>
      </c>
      <c r="R121" s="2986">
        <v>16</v>
      </c>
      <c r="S121" s="2986">
        <v>17</v>
      </c>
      <c r="T121" s="2985">
        <v>18</v>
      </c>
      <c r="U121" s="2985">
        <v>19</v>
      </c>
      <c r="V121" s="2985">
        <v>20</v>
      </c>
      <c r="W121" s="2985">
        <v>21</v>
      </c>
      <c r="X121" s="2985">
        <v>22</v>
      </c>
      <c r="Y121" s="2986">
        <v>23</v>
      </c>
      <c r="Z121" s="2986">
        <v>24</v>
      </c>
      <c r="AA121" s="2985">
        <v>25</v>
      </c>
      <c r="AB121" s="2985">
        <v>26</v>
      </c>
      <c r="AC121" s="2985">
        <v>27</v>
      </c>
      <c r="AD121" s="2985">
        <v>28</v>
      </c>
      <c r="AE121" s="2985">
        <v>29</v>
      </c>
      <c r="AF121" s="2986">
        <v>30</v>
      </c>
      <c r="AG121" s="2986">
        <v>31</v>
      </c>
    </row>
    <row r="122" spans="1:34" ht="18" customHeight="1">
      <c r="B122" s="3218" t="s">
        <v>190</v>
      </c>
      <c r="C122" s="484" t="s">
        <v>46</v>
      </c>
      <c r="D122" s="3164" t="s">
        <v>61</v>
      </c>
      <c r="E122" s="3164" t="s">
        <v>61</v>
      </c>
      <c r="F122" s="3164" t="s">
        <v>61</v>
      </c>
      <c r="G122" s="3156" t="s">
        <v>46</v>
      </c>
      <c r="H122" s="3156" t="s">
        <v>46</v>
      </c>
      <c r="I122" s="3156" t="s">
        <v>46</v>
      </c>
      <c r="J122" s="3156" t="s">
        <v>46</v>
      </c>
      <c r="K122" s="3156" t="s">
        <v>46</v>
      </c>
      <c r="L122" s="3156" t="s">
        <v>61</v>
      </c>
      <c r="M122" s="3156" t="s">
        <v>61</v>
      </c>
      <c r="N122" s="3156" t="s">
        <v>61</v>
      </c>
      <c r="O122" s="3156" t="s">
        <v>46</v>
      </c>
      <c r="P122" s="3164" t="s">
        <v>46</v>
      </c>
      <c r="Q122" s="3164" t="s">
        <v>46</v>
      </c>
      <c r="R122" s="3164" t="s">
        <v>46</v>
      </c>
      <c r="S122" s="3164" t="s">
        <v>46</v>
      </c>
      <c r="T122" s="3164" t="s">
        <v>61</v>
      </c>
      <c r="U122" s="3164" t="s">
        <v>61</v>
      </c>
      <c r="V122" s="3147" t="s">
        <v>61</v>
      </c>
      <c r="W122" s="3147" t="s">
        <v>46</v>
      </c>
      <c r="X122" s="3147" t="s">
        <v>46</v>
      </c>
      <c r="Y122" s="3147" t="s">
        <v>46</v>
      </c>
      <c r="Z122" s="3219" t="s">
        <v>61</v>
      </c>
      <c r="AA122" s="3147" t="s">
        <v>46</v>
      </c>
      <c r="AB122" s="3147" t="s">
        <v>46</v>
      </c>
      <c r="AC122" s="3147" t="s">
        <v>46</v>
      </c>
      <c r="AD122" s="3147" t="s">
        <v>46</v>
      </c>
      <c r="AE122" s="3147" t="s">
        <v>61</v>
      </c>
      <c r="AF122" s="3147" t="s">
        <v>61</v>
      </c>
      <c r="AG122" s="3147" t="s">
        <v>61</v>
      </c>
    </row>
    <row r="123" spans="1:34" ht="18" customHeight="1" thickBot="1">
      <c r="B123" s="3218" t="s">
        <v>191</v>
      </c>
      <c r="C123" s="3164" t="s">
        <v>61</v>
      </c>
      <c r="D123" s="3156" t="s">
        <v>46</v>
      </c>
      <c r="E123" s="3156" t="s">
        <v>46</v>
      </c>
      <c r="F123" s="3156" t="s">
        <v>46</v>
      </c>
      <c r="G123" s="484" t="s">
        <v>61</v>
      </c>
      <c r="H123" s="484" t="s">
        <v>61</v>
      </c>
      <c r="I123" s="484" t="s">
        <v>61</v>
      </c>
      <c r="J123" s="484" t="s">
        <v>61</v>
      </c>
      <c r="K123" s="484" t="s">
        <v>46</v>
      </c>
      <c r="L123" s="484" t="s">
        <v>46</v>
      </c>
      <c r="M123" s="484" t="s">
        <v>46</v>
      </c>
      <c r="N123" s="484" t="s">
        <v>46</v>
      </c>
      <c r="O123" s="484" t="s">
        <v>61</v>
      </c>
      <c r="P123" s="3164" t="s">
        <v>61</v>
      </c>
      <c r="Q123" s="3164" t="s">
        <v>61</v>
      </c>
      <c r="R123" s="3164" t="s">
        <v>46</v>
      </c>
      <c r="S123" s="3164" t="s">
        <v>46</v>
      </c>
      <c r="T123" s="3164" t="s">
        <v>46</v>
      </c>
      <c r="U123" s="3164" t="s">
        <v>46</v>
      </c>
      <c r="V123" s="3164" t="s">
        <v>46</v>
      </c>
      <c r="W123" s="3164" t="s">
        <v>61</v>
      </c>
      <c r="X123" s="3164" t="s">
        <v>61</v>
      </c>
      <c r="Y123" s="3164" t="s">
        <v>61</v>
      </c>
      <c r="Z123" s="3164" t="s">
        <v>46</v>
      </c>
      <c r="AA123" s="3164" t="s">
        <v>46</v>
      </c>
      <c r="AB123" s="3171" t="s">
        <v>61</v>
      </c>
      <c r="AC123" s="3171" t="s">
        <v>61</v>
      </c>
      <c r="AD123" s="3171" t="s">
        <v>61</v>
      </c>
      <c r="AE123" s="3164" t="s">
        <v>46</v>
      </c>
      <c r="AF123" s="3164" t="s">
        <v>46</v>
      </c>
      <c r="AG123" s="3164" t="s">
        <v>46</v>
      </c>
    </row>
    <row r="124" spans="1:34" ht="18" customHeight="1">
      <c r="B124" s="3220" t="s">
        <v>0</v>
      </c>
      <c r="C124" s="3221" t="s">
        <v>0</v>
      </c>
      <c r="D124" s="3221" t="s">
        <v>0</v>
      </c>
      <c r="E124" s="3221" t="s">
        <v>0</v>
      </c>
      <c r="F124" s="3221" t="s">
        <v>0</v>
      </c>
      <c r="G124" s="3221" t="s">
        <v>0</v>
      </c>
      <c r="H124" s="3221" t="s">
        <v>0</v>
      </c>
      <c r="I124" s="3221" t="s">
        <v>0</v>
      </c>
      <c r="J124" s="3221" t="s">
        <v>0</v>
      </c>
      <c r="K124" s="3221"/>
      <c r="L124" s="3221"/>
      <c r="M124" s="3221" t="s">
        <v>0</v>
      </c>
      <c r="N124" s="3221" t="s">
        <v>0</v>
      </c>
      <c r="O124" s="3221" t="s">
        <v>0</v>
      </c>
      <c r="P124" s="3221" t="s">
        <v>0</v>
      </c>
      <c r="Q124" s="3221" t="s">
        <v>0</v>
      </c>
      <c r="R124" s="3221" t="s">
        <v>0</v>
      </c>
      <c r="S124" s="3221" t="s">
        <v>0</v>
      </c>
      <c r="T124" s="3221" t="s">
        <v>0</v>
      </c>
      <c r="U124" s="3221" t="s">
        <v>0</v>
      </c>
      <c r="V124" s="3221" t="s">
        <v>0</v>
      </c>
      <c r="W124" s="3221" t="s">
        <v>0</v>
      </c>
      <c r="X124" s="3221" t="s">
        <v>0</v>
      </c>
      <c r="Y124" s="3221"/>
      <c r="Z124" s="3221"/>
      <c r="AA124" s="3221" t="s">
        <v>0</v>
      </c>
      <c r="AB124" s="3221" t="s">
        <v>0</v>
      </c>
      <c r="AC124" s="3221" t="s">
        <v>0</v>
      </c>
      <c r="AD124" s="3221" t="s">
        <v>0</v>
      </c>
      <c r="AE124" s="3221" t="s">
        <v>0</v>
      </c>
      <c r="AF124" s="3221" t="s">
        <v>0</v>
      </c>
    </row>
    <row r="125" spans="1:34" ht="18" customHeight="1" thickBot="1">
      <c r="A125" s="3" t="s">
        <v>192</v>
      </c>
    </row>
    <row r="126" spans="1:34" ht="18" customHeight="1" thickBot="1">
      <c r="B126" s="134"/>
      <c r="C126" s="135"/>
      <c r="D126" s="135"/>
      <c r="E126" s="138"/>
      <c r="F126" s="135"/>
      <c r="G126" s="135"/>
      <c r="H126" s="135"/>
      <c r="I126" s="135"/>
      <c r="J126" s="135"/>
      <c r="K126" s="141"/>
      <c r="L126" s="139"/>
      <c r="M126" s="139"/>
      <c r="N126" s="139"/>
      <c r="O126" s="139"/>
      <c r="P126" s="139"/>
      <c r="Q126" s="139"/>
      <c r="R126" s="139"/>
      <c r="S126" s="139"/>
      <c r="T126" s="140"/>
    </row>
    <row r="127" spans="1:34" ht="18" customHeight="1" thickBot="1">
      <c r="B127" s="160" t="s">
        <v>180</v>
      </c>
      <c r="C127" s="161"/>
      <c r="D127" s="161"/>
      <c r="E127" s="166" t="s">
        <v>193</v>
      </c>
      <c r="F127" s="161"/>
      <c r="G127" s="161"/>
      <c r="H127" s="135"/>
      <c r="I127" s="135"/>
      <c r="J127" s="135"/>
      <c r="K127" s="135"/>
      <c r="L127" s="135"/>
      <c r="M127" s="135"/>
      <c r="N127" s="135"/>
      <c r="O127" s="135"/>
      <c r="P127" s="135"/>
      <c r="Q127" s="135"/>
      <c r="R127" s="147"/>
      <c r="S127" s="147"/>
      <c r="T127" s="147"/>
    </row>
    <row r="129" spans="1:37" ht="18" customHeight="1" thickBot="1">
      <c r="B129" s="3217" t="s">
        <v>424</v>
      </c>
      <c r="C129" s="2985">
        <v>1</v>
      </c>
      <c r="D129" s="2986">
        <v>2</v>
      </c>
      <c r="E129" s="2986">
        <v>3</v>
      </c>
      <c r="F129" s="2985">
        <v>4</v>
      </c>
      <c r="G129" s="2985">
        <v>5</v>
      </c>
      <c r="H129" s="2985">
        <v>6</v>
      </c>
      <c r="I129" s="2985">
        <v>7</v>
      </c>
      <c r="J129" s="2985">
        <v>8</v>
      </c>
      <c r="K129" s="2986">
        <v>9</v>
      </c>
      <c r="L129" s="2986">
        <v>10</v>
      </c>
      <c r="M129" s="2985">
        <v>11</v>
      </c>
      <c r="N129" s="2985">
        <v>12</v>
      </c>
      <c r="O129" s="2985">
        <v>13</v>
      </c>
      <c r="P129" s="2985">
        <v>14</v>
      </c>
      <c r="Q129" s="2985">
        <v>15</v>
      </c>
      <c r="R129" s="2986">
        <v>16</v>
      </c>
      <c r="S129" s="2986">
        <v>17</v>
      </c>
      <c r="T129" s="2985">
        <v>18</v>
      </c>
      <c r="U129" s="2985">
        <v>19</v>
      </c>
      <c r="V129" s="2985">
        <v>20</v>
      </c>
      <c r="W129" s="2985">
        <v>21</v>
      </c>
      <c r="X129" s="2985">
        <v>22</v>
      </c>
      <c r="Y129" s="2986">
        <v>23</v>
      </c>
      <c r="Z129" s="2986">
        <v>24</v>
      </c>
      <c r="AA129" s="2985">
        <v>25</v>
      </c>
      <c r="AB129" s="2985">
        <v>26</v>
      </c>
      <c r="AC129" s="2985">
        <v>27</v>
      </c>
      <c r="AD129" s="2985">
        <v>28</v>
      </c>
      <c r="AE129" s="2985">
        <v>29</v>
      </c>
      <c r="AF129" s="2986">
        <v>30</v>
      </c>
      <c r="AG129" s="2986">
        <v>31</v>
      </c>
    </row>
    <row r="130" spans="1:37" ht="18" customHeight="1">
      <c r="B130" s="1997" t="s">
        <v>462</v>
      </c>
      <c r="C130" s="2752" t="s">
        <v>139</v>
      </c>
      <c r="D130" s="2752" t="s">
        <v>139</v>
      </c>
      <c r="E130" s="2752" t="s">
        <v>46</v>
      </c>
      <c r="F130" s="2752" t="s">
        <v>46</v>
      </c>
      <c r="G130" s="2752" t="s">
        <v>46</v>
      </c>
      <c r="H130" s="2752" t="s">
        <v>46</v>
      </c>
      <c r="I130" s="2752" t="s">
        <v>46</v>
      </c>
      <c r="J130" s="2752" t="s">
        <v>46</v>
      </c>
      <c r="K130" s="2752" t="s">
        <v>139</v>
      </c>
      <c r="L130" s="2752" t="s">
        <v>139</v>
      </c>
      <c r="M130" s="2752" t="s">
        <v>139</v>
      </c>
      <c r="N130" s="2752" t="s">
        <v>139</v>
      </c>
      <c r="O130" s="2752" t="s">
        <v>139</v>
      </c>
      <c r="P130" s="2752" t="s">
        <v>139</v>
      </c>
      <c r="Q130" s="2752" t="s">
        <v>46</v>
      </c>
      <c r="R130" s="2752" t="s">
        <v>46</v>
      </c>
      <c r="S130" s="2752" t="s">
        <v>46</v>
      </c>
      <c r="T130" s="1999" t="s">
        <v>113</v>
      </c>
      <c r="U130" s="1999" t="s">
        <v>113</v>
      </c>
      <c r="V130" s="1999" t="s">
        <v>113</v>
      </c>
      <c r="W130" s="2000" t="s">
        <v>139</v>
      </c>
      <c r="X130" s="2000" t="s">
        <v>139</v>
      </c>
      <c r="Y130" s="2000" t="s">
        <v>139</v>
      </c>
      <c r="Z130" s="2000" t="s">
        <v>139</v>
      </c>
      <c r="AA130" s="2000" t="s">
        <v>139</v>
      </c>
      <c r="AB130" s="2000" t="s">
        <v>139</v>
      </c>
      <c r="AC130" s="1998" t="s">
        <v>46</v>
      </c>
      <c r="AD130" s="1998" t="s">
        <v>46</v>
      </c>
      <c r="AE130" s="1998" t="s">
        <v>46</v>
      </c>
      <c r="AF130" s="1998" t="s">
        <v>46</v>
      </c>
      <c r="AG130" s="3222" t="s">
        <v>46</v>
      </c>
      <c r="AH130" s="281" t="s">
        <v>133</v>
      </c>
    </row>
    <row r="131" spans="1:37" ht="18" customHeight="1">
      <c r="B131" s="2977" t="s">
        <v>195</v>
      </c>
      <c r="C131" s="3164" t="s">
        <v>46</v>
      </c>
      <c r="D131" s="3164" t="s">
        <v>46</v>
      </c>
      <c r="E131" s="3171" t="s">
        <v>139</v>
      </c>
      <c r="F131" s="3171" t="s">
        <v>139</v>
      </c>
      <c r="G131" s="3171" t="s">
        <v>139</v>
      </c>
      <c r="H131" s="3171" t="s">
        <v>139</v>
      </c>
      <c r="I131" s="3171" t="s">
        <v>139</v>
      </c>
      <c r="J131" s="3164" t="s">
        <v>139</v>
      </c>
      <c r="K131" s="3164" t="s">
        <v>46</v>
      </c>
      <c r="L131" s="3164" t="s">
        <v>46</v>
      </c>
      <c r="M131" s="3164" t="s">
        <v>46</v>
      </c>
      <c r="N131" s="3164" t="s">
        <v>46</v>
      </c>
      <c r="O131" s="3164" t="s">
        <v>46</v>
      </c>
      <c r="P131" s="3164" t="s">
        <v>46</v>
      </c>
      <c r="Q131" s="3164" t="s">
        <v>139</v>
      </c>
      <c r="R131" s="3164" t="s">
        <v>139</v>
      </c>
      <c r="S131" s="3164" t="s">
        <v>139</v>
      </c>
      <c r="T131" s="3145" t="s">
        <v>139</v>
      </c>
      <c r="U131" s="3145" t="s">
        <v>139</v>
      </c>
      <c r="V131" s="3145" t="s">
        <v>139</v>
      </c>
      <c r="W131" s="3145" t="s">
        <v>46</v>
      </c>
      <c r="X131" s="3145" t="s">
        <v>46</v>
      </c>
      <c r="Y131" s="3145" t="s">
        <v>46</v>
      </c>
      <c r="Z131" s="3145" t="s">
        <v>46</v>
      </c>
      <c r="AA131" s="3145" t="s">
        <v>46</v>
      </c>
      <c r="AB131" s="3145" t="s">
        <v>46</v>
      </c>
      <c r="AC131" s="3145" t="s">
        <v>139</v>
      </c>
      <c r="AD131" s="3145" t="s">
        <v>139</v>
      </c>
      <c r="AE131" s="3145" t="s">
        <v>139</v>
      </c>
      <c r="AF131" s="3145" t="s">
        <v>139</v>
      </c>
      <c r="AG131" s="3223" t="s">
        <v>139</v>
      </c>
      <c r="AH131" s="284" t="s">
        <v>133</v>
      </c>
    </row>
    <row r="132" spans="1:37" ht="18" customHeight="1">
      <c r="B132" s="115"/>
      <c r="C132" s="116"/>
      <c r="D132" s="116"/>
      <c r="E132" s="116"/>
      <c r="F132" s="116"/>
      <c r="G132" s="116"/>
      <c r="H132" s="116"/>
      <c r="I132" s="116"/>
      <c r="J132" s="116"/>
      <c r="K132" s="116"/>
      <c r="L132" s="116"/>
      <c r="M132" s="116"/>
      <c r="N132" s="116"/>
      <c r="O132" s="116"/>
      <c r="P132" s="116"/>
      <c r="Q132" s="116"/>
      <c r="R132" s="116"/>
      <c r="S132" s="116"/>
      <c r="T132" s="116"/>
      <c r="U132" s="116"/>
      <c r="V132" s="116"/>
      <c r="W132" s="116"/>
      <c r="X132" s="116"/>
      <c r="Y132" s="116"/>
      <c r="Z132" s="116"/>
      <c r="AA132" s="116"/>
      <c r="AB132" s="116"/>
      <c r="AC132" s="116"/>
      <c r="AD132" s="116"/>
      <c r="AE132" s="116"/>
      <c r="AF132" s="116"/>
    </row>
    <row r="133" spans="1:37" ht="18" customHeight="1" thickBot="1">
      <c r="A133" s="3" t="s">
        <v>196</v>
      </c>
    </row>
    <row r="134" spans="1:37" ht="18" customHeight="1" thickBot="1">
      <c r="B134" s="134"/>
      <c r="C134" s="135"/>
      <c r="D134" s="135"/>
      <c r="E134" s="138" t="s">
        <v>179</v>
      </c>
      <c r="F134" s="135"/>
      <c r="G134" s="135"/>
      <c r="H134" s="135"/>
      <c r="I134" s="135"/>
      <c r="J134" s="135"/>
      <c r="K134" s="141" t="s">
        <v>15</v>
      </c>
      <c r="L134" s="139"/>
      <c r="M134" s="139"/>
      <c r="N134" s="139"/>
      <c r="O134" s="139"/>
      <c r="P134" s="139"/>
      <c r="Q134" s="139"/>
      <c r="R134" s="139"/>
      <c r="S134" s="139"/>
      <c r="T134" s="140"/>
      <c r="AI134" s="2754" t="s">
        <v>425</v>
      </c>
      <c r="AJ134" s="3224"/>
      <c r="AK134" s="3224"/>
    </row>
    <row r="135" spans="1:37" ht="18" customHeight="1" thickBot="1">
      <c r="B135" s="134" t="s">
        <v>180</v>
      </c>
      <c r="C135" s="135"/>
      <c r="D135" s="135"/>
      <c r="E135" s="136" t="s">
        <v>389</v>
      </c>
      <c r="F135" s="135"/>
      <c r="G135" s="135"/>
      <c r="H135" s="135"/>
      <c r="I135" s="135"/>
      <c r="J135" s="135"/>
      <c r="K135" s="135" t="s">
        <v>0</v>
      </c>
      <c r="L135" s="135"/>
      <c r="M135" s="135"/>
      <c r="N135" s="135" t="s">
        <v>463</v>
      </c>
      <c r="O135" s="135"/>
      <c r="P135" s="135"/>
      <c r="Q135" s="135"/>
      <c r="R135" s="147" t="s">
        <v>0</v>
      </c>
      <c r="S135" s="147"/>
      <c r="T135" s="147"/>
      <c r="AI135" s="288" t="s">
        <v>426</v>
      </c>
      <c r="AJ135" s="289" t="s">
        <v>427</v>
      </c>
      <c r="AK135" s="289" t="s">
        <v>428</v>
      </c>
    </row>
    <row r="136" spans="1:37" ht="18" customHeight="1" thickBot="1">
      <c r="T136" s="101"/>
      <c r="U136" s="101"/>
      <c r="V136" s="101"/>
      <c r="AI136" s="288" t="s">
        <v>20</v>
      </c>
      <c r="AJ136" s="289"/>
      <c r="AK136" s="289" t="s">
        <v>428</v>
      </c>
    </row>
    <row r="137" spans="1:37" ht="18" customHeight="1" thickBot="1">
      <c r="B137" s="3217" t="s">
        <v>197</v>
      </c>
      <c r="C137" s="2985">
        <v>1</v>
      </c>
      <c r="D137" s="2986">
        <v>2</v>
      </c>
      <c r="E137" s="2986">
        <v>3</v>
      </c>
      <c r="F137" s="2985">
        <v>4</v>
      </c>
      <c r="G137" s="2985">
        <v>5</v>
      </c>
      <c r="H137" s="2985">
        <v>6</v>
      </c>
      <c r="I137" s="2985">
        <v>7</v>
      </c>
      <c r="J137" s="2985">
        <v>8</v>
      </c>
      <c r="K137" s="2986">
        <v>9</v>
      </c>
      <c r="L137" s="2986">
        <v>10</v>
      </c>
      <c r="M137" s="2985">
        <v>11</v>
      </c>
      <c r="N137" s="2985">
        <v>12</v>
      </c>
      <c r="O137" s="2985">
        <v>13</v>
      </c>
      <c r="P137" s="2985">
        <v>14</v>
      </c>
      <c r="Q137" s="2985">
        <v>15</v>
      </c>
      <c r="R137" s="2986">
        <v>16</v>
      </c>
      <c r="S137" s="2986">
        <v>17</v>
      </c>
      <c r="T137" s="2985">
        <v>18</v>
      </c>
      <c r="U137" s="2985">
        <v>19</v>
      </c>
      <c r="V137" s="2985">
        <v>20</v>
      </c>
      <c r="W137" s="2985">
        <v>21</v>
      </c>
      <c r="X137" s="2985">
        <v>22</v>
      </c>
      <c r="Y137" s="2986">
        <v>23</v>
      </c>
      <c r="Z137" s="2986">
        <v>24</v>
      </c>
      <c r="AA137" s="2985">
        <v>25</v>
      </c>
      <c r="AB137" s="2985">
        <v>26</v>
      </c>
      <c r="AC137" s="2985">
        <v>27</v>
      </c>
      <c r="AD137" s="2985">
        <v>28</v>
      </c>
      <c r="AE137" s="2985">
        <v>29</v>
      </c>
      <c r="AF137" s="2986">
        <v>30</v>
      </c>
      <c r="AG137" s="2986">
        <v>31</v>
      </c>
      <c r="AI137" s="288" t="s">
        <v>21</v>
      </c>
      <c r="AJ137" s="289"/>
      <c r="AK137" s="289" t="s">
        <v>428</v>
      </c>
    </row>
    <row r="138" spans="1:37" ht="18" customHeight="1">
      <c r="B138" s="3142" t="s">
        <v>198</v>
      </c>
      <c r="C138" s="3145" t="s">
        <v>46</v>
      </c>
      <c r="D138" s="3145" t="s">
        <v>46</v>
      </c>
      <c r="E138" s="3145" t="s">
        <v>46</v>
      </c>
      <c r="F138" s="3145" t="s">
        <v>46</v>
      </c>
      <c r="G138" s="3145" t="s">
        <v>46</v>
      </c>
      <c r="H138" s="3145" t="s">
        <v>46</v>
      </c>
      <c r="I138" s="3145" t="s">
        <v>46</v>
      </c>
      <c r="J138" s="3145" t="s">
        <v>46</v>
      </c>
      <c r="K138" s="3145" t="s">
        <v>46</v>
      </c>
      <c r="L138" s="3145" t="s">
        <v>46</v>
      </c>
      <c r="M138" s="3145" t="s">
        <v>113</v>
      </c>
      <c r="N138" s="3145" t="s">
        <v>113</v>
      </c>
      <c r="O138" s="3145" t="s">
        <v>113</v>
      </c>
      <c r="P138" s="3145" t="s">
        <v>113</v>
      </c>
      <c r="Q138" s="3145" t="s">
        <v>113</v>
      </c>
      <c r="R138" s="3145" t="s">
        <v>113</v>
      </c>
      <c r="S138" s="3145" t="s">
        <v>46</v>
      </c>
      <c r="T138" s="3164" t="s">
        <v>46</v>
      </c>
      <c r="U138" s="3164" t="s">
        <v>46</v>
      </c>
      <c r="V138" s="3164" t="s">
        <v>46</v>
      </c>
      <c r="W138" s="3164" t="s">
        <v>46</v>
      </c>
      <c r="X138" s="3164" t="s">
        <v>46</v>
      </c>
      <c r="Y138" s="3171" t="s">
        <v>429</v>
      </c>
      <c r="Z138" s="3171" t="s">
        <v>429</v>
      </c>
      <c r="AA138" s="3171" t="s">
        <v>113</v>
      </c>
      <c r="AB138" s="3171" t="s">
        <v>113</v>
      </c>
      <c r="AC138" s="3171" t="s">
        <v>113</v>
      </c>
      <c r="AD138" s="3171" t="s">
        <v>113</v>
      </c>
      <c r="AE138" s="3164" t="s">
        <v>46</v>
      </c>
      <c r="AF138" s="3164" t="s">
        <v>46</v>
      </c>
      <c r="AG138" s="3164" t="s">
        <v>46</v>
      </c>
      <c r="AI138" s="288" t="s">
        <v>22</v>
      </c>
      <c r="AJ138" s="289"/>
      <c r="AK138" s="289" t="s">
        <v>428</v>
      </c>
    </row>
    <row r="139" spans="1:37" ht="18" customHeight="1">
      <c r="B139" s="3142" t="s">
        <v>199</v>
      </c>
      <c r="C139" s="3225" t="s">
        <v>113</v>
      </c>
      <c r="D139" s="3225" t="s">
        <v>429</v>
      </c>
      <c r="E139" s="3225" t="s">
        <v>429</v>
      </c>
      <c r="F139" s="3046" t="s">
        <v>113</v>
      </c>
      <c r="G139" s="3164" t="s">
        <v>46</v>
      </c>
      <c r="H139" s="3164" t="s">
        <v>46</v>
      </c>
      <c r="I139" s="3226" t="s">
        <v>46</v>
      </c>
      <c r="J139" s="3226" t="s">
        <v>46</v>
      </c>
      <c r="K139" s="3226" t="s">
        <v>46</v>
      </c>
      <c r="L139" s="3226" t="s">
        <v>46</v>
      </c>
      <c r="M139" s="3164" t="s">
        <v>46</v>
      </c>
      <c r="N139" s="3164" t="s">
        <v>46</v>
      </c>
      <c r="O139" s="3164" t="s">
        <v>46</v>
      </c>
      <c r="P139" s="3164" t="s">
        <v>46</v>
      </c>
      <c r="Q139" s="3164" t="s">
        <v>46</v>
      </c>
      <c r="R139" s="3164" t="s">
        <v>46</v>
      </c>
      <c r="S139" s="3134" t="s">
        <v>113</v>
      </c>
      <c r="T139" s="3145" t="s">
        <v>113</v>
      </c>
      <c r="U139" s="3145" t="s">
        <v>113</v>
      </c>
      <c r="V139" s="3145" t="s">
        <v>113</v>
      </c>
      <c r="W139" s="3145" t="s">
        <v>113</v>
      </c>
      <c r="X139" s="3145" t="s">
        <v>113</v>
      </c>
      <c r="Y139" s="3145" t="s">
        <v>46</v>
      </c>
      <c r="Z139" s="3145" t="s">
        <v>46</v>
      </c>
      <c r="AA139" s="3145" t="s">
        <v>46</v>
      </c>
      <c r="AB139" s="3145" t="s">
        <v>46</v>
      </c>
      <c r="AC139" s="3145" t="s">
        <v>46</v>
      </c>
      <c r="AD139" s="3145" t="s">
        <v>46</v>
      </c>
      <c r="AE139" s="3145" t="s">
        <v>113</v>
      </c>
      <c r="AF139" s="3145" t="s">
        <v>113</v>
      </c>
      <c r="AG139" s="3145" t="s">
        <v>113</v>
      </c>
      <c r="AI139" s="288" t="s">
        <v>430</v>
      </c>
      <c r="AJ139" s="289"/>
      <c r="AK139" s="289" t="s">
        <v>428</v>
      </c>
    </row>
    <row r="140" spans="1:37" ht="18" customHeight="1">
      <c r="B140" s="157"/>
      <c r="C140" s="120"/>
      <c r="D140" s="120"/>
      <c r="E140" s="120"/>
      <c r="F140" s="120"/>
      <c r="G140" s="111"/>
      <c r="H140" s="111"/>
      <c r="I140" s="111"/>
      <c r="J140" s="111"/>
      <c r="K140" s="111"/>
      <c r="L140" s="111"/>
      <c r="M140" s="111"/>
      <c r="N140" s="111"/>
      <c r="O140" s="111"/>
      <c r="P140" s="111"/>
      <c r="Q140" s="111"/>
      <c r="R140" s="111"/>
      <c r="S140" s="120"/>
      <c r="T140" s="120"/>
      <c r="U140" s="120"/>
      <c r="V140" s="120"/>
      <c r="W140" s="120"/>
      <c r="X140" s="120"/>
      <c r="Y140" s="111"/>
      <c r="Z140" s="111"/>
      <c r="AA140" s="111"/>
      <c r="AB140" s="111"/>
      <c r="AC140" s="111"/>
      <c r="AD140" s="111"/>
      <c r="AE140" s="120"/>
      <c r="AF140" s="120"/>
      <c r="AG140" s="120"/>
      <c r="AI140" s="288" t="s">
        <v>24</v>
      </c>
      <c r="AJ140" s="289" t="s">
        <v>432</v>
      </c>
      <c r="AK140" s="289" t="s">
        <v>433</v>
      </c>
    </row>
    <row r="141" spans="1:37" ht="18" customHeight="1" thickBot="1">
      <c r="A141" s="3" t="s">
        <v>464</v>
      </c>
      <c r="R141" t="s">
        <v>465</v>
      </c>
      <c r="AI141" s="290" t="s">
        <v>434</v>
      </c>
      <c r="AJ141" s="1564" t="s">
        <v>435</v>
      </c>
      <c r="AK141" s="1564" t="s">
        <v>433</v>
      </c>
    </row>
    <row r="142" spans="1:37" ht="18" customHeight="1" thickBot="1">
      <c r="B142" s="134"/>
      <c r="C142" s="135"/>
      <c r="D142" s="135"/>
      <c r="E142" s="138" t="s">
        <v>179</v>
      </c>
      <c r="F142" s="135"/>
      <c r="G142" s="135"/>
      <c r="H142" s="135"/>
      <c r="I142" s="135"/>
      <c r="J142" s="135"/>
      <c r="K142" s="141" t="s">
        <v>15</v>
      </c>
      <c r="L142" s="139"/>
      <c r="M142" s="139"/>
      <c r="N142" s="139"/>
      <c r="O142" s="139"/>
      <c r="P142" s="139"/>
      <c r="Q142" s="139"/>
      <c r="R142" s="139"/>
      <c r="S142" s="139"/>
      <c r="T142" s="140"/>
    </row>
    <row r="143" spans="1:37" ht="18" customHeight="1" thickBot="1">
      <c r="B143" s="134" t="s">
        <v>180</v>
      </c>
      <c r="C143" s="135"/>
      <c r="D143" s="135"/>
      <c r="E143" s="136" t="s">
        <v>389</v>
      </c>
      <c r="F143" s="135"/>
      <c r="G143" s="135"/>
      <c r="H143" s="135"/>
      <c r="I143" s="135"/>
      <c r="J143" s="135"/>
      <c r="K143" s="135" t="s">
        <v>0</v>
      </c>
      <c r="L143" s="135"/>
      <c r="M143" s="135"/>
      <c r="N143" s="135"/>
      <c r="O143" s="135"/>
      <c r="P143" s="135"/>
      <c r="Q143" s="135"/>
      <c r="R143" s="147" t="s">
        <v>0</v>
      </c>
      <c r="S143" s="147"/>
      <c r="T143" s="147"/>
    </row>
    <row r="145" spans="1:33" ht="18" customHeight="1" thickBot="1">
      <c r="B145" s="3217" t="s">
        <v>197</v>
      </c>
      <c r="C145" s="2985">
        <v>1</v>
      </c>
      <c r="D145" s="2986">
        <v>2</v>
      </c>
      <c r="E145" s="2986">
        <v>3</v>
      </c>
      <c r="F145" s="2985">
        <v>4</v>
      </c>
      <c r="G145" s="2985">
        <v>5</v>
      </c>
      <c r="H145" s="2985">
        <v>6</v>
      </c>
      <c r="I145" s="2985">
        <v>7</v>
      </c>
      <c r="J145" s="2985">
        <v>8</v>
      </c>
      <c r="K145" s="2986">
        <v>9</v>
      </c>
      <c r="L145" s="2986">
        <v>10</v>
      </c>
      <c r="M145" s="2985">
        <v>11</v>
      </c>
      <c r="N145" s="2985">
        <v>12</v>
      </c>
      <c r="O145" s="2985">
        <v>13</v>
      </c>
      <c r="P145" s="2985">
        <v>14</v>
      </c>
      <c r="Q145" s="2985">
        <v>15</v>
      </c>
      <c r="R145" s="2986">
        <v>16</v>
      </c>
      <c r="S145" s="2986">
        <v>17</v>
      </c>
      <c r="T145" s="2985">
        <v>18</v>
      </c>
      <c r="U145" s="2985">
        <v>19</v>
      </c>
      <c r="V145" s="2985">
        <v>20</v>
      </c>
      <c r="W145" s="2985">
        <v>21</v>
      </c>
      <c r="X145" s="2985">
        <v>22</v>
      </c>
      <c r="Y145" s="2986">
        <v>23</v>
      </c>
      <c r="Z145" s="2986">
        <v>24</v>
      </c>
      <c r="AA145" s="2985">
        <v>25</v>
      </c>
      <c r="AB145" s="2985">
        <v>26</v>
      </c>
      <c r="AC145" s="2985">
        <v>27</v>
      </c>
      <c r="AD145" s="2985">
        <v>28</v>
      </c>
      <c r="AE145" s="2985">
        <v>29</v>
      </c>
      <c r="AF145" s="2986">
        <v>30</v>
      </c>
      <c r="AG145" s="2986">
        <v>31</v>
      </c>
    </row>
    <row r="146" spans="1:33" ht="18" customHeight="1">
      <c r="B146" s="3170" t="s">
        <v>155</v>
      </c>
      <c r="C146" s="3209"/>
      <c r="D146" s="3209" t="s">
        <v>418</v>
      </c>
      <c r="E146" s="3164" t="s">
        <v>412</v>
      </c>
      <c r="F146" s="3171"/>
      <c r="G146" s="3046" t="s">
        <v>113</v>
      </c>
      <c r="H146" s="3046" t="s">
        <v>113</v>
      </c>
      <c r="I146" s="3046" t="s">
        <v>113</v>
      </c>
      <c r="J146" s="3046" t="s">
        <v>113</v>
      </c>
      <c r="K146" s="3208" t="s">
        <v>429</v>
      </c>
      <c r="L146" s="3171" t="s">
        <v>429</v>
      </c>
      <c r="M146" s="3227"/>
      <c r="N146" s="3145"/>
      <c r="O146" s="3145"/>
      <c r="P146" s="3145"/>
      <c r="Q146" s="3145"/>
      <c r="R146" s="3171" t="s">
        <v>61</v>
      </c>
      <c r="S146" s="3171" t="s">
        <v>61</v>
      </c>
      <c r="T146" s="3164"/>
      <c r="U146" s="3164" t="s">
        <v>118</v>
      </c>
      <c r="V146" s="3164" t="s">
        <v>118</v>
      </c>
      <c r="W146" s="3164" t="s">
        <v>118</v>
      </c>
      <c r="X146" s="3164" t="s">
        <v>118</v>
      </c>
      <c r="Y146" s="3164" t="s">
        <v>118</v>
      </c>
      <c r="Z146" s="3164" t="s">
        <v>118</v>
      </c>
      <c r="AA146" s="3046" t="s">
        <v>61</v>
      </c>
      <c r="AB146" s="3171"/>
      <c r="AC146" s="3171"/>
      <c r="AD146" s="3171"/>
      <c r="AE146" s="3046" t="s">
        <v>113</v>
      </c>
      <c r="AF146" s="3046" t="s">
        <v>429</v>
      </c>
      <c r="AG146" s="3046" t="s">
        <v>429</v>
      </c>
    </row>
    <row r="147" spans="1:33" ht="18" customHeight="1">
      <c r="B147" s="3228" t="s">
        <v>466</v>
      </c>
      <c r="C147" s="3184"/>
      <c r="D147" s="3184"/>
      <c r="E147" s="3171"/>
      <c r="F147" s="3171"/>
      <c r="G147" s="3164"/>
      <c r="H147" s="3164"/>
      <c r="I147" s="3164"/>
      <c r="J147" s="3229"/>
      <c r="K147" s="3027"/>
      <c r="L147" s="3230"/>
      <c r="M147" s="3164"/>
      <c r="N147" s="3164"/>
      <c r="O147" s="3164"/>
      <c r="P147" s="3164"/>
      <c r="Q147" s="3164"/>
      <c r="R147" s="3164"/>
      <c r="S147" s="3171"/>
      <c r="T147" s="3171"/>
      <c r="U147" s="3171"/>
      <c r="V147" s="3171"/>
      <c r="W147" s="3171"/>
      <c r="X147" s="3171"/>
      <c r="Y147" s="3164"/>
      <c r="Z147" s="3164"/>
      <c r="AA147" s="3164"/>
      <c r="AB147" s="3164"/>
      <c r="AC147" s="3164"/>
      <c r="AD147" s="3164"/>
      <c r="AE147" s="3164"/>
      <c r="AF147" s="3164"/>
      <c r="AG147" s="3164"/>
    </row>
    <row r="148" spans="1:33" ht="18" customHeight="1">
      <c r="B148" s="157"/>
      <c r="C148" s="124"/>
      <c r="D148" s="124"/>
      <c r="E148" s="124"/>
      <c r="F148" s="124"/>
      <c r="G148" s="116"/>
      <c r="H148" s="116"/>
      <c r="I148" s="116"/>
      <c r="J148" s="116"/>
      <c r="K148" s="116"/>
      <c r="L148" s="116"/>
      <c r="M148" s="116"/>
      <c r="N148" s="116"/>
      <c r="O148" s="116"/>
      <c r="P148" s="116"/>
      <c r="Q148" s="116"/>
      <c r="R148" s="116"/>
      <c r="S148" s="124"/>
      <c r="T148" s="124"/>
      <c r="U148" s="124"/>
      <c r="V148" s="124"/>
      <c r="W148" s="124"/>
      <c r="X148" s="124"/>
      <c r="Y148" s="116"/>
      <c r="Z148" s="116"/>
      <c r="AA148" s="116"/>
      <c r="AB148" s="116"/>
      <c r="AC148" s="116"/>
      <c r="AD148" s="116"/>
      <c r="AE148" s="116"/>
      <c r="AF148" s="116"/>
      <c r="AG148" s="116"/>
    </row>
    <row r="149" spans="1:33" ht="18" customHeight="1" thickBot="1">
      <c r="A149" s="117"/>
      <c r="B149" s="111"/>
      <c r="C149" s="118"/>
      <c r="D149" s="118"/>
      <c r="E149" s="118"/>
      <c r="F149" s="118"/>
      <c r="G149" s="118"/>
      <c r="H149" s="118"/>
      <c r="I149" s="118"/>
      <c r="J149" s="118"/>
      <c r="K149" s="118"/>
      <c r="L149" s="118"/>
      <c r="M149" s="118"/>
      <c r="N149" s="118"/>
      <c r="O149" s="118"/>
      <c r="P149" s="118"/>
      <c r="Q149" s="118"/>
      <c r="R149" s="118"/>
      <c r="S149" s="118"/>
      <c r="T149" s="118"/>
      <c r="U149" s="118"/>
      <c r="V149" s="118"/>
      <c r="W149" s="118"/>
      <c r="X149" s="118"/>
      <c r="Y149" s="118"/>
      <c r="Z149" s="118"/>
      <c r="AA149" s="118"/>
      <c r="AB149" s="118"/>
      <c r="AC149" s="118"/>
      <c r="AD149" s="118"/>
      <c r="AE149" s="118"/>
      <c r="AF149" s="118"/>
      <c r="AG149" s="105"/>
    </row>
    <row r="150" spans="1:33" ht="18" customHeight="1">
      <c r="A150" s="48"/>
      <c r="B150" s="2764" t="s">
        <v>201</v>
      </c>
      <c r="C150" s="2765"/>
      <c r="D150" s="2766" t="s">
        <v>19</v>
      </c>
      <c r="E150" s="2767"/>
      <c r="F150" s="2765"/>
      <c r="G150" s="2768" t="s">
        <v>20</v>
      </c>
      <c r="H150" s="2769"/>
      <c r="I150" s="2770"/>
      <c r="J150" s="2768" t="s">
        <v>21</v>
      </c>
      <c r="K150" s="2771"/>
      <c r="L150" s="2770"/>
      <c r="M150" s="2772" t="s">
        <v>22</v>
      </c>
      <c r="N150" s="2771"/>
      <c r="O150" s="2770"/>
      <c r="P150" s="2768" t="s">
        <v>23</v>
      </c>
      <c r="Q150" s="2773"/>
      <c r="R150" s="2770"/>
      <c r="S150" s="2768" t="s">
        <v>24</v>
      </c>
      <c r="T150" s="2774"/>
      <c r="U150" s="2770"/>
      <c r="V150" s="2768" t="s">
        <v>25</v>
      </c>
      <c r="W150" s="2773"/>
      <c r="X150" s="2775" t="s">
        <v>202</v>
      </c>
      <c r="Y150" s="2776"/>
      <c r="Z150" s="2776"/>
      <c r="AA150" s="2777"/>
      <c r="AB150" s="2778" t="s">
        <v>108</v>
      </c>
      <c r="AC150" s="2779"/>
      <c r="AD150" s="2779"/>
      <c r="AE150" s="2780"/>
      <c r="AF150" s="2780"/>
      <c r="AG150" s="105"/>
    </row>
    <row r="151" spans="1:33" ht="18" customHeight="1">
      <c r="A151" s="48"/>
      <c r="B151" s="3231" t="s">
        <v>203</v>
      </c>
      <c r="C151" s="3232" t="s">
        <v>204</v>
      </c>
      <c r="D151" s="3233"/>
      <c r="E151" s="3234"/>
      <c r="F151" s="3232" t="s">
        <v>204</v>
      </c>
      <c r="G151" s="3233"/>
      <c r="H151" s="3234"/>
      <c r="I151" s="3232" t="s">
        <v>204</v>
      </c>
      <c r="J151" s="3233"/>
      <c r="K151" s="3234"/>
      <c r="L151" s="3232" t="s">
        <v>204</v>
      </c>
      <c r="M151" s="3233"/>
      <c r="N151" s="3234"/>
      <c r="O151" s="3232" t="s">
        <v>205</v>
      </c>
      <c r="P151" s="3233"/>
      <c r="Q151" s="3234"/>
      <c r="R151" s="3232"/>
      <c r="S151" s="3233"/>
      <c r="T151" s="3234"/>
      <c r="U151" s="3232"/>
      <c r="V151" s="3233"/>
      <c r="W151" s="3234"/>
      <c r="X151" s="3232"/>
      <c r="Y151" s="3235"/>
      <c r="Z151" s="3235"/>
      <c r="AA151" s="3235"/>
      <c r="AB151" s="2957"/>
      <c r="AC151" s="3235"/>
      <c r="AD151" s="3235"/>
      <c r="AE151" s="3235"/>
      <c r="AF151" s="3235"/>
      <c r="AG151" s="105"/>
    </row>
    <row r="152" spans="1:33" ht="18" customHeight="1" thickBot="1">
      <c r="A152" s="48"/>
      <c r="B152" s="4"/>
      <c r="C152" s="48"/>
      <c r="D152" s="48"/>
      <c r="E152" s="48"/>
      <c r="F152" s="48"/>
      <c r="G152" s="48"/>
      <c r="H152" s="48"/>
      <c r="I152" s="48"/>
      <c r="J152" s="48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U152" s="48"/>
      <c r="V152" s="48"/>
      <c r="W152" s="48"/>
      <c r="X152" s="48"/>
      <c r="Y152" s="48"/>
      <c r="Z152" s="48"/>
      <c r="AA152" s="48"/>
      <c r="AB152" s="48"/>
      <c r="AC152" s="48"/>
      <c r="AD152" s="48"/>
      <c r="AE152" s="48"/>
      <c r="AF152" s="48"/>
      <c r="AG152" s="105"/>
    </row>
    <row r="153" spans="1:33" ht="18" customHeight="1" thickBot="1">
      <c r="A153" s="3236" t="s">
        <v>37</v>
      </c>
      <c r="B153" s="3086" t="s">
        <v>38</v>
      </c>
      <c r="C153" s="2985">
        <v>1</v>
      </c>
      <c r="D153" s="2986">
        <v>2</v>
      </c>
      <c r="E153" s="2986">
        <v>3</v>
      </c>
      <c r="F153" s="2985">
        <v>4</v>
      </c>
      <c r="G153" s="2985">
        <v>5</v>
      </c>
      <c r="H153" s="2985">
        <v>6</v>
      </c>
      <c r="I153" s="2985">
        <v>7</v>
      </c>
      <c r="J153" s="2985">
        <v>8</v>
      </c>
      <c r="K153" s="2986">
        <v>9</v>
      </c>
      <c r="L153" s="2986">
        <v>10</v>
      </c>
      <c r="M153" s="2985">
        <v>11</v>
      </c>
      <c r="N153" s="2985">
        <v>12</v>
      </c>
      <c r="O153" s="2985">
        <v>13</v>
      </c>
      <c r="P153" s="2985">
        <v>14</v>
      </c>
      <c r="Q153" s="2985">
        <v>15</v>
      </c>
      <c r="R153" s="2986">
        <v>16</v>
      </c>
      <c r="S153" s="2986">
        <v>17</v>
      </c>
      <c r="T153" s="2985">
        <v>18</v>
      </c>
      <c r="U153" s="2985">
        <v>19</v>
      </c>
      <c r="V153" s="2985">
        <v>20</v>
      </c>
      <c r="W153" s="2985">
        <v>21</v>
      </c>
      <c r="X153" s="2985">
        <v>22</v>
      </c>
      <c r="Y153" s="2986">
        <v>23</v>
      </c>
      <c r="Z153" s="2986">
        <v>24</v>
      </c>
      <c r="AA153" s="2985">
        <v>25</v>
      </c>
      <c r="AB153" s="2985">
        <v>26</v>
      </c>
      <c r="AC153" s="2985">
        <v>27</v>
      </c>
      <c r="AD153" s="2985">
        <v>28</v>
      </c>
      <c r="AE153" s="2985">
        <v>29</v>
      </c>
      <c r="AF153" s="2986">
        <v>30</v>
      </c>
      <c r="AG153" s="2986">
        <v>31</v>
      </c>
    </row>
    <row r="154" spans="1:33" ht="18" customHeight="1">
      <c r="A154" s="2785">
        <v>8520</v>
      </c>
      <c r="B154" s="2786" t="s">
        <v>206</v>
      </c>
      <c r="C154" s="3089" t="s">
        <v>207</v>
      </c>
      <c r="D154" s="3089"/>
      <c r="E154" s="3089"/>
      <c r="F154" s="3089" t="s">
        <v>207</v>
      </c>
      <c r="G154" s="3089" t="s">
        <v>207</v>
      </c>
      <c r="H154" s="3089" t="s">
        <v>207</v>
      </c>
      <c r="I154" s="3089" t="s">
        <v>207</v>
      </c>
      <c r="J154" s="3089" t="s">
        <v>207</v>
      </c>
      <c r="K154" s="3089"/>
      <c r="L154" s="3089"/>
      <c r="M154" s="3089" t="s">
        <v>207</v>
      </c>
      <c r="N154" s="3089" t="s">
        <v>207</v>
      </c>
      <c r="O154" s="3089" t="s">
        <v>207</v>
      </c>
      <c r="P154" s="3089" t="s">
        <v>207</v>
      </c>
      <c r="Q154" s="3089" t="s">
        <v>207</v>
      </c>
      <c r="R154" s="3089"/>
      <c r="S154" s="3089"/>
      <c r="T154" s="3089" t="s">
        <v>207</v>
      </c>
      <c r="U154" s="3089" t="s">
        <v>207</v>
      </c>
      <c r="V154" s="3089" t="s">
        <v>207</v>
      </c>
      <c r="W154" s="3089" t="s">
        <v>207</v>
      </c>
      <c r="X154" s="3089" t="s">
        <v>207</v>
      </c>
      <c r="Y154" s="3089"/>
      <c r="Z154" s="3089"/>
      <c r="AA154" s="3089" t="s">
        <v>207</v>
      </c>
      <c r="AB154" s="3089" t="s">
        <v>207</v>
      </c>
      <c r="AC154" s="3089" t="s">
        <v>207</v>
      </c>
      <c r="AD154" s="3089" t="s">
        <v>207</v>
      </c>
      <c r="AE154" s="3089" t="s">
        <v>207</v>
      </c>
      <c r="AF154" s="3089"/>
      <c r="AG154" s="3089"/>
    </row>
    <row r="155" spans="1:33" ht="18" customHeight="1">
      <c r="A155" s="122"/>
      <c r="B155" s="121"/>
      <c r="C155" s="116"/>
      <c r="D155" s="116"/>
      <c r="E155" s="116"/>
      <c r="F155" s="116"/>
      <c r="G155" s="116"/>
      <c r="H155" s="116"/>
      <c r="I155" s="116"/>
      <c r="J155" s="116"/>
      <c r="K155" s="116"/>
      <c r="L155" s="116"/>
      <c r="M155" s="116"/>
      <c r="N155" s="116"/>
      <c r="O155" s="116"/>
      <c r="P155" s="116"/>
      <c r="Q155" s="116"/>
      <c r="R155" s="116"/>
      <c r="S155" s="116"/>
      <c r="T155" s="116"/>
      <c r="U155" s="116"/>
      <c r="V155" s="116"/>
      <c r="W155" s="116"/>
      <c r="X155" s="116"/>
      <c r="Y155" s="116"/>
      <c r="Z155" s="116"/>
      <c r="AA155" s="116"/>
      <c r="AB155" s="116"/>
      <c r="AC155" s="116"/>
      <c r="AD155" s="116"/>
      <c r="AE155" s="116"/>
      <c r="AF155" s="116"/>
      <c r="AG155" s="105"/>
    </row>
    <row r="156" spans="1:33" ht="18" customHeight="1">
      <c r="AG156" s="65"/>
    </row>
    <row r="157" spans="1:33" ht="18" customHeight="1" thickBot="1">
      <c r="A157" s="100" t="s">
        <v>208</v>
      </c>
      <c r="B157" s="101"/>
      <c r="C157" s="101"/>
      <c r="D157" s="102"/>
      <c r="E157" s="102"/>
      <c r="F157" s="102"/>
      <c r="G157" s="63"/>
      <c r="H157" s="102"/>
      <c r="I157" s="102"/>
      <c r="J157" s="102"/>
      <c r="K157" s="102"/>
      <c r="L157" s="102"/>
      <c r="M157" s="102"/>
      <c r="N157" s="102"/>
      <c r="O157" s="102"/>
      <c r="P157" s="102"/>
      <c r="Q157" s="102"/>
      <c r="R157" s="102"/>
      <c r="S157" s="102"/>
      <c r="T157" s="102"/>
      <c r="U157" s="102"/>
      <c r="V157" s="102"/>
      <c r="W157" s="102"/>
      <c r="X157" s="102"/>
      <c r="Y157" s="102"/>
      <c r="Z157" s="102"/>
      <c r="AA157" s="102"/>
      <c r="AB157" s="102"/>
      <c r="AC157" s="102"/>
      <c r="AD157" s="102"/>
      <c r="AE157" s="102"/>
      <c r="AF157" s="102"/>
      <c r="AG157" s="101"/>
    </row>
    <row r="158" spans="1:33" ht="18" customHeight="1">
      <c r="A158" s="100"/>
      <c r="B158" s="2764" t="s">
        <v>209</v>
      </c>
      <c r="C158" s="2787"/>
      <c r="D158" s="2788" t="s">
        <v>19</v>
      </c>
      <c r="E158" s="2789"/>
      <c r="F158" s="2790"/>
      <c r="G158" s="2787"/>
      <c r="H158" s="2788" t="s">
        <v>20</v>
      </c>
      <c r="I158" s="2789"/>
      <c r="J158" s="2790"/>
      <c r="K158" s="2787"/>
      <c r="L158" s="2788" t="s">
        <v>21</v>
      </c>
      <c r="M158" s="2789"/>
      <c r="N158" s="2790"/>
      <c r="O158" s="2787"/>
      <c r="P158" s="2788" t="s">
        <v>22</v>
      </c>
      <c r="Q158" s="2789"/>
      <c r="R158" s="2790"/>
      <c r="S158" s="2787"/>
      <c r="T158" s="2788" t="s">
        <v>23</v>
      </c>
      <c r="U158" s="2789"/>
      <c r="V158" s="2790"/>
      <c r="W158" s="2787"/>
      <c r="X158" s="2788" t="s">
        <v>24</v>
      </c>
      <c r="Y158" s="2789"/>
      <c r="Z158" s="2790"/>
      <c r="AA158" s="2787"/>
      <c r="AB158" s="2788" t="s">
        <v>25</v>
      </c>
      <c r="AC158" s="2789"/>
      <c r="AD158" s="2789"/>
      <c r="AE158" s="2791" t="s">
        <v>108</v>
      </c>
      <c r="AF158" s="2789"/>
      <c r="AG158" s="2792"/>
    </row>
    <row r="159" spans="1:33" ht="18" customHeight="1">
      <c r="A159" s="100"/>
      <c r="B159" s="3237" t="s">
        <v>210</v>
      </c>
      <c r="C159" s="3238">
        <v>69</v>
      </c>
      <c r="D159" s="3239" t="s">
        <v>211</v>
      </c>
      <c r="E159" s="3239"/>
      <c r="F159" s="3240"/>
      <c r="G159" s="3238">
        <v>69</v>
      </c>
      <c r="H159" s="3239" t="s">
        <v>211</v>
      </c>
      <c r="I159" s="3239"/>
      <c r="J159" s="3240"/>
      <c r="K159" s="3238">
        <v>69</v>
      </c>
      <c r="L159" s="3239" t="s">
        <v>211</v>
      </c>
      <c r="M159" s="3239"/>
      <c r="N159" s="3240"/>
      <c r="O159" s="3238">
        <v>69</v>
      </c>
      <c r="P159" s="3239" t="s">
        <v>211</v>
      </c>
      <c r="Q159" s="3239"/>
      <c r="R159" s="3240"/>
      <c r="S159" s="3238">
        <v>69</v>
      </c>
      <c r="T159" s="3239" t="s">
        <v>211</v>
      </c>
      <c r="U159" s="3239"/>
      <c r="V159" s="3240"/>
      <c r="W159" s="3238"/>
      <c r="X159" s="3241"/>
      <c r="Y159" s="3241"/>
      <c r="Z159" s="3242"/>
      <c r="AA159" s="3238"/>
      <c r="AB159" s="3239"/>
      <c r="AC159" s="3239"/>
      <c r="AD159" s="3194"/>
      <c r="AE159" s="3243">
        <v>35</v>
      </c>
      <c r="AF159" s="3239"/>
      <c r="AG159" s="3244"/>
    </row>
    <row r="160" spans="1:33" ht="18" customHeight="1">
      <c r="A160" s="100"/>
      <c r="B160" s="3237" t="s">
        <v>212</v>
      </c>
      <c r="C160" s="3238">
        <v>79</v>
      </c>
      <c r="D160" s="3239" t="s">
        <v>213</v>
      </c>
      <c r="E160" s="3239"/>
      <c r="F160" s="3240"/>
      <c r="G160" s="3238">
        <v>79</v>
      </c>
      <c r="H160" s="3239" t="s">
        <v>213</v>
      </c>
      <c r="I160" s="3239"/>
      <c r="J160" s="3240"/>
      <c r="K160" s="3238">
        <v>79</v>
      </c>
      <c r="L160" s="3239" t="s">
        <v>213</v>
      </c>
      <c r="M160" s="3239"/>
      <c r="N160" s="3240"/>
      <c r="O160" s="3238">
        <v>79</v>
      </c>
      <c r="P160" s="3239" t="s">
        <v>213</v>
      </c>
      <c r="Q160" s="3239"/>
      <c r="R160" s="3240"/>
      <c r="S160" s="3238">
        <v>79</v>
      </c>
      <c r="T160" s="3239" t="s">
        <v>213</v>
      </c>
      <c r="U160" s="3239"/>
      <c r="V160" s="3240"/>
      <c r="W160" s="3238"/>
      <c r="X160" s="3239"/>
      <c r="Y160" s="3239"/>
      <c r="Z160" s="3240"/>
      <c r="AA160" s="3239"/>
      <c r="AB160" s="3239"/>
      <c r="AC160" s="3239"/>
      <c r="AD160" s="3194"/>
      <c r="AE160" s="3243">
        <v>40</v>
      </c>
      <c r="AF160" s="3239"/>
      <c r="AG160" s="3244"/>
    </row>
    <row r="161" spans="1:34" ht="18" customHeight="1">
      <c r="A161" s="100"/>
      <c r="B161" s="3237"/>
      <c r="C161" s="3238">
        <v>89</v>
      </c>
      <c r="D161" s="3239" t="s">
        <v>215</v>
      </c>
      <c r="E161" s="3239"/>
      <c r="F161" s="3240"/>
      <c r="G161" s="3238">
        <v>89</v>
      </c>
      <c r="H161" s="3239" t="s">
        <v>215</v>
      </c>
      <c r="I161" s="3239"/>
      <c r="J161" s="3240"/>
      <c r="K161" s="3238">
        <v>89</v>
      </c>
      <c r="L161" s="3239" t="s">
        <v>215</v>
      </c>
      <c r="M161" s="3239"/>
      <c r="N161" s="3240"/>
      <c r="O161" s="3238">
        <v>89</v>
      </c>
      <c r="P161" s="3239" t="s">
        <v>215</v>
      </c>
      <c r="Q161" s="3239"/>
      <c r="R161" s="3240"/>
      <c r="S161" s="3238">
        <v>89</v>
      </c>
      <c r="T161" s="3239" t="s">
        <v>216</v>
      </c>
      <c r="U161" s="3239"/>
      <c r="V161" s="3240"/>
      <c r="W161" s="3245"/>
      <c r="X161" s="3246" t="s">
        <v>217</v>
      </c>
      <c r="Y161" s="3246"/>
      <c r="Z161" s="3196"/>
      <c r="AA161" s="3245"/>
      <c r="AB161" s="3246"/>
      <c r="AC161" s="3246"/>
      <c r="AD161" s="3198"/>
      <c r="AE161" s="3243">
        <v>44</v>
      </c>
      <c r="AF161" s="3239"/>
      <c r="AG161" s="3244"/>
    </row>
    <row r="162" spans="1:34" ht="18" customHeight="1">
      <c r="A162" s="100"/>
      <c r="B162" s="19" t="s">
        <v>218</v>
      </c>
      <c r="C162" s="3245">
        <v>99</v>
      </c>
      <c r="D162" s="3246" t="s">
        <v>219</v>
      </c>
      <c r="E162" s="3246"/>
      <c r="F162" s="3196"/>
      <c r="G162" s="3245">
        <v>99</v>
      </c>
      <c r="H162" s="3246" t="s">
        <v>219</v>
      </c>
      <c r="I162" s="3246"/>
      <c r="J162" s="3196"/>
      <c r="K162" s="3245">
        <v>99</v>
      </c>
      <c r="L162" s="3246" t="s">
        <v>219</v>
      </c>
      <c r="M162" s="3246"/>
      <c r="N162" s="3196"/>
      <c r="O162" s="3245">
        <v>99</v>
      </c>
      <c r="P162" s="3246" t="s">
        <v>219</v>
      </c>
      <c r="Q162" s="3246"/>
      <c r="R162" s="3196"/>
      <c r="S162" s="3245">
        <v>99</v>
      </c>
      <c r="T162" s="3246" t="s">
        <v>220</v>
      </c>
      <c r="U162" s="3246"/>
      <c r="V162" s="3198"/>
      <c r="W162" s="3197"/>
      <c r="X162" s="3198"/>
      <c r="Y162" s="3246"/>
      <c r="Z162" s="3196"/>
      <c r="AA162" s="3197"/>
      <c r="AB162" s="3198"/>
      <c r="AC162" s="3246"/>
      <c r="AD162" s="3196"/>
      <c r="AE162" s="3247">
        <v>28</v>
      </c>
      <c r="AF162" s="3246"/>
      <c r="AG162" s="3248"/>
    </row>
    <row r="163" spans="1:34" ht="18" customHeight="1" thickBot="1">
      <c r="A163" s="100"/>
      <c r="B163" s="3249" t="s">
        <v>221</v>
      </c>
      <c r="C163" s="3250" t="s">
        <v>159</v>
      </c>
      <c r="D163" s="3251" t="s">
        <v>222</v>
      </c>
      <c r="E163" s="3252"/>
      <c r="F163" s="3080"/>
      <c r="G163" s="3250" t="s">
        <v>159</v>
      </c>
      <c r="H163" s="3251" t="s">
        <v>222</v>
      </c>
      <c r="I163" s="3078"/>
      <c r="J163" s="3252"/>
      <c r="K163" s="3250" t="s">
        <v>159</v>
      </c>
      <c r="L163" s="3251" t="s">
        <v>222</v>
      </c>
      <c r="M163" s="3252"/>
      <c r="N163" s="3253"/>
      <c r="O163" s="3250" t="s">
        <v>159</v>
      </c>
      <c r="P163" s="3251" t="s">
        <v>222</v>
      </c>
      <c r="Q163" s="3252"/>
      <c r="R163" s="3251"/>
      <c r="S163" s="3250" t="s">
        <v>159</v>
      </c>
      <c r="T163" s="3082" t="s">
        <v>223</v>
      </c>
      <c r="U163" s="3251"/>
      <c r="V163" s="3253"/>
      <c r="W163" s="3252"/>
      <c r="X163" s="3251"/>
      <c r="Y163" s="3251"/>
      <c r="Z163" s="3251"/>
      <c r="AA163" s="3254"/>
      <c r="AB163" s="3255"/>
      <c r="AC163" s="3251"/>
      <c r="AD163" s="3256"/>
      <c r="AE163" s="3251"/>
      <c r="AF163" s="3251"/>
      <c r="AG163" s="3257"/>
    </row>
    <row r="164" spans="1:34" ht="18" customHeight="1" thickBot="1">
      <c r="A164" s="66"/>
      <c r="B164" s="100"/>
      <c r="C164" s="102"/>
      <c r="D164" s="102"/>
      <c r="E164" s="102"/>
      <c r="F164" s="102"/>
      <c r="G164" s="102"/>
      <c r="H164" s="102"/>
      <c r="I164" s="102"/>
      <c r="J164" s="102"/>
      <c r="K164" s="102"/>
      <c r="L164" s="102"/>
      <c r="M164" s="102"/>
      <c r="N164" s="102"/>
      <c r="O164" s="102"/>
      <c r="P164" s="102"/>
      <c r="Q164" s="102"/>
      <c r="R164" s="102"/>
      <c r="S164" s="102"/>
      <c r="T164" s="102"/>
      <c r="U164" s="102"/>
      <c r="V164" s="102"/>
      <c r="W164" s="102"/>
      <c r="X164" s="102"/>
      <c r="Y164" s="102"/>
      <c r="Z164" s="102"/>
      <c r="AA164" s="102"/>
      <c r="AB164" s="102"/>
      <c r="AC164" s="102"/>
      <c r="AD164" s="102"/>
      <c r="AE164" s="102"/>
      <c r="AF164" s="102"/>
      <c r="AG164" s="101"/>
    </row>
    <row r="165" spans="1:34" ht="18" customHeight="1" thickBot="1">
      <c r="A165" s="3236"/>
      <c r="B165" s="3086" t="s">
        <v>38</v>
      </c>
      <c r="C165" s="2985">
        <v>1</v>
      </c>
      <c r="D165" s="2986">
        <v>2</v>
      </c>
      <c r="E165" s="2986">
        <v>3</v>
      </c>
      <c r="F165" s="2985">
        <v>4</v>
      </c>
      <c r="G165" s="2985">
        <v>5</v>
      </c>
      <c r="H165" s="2985">
        <v>6</v>
      </c>
      <c r="I165" s="2985">
        <v>7</v>
      </c>
      <c r="J165" s="2985">
        <v>8</v>
      </c>
      <c r="K165" s="2986">
        <v>9</v>
      </c>
      <c r="L165" s="2986">
        <v>10</v>
      </c>
      <c r="M165" s="2985">
        <v>11</v>
      </c>
      <c r="N165" s="2985">
        <v>12</v>
      </c>
      <c r="O165" s="2985">
        <v>13</v>
      </c>
      <c r="P165" s="2985">
        <v>14</v>
      </c>
      <c r="Q165" s="2985">
        <v>15</v>
      </c>
      <c r="R165" s="2986">
        <v>16</v>
      </c>
      <c r="S165" s="2986">
        <v>17</v>
      </c>
      <c r="T165" s="2985">
        <v>18</v>
      </c>
      <c r="U165" s="2985">
        <v>19</v>
      </c>
      <c r="V165" s="2985">
        <v>20</v>
      </c>
      <c r="W165" s="2985">
        <v>21</v>
      </c>
      <c r="X165" s="2985">
        <v>22</v>
      </c>
      <c r="Y165" s="2986">
        <v>23</v>
      </c>
      <c r="Z165" s="2986">
        <v>24</v>
      </c>
      <c r="AA165" s="2985">
        <v>25</v>
      </c>
      <c r="AB165" s="2985">
        <v>26</v>
      </c>
      <c r="AC165" s="2985">
        <v>27</v>
      </c>
      <c r="AD165" s="2985">
        <v>28</v>
      </c>
      <c r="AE165" s="2985">
        <v>29</v>
      </c>
      <c r="AF165" s="2986">
        <v>30</v>
      </c>
      <c r="AG165" s="2986">
        <v>31</v>
      </c>
    </row>
    <row r="166" spans="1:34" ht="18" customHeight="1" thickBot="1">
      <c r="A166" s="2814">
        <v>1</v>
      </c>
      <c r="B166" s="2815" t="s">
        <v>224</v>
      </c>
      <c r="C166" s="3088" t="s">
        <v>46</v>
      </c>
      <c r="D166" s="2816"/>
      <c r="E166" s="3089"/>
      <c r="F166" s="3258" t="s">
        <v>159</v>
      </c>
      <c r="G166" s="3259" t="s">
        <v>159</v>
      </c>
      <c r="H166" s="3260" t="s">
        <v>467</v>
      </c>
      <c r="I166" s="3261" t="s">
        <v>159</v>
      </c>
      <c r="J166" s="3261" t="s">
        <v>159</v>
      </c>
      <c r="K166" s="3088"/>
      <c r="L166" s="3090"/>
      <c r="M166" s="3089">
        <v>69</v>
      </c>
      <c r="N166" s="3090">
        <v>69</v>
      </c>
      <c r="O166" s="3088">
        <v>69</v>
      </c>
      <c r="P166" s="3088">
        <v>69</v>
      </c>
      <c r="Q166" s="3088">
        <v>69</v>
      </c>
      <c r="R166" s="3088"/>
      <c r="S166" s="3089"/>
      <c r="T166" s="3089">
        <v>79</v>
      </c>
      <c r="U166" s="3088">
        <v>79</v>
      </c>
      <c r="V166" s="3088">
        <v>79</v>
      </c>
      <c r="W166" s="3088">
        <v>79</v>
      </c>
      <c r="X166" s="2985">
        <v>22</v>
      </c>
      <c r="Y166" s="3088"/>
      <c r="Z166" s="3088"/>
      <c r="AA166" s="3090">
        <v>89</v>
      </c>
      <c r="AB166" s="3088">
        <v>89</v>
      </c>
      <c r="AC166" s="3088">
        <v>89</v>
      </c>
      <c r="AD166" s="3088">
        <v>89</v>
      </c>
      <c r="AE166" s="3088">
        <v>89</v>
      </c>
      <c r="AF166" s="3090">
        <v>89</v>
      </c>
      <c r="AG166" s="3090"/>
    </row>
    <row r="167" spans="1:34" ht="18" customHeight="1">
      <c r="A167" s="3262">
        <v>2</v>
      </c>
      <c r="B167" s="3263" t="s">
        <v>225</v>
      </c>
      <c r="C167" s="2993" t="s">
        <v>159</v>
      </c>
      <c r="D167" s="2993"/>
      <c r="E167" s="2993"/>
      <c r="F167" s="2993">
        <v>69</v>
      </c>
      <c r="G167" s="2993">
        <v>69</v>
      </c>
      <c r="H167" s="2993">
        <v>69</v>
      </c>
      <c r="I167" s="2993">
        <v>69</v>
      </c>
      <c r="J167" s="2993">
        <v>69</v>
      </c>
      <c r="K167" s="2993"/>
      <c r="L167" s="2993"/>
      <c r="M167" s="2993">
        <v>79</v>
      </c>
      <c r="N167" s="3001">
        <v>79</v>
      </c>
      <c r="O167" s="2996">
        <v>79</v>
      </c>
      <c r="P167" s="3001">
        <v>79</v>
      </c>
      <c r="Q167" s="3001">
        <v>79</v>
      </c>
      <c r="R167" s="2998">
        <v>89</v>
      </c>
      <c r="S167" s="3001"/>
      <c r="T167" s="2994">
        <v>89</v>
      </c>
      <c r="U167" s="3023">
        <v>89</v>
      </c>
      <c r="V167" s="2994">
        <v>89</v>
      </c>
      <c r="W167" s="2994">
        <v>89</v>
      </c>
      <c r="X167" s="2994">
        <v>89</v>
      </c>
      <c r="Y167" s="2994">
        <v>89</v>
      </c>
      <c r="Z167" s="2994"/>
      <c r="AA167" s="2994">
        <v>99</v>
      </c>
      <c r="AB167" s="2994">
        <v>99</v>
      </c>
      <c r="AC167" s="2994">
        <v>99</v>
      </c>
      <c r="AD167" s="2994">
        <v>99</v>
      </c>
      <c r="AE167" s="2994" t="s">
        <v>46</v>
      </c>
      <c r="AF167" s="2994"/>
      <c r="AG167" s="2994"/>
      <c r="AH167" t="s">
        <v>133</v>
      </c>
    </row>
    <row r="168" spans="1:34" ht="18" customHeight="1">
      <c r="A168" s="3262">
        <v>3</v>
      </c>
      <c r="B168" s="3130" t="s">
        <v>124</v>
      </c>
      <c r="C168" s="2993">
        <v>69</v>
      </c>
      <c r="D168" s="2993"/>
      <c r="E168" s="2993"/>
      <c r="F168" s="2993">
        <v>79</v>
      </c>
      <c r="G168" s="2993">
        <v>79</v>
      </c>
      <c r="H168" s="2993">
        <v>79</v>
      </c>
      <c r="I168" s="2993">
        <v>79</v>
      </c>
      <c r="J168" s="2993">
        <v>79</v>
      </c>
      <c r="K168" s="2993"/>
      <c r="L168" s="2993"/>
      <c r="M168" s="2993">
        <v>89</v>
      </c>
      <c r="N168" s="2993">
        <v>89</v>
      </c>
      <c r="O168" s="2993">
        <v>89</v>
      </c>
      <c r="P168" s="2993">
        <v>89</v>
      </c>
      <c r="Q168" s="2993">
        <v>89</v>
      </c>
      <c r="R168" s="2993">
        <v>89</v>
      </c>
      <c r="S168" s="2993"/>
      <c r="T168" s="2996">
        <v>99</v>
      </c>
      <c r="U168" s="2996">
        <v>99</v>
      </c>
      <c r="V168" s="2996">
        <v>99</v>
      </c>
      <c r="W168" s="2996">
        <v>99</v>
      </c>
      <c r="X168" s="2996" t="s">
        <v>46</v>
      </c>
      <c r="Y168" s="3264"/>
      <c r="Z168" s="3264"/>
      <c r="AA168" s="3013" t="s">
        <v>467</v>
      </c>
      <c r="AB168" s="2968" t="s">
        <v>159</v>
      </c>
      <c r="AC168" s="3264" t="s">
        <v>159</v>
      </c>
      <c r="AD168" s="3264" t="s">
        <v>159</v>
      </c>
      <c r="AE168" s="3264" t="s">
        <v>159</v>
      </c>
      <c r="AF168" s="3264"/>
      <c r="AG168" s="3264"/>
      <c r="AH168" s="247" t="s">
        <v>133</v>
      </c>
    </row>
    <row r="169" spans="1:34" ht="18" customHeight="1">
      <c r="A169" s="3262">
        <v>4</v>
      </c>
      <c r="B169" s="3263" t="s">
        <v>226</v>
      </c>
      <c r="C169" s="2993">
        <v>79</v>
      </c>
      <c r="D169" s="2993"/>
      <c r="E169" s="2993"/>
      <c r="F169" s="2993">
        <v>89</v>
      </c>
      <c r="G169" s="2993">
        <v>89</v>
      </c>
      <c r="H169" s="2993">
        <v>89</v>
      </c>
      <c r="I169" s="2993">
        <v>89</v>
      </c>
      <c r="J169" s="2993">
        <v>89</v>
      </c>
      <c r="K169" s="2993">
        <v>89</v>
      </c>
      <c r="L169" s="2993"/>
      <c r="M169" s="2993">
        <v>99</v>
      </c>
      <c r="N169" s="2993">
        <v>99</v>
      </c>
      <c r="O169" s="2993">
        <v>99</v>
      </c>
      <c r="P169" s="2993">
        <v>99</v>
      </c>
      <c r="Q169" s="2993" t="s">
        <v>46</v>
      </c>
      <c r="R169" s="2993"/>
      <c r="S169" s="2993"/>
      <c r="T169" s="3016" t="s">
        <v>159</v>
      </c>
      <c r="U169" s="3128" t="s">
        <v>159</v>
      </c>
      <c r="V169" s="3016" t="s">
        <v>159</v>
      </c>
      <c r="W169" s="3016" t="s">
        <v>64</v>
      </c>
      <c r="X169" s="3016" t="s">
        <v>64</v>
      </c>
      <c r="Y169" s="3132"/>
      <c r="Z169" s="3132"/>
      <c r="AA169" s="3265">
        <v>69</v>
      </c>
      <c r="AB169" s="3266" t="s">
        <v>468</v>
      </c>
      <c r="AC169" s="3000">
        <v>69</v>
      </c>
      <c r="AD169" s="3016">
        <v>69</v>
      </c>
      <c r="AE169" s="3016">
        <v>69</v>
      </c>
      <c r="AF169" s="3016"/>
      <c r="AG169" s="3016"/>
      <c r="AH169" t="s">
        <v>133</v>
      </c>
    </row>
    <row r="170" spans="1:34" ht="18" customHeight="1" thickBot="1">
      <c r="A170" s="3267">
        <v>5</v>
      </c>
      <c r="B170" s="3100" t="s">
        <v>227</v>
      </c>
      <c r="C170" s="3191">
        <v>89</v>
      </c>
      <c r="D170" s="3191">
        <v>89</v>
      </c>
      <c r="E170" s="3053"/>
      <c r="F170" s="3003">
        <v>99</v>
      </c>
      <c r="G170" s="3003">
        <v>99</v>
      </c>
      <c r="H170" s="3054">
        <v>99</v>
      </c>
      <c r="I170" s="3054">
        <v>99</v>
      </c>
      <c r="J170" s="3054" t="s">
        <v>46</v>
      </c>
      <c r="K170" s="3054"/>
      <c r="L170" s="3053"/>
      <c r="M170" s="3053" t="s">
        <v>159</v>
      </c>
      <c r="N170" s="3054" t="s">
        <v>159</v>
      </c>
      <c r="O170" s="3191" t="s">
        <v>159</v>
      </c>
      <c r="P170" s="3191" t="s">
        <v>159</v>
      </c>
      <c r="Q170" s="3191" t="s">
        <v>159</v>
      </c>
      <c r="R170" s="3191"/>
      <c r="S170" s="3053"/>
      <c r="T170" s="3051">
        <v>69</v>
      </c>
      <c r="U170" s="3191">
        <v>69</v>
      </c>
      <c r="V170" s="3191">
        <v>69</v>
      </c>
      <c r="W170" s="3191">
        <v>69</v>
      </c>
      <c r="X170" s="3101">
        <v>69</v>
      </c>
      <c r="Y170" s="3191"/>
      <c r="Z170" s="3191"/>
      <c r="AA170" s="3003">
        <v>79</v>
      </c>
      <c r="AB170" s="3191">
        <v>79</v>
      </c>
      <c r="AC170" s="3053">
        <v>79</v>
      </c>
      <c r="AD170" s="3053">
        <v>79</v>
      </c>
      <c r="AE170" s="3268">
        <v>79</v>
      </c>
      <c r="AF170" s="3269" t="s">
        <v>40</v>
      </c>
      <c r="AG170" s="3053"/>
    </row>
    <row r="171" spans="1:34" ht="18" customHeight="1">
      <c r="A171" s="117"/>
      <c r="B171" s="125"/>
      <c r="C171" s="126"/>
      <c r="D171" s="126"/>
      <c r="E171" s="126"/>
      <c r="F171" s="116"/>
      <c r="G171" s="124"/>
      <c r="H171" s="124"/>
      <c r="I171" s="124"/>
      <c r="J171" s="124"/>
      <c r="K171" s="124"/>
      <c r="L171" s="116"/>
      <c r="M171" s="116"/>
      <c r="N171" s="126"/>
      <c r="O171" s="126"/>
      <c r="P171" s="126"/>
      <c r="Q171" s="126"/>
      <c r="R171" s="126"/>
      <c r="S171" s="116"/>
      <c r="T171" s="127"/>
      <c r="U171" s="126"/>
      <c r="V171" s="126"/>
      <c r="W171" s="126"/>
      <c r="X171" s="126"/>
      <c r="Y171" s="126"/>
      <c r="Z171" s="128"/>
      <c r="AA171" s="128"/>
      <c r="AB171" s="126"/>
      <c r="AC171" s="126"/>
      <c r="AD171" s="126"/>
      <c r="AE171" s="126"/>
      <c r="AF171" s="126"/>
      <c r="AG171" s="204"/>
    </row>
    <row r="172" spans="1:34" ht="18" customHeight="1">
      <c r="A172" s="67"/>
      <c r="B172" s="68"/>
      <c r="C172" s="64"/>
      <c r="D172" s="64"/>
      <c r="E172" s="64"/>
      <c r="F172" s="64"/>
      <c r="G172" s="64"/>
      <c r="H172" s="64"/>
      <c r="I172" s="64"/>
      <c r="J172" s="64"/>
      <c r="K172" s="64"/>
      <c r="L172" s="64"/>
      <c r="M172" s="64"/>
      <c r="N172" s="64"/>
      <c r="O172" s="64"/>
      <c r="P172" s="64"/>
      <c r="Q172" s="64"/>
      <c r="R172" s="64"/>
      <c r="S172" s="64"/>
      <c r="T172" s="64"/>
      <c r="U172" s="64"/>
      <c r="V172" s="64"/>
      <c r="W172" s="64"/>
      <c r="X172" s="64"/>
      <c r="Y172" s="64"/>
      <c r="Z172" s="64"/>
      <c r="AA172" s="64"/>
      <c r="AB172" s="64"/>
      <c r="AC172" s="64"/>
      <c r="AD172" s="64"/>
      <c r="AE172" s="64"/>
      <c r="AF172" s="64"/>
      <c r="AG172" s="65"/>
    </row>
    <row r="173" spans="1:34" ht="18" customHeight="1" thickBot="1">
      <c r="A173" s="100" t="s">
        <v>228</v>
      </c>
      <c r="B173" s="101"/>
      <c r="C173" s="101"/>
      <c r="D173" s="102"/>
      <c r="E173" s="102"/>
      <c r="F173" s="102"/>
      <c r="G173" s="63"/>
      <c r="H173" s="102"/>
      <c r="I173" s="102"/>
      <c r="J173" s="102"/>
      <c r="K173" s="102"/>
      <c r="L173" s="102"/>
      <c r="M173" s="102"/>
      <c r="N173" s="102"/>
      <c r="O173" s="102"/>
      <c r="P173" s="102"/>
      <c r="Q173" s="102"/>
      <c r="R173" s="102"/>
      <c r="S173" s="102"/>
      <c r="T173" s="102"/>
      <c r="U173" s="102"/>
      <c r="V173" s="102"/>
      <c r="W173" s="102"/>
      <c r="X173" s="102"/>
      <c r="Y173" s="102"/>
      <c r="Z173" s="102"/>
      <c r="AA173" s="102"/>
      <c r="AB173" s="102"/>
      <c r="AC173" s="102"/>
      <c r="AD173" s="102"/>
      <c r="AE173" s="102"/>
      <c r="AF173" s="102"/>
      <c r="AG173" s="101"/>
    </row>
    <row r="174" spans="1:34" ht="18" customHeight="1">
      <c r="A174" s="100"/>
      <c r="B174" s="2764" t="s">
        <v>209</v>
      </c>
      <c r="C174" s="2787"/>
      <c r="D174" s="2788" t="s">
        <v>19</v>
      </c>
      <c r="E174" s="2789"/>
      <c r="F174" s="2790"/>
      <c r="G174" s="2787"/>
      <c r="H174" s="2788" t="s">
        <v>20</v>
      </c>
      <c r="I174" s="2789"/>
      <c r="J174" s="2790"/>
      <c r="K174" s="2787"/>
      <c r="L174" s="2788" t="s">
        <v>21</v>
      </c>
      <c r="M174" s="2789"/>
      <c r="N174" s="2790"/>
      <c r="O174" s="2787"/>
      <c r="P174" s="2788" t="s">
        <v>22</v>
      </c>
      <c r="Q174" s="2789"/>
      <c r="R174" s="2790"/>
      <c r="S174" s="2787"/>
      <c r="T174" s="2788" t="s">
        <v>23</v>
      </c>
      <c r="U174" s="2789"/>
      <c r="V174" s="2790"/>
      <c r="W174" s="2787"/>
      <c r="X174" s="2788" t="s">
        <v>24</v>
      </c>
      <c r="Y174" s="2789"/>
      <c r="Z174" s="2790"/>
      <c r="AA174" s="2787"/>
      <c r="AB174" s="2788" t="s">
        <v>25</v>
      </c>
      <c r="AC174" s="2789"/>
      <c r="AD174" s="2789"/>
      <c r="AE174" s="2791" t="s">
        <v>108</v>
      </c>
      <c r="AF174" s="2789"/>
      <c r="AG174" s="2792"/>
    </row>
    <row r="175" spans="1:34" ht="18" customHeight="1">
      <c r="A175" s="100"/>
      <c r="B175" s="3237" t="s">
        <v>229</v>
      </c>
      <c r="C175" s="3195" t="s">
        <v>230</v>
      </c>
      <c r="D175" s="3239"/>
      <c r="E175" s="3239"/>
      <c r="F175" s="3240"/>
      <c r="G175" s="3195" t="s">
        <v>230</v>
      </c>
      <c r="H175" s="3239"/>
      <c r="I175" s="3239"/>
      <c r="J175" s="3240"/>
      <c r="K175" s="3195" t="s">
        <v>230</v>
      </c>
      <c r="L175" s="3239"/>
      <c r="M175" s="3239"/>
      <c r="N175" s="3240"/>
      <c r="O175" s="3195" t="s">
        <v>231</v>
      </c>
      <c r="P175" s="3239"/>
      <c r="Q175" s="3239"/>
      <c r="R175" s="3240"/>
      <c r="S175" s="3195" t="s">
        <v>232</v>
      </c>
      <c r="T175" s="3239"/>
      <c r="U175" s="3239"/>
      <c r="V175" s="3240"/>
      <c r="W175" s="3195" t="s">
        <v>233</v>
      </c>
      <c r="X175" s="3241"/>
      <c r="Y175" s="3241"/>
      <c r="Z175" s="3242"/>
      <c r="AA175" s="3195" t="s">
        <v>233</v>
      </c>
      <c r="AB175" s="3239"/>
      <c r="AC175" s="3239"/>
      <c r="AD175" s="3194"/>
      <c r="AE175" s="3243">
        <v>68</v>
      </c>
      <c r="AF175" s="530"/>
      <c r="AG175" s="465"/>
    </row>
    <row r="176" spans="1:34" ht="18" customHeight="1">
      <c r="A176" s="100"/>
      <c r="B176" s="3237"/>
      <c r="C176" s="3195" t="s">
        <v>220</v>
      </c>
      <c r="D176" s="3239"/>
      <c r="E176" s="3239"/>
      <c r="F176" s="3240"/>
      <c r="G176" s="3195" t="s">
        <v>220</v>
      </c>
      <c r="H176" s="3239"/>
      <c r="I176" s="3239"/>
      <c r="J176" s="3240"/>
      <c r="K176" s="3195" t="s">
        <v>220</v>
      </c>
      <c r="L176" s="3239"/>
      <c r="M176" s="3239"/>
      <c r="N176" s="3240"/>
      <c r="O176" s="3195" t="s">
        <v>220</v>
      </c>
      <c r="P176" s="3239"/>
      <c r="Q176" s="3239"/>
      <c r="R176" s="3240"/>
      <c r="S176" s="3195" t="s">
        <v>220</v>
      </c>
      <c r="T176" s="3239"/>
      <c r="U176" s="3239"/>
      <c r="V176" s="3240"/>
      <c r="W176" s="3195" t="s">
        <v>220</v>
      </c>
      <c r="X176" s="3239"/>
      <c r="Y176" s="3239"/>
      <c r="Z176" s="3240"/>
      <c r="AA176" s="3239" t="s">
        <v>220</v>
      </c>
      <c r="AB176" s="3239"/>
      <c r="AC176" s="3239"/>
      <c r="AD176" s="3194"/>
      <c r="AE176" s="3243">
        <v>0</v>
      </c>
      <c r="AF176" s="530"/>
      <c r="AG176" s="465"/>
    </row>
    <row r="177" spans="1:34" ht="18" customHeight="1">
      <c r="A177" s="100"/>
      <c r="B177" s="3237" t="s">
        <v>234</v>
      </c>
      <c r="C177" s="3195" t="s">
        <v>231</v>
      </c>
      <c r="D177" s="3239"/>
      <c r="E177" s="3239"/>
      <c r="F177" s="3240"/>
      <c r="G177" s="3195" t="s">
        <v>231</v>
      </c>
      <c r="H177" s="3239"/>
      <c r="I177" s="3239"/>
      <c r="J177" s="3240"/>
      <c r="K177" s="3195" t="s">
        <v>231</v>
      </c>
      <c r="L177" s="3239"/>
      <c r="M177" s="3239"/>
      <c r="N177" s="3240"/>
      <c r="O177" s="3195" t="s">
        <v>230</v>
      </c>
      <c r="P177" s="3239"/>
      <c r="Q177" s="3239"/>
      <c r="R177" s="3240"/>
      <c r="S177" s="3195" t="s">
        <v>230</v>
      </c>
      <c r="T177" s="3239"/>
      <c r="U177" s="3239"/>
      <c r="V177" s="3240"/>
      <c r="W177" s="3195" t="s">
        <v>232</v>
      </c>
      <c r="X177" s="3241"/>
      <c r="Y177" s="3241"/>
      <c r="Z177" s="3242"/>
      <c r="AA177" s="3195" t="s">
        <v>232</v>
      </c>
      <c r="AB177" s="3239"/>
      <c r="AC177" s="3239"/>
      <c r="AD177" s="3194"/>
      <c r="AE177" s="3243">
        <v>68</v>
      </c>
      <c r="AF177" s="3239"/>
      <c r="AG177" s="3244"/>
    </row>
    <row r="178" spans="1:34" ht="18" customHeight="1">
      <c r="A178" s="100"/>
      <c r="B178" s="3237"/>
      <c r="C178" s="3195" t="s">
        <v>220</v>
      </c>
      <c r="D178" s="3239"/>
      <c r="E178" s="3239"/>
      <c r="F178" s="3240"/>
      <c r="G178" s="3195" t="s">
        <v>220</v>
      </c>
      <c r="H178" s="3239"/>
      <c r="I178" s="3239"/>
      <c r="J178" s="3240"/>
      <c r="K178" s="3195" t="s">
        <v>220</v>
      </c>
      <c r="L178" s="3239"/>
      <c r="M178" s="3239"/>
      <c r="N178" s="3240"/>
      <c r="O178" s="3195" t="s">
        <v>220</v>
      </c>
      <c r="P178" s="3239"/>
      <c r="Q178" s="3239"/>
      <c r="R178" s="3240"/>
      <c r="S178" s="3195" t="s">
        <v>220</v>
      </c>
      <c r="T178" s="3239"/>
      <c r="U178" s="3239"/>
      <c r="V178" s="3240"/>
      <c r="W178" s="3195" t="s">
        <v>220</v>
      </c>
      <c r="X178" s="3239"/>
      <c r="Y178" s="3239"/>
      <c r="Z178" s="3240"/>
      <c r="AA178" s="3239" t="s">
        <v>220</v>
      </c>
      <c r="AB178" s="3239"/>
      <c r="AC178" s="3239"/>
      <c r="AD178" s="3194"/>
      <c r="AE178" s="3243">
        <v>0</v>
      </c>
      <c r="AF178" s="3239"/>
      <c r="AG178" s="3244"/>
    </row>
    <row r="179" spans="1:34" ht="18" customHeight="1">
      <c r="A179" s="100"/>
      <c r="B179" s="3237" t="s">
        <v>235</v>
      </c>
      <c r="C179" s="3195" t="s">
        <v>230</v>
      </c>
      <c r="D179" s="3239"/>
      <c r="E179" s="3239"/>
      <c r="F179" s="3240"/>
      <c r="G179" s="3195" t="s">
        <v>230</v>
      </c>
      <c r="H179" s="3239"/>
      <c r="I179" s="3239"/>
      <c r="J179" s="3240"/>
      <c r="K179" s="3195" t="s">
        <v>230</v>
      </c>
      <c r="L179" s="3239"/>
      <c r="M179" s="3239"/>
      <c r="N179" s="3240"/>
      <c r="O179" s="3195" t="s">
        <v>230</v>
      </c>
      <c r="P179" s="3239"/>
      <c r="Q179" s="3239"/>
      <c r="R179" s="3240"/>
      <c r="S179" s="3195" t="s">
        <v>230</v>
      </c>
      <c r="T179" s="3239"/>
      <c r="U179" s="3239"/>
      <c r="V179" s="3240"/>
      <c r="W179" s="3195" t="s">
        <v>236</v>
      </c>
      <c r="X179" s="3246"/>
      <c r="Y179" s="3246"/>
      <c r="Z179" s="3196"/>
      <c r="AA179" s="3195" t="s">
        <v>236</v>
      </c>
      <c r="AB179" s="3246"/>
      <c r="AC179" s="3246"/>
      <c r="AD179" s="3198"/>
      <c r="AE179" s="3243">
        <v>68</v>
      </c>
      <c r="AF179" s="3239"/>
      <c r="AG179" s="3244"/>
    </row>
    <row r="180" spans="1:34" ht="18" customHeight="1" thickBot="1">
      <c r="A180" s="100"/>
      <c r="B180" s="3237"/>
      <c r="C180" s="3270" t="s">
        <v>220</v>
      </c>
      <c r="D180" s="3271"/>
      <c r="E180" s="3271"/>
      <c r="F180" s="3272"/>
      <c r="G180" s="3270" t="s">
        <v>220</v>
      </c>
      <c r="H180" s="3271"/>
      <c r="I180" s="3271"/>
      <c r="J180" s="3272"/>
      <c r="K180" s="3270" t="s">
        <v>220</v>
      </c>
      <c r="L180" s="3271"/>
      <c r="M180" s="3271"/>
      <c r="N180" s="3272"/>
      <c r="O180" s="3270" t="s">
        <v>220</v>
      </c>
      <c r="P180" s="3271"/>
      <c r="Q180" s="3271"/>
      <c r="R180" s="3272"/>
      <c r="S180" s="3270" t="s">
        <v>220</v>
      </c>
      <c r="T180" s="3271"/>
      <c r="U180" s="3271"/>
      <c r="V180" s="3273"/>
      <c r="W180" s="3270" t="s">
        <v>220</v>
      </c>
      <c r="X180" s="3273"/>
      <c r="Y180" s="3271"/>
      <c r="Z180" s="3272"/>
      <c r="AA180" s="3270" t="s">
        <v>220</v>
      </c>
      <c r="AB180" s="3273"/>
      <c r="AC180" s="3271"/>
      <c r="AD180" s="3272"/>
      <c r="AE180" s="3274" t="s">
        <v>438</v>
      </c>
      <c r="AF180" s="3271"/>
      <c r="AG180" s="3257"/>
    </row>
    <row r="181" spans="1:34" ht="18" customHeight="1" thickBot="1">
      <c r="A181" s="66"/>
      <c r="B181" s="100"/>
      <c r="C181" s="102"/>
      <c r="D181" s="102"/>
      <c r="E181" s="102"/>
      <c r="F181" s="102"/>
      <c r="G181" s="102"/>
      <c r="H181" s="102"/>
      <c r="I181" s="102"/>
      <c r="J181" s="102"/>
      <c r="K181" s="102"/>
      <c r="L181" s="102"/>
      <c r="M181" s="102"/>
      <c r="N181" s="102"/>
      <c r="O181" s="102"/>
      <c r="P181" s="102"/>
      <c r="Q181" s="102"/>
      <c r="R181" s="102"/>
      <c r="S181" s="102"/>
      <c r="T181" s="102"/>
      <c r="U181" s="102"/>
      <c r="V181" s="102"/>
      <c r="W181" s="102"/>
      <c r="X181" s="102"/>
      <c r="Y181" s="102"/>
      <c r="Z181" s="102"/>
      <c r="AA181" s="102"/>
      <c r="AB181" s="102"/>
      <c r="AC181" s="102"/>
      <c r="AD181" s="102"/>
      <c r="AE181" s="102"/>
      <c r="AF181" s="102"/>
      <c r="AG181" s="101"/>
    </row>
    <row r="182" spans="1:34" ht="18" customHeight="1" thickBot="1">
      <c r="A182" s="3236"/>
      <c r="B182" s="3086" t="s">
        <v>38</v>
      </c>
      <c r="C182" s="2985">
        <v>1</v>
      </c>
      <c r="D182" s="2986">
        <v>2</v>
      </c>
      <c r="E182" s="2986">
        <v>3</v>
      </c>
      <c r="F182" s="2985">
        <v>4</v>
      </c>
      <c r="G182" s="2985">
        <v>5</v>
      </c>
      <c r="H182" s="2985">
        <v>6</v>
      </c>
      <c r="I182" s="2985">
        <v>7</v>
      </c>
      <c r="J182" s="2985">
        <v>8</v>
      </c>
      <c r="K182" s="2986">
        <v>9</v>
      </c>
      <c r="L182" s="2986">
        <v>10</v>
      </c>
      <c r="M182" s="2985">
        <v>11</v>
      </c>
      <c r="N182" s="2985">
        <v>12</v>
      </c>
      <c r="O182" s="2985">
        <v>13</v>
      </c>
      <c r="P182" s="2985">
        <v>14</v>
      </c>
      <c r="Q182" s="2985">
        <v>15</v>
      </c>
      <c r="R182" s="2986">
        <v>16</v>
      </c>
      <c r="S182" s="2986">
        <v>17</v>
      </c>
      <c r="T182" s="2985">
        <v>18</v>
      </c>
      <c r="U182" s="2985">
        <v>19</v>
      </c>
      <c r="V182" s="2985">
        <v>20</v>
      </c>
      <c r="W182" s="2985">
        <v>21</v>
      </c>
      <c r="X182" s="2985">
        <v>22</v>
      </c>
      <c r="Y182" s="2986">
        <v>23</v>
      </c>
      <c r="Z182" s="2986">
        <v>24</v>
      </c>
      <c r="AA182" s="2985">
        <v>25</v>
      </c>
      <c r="AB182" s="2985">
        <v>26</v>
      </c>
      <c r="AC182" s="2985">
        <v>27</v>
      </c>
      <c r="AD182" s="2985">
        <v>28</v>
      </c>
      <c r="AE182" s="2985">
        <v>29</v>
      </c>
      <c r="AF182" s="2986">
        <v>30</v>
      </c>
      <c r="AG182" s="2986">
        <v>31</v>
      </c>
    </row>
    <row r="183" spans="1:34" ht="18" customHeight="1">
      <c r="A183" s="2828">
        <v>1</v>
      </c>
      <c r="B183" s="3124" t="s">
        <v>237</v>
      </c>
      <c r="C183" s="2833">
        <v>23</v>
      </c>
      <c r="D183" s="2833">
        <v>23</v>
      </c>
      <c r="E183" s="2833">
        <v>23</v>
      </c>
      <c r="F183" s="2833" t="s">
        <v>46</v>
      </c>
      <c r="G183" s="2833" t="s">
        <v>46</v>
      </c>
      <c r="H183" s="2833" t="s">
        <v>46</v>
      </c>
      <c r="I183" s="2833" t="s">
        <v>46</v>
      </c>
      <c r="J183" s="2833" t="s">
        <v>46</v>
      </c>
      <c r="K183" s="2833"/>
      <c r="L183" s="2833"/>
      <c r="M183" s="2833">
        <v>21</v>
      </c>
      <c r="N183" s="2833">
        <v>21</v>
      </c>
      <c r="O183" s="2833">
        <v>21</v>
      </c>
      <c r="P183" s="2833">
        <v>21</v>
      </c>
      <c r="Q183" s="2833">
        <v>21</v>
      </c>
      <c r="R183" s="2833">
        <v>21</v>
      </c>
      <c r="S183" s="2833">
        <v>21</v>
      </c>
      <c r="T183" s="2830" t="s">
        <v>46</v>
      </c>
      <c r="U183" s="2830" t="s">
        <v>46</v>
      </c>
      <c r="V183" s="2829" t="s">
        <v>46</v>
      </c>
      <c r="W183" s="2829" t="s">
        <v>46</v>
      </c>
      <c r="X183" s="2829" t="s">
        <v>46</v>
      </c>
      <c r="Y183" s="2829"/>
      <c r="Z183" s="2829"/>
      <c r="AA183" s="2829">
        <v>22</v>
      </c>
      <c r="AB183" s="2829">
        <v>22</v>
      </c>
      <c r="AC183" s="2832">
        <v>22</v>
      </c>
      <c r="AD183" s="2832">
        <v>22</v>
      </c>
      <c r="AE183" s="2832">
        <v>22</v>
      </c>
      <c r="AF183" s="2829">
        <v>22</v>
      </c>
      <c r="AG183" s="2829">
        <v>22</v>
      </c>
      <c r="AH183" t="s">
        <v>133</v>
      </c>
    </row>
    <row r="184" spans="1:34" ht="18" customHeight="1">
      <c r="A184" s="3275">
        <v>2</v>
      </c>
      <c r="B184" s="3124" t="s">
        <v>238</v>
      </c>
      <c r="C184" s="3134">
        <v>21</v>
      </c>
      <c r="D184" s="3134">
        <v>21</v>
      </c>
      <c r="E184" s="3134">
        <v>21</v>
      </c>
      <c r="F184" s="3156" t="s">
        <v>46</v>
      </c>
      <c r="G184" s="3156" t="s">
        <v>46</v>
      </c>
      <c r="H184" s="3156" t="s">
        <v>46</v>
      </c>
      <c r="I184" s="3156" t="s">
        <v>46</v>
      </c>
      <c r="J184" s="3156" t="s">
        <v>46</v>
      </c>
      <c r="K184" s="3146"/>
      <c r="L184" s="3146"/>
      <c r="M184" s="3146">
        <v>22</v>
      </c>
      <c r="N184" s="3147">
        <v>22</v>
      </c>
      <c r="O184" s="3147">
        <v>22</v>
      </c>
      <c r="P184" s="3147">
        <v>22</v>
      </c>
      <c r="Q184" s="3147">
        <v>22</v>
      </c>
      <c r="R184" s="3164">
        <v>22</v>
      </c>
      <c r="S184" s="3171">
        <v>22</v>
      </c>
      <c r="T184" s="3156" t="s">
        <v>46</v>
      </c>
      <c r="U184" s="3047" t="s">
        <v>46</v>
      </c>
      <c r="V184" s="3046">
        <v>21</v>
      </c>
      <c r="W184" s="3156" t="s">
        <v>46</v>
      </c>
      <c r="X184" s="3156" t="s">
        <v>46</v>
      </c>
      <c r="Y184" s="3164"/>
      <c r="Z184" s="3164"/>
      <c r="AA184" s="3164">
        <v>23</v>
      </c>
      <c r="AB184" s="3164">
        <v>23</v>
      </c>
      <c r="AC184" s="3156">
        <v>23</v>
      </c>
      <c r="AD184" s="3156">
        <v>23</v>
      </c>
      <c r="AE184" s="3156">
        <v>23</v>
      </c>
      <c r="AF184" s="3156">
        <v>23</v>
      </c>
      <c r="AG184" s="3156">
        <v>23</v>
      </c>
      <c r="AH184" t="s">
        <v>133</v>
      </c>
    </row>
    <row r="185" spans="1:34" ht="18" customHeight="1">
      <c r="A185" s="3275">
        <v>3</v>
      </c>
      <c r="B185" s="3124" t="s">
        <v>239</v>
      </c>
      <c r="C185" s="3164">
        <v>22</v>
      </c>
      <c r="D185" s="3147">
        <v>22</v>
      </c>
      <c r="E185" s="3147">
        <v>22</v>
      </c>
      <c r="F185" s="3147" t="s">
        <v>46</v>
      </c>
      <c r="G185" s="3147" t="s">
        <v>46</v>
      </c>
      <c r="H185" s="3147" t="s">
        <v>46</v>
      </c>
      <c r="I185" s="3164" t="s">
        <v>46</v>
      </c>
      <c r="J185" s="3164" t="s">
        <v>46</v>
      </c>
      <c r="K185" s="3146"/>
      <c r="L185" s="3146"/>
      <c r="M185" s="3146">
        <v>23</v>
      </c>
      <c r="N185" s="3147">
        <v>23</v>
      </c>
      <c r="O185" s="3147">
        <v>23</v>
      </c>
      <c r="P185" s="3147">
        <v>23</v>
      </c>
      <c r="Q185" s="3147">
        <v>23</v>
      </c>
      <c r="R185" s="3164">
        <v>23</v>
      </c>
      <c r="S185" s="3171">
        <v>23</v>
      </c>
      <c r="T185" s="3164" t="s">
        <v>46</v>
      </c>
      <c r="U185" s="3164" t="s">
        <v>46</v>
      </c>
      <c r="V185" s="3164" t="s">
        <v>46</v>
      </c>
      <c r="W185" s="3043">
        <v>23</v>
      </c>
      <c r="X185" s="3164" t="s">
        <v>46</v>
      </c>
      <c r="Y185" s="3164"/>
      <c r="Z185" s="3164"/>
      <c r="AA185" s="3164">
        <v>21</v>
      </c>
      <c r="AB185" s="3164">
        <v>21</v>
      </c>
      <c r="AC185" s="3156">
        <v>21</v>
      </c>
      <c r="AD185" s="3156">
        <v>21</v>
      </c>
      <c r="AE185" s="3156">
        <v>21</v>
      </c>
      <c r="AF185" s="3164">
        <v>21</v>
      </c>
      <c r="AG185" s="3164">
        <v>21</v>
      </c>
    </row>
    <row r="186" spans="1:34" ht="18" customHeight="1">
      <c r="A186" s="3275">
        <v>4</v>
      </c>
      <c r="B186" s="485" t="s">
        <v>240</v>
      </c>
      <c r="C186" s="3164" t="s">
        <v>46</v>
      </c>
      <c r="D186" s="3146"/>
      <c r="E186" s="3146"/>
      <c r="F186" s="3146">
        <v>23</v>
      </c>
      <c r="G186" s="3147">
        <v>23</v>
      </c>
      <c r="H186" s="3098">
        <v>23</v>
      </c>
      <c r="I186" s="3098">
        <v>23</v>
      </c>
      <c r="J186" s="3098" t="s">
        <v>241</v>
      </c>
      <c r="K186" s="3276">
        <v>23</v>
      </c>
      <c r="L186" s="3134">
        <v>23</v>
      </c>
      <c r="M186" s="3147" t="s">
        <v>46</v>
      </c>
      <c r="N186" s="3147" t="s">
        <v>46</v>
      </c>
      <c r="O186" s="3147" t="s">
        <v>46</v>
      </c>
      <c r="P186" s="3164" t="s">
        <v>46</v>
      </c>
      <c r="Q186" s="3164" t="s">
        <v>46</v>
      </c>
      <c r="R186" s="3155"/>
      <c r="S186" s="3155"/>
      <c r="T186" s="3145">
        <v>21</v>
      </c>
      <c r="U186" s="3145">
        <v>21</v>
      </c>
      <c r="V186" s="3145">
        <v>21</v>
      </c>
      <c r="W186" s="3145">
        <v>21</v>
      </c>
      <c r="X186" s="3145">
        <v>21</v>
      </c>
      <c r="Y186" s="3145">
        <v>21</v>
      </c>
      <c r="Z186" s="3145">
        <v>21</v>
      </c>
      <c r="AA186" s="3145" t="s">
        <v>46</v>
      </c>
      <c r="AB186" s="3145" t="s">
        <v>46</v>
      </c>
      <c r="AC186" s="3145" t="s">
        <v>46</v>
      </c>
      <c r="AD186" s="3145" t="s">
        <v>46</v>
      </c>
      <c r="AE186" s="3145" t="s">
        <v>46</v>
      </c>
      <c r="AF186" s="3145"/>
      <c r="AG186" s="3145"/>
      <c r="AH186" s="284" t="s">
        <v>133</v>
      </c>
    </row>
    <row r="187" spans="1:34" ht="18" customHeight="1">
      <c r="A187" s="3275">
        <v>5</v>
      </c>
      <c r="B187" s="3277" t="s">
        <v>242</v>
      </c>
      <c r="C187" s="3147" t="s">
        <v>46</v>
      </c>
      <c r="D187" s="3278"/>
      <c r="E187" s="3278"/>
      <c r="F187" s="3278">
        <v>21</v>
      </c>
      <c r="G187" s="3278">
        <v>21</v>
      </c>
      <c r="H187" s="3278">
        <v>21</v>
      </c>
      <c r="I187" s="3278">
        <v>21</v>
      </c>
      <c r="J187" s="3278">
        <v>21</v>
      </c>
      <c r="K187" s="3164">
        <v>21</v>
      </c>
      <c r="L187" s="3134">
        <v>21</v>
      </c>
      <c r="M187" s="3164" t="s">
        <v>46</v>
      </c>
      <c r="N187" s="3164" t="s">
        <v>46</v>
      </c>
      <c r="O187" s="3164" t="s">
        <v>46</v>
      </c>
      <c r="P187" s="3164" t="s">
        <v>46</v>
      </c>
      <c r="Q187" s="3164" t="s">
        <v>46</v>
      </c>
      <c r="R187" s="3155"/>
      <c r="S187" s="3155"/>
      <c r="T187" s="3164">
        <v>22</v>
      </c>
      <c r="U187" s="3156">
        <v>22</v>
      </c>
      <c r="V187" s="3156">
        <v>22</v>
      </c>
      <c r="W187" s="3171">
        <v>22</v>
      </c>
      <c r="X187" s="3164">
        <v>22</v>
      </c>
      <c r="Y187" s="3164">
        <v>22</v>
      </c>
      <c r="Z187" s="3171">
        <v>22</v>
      </c>
      <c r="AA187" s="3156" t="s">
        <v>46</v>
      </c>
      <c r="AB187" s="3156" t="s">
        <v>46</v>
      </c>
      <c r="AC187" s="3156" t="s">
        <v>46</v>
      </c>
      <c r="AD187" s="3156" t="s">
        <v>46</v>
      </c>
      <c r="AE187" s="3156" t="s">
        <v>46</v>
      </c>
      <c r="AF187" s="3164"/>
      <c r="AG187" s="3046" t="s">
        <v>412</v>
      </c>
    </row>
    <row r="188" spans="1:34" ht="18" customHeight="1" thickBot="1">
      <c r="A188" s="3279">
        <v>6</v>
      </c>
      <c r="B188" s="3280" t="s">
        <v>243</v>
      </c>
      <c r="C188" s="3118" t="s">
        <v>46</v>
      </c>
      <c r="D188" s="3176"/>
      <c r="E188" s="3176"/>
      <c r="F188" s="3176">
        <v>22</v>
      </c>
      <c r="G188" s="3281">
        <v>22</v>
      </c>
      <c r="H188" s="3281">
        <v>22</v>
      </c>
      <c r="I188" s="3281">
        <v>22</v>
      </c>
      <c r="J188" s="3281">
        <v>22</v>
      </c>
      <c r="K188" s="3281">
        <v>22</v>
      </c>
      <c r="L188" s="3281">
        <v>22</v>
      </c>
      <c r="M188" s="3281" t="s">
        <v>46</v>
      </c>
      <c r="N188" s="3118" t="s">
        <v>46</v>
      </c>
      <c r="O188" s="3118" t="s">
        <v>46</v>
      </c>
      <c r="P188" s="3118" t="s">
        <v>46</v>
      </c>
      <c r="Q188" s="3118" t="s">
        <v>46</v>
      </c>
      <c r="R188" s="3282"/>
      <c r="S188" s="3282"/>
      <c r="T188" s="3118">
        <v>23</v>
      </c>
      <c r="U188" s="3283">
        <v>23</v>
      </c>
      <c r="V188" s="3284">
        <v>23</v>
      </c>
      <c r="W188" s="3285">
        <v>23</v>
      </c>
      <c r="X188" s="3118">
        <v>23</v>
      </c>
      <c r="Y188" s="3118">
        <v>23</v>
      </c>
      <c r="Z188" s="3285">
        <v>23</v>
      </c>
      <c r="AA188" s="3118" t="s">
        <v>46</v>
      </c>
      <c r="AB188" s="3118" t="s">
        <v>46</v>
      </c>
      <c r="AC188" s="3118" t="s">
        <v>46</v>
      </c>
      <c r="AD188" s="3118" t="s">
        <v>46</v>
      </c>
      <c r="AE188" s="3118" t="s">
        <v>46</v>
      </c>
      <c r="AF188" s="3118"/>
      <c r="AG188" s="3118"/>
    </row>
    <row r="189" spans="1:34" ht="18" customHeight="1">
      <c r="A189" s="117"/>
      <c r="B189" s="115"/>
      <c r="C189" s="116"/>
      <c r="D189" s="116"/>
      <c r="E189" s="124"/>
      <c r="F189" s="116"/>
      <c r="G189" s="116"/>
      <c r="H189" s="129"/>
      <c r="I189" s="129"/>
      <c r="J189" s="129"/>
      <c r="K189" s="129"/>
      <c r="L189" s="129"/>
      <c r="M189" s="129"/>
      <c r="N189" s="113"/>
      <c r="O189" s="113"/>
      <c r="P189" s="124"/>
      <c r="Q189" s="116"/>
      <c r="R189" s="116"/>
      <c r="S189" s="124"/>
      <c r="T189" s="116"/>
      <c r="U189" s="116"/>
      <c r="V189" s="116"/>
      <c r="W189" s="116"/>
      <c r="X189" s="116"/>
      <c r="Y189" s="116"/>
      <c r="Z189" s="116"/>
      <c r="AA189" s="116"/>
      <c r="AB189" s="113"/>
      <c r="AC189" s="113"/>
      <c r="AD189" s="124"/>
      <c r="AE189" s="116"/>
      <c r="AF189" s="116"/>
      <c r="AG189" s="65"/>
    </row>
    <row r="190" spans="1:34" ht="18" customHeight="1">
      <c r="A190" s="67"/>
      <c r="B190" s="68"/>
      <c r="C190" s="108"/>
      <c r="D190" s="108"/>
      <c r="E190" s="99"/>
      <c r="F190" s="108"/>
      <c r="G190" s="108"/>
      <c r="H190" s="108"/>
      <c r="I190" s="108"/>
      <c r="J190" s="108"/>
      <c r="K190" s="108"/>
      <c r="L190" s="108"/>
      <c r="M190" s="108"/>
      <c r="N190" s="108"/>
      <c r="O190" s="108"/>
      <c r="P190" s="99"/>
      <c r="Q190" s="108"/>
      <c r="R190" s="108"/>
      <c r="S190" s="99"/>
      <c r="T190" s="108"/>
      <c r="U190" s="108"/>
      <c r="V190" s="108"/>
      <c r="W190" s="108"/>
      <c r="X190" s="108"/>
      <c r="Y190" s="108"/>
      <c r="Z190" s="108"/>
      <c r="AA190" s="108"/>
      <c r="AB190" s="108"/>
      <c r="AC190" s="109"/>
      <c r="AD190" s="109"/>
      <c r="AE190" s="109"/>
      <c r="AF190" s="108"/>
      <c r="AG190" s="65"/>
    </row>
    <row r="191" spans="1:34" ht="18" customHeight="1" thickBot="1">
      <c r="A191" s="96" t="s">
        <v>244</v>
      </c>
      <c r="D191" s="48"/>
      <c r="E191" s="48"/>
      <c r="F191" s="48"/>
      <c r="G191" s="63"/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48"/>
      <c r="S191" s="48"/>
      <c r="T191" s="48"/>
      <c r="U191" s="48"/>
      <c r="V191" s="48"/>
      <c r="W191" s="48"/>
      <c r="X191" s="48"/>
      <c r="Y191" s="48"/>
      <c r="Z191" s="48"/>
      <c r="AA191" s="48"/>
      <c r="AB191" s="48"/>
      <c r="AC191" s="48"/>
      <c r="AD191" s="48"/>
      <c r="AE191" s="48"/>
      <c r="AF191" s="48"/>
    </row>
    <row r="192" spans="1:34" ht="18" customHeight="1">
      <c r="A192" s="1"/>
      <c r="B192" s="2764" t="s">
        <v>209</v>
      </c>
      <c r="C192" s="2765"/>
      <c r="D192" s="2788" t="s">
        <v>19</v>
      </c>
      <c r="E192" s="3064"/>
      <c r="F192" s="2769"/>
      <c r="G192" s="2765"/>
      <c r="H192" s="2788" t="s">
        <v>20</v>
      </c>
      <c r="I192" s="3064"/>
      <c r="J192" s="2769"/>
      <c r="K192" s="2765"/>
      <c r="L192" s="2788" t="s">
        <v>21</v>
      </c>
      <c r="M192" s="3064"/>
      <c r="N192" s="2769"/>
      <c r="O192" s="2765"/>
      <c r="P192" s="2788" t="s">
        <v>22</v>
      </c>
      <c r="Q192" s="3064"/>
      <c r="R192" s="2769"/>
      <c r="S192" s="2765"/>
      <c r="T192" s="2788" t="s">
        <v>23</v>
      </c>
      <c r="U192" s="3064"/>
      <c r="V192" s="2769"/>
      <c r="W192" s="2765"/>
      <c r="X192" s="2788" t="s">
        <v>24</v>
      </c>
      <c r="Y192" s="3064"/>
      <c r="Z192" s="2769"/>
      <c r="AA192" s="2765"/>
      <c r="AB192" s="2788" t="s">
        <v>25</v>
      </c>
      <c r="AC192" s="3064"/>
      <c r="AD192" s="3064"/>
      <c r="AE192" s="2791" t="s">
        <v>108</v>
      </c>
      <c r="AF192" s="3064"/>
      <c r="AG192" s="2841"/>
    </row>
    <row r="193" spans="1:33" ht="18" customHeight="1">
      <c r="A193" s="1"/>
      <c r="B193" s="3237" t="s">
        <v>210</v>
      </c>
      <c r="C193" s="3195" t="s">
        <v>211</v>
      </c>
      <c r="D193" s="2958"/>
      <c r="E193" s="2958"/>
      <c r="F193" s="3240"/>
      <c r="G193" s="3195" t="s">
        <v>211</v>
      </c>
      <c r="H193" s="2958"/>
      <c r="I193" s="2958"/>
      <c r="J193" s="3240"/>
      <c r="K193" s="3195" t="s">
        <v>211</v>
      </c>
      <c r="L193" s="2958"/>
      <c r="M193" s="2958"/>
      <c r="N193" s="3240"/>
      <c r="O193" s="3195" t="s">
        <v>245</v>
      </c>
      <c r="P193" s="2958"/>
      <c r="Q193" s="2958"/>
      <c r="R193" s="3240"/>
      <c r="S193" s="3195" t="s">
        <v>220</v>
      </c>
      <c r="T193" s="2958"/>
      <c r="U193" s="2958"/>
      <c r="V193" s="3240"/>
      <c r="W193" s="3286"/>
      <c r="X193" s="3287"/>
      <c r="Y193" s="3287"/>
      <c r="Z193" s="3242"/>
      <c r="AA193" s="3238"/>
      <c r="AB193" s="2958"/>
      <c r="AC193" s="2958"/>
      <c r="AD193" s="3194"/>
      <c r="AE193" s="3243">
        <v>27</v>
      </c>
      <c r="AF193" s="2958"/>
      <c r="AG193" s="3288"/>
    </row>
    <row r="194" spans="1:33" ht="18" customHeight="1">
      <c r="A194" s="1"/>
      <c r="B194" s="3237" t="s">
        <v>212</v>
      </c>
      <c r="C194" s="3195" t="s">
        <v>246</v>
      </c>
      <c r="D194" s="2958"/>
      <c r="E194" s="2958"/>
      <c r="F194" s="3240"/>
      <c r="G194" s="3195" t="s">
        <v>246</v>
      </c>
      <c r="H194" s="2958"/>
      <c r="I194" s="2958"/>
      <c r="J194" s="3240"/>
      <c r="K194" s="3195" t="s">
        <v>246</v>
      </c>
      <c r="L194" s="2958"/>
      <c r="M194" s="2958"/>
      <c r="N194" s="3240"/>
      <c r="O194" s="3195" t="s">
        <v>246</v>
      </c>
      <c r="P194" s="2958"/>
      <c r="Q194" s="2958"/>
      <c r="R194" s="3240"/>
      <c r="S194" s="3195" t="s">
        <v>211</v>
      </c>
      <c r="T194" s="2958"/>
      <c r="U194" s="2958"/>
      <c r="V194" s="3240"/>
      <c r="W194" s="3195"/>
      <c r="X194" s="2958"/>
      <c r="Y194" s="2958"/>
      <c r="Z194" s="3240"/>
      <c r="AA194" s="2958"/>
      <c r="AB194" s="2958"/>
      <c r="AC194" s="2958"/>
      <c r="AD194" s="3194"/>
      <c r="AE194" s="3243">
        <v>39</v>
      </c>
      <c r="AF194" s="2958"/>
      <c r="AG194" s="3288"/>
    </row>
    <row r="195" spans="1:33" ht="18" customHeight="1">
      <c r="A195" s="1"/>
      <c r="B195" s="3237" t="s">
        <v>214</v>
      </c>
      <c r="C195" s="3195" t="s">
        <v>246</v>
      </c>
      <c r="D195" s="2958"/>
      <c r="E195" s="2958"/>
      <c r="F195" s="3240"/>
      <c r="G195" s="3195" t="s">
        <v>246</v>
      </c>
      <c r="H195" s="2958"/>
      <c r="I195" s="2958"/>
      <c r="J195" s="3240"/>
      <c r="K195" s="3195" t="s">
        <v>246</v>
      </c>
      <c r="L195" s="2958"/>
      <c r="M195" s="2958"/>
      <c r="N195" s="3240"/>
      <c r="O195" s="3195" t="s">
        <v>246</v>
      </c>
      <c r="P195" s="2958"/>
      <c r="Q195" s="2958"/>
      <c r="R195" s="3240"/>
      <c r="S195" s="3195" t="s">
        <v>246</v>
      </c>
      <c r="T195" s="2958"/>
      <c r="U195" s="2958"/>
      <c r="V195" s="3240"/>
      <c r="W195" s="3197" t="s">
        <v>217</v>
      </c>
      <c r="X195" s="3066"/>
      <c r="Y195" s="3066"/>
      <c r="Z195" s="3196"/>
      <c r="AA195" s="3245"/>
      <c r="AB195" s="3066"/>
      <c r="AC195" s="3066"/>
      <c r="AD195" s="3198"/>
      <c r="AE195" s="3243">
        <v>45</v>
      </c>
      <c r="AF195" s="2958"/>
      <c r="AG195" s="3288"/>
    </row>
    <row r="196" spans="1:33" ht="18" customHeight="1" thickBot="1">
      <c r="A196" s="1"/>
      <c r="B196" s="1484" t="s">
        <v>218</v>
      </c>
      <c r="C196" s="3270"/>
      <c r="D196" s="3078"/>
      <c r="E196" s="3078"/>
      <c r="F196" s="3272"/>
      <c r="G196" s="3270"/>
      <c r="H196" s="3078"/>
      <c r="I196" s="3078"/>
      <c r="J196" s="3272"/>
      <c r="K196" s="3270"/>
      <c r="L196" s="3078"/>
      <c r="M196" s="3078"/>
      <c r="N196" s="3272"/>
      <c r="O196" s="3270"/>
      <c r="P196" s="3078"/>
      <c r="Q196" s="3078"/>
      <c r="R196" s="3272"/>
      <c r="S196" s="3270"/>
      <c r="T196" s="3078"/>
      <c r="U196" s="3078"/>
      <c r="V196" s="3273"/>
      <c r="W196" s="3270"/>
      <c r="X196" s="3273"/>
      <c r="Y196" s="3078"/>
      <c r="Z196" s="3272"/>
      <c r="AA196" s="3270"/>
      <c r="AB196" s="3273"/>
      <c r="AC196" s="3078"/>
      <c r="AD196" s="3272"/>
      <c r="AE196" s="3289"/>
      <c r="AF196" s="3078"/>
      <c r="AG196" s="3290"/>
    </row>
    <row r="197" spans="1:33" ht="18" customHeight="1" thickBot="1">
      <c r="A197" s="66"/>
      <c r="B197" s="1"/>
      <c r="C197" s="48"/>
      <c r="D197" s="48"/>
      <c r="E197" s="48"/>
      <c r="F197" s="48"/>
      <c r="G197" s="48"/>
      <c r="H197" s="48"/>
      <c r="I197" s="48"/>
      <c r="J197" s="48"/>
      <c r="K197" s="48"/>
      <c r="L197" s="48"/>
      <c r="M197" s="48"/>
      <c r="N197" s="48"/>
      <c r="O197" s="48"/>
      <c r="P197" s="48"/>
      <c r="Q197" s="48"/>
      <c r="R197" s="48"/>
      <c r="S197" s="48"/>
      <c r="T197" s="48"/>
      <c r="U197" s="48"/>
      <c r="V197" s="48"/>
      <c r="W197" s="48"/>
      <c r="X197" s="48"/>
      <c r="Y197" s="48"/>
      <c r="Z197" s="48"/>
      <c r="AA197" s="48"/>
      <c r="AB197" s="48"/>
      <c r="AC197" s="48"/>
      <c r="AD197" s="48"/>
      <c r="AE197" s="48"/>
      <c r="AF197" s="48"/>
    </row>
    <row r="198" spans="1:33" ht="18" customHeight="1" thickBot="1">
      <c r="A198" s="3236"/>
      <c r="B198" s="3086" t="s">
        <v>38</v>
      </c>
      <c r="C198" s="2985">
        <v>1</v>
      </c>
      <c r="D198" s="2986">
        <v>2</v>
      </c>
      <c r="E198" s="2986">
        <v>3</v>
      </c>
      <c r="F198" s="2985">
        <v>4</v>
      </c>
      <c r="G198" s="2985">
        <v>5</v>
      </c>
      <c r="H198" s="2985">
        <v>6</v>
      </c>
      <c r="I198" s="2985">
        <v>7</v>
      </c>
      <c r="J198" s="2985">
        <v>8</v>
      </c>
      <c r="K198" s="2986">
        <v>9</v>
      </c>
      <c r="L198" s="2986">
        <v>10</v>
      </c>
      <c r="M198" s="2985">
        <v>11</v>
      </c>
      <c r="N198" s="2985">
        <v>12</v>
      </c>
      <c r="O198" s="2985">
        <v>13</v>
      </c>
      <c r="P198" s="2985">
        <v>14</v>
      </c>
      <c r="Q198" s="2985">
        <v>15</v>
      </c>
      <c r="R198" s="2986">
        <v>16</v>
      </c>
      <c r="S198" s="2986">
        <v>17</v>
      </c>
      <c r="T198" s="2985">
        <v>18</v>
      </c>
      <c r="U198" s="2985">
        <v>19</v>
      </c>
      <c r="V198" s="2985">
        <v>20</v>
      </c>
      <c r="W198" s="2985">
        <v>21</v>
      </c>
      <c r="X198" s="2985">
        <v>22</v>
      </c>
      <c r="Y198" s="2986">
        <v>23</v>
      </c>
      <c r="Z198" s="2986">
        <v>24</v>
      </c>
      <c r="AA198" s="2985">
        <v>25</v>
      </c>
      <c r="AB198" s="2985">
        <v>26</v>
      </c>
      <c r="AC198" s="2985">
        <v>27</v>
      </c>
      <c r="AD198" s="2985">
        <v>28</v>
      </c>
      <c r="AE198" s="2985">
        <v>29</v>
      </c>
      <c r="AF198" s="2986">
        <v>30</v>
      </c>
      <c r="AG198" s="2986">
        <v>31</v>
      </c>
    </row>
    <row r="199" spans="1:33" ht="18" customHeight="1">
      <c r="A199" s="2814">
        <v>1</v>
      </c>
      <c r="B199" s="2847" t="s">
        <v>247</v>
      </c>
      <c r="C199" s="3291" t="s">
        <v>40</v>
      </c>
      <c r="D199" s="3291"/>
      <c r="E199" s="3291"/>
      <c r="F199" s="3089" t="s">
        <v>40</v>
      </c>
      <c r="G199" s="2848" t="s">
        <v>40</v>
      </c>
      <c r="H199" s="3089" t="s">
        <v>40</v>
      </c>
      <c r="I199" s="3089" t="s">
        <v>40</v>
      </c>
      <c r="J199" s="3089" t="s">
        <v>40</v>
      </c>
      <c r="K199" s="3089" t="s">
        <v>248</v>
      </c>
      <c r="L199" s="3089"/>
      <c r="M199" s="3089" t="s">
        <v>40</v>
      </c>
      <c r="N199" s="3089" t="s">
        <v>40</v>
      </c>
      <c r="O199" s="3089" t="s">
        <v>40</v>
      </c>
      <c r="P199" s="3089" t="s">
        <v>40</v>
      </c>
      <c r="Q199" s="3089" t="s">
        <v>40</v>
      </c>
      <c r="R199" s="2848"/>
      <c r="S199" s="3089"/>
      <c r="T199" s="3089" t="s">
        <v>40</v>
      </c>
      <c r="U199" s="3089" t="s">
        <v>40</v>
      </c>
      <c r="V199" s="3089" t="s">
        <v>40</v>
      </c>
      <c r="W199" s="3089" t="s">
        <v>40</v>
      </c>
      <c r="X199" s="3089" t="s">
        <v>40</v>
      </c>
      <c r="Y199" s="3089"/>
      <c r="Z199" s="3089"/>
      <c r="AA199" s="3089" t="s">
        <v>40</v>
      </c>
      <c r="AB199" s="2848" t="s">
        <v>40</v>
      </c>
      <c r="AC199" s="3089" t="s">
        <v>40</v>
      </c>
      <c r="AD199" s="3292" t="s">
        <v>40</v>
      </c>
      <c r="AE199" s="3089" t="s">
        <v>40</v>
      </c>
      <c r="AF199" s="3089" t="s">
        <v>248</v>
      </c>
      <c r="AG199" s="3089"/>
    </row>
    <row r="200" spans="1:33" ht="18" customHeight="1">
      <c r="A200" s="3262">
        <v>2</v>
      </c>
      <c r="B200" s="3293" t="s">
        <v>249</v>
      </c>
      <c r="C200" s="3016" t="s">
        <v>248</v>
      </c>
      <c r="D200" s="3016" t="s">
        <v>248</v>
      </c>
      <c r="E200" s="3016"/>
      <c r="F200" s="3016" t="s">
        <v>251</v>
      </c>
      <c r="G200" s="3016" t="s">
        <v>251</v>
      </c>
      <c r="H200" s="3016" t="s">
        <v>251</v>
      </c>
      <c r="I200" s="3016" t="s">
        <v>251</v>
      </c>
      <c r="J200" s="3016" t="s">
        <v>46</v>
      </c>
      <c r="K200" s="3016"/>
      <c r="L200" s="3016"/>
      <c r="M200" s="3016" t="s">
        <v>250</v>
      </c>
      <c r="N200" s="3016" t="s">
        <v>250</v>
      </c>
      <c r="O200" s="3016" t="s">
        <v>250</v>
      </c>
      <c r="P200" s="3016" t="s">
        <v>250</v>
      </c>
      <c r="Q200" s="3016" t="s">
        <v>250</v>
      </c>
      <c r="R200" s="3016"/>
      <c r="S200" s="3016"/>
      <c r="T200" s="3016" t="s">
        <v>248</v>
      </c>
      <c r="U200" s="3016" t="s">
        <v>248</v>
      </c>
      <c r="V200" s="3016" t="s">
        <v>248</v>
      </c>
      <c r="W200" s="3016" t="s">
        <v>248</v>
      </c>
      <c r="X200" s="3016" t="s">
        <v>248</v>
      </c>
      <c r="Y200" s="3016" t="s">
        <v>248</v>
      </c>
      <c r="Z200" s="3016"/>
      <c r="AA200" s="3016" t="s">
        <v>251</v>
      </c>
      <c r="AB200" s="3016" t="s">
        <v>251</v>
      </c>
      <c r="AC200" s="3016" t="s">
        <v>251</v>
      </c>
      <c r="AD200" s="3000" t="s">
        <v>251</v>
      </c>
      <c r="AE200" s="3016" t="s">
        <v>46</v>
      </c>
      <c r="AF200" s="3016"/>
      <c r="AG200" s="3016"/>
    </row>
    <row r="201" spans="1:33" ht="18" customHeight="1">
      <c r="A201" s="3262">
        <v>3</v>
      </c>
      <c r="B201" s="3294" t="s">
        <v>252</v>
      </c>
      <c r="C201" s="3016" t="s">
        <v>46</v>
      </c>
      <c r="D201" s="2996"/>
      <c r="E201" s="2996"/>
      <c r="F201" s="2993" t="s">
        <v>250</v>
      </c>
      <c r="G201" s="2993" t="s">
        <v>250</v>
      </c>
      <c r="H201" s="2993" t="s">
        <v>250</v>
      </c>
      <c r="I201" s="2993" t="s">
        <v>250</v>
      </c>
      <c r="J201" s="2993" t="s">
        <v>250</v>
      </c>
      <c r="K201" s="2993"/>
      <c r="L201" s="2993"/>
      <c r="M201" s="2993" t="s">
        <v>248</v>
      </c>
      <c r="N201" s="2993" t="s">
        <v>248</v>
      </c>
      <c r="O201" s="2993" t="s">
        <v>248</v>
      </c>
      <c r="P201" s="2993" t="s">
        <v>248</v>
      </c>
      <c r="Q201" s="2993" t="s">
        <v>248</v>
      </c>
      <c r="R201" s="2993" t="s">
        <v>248</v>
      </c>
      <c r="S201" s="2993"/>
      <c r="T201" s="2993" t="s">
        <v>251</v>
      </c>
      <c r="U201" s="2993" t="s">
        <v>251</v>
      </c>
      <c r="V201" s="2993" t="s">
        <v>251</v>
      </c>
      <c r="W201" s="2993" t="s">
        <v>251</v>
      </c>
      <c r="X201" s="2993" t="s">
        <v>46</v>
      </c>
      <c r="Y201" s="2993"/>
      <c r="Z201" s="2993"/>
      <c r="AA201" s="3016" t="s">
        <v>250</v>
      </c>
      <c r="AB201" s="3016" t="s">
        <v>250</v>
      </c>
      <c r="AC201" s="3016" t="s">
        <v>250</v>
      </c>
      <c r="AD201" s="3000" t="s">
        <v>250</v>
      </c>
      <c r="AE201" s="3016" t="s">
        <v>250</v>
      </c>
      <c r="AF201" s="2996"/>
      <c r="AG201" s="2996"/>
    </row>
    <row r="202" spans="1:33" ht="18" customHeight="1">
      <c r="A202" s="3262">
        <v>4</v>
      </c>
      <c r="B202" s="3294" t="s">
        <v>253</v>
      </c>
      <c r="C202" s="3016"/>
      <c r="D202" s="2997"/>
      <c r="E202" s="3016"/>
      <c r="F202" s="3016"/>
      <c r="G202" s="3016"/>
      <c r="H202" s="3016"/>
      <c r="I202" s="3016"/>
      <c r="J202" s="3016"/>
      <c r="K202" s="3016"/>
      <c r="L202" s="3016"/>
      <c r="M202" s="3016"/>
      <c r="N202" s="3016"/>
      <c r="O202" s="3016"/>
      <c r="P202" s="3016"/>
      <c r="Q202" s="3016"/>
      <c r="R202" s="3016"/>
      <c r="S202" s="3016"/>
      <c r="T202" s="3016"/>
      <c r="U202" s="3016"/>
      <c r="V202" s="3016"/>
      <c r="W202" s="3016"/>
      <c r="X202" s="3016"/>
      <c r="Y202" s="2997"/>
      <c r="Z202" s="3016"/>
      <c r="AA202" s="3016"/>
      <c r="AB202" s="3016"/>
      <c r="AC202" s="3016"/>
      <c r="AD202" s="3016"/>
      <c r="AE202" s="3016"/>
      <c r="AF202" s="3016"/>
      <c r="AG202" s="3016"/>
    </row>
    <row r="203" spans="1:33" ht="18" customHeight="1">
      <c r="A203" s="3262">
        <v>5</v>
      </c>
      <c r="B203" s="3294"/>
      <c r="C203" s="3001"/>
      <c r="D203" s="3001"/>
      <c r="E203" s="2996"/>
      <c r="F203" s="2996"/>
      <c r="G203" s="3001"/>
      <c r="H203" s="3001"/>
      <c r="I203" s="3001"/>
      <c r="J203" s="3001"/>
      <c r="K203" s="3001"/>
      <c r="L203" s="3001"/>
      <c r="M203" s="3001"/>
      <c r="N203" s="3016"/>
      <c r="O203" s="3016"/>
      <c r="P203" s="2996"/>
      <c r="Q203" s="2996"/>
      <c r="R203" s="3001"/>
      <c r="S203" s="3001"/>
      <c r="T203" s="3001"/>
      <c r="U203" s="3001"/>
      <c r="V203" s="3001"/>
      <c r="W203" s="3001"/>
      <c r="X203" s="3001"/>
      <c r="Y203" s="3001"/>
      <c r="Z203" s="2996"/>
      <c r="AA203" s="2996"/>
      <c r="AB203" s="3001"/>
      <c r="AC203" s="3001"/>
      <c r="AD203" s="3001"/>
      <c r="AE203" s="3001"/>
      <c r="AF203" s="3001"/>
      <c r="AG203" s="3001"/>
    </row>
    <row r="204" spans="1:33" ht="18" customHeight="1">
      <c r="A204" s="3262">
        <v>6</v>
      </c>
      <c r="B204" s="2992"/>
      <c r="C204" s="3001"/>
      <c r="D204" s="3001"/>
      <c r="E204" s="2996"/>
      <c r="F204" s="2996"/>
      <c r="G204" s="3001"/>
      <c r="H204" s="3001"/>
      <c r="I204" s="3001"/>
      <c r="J204" s="3001"/>
      <c r="K204" s="3001"/>
      <c r="L204" s="3001"/>
      <c r="M204" s="3001"/>
      <c r="N204" s="3016"/>
      <c r="O204" s="3016"/>
      <c r="P204" s="2996"/>
      <c r="Q204" s="2996"/>
      <c r="R204" s="3001"/>
      <c r="S204" s="3001"/>
      <c r="T204" s="3001"/>
      <c r="U204" s="3001"/>
      <c r="V204" s="3001"/>
      <c r="W204" s="3001"/>
      <c r="X204" s="3001"/>
      <c r="Y204" s="3001"/>
      <c r="Z204" s="2996"/>
      <c r="AA204" s="2996"/>
      <c r="AB204" s="3001"/>
      <c r="AC204" s="3001"/>
      <c r="AD204" s="3001"/>
      <c r="AE204" s="3001"/>
      <c r="AF204" s="3001"/>
      <c r="AG204" s="3001"/>
    </row>
    <row r="205" spans="1:33" ht="18" customHeight="1" thickBot="1">
      <c r="A205" s="3267"/>
      <c r="B205" s="3002"/>
      <c r="C205" s="3053"/>
      <c r="D205" s="3053"/>
      <c r="E205" s="3053"/>
      <c r="F205" s="3053"/>
      <c r="G205" s="3053"/>
      <c r="H205" s="3053"/>
      <c r="I205" s="3053"/>
      <c r="J205" s="3053"/>
      <c r="K205" s="3053"/>
      <c r="L205" s="3053"/>
      <c r="M205" s="3053"/>
      <c r="N205" s="3053"/>
      <c r="O205" s="3053"/>
      <c r="P205" s="3053"/>
      <c r="Q205" s="3053"/>
      <c r="R205" s="3053"/>
      <c r="S205" s="3053"/>
      <c r="T205" s="3053"/>
      <c r="U205" s="3053"/>
      <c r="V205" s="3053"/>
      <c r="W205" s="3053"/>
      <c r="X205" s="3053"/>
      <c r="Y205" s="3053"/>
      <c r="Z205" s="3053"/>
      <c r="AA205" s="3053"/>
      <c r="AB205" s="3053"/>
      <c r="AC205" s="3053"/>
      <c r="AD205" s="3053"/>
      <c r="AE205" s="3053"/>
      <c r="AF205" s="3053"/>
      <c r="AG205" s="3053"/>
    </row>
    <row r="206" spans="1:33" ht="18" customHeight="1">
      <c r="A206" s="117"/>
      <c r="B206" s="115"/>
      <c r="C206" s="116"/>
      <c r="D206" s="116"/>
      <c r="E206" s="116"/>
      <c r="F206" s="116"/>
      <c r="G206" s="116"/>
      <c r="H206" s="116"/>
      <c r="I206" s="116"/>
      <c r="J206" s="116"/>
      <c r="K206" s="116"/>
      <c r="L206" s="116"/>
      <c r="M206" s="116"/>
      <c r="N206" s="116"/>
      <c r="O206" s="116"/>
      <c r="P206" s="116"/>
      <c r="Q206" s="116"/>
      <c r="R206" s="116"/>
      <c r="S206" s="116"/>
      <c r="T206" s="116"/>
      <c r="U206" s="116"/>
      <c r="V206" s="116"/>
      <c r="W206" s="116"/>
      <c r="X206" s="116"/>
      <c r="Y206" s="116"/>
      <c r="Z206" s="116"/>
      <c r="AA206" s="116"/>
      <c r="AB206" s="116"/>
      <c r="AC206" s="116"/>
      <c r="AD206" s="116"/>
      <c r="AE206" s="116"/>
      <c r="AF206" s="116"/>
      <c r="AG206" s="65"/>
    </row>
    <row r="207" spans="1:33" ht="18" customHeight="1">
      <c r="A207" s="117"/>
      <c r="B207" s="115"/>
      <c r="C207" s="116"/>
      <c r="D207" s="116"/>
      <c r="E207" s="116"/>
      <c r="F207" s="116"/>
      <c r="G207" s="116"/>
      <c r="H207" s="116"/>
      <c r="I207" s="116"/>
      <c r="J207" s="116"/>
      <c r="K207" s="116"/>
      <c r="L207" s="116"/>
      <c r="M207" s="116"/>
      <c r="N207" s="116"/>
      <c r="O207" s="116"/>
      <c r="P207" s="116"/>
      <c r="Q207" s="116"/>
      <c r="R207" s="116"/>
      <c r="S207" s="116"/>
      <c r="T207" s="116"/>
      <c r="U207" s="116"/>
      <c r="V207" s="116"/>
      <c r="W207" s="116"/>
      <c r="X207" s="116"/>
      <c r="Y207" s="116"/>
      <c r="Z207" s="116"/>
      <c r="AA207" s="116"/>
      <c r="AB207" s="116"/>
      <c r="AC207" s="116"/>
      <c r="AD207" s="116"/>
      <c r="AE207" s="116"/>
      <c r="AF207" s="116"/>
      <c r="AG207" s="65"/>
    </row>
    <row r="208" spans="1:33" ht="18" customHeight="1" thickBot="1">
      <c r="A208" s="90" t="s">
        <v>254</v>
      </c>
      <c r="B208" s="48"/>
      <c r="C208" s="64"/>
      <c r="D208" s="48"/>
      <c r="E208" s="48"/>
      <c r="F208" s="64"/>
      <c r="G208" s="48"/>
      <c r="H208" s="48"/>
      <c r="I208" s="64"/>
      <c r="J208" s="64"/>
      <c r="K208" s="48"/>
      <c r="L208" s="64"/>
      <c r="M208" s="48"/>
      <c r="N208" s="48"/>
      <c r="O208" s="64"/>
      <c r="P208" s="48"/>
      <c r="Q208" s="64"/>
      <c r="R208" s="64"/>
      <c r="S208" s="48"/>
      <c r="T208" s="48"/>
      <c r="U208" s="64"/>
      <c r="V208" s="48"/>
      <c r="W208" s="64"/>
      <c r="X208" s="64"/>
      <c r="Y208" s="48"/>
      <c r="Z208" s="48"/>
      <c r="AA208" s="48"/>
      <c r="AB208" s="48"/>
      <c r="AC208" s="48"/>
      <c r="AD208" s="48"/>
      <c r="AE208" s="64"/>
      <c r="AF208" s="48"/>
      <c r="AG208" s="65"/>
    </row>
    <row r="209" spans="1:31" ht="18" customHeight="1">
      <c r="A209" s="67"/>
      <c r="B209" s="2851" t="s">
        <v>255</v>
      </c>
      <c r="C209" s="2852"/>
      <c r="D209" s="2853" t="s">
        <v>19</v>
      </c>
      <c r="E209" s="3224"/>
      <c r="F209" s="2854"/>
      <c r="G209" s="2855"/>
      <c r="H209" s="2853" t="s">
        <v>20</v>
      </c>
      <c r="I209" s="3224"/>
      <c r="J209" s="2854"/>
      <c r="K209" s="2855"/>
      <c r="L209" s="2853" t="s">
        <v>21</v>
      </c>
      <c r="M209" s="3224"/>
      <c r="N209" s="2854"/>
      <c r="O209" s="2855"/>
      <c r="P209" s="2853" t="s">
        <v>22</v>
      </c>
      <c r="Q209" s="3224"/>
      <c r="R209" s="2854"/>
      <c r="S209" s="2855"/>
      <c r="T209" s="2853" t="s">
        <v>23</v>
      </c>
      <c r="U209" s="3224"/>
      <c r="V209" s="2854"/>
      <c r="W209" s="2855"/>
      <c r="X209" s="2853" t="s">
        <v>24</v>
      </c>
      <c r="Y209" s="3224"/>
      <c r="Z209" s="2854"/>
      <c r="AA209" s="2855"/>
      <c r="AB209" s="2853" t="s">
        <v>25</v>
      </c>
      <c r="AC209" s="3224"/>
      <c r="AD209" s="3224"/>
      <c r="AE209" s="2856" t="s">
        <v>108</v>
      </c>
    </row>
    <row r="210" spans="1:31" ht="18" customHeight="1">
      <c r="A210" s="67"/>
      <c r="B210" s="2971" t="s">
        <v>256</v>
      </c>
      <c r="C210" s="3295" t="s">
        <v>257</v>
      </c>
      <c r="D210" s="3296" t="s">
        <v>258</v>
      </c>
      <c r="E210" s="3297"/>
      <c r="F210" s="3298"/>
      <c r="G210" s="3299"/>
      <c r="H210" s="3300" t="s">
        <v>258</v>
      </c>
      <c r="I210" s="3301"/>
      <c r="J210" s="3298"/>
      <c r="K210" s="3299"/>
      <c r="L210" s="3300" t="s">
        <v>258</v>
      </c>
      <c r="M210" s="3301"/>
      <c r="N210" s="3298"/>
      <c r="O210" s="3299"/>
      <c r="P210" s="3300" t="s">
        <v>259</v>
      </c>
      <c r="Q210" s="3301"/>
      <c r="R210" s="3298"/>
      <c r="S210" s="3299"/>
      <c r="T210" s="3300" t="s">
        <v>260</v>
      </c>
      <c r="U210" s="3301"/>
      <c r="V210" s="3298"/>
      <c r="W210" s="3302"/>
      <c r="X210" s="2975"/>
      <c r="Y210" s="2975"/>
      <c r="Z210" s="3303"/>
      <c r="AA210" s="3302"/>
      <c r="AB210" s="2975"/>
      <c r="AC210" s="2975"/>
      <c r="AD210" s="2975"/>
      <c r="AE210" s="3302"/>
    </row>
    <row r="211" spans="1:31" ht="18" customHeight="1">
      <c r="A211" s="67"/>
      <c r="B211" s="2971" t="s">
        <v>261</v>
      </c>
      <c r="C211" s="3295" t="s">
        <v>130</v>
      </c>
      <c r="D211" s="3296" t="s">
        <v>258</v>
      </c>
      <c r="E211" s="3297"/>
      <c r="F211" s="3298"/>
      <c r="G211" s="3299"/>
      <c r="H211" s="3300" t="s">
        <v>258</v>
      </c>
      <c r="I211" s="3301"/>
      <c r="J211" s="3298"/>
      <c r="K211" s="3299"/>
      <c r="L211" s="3300" t="s">
        <v>262</v>
      </c>
      <c r="M211" s="3301"/>
      <c r="N211" s="3298"/>
      <c r="O211" s="3299"/>
      <c r="P211" s="3300" t="s">
        <v>263</v>
      </c>
      <c r="Q211" s="3301"/>
      <c r="R211" s="3298"/>
      <c r="S211" s="3299"/>
      <c r="T211" s="3300" t="s">
        <v>264</v>
      </c>
      <c r="U211" s="3301"/>
      <c r="V211" s="3298"/>
      <c r="W211" s="3302"/>
      <c r="X211" s="2975"/>
      <c r="Y211" s="2975"/>
      <c r="Z211" s="3303"/>
      <c r="AA211" s="3302"/>
      <c r="AB211" s="2975"/>
      <c r="AC211" s="2975"/>
      <c r="AD211" s="2975"/>
      <c r="AE211" s="3302"/>
    </row>
    <row r="212" spans="1:31" ht="18" customHeight="1">
      <c r="A212" s="67"/>
      <c r="B212" s="2971" t="s">
        <v>265</v>
      </c>
      <c r="C212" s="3295" t="s">
        <v>153</v>
      </c>
      <c r="D212" s="3296" t="s">
        <v>266</v>
      </c>
      <c r="E212" s="3297"/>
      <c r="F212" s="3298"/>
      <c r="G212" s="3299"/>
      <c r="H212" s="3296" t="s">
        <v>266</v>
      </c>
      <c r="I212" s="3301"/>
      <c r="J212" s="3298"/>
      <c r="K212" s="3299"/>
      <c r="L212" s="3296" t="s">
        <v>266</v>
      </c>
      <c r="M212" s="3301"/>
      <c r="N212" s="3298"/>
      <c r="O212" s="3299"/>
      <c r="P212" s="3300" t="s">
        <v>267</v>
      </c>
      <c r="Q212" s="3301"/>
      <c r="R212" s="3298"/>
      <c r="S212" s="3299"/>
      <c r="T212" s="3300" t="s">
        <v>264</v>
      </c>
      <c r="U212" s="3301"/>
      <c r="V212" s="3298"/>
      <c r="W212" s="3302"/>
      <c r="X212" s="2975"/>
      <c r="Y212" s="2975"/>
      <c r="Z212" s="3303"/>
      <c r="AA212" s="3302"/>
      <c r="AB212" s="2975"/>
      <c r="AC212" s="2975"/>
      <c r="AD212" s="2975"/>
      <c r="AE212" s="3302"/>
    </row>
    <row r="213" spans="1:31" ht="18" customHeight="1">
      <c r="A213" s="67"/>
      <c r="B213" s="2971" t="s">
        <v>268</v>
      </c>
      <c r="C213" s="3295" t="s">
        <v>132</v>
      </c>
      <c r="D213" s="3296" t="s">
        <v>269</v>
      </c>
      <c r="E213" s="3297"/>
      <c r="F213" s="3298"/>
      <c r="G213" s="3299"/>
      <c r="H213" s="3300" t="s">
        <v>258</v>
      </c>
      <c r="I213" s="3301"/>
      <c r="J213" s="3298"/>
      <c r="K213" s="3299"/>
      <c r="L213" s="3300" t="s">
        <v>258</v>
      </c>
      <c r="M213" s="3301"/>
      <c r="N213" s="3298"/>
      <c r="O213" s="3299"/>
      <c r="P213" s="3300" t="s">
        <v>270</v>
      </c>
      <c r="Q213" s="3301"/>
      <c r="R213" s="3298"/>
      <c r="S213" s="3299"/>
      <c r="T213" s="3300" t="s">
        <v>271</v>
      </c>
      <c r="U213" s="3301"/>
      <c r="V213" s="3298"/>
      <c r="W213" s="3302"/>
      <c r="X213" s="2975"/>
      <c r="Y213" s="2975"/>
      <c r="Z213" s="3303"/>
      <c r="AA213" s="3302"/>
      <c r="AB213" s="2975"/>
      <c r="AC213" s="2975"/>
      <c r="AD213" s="2975"/>
      <c r="AE213" s="3302"/>
    </row>
    <row r="214" spans="1:31" ht="18" customHeight="1">
      <c r="A214" s="67"/>
      <c r="B214" s="3304" t="s">
        <v>272</v>
      </c>
      <c r="C214" s="3295" t="s">
        <v>128</v>
      </c>
      <c r="D214" s="3296" t="s">
        <v>273</v>
      </c>
      <c r="E214" s="3297"/>
      <c r="F214" s="3305"/>
      <c r="G214" s="3306"/>
      <c r="H214" s="3296" t="s">
        <v>273</v>
      </c>
      <c r="I214" s="3307"/>
      <c r="J214" s="3305"/>
      <c r="K214" s="3306"/>
      <c r="L214" s="3296" t="s">
        <v>273</v>
      </c>
      <c r="M214" s="3307"/>
      <c r="N214" s="3305"/>
      <c r="O214" s="3306"/>
      <c r="P214" s="3300" t="s">
        <v>274</v>
      </c>
      <c r="Q214" s="3307"/>
      <c r="R214" s="3305"/>
      <c r="S214" s="3306"/>
      <c r="T214" s="3300" t="s">
        <v>264</v>
      </c>
      <c r="U214" s="3307"/>
      <c r="V214" s="2974"/>
      <c r="W214" s="3308"/>
      <c r="X214" s="3309"/>
      <c r="Y214" s="3309"/>
      <c r="Z214" s="3310"/>
      <c r="AA214" s="3308"/>
      <c r="AB214" s="3309"/>
      <c r="AC214" s="3309"/>
      <c r="AD214" s="3309"/>
      <c r="AE214" s="3308"/>
    </row>
    <row r="215" spans="1:31" ht="18" customHeight="1">
      <c r="A215" s="67"/>
      <c r="B215" s="2971" t="s">
        <v>275</v>
      </c>
      <c r="C215" s="3295" t="s">
        <v>127</v>
      </c>
      <c r="D215" s="3296" t="s">
        <v>276</v>
      </c>
      <c r="E215" s="3297"/>
      <c r="F215" s="3298"/>
      <c r="G215" s="3299"/>
      <c r="H215" s="3296" t="s">
        <v>276</v>
      </c>
      <c r="I215" s="3301"/>
      <c r="J215" s="3298"/>
      <c r="K215" s="3299"/>
      <c r="L215" s="3296" t="s">
        <v>276</v>
      </c>
      <c r="M215" s="3301"/>
      <c r="N215" s="3298"/>
      <c r="O215" s="3299"/>
      <c r="P215" s="3300" t="s">
        <v>277</v>
      </c>
      <c r="Q215" s="3301"/>
      <c r="R215" s="3298"/>
      <c r="S215" s="3299"/>
      <c r="T215" s="3300" t="s">
        <v>264</v>
      </c>
      <c r="U215" s="3301"/>
      <c r="V215" s="3298"/>
      <c r="W215" s="3302"/>
      <c r="X215" s="2975"/>
      <c r="Y215" s="2975"/>
      <c r="Z215" s="2975"/>
      <c r="AA215" s="3302"/>
      <c r="AB215" s="2975"/>
      <c r="AC215" s="2975"/>
      <c r="AD215" s="2975"/>
      <c r="AE215" s="3302"/>
    </row>
    <row r="216" spans="1:31" ht="18" customHeight="1">
      <c r="A216" s="67"/>
      <c r="B216" s="2971" t="s">
        <v>446</v>
      </c>
      <c r="C216" s="3295" t="s">
        <v>403</v>
      </c>
      <c r="D216" s="3296" t="s">
        <v>279</v>
      </c>
      <c r="E216" s="3297"/>
      <c r="F216" s="3298"/>
      <c r="G216" s="3299"/>
      <c r="H216" s="3300" t="s">
        <v>279</v>
      </c>
      <c r="I216" s="3301"/>
      <c r="J216" s="3298"/>
      <c r="K216" s="3299"/>
      <c r="L216" s="3300" t="s">
        <v>279</v>
      </c>
      <c r="M216" s="3301"/>
      <c r="N216" s="3301"/>
      <c r="O216" s="3299"/>
      <c r="P216" s="3300" t="s">
        <v>279</v>
      </c>
      <c r="Q216" s="3301"/>
      <c r="R216" s="3301"/>
      <c r="S216" s="3299"/>
      <c r="T216" s="3300" t="s">
        <v>264</v>
      </c>
      <c r="U216" s="3301"/>
      <c r="V216" s="3298"/>
      <c r="W216" s="2971"/>
      <c r="X216" s="2975"/>
      <c r="Y216" s="2975"/>
      <c r="Z216" s="2975"/>
      <c r="AA216" s="3302"/>
      <c r="AB216" s="2975"/>
      <c r="AC216" s="2975"/>
      <c r="AD216" s="2975"/>
      <c r="AE216" s="3302"/>
    </row>
    <row r="217" spans="1:31" ht="18" customHeight="1">
      <c r="A217" s="67"/>
      <c r="B217" s="2971" t="s">
        <v>278</v>
      </c>
      <c r="C217" s="3295" t="s">
        <v>116</v>
      </c>
      <c r="D217" s="3296" t="s">
        <v>279</v>
      </c>
      <c r="E217" s="3297"/>
      <c r="F217" s="3298"/>
      <c r="G217" s="3299"/>
      <c r="H217" s="3300" t="s">
        <v>279</v>
      </c>
      <c r="I217" s="3301"/>
      <c r="J217" s="3298"/>
      <c r="K217" s="3299"/>
      <c r="L217" s="3300" t="s">
        <v>279</v>
      </c>
      <c r="M217" s="3301"/>
      <c r="N217" s="3301"/>
      <c r="O217" s="3299"/>
      <c r="P217" s="3300" t="s">
        <v>279</v>
      </c>
      <c r="Q217" s="3301"/>
      <c r="R217" s="3301"/>
      <c r="S217" s="3299"/>
      <c r="T217" s="3300" t="s">
        <v>264</v>
      </c>
      <c r="U217" s="3301"/>
      <c r="V217" s="3298"/>
      <c r="W217" s="2971"/>
      <c r="X217" s="2975"/>
      <c r="Y217" s="2975"/>
      <c r="Z217" s="3303"/>
      <c r="AA217" s="3311"/>
      <c r="AB217" s="2975"/>
      <c r="AC217" s="2975"/>
      <c r="AD217" s="2975"/>
      <c r="AE217" s="3302"/>
    </row>
    <row r="218" spans="1:31" ht="18" customHeight="1">
      <c r="A218" s="67"/>
      <c r="B218" s="2971" t="s">
        <v>280</v>
      </c>
      <c r="C218" s="3295" t="s">
        <v>123</v>
      </c>
      <c r="D218" s="3296" t="s">
        <v>448</v>
      </c>
      <c r="E218" s="3297"/>
      <c r="F218" s="3298"/>
      <c r="G218" s="3299"/>
      <c r="H218" s="3296" t="s">
        <v>448</v>
      </c>
      <c r="I218" s="3296"/>
      <c r="J218" s="3298"/>
      <c r="K218" s="3299"/>
      <c r="L218" s="3296" t="s">
        <v>448</v>
      </c>
      <c r="M218" s="3296"/>
      <c r="N218" s="3301"/>
      <c r="O218" s="3299"/>
      <c r="P218" s="3300" t="s">
        <v>449</v>
      </c>
      <c r="Q218" s="3301"/>
      <c r="R218" s="3301"/>
      <c r="S218" s="3299"/>
      <c r="T218" s="3300" t="s">
        <v>450</v>
      </c>
      <c r="U218" s="3301"/>
      <c r="V218" s="3298"/>
      <c r="AA218" s="110"/>
      <c r="AE218" s="110"/>
    </row>
    <row r="219" spans="1:31" ht="18" customHeight="1" thickBot="1">
      <c r="A219" s="67"/>
      <c r="B219" t="s">
        <v>284</v>
      </c>
      <c r="C219" s="110"/>
      <c r="F219" s="110"/>
      <c r="I219" s="110"/>
      <c r="J219" s="110"/>
      <c r="L219" s="110"/>
      <c r="O219" s="110"/>
      <c r="Q219" s="110"/>
      <c r="R219" s="110"/>
      <c r="U219" s="110"/>
      <c r="W219" s="110"/>
      <c r="X219" s="110"/>
      <c r="AE219" s="110"/>
    </row>
    <row r="220" spans="1:31" ht="18" customHeight="1">
      <c r="A220" s="67"/>
      <c r="B220" s="2851" t="s">
        <v>255</v>
      </c>
      <c r="C220" s="2874"/>
      <c r="D220" s="2853" t="s">
        <v>19</v>
      </c>
      <c r="E220" s="3224"/>
      <c r="F220" s="2854"/>
      <c r="G220" s="2855"/>
      <c r="H220" s="2853" t="s">
        <v>20</v>
      </c>
      <c r="I220" s="3224"/>
      <c r="J220" s="2854"/>
      <c r="K220" s="2855"/>
      <c r="L220" s="2853" t="s">
        <v>21</v>
      </c>
      <c r="M220" s="3224"/>
      <c r="N220" s="2854"/>
      <c r="O220" s="2855"/>
      <c r="P220" s="2853" t="s">
        <v>22</v>
      </c>
      <c r="Q220" s="3224"/>
      <c r="R220" s="2854"/>
      <c r="S220" s="2855"/>
      <c r="T220" s="2853" t="s">
        <v>23</v>
      </c>
      <c r="U220" s="3224"/>
      <c r="V220" s="2854"/>
      <c r="W220" s="2855"/>
      <c r="X220" s="2853" t="s">
        <v>24</v>
      </c>
      <c r="Y220" s="3224"/>
      <c r="Z220" s="2854"/>
      <c r="AA220" s="2855"/>
      <c r="AB220" s="2853" t="s">
        <v>25</v>
      </c>
      <c r="AC220" s="3224"/>
      <c r="AD220" s="3224"/>
      <c r="AE220" s="2856" t="s">
        <v>108</v>
      </c>
    </row>
    <row r="221" spans="1:31" ht="18" customHeight="1">
      <c r="A221" s="67"/>
      <c r="B221" s="2971" t="s">
        <v>256</v>
      </c>
      <c r="C221" s="3295" t="s">
        <v>257</v>
      </c>
      <c r="D221" s="3296" t="s">
        <v>285</v>
      </c>
      <c r="E221" s="3297"/>
      <c r="F221" s="3298"/>
      <c r="G221" s="3299"/>
      <c r="H221" s="3296" t="s">
        <v>285</v>
      </c>
      <c r="I221" s="3301"/>
      <c r="J221" s="3298"/>
      <c r="K221" s="3299"/>
      <c r="L221" s="3296" t="s">
        <v>285</v>
      </c>
      <c r="M221" s="3301"/>
      <c r="N221" s="3298"/>
      <c r="O221" s="3299"/>
      <c r="P221" s="3300" t="s">
        <v>286</v>
      </c>
      <c r="Q221" s="3301"/>
      <c r="R221" s="3298"/>
      <c r="S221" s="3299"/>
      <c r="T221" s="3300" t="s">
        <v>287</v>
      </c>
      <c r="U221" s="3301"/>
      <c r="V221" s="3298"/>
      <c r="W221" s="3312"/>
      <c r="X221" s="2975"/>
      <c r="Y221" s="2975"/>
      <c r="Z221" s="2974"/>
      <c r="AA221" s="3312"/>
      <c r="AB221" s="2975"/>
      <c r="AC221" s="2975"/>
      <c r="AD221" s="2975"/>
      <c r="AE221" s="3312"/>
    </row>
    <row r="222" spans="1:31" ht="18" customHeight="1">
      <c r="A222" s="67"/>
      <c r="B222" s="2971" t="s">
        <v>261</v>
      </c>
      <c r="C222" s="3295" t="s">
        <v>130</v>
      </c>
      <c r="D222" s="3296" t="s">
        <v>285</v>
      </c>
      <c r="E222" s="3297"/>
      <c r="F222" s="3298"/>
      <c r="G222" s="3299"/>
      <c r="H222" s="3296" t="s">
        <v>285</v>
      </c>
      <c r="I222" s="3301"/>
      <c r="J222" s="3298"/>
      <c r="K222" s="3299"/>
      <c r="L222" s="3300" t="s">
        <v>262</v>
      </c>
      <c r="M222" s="3301"/>
      <c r="N222" s="3298"/>
      <c r="O222" s="3299"/>
      <c r="P222" s="3300" t="s">
        <v>288</v>
      </c>
      <c r="Q222" s="3301"/>
      <c r="R222" s="3298"/>
      <c r="S222" s="3299"/>
      <c r="T222" s="3300" t="s">
        <v>289</v>
      </c>
      <c r="U222" s="3301"/>
      <c r="V222" s="3298"/>
      <c r="W222" s="3312"/>
      <c r="X222" s="2975"/>
      <c r="Y222" s="2975"/>
      <c r="Z222" s="2974"/>
      <c r="AA222" s="3312"/>
      <c r="AB222" s="2975"/>
      <c r="AC222" s="2975"/>
      <c r="AD222" s="2975"/>
      <c r="AE222" s="3312"/>
    </row>
    <row r="223" spans="1:31" ht="18" customHeight="1">
      <c r="A223" s="67"/>
      <c r="B223" s="2971" t="s">
        <v>265</v>
      </c>
      <c r="C223" s="3295" t="s">
        <v>153</v>
      </c>
      <c r="D223" s="3296" t="s">
        <v>285</v>
      </c>
      <c r="E223" s="3297"/>
      <c r="F223" s="3298"/>
      <c r="G223" s="3299"/>
      <c r="H223" s="3296" t="s">
        <v>285</v>
      </c>
      <c r="I223" s="3301"/>
      <c r="J223" s="3298"/>
      <c r="K223" s="3299"/>
      <c r="L223" s="3296" t="s">
        <v>285</v>
      </c>
      <c r="M223" s="3301"/>
      <c r="N223" s="3298"/>
      <c r="O223" s="3299"/>
      <c r="P223" s="3300" t="s">
        <v>290</v>
      </c>
      <c r="Q223" s="3301"/>
      <c r="R223" s="3298"/>
      <c r="S223" s="3299"/>
      <c r="T223" s="3300" t="s">
        <v>289</v>
      </c>
      <c r="U223" s="3301"/>
      <c r="V223" s="3298"/>
      <c r="W223" s="3312"/>
      <c r="X223" s="2975"/>
      <c r="Y223" s="2975"/>
      <c r="Z223" s="2974"/>
      <c r="AA223" s="3312"/>
      <c r="AB223" s="2975"/>
      <c r="AC223" s="2975"/>
      <c r="AD223" s="2975"/>
      <c r="AE223" s="3312"/>
    </row>
    <row r="224" spans="1:31" ht="18" customHeight="1">
      <c r="A224" s="67"/>
      <c r="B224" s="2971" t="s">
        <v>268</v>
      </c>
      <c r="C224" s="3295" t="s">
        <v>132</v>
      </c>
      <c r="D224" s="3296" t="s">
        <v>291</v>
      </c>
      <c r="E224" s="3297"/>
      <c r="F224" s="3298"/>
      <c r="G224" s="3299"/>
      <c r="H224" s="3296" t="s">
        <v>291</v>
      </c>
      <c r="I224" s="3301"/>
      <c r="J224" s="3298"/>
      <c r="K224" s="3299"/>
      <c r="L224" s="3296" t="s">
        <v>273</v>
      </c>
      <c r="M224" s="3301"/>
      <c r="N224" s="3298"/>
      <c r="O224" s="3299"/>
      <c r="P224" s="3300" t="s">
        <v>292</v>
      </c>
      <c r="Q224" s="3301"/>
      <c r="R224" s="3298"/>
      <c r="S224" s="3299"/>
      <c r="T224" s="3300" t="s">
        <v>287</v>
      </c>
      <c r="U224" s="3301"/>
      <c r="V224" s="3298"/>
      <c r="W224" s="3312"/>
      <c r="X224" s="2975"/>
      <c r="Y224" s="2975"/>
      <c r="Z224" s="2974"/>
      <c r="AA224" s="3312"/>
      <c r="AB224" s="2975"/>
      <c r="AC224" s="2975"/>
      <c r="AD224" s="2975"/>
      <c r="AE224" s="3312"/>
    </row>
    <row r="225" spans="1:34" ht="18" customHeight="1">
      <c r="A225" s="67"/>
      <c r="B225" s="3304" t="s">
        <v>272</v>
      </c>
      <c r="C225" s="3295" t="s">
        <v>128</v>
      </c>
      <c r="D225" s="3296" t="s">
        <v>285</v>
      </c>
      <c r="E225" s="3297"/>
      <c r="F225" s="3298"/>
      <c r="G225" s="3299"/>
      <c r="H225" s="3296" t="s">
        <v>285</v>
      </c>
      <c r="I225" s="3301"/>
      <c r="J225" s="3298"/>
      <c r="K225" s="3299"/>
      <c r="L225" s="3296" t="s">
        <v>285</v>
      </c>
      <c r="M225" s="3301"/>
      <c r="N225" s="3298"/>
      <c r="O225" s="3299"/>
      <c r="P225" s="3300" t="s">
        <v>290</v>
      </c>
      <c r="Q225" s="3301"/>
      <c r="R225" s="3298"/>
      <c r="S225" s="3299"/>
      <c r="T225" s="3300" t="s">
        <v>289</v>
      </c>
      <c r="U225" s="3301"/>
      <c r="V225" s="3298"/>
      <c r="W225" s="3308"/>
      <c r="X225" s="3309"/>
      <c r="Y225" s="3309"/>
      <c r="Z225" s="3310"/>
      <c r="AA225" s="3308"/>
      <c r="AB225" s="3309"/>
      <c r="AC225" s="3309"/>
      <c r="AD225" s="3309"/>
      <c r="AE225" s="3308"/>
      <c r="AF225" s="3309"/>
      <c r="AG225" s="3313"/>
    </row>
    <row r="226" spans="1:34" ht="18" customHeight="1">
      <c r="A226" s="67"/>
      <c r="B226" s="2971" t="s">
        <v>275</v>
      </c>
      <c r="C226" s="3295" t="s">
        <v>127</v>
      </c>
      <c r="D226" s="3296" t="s">
        <v>285</v>
      </c>
      <c r="E226" s="3297"/>
      <c r="F226" s="3298"/>
      <c r="G226" s="3299"/>
      <c r="H226" s="3296" t="s">
        <v>285</v>
      </c>
      <c r="I226" s="3301"/>
      <c r="J226" s="3298"/>
      <c r="K226" s="3299"/>
      <c r="L226" s="3296" t="s">
        <v>285</v>
      </c>
      <c r="M226" s="3301"/>
      <c r="N226" s="3298"/>
      <c r="O226" s="3299"/>
      <c r="P226" s="3300" t="s">
        <v>286</v>
      </c>
      <c r="Q226" s="3301"/>
      <c r="R226" s="3298"/>
      <c r="S226" s="3299"/>
      <c r="T226" s="3300" t="s">
        <v>287</v>
      </c>
      <c r="U226" s="3301"/>
      <c r="V226" s="3298"/>
      <c r="W226" s="3312"/>
      <c r="X226" s="2975"/>
      <c r="Y226" s="2975"/>
      <c r="Z226" s="2975"/>
      <c r="AA226" s="3312"/>
      <c r="AB226" s="2975"/>
      <c r="AC226" s="2975"/>
      <c r="AD226" s="2975"/>
      <c r="AE226" s="3312"/>
      <c r="AF226" s="2975"/>
      <c r="AG226" s="3314"/>
    </row>
    <row r="227" spans="1:34" ht="18" customHeight="1">
      <c r="A227" s="67"/>
      <c r="B227" s="2971" t="s">
        <v>278</v>
      </c>
      <c r="C227" s="3295"/>
      <c r="D227" s="3296" t="s">
        <v>279</v>
      </c>
      <c r="E227" s="3297"/>
      <c r="F227" s="3298"/>
      <c r="G227" s="3299"/>
      <c r="H227" s="3300" t="s">
        <v>279</v>
      </c>
      <c r="I227" s="3301"/>
      <c r="J227" s="3298"/>
      <c r="K227" s="3299"/>
      <c r="L227" s="3300" t="s">
        <v>279</v>
      </c>
      <c r="M227" s="3301"/>
      <c r="N227" s="3301"/>
      <c r="O227" s="3299"/>
      <c r="P227" s="3300" t="s">
        <v>279</v>
      </c>
      <c r="Q227" s="3301"/>
      <c r="R227" s="3301"/>
      <c r="S227" s="3299"/>
      <c r="T227" s="3300" t="s">
        <v>264</v>
      </c>
      <c r="U227" s="3301"/>
      <c r="V227" s="3298"/>
      <c r="W227" s="2971"/>
      <c r="X227" s="2975"/>
      <c r="Y227" s="2975"/>
      <c r="Z227" s="2974"/>
      <c r="AA227" s="3311"/>
      <c r="AB227" s="2975"/>
      <c r="AC227" s="2975"/>
      <c r="AD227" s="2975"/>
      <c r="AE227" s="3312"/>
      <c r="AF227" s="2975"/>
      <c r="AG227" s="3314"/>
    </row>
    <row r="228" spans="1:34" ht="18" customHeight="1">
      <c r="A228" s="67"/>
      <c r="B228" s="2971" t="s">
        <v>280</v>
      </c>
      <c r="C228" s="3295" t="s">
        <v>123</v>
      </c>
      <c r="D228" s="3296" t="s">
        <v>448</v>
      </c>
      <c r="E228" s="3297"/>
      <c r="F228" s="3298"/>
      <c r="G228" s="3299"/>
      <c r="H228" s="3296" t="s">
        <v>448</v>
      </c>
      <c r="I228" s="3296"/>
      <c r="J228" s="3298"/>
      <c r="K228" s="3299"/>
      <c r="L228" s="3296" t="s">
        <v>448</v>
      </c>
      <c r="M228" s="3296"/>
      <c r="N228" s="3301"/>
      <c r="O228" s="3299"/>
      <c r="P228" s="3300" t="s">
        <v>449</v>
      </c>
      <c r="Q228" s="3301"/>
      <c r="R228" s="3301"/>
      <c r="S228" s="3299"/>
      <c r="T228" s="3300" t="s">
        <v>450</v>
      </c>
      <c r="U228" s="3301"/>
      <c r="V228" s="3298"/>
      <c r="W228" s="2971"/>
      <c r="X228" s="2975"/>
      <c r="Y228" s="2975"/>
      <c r="Z228" s="2974"/>
      <c r="AA228" s="3311"/>
      <c r="AB228" s="2975"/>
      <c r="AC228" s="2975"/>
      <c r="AD228" s="2975"/>
      <c r="AE228" s="3312"/>
      <c r="AF228" s="2975"/>
      <c r="AG228" s="3314"/>
    </row>
    <row r="229" spans="1:34" ht="18" customHeight="1" thickBot="1">
      <c r="A229" s="67"/>
      <c r="B229" s="119"/>
      <c r="C229" s="120"/>
      <c r="D229" s="121"/>
      <c r="E229" s="122"/>
      <c r="F229" s="122"/>
      <c r="G229" s="123"/>
      <c r="H229" s="121"/>
      <c r="I229" s="122"/>
      <c r="J229" s="122"/>
      <c r="K229" s="123"/>
      <c r="L229" s="121"/>
      <c r="M229" s="122"/>
      <c r="N229" s="122"/>
      <c r="O229" s="123"/>
      <c r="P229" s="115"/>
      <c r="Q229" s="122"/>
      <c r="R229" s="122"/>
      <c r="S229" s="123"/>
      <c r="T229" s="115"/>
      <c r="U229" s="122"/>
      <c r="V229" s="122"/>
      <c r="W229" s="122"/>
      <c r="X229" s="122"/>
      <c r="Y229" s="122"/>
      <c r="Z229" s="122"/>
      <c r="AA229" s="123"/>
      <c r="AB229" s="122"/>
      <c r="AC229" s="122"/>
      <c r="AD229" s="122"/>
      <c r="AE229" s="123"/>
      <c r="AF229" s="122"/>
      <c r="AG229" s="112"/>
    </row>
    <row r="230" spans="1:34" ht="18" customHeight="1" thickBot="1">
      <c r="A230" s="89"/>
      <c r="B230" s="3315" t="s">
        <v>38</v>
      </c>
      <c r="C230" s="2985">
        <v>1</v>
      </c>
      <c r="D230" s="2986">
        <v>2</v>
      </c>
      <c r="E230" s="2986">
        <v>3</v>
      </c>
      <c r="F230" s="2985">
        <v>4</v>
      </c>
      <c r="G230" s="2985">
        <v>5</v>
      </c>
      <c r="H230" s="2985">
        <v>6</v>
      </c>
      <c r="I230" s="2985">
        <v>7</v>
      </c>
      <c r="J230" s="2985">
        <v>8</v>
      </c>
      <c r="K230" s="2986">
        <v>9</v>
      </c>
      <c r="L230" s="2986">
        <v>10</v>
      </c>
      <c r="M230" s="2985">
        <v>11</v>
      </c>
      <c r="N230" s="2985">
        <v>12</v>
      </c>
      <c r="O230" s="2985">
        <v>13</v>
      </c>
      <c r="P230" s="2985">
        <v>14</v>
      </c>
      <c r="Q230" s="2985">
        <v>15</v>
      </c>
      <c r="R230" s="2986">
        <v>16</v>
      </c>
      <c r="S230" s="2986">
        <v>17</v>
      </c>
      <c r="T230" s="2985">
        <v>18</v>
      </c>
      <c r="U230" s="2985">
        <v>19</v>
      </c>
      <c r="V230" s="2985">
        <v>20</v>
      </c>
      <c r="W230" s="2985">
        <v>21</v>
      </c>
      <c r="X230" s="2985">
        <v>22</v>
      </c>
      <c r="Y230" s="2986">
        <v>23</v>
      </c>
      <c r="Z230" s="2986">
        <v>24</v>
      </c>
      <c r="AA230" s="2985">
        <v>25</v>
      </c>
      <c r="AB230" s="2985">
        <v>26</v>
      </c>
      <c r="AC230" s="2985">
        <v>27</v>
      </c>
      <c r="AD230" s="2985">
        <v>28</v>
      </c>
      <c r="AE230" s="2985">
        <v>29</v>
      </c>
      <c r="AF230" s="2986">
        <v>30</v>
      </c>
      <c r="AG230" s="2986">
        <v>31</v>
      </c>
    </row>
    <row r="231" spans="1:34" ht="18" customHeight="1">
      <c r="A231" s="67"/>
      <c r="B231" s="3144" t="s">
        <v>293</v>
      </c>
      <c r="C231" s="3171" t="s">
        <v>257</v>
      </c>
      <c r="D231" s="3171"/>
      <c r="E231" s="3171"/>
      <c r="F231" s="3171" t="s">
        <v>257</v>
      </c>
      <c r="G231" s="3171" t="s">
        <v>257</v>
      </c>
      <c r="H231" s="3171" t="s">
        <v>257</v>
      </c>
      <c r="I231" s="3171" t="s">
        <v>257</v>
      </c>
      <c r="J231" s="3171" t="s">
        <v>257</v>
      </c>
      <c r="K231" s="3171"/>
      <c r="L231" s="3171"/>
      <c r="M231" s="3171" t="s">
        <v>257</v>
      </c>
      <c r="N231" s="3171" t="s">
        <v>257</v>
      </c>
      <c r="O231" s="3027" t="s">
        <v>257</v>
      </c>
      <c r="P231" s="3171" t="s">
        <v>257</v>
      </c>
      <c r="Q231" s="3171" t="s">
        <v>257</v>
      </c>
      <c r="R231" s="3171"/>
      <c r="S231" s="3171"/>
      <c r="T231" s="3047" t="s">
        <v>257</v>
      </c>
      <c r="U231" s="3047" t="s">
        <v>257</v>
      </c>
      <c r="V231" s="3047" t="s">
        <v>257</v>
      </c>
      <c r="W231" s="3047" t="s">
        <v>257</v>
      </c>
      <c r="X231" s="3047" t="s">
        <v>257</v>
      </c>
      <c r="Y231" s="3047"/>
      <c r="Z231" s="3047"/>
      <c r="AA231" s="3047" t="s">
        <v>257</v>
      </c>
      <c r="AB231" s="3047" t="s">
        <v>257</v>
      </c>
      <c r="AC231" s="3047" t="s">
        <v>257</v>
      </c>
      <c r="AD231" s="3047" t="s">
        <v>257</v>
      </c>
      <c r="AE231" s="3047" t="s">
        <v>257</v>
      </c>
      <c r="AF231" s="3047"/>
      <c r="AG231" s="3047"/>
    </row>
    <row r="232" spans="1:34" ht="18" customHeight="1">
      <c r="A232" s="67"/>
      <c r="B232" s="3144" t="s">
        <v>294</v>
      </c>
      <c r="C232" s="3145" t="s">
        <v>130</v>
      </c>
      <c r="D232" s="3145"/>
      <c r="E232" s="3145"/>
      <c r="F232" s="3146" t="s">
        <v>130</v>
      </c>
      <c r="G232" s="3146" t="s">
        <v>130</v>
      </c>
      <c r="H232" s="3146" t="s">
        <v>130</v>
      </c>
      <c r="I232" s="3027" t="s">
        <v>130</v>
      </c>
      <c r="J232" s="3027" t="s">
        <v>130</v>
      </c>
      <c r="K232" s="3027"/>
      <c r="L232" s="3027"/>
      <c r="M232" s="3027" t="s">
        <v>130</v>
      </c>
      <c r="N232" s="3027" t="s">
        <v>130</v>
      </c>
      <c r="O232" s="3027" t="s">
        <v>130</v>
      </c>
      <c r="P232" s="3027" t="s">
        <v>130</v>
      </c>
      <c r="Q232" s="3027" t="s">
        <v>130</v>
      </c>
      <c r="R232" s="3146"/>
      <c r="S232" s="3146"/>
      <c r="T232" s="3146" t="s">
        <v>130</v>
      </c>
      <c r="U232" s="3146" t="s">
        <v>130</v>
      </c>
      <c r="V232" s="3146" t="s">
        <v>130</v>
      </c>
      <c r="W232" s="3146" t="s">
        <v>130</v>
      </c>
      <c r="X232" s="3146" t="s">
        <v>130</v>
      </c>
      <c r="Y232" s="3146"/>
      <c r="Z232" s="3146"/>
      <c r="AA232" s="3146" t="s">
        <v>130</v>
      </c>
      <c r="AB232" s="3146" t="s">
        <v>130</v>
      </c>
      <c r="AC232" s="3146" t="s">
        <v>130</v>
      </c>
      <c r="AD232" s="3146" t="s">
        <v>130</v>
      </c>
      <c r="AE232" s="3146" t="s">
        <v>130</v>
      </c>
      <c r="AF232" s="3046" t="s">
        <v>418</v>
      </c>
      <c r="AG232" s="3146"/>
    </row>
    <row r="233" spans="1:34" ht="18" customHeight="1">
      <c r="A233" s="67"/>
      <c r="B233" s="3316" t="s">
        <v>295</v>
      </c>
      <c r="C233" s="3145" t="s">
        <v>153</v>
      </c>
      <c r="D233" s="3145"/>
      <c r="E233" s="3145"/>
      <c r="F233" s="3145" t="s">
        <v>153</v>
      </c>
      <c r="G233" s="3145" t="s">
        <v>153</v>
      </c>
      <c r="H233" s="3145" t="s">
        <v>153</v>
      </c>
      <c r="I233" s="3145" t="s">
        <v>153</v>
      </c>
      <c r="J233" s="3145" t="s">
        <v>153</v>
      </c>
      <c r="K233" s="3145"/>
      <c r="L233" s="3145"/>
      <c r="M233" s="3145" t="s">
        <v>153</v>
      </c>
      <c r="N233" s="3145" t="s">
        <v>153</v>
      </c>
      <c r="O233" s="3145" t="s">
        <v>153</v>
      </c>
      <c r="P233" s="3145" t="s">
        <v>153</v>
      </c>
      <c r="Q233" s="3145" t="s">
        <v>153</v>
      </c>
      <c r="R233" s="3145"/>
      <c r="S233" s="3145"/>
      <c r="T233" s="3171" t="s">
        <v>153</v>
      </c>
      <c r="U233" s="3171" t="s">
        <v>153</v>
      </c>
      <c r="V233" s="3171" t="s">
        <v>153</v>
      </c>
      <c r="W233" s="3171" t="s">
        <v>153</v>
      </c>
      <c r="X233" s="3171" t="s">
        <v>153</v>
      </c>
      <c r="Y233" s="3171"/>
      <c r="Z233" s="3171"/>
      <c r="AA233" s="3171" t="s">
        <v>153</v>
      </c>
      <c r="AB233" s="3171" t="s">
        <v>153</v>
      </c>
      <c r="AC233" s="3171" t="s">
        <v>153</v>
      </c>
      <c r="AD233" s="3171" t="s">
        <v>153</v>
      </c>
      <c r="AE233" s="3171" t="s">
        <v>153</v>
      </c>
      <c r="AF233" s="3171"/>
      <c r="AG233" s="3317"/>
      <c r="AH233" s="285" t="s">
        <v>133</v>
      </c>
    </row>
    <row r="234" spans="1:34" ht="18" customHeight="1">
      <c r="B234" s="3027"/>
      <c r="C234" s="3027"/>
      <c r="D234" s="3027"/>
      <c r="E234" s="3027"/>
      <c r="F234" s="3027"/>
      <c r="G234" s="3027"/>
      <c r="H234" s="3027"/>
      <c r="I234" s="3027"/>
      <c r="J234" s="3027"/>
      <c r="K234" s="3027"/>
      <c r="L234" s="3027"/>
      <c r="M234" s="3027"/>
      <c r="N234" s="3027"/>
      <c r="O234" s="3027"/>
      <c r="P234" s="3027"/>
      <c r="Q234" s="3027"/>
      <c r="R234" s="3027"/>
      <c r="S234" s="3027"/>
      <c r="T234" s="3027"/>
      <c r="U234" s="3027"/>
      <c r="V234" s="3027"/>
      <c r="W234" s="3027"/>
      <c r="X234" s="3027"/>
      <c r="Y234" s="3027"/>
      <c r="Z234" s="3027"/>
      <c r="AA234" s="3027"/>
      <c r="AB234" s="3027"/>
      <c r="AC234" s="3027"/>
      <c r="AD234" s="3027"/>
      <c r="AE234" s="3027"/>
      <c r="AF234" s="3027"/>
      <c r="AG234" s="3027"/>
    </row>
    <row r="235" spans="1:34" ht="18" customHeight="1">
      <c r="A235" s="67"/>
      <c r="B235" s="2977" t="s">
        <v>297</v>
      </c>
      <c r="C235" s="3171" t="s">
        <v>128</v>
      </c>
      <c r="D235" s="3171"/>
      <c r="E235" s="3171"/>
      <c r="F235" s="3145" t="s">
        <v>128</v>
      </c>
      <c r="G235" s="3171" t="s">
        <v>128</v>
      </c>
      <c r="H235" s="3171" t="s">
        <v>128</v>
      </c>
      <c r="I235" s="3171" t="s">
        <v>128</v>
      </c>
      <c r="J235" s="3171" t="s">
        <v>128</v>
      </c>
      <c r="K235" s="3171"/>
      <c r="L235" s="3171"/>
      <c r="M235" s="3171" t="s">
        <v>128</v>
      </c>
      <c r="N235" s="3171" t="s">
        <v>128</v>
      </c>
      <c r="O235" s="3171" t="s">
        <v>128</v>
      </c>
      <c r="P235" s="3171" t="s">
        <v>128</v>
      </c>
      <c r="Q235" s="3171" t="s">
        <v>128</v>
      </c>
      <c r="R235" s="3171"/>
      <c r="S235" s="3171"/>
      <c r="T235" s="3145" t="s">
        <v>128</v>
      </c>
      <c r="U235" s="3145" t="s">
        <v>128</v>
      </c>
      <c r="V235" s="3145" t="s">
        <v>128</v>
      </c>
      <c r="W235" s="3145" t="s">
        <v>128</v>
      </c>
      <c r="X235" s="3145" t="s">
        <v>128</v>
      </c>
      <c r="Y235" s="3145"/>
      <c r="Z235" s="3145"/>
      <c r="AA235" s="3145" t="s">
        <v>128</v>
      </c>
      <c r="AB235" s="3145" t="s">
        <v>128</v>
      </c>
      <c r="AC235" s="3145" t="s">
        <v>128</v>
      </c>
      <c r="AD235" s="3145" t="s">
        <v>128</v>
      </c>
      <c r="AE235" s="3145" t="s">
        <v>128</v>
      </c>
      <c r="AF235" s="3145"/>
      <c r="AG235" s="3145"/>
      <c r="AH235" s="233" t="s">
        <v>133</v>
      </c>
    </row>
    <row r="236" spans="1:34" ht="18" customHeight="1">
      <c r="A236" s="67"/>
      <c r="B236" s="3318" t="s">
        <v>298</v>
      </c>
      <c r="C236" s="3145" t="s">
        <v>127</v>
      </c>
      <c r="D236" s="3145"/>
      <c r="E236" s="3145"/>
      <c r="F236" s="3145" t="s">
        <v>127</v>
      </c>
      <c r="G236" s="3145" t="s">
        <v>127</v>
      </c>
      <c r="H236" s="3145" t="s">
        <v>127</v>
      </c>
      <c r="I236" s="3145" t="s">
        <v>127</v>
      </c>
      <c r="J236" s="3145" t="s">
        <v>127</v>
      </c>
      <c r="K236" s="3145"/>
      <c r="L236" s="3145"/>
      <c r="M236" s="3145" t="s">
        <v>127</v>
      </c>
      <c r="N236" s="3145" t="s">
        <v>127</v>
      </c>
      <c r="O236" s="3145" t="s">
        <v>127</v>
      </c>
      <c r="P236" s="3145" t="s">
        <v>127</v>
      </c>
      <c r="Q236" s="3145" t="s">
        <v>127</v>
      </c>
      <c r="R236" s="3145"/>
      <c r="S236" s="3145"/>
      <c r="T236" s="3171" t="s">
        <v>127</v>
      </c>
      <c r="U236" s="3171" t="s">
        <v>127</v>
      </c>
      <c r="V236" s="3171" t="s">
        <v>127</v>
      </c>
      <c r="W236" s="3171" t="s">
        <v>127</v>
      </c>
      <c r="X236" s="3171" t="s">
        <v>127</v>
      </c>
      <c r="Y236" s="3171"/>
      <c r="Z236" s="3171"/>
      <c r="AA236" s="3171" t="s">
        <v>127</v>
      </c>
      <c r="AB236" s="3171" t="s">
        <v>127</v>
      </c>
      <c r="AC236" s="3171" t="s">
        <v>127</v>
      </c>
      <c r="AD236" s="3171" t="s">
        <v>127</v>
      </c>
      <c r="AE236" s="3171" t="s">
        <v>127</v>
      </c>
      <c r="AF236" s="3171"/>
      <c r="AG236" s="3171"/>
    </row>
    <row r="237" spans="1:34" ht="18" customHeight="1">
      <c r="A237" s="67"/>
      <c r="B237" s="3124"/>
      <c r="C237" s="3171" t="s">
        <v>403</v>
      </c>
      <c r="D237" s="3171"/>
      <c r="E237" s="3171"/>
      <c r="F237" s="3171" t="s">
        <v>403</v>
      </c>
      <c r="G237" s="3171" t="s">
        <v>403</v>
      </c>
      <c r="H237" s="3171" t="s">
        <v>403</v>
      </c>
      <c r="I237" s="3171" t="s">
        <v>403</v>
      </c>
      <c r="J237" s="3171" t="s">
        <v>403</v>
      </c>
      <c r="K237" s="3171"/>
      <c r="L237" s="3171"/>
      <c r="M237" s="3171" t="s">
        <v>403</v>
      </c>
      <c r="N237" s="3171" t="s">
        <v>403</v>
      </c>
      <c r="O237" s="3171" t="s">
        <v>403</v>
      </c>
      <c r="P237" s="3171" t="s">
        <v>403</v>
      </c>
      <c r="Q237" s="3171" t="s">
        <v>403</v>
      </c>
      <c r="R237" s="3171"/>
      <c r="S237" s="3171"/>
      <c r="T237" s="3171" t="s">
        <v>403</v>
      </c>
      <c r="U237" s="3171" t="s">
        <v>403</v>
      </c>
      <c r="V237" s="3171" t="s">
        <v>403</v>
      </c>
      <c r="W237" s="3171" t="s">
        <v>403</v>
      </c>
      <c r="X237" s="3171" t="s">
        <v>403</v>
      </c>
      <c r="Y237" s="3171"/>
      <c r="Z237" s="3171"/>
      <c r="AA237" s="3171" t="s">
        <v>403</v>
      </c>
      <c r="AB237" s="3171" t="s">
        <v>403</v>
      </c>
      <c r="AC237" s="3171" t="s">
        <v>403</v>
      </c>
      <c r="AD237" s="3171" t="s">
        <v>403</v>
      </c>
      <c r="AE237" s="3171" t="s">
        <v>403</v>
      </c>
      <c r="AF237" s="3171"/>
      <c r="AG237" s="3171"/>
    </row>
    <row r="238" spans="1:34" ht="18" customHeight="1">
      <c r="A238" s="67"/>
      <c r="B238" s="3138" t="s">
        <v>299</v>
      </c>
      <c r="C238" s="3171" t="s">
        <v>123</v>
      </c>
      <c r="D238" s="3171"/>
      <c r="E238" s="3171"/>
      <c r="F238" s="3171" t="s">
        <v>123</v>
      </c>
      <c r="G238" s="3171" t="s">
        <v>123</v>
      </c>
      <c r="H238" s="3171" t="s">
        <v>123</v>
      </c>
      <c r="I238" s="3171" t="s">
        <v>123</v>
      </c>
      <c r="J238" s="3171" t="s">
        <v>123</v>
      </c>
      <c r="K238" s="3171"/>
      <c r="L238" s="3171"/>
      <c r="M238" s="3171" t="s">
        <v>123</v>
      </c>
      <c r="N238" s="3171" t="s">
        <v>123</v>
      </c>
      <c r="O238" s="3098" t="s">
        <v>123</v>
      </c>
      <c r="P238" s="3098" t="s">
        <v>123</v>
      </c>
      <c r="Q238" s="3098" t="s">
        <v>123</v>
      </c>
      <c r="R238" s="3171"/>
      <c r="S238" s="3171"/>
      <c r="T238" s="3098" t="s">
        <v>123</v>
      </c>
      <c r="U238" s="3098" t="s">
        <v>451</v>
      </c>
      <c r="V238" s="3027" t="s">
        <v>123</v>
      </c>
      <c r="W238" s="3027" t="s">
        <v>123</v>
      </c>
      <c r="X238" s="3027" t="s">
        <v>123</v>
      </c>
      <c r="Y238" s="3171"/>
      <c r="Z238" s="3171"/>
      <c r="AA238" s="3171" t="s">
        <v>123</v>
      </c>
      <c r="AB238" s="3171" t="s">
        <v>123</v>
      </c>
      <c r="AC238" s="3171" t="s">
        <v>123</v>
      </c>
      <c r="AD238" s="3171" t="s">
        <v>123</v>
      </c>
      <c r="AE238" s="3171" t="s">
        <v>123</v>
      </c>
      <c r="AF238" s="3171"/>
      <c r="AG238" s="3171"/>
    </row>
    <row r="239" spans="1:34" ht="18" customHeight="1">
      <c r="A239" s="67"/>
      <c r="B239" s="3138" t="s">
        <v>300</v>
      </c>
      <c r="C239" s="3098" t="s">
        <v>116</v>
      </c>
      <c r="D239" s="3098"/>
      <c r="E239" s="3098"/>
      <c r="F239" s="3098" t="s">
        <v>116</v>
      </c>
      <c r="G239" s="3098" t="s">
        <v>116</v>
      </c>
      <c r="H239" s="3098" t="s">
        <v>116</v>
      </c>
      <c r="I239" s="3098" t="s">
        <v>116</v>
      </c>
      <c r="J239" s="3098" t="s">
        <v>116</v>
      </c>
      <c r="K239" s="3098"/>
      <c r="L239" s="3098"/>
      <c r="M239" s="3098" t="s">
        <v>116</v>
      </c>
      <c r="N239" s="3098" t="s">
        <v>116</v>
      </c>
      <c r="O239" s="3098" t="s">
        <v>116</v>
      </c>
      <c r="P239" s="3098" t="s">
        <v>116</v>
      </c>
      <c r="Q239" s="3098" t="s">
        <v>116</v>
      </c>
      <c r="R239" s="3098"/>
      <c r="S239" s="3098"/>
      <c r="T239" s="3098" t="s">
        <v>116</v>
      </c>
      <c r="U239" s="3098" t="s">
        <v>116</v>
      </c>
      <c r="V239" s="3098" t="s">
        <v>116</v>
      </c>
      <c r="W239" s="3098" t="s">
        <v>116</v>
      </c>
      <c r="X239" s="3098" t="s">
        <v>116</v>
      </c>
      <c r="Y239" s="3098"/>
      <c r="Z239" s="3098"/>
      <c r="AA239" s="3098" t="s">
        <v>116</v>
      </c>
      <c r="AB239" s="3098" t="s">
        <v>116</v>
      </c>
      <c r="AC239" s="3098" t="s">
        <v>116</v>
      </c>
      <c r="AD239" s="3098" t="s">
        <v>116</v>
      </c>
      <c r="AE239" s="3098" t="s">
        <v>116</v>
      </c>
      <c r="AF239" s="3098"/>
      <c r="AG239" s="3098"/>
    </row>
    <row r="242" spans="1:33" ht="18" customHeight="1" thickBot="1">
      <c r="A242" s="1" t="s">
        <v>302</v>
      </c>
      <c r="B242" s="37"/>
    </row>
    <row r="243" spans="1:33" ht="18" customHeight="1">
      <c r="A243" s="1"/>
      <c r="B243" s="3120" t="s">
        <v>303</v>
      </c>
      <c r="C243" s="2882" t="s">
        <v>19</v>
      </c>
      <c r="D243" s="2883"/>
      <c r="E243" s="2883"/>
      <c r="F243" s="2883"/>
      <c r="G243" s="2882" t="s">
        <v>20</v>
      </c>
      <c r="H243" s="2883"/>
      <c r="I243" s="2883"/>
      <c r="J243" s="2883"/>
      <c r="K243" s="2882" t="s">
        <v>21</v>
      </c>
      <c r="L243" s="2883"/>
      <c r="M243" s="2883"/>
      <c r="N243" s="2883"/>
      <c r="O243" s="2882" t="s">
        <v>22</v>
      </c>
      <c r="P243" s="2883"/>
      <c r="Q243" s="2883"/>
      <c r="R243" s="2883"/>
      <c r="S243" s="2882" t="s">
        <v>23</v>
      </c>
      <c r="T243" s="2883"/>
      <c r="U243" s="2883"/>
      <c r="V243" s="2883"/>
      <c r="W243" s="2882" t="s">
        <v>24</v>
      </c>
      <c r="X243" s="3064"/>
      <c r="Y243" s="2883"/>
      <c r="Z243" s="2884"/>
      <c r="AA243" s="2882" t="s">
        <v>25</v>
      </c>
      <c r="AB243" s="3064"/>
      <c r="AC243" s="2883"/>
      <c r="AD243" s="2884"/>
      <c r="AE243" s="2885" t="s">
        <v>108</v>
      </c>
      <c r="AF243" s="2883"/>
      <c r="AG243" s="2841"/>
    </row>
    <row r="244" spans="1:33" ht="18" customHeight="1">
      <c r="A244" s="1"/>
      <c r="B244" s="3319">
        <v>3701</v>
      </c>
      <c r="C244" s="68" t="s">
        <v>304</v>
      </c>
      <c r="D244" s="68"/>
      <c r="E244" s="68"/>
      <c r="F244" s="68"/>
      <c r="G244" s="279" t="s">
        <v>305</v>
      </c>
      <c r="H244" s="68"/>
      <c r="I244" s="68"/>
      <c r="J244" s="68"/>
      <c r="K244" s="279" t="s">
        <v>305</v>
      </c>
      <c r="L244" s="68"/>
      <c r="M244" s="68"/>
      <c r="N244" s="68"/>
      <c r="O244" s="279" t="s">
        <v>305</v>
      </c>
      <c r="P244" s="68"/>
      <c r="Q244" s="68"/>
      <c r="R244" s="68"/>
      <c r="S244" s="279" t="s">
        <v>306</v>
      </c>
      <c r="T244" s="68"/>
      <c r="U244" s="68"/>
      <c r="V244" s="68"/>
      <c r="W244" s="3026"/>
      <c r="X244" s="3320"/>
      <c r="Y244" s="3076"/>
      <c r="Z244" s="3321"/>
      <c r="AA244" s="3026"/>
      <c r="AB244" s="3320"/>
      <c r="AC244" s="3076"/>
      <c r="AD244" s="3321"/>
      <c r="AE244" s="3238"/>
      <c r="AF244" s="3076"/>
      <c r="AG244" s="3288"/>
    </row>
    <row r="245" spans="1:33" ht="18" customHeight="1">
      <c r="B245" s="3120">
        <v>3700</v>
      </c>
      <c r="C245" s="3076" t="s">
        <v>204</v>
      </c>
      <c r="D245" s="3076"/>
      <c r="E245" s="3076"/>
      <c r="F245" s="3076"/>
      <c r="G245" s="3322" t="s">
        <v>204</v>
      </c>
      <c r="H245" s="3076"/>
      <c r="I245" s="3076"/>
      <c r="J245" s="3076"/>
      <c r="K245" s="3322" t="s">
        <v>204</v>
      </c>
      <c r="L245" s="3076"/>
      <c r="M245" s="3076"/>
      <c r="N245" s="3076"/>
      <c r="O245" s="3322" t="s">
        <v>204</v>
      </c>
      <c r="P245" s="3076"/>
      <c r="Q245" s="3076"/>
      <c r="R245" s="3076"/>
      <c r="S245" s="3322" t="s">
        <v>205</v>
      </c>
      <c r="T245" s="3076"/>
      <c r="U245" s="3076"/>
      <c r="V245" s="3076"/>
      <c r="W245" s="3026"/>
      <c r="X245" s="3076"/>
      <c r="Y245" s="3076"/>
      <c r="Z245" s="3240"/>
      <c r="AA245" s="3238"/>
      <c r="AB245" s="3076"/>
      <c r="AC245" s="3076"/>
      <c r="AD245" s="3194"/>
      <c r="AE245" s="3323"/>
      <c r="AF245" s="3076"/>
      <c r="AG245" s="3288"/>
    </row>
    <row r="246" spans="1:33" ht="18" customHeight="1">
      <c r="A246" s="1"/>
      <c r="B246" s="3120">
        <v>8514</v>
      </c>
      <c r="C246" s="3076" t="s">
        <v>305</v>
      </c>
      <c r="D246" s="3076"/>
      <c r="E246" s="3076"/>
      <c r="F246" s="3076"/>
      <c r="G246" s="3322" t="s">
        <v>305</v>
      </c>
      <c r="H246" s="3076"/>
      <c r="I246" s="3076"/>
      <c r="J246" s="3076"/>
      <c r="K246" s="3322" t="s">
        <v>305</v>
      </c>
      <c r="L246" s="3076"/>
      <c r="M246" s="3076"/>
      <c r="N246" s="3076"/>
      <c r="O246" s="3322" t="s">
        <v>305</v>
      </c>
      <c r="P246" s="3076"/>
      <c r="Q246" s="3076"/>
      <c r="R246" s="3076"/>
      <c r="S246" s="3322" t="s">
        <v>307</v>
      </c>
      <c r="T246" s="3076"/>
      <c r="U246" s="3076"/>
      <c r="V246" s="3076"/>
      <c r="W246" s="3026"/>
      <c r="X246" s="3076"/>
      <c r="Y246" s="3076"/>
      <c r="Z246" s="3240"/>
      <c r="AA246" s="3195"/>
      <c r="AB246" s="3076"/>
      <c r="AC246" s="3076"/>
      <c r="AD246" s="3194"/>
      <c r="AE246" s="3195"/>
      <c r="AF246" s="3076"/>
      <c r="AG246" s="3288"/>
    </row>
    <row r="247" spans="1:33" ht="18" customHeight="1">
      <c r="A247" s="1"/>
      <c r="B247" s="3120">
        <v>8500</v>
      </c>
      <c r="C247" s="531" t="s">
        <v>308</v>
      </c>
      <c r="D247" s="531"/>
      <c r="E247" s="531"/>
      <c r="F247" s="531"/>
      <c r="G247" s="534" t="s">
        <v>308</v>
      </c>
      <c r="H247" s="531"/>
      <c r="I247" s="531"/>
      <c r="J247" s="531"/>
      <c r="K247" s="534" t="s">
        <v>308</v>
      </c>
      <c r="L247" s="531"/>
      <c r="M247" s="531"/>
      <c r="N247" s="531"/>
      <c r="O247" s="534" t="s">
        <v>308</v>
      </c>
      <c r="P247" s="531"/>
      <c r="Q247" s="531"/>
      <c r="R247" s="531"/>
      <c r="S247" s="534" t="s">
        <v>309</v>
      </c>
      <c r="T247" s="531"/>
      <c r="U247" s="531"/>
      <c r="V247" s="531"/>
      <c r="W247" s="3026"/>
      <c r="X247" s="531"/>
      <c r="Y247" s="531"/>
      <c r="Z247" s="535"/>
      <c r="AA247" s="536"/>
      <c r="AB247" s="531"/>
      <c r="AC247" s="531"/>
      <c r="AD247" s="535"/>
      <c r="AE247" s="536"/>
      <c r="AF247" s="531"/>
      <c r="AG247" s="466"/>
    </row>
    <row r="248" spans="1:33" ht="18" customHeight="1">
      <c r="A248" s="1"/>
      <c r="B248" s="3120">
        <v>8514</v>
      </c>
      <c r="C248" s="537" t="s">
        <v>305</v>
      </c>
      <c r="D248" s="537"/>
      <c r="E248" s="537"/>
      <c r="F248" s="537"/>
      <c r="G248" s="538" t="s">
        <v>305</v>
      </c>
      <c r="H248" s="537"/>
      <c r="I248" s="537"/>
      <c r="J248" s="537"/>
      <c r="K248" s="538" t="s">
        <v>305</v>
      </c>
      <c r="L248" s="537"/>
      <c r="M248" s="537"/>
      <c r="N248" s="537"/>
      <c r="O248" s="538" t="s">
        <v>305</v>
      </c>
      <c r="P248" s="537"/>
      <c r="Q248" s="537"/>
      <c r="R248" s="537"/>
      <c r="S248" s="538" t="s">
        <v>307</v>
      </c>
      <c r="T248" s="537"/>
      <c r="U248" s="537"/>
      <c r="V248" s="537"/>
      <c r="W248" s="3324"/>
      <c r="X248" s="539"/>
      <c r="Y248" s="531"/>
      <c r="Z248" s="540"/>
      <c r="AA248" s="541"/>
      <c r="AB248" s="539"/>
      <c r="AC248" s="531"/>
      <c r="AD248" s="531"/>
      <c r="AE248" s="542"/>
      <c r="AF248" s="531"/>
      <c r="AG248" s="466"/>
    </row>
    <row r="249" spans="1:33" ht="18" customHeight="1" thickBot="1">
      <c r="A249" s="1"/>
      <c r="B249" s="3325" t="s">
        <v>310</v>
      </c>
      <c r="C249" s="3082" t="s">
        <v>10</v>
      </c>
      <c r="D249" s="3082"/>
      <c r="E249" s="3082"/>
      <c r="F249" s="3082"/>
      <c r="G249" s="3326" t="s">
        <v>10</v>
      </c>
      <c r="H249" s="3082"/>
      <c r="I249" s="3082"/>
      <c r="J249" s="3082"/>
      <c r="K249" s="3327" t="s">
        <v>10</v>
      </c>
      <c r="L249" s="3082"/>
      <c r="M249" s="3082"/>
      <c r="N249" s="3082"/>
      <c r="O249" s="3326" t="s">
        <v>10</v>
      </c>
      <c r="P249" s="3082"/>
      <c r="Q249" s="3082"/>
      <c r="R249" s="3082"/>
      <c r="S249" s="3326" t="s">
        <v>10</v>
      </c>
      <c r="T249" s="3082"/>
      <c r="U249" s="3082"/>
      <c r="V249" s="3082"/>
      <c r="W249" s="3327"/>
      <c r="X249" s="3082"/>
      <c r="Y249" s="3082"/>
      <c r="Z249" s="3272"/>
      <c r="AA249" s="3250"/>
      <c r="AB249" s="3082"/>
      <c r="AC249" s="3082"/>
      <c r="AD249" s="3273"/>
      <c r="AE249" s="3328"/>
      <c r="AF249" s="3082"/>
      <c r="AG249" s="3290"/>
    </row>
    <row r="250" spans="1:33" ht="18" customHeight="1">
      <c r="A250" s="1"/>
      <c r="B250" s="5"/>
      <c r="C250" s="42"/>
      <c r="D250" s="68"/>
      <c r="E250" s="68"/>
      <c r="F250" s="46"/>
      <c r="G250" s="42"/>
      <c r="H250" s="68"/>
      <c r="I250" s="68"/>
      <c r="J250" s="46"/>
      <c r="K250" s="42"/>
      <c r="L250" s="68"/>
      <c r="M250" s="68"/>
      <c r="N250" s="46"/>
      <c r="O250" s="42"/>
      <c r="P250" s="68"/>
      <c r="Q250" s="68"/>
      <c r="R250" s="46"/>
      <c r="S250" s="42"/>
      <c r="T250" s="68"/>
      <c r="U250" s="68"/>
      <c r="V250" s="46"/>
      <c r="W250" s="46"/>
      <c r="Z250" s="46"/>
      <c r="AA250" s="46"/>
      <c r="AD250" s="46"/>
      <c r="AE250" s="46"/>
    </row>
    <row r="251" spans="1:33" ht="18" customHeight="1" thickBot="1">
      <c r="A251" s="1" t="s">
        <v>311</v>
      </c>
      <c r="B251" s="5"/>
      <c r="C251" s="42"/>
      <c r="D251" s="68"/>
      <c r="E251" s="68"/>
      <c r="F251" s="46"/>
      <c r="G251" s="42"/>
      <c r="H251" s="68"/>
      <c r="I251" s="68"/>
      <c r="J251" s="46"/>
      <c r="K251" s="42"/>
      <c r="L251" s="68"/>
      <c r="M251" s="68"/>
      <c r="N251" s="46"/>
      <c r="O251" s="42"/>
      <c r="P251" s="68"/>
      <c r="Q251" s="68"/>
      <c r="R251" s="46"/>
      <c r="S251" s="42"/>
      <c r="T251" s="68"/>
      <c r="U251" s="68"/>
      <c r="V251" s="46"/>
      <c r="W251" s="46"/>
      <c r="Z251" s="46"/>
      <c r="AA251" s="46"/>
      <c r="AD251" s="46"/>
      <c r="AE251" s="46"/>
    </row>
    <row r="252" spans="1:33" ht="18" customHeight="1" thickBot="1">
      <c r="A252" s="3236"/>
      <c r="B252" s="3086" t="s">
        <v>38</v>
      </c>
      <c r="C252" s="2985">
        <v>1</v>
      </c>
      <c r="D252" s="2986">
        <v>2</v>
      </c>
      <c r="E252" s="2986">
        <v>3</v>
      </c>
      <c r="F252" s="2985">
        <v>4</v>
      </c>
      <c r="G252" s="2985">
        <v>5</v>
      </c>
      <c r="H252" s="2985">
        <v>6</v>
      </c>
      <c r="I252" s="2985">
        <v>7</v>
      </c>
      <c r="J252" s="2985">
        <v>8</v>
      </c>
      <c r="K252" s="2986">
        <v>9</v>
      </c>
      <c r="L252" s="2986">
        <v>10</v>
      </c>
      <c r="M252" s="2985">
        <v>11</v>
      </c>
      <c r="N252" s="2985">
        <v>12</v>
      </c>
      <c r="O252" s="2985">
        <v>13</v>
      </c>
      <c r="P252" s="2985">
        <v>14</v>
      </c>
      <c r="Q252" s="2985">
        <v>15</v>
      </c>
      <c r="R252" s="2986">
        <v>16</v>
      </c>
      <c r="S252" s="2986">
        <v>17</v>
      </c>
      <c r="T252" s="2985">
        <v>18</v>
      </c>
      <c r="U252" s="2985">
        <v>19</v>
      </c>
      <c r="V252" s="2985">
        <v>20</v>
      </c>
      <c r="W252" s="2985">
        <v>21</v>
      </c>
      <c r="X252" s="2985">
        <v>22</v>
      </c>
      <c r="Y252" s="2986">
        <v>23</v>
      </c>
      <c r="Z252" s="2986">
        <v>24</v>
      </c>
      <c r="AA252" s="2985">
        <v>25</v>
      </c>
      <c r="AB252" s="2985">
        <v>26</v>
      </c>
      <c r="AC252" s="2985">
        <v>27</v>
      </c>
      <c r="AD252" s="2985">
        <v>28</v>
      </c>
      <c r="AE252" s="2985">
        <v>29</v>
      </c>
      <c r="AF252" s="2986">
        <v>30</v>
      </c>
      <c r="AG252" s="2986">
        <v>31</v>
      </c>
    </row>
    <row r="253" spans="1:33" ht="18" customHeight="1">
      <c r="A253" s="2896"/>
      <c r="B253" s="2897"/>
      <c r="C253" s="3016" t="s">
        <v>40</v>
      </c>
      <c r="D253" s="3016"/>
      <c r="E253" s="3016"/>
      <c r="F253" s="3016" t="s">
        <v>40</v>
      </c>
      <c r="G253" s="3016" t="s">
        <v>40</v>
      </c>
      <c r="H253" s="3016" t="s">
        <v>40</v>
      </c>
      <c r="I253" s="3001" t="s">
        <v>40</v>
      </c>
      <c r="J253" s="3016" t="s">
        <v>40</v>
      </c>
      <c r="K253" s="3016"/>
      <c r="L253" s="3016"/>
      <c r="M253" s="3016" t="s">
        <v>40</v>
      </c>
      <c r="N253" s="3016" t="s">
        <v>40</v>
      </c>
      <c r="O253" s="3016" t="s">
        <v>40</v>
      </c>
      <c r="P253" s="3001" t="s">
        <v>40</v>
      </c>
      <c r="Q253" s="3016" t="s">
        <v>40</v>
      </c>
      <c r="R253" s="3016"/>
      <c r="S253" s="3016"/>
      <c r="T253" s="3016" t="s">
        <v>40</v>
      </c>
      <c r="U253" s="3016" t="s">
        <v>40</v>
      </c>
      <c r="V253" s="3016" t="s">
        <v>40</v>
      </c>
      <c r="W253" s="3001" t="s">
        <v>40</v>
      </c>
      <c r="X253" s="3016" t="s">
        <v>40</v>
      </c>
      <c r="Y253" s="3016"/>
      <c r="Z253" s="3016"/>
      <c r="AA253" s="3016" t="s">
        <v>40</v>
      </c>
      <c r="AB253" s="3016" t="s">
        <v>40</v>
      </c>
      <c r="AC253" s="3016" t="s">
        <v>40</v>
      </c>
      <c r="AD253" s="3001" t="s">
        <v>40</v>
      </c>
      <c r="AE253" s="3016" t="s">
        <v>40</v>
      </c>
      <c r="AF253" s="3016"/>
      <c r="AG253" s="3016"/>
    </row>
    <row r="254" spans="1:33" ht="18" customHeight="1">
      <c r="A254" s="3178"/>
      <c r="B254" s="3329" t="s">
        <v>312</v>
      </c>
      <c r="C254" s="3146"/>
      <c r="D254" s="3146"/>
      <c r="E254" s="3146"/>
      <c r="F254" s="3146"/>
      <c r="G254" s="3164"/>
      <c r="H254" s="3164"/>
      <c r="I254" s="3164"/>
      <c r="J254" s="3146"/>
      <c r="K254" s="3146"/>
      <c r="L254" s="3146"/>
      <c r="M254" s="3146"/>
      <c r="N254" s="3164"/>
      <c r="O254" s="3164"/>
      <c r="P254" s="3164"/>
      <c r="Q254" s="3146"/>
      <c r="R254" s="3146"/>
      <c r="S254" s="3146"/>
      <c r="T254" s="3146"/>
      <c r="U254" s="3164"/>
      <c r="V254" s="3164"/>
      <c r="W254" s="3164"/>
      <c r="X254" s="3146"/>
      <c r="Y254" s="3146"/>
      <c r="Z254" s="3146"/>
      <c r="AA254" s="3146"/>
      <c r="AB254" s="3164"/>
      <c r="AC254" s="3164"/>
      <c r="AD254" s="3164"/>
      <c r="AE254" s="3146"/>
      <c r="AF254" s="3146"/>
      <c r="AG254" s="3146"/>
    </row>
    <row r="255" spans="1:33" ht="18" customHeight="1">
      <c r="A255" s="3330">
        <v>8514</v>
      </c>
      <c r="B255" s="3123" t="s">
        <v>313</v>
      </c>
      <c r="C255" s="3016" t="s">
        <v>40</v>
      </c>
      <c r="D255" s="3016"/>
      <c r="E255" s="3016"/>
      <c r="F255" s="3016" t="s">
        <v>40</v>
      </c>
      <c r="G255" s="3016" t="s">
        <v>40</v>
      </c>
      <c r="H255" s="3016" t="s">
        <v>40</v>
      </c>
      <c r="I255" s="3001" t="s">
        <v>40</v>
      </c>
      <c r="J255" s="3016" t="s">
        <v>40</v>
      </c>
      <c r="K255" s="3016"/>
      <c r="L255" s="3016"/>
      <c r="M255" s="3016" t="s">
        <v>40</v>
      </c>
      <c r="N255" s="3016" t="s">
        <v>40</v>
      </c>
      <c r="O255" s="3016" t="s">
        <v>40</v>
      </c>
      <c r="P255" s="3001" t="s">
        <v>40</v>
      </c>
      <c r="Q255" s="3016" t="s">
        <v>40</v>
      </c>
      <c r="R255" s="3016"/>
      <c r="S255" s="3016"/>
      <c r="T255" s="3016" t="s">
        <v>40</v>
      </c>
      <c r="U255" s="3016" t="s">
        <v>40</v>
      </c>
      <c r="V255" s="3016" t="s">
        <v>40</v>
      </c>
      <c r="W255" s="3001" t="s">
        <v>40</v>
      </c>
      <c r="X255" s="3016" t="s">
        <v>40</v>
      </c>
      <c r="Y255" s="3016"/>
      <c r="Z255" s="3016"/>
      <c r="AA255" s="3016" t="s">
        <v>40</v>
      </c>
      <c r="AB255" s="3016" t="s">
        <v>40</v>
      </c>
      <c r="AC255" s="3016" t="s">
        <v>40</v>
      </c>
      <c r="AD255" s="3001" t="s">
        <v>40</v>
      </c>
      <c r="AE255" s="3016" t="s">
        <v>40</v>
      </c>
      <c r="AF255" s="3016"/>
      <c r="AG255" s="3016"/>
    </row>
    <row r="256" spans="1:33" ht="18" customHeight="1">
      <c r="A256" s="3330">
        <v>3701</v>
      </c>
      <c r="B256" s="3331" t="s">
        <v>314</v>
      </c>
      <c r="C256" s="3332"/>
      <c r="D256" s="3332"/>
      <c r="E256" s="3332"/>
      <c r="F256" s="3332"/>
      <c r="G256" s="3333"/>
      <c r="H256" s="3333"/>
      <c r="I256" s="3333"/>
      <c r="J256" s="3332"/>
      <c r="K256" s="3332"/>
      <c r="L256" s="3332"/>
      <c r="M256" s="3332"/>
      <c r="N256" s="3333"/>
      <c r="O256" s="3333"/>
      <c r="P256" s="3333"/>
      <c r="Q256" s="3332"/>
      <c r="R256" s="3332"/>
      <c r="S256" s="3332"/>
      <c r="T256" s="3332"/>
      <c r="U256" s="3333"/>
      <c r="V256" s="3333"/>
      <c r="W256" s="3333"/>
      <c r="X256" s="3332"/>
      <c r="Y256" s="3332"/>
      <c r="Z256" s="3332"/>
      <c r="AA256" s="3332"/>
      <c r="AB256" s="3333"/>
      <c r="AC256" s="3333"/>
      <c r="AD256" s="3333"/>
      <c r="AE256" s="3332"/>
      <c r="AF256" s="3332"/>
      <c r="AG256" s="3332"/>
    </row>
    <row r="257" spans="1:33" ht="18" customHeight="1">
      <c r="A257" s="3330">
        <v>3701</v>
      </c>
      <c r="B257" s="3316" t="s">
        <v>315</v>
      </c>
      <c r="C257" s="3023" t="s">
        <v>40</v>
      </c>
      <c r="D257" s="3016"/>
      <c r="E257" s="3016"/>
      <c r="F257" s="3016" t="s">
        <v>40</v>
      </c>
      <c r="G257" s="3016" t="s">
        <v>40</v>
      </c>
      <c r="H257" s="3016" t="s">
        <v>40</v>
      </c>
      <c r="I257" s="3001" t="s">
        <v>40</v>
      </c>
      <c r="J257" s="3016" t="s">
        <v>40</v>
      </c>
      <c r="K257" s="3016"/>
      <c r="L257" s="3016"/>
      <c r="M257" s="3016" t="s">
        <v>40</v>
      </c>
      <c r="N257" s="3016" t="s">
        <v>40</v>
      </c>
      <c r="O257" s="3016" t="s">
        <v>40</v>
      </c>
      <c r="P257" s="3001" t="s">
        <v>40</v>
      </c>
      <c r="Q257" s="3016" t="s">
        <v>40</v>
      </c>
      <c r="R257" s="3016"/>
      <c r="S257" s="3016"/>
      <c r="T257" s="3016" t="s">
        <v>40</v>
      </c>
      <c r="U257" s="3016" t="s">
        <v>40</v>
      </c>
      <c r="V257" s="3016" t="s">
        <v>40</v>
      </c>
      <c r="W257" s="3001" t="s">
        <v>40</v>
      </c>
      <c r="X257" s="3016" t="s">
        <v>40</v>
      </c>
      <c r="Y257" s="3016"/>
      <c r="Z257" s="3016"/>
      <c r="AA257" s="3016" t="s">
        <v>40</v>
      </c>
      <c r="AB257" s="3016" t="s">
        <v>40</v>
      </c>
      <c r="AC257" s="3016" t="s">
        <v>40</v>
      </c>
      <c r="AD257" s="3001" t="s">
        <v>40</v>
      </c>
      <c r="AE257" s="3016" t="s">
        <v>40</v>
      </c>
      <c r="AF257" s="3016"/>
      <c r="AG257" s="3016"/>
    </row>
    <row r="258" spans="1:33" ht="18" customHeight="1">
      <c r="A258" s="3330">
        <v>3701</v>
      </c>
      <c r="B258" s="3316" t="s">
        <v>316</v>
      </c>
      <c r="C258" s="2993" t="s">
        <v>40</v>
      </c>
      <c r="D258" s="2993"/>
      <c r="E258" s="2993"/>
      <c r="F258" s="2993" t="s">
        <v>40</v>
      </c>
      <c r="G258" s="2993" t="s">
        <v>40</v>
      </c>
      <c r="H258" s="2993" t="s">
        <v>40</v>
      </c>
      <c r="I258" s="2993" t="s">
        <v>40</v>
      </c>
      <c r="J258" s="2993" t="s">
        <v>40</v>
      </c>
      <c r="K258" s="3016"/>
      <c r="L258" s="3016"/>
      <c r="M258" s="3016" t="s">
        <v>40</v>
      </c>
      <c r="N258" s="3016" t="s">
        <v>40</v>
      </c>
      <c r="O258" s="3016" t="s">
        <v>40</v>
      </c>
      <c r="P258" s="3001" t="s">
        <v>40</v>
      </c>
      <c r="Q258" s="3016" t="s">
        <v>40</v>
      </c>
      <c r="R258" s="3016"/>
      <c r="S258" s="3016"/>
      <c r="T258" s="3016" t="s">
        <v>40</v>
      </c>
      <c r="U258" s="3016" t="s">
        <v>40</v>
      </c>
      <c r="V258" s="3016" t="s">
        <v>40</v>
      </c>
      <c r="W258" s="3001" t="s">
        <v>40</v>
      </c>
      <c r="X258" s="3016" t="s">
        <v>40</v>
      </c>
      <c r="Y258" s="3016"/>
      <c r="Z258" s="3016"/>
      <c r="AA258" s="3016" t="s">
        <v>40</v>
      </c>
      <c r="AB258" s="3016" t="s">
        <v>40</v>
      </c>
      <c r="AC258" s="3016" t="s">
        <v>40</v>
      </c>
      <c r="AD258" s="3001" t="s">
        <v>40</v>
      </c>
      <c r="AE258" s="3016" t="s">
        <v>40</v>
      </c>
      <c r="AF258" s="3016"/>
      <c r="AG258" s="3016"/>
    </row>
    <row r="259" spans="1:33" ht="18" customHeight="1">
      <c r="A259" s="3330">
        <v>3701</v>
      </c>
      <c r="B259" s="3316" t="s">
        <v>317</v>
      </c>
      <c r="C259" s="2994" t="s">
        <v>40</v>
      </c>
      <c r="D259" s="3016"/>
      <c r="E259" s="3016"/>
      <c r="F259" s="3016" t="s">
        <v>40</v>
      </c>
      <c r="G259" s="3016" t="s">
        <v>40</v>
      </c>
      <c r="H259" s="3016" t="s">
        <v>40</v>
      </c>
      <c r="I259" s="3001" t="s">
        <v>40</v>
      </c>
      <c r="J259" s="3016" t="s">
        <v>40</v>
      </c>
      <c r="K259" s="3016"/>
      <c r="L259" s="3016"/>
      <c r="M259" s="3016" t="s">
        <v>40</v>
      </c>
      <c r="N259" s="3016" t="s">
        <v>40</v>
      </c>
      <c r="O259" s="3016" t="s">
        <v>40</v>
      </c>
      <c r="P259" s="3001" t="s">
        <v>40</v>
      </c>
      <c r="Q259" s="3016" t="s">
        <v>40</v>
      </c>
      <c r="R259" s="3016"/>
      <c r="S259" s="3016"/>
      <c r="T259" s="3013" t="s">
        <v>40</v>
      </c>
      <c r="U259" s="3013" t="s">
        <v>325</v>
      </c>
      <c r="V259" s="2968" t="s">
        <v>40</v>
      </c>
      <c r="W259" s="3001" t="s">
        <v>40</v>
      </c>
      <c r="X259" s="3016" t="s">
        <v>40</v>
      </c>
      <c r="Y259" s="3016"/>
      <c r="Z259" s="3016"/>
      <c r="AA259" s="3016" t="s">
        <v>40</v>
      </c>
      <c r="AB259" s="3016" t="s">
        <v>40</v>
      </c>
      <c r="AC259" s="3016" t="s">
        <v>40</v>
      </c>
      <c r="AD259" s="3001" t="s">
        <v>40</v>
      </c>
      <c r="AE259" s="3016" t="s">
        <v>40</v>
      </c>
      <c r="AF259" s="3016"/>
      <c r="AG259" s="3016"/>
    </row>
    <row r="260" spans="1:33" ht="18" customHeight="1">
      <c r="A260" s="3330">
        <v>3701</v>
      </c>
      <c r="B260" s="3331" t="s">
        <v>318</v>
      </c>
      <c r="C260" s="3332"/>
      <c r="D260" s="3332"/>
      <c r="E260" s="3332"/>
      <c r="F260" s="3332"/>
      <c r="G260" s="3333"/>
      <c r="H260" s="3333"/>
      <c r="I260" s="3333"/>
      <c r="J260" s="3332"/>
      <c r="K260" s="3332"/>
      <c r="L260" s="3332"/>
      <c r="M260" s="3332"/>
      <c r="N260" s="3333"/>
      <c r="O260" s="3333"/>
      <c r="P260" s="3333"/>
      <c r="Q260" s="3332"/>
      <c r="R260" s="3332"/>
      <c r="S260" s="3332"/>
      <c r="T260" s="3332"/>
      <c r="U260" s="3333"/>
      <c r="V260" s="3333"/>
      <c r="W260" s="3333"/>
      <c r="X260" s="3332"/>
      <c r="Y260" s="3332"/>
      <c r="Z260" s="3332"/>
      <c r="AA260" s="3332"/>
      <c r="AB260" s="3333"/>
      <c r="AC260" s="3333"/>
      <c r="AD260" s="3333"/>
      <c r="AE260" s="3332"/>
      <c r="AF260" s="3332"/>
      <c r="AG260" s="3332"/>
    </row>
    <row r="261" spans="1:33" ht="18" customHeight="1">
      <c r="A261" s="3330">
        <v>3701</v>
      </c>
      <c r="B261" s="3316" t="s">
        <v>319</v>
      </c>
      <c r="C261" s="2993" t="s">
        <v>40</v>
      </c>
      <c r="D261" s="3016"/>
      <c r="E261" s="3016"/>
      <c r="F261" s="3016" t="s">
        <v>40</v>
      </c>
      <c r="G261" s="3016" t="s">
        <v>40</v>
      </c>
      <c r="H261" s="3016" t="s">
        <v>40</v>
      </c>
      <c r="I261" s="3001" t="s">
        <v>40</v>
      </c>
      <c r="J261" s="3016" t="s">
        <v>40</v>
      </c>
      <c r="K261" s="3016"/>
      <c r="L261" s="3016"/>
      <c r="M261" s="3016" t="s">
        <v>40</v>
      </c>
      <c r="N261" s="3016" t="s">
        <v>40</v>
      </c>
      <c r="O261" s="3016" t="s">
        <v>40</v>
      </c>
      <c r="P261" s="3001" t="s">
        <v>40</v>
      </c>
      <c r="Q261" s="3016" t="s">
        <v>40</v>
      </c>
      <c r="R261" s="3016"/>
      <c r="S261" s="3016"/>
      <c r="T261" s="3016" t="s">
        <v>40</v>
      </c>
      <c r="U261" s="3016" t="s">
        <v>40</v>
      </c>
      <c r="V261" s="3013" t="s">
        <v>40</v>
      </c>
      <c r="W261" s="3013" t="s">
        <v>40</v>
      </c>
      <c r="X261" s="3013" t="s">
        <v>40</v>
      </c>
      <c r="Y261" s="3013"/>
      <c r="Z261" s="3013" t="s">
        <v>376</v>
      </c>
      <c r="AA261" s="3016" t="s">
        <v>40</v>
      </c>
      <c r="AB261" s="3016" t="s">
        <v>40</v>
      </c>
      <c r="AC261" s="3016" t="s">
        <v>40</v>
      </c>
      <c r="AD261" s="3001" t="s">
        <v>40</v>
      </c>
      <c r="AE261" s="3016" t="s">
        <v>40</v>
      </c>
      <c r="AF261" s="3016"/>
      <c r="AG261" s="3016"/>
    </row>
    <row r="262" spans="1:33" ht="18" customHeight="1">
      <c r="A262" s="3330">
        <v>3701</v>
      </c>
      <c r="B262" s="3316" t="s">
        <v>320</v>
      </c>
      <c r="C262" s="2993" t="s">
        <v>40</v>
      </c>
      <c r="D262" s="2993"/>
      <c r="E262" s="2993"/>
      <c r="F262" s="2993" t="s">
        <v>40</v>
      </c>
      <c r="G262" s="2993" t="s">
        <v>40</v>
      </c>
      <c r="H262" s="2993" t="s">
        <v>40</v>
      </c>
      <c r="I262" s="2993" t="s">
        <v>40</v>
      </c>
      <c r="J262" s="2993" t="s">
        <v>40</v>
      </c>
      <c r="K262" s="3016"/>
      <c r="L262" s="3016"/>
      <c r="M262" s="3016" t="s">
        <v>40</v>
      </c>
      <c r="N262" s="3016" t="s">
        <v>40</v>
      </c>
      <c r="O262" s="3016" t="s">
        <v>40</v>
      </c>
      <c r="P262" s="3001" t="s">
        <v>40</v>
      </c>
      <c r="Q262" s="3016" t="s">
        <v>40</v>
      </c>
      <c r="R262" s="3016"/>
      <c r="S262" s="3016"/>
      <c r="T262" s="3016" t="s">
        <v>40</v>
      </c>
      <c r="U262" s="3016" t="s">
        <v>40</v>
      </c>
      <c r="V262" s="3016" t="s">
        <v>40</v>
      </c>
      <c r="W262" s="3001" t="s">
        <v>40</v>
      </c>
      <c r="X262" s="3016" t="s">
        <v>40</v>
      </c>
      <c r="Y262" s="3016"/>
      <c r="Z262" s="3016"/>
      <c r="AA262" s="3016" t="s">
        <v>40</v>
      </c>
      <c r="AB262" s="3016" t="s">
        <v>40</v>
      </c>
      <c r="AC262" s="3016" t="s">
        <v>40</v>
      </c>
      <c r="AD262" s="3001" t="s">
        <v>40</v>
      </c>
      <c r="AE262" s="3016" t="s">
        <v>40</v>
      </c>
      <c r="AF262" s="3016"/>
      <c r="AG262" s="3016"/>
    </row>
    <row r="263" spans="1:33" ht="18" customHeight="1">
      <c r="A263" s="3334">
        <v>3701</v>
      </c>
      <c r="B263" s="3316" t="s">
        <v>321</v>
      </c>
      <c r="C263" s="2993" t="s">
        <v>40</v>
      </c>
      <c r="D263" s="3016"/>
      <c r="E263" s="3016"/>
      <c r="F263" s="3016" t="s">
        <v>40</v>
      </c>
      <c r="G263" s="3016" t="s">
        <v>40</v>
      </c>
      <c r="H263" s="3016" t="s">
        <v>40</v>
      </c>
      <c r="I263" s="3001" t="s">
        <v>40</v>
      </c>
      <c r="J263" s="3016" t="s">
        <v>40</v>
      </c>
      <c r="K263" s="3016"/>
      <c r="L263" s="3016"/>
      <c r="M263" s="3016" t="s">
        <v>40</v>
      </c>
      <c r="N263" s="3016" t="s">
        <v>40</v>
      </c>
      <c r="O263" s="3023" t="s">
        <v>40</v>
      </c>
      <c r="P263" s="3335" t="s">
        <v>40</v>
      </c>
      <c r="Q263" s="3335" t="s">
        <v>40</v>
      </c>
      <c r="R263" s="3016"/>
      <c r="S263" s="3016"/>
      <c r="T263" s="3016" t="s">
        <v>40</v>
      </c>
      <c r="U263" s="3016" t="s">
        <v>40</v>
      </c>
      <c r="V263" s="3016" t="s">
        <v>40</v>
      </c>
      <c r="W263" s="3001" t="s">
        <v>40</v>
      </c>
      <c r="X263" s="3016" t="s">
        <v>40</v>
      </c>
      <c r="Y263" s="3016"/>
      <c r="Z263" s="3016"/>
      <c r="AA263" s="3023" t="s">
        <v>40</v>
      </c>
      <c r="AB263" s="3023" t="s">
        <v>40</v>
      </c>
      <c r="AC263" s="3023" t="s">
        <v>40</v>
      </c>
      <c r="AD263" s="3023" t="s">
        <v>40</v>
      </c>
      <c r="AE263" s="3023" t="s">
        <v>40</v>
      </c>
      <c r="AF263" s="3016"/>
      <c r="AG263" s="3016"/>
    </row>
    <row r="264" spans="1:33" ht="18" customHeight="1">
      <c r="A264" s="3330">
        <v>3701</v>
      </c>
      <c r="B264" s="3316" t="s">
        <v>322</v>
      </c>
      <c r="C264" s="3013" t="s">
        <v>325</v>
      </c>
      <c r="D264" s="3016"/>
      <c r="E264" s="3016"/>
      <c r="F264" s="3016" t="s">
        <v>40</v>
      </c>
      <c r="G264" s="3016" t="s">
        <v>40</v>
      </c>
      <c r="H264" s="3016" t="s">
        <v>40</v>
      </c>
      <c r="I264" s="3001" t="s">
        <v>40</v>
      </c>
      <c r="J264" s="3016" t="s">
        <v>40</v>
      </c>
      <c r="K264" s="3016"/>
      <c r="L264" s="3016"/>
      <c r="M264" s="3016" t="s">
        <v>40</v>
      </c>
      <c r="N264" s="2993" t="s">
        <v>40</v>
      </c>
      <c r="O264" s="2994" t="s">
        <v>40</v>
      </c>
      <c r="P264" s="3001" t="s">
        <v>40</v>
      </c>
      <c r="Q264" s="3016" t="s">
        <v>40</v>
      </c>
      <c r="R264" s="3016"/>
      <c r="S264" s="3016"/>
      <c r="T264" s="3016" t="s">
        <v>40</v>
      </c>
      <c r="U264" s="3016" t="s">
        <v>40</v>
      </c>
      <c r="V264" s="3016" t="s">
        <v>40</v>
      </c>
      <c r="W264" s="3001" t="s">
        <v>40</v>
      </c>
      <c r="X264" s="3016" t="s">
        <v>40</v>
      </c>
      <c r="Y264" s="3016"/>
      <c r="Z264" s="3016"/>
      <c r="AA264" s="3016" t="s">
        <v>40</v>
      </c>
      <c r="AB264" s="3016" t="s">
        <v>40</v>
      </c>
      <c r="AC264" s="3016" t="s">
        <v>40</v>
      </c>
      <c r="AD264" s="3001" t="s">
        <v>40</v>
      </c>
      <c r="AE264" s="3016" t="s">
        <v>40</v>
      </c>
      <c r="AF264" s="3016"/>
      <c r="AG264" s="3016"/>
    </row>
    <row r="265" spans="1:33" ht="18" customHeight="1">
      <c r="A265" s="3330">
        <v>3701</v>
      </c>
      <c r="B265" s="3316" t="s">
        <v>323</v>
      </c>
      <c r="C265" s="3016" t="s">
        <v>40</v>
      </c>
      <c r="D265" s="3016"/>
      <c r="E265" s="3016"/>
      <c r="F265" s="3016" t="s">
        <v>40</v>
      </c>
      <c r="G265" s="3016" t="s">
        <v>40</v>
      </c>
      <c r="H265" s="3016" t="s">
        <v>40</v>
      </c>
      <c r="I265" s="3001" t="s">
        <v>40</v>
      </c>
      <c r="J265" s="3016" t="s">
        <v>40</v>
      </c>
      <c r="K265" s="3016"/>
      <c r="L265" s="3016"/>
      <c r="M265" s="3016" t="s">
        <v>40</v>
      </c>
      <c r="N265" s="3016" t="s">
        <v>40</v>
      </c>
      <c r="O265" s="3016" t="s">
        <v>40</v>
      </c>
      <c r="P265" s="3001" t="s">
        <v>40</v>
      </c>
      <c r="Q265" s="3016" t="s">
        <v>40</v>
      </c>
      <c r="R265" s="3016"/>
      <c r="S265" s="3016"/>
      <c r="T265" s="3016" t="s">
        <v>40</v>
      </c>
      <c r="U265" s="3016" t="s">
        <v>40</v>
      </c>
      <c r="V265" s="3016" t="s">
        <v>40</v>
      </c>
      <c r="W265" s="3001" t="s">
        <v>40</v>
      </c>
      <c r="X265" s="3016" t="s">
        <v>40</v>
      </c>
      <c r="Y265" s="3016"/>
      <c r="Z265" s="3016"/>
      <c r="AA265" s="3016" t="s">
        <v>40</v>
      </c>
      <c r="AB265" s="3016" t="s">
        <v>40</v>
      </c>
      <c r="AC265" s="3016" t="s">
        <v>40</v>
      </c>
      <c r="AD265" s="3001" t="s">
        <v>40</v>
      </c>
      <c r="AE265" s="3016" t="s">
        <v>40</v>
      </c>
      <c r="AF265" s="3016"/>
      <c r="AG265" s="3016"/>
    </row>
    <row r="266" spans="1:33" ht="18" customHeight="1">
      <c r="A266" s="3330"/>
      <c r="B266" s="3316" t="s">
        <v>324</v>
      </c>
      <c r="C266" s="3016" t="s">
        <v>40</v>
      </c>
      <c r="D266" s="3016"/>
      <c r="E266" s="3016"/>
      <c r="F266" s="3016" t="s">
        <v>40</v>
      </c>
      <c r="G266" s="3016" t="s">
        <v>40</v>
      </c>
      <c r="H266" s="3016" t="s">
        <v>40</v>
      </c>
      <c r="I266" s="3001" t="s">
        <v>40</v>
      </c>
      <c r="J266" s="3016" t="s">
        <v>40</v>
      </c>
      <c r="K266" s="3016"/>
      <c r="L266" s="3016"/>
      <c r="M266" s="3016" t="s">
        <v>40</v>
      </c>
      <c r="N266" s="3016" t="s">
        <v>40</v>
      </c>
      <c r="O266" s="3016" t="s">
        <v>40</v>
      </c>
      <c r="P266" s="3001" t="s">
        <v>40</v>
      </c>
      <c r="Q266" s="3016" t="s">
        <v>40</v>
      </c>
      <c r="R266" s="3016"/>
      <c r="S266" s="3016"/>
      <c r="T266" s="3016" t="s">
        <v>40</v>
      </c>
      <c r="U266" s="3016" t="s">
        <v>40</v>
      </c>
      <c r="V266" s="3016" t="s">
        <v>40</v>
      </c>
      <c r="W266" s="3001" t="s">
        <v>40</v>
      </c>
      <c r="X266" s="3016" t="s">
        <v>40</v>
      </c>
      <c r="Y266" s="3016"/>
      <c r="Z266" s="3016"/>
      <c r="AA266" s="3016" t="s">
        <v>40</v>
      </c>
      <c r="AB266" s="3016" t="s">
        <v>40</v>
      </c>
      <c r="AC266" s="3016" t="s">
        <v>40</v>
      </c>
      <c r="AD266" s="3001" t="s">
        <v>40</v>
      </c>
      <c r="AE266" s="3016" t="s">
        <v>40</v>
      </c>
      <c r="AF266" s="3016"/>
      <c r="AG266" s="3016"/>
    </row>
    <row r="267" spans="1:33" ht="18" customHeight="1">
      <c r="A267" s="3330"/>
      <c r="B267" s="3316"/>
      <c r="C267" s="3016" t="s">
        <v>40</v>
      </c>
      <c r="D267" s="3016"/>
      <c r="E267" s="3016"/>
      <c r="F267" s="3016" t="s">
        <v>40</v>
      </c>
      <c r="G267" s="3016" t="s">
        <v>40</v>
      </c>
      <c r="H267" s="3016" t="s">
        <v>40</v>
      </c>
      <c r="I267" s="3001" t="s">
        <v>40</v>
      </c>
      <c r="J267" s="3016" t="s">
        <v>40</v>
      </c>
      <c r="K267" s="3016"/>
      <c r="L267" s="3016"/>
      <c r="M267" s="3016" t="s">
        <v>40</v>
      </c>
      <c r="N267" s="3016" t="s">
        <v>40</v>
      </c>
      <c r="O267" s="3016" t="s">
        <v>40</v>
      </c>
      <c r="P267" s="3001" t="s">
        <v>40</v>
      </c>
      <c r="Q267" s="3016" t="s">
        <v>40</v>
      </c>
      <c r="R267" s="3016"/>
      <c r="S267" s="3016"/>
      <c r="T267" s="3016" t="s">
        <v>40</v>
      </c>
      <c r="U267" s="3016" t="s">
        <v>40</v>
      </c>
      <c r="V267" s="3016" t="s">
        <v>40</v>
      </c>
      <c r="W267" s="3001" t="s">
        <v>40</v>
      </c>
      <c r="X267" s="3016" t="s">
        <v>40</v>
      </c>
      <c r="Y267" s="3016"/>
      <c r="Z267" s="3016"/>
      <c r="AA267" s="3016" t="s">
        <v>40</v>
      </c>
      <c r="AB267" s="3016" t="s">
        <v>40</v>
      </c>
      <c r="AC267" s="3016" t="s">
        <v>40</v>
      </c>
      <c r="AD267" s="3001" t="s">
        <v>40</v>
      </c>
      <c r="AE267" s="3016" t="s">
        <v>40</v>
      </c>
      <c r="AF267" s="3016"/>
      <c r="AG267" s="3016"/>
    </row>
    <row r="268" spans="1:33" ht="18" customHeight="1">
      <c r="A268" s="3330"/>
      <c r="B268" s="3316" t="s">
        <v>326</v>
      </c>
      <c r="C268" s="3016" t="s">
        <v>40</v>
      </c>
      <c r="D268" s="3016"/>
      <c r="E268" s="3016"/>
      <c r="F268" s="3016" t="s">
        <v>40</v>
      </c>
      <c r="G268" s="3016" t="s">
        <v>40</v>
      </c>
      <c r="H268" s="3016" t="s">
        <v>40</v>
      </c>
      <c r="I268" s="3001" t="s">
        <v>40</v>
      </c>
      <c r="J268" s="3016" t="s">
        <v>40</v>
      </c>
      <c r="K268" s="3016"/>
      <c r="L268" s="3016"/>
      <c r="M268" s="3016" t="s">
        <v>40</v>
      </c>
      <c r="N268" s="3016" t="s">
        <v>40</v>
      </c>
      <c r="O268" s="3016" t="s">
        <v>40</v>
      </c>
      <c r="P268" s="3001" t="s">
        <v>40</v>
      </c>
      <c r="Q268" s="3016" t="s">
        <v>40</v>
      </c>
      <c r="R268" s="3016"/>
      <c r="S268" s="3016"/>
      <c r="T268" s="3016" t="s">
        <v>40</v>
      </c>
      <c r="U268" s="3016" t="s">
        <v>40</v>
      </c>
      <c r="V268" s="3016" t="s">
        <v>40</v>
      </c>
      <c r="W268" s="3001" t="s">
        <v>40</v>
      </c>
      <c r="X268" s="3016" t="s">
        <v>40</v>
      </c>
      <c r="Y268" s="3016"/>
      <c r="Z268" s="3016"/>
      <c r="AA268" s="3013" t="s">
        <v>40</v>
      </c>
      <c r="AB268" s="3013" t="s">
        <v>325</v>
      </c>
      <c r="AC268" s="3016" t="s">
        <v>40</v>
      </c>
      <c r="AD268" s="3001" t="s">
        <v>40</v>
      </c>
      <c r="AE268" s="3016" t="s">
        <v>40</v>
      </c>
      <c r="AF268" s="3016"/>
      <c r="AG268" s="3016"/>
    </row>
    <row r="269" spans="1:33" ht="18" customHeight="1">
      <c r="A269" s="3330"/>
      <c r="B269" s="3331" t="s">
        <v>327</v>
      </c>
      <c r="C269" s="3332"/>
      <c r="D269" s="3332"/>
      <c r="E269" s="3332"/>
      <c r="F269" s="3332"/>
      <c r="G269" s="3333"/>
      <c r="H269" s="3333"/>
      <c r="I269" s="3333"/>
      <c r="J269" s="3332"/>
      <c r="K269" s="3332"/>
      <c r="L269" s="3332"/>
      <c r="M269" s="3332"/>
      <c r="N269" s="3333"/>
      <c r="O269" s="3333"/>
      <c r="P269" s="3333"/>
      <c r="Q269" s="3332"/>
      <c r="R269" s="3332"/>
      <c r="S269" s="3332"/>
      <c r="T269" s="3332"/>
      <c r="U269" s="3333"/>
      <c r="V269" s="3333"/>
      <c r="W269" s="3333"/>
      <c r="X269" s="3332"/>
      <c r="Y269" s="3332"/>
      <c r="Z269" s="3332"/>
      <c r="AA269" s="3332"/>
      <c r="AB269" s="3333"/>
      <c r="AC269" s="3333"/>
      <c r="AD269" s="3333"/>
      <c r="AE269" s="3332"/>
      <c r="AF269" s="3332"/>
      <c r="AG269" s="3332"/>
    </row>
    <row r="270" spans="1:33" ht="18" customHeight="1">
      <c r="A270" s="3330"/>
      <c r="B270" s="3316" t="s">
        <v>328</v>
      </c>
      <c r="C270" s="3016" t="s">
        <v>40</v>
      </c>
      <c r="D270" s="3016"/>
      <c r="E270" s="3016"/>
      <c r="F270" s="3016" t="s">
        <v>40</v>
      </c>
      <c r="G270" s="3016" t="s">
        <v>40</v>
      </c>
      <c r="H270" s="3016" t="s">
        <v>40</v>
      </c>
      <c r="I270" s="3001" t="s">
        <v>40</v>
      </c>
      <c r="J270" s="3016" t="s">
        <v>40</v>
      </c>
      <c r="K270" s="3016"/>
      <c r="L270" s="3016"/>
      <c r="M270" s="3016" t="s">
        <v>40</v>
      </c>
      <c r="N270" s="3016" t="s">
        <v>40</v>
      </c>
      <c r="O270" s="3016" t="s">
        <v>40</v>
      </c>
      <c r="P270" s="3001" t="s">
        <v>40</v>
      </c>
      <c r="Q270" s="3016" t="s">
        <v>40</v>
      </c>
      <c r="R270" s="3016"/>
      <c r="S270" s="3016"/>
      <c r="T270" s="3016" t="s">
        <v>40</v>
      </c>
      <c r="U270" s="3016" t="s">
        <v>40</v>
      </c>
      <c r="V270" s="3016" t="s">
        <v>40</v>
      </c>
      <c r="W270" s="3001" t="s">
        <v>40</v>
      </c>
      <c r="X270" s="3016" t="s">
        <v>40</v>
      </c>
      <c r="Y270" s="3016"/>
      <c r="Z270" s="3016"/>
      <c r="AA270" s="3016" t="s">
        <v>40</v>
      </c>
      <c r="AB270" s="3016" t="s">
        <v>40</v>
      </c>
      <c r="AC270" s="3016" t="s">
        <v>40</v>
      </c>
      <c r="AD270" s="3001" t="s">
        <v>40</v>
      </c>
      <c r="AE270" s="3016" t="s">
        <v>40</v>
      </c>
      <c r="AF270" s="3016"/>
      <c r="AG270" s="3016"/>
    </row>
    <row r="271" spans="1:33" ht="18" customHeight="1">
      <c r="A271" s="3330"/>
      <c r="B271" s="3316" t="s">
        <v>329</v>
      </c>
      <c r="C271" s="3016" t="s">
        <v>40</v>
      </c>
      <c r="D271" s="3016"/>
      <c r="E271" s="3016"/>
      <c r="F271" s="3016" t="s">
        <v>40</v>
      </c>
      <c r="G271" s="3016" t="s">
        <v>40</v>
      </c>
      <c r="H271" s="3016" t="s">
        <v>40</v>
      </c>
      <c r="I271" s="3001" t="s">
        <v>40</v>
      </c>
      <c r="J271" s="3016" t="s">
        <v>40</v>
      </c>
      <c r="K271" s="3016"/>
      <c r="L271" s="3016"/>
      <c r="M271" s="3016" t="s">
        <v>40</v>
      </c>
      <c r="N271" s="3016" t="s">
        <v>40</v>
      </c>
      <c r="O271" s="3016" t="s">
        <v>40</v>
      </c>
      <c r="P271" s="3001" t="s">
        <v>40</v>
      </c>
      <c r="Q271" s="3016" t="s">
        <v>40</v>
      </c>
      <c r="R271" s="3016"/>
      <c r="S271" s="3016"/>
      <c r="T271" s="3016" t="s">
        <v>40</v>
      </c>
      <c r="U271" s="3016" t="s">
        <v>40</v>
      </c>
      <c r="V271" s="3016" t="s">
        <v>40</v>
      </c>
      <c r="W271" s="3001" t="s">
        <v>40</v>
      </c>
      <c r="X271" s="3016" t="s">
        <v>40</v>
      </c>
      <c r="Y271" s="3016"/>
      <c r="Z271" s="3016"/>
      <c r="AA271" s="3016" t="s">
        <v>40</v>
      </c>
      <c r="AB271" s="3013" t="s">
        <v>325</v>
      </c>
      <c r="AC271" s="2968" t="s">
        <v>40</v>
      </c>
      <c r="AD271" s="2968" t="s">
        <v>40</v>
      </c>
      <c r="AE271" s="3016" t="s">
        <v>40</v>
      </c>
      <c r="AF271" s="3016"/>
      <c r="AG271" s="3016"/>
    </row>
    <row r="272" spans="1:33" ht="18" customHeight="1">
      <c r="B272" s="3316" t="s">
        <v>330</v>
      </c>
      <c r="C272" s="3016" t="s">
        <v>40</v>
      </c>
      <c r="D272" s="3016"/>
      <c r="E272" s="3016"/>
      <c r="F272" s="3016" t="s">
        <v>40</v>
      </c>
      <c r="G272" s="3016" t="s">
        <v>40</v>
      </c>
      <c r="H272" s="3016" t="s">
        <v>40</v>
      </c>
      <c r="I272" s="3001" t="s">
        <v>40</v>
      </c>
      <c r="J272" s="3016" t="s">
        <v>40</v>
      </c>
      <c r="K272" s="3016"/>
      <c r="L272" s="3016"/>
      <c r="M272" s="3016" t="s">
        <v>40</v>
      </c>
      <c r="N272" s="3016" t="s">
        <v>40</v>
      </c>
      <c r="O272" s="3016" t="s">
        <v>40</v>
      </c>
      <c r="P272" s="3001" t="s">
        <v>40</v>
      </c>
      <c r="Q272" s="3016" t="s">
        <v>40</v>
      </c>
      <c r="R272" s="3016"/>
      <c r="S272" s="3016"/>
      <c r="T272" s="3016" t="s">
        <v>40</v>
      </c>
      <c r="U272" s="3016" t="s">
        <v>40</v>
      </c>
      <c r="V272" s="3016" t="s">
        <v>40</v>
      </c>
      <c r="W272" s="3001" t="s">
        <v>40</v>
      </c>
      <c r="X272" s="3016" t="s">
        <v>40</v>
      </c>
      <c r="Y272" s="3016"/>
      <c r="Z272" s="3016"/>
      <c r="AA272" s="3016" t="s">
        <v>40</v>
      </c>
      <c r="AB272" s="3016" t="s">
        <v>40</v>
      </c>
      <c r="AC272" s="3016" t="s">
        <v>40</v>
      </c>
      <c r="AD272" s="3001" t="s">
        <v>40</v>
      </c>
      <c r="AE272" s="3016" t="s">
        <v>40</v>
      </c>
      <c r="AF272" s="3016"/>
      <c r="AG272" s="3016"/>
    </row>
    <row r="274" spans="1:34" ht="18" customHeight="1" thickBot="1">
      <c r="A274" s="96" t="s">
        <v>331</v>
      </c>
    </row>
    <row r="275" spans="1:34" ht="18" customHeight="1">
      <c r="B275" s="1324" t="s">
        <v>303</v>
      </c>
      <c r="C275" s="1325"/>
      <c r="D275" s="1326" t="s">
        <v>19</v>
      </c>
      <c r="E275" s="1327"/>
      <c r="F275" s="1328"/>
      <c r="G275" s="1325"/>
      <c r="H275" s="1326" t="s">
        <v>20</v>
      </c>
      <c r="I275" s="1327"/>
      <c r="J275" s="1328"/>
      <c r="K275" s="1325"/>
      <c r="L275" s="1326" t="s">
        <v>21</v>
      </c>
      <c r="M275" s="1327"/>
      <c r="N275" s="1328"/>
      <c r="O275" s="1325"/>
      <c r="P275" s="1326" t="s">
        <v>22</v>
      </c>
      <c r="Q275" s="1327"/>
      <c r="R275" s="1328"/>
      <c r="S275" s="1325"/>
      <c r="T275" s="1326" t="s">
        <v>23</v>
      </c>
      <c r="U275" s="1327"/>
      <c r="V275" s="1328"/>
      <c r="W275" s="1325"/>
      <c r="X275" s="1326" t="s">
        <v>24</v>
      </c>
      <c r="Y275" s="1327"/>
      <c r="Z275" s="1328"/>
      <c r="AA275" s="1325"/>
      <c r="AB275" s="1326" t="s">
        <v>25</v>
      </c>
      <c r="AC275" s="1327"/>
      <c r="AD275" s="1327"/>
      <c r="AE275" s="1329"/>
      <c r="AF275" s="1327"/>
      <c r="AG275" s="1330"/>
    </row>
    <row r="276" spans="1:34" ht="18" customHeight="1">
      <c r="B276" s="3336" t="s">
        <v>210</v>
      </c>
      <c r="C276" s="543" t="s">
        <v>332</v>
      </c>
      <c r="D276" s="539"/>
      <c r="E276" s="544"/>
      <c r="F276" s="545"/>
      <c r="G276" s="543" t="s">
        <v>332</v>
      </c>
      <c r="H276" s="539"/>
      <c r="I276" s="544"/>
      <c r="J276" s="545"/>
      <c r="K276" s="543" t="s">
        <v>332</v>
      </c>
      <c r="L276" s="539"/>
      <c r="M276" s="544"/>
      <c r="N276" s="545"/>
      <c r="O276" s="543" t="s">
        <v>332</v>
      </c>
      <c r="P276" s="546"/>
      <c r="Q276" s="544"/>
      <c r="R276" s="545"/>
      <c r="S276" s="547" t="s">
        <v>333</v>
      </c>
      <c r="T276" s="539"/>
      <c r="U276" s="544"/>
      <c r="V276" s="545"/>
      <c r="W276" s="541"/>
      <c r="X276" s="539"/>
      <c r="Y276" s="531"/>
      <c r="Z276" s="540"/>
      <c r="AA276" s="541"/>
      <c r="AB276" s="539"/>
      <c r="AC276" s="531"/>
      <c r="AD276" s="531"/>
      <c r="AE276" s="542"/>
      <c r="AF276" s="531"/>
      <c r="AG276" s="467"/>
    </row>
    <row r="277" spans="1:34" ht="18" customHeight="1">
      <c r="A277" s="68"/>
      <c r="B277" s="3336" t="s">
        <v>212</v>
      </c>
      <c r="C277" s="543" t="s">
        <v>334</v>
      </c>
      <c r="D277" s="539"/>
      <c r="E277" s="544"/>
      <c r="F277" s="545"/>
      <c r="G277" s="543" t="s">
        <v>334</v>
      </c>
      <c r="H277" s="539"/>
      <c r="I277" s="544"/>
      <c r="J277" s="545"/>
      <c r="K277" s="543" t="s">
        <v>334</v>
      </c>
      <c r="L277" s="539"/>
      <c r="M277" s="544"/>
      <c r="N277" s="545"/>
      <c r="O277" s="543" t="s">
        <v>334</v>
      </c>
      <c r="P277" s="539"/>
      <c r="Q277" s="544"/>
      <c r="R277" s="545"/>
      <c r="S277" s="543" t="s">
        <v>335</v>
      </c>
      <c r="T277" s="539"/>
      <c r="U277" s="544"/>
      <c r="V277" s="545"/>
      <c r="W277" s="541"/>
      <c r="X277" s="539"/>
      <c r="Y277" s="531"/>
      <c r="Z277" s="540"/>
      <c r="AA277" s="541"/>
      <c r="AB277" s="539"/>
      <c r="AC277" s="531"/>
      <c r="AD277" s="531"/>
      <c r="AE277" s="542"/>
      <c r="AF277" s="531"/>
      <c r="AG277" s="467"/>
    </row>
    <row r="278" spans="1:34" ht="18" customHeight="1" thickBot="1">
      <c r="B278" s="3337" t="s">
        <v>336</v>
      </c>
      <c r="C278" s="3338" t="s">
        <v>334</v>
      </c>
      <c r="D278" s="3339"/>
      <c r="E278" s="3340"/>
      <c r="F278" s="1487"/>
      <c r="G278" s="3338" t="s">
        <v>334</v>
      </c>
      <c r="H278" s="3339"/>
      <c r="I278" s="3340"/>
      <c r="J278" s="1487"/>
      <c r="K278" s="3338" t="s">
        <v>334</v>
      </c>
      <c r="L278" s="3339"/>
      <c r="M278" s="3340"/>
      <c r="N278" s="1487"/>
      <c r="O278" s="3338" t="s">
        <v>334</v>
      </c>
      <c r="P278" s="3339"/>
      <c r="Q278" s="3340"/>
      <c r="R278" s="1487"/>
      <c r="S278" s="3338" t="s">
        <v>335</v>
      </c>
      <c r="T278" s="3341"/>
      <c r="U278" s="3340"/>
      <c r="V278" s="1487"/>
      <c r="W278" s="205"/>
      <c r="X278" s="3341"/>
      <c r="Y278" s="3342"/>
      <c r="Z278" s="1488"/>
      <c r="AA278" s="205"/>
      <c r="AB278" s="3341"/>
      <c r="AC278" s="3342"/>
      <c r="AD278" s="3342"/>
      <c r="AE278" s="206"/>
      <c r="AF278" s="3342"/>
      <c r="AG278" s="1489"/>
    </row>
    <row r="279" spans="1:34" ht="18" customHeight="1">
      <c r="B279" s="37"/>
      <c r="C279" s="42"/>
      <c r="D279" s="5"/>
      <c r="G279" s="42"/>
      <c r="H279" s="5"/>
      <c r="K279" s="42"/>
      <c r="L279" s="5"/>
      <c r="O279" s="42"/>
      <c r="P279" s="5"/>
      <c r="S279" s="42"/>
      <c r="T279" s="42"/>
      <c r="X279" s="42"/>
      <c r="AB279" s="42"/>
      <c r="AE279" s="42"/>
    </row>
    <row r="280" spans="1:34" ht="18" customHeight="1" thickBot="1">
      <c r="A280" s="588" t="s">
        <v>337</v>
      </c>
    </row>
    <row r="281" spans="1:34" ht="18" customHeight="1" thickBot="1">
      <c r="A281" s="3236"/>
      <c r="B281" s="3086" t="s">
        <v>38</v>
      </c>
      <c r="C281" s="2985">
        <v>1</v>
      </c>
      <c r="D281" s="2986">
        <v>2</v>
      </c>
      <c r="E281" s="2986">
        <v>3</v>
      </c>
      <c r="F281" s="2985">
        <v>4</v>
      </c>
      <c r="G281" s="2985">
        <v>5</v>
      </c>
      <c r="H281" s="2985">
        <v>6</v>
      </c>
      <c r="I281" s="2985">
        <v>7</v>
      </c>
      <c r="J281" s="2985">
        <v>8</v>
      </c>
      <c r="K281" s="2986">
        <v>9</v>
      </c>
      <c r="L281" s="2986">
        <v>10</v>
      </c>
      <c r="M281" s="2985">
        <v>11</v>
      </c>
      <c r="N281" s="2985">
        <v>12</v>
      </c>
      <c r="O281" s="2985">
        <v>13</v>
      </c>
      <c r="P281" s="2985">
        <v>14</v>
      </c>
      <c r="Q281" s="2985">
        <v>15</v>
      </c>
      <c r="R281" s="2986">
        <v>16</v>
      </c>
      <c r="S281" s="2986">
        <v>17</v>
      </c>
      <c r="T281" s="2985">
        <v>18</v>
      </c>
      <c r="U281" s="2985">
        <v>19</v>
      </c>
      <c r="V281" s="2985">
        <v>20</v>
      </c>
      <c r="W281" s="2985">
        <v>21</v>
      </c>
      <c r="X281" s="2985">
        <v>22</v>
      </c>
      <c r="Y281" s="2986">
        <v>23</v>
      </c>
      <c r="Z281" s="2986">
        <v>24</v>
      </c>
      <c r="AA281" s="2985">
        <v>25</v>
      </c>
      <c r="AB281" s="2985">
        <v>26</v>
      </c>
      <c r="AC281" s="2985">
        <v>27</v>
      </c>
      <c r="AD281" s="2985">
        <v>28</v>
      </c>
      <c r="AE281" s="2985">
        <v>29</v>
      </c>
      <c r="AF281" s="2986">
        <v>30</v>
      </c>
      <c r="AG281" s="2986">
        <v>31</v>
      </c>
    </row>
    <row r="282" spans="1:34" ht="18" customHeight="1">
      <c r="A282" s="2912">
        <v>3702</v>
      </c>
      <c r="B282" s="2913" t="s">
        <v>338</v>
      </c>
      <c r="C282" s="3016" t="s">
        <v>40</v>
      </c>
      <c r="D282" s="3016"/>
      <c r="E282" s="3016"/>
      <c r="F282" s="3016" t="s">
        <v>40</v>
      </c>
      <c r="G282" s="3016" t="s">
        <v>40</v>
      </c>
      <c r="H282" s="3016" t="s">
        <v>40</v>
      </c>
      <c r="I282" s="3001" t="s">
        <v>40</v>
      </c>
      <c r="J282" s="3016" t="s">
        <v>40</v>
      </c>
      <c r="K282" s="3016"/>
      <c r="L282" s="3016"/>
      <c r="M282" s="2993" t="s">
        <v>40</v>
      </c>
      <c r="N282" s="2993" t="s">
        <v>40</v>
      </c>
      <c r="O282" s="2993" t="s">
        <v>40</v>
      </c>
      <c r="P282" s="2993" t="s">
        <v>40</v>
      </c>
      <c r="Q282" s="2993" t="s">
        <v>40</v>
      </c>
      <c r="R282" s="3016"/>
      <c r="S282" s="3016"/>
      <c r="T282" s="3016" t="s">
        <v>40</v>
      </c>
      <c r="U282" s="3016" t="s">
        <v>40</v>
      </c>
      <c r="V282" s="3016" t="s">
        <v>40</v>
      </c>
      <c r="W282" s="3001" t="s">
        <v>40</v>
      </c>
      <c r="X282" s="3016" t="s">
        <v>40</v>
      </c>
      <c r="Y282" s="3016"/>
      <c r="Z282" s="3016"/>
      <c r="AA282" s="3016" t="s">
        <v>40</v>
      </c>
      <c r="AB282" s="3016" t="s">
        <v>40</v>
      </c>
      <c r="AC282" s="3016" t="s">
        <v>40</v>
      </c>
      <c r="AD282" s="3001" t="s">
        <v>40</v>
      </c>
      <c r="AE282" s="3016" t="s">
        <v>40</v>
      </c>
      <c r="AF282" s="3016"/>
      <c r="AG282" s="3016"/>
    </row>
    <row r="283" spans="1:34" ht="18" customHeight="1">
      <c r="A283" s="3343"/>
      <c r="B283" s="3344"/>
      <c r="C283" s="3016"/>
      <c r="D283" s="3016"/>
      <c r="E283" s="3016"/>
      <c r="F283" s="3016"/>
      <c r="G283" s="3016"/>
      <c r="H283" s="3016"/>
      <c r="I283" s="3016"/>
      <c r="J283" s="3016"/>
      <c r="K283" s="3016"/>
      <c r="L283" s="3016"/>
      <c r="M283" s="3016"/>
      <c r="N283" s="3016"/>
      <c r="O283" s="3016"/>
      <c r="P283" s="3016"/>
      <c r="Q283" s="3016"/>
      <c r="R283" s="3016"/>
      <c r="S283" s="3016"/>
      <c r="T283" s="3016"/>
      <c r="U283" s="3016"/>
      <c r="V283" s="3016"/>
      <c r="W283" s="3016"/>
      <c r="X283" s="3016"/>
      <c r="Y283" s="3016"/>
      <c r="Z283" s="3016"/>
      <c r="AA283" s="3016"/>
      <c r="AB283" s="3016"/>
      <c r="AC283" s="3016"/>
      <c r="AD283" s="3016"/>
      <c r="AE283" s="3016"/>
      <c r="AF283" s="3016"/>
      <c r="AG283" s="3016"/>
    </row>
    <row r="284" spans="1:34" ht="18" customHeight="1">
      <c r="A284" s="3345"/>
      <c r="B284" s="3346" t="s">
        <v>339</v>
      </c>
      <c r="C284" s="3347"/>
      <c r="D284" s="3347"/>
      <c r="E284" s="3347"/>
      <c r="F284" s="3347"/>
      <c r="G284" s="3347"/>
      <c r="H284" s="3347"/>
      <c r="I284" s="3347"/>
      <c r="J284" s="3347"/>
      <c r="K284" s="3347"/>
      <c r="L284" s="3347"/>
      <c r="M284" s="3347"/>
      <c r="N284" s="3347"/>
      <c r="O284" s="3347"/>
      <c r="P284" s="3347"/>
      <c r="Q284" s="3347"/>
      <c r="R284" s="3347"/>
      <c r="S284" s="3347"/>
      <c r="T284" s="3347"/>
      <c r="U284" s="3347"/>
      <c r="V284" s="3347"/>
      <c r="W284" s="3347"/>
      <c r="X284" s="3347"/>
      <c r="Y284" s="3347"/>
      <c r="Z284" s="3347"/>
      <c r="AA284" s="3347"/>
      <c r="AB284" s="3347"/>
      <c r="AC284" s="3347"/>
      <c r="AD284" s="3347"/>
      <c r="AE284" s="3347"/>
      <c r="AF284" s="3347"/>
      <c r="AG284" s="3347"/>
    </row>
    <row r="285" spans="1:34" ht="18" customHeight="1">
      <c r="A285" s="3348">
        <v>3702</v>
      </c>
      <c r="B285" s="2992" t="s">
        <v>340</v>
      </c>
      <c r="C285" s="3001" t="s">
        <v>342</v>
      </c>
      <c r="D285" s="3001"/>
      <c r="E285" s="3001"/>
      <c r="F285" s="3001" t="s">
        <v>341</v>
      </c>
      <c r="G285" s="2996" t="s">
        <v>341</v>
      </c>
      <c r="H285" s="2996" t="s">
        <v>341</v>
      </c>
      <c r="I285" s="2996" t="s">
        <v>341</v>
      </c>
      <c r="J285" s="3001" t="s">
        <v>341</v>
      </c>
      <c r="K285" s="3001"/>
      <c r="L285" s="3001"/>
      <c r="M285" s="3001" t="s">
        <v>342</v>
      </c>
      <c r="N285" s="3001" t="s">
        <v>342</v>
      </c>
      <c r="O285" s="3001" t="s">
        <v>342</v>
      </c>
      <c r="P285" s="3001" t="s">
        <v>342</v>
      </c>
      <c r="Q285" s="3001" t="s">
        <v>342</v>
      </c>
      <c r="R285" s="3001"/>
      <c r="S285" s="3001"/>
      <c r="T285" s="3001" t="s">
        <v>341</v>
      </c>
      <c r="U285" s="2996" t="s">
        <v>341</v>
      </c>
      <c r="V285" s="2996" t="s">
        <v>341</v>
      </c>
      <c r="W285" s="2996" t="s">
        <v>341</v>
      </c>
      <c r="X285" s="3001" t="s">
        <v>341</v>
      </c>
      <c r="Y285" s="3001"/>
      <c r="Z285" s="3001"/>
      <c r="AA285" s="3001" t="s">
        <v>342</v>
      </c>
      <c r="AB285" s="3001" t="s">
        <v>342</v>
      </c>
      <c r="AC285" s="3001" t="s">
        <v>342</v>
      </c>
      <c r="AD285" s="3000" t="s">
        <v>342</v>
      </c>
      <c r="AE285" s="3001" t="s">
        <v>342</v>
      </c>
      <c r="AF285" s="3001"/>
      <c r="AG285" s="3001"/>
    </row>
    <row r="286" spans="1:34" ht="18" customHeight="1">
      <c r="A286" s="3348"/>
      <c r="B286" s="2992" t="s">
        <v>343</v>
      </c>
      <c r="C286" s="3001" t="s">
        <v>341</v>
      </c>
      <c r="D286" s="3001"/>
      <c r="E286" s="3001"/>
      <c r="F286" s="3001" t="s">
        <v>342</v>
      </c>
      <c r="G286" s="3001" t="s">
        <v>342</v>
      </c>
      <c r="H286" s="3001" t="s">
        <v>342</v>
      </c>
      <c r="I286" s="3001" t="s">
        <v>342</v>
      </c>
      <c r="J286" s="3001" t="s">
        <v>342</v>
      </c>
      <c r="K286" s="3001"/>
      <c r="L286" s="3001"/>
      <c r="M286" s="3001" t="s">
        <v>341</v>
      </c>
      <c r="N286" s="3001" t="s">
        <v>341</v>
      </c>
      <c r="O286" s="3001" t="s">
        <v>341</v>
      </c>
      <c r="P286" s="3001" t="s">
        <v>341</v>
      </c>
      <c r="Q286" s="3001" t="s">
        <v>341</v>
      </c>
      <c r="R286" s="3001"/>
      <c r="S286" s="3001"/>
      <c r="T286" s="2993" t="s">
        <v>342</v>
      </c>
      <c r="U286" s="2993" t="s">
        <v>342</v>
      </c>
      <c r="V286" s="2993" t="s">
        <v>342</v>
      </c>
      <c r="W286" s="2993" t="s">
        <v>342</v>
      </c>
      <c r="X286" s="2993" t="s">
        <v>342</v>
      </c>
      <c r="Y286" s="2993"/>
      <c r="Z286" s="2993"/>
      <c r="AA286" s="2993" t="s">
        <v>341</v>
      </c>
      <c r="AB286" s="2993" t="s">
        <v>341</v>
      </c>
      <c r="AC286" s="2993" t="s">
        <v>341</v>
      </c>
      <c r="AD286" s="2993" t="s">
        <v>341</v>
      </c>
      <c r="AE286" s="2993" t="s">
        <v>341</v>
      </c>
      <c r="AF286" s="2993"/>
      <c r="AG286" s="2993"/>
      <c r="AH286" s="234" t="s">
        <v>133</v>
      </c>
    </row>
    <row r="287" spans="1:34" ht="18" customHeight="1" thickBot="1">
      <c r="A287" s="3349"/>
      <c r="B287" s="3002" t="s">
        <v>345</v>
      </c>
      <c r="C287" s="3006" t="s">
        <v>346</v>
      </c>
      <c r="D287" s="3006"/>
      <c r="E287" s="3006"/>
      <c r="F287" s="3006" t="s">
        <v>346</v>
      </c>
      <c r="G287" s="3006" t="s">
        <v>346</v>
      </c>
      <c r="H287" s="3006" t="s">
        <v>346</v>
      </c>
      <c r="I287" s="3006" t="s">
        <v>346</v>
      </c>
      <c r="J287" s="3006" t="s">
        <v>346</v>
      </c>
      <c r="K287" s="3006"/>
      <c r="L287" s="3006"/>
      <c r="M287" s="3005" t="s">
        <v>346</v>
      </c>
      <c r="N287" s="3005" t="s">
        <v>346</v>
      </c>
      <c r="O287" s="3005" t="s">
        <v>346</v>
      </c>
      <c r="P287" s="3005" t="s">
        <v>346</v>
      </c>
      <c r="Q287" s="3005" t="s">
        <v>346</v>
      </c>
      <c r="R287" s="3005"/>
      <c r="S287" s="3005"/>
      <c r="T287" s="3003" t="s">
        <v>346</v>
      </c>
      <c r="U287" s="3003" t="s">
        <v>346</v>
      </c>
      <c r="V287" s="3003" t="s">
        <v>346</v>
      </c>
      <c r="W287" s="3003" t="s">
        <v>346</v>
      </c>
      <c r="X287" s="3054" t="s">
        <v>346</v>
      </c>
      <c r="Y287" s="3054"/>
      <c r="Z287" s="3054"/>
      <c r="AA287" s="3003" t="s">
        <v>346</v>
      </c>
      <c r="AB287" s="3003" t="s">
        <v>346</v>
      </c>
      <c r="AC287" s="3003" t="s">
        <v>346</v>
      </c>
      <c r="AD287" s="3003" t="s">
        <v>346</v>
      </c>
      <c r="AE287" s="3054" t="s">
        <v>346</v>
      </c>
      <c r="AF287" s="3054"/>
      <c r="AG287" s="3054"/>
    </row>
    <row r="290" spans="1:33" ht="18" customHeight="1" thickBot="1">
      <c r="A290" s="96" t="s">
        <v>348</v>
      </c>
    </row>
    <row r="291" spans="1:33" ht="18" customHeight="1">
      <c r="A291" s="1"/>
      <c r="B291" s="2908" t="s">
        <v>303</v>
      </c>
      <c r="C291" s="2765"/>
      <c r="D291" s="2788" t="s">
        <v>19</v>
      </c>
      <c r="E291" s="3064"/>
      <c r="F291" s="2769"/>
      <c r="G291" s="2765"/>
      <c r="H291" s="2788" t="s">
        <v>20</v>
      </c>
      <c r="I291" s="3064"/>
      <c r="J291" s="2769"/>
      <c r="K291" s="2765"/>
      <c r="L291" s="2788" t="s">
        <v>21</v>
      </c>
      <c r="M291" s="3064"/>
      <c r="N291" s="2769"/>
      <c r="O291" s="2765"/>
      <c r="P291" s="2788" t="s">
        <v>22</v>
      </c>
      <c r="Q291" s="3064"/>
      <c r="R291" s="2769"/>
      <c r="S291" s="2765"/>
      <c r="T291" s="2788" t="s">
        <v>23</v>
      </c>
      <c r="U291" s="3064"/>
      <c r="V291" s="2769"/>
      <c r="W291" s="2765"/>
      <c r="X291" s="2788" t="s">
        <v>24</v>
      </c>
      <c r="Y291" s="3064"/>
      <c r="Z291" s="2769"/>
      <c r="AA291" s="2765"/>
      <c r="AB291" s="2788" t="s">
        <v>25</v>
      </c>
      <c r="AC291" s="3064"/>
      <c r="AD291" s="3064"/>
      <c r="AE291" s="2791" t="s">
        <v>108</v>
      </c>
      <c r="AF291" s="3064"/>
      <c r="AG291" s="2841"/>
    </row>
    <row r="292" spans="1:33" ht="18" customHeight="1">
      <c r="A292" s="1"/>
      <c r="B292" s="548"/>
      <c r="C292" s="549"/>
      <c r="D292" s="539"/>
      <c r="E292" s="516"/>
      <c r="F292" s="518"/>
      <c r="G292" s="549"/>
      <c r="H292" s="539"/>
      <c r="I292" s="516"/>
      <c r="J292" s="518"/>
      <c r="K292" s="549"/>
      <c r="L292" s="539"/>
      <c r="M292" s="516"/>
      <c r="N292" s="518"/>
      <c r="O292" s="549"/>
      <c r="P292" s="539"/>
      <c r="Q292" s="516"/>
      <c r="R292" s="518"/>
      <c r="S292" s="549"/>
      <c r="T292" s="539"/>
      <c r="U292" s="516"/>
      <c r="V292" s="518"/>
      <c r="W292" s="549"/>
      <c r="X292" s="539"/>
      <c r="Y292" s="516"/>
      <c r="Z292" s="518"/>
      <c r="AA292" s="549"/>
      <c r="AB292" s="539"/>
      <c r="AC292" s="516"/>
      <c r="AD292" s="516"/>
      <c r="AE292" s="542"/>
      <c r="AF292" s="516"/>
      <c r="AG292" s="466"/>
    </row>
    <row r="293" spans="1:33" ht="18" customHeight="1">
      <c r="A293" s="68"/>
      <c r="B293" s="3350"/>
      <c r="C293" s="3195"/>
      <c r="D293" s="2958"/>
      <c r="E293" s="2958"/>
      <c r="F293" s="3240"/>
      <c r="G293" s="3195"/>
      <c r="H293" s="2958"/>
      <c r="I293" s="2958"/>
      <c r="J293" s="3240"/>
      <c r="K293" s="3195"/>
      <c r="L293" s="2958"/>
      <c r="M293" s="2958"/>
      <c r="N293" s="3240"/>
      <c r="O293" s="3195"/>
      <c r="P293" s="2958"/>
      <c r="Q293" s="2958"/>
      <c r="R293" s="3240"/>
      <c r="S293" s="3195"/>
      <c r="T293" s="2958"/>
      <c r="U293" s="2958"/>
      <c r="V293" s="3240"/>
      <c r="W293" s="3195"/>
      <c r="X293" s="2958"/>
      <c r="Y293" s="2958"/>
      <c r="Z293" s="3240"/>
      <c r="AA293" s="3238"/>
      <c r="AB293" s="2958"/>
      <c r="AC293" s="2958"/>
      <c r="AD293" s="3194"/>
      <c r="AE293" s="3351"/>
      <c r="AF293" s="2958"/>
      <c r="AG293" s="3288"/>
    </row>
    <row r="294" spans="1:33" ht="18" customHeight="1" thickBot="1">
      <c r="A294" s="1"/>
      <c r="B294" s="3249"/>
      <c r="C294" s="3250"/>
      <c r="D294" s="3078"/>
      <c r="E294" s="3078"/>
      <c r="F294" s="3272"/>
      <c r="G294" s="3250"/>
      <c r="H294" s="3078"/>
      <c r="I294" s="3078"/>
      <c r="J294" s="3272"/>
      <c r="K294" s="3250"/>
      <c r="L294" s="3078"/>
      <c r="M294" s="3078"/>
      <c r="N294" s="3272"/>
      <c r="O294" s="3250"/>
      <c r="P294" s="3078"/>
      <c r="Q294" s="3078"/>
      <c r="R294" s="3272"/>
      <c r="S294" s="3250"/>
      <c r="T294" s="3078"/>
      <c r="U294" s="3078"/>
      <c r="V294" s="3272"/>
      <c r="W294" s="3270"/>
      <c r="X294" s="3078"/>
      <c r="Y294" s="3078"/>
      <c r="Z294" s="3272"/>
      <c r="AA294" s="3270"/>
      <c r="AB294" s="3078"/>
      <c r="AC294" s="3078"/>
      <c r="AD294" s="3273"/>
      <c r="AE294" s="3270"/>
      <c r="AF294" s="3078"/>
      <c r="AG294" s="3290"/>
    </row>
    <row r="295" spans="1:33" ht="18" customHeight="1">
      <c r="A295" s="1"/>
      <c r="B295" s="5"/>
      <c r="C295" s="42"/>
      <c r="F295" s="46"/>
      <c r="G295" s="42"/>
      <c r="J295" s="46"/>
      <c r="K295" s="42"/>
      <c r="N295" s="46"/>
      <c r="O295" s="42"/>
      <c r="R295" s="46"/>
      <c r="S295" s="42"/>
      <c r="V295" s="46"/>
      <c r="W295" s="46"/>
      <c r="Z295" s="46"/>
      <c r="AA295" s="46"/>
      <c r="AD295" s="46"/>
      <c r="AE295" s="46"/>
    </row>
    <row r="296" spans="1:33" ht="18" customHeight="1" thickBot="1">
      <c r="A296" s="96" t="s">
        <v>349</v>
      </c>
      <c r="B296" s="5"/>
      <c r="C296" s="42"/>
      <c r="F296" s="46"/>
      <c r="G296" s="42"/>
      <c r="J296" s="46"/>
      <c r="K296" s="42"/>
      <c r="N296" s="46"/>
      <c r="O296" s="42"/>
      <c r="R296" s="46"/>
      <c r="S296" s="42"/>
      <c r="V296" s="46"/>
      <c r="W296" s="46"/>
      <c r="Z296" s="46"/>
      <c r="AA296" s="46"/>
      <c r="AD296" s="46"/>
      <c r="AE296" s="46"/>
      <c r="AG296" s="111"/>
    </row>
    <row r="297" spans="1:33" ht="18" customHeight="1" thickBot="1">
      <c r="A297" s="3236" t="s">
        <v>37</v>
      </c>
      <c r="B297" s="3086" t="s">
        <v>38</v>
      </c>
      <c r="C297" s="2985">
        <v>1</v>
      </c>
      <c r="D297" s="2986">
        <v>2</v>
      </c>
      <c r="E297" s="2986">
        <v>3</v>
      </c>
      <c r="F297" s="2985">
        <v>4</v>
      </c>
      <c r="G297" s="2985">
        <v>5</v>
      </c>
      <c r="H297" s="2985">
        <v>6</v>
      </c>
      <c r="I297" s="2985">
        <v>7</v>
      </c>
      <c r="J297" s="2985">
        <v>8</v>
      </c>
      <c r="K297" s="2986">
        <v>9</v>
      </c>
      <c r="L297" s="2986">
        <v>10</v>
      </c>
      <c r="M297" s="2985">
        <v>11</v>
      </c>
      <c r="N297" s="2985">
        <v>12</v>
      </c>
      <c r="O297" s="2985">
        <v>13</v>
      </c>
      <c r="P297" s="2985">
        <v>14</v>
      </c>
      <c r="Q297" s="2985">
        <v>15</v>
      </c>
      <c r="R297" s="2986">
        <v>16</v>
      </c>
      <c r="S297" s="2986">
        <v>17</v>
      </c>
      <c r="T297" s="2985">
        <v>18</v>
      </c>
      <c r="U297" s="2985">
        <v>19</v>
      </c>
      <c r="V297" s="2985">
        <v>20</v>
      </c>
      <c r="W297" s="2985">
        <v>21</v>
      </c>
      <c r="X297" s="2985">
        <v>22</v>
      </c>
      <c r="Y297" s="2986">
        <v>23</v>
      </c>
      <c r="Z297" s="2986">
        <v>24</v>
      </c>
      <c r="AA297" s="2985">
        <v>25</v>
      </c>
      <c r="AB297" s="2985">
        <v>26</v>
      </c>
      <c r="AC297" s="2985">
        <v>27</v>
      </c>
      <c r="AD297" s="2985">
        <v>28</v>
      </c>
      <c r="AE297" s="2985">
        <v>29</v>
      </c>
      <c r="AF297" s="2986">
        <v>30</v>
      </c>
      <c r="AG297" s="2986">
        <v>31</v>
      </c>
    </row>
    <row r="298" spans="1:33" ht="18" customHeight="1">
      <c r="A298" s="2924"/>
      <c r="B298" s="2925"/>
      <c r="C298" s="3016" t="s">
        <v>40</v>
      </c>
      <c r="D298" s="3016"/>
      <c r="E298" s="3016"/>
      <c r="F298" s="3016" t="s">
        <v>40</v>
      </c>
      <c r="G298" s="3016" t="s">
        <v>40</v>
      </c>
      <c r="H298" s="3016" t="s">
        <v>40</v>
      </c>
      <c r="I298" s="3001" t="s">
        <v>40</v>
      </c>
      <c r="J298" s="3016" t="s">
        <v>40</v>
      </c>
      <c r="K298" s="3016"/>
      <c r="L298" s="3016"/>
      <c r="M298" s="3016" t="s">
        <v>40</v>
      </c>
      <c r="N298" s="3016" t="s">
        <v>40</v>
      </c>
      <c r="O298" s="3016" t="s">
        <v>40</v>
      </c>
      <c r="P298" s="3001" t="s">
        <v>40</v>
      </c>
      <c r="Q298" s="3016" t="s">
        <v>40</v>
      </c>
      <c r="R298" s="3016"/>
      <c r="S298" s="3016"/>
      <c r="T298" s="3016" t="s">
        <v>40</v>
      </c>
      <c r="U298" s="3016" t="s">
        <v>40</v>
      </c>
      <c r="V298" s="3016" t="s">
        <v>40</v>
      </c>
      <c r="W298" s="3001" t="s">
        <v>40</v>
      </c>
      <c r="X298" s="3016" t="s">
        <v>40</v>
      </c>
      <c r="Y298" s="3016"/>
      <c r="Z298" s="3016"/>
      <c r="AA298" s="3016" t="s">
        <v>40</v>
      </c>
      <c r="AB298" s="3016" t="s">
        <v>40</v>
      </c>
      <c r="AC298" s="3016" t="s">
        <v>40</v>
      </c>
      <c r="AD298" s="3001" t="s">
        <v>40</v>
      </c>
      <c r="AE298" s="3016" t="s">
        <v>40</v>
      </c>
      <c r="AF298" s="3016"/>
      <c r="AG298" s="3016"/>
    </row>
    <row r="299" spans="1:33" ht="18" customHeight="1">
      <c r="A299" s="3352"/>
      <c r="B299" s="3124" t="s">
        <v>350</v>
      </c>
      <c r="C299" s="3016" t="s">
        <v>40</v>
      </c>
      <c r="D299" s="3016"/>
      <c r="E299" s="3016"/>
      <c r="F299" s="3016" t="s">
        <v>40</v>
      </c>
      <c r="G299" s="3016" t="s">
        <v>40</v>
      </c>
      <c r="H299" s="3016" t="s">
        <v>40</v>
      </c>
      <c r="I299" s="3001" t="s">
        <v>40</v>
      </c>
      <c r="J299" s="3016" t="s">
        <v>40</v>
      </c>
      <c r="K299" s="3016"/>
      <c r="L299" s="3016"/>
      <c r="M299" s="3016" t="s">
        <v>40</v>
      </c>
      <c r="N299" s="3016" t="s">
        <v>40</v>
      </c>
      <c r="O299" s="3016" t="s">
        <v>40</v>
      </c>
      <c r="P299" s="3001" t="s">
        <v>40</v>
      </c>
      <c r="Q299" s="3016" t="s">
        <v>40</v>
      </c>
      <c r="R299" s="3016"/>
      <c r="S299" s="3016"/>
      <c r="T299" s="3016" t="s">
        <v>40</v>
      </c>
      <c r="U299" s="3016" t="s">
        <v>40</v>
      </c>
      <c r="V299" s="3016" t="s">
        <v>40</v>
      </c>
      <c r="W299" s="3001" t="s">
        <v>40</v>
      </c>
      <c r="X299" s="3016" t="s">
        <v>40</v>
      </c>
      <c r="Y299" s="3016"/>
      <c r="Z299" s="3016"/>
      <c r="AA299" s="3016" t="s">
        <v>40</v>
      </c>
      <c r="AB299" s="3016" t="s">
        <v>40</v>
      </c>
      <c r="AC299" s="3016" t="s">
        <v>40</v>
      </c>
      <c r="AD299" s="3001" t="s">
        <v>40</v>
      </c>
      <c r="AE299" s="3016" t="s">
        <v>40</v>
      </c>
      <c r="AF299" s="3016"/>
      <c r="AG299" s="3016"/>
    </row>
    <row r="300" spans="1:33" ht="18" customHeight="1">
      <c r="A300" s="3330"/>
      <c r="B300" s="3124" t="s">
        <v>351</v>
      </c>
      <c r="C300" s="3016" t="s">
        <v>40</v>
      </c>
      <c r="D300" s="3016"/>
      <c r="E300" s="3016"/>
      <c r="F300" s="3016" t="s">
        <v>40</v>
      </c>
      <c r="G300" s="3016" t="s">
        <v>40</v>
      </c>
      <c r="H300" s="3016" t="s">
        <v>40</v>
      </c>
      <c r="I300" s="3001" t="s">
        <v>40</v>
      </c>
      <c r="J300" s="3016" t="s">
        <v>40</v>
      </c>
      <c r="K300" s="3016"/>
      <c r="L300" s="3016"/>
      <c r="M300" s="3016" t="s">
        <v>40</v>
      </c>
      <c r="N300" s="3016" t="s">
        <v>40</v>
      </c>
      <c r="O300" s="3016" t="s">
        <v>40</v>
      </c>
      <c r="P300" s="3001" t="s">
        <v>40</v>
      </c>
      <c r="Q300" s="3016" t="s">
        <v>40</v>
      </c>
      <c r="R300" s="3016"/>
      <c r="S300" s="3016"/>
      <c r="T300" s="3016" t="s">
        <v>40</v>
      </c>
      <c r="U300" s="3016" t="s">
        <v>40</v>
      </c>
      <c r="V300" s="3016" t="s">
        <v>40</v>
      </c>
      <c r="W300" s="3001" t="s">
        <v>40</v>
      </c>
      <c r="X300" s="3016" t="s">
        <v>40</v>
      </c>
      <c r="Y300" s="3016"/>
      <c r="Z300" s="3016"/>
      <c r="AA300" s="3016" t="s">
        <v>40</v>
      </c>
      <c r="AB300" s="3016" t="s">
        <v>40</v>
      </c>
      <c r="AC300" s="3016" t="s">
        <v>40</v>
      </c>
      <c r="AD300" s="3001" t="s">
        <v>40</v>
      </c>
      <c r="AE300" s="3016" t="s">
        <v>40</v>
      </c>
      <c r="AF300" s="3016"/>
      <c r="AG300" s="3016"/>
    </row>
    <row r="301" spans="1:33" ht="18" customHeight="1">
      <c r="A301" s="3330"/>
      <c r="B301" s="3124" t="s">
        <v>352</v>
      </c>
      <c r="C301" s="3016" t="s">
        <v>40</v>
      </c>
      <c r="D301" s="3016"/>
      <c r="E301" s="3016"/>
      <c r="F301" s="3016" t="s">
        <v>40</v>
      </c>
      <c r="G301" s="3016" t="s">
        <v>40</v>
      </c>
      <c r="H301" s="3016" t="s">
        <v>40</v>
      </c>
      <c r="I301" s="3001" t="s">
        <v>40</v>
      </c>
      <c r="J301" s="3016" t="s">
        <v>40</v>
      </c>
      <c r="K301" s="3016"/>
      <c r="L301" s="3016"/>
      <c r="M301" s="3016" t="s">
        <v>40</v>
      </c>
      <c r="N301" s="3016" t="s">
        <v>40</v>
      </c>
      <c r="O301" s="3016" t="s">
        <v>40</v>
      </c>
      <c r="P301" s="3001" t="s">
        <v>40</v>
      </c>
      <c r="Q301" s="3016" t="s">
        <v>40</v>
      </c>
      <c r="R301" s="3016"/>
      <c r="S301" s="3016"/>
      <c r="T301" s="3016" t="s">
        <v>40</v>
      </c>
      <c r="U301" s="3016" t="s">
        <v>40</v>
      </c>
      <c r="V301" s="3016" t="s">
        <v>40</v>
      </c>
      <c r="W301" s="3001" t="s">
        <v>40</v>
      </c>
      <c r="X301" s="3016" t="s">
        <v>40</v>
      </c>
      <c r="Y301" s="3016"/>
      <c r="Z301" s="3016"/>
      <c r="AA301" s="3016" t="s">
        <v>40</v>
      </c>
      <c r="AB301" s="3016" t="s">
        <v>40</v>
      </c>
      <c r="AC301" s="3016" t="s">
        <v>40</v>
      </c>
      <c r="AD301" s="3001" t="s">
        <v>40</v>
      </c>
      <c r="AE301" s="3016" t="s">
        <v>40</v>
      </c>
      <c r="AF301" s="3016"/>
      <c r="AG301" s="3016"/>
    </row>
    <row r="302" spans="1:33" ht="18" customHeight="1">
      <c r="A302" s="3330"/>
      <c r="B302" s="3124" t="s">
        <v>353</v>
      </c>
      <c r="C302" s="3016" t="s">
        <v>40</v>
      </c>
      <c r="D302" s="3016"/>
      <c r="E302" s="3016"/>
      <c r="F302" s="3016" t="s">
        <v>40</v>
      </c>
      <c r="G302" s="3016" t="s">
        <v>40</v>
      </c>
      <c r="H302" s="3016" t="s">
        <v>40</v>
      </c>
      <c r="I302" s="3001" t="s">
        <v>40</v>
      </c>
      <c r="J302" s="3016" t="s">
        <v>40</v>
      </c>
      <c r="K302" s="3016"/>
      <c r="L302" s="3016"/>
      <c r="M302" s="3016" t="s">
        <v>40</v>
      </c>
      <c r="N302" s="3016" t="s">
        <v>40</v>
      </c>
      <c r="O302" s="3016" t="s">
        <v>40</v>
      </c>
      <c r="P302" s="3001" t="s">
        <v>40</v>
      </c>
      <c r="Q302" s="3016" t="s">
        <v>40</v>
      </c>
      <c r="R302" s="3016"/>
      <c r="S302" s="3016"/>
      <c r="T302" s="3016" t="s">
        <v>40</v>
      </c>
      <c r="U302" s="3016" t="s">
        <v>40</v>
      </c>
      <c r="V302" s="3016" t="s">
        <v>40</v>
      </c>
      <c r="W302" s="3001" t="s">
        <v>40</v>
      </c>
      <c r="X302" s="3016" t="s">
        <v>40</v>
      </c>
      <c r="Y302" s="3016"/>
      <c r="Z302" s="3016"/>
      <c r="AA302" s="3016" t="s">
        <v>40</v>
      </c>
      <c r="AB302" s="3016" t="s">
        <v>40</v>
      </c>
      <c r="AC302" s="3016" t="s">
        <v>40</v>
      </c>
      <c r="AD302" s="3001" t="s">
        <v>40</v>
      </c>
      <c r="AE302" s="3016" t="s">
        <v>40</v>
      </c>
      <c r="AF302" s="3016"/>
      <c r="AG302" s="3016"/>
    </row>
    <row r="303" spans="1:33" ht="18" customHeight="1">
      <c r="A303" s="3330"/>
      <c r="B303" s="3124" t="s">
        <v>354</v>
      </c>
      <c r="C303" s="3016" t="s">
        <v>40</v>
      </c>
      <c r="D303" s="3016"/>
      <c r="E303" s="3016"/>
      <c r="F303" s="3016" t="s">
        <v>40</v>
      </c>
      <c r="G303" s="3016" t="s">
        <v>40</v>
      </c>
      <c r="H303" s="3016" t="s">
        <v>40</v>
      </c>
      <c r="I303" s="3001" t="s">
        <v>40</v>
      </c>
      <c r="J303" s="3016" t="s">
        <v>40</v>
      </c>
      <c r="K303" s="3016"/>
      <c r="L303" s="3016"/>
      <c r="M303" s="3016" t="s">
        <v>40</v>
      </c>
      <c r="N303" s="3016" t="s">
        <v>40</v>
      </c>
      <c r="O303" s="3016" t="s">
        <v>40</v>
      </c>
      <c r="P303" s="3001" t="s">
        <v>40</v>
      </c>
      <c r="Q303" s="3016" t="s">
        <v>40</v>
      </c>
      <c r="R303" s="3016"/>
      <c r="S303" s="3016"/>
      <c r="T303" s="3016" t="s">
        <v>40</v>
      </c>
      <c r="U303" s="3016" t="s">
        <v>40</v>
      </c>
      <c r="V303" s="3016" t="s">
        <v>40</v>
      </c>
      <c r="W303" s="3001" t="s">
        <v>40</v>
      </c>
      <c r="X303" s="3016" t="s">
        <v>40</v>
      </c>
      <c r="Y303" s="3016"/>
      <c r="Z303" s="3016"/>
      <c r="AA303" s="3016" t="s">
        <v>40</v>
      </c>
      <c r="AB303" s="3016" t="s">
        <v>40</v>
      </c>
      <c r="AC303" s="3016" t="s">
        <v>40</v>
      </c>
      <c r="AD303" s="3001" t="s">
        <v>40</v>
      </c>
      <c r="AE303" s="3016" t="s">
        <v>40</v>
      </c>
      <c r="AF303" s="3016"/>
      <c r="AG303" s="3016"/>
    </row>
    <row r="304" spans="1:33" ht="18" customHeight="1">
      <c r="A304" s="3330"/>
      <c r="B304" s="3124" t="s">
        <v>355</v>
      </c>
      <c r="C304" s="3016" t="s">
        <v>40</v>
      </c>
      <c r="D304" s="3016"/>
      <c r="E304" s="3016"/>
      <c r="F304" s="3016" t="s">
        <v>40</v>
      </c>
      <c r="G304" s="3016" t="s">
        <v>40</v>
      </c>
      <c r="H304" s="3016" t="s">
        <v>40</v>
      </c>
      <c r="I304" s="3001" t="s">
        <v>40</v>
      </c>
      <c r="J304" s="3016" t="s">
        <v>40</v>
      </c>
      <c r="K304" s="3016"/>
      <c r="L304" s="3016"/>
      <c r="M304" s="3016" t="s">
        <v>40</v>
      </c>
      <c r="N304" s="3016" t="s">
        <v>40</v>
      </c>
      <c r="O304" s="3016" t="s">
        <v>40</v>
      </c>
      <c r="P304" s="3001" t="s">
        <v>40</v>
      </c>
      <c r="Q304" s="3016" t="s">
        <v>40</v>
      </c>
      <c r="R304" s="3016"/>
      <c r="S304" s="3016"/>
      <c r="T304" s="3016" t="s">
        <v>40</v>
      </c>
      <c r="U304" s="3016" t="s">
        <v>40</v>
      </c>
      <c r="V304" s="3016" t="s">
        <v>40</v>
      </c>
      <c r="W304" s="3001" t="s">
        <v>40</v>
      </c>
      <c r="X304" s="3016" t="s">
        <v>40</v>
      </c>
      <c r="Y304" s="3016"/>
      <c r="Z304" s="3016"/>
      <c r="AA304" s="3016" t="s">
        <v>40</v>
      </c>
      <c r="AB304" s="3016" t="s">
        <v>40</v>
      </c>
      <c r="AC304" s="3016" t="s">
        <v>40</v>
      </c>
      <c r="AD304" s="3001" t="s">
        <v>40</v>
      </c>
      <c r="AE304" s="3016" t="s">
        <v>40</v>
      </c>
      <c r="AF304" s="3016"/>
      <c r="AG304" s="3016"/>
    </row>
    <row r="305" spans="1:33" ht="18" customHeight="1">
      <c r="A305" s="3330"/>
      <c r="B305" s="3124" t="s">
        <v>237</v>
      </c>
      <c r="C305" s="3016" t="s">
        <v>40</v>
      </c>
      <c r="D305" s="3016"/>
      <c r="E305" s="3016"/>
      <c r="F305" s="3016" t="s">
        <v>40</v>
      </c>
      <c r="G305" s="3016" t="s">
        <v>40</v>
      </c>
      <c r="H305" s="3016" t="s">
        <v>40</v>
      </c>
      <c r="I305" s="3001" t="s">
        <v>40</v>
      </c>
      <c r="J305" s="3016" t="s">
        <v>40</v>
      </c>
      <c r="K305" s="3016"/>
      <c r="L305" s="3016"/>
      <c r="M305" s="3016" t="s">
        <v>40</v>
      </c>
      <c r="N305" s="3016" t="s">
        <v>40</v>
      </c>
      <c r="O305" s="3016" t="s">
        <v>40</v>
      </c>
      <c r="P305" s="3001" t="s">
        <v>40</v>
      </c>
      <c r="Q305" s="3016" t="s">
        <v>40</v>
      </c>
      <c r="R305" s="3016"/>
      <c r="S305" s="3016"/>
      <c r="T305" s="3016" t="s">
        <v>40</v>
      </c>
      <c r="U305" s="3016" t="s">
        <v>40</v>
      </c>
      <c r="V305" s="3016" t="s">
        <v>40</v>
      </c>
      <c r="W305" s="3001" t="s">
        <v>40</v>
      </c>
      <c r="X305" s="3016" t="s">
        <v>40</v>
      </c>
      <c r="Y305" s="3016"/>
      <c r="Z305" s="3016"/>
      <c r="AA305" s="3016" t="s">
        <v>40</v>
      </c>
      <c r="AB305" s="3016" t="s">
        <v>40</v>
      </c>
      <c r="AC305" s="3016" t="s">
        <v>40</v>
      </c>
      <c r="AD305" s="3001" t="s">
        <v>40</v>
      </c>
      <c r="AE305" s="3016" t="s">
        <v>40</v>
      </c>
      <c r="AF305" s="3016"/>
      <c r="AG305" s="3016"/>
    </row>
    <row r="306" spans="1:33" ht="18" customHeight="1">
      <c r="A306" s="3330"/>
      <c r="B306" s="3124" t="s">
        <v>356</v>
      </c>
      <c r="C306" s="3016" t="s">
        <v>40</v>
      </c>
      <c r="D306" s="3016"/>
      <c r="E306" s="3016"/>
      <c r="F306" s="3016" t="s">
        <v>40</v>
      </c>
      <c r="G306" s="3016" t="s">
        <v>40</v>
      </c>
      <c r="H306" s="3016" t="s">
        <v>40</v>
      </c>
      <c r="I306" s="3001" t="s">
        <v>40</v>
      </c>
      <c r="J306" s="3016" t="s">
        <v>40</v>
      </c>
      <c r="K306" s="3016"/>
      <c r="L306" s="3016"/>
      <c r="M306" s="3016" t="s">
        <v>40</v>
      </c>
      <c r="N306" s="3016" t="s">
        <v>40</v>
      </c>
      <c r="O306" s="3016" t="s">
        <v>40</v>
      </c>
      <c r="P306" s="3001" t="s">
        <v>40</v>
      </c>
      <c r="Q306" s="3016" t="s">
        <v>40</v>
      </c>
      <c r="R306" s="3016"/>
      <c r="S306" s="3016"/>
      <c r="T306" s="3016" t="s">
        <v>40</v>
      </c>
      <c r="U306" s="3016" t="s">
        <v>40</v>
      </c>
      <c r="V306" s="3016" t="s">
        <v>40</v>
      </c>
      <c r="W306" s="3001" t="s">
        <v>40</v>
      </c>
      <c r="X306" s="3016" t="s">
        <v>40</v>
      </c>
      <c r="Y306" s="3016"/>
      <c r="Z306" s="3016"/>
      <c r="AA306" s="3016" t="s">
        <v>40</v>
      </c>
      <c r="AB306" s="3016" t="s">
        <v>40</v>
      </c>
      <c r="AC306" s="3016" t="s">
        <v>40</v>
      </c>
      <c r="AD306" s="3001" t="s">
        <v>40</v>
      </c>
      <c r="AE306" s="3016" t="s">
        <v>40</v>
      </c>
      <c r="AF306" s="3016"/>
      <c r="AG306" s="3016"/>
    </row>
    <row r="307" spans="1:33" ht="18" customHeight="1">
      <c r="A307" s="3330"/>
      <c r="B307" s="3124" t="s">
        <v>357</v>
      </c>
      <c r="C307" s="3016" t="s">
        <v>40</v>
      </c>
      <c r="D307" s="3016"/>
      <c r="E307" s="3016"/>
      <c r="F307" s="3016" t="s">
        <v>40</v>
      </c>
      <c r="G307" s="3016" t="s">
        <v>40</v>
      </c>
      <c r="H307" s="3016" t="s">
        <v>40</v>
      </c>
      <c r="I307" s="3001" t="s">
        <v>40</v>
      </c>
      <c r="J307" s="3016" t="s">
        <v>40</v>
      </c>
      <c r="K307" s="3016"/>
      <c r="L307" s="3016"/>
      <c r="M307" s="3016" t="s">
        <v>40</v>
      </c>
      <c r="N307" s="3016" t="s">
        <v>40</v>
      </c>
      <c r="O307" s="3016" t="s">
        <v>40</v>
      </c>
      <c r="P307" s="3001" t="s">
        <v>40</v>
      </c>
      <c r="Q307" s="3016" t="s">
        <v>40</v>
      </c>
      <c r="R307" s="3016"/>
      <c r="S307" s="3016"/>
      <c r="T307" s="3016" t="s">
        <v>40</v>
      </c>
      <c r="U307" s="3016" t="s">
        <v>40</v>
      </c>
      <c r="V307" s="3016" t="s">
        <v>40</v>
      </c>
      <c r="W307" s="3001" t="s">
        <v>40</v>
      </c>
      <c r="X307" s="3016" t="s">
        <v>40</v>
      </c>
      <c r="Y307" s="3016"/>
      <c r="Z307" s="3016"/>
      <c r="AA307" s="3016" t="s">
        <v>40</v>
      </c>
      <c r="AB307" s="3016" t="s">
        <v>40</v>
      </c>
      <c r="AC307" s="3016" t="s">
        <v>40</v>
      </c>
      <c r="AD307" s="3001" t="s">
        <v>40</v>
      </c>
      <c r="AE307" s="3016" t="s">
        <v>40</v>
      </c>
      <c r="AF307" s="3016"/>
      <c r="AG307" s="3016"/>
    </row>
    <row r="308" spans="1:33" ht="18" customHeight="1">
      <c r="A308" s="3353"/>
      <c r="B308" s="3165" t="s">
        <v>358</v>
      </c>
      <c r="C308" s="3016" t="s">
        <v>40</v>
      </c>
      <c r="D308" s="3016"/>
      <c r="E308" s="3016"/>
      <c r="F308" s="3016" t="s">
        <v>40</v>
      </c>
      <c r="G308" s="3016" t="s">
        <v>40</v>
      </c>
      <c r="H308" s="3016" t="s">
        <v>40</v>
      </c>
      <c r="I308" s="3001" t="s">
        <v>40</v>
      </c>
      <c r="J308" s="3016" t="s">
        <v>40</v>
      </c>
      <c r="K308" s="3016"/>
      <c r="L308" s="3016"/>
      <c r="M308" s="3016" t="s">
        <v>40</v>
      </c>
      <c r="N308" s="3016" t="s">
        <v>40</v>
      </c>
      <c r="O308" s="3016" t="s">
        <v>40</v>
      </c>
      <c r="P308" s="3001" t="s">
        <v>40</v>
      </c>
      <c r="Q308" s="3016" t="s">
        <v>40</v>
      </c>
      <c r="R308" s="3016"/>
      <c r="S308" s="3016"/>
      <c r="T308" s="3016" t="s">
        <v>40</v>
      </c>
      <c r="U308" s="3016" t="s">
        <v>40</v>
      </c>
      <c r="V308" s="3016" t="s">
        <v>40</v>
      </c>
      <c r="W308" s="3001" t="s">
        <v>40</v>
      </c>
      <c r="X308" s="3016" t="s">
        <v>40</v>
      </c>
      <c r="Y308" s="3016"/>
      <c r="Z308" s="3016"/>
      <c r="AA308" s="3016" t="s">
        <v>40</v>
      </c>
      <c r="AB308" s="3016" t="s">
        <v>40</v>
      </c>
      <c r="AC308" s="3016" t="s">
        <v>40</v>
      </c>
      <c r="AD308" s="3001" t="s">
        <v>40</v>
      </c>
      <c r="AE308" s="3016" t="s">
        <v>40</v>
      </c>
      <c r="AF308" s="3016"/>
      <c r="AG308" s="3016"/>
    </row>
  </sheetData>
  <sheetProtection algorithmName="SHA-512" hashValue="1aogDoNOJAQfqF+ZcAeT0tCGU5LI/350nhtk3+ffoV3dQoNnMPZxOXix0HKDPROga68az95/44G2P4wD/ArrAw==" saltValue="OyzCvJ8g5L9r6/orc3yQCw==" spinCount="100000" sheet="1" objects="1" scenarios="1"/>
  <mergeCells count="2">
    <mergeCell ref="C3:F3"/>
    <mergeCell ref="AB3:AE3"/>
  </mergeCells>
  <phoneticPr fontId="10" type="noConversion"/>
  <pageMargins left="0.7" right="0.7" top="0.75" bottom="0.75" header="0.3" footer="0.3"/>
  <pageSetup paperSize="9" scale="10" orientation="landscape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A2554-090E-4C39-946F-5D39879F3C34}">
  <sheetPr codeName="Ark42"/>
  <dimension ref="A1:AI319"/>
  <sheetViews>
    <sheetView topLeftCell="B44" zoomScaleNormal="115" workbookViewId="0">
      <pane xSplit="32" topLeftCell="AH1" activePane="topRight" state="frozen"/>
      <selection pane="topRight" activeCell="T35" sqref="T35:Z35"/>
      <selection activeCell="B44" sqref="B44"/>
    </sheetView>
  </sheetViews>
  <sheetFormatPr defaultRowHeight="12"/>
  <cols>
    <col min="1" max="1" width="7.5703125" hidden="1" customWidth="1"/>
    <col min="2" max="2" width="31.28515625" customWidth="1"/>
    <col min="3" max="9" width="4.5703125" customWidth="1"/>
    <col min="10" max="10" width="4.7109375" customWidth="1"/>
    <col min="11" max="32" width="4.5703125" customWidth="1"/>
    <col min="33" max="33" width="4.28515625" customWidth="1"/>
  </cols>
  <sheetData>
    <row r="1" spans="1:32" ht="18" customHeight="1">
      <c r="A1" t="s">
        <v>0</v>
      </c>
      <c r="B1" s="1" t="s">
        <v>1</v>
      </c>
    </row>
    <row r="2" spans="1:32" ht="18" customHeight="1">
      <c r="B2" s="3354" t="s">
        <v>2</v>
      </c>
      <c r="C2" s="3355" t="s">
        <v>3</v>
      </c>
      <c r="D2" s="3356"/>
      <c r="E2" s="3357" t="s">
        <v>4</v>
      </c>
      <c r="F2" s="3358"/>
      <c r="G2" s="3359"/>
      <c r="H2" s="3359"/>
      <c r="I2" s="3359"/>
      <c r="J2" s="3359"/>
      <c r="K2" s="3360"/>
      <c r="L2" s="3361" t="s">
        <v>5</v>
      </c>
      <c r="M2" s="3362"/>
      <c r="N2" s="3363"/>
      <c r="O2" s="3364" t="s">
        <v>6</v>
      </c>
      <c r="P2" s="3365"/>
      <c r="Q2" s="3366"/>
      <c r="R2" s="3367"/>
      <c r="S2" s="3368" t="s">
        <v>7</v>
      </c>
      <c r="T2" s="3369"/>
      <c r="U2" s="3370"/>
      <c r="V2" s="3369"/>
      <c r="W2" s="3371" t="s">
        <v>8</v>
      </c>
      <c r="X2" s="842"/>
      <c r="Y2" s="3372"/>
      <c r="Z2" s="98" t="s">
        <v>9</v>
      </c>
      <c r="AA2" s="3373"/>
      <c r="AB2" s="3374"/>
      <c r="AC2" s="3375"/>
      <c r="AD2" s="3376" t="s">
        <v>10</v>
      </c>
      <c r="AE2" s="3377"/>
      <c r="AF2" s="3377"/>
    </row>
    <row r="3" spans="1:32" ht="18" customHeight="1">
      <c r="A3" s="1"/>
      <c r="B3" s="3378" t="s">
        <v>11</v>
      </c>
      <c r="C3" s="3379" t="s">
        <v>12</v>
      </c>
      <c r="D3" s="3380"/>
      <c r="E3" s="3380"/>
      <c r="F3" s="3381"/>
      <c r="G3" s="518"/>
      <c r="H3" s="519" t="s">
        <v>10</v>
      </c>
      <c r="I3" s="520"/>
      <c r="J3" s="520"/>
      <c r="K3" s="521"/>
      <c r="L3" s="3382" t="s">
        <v>13</v>
      </c>
      <c r="M3" s="3383"/>
      <c r="N3" s="3384"/>
      <c r="O3" s="520"/>
      <c r="P3" s="520"/>
      <c r="Q3" s="520"/>
      <c r="R3" s="520"/>
      <c r="S3" s="516"/>
      <c r="T3" s="505" t="s">
        <v>14</v>
      </c>
      <c r="U3" s="522"/>
      <c r="V3" s="523"/>
      <c r="W3" s="524"/>
      <c r="X3" s="551"/>
      <c r="Y3" s="3385" t="s">
        <v>15</v>
      </c>
      <c r="Z3" s="3386"/>
      <c r="AA3" s="3386"/>
      <c r="AB3" s="3387" t="s">
        <v>16</v>
      </c>
      <c r="AC3" s="3388"/>
      <c r="AD3" s="3388"/>
      <c r="AE3" s="3388"/>
    </row>
    <row r="4" spans="1:32" ht="18" customHeight="1">
      <c r="A4" s="96" t="s">
        <v>17</v>
      </c>
      <c r="B4" s="22"/>
      <c r="C4" s="4"/>
      <c r="D4" s="48"/>
      <c r="E4" s="48"/>
      <c r="F4" s="48"/>
      <c r="G4" s="48"/>
      <c r="H4" s="4"/>
      <c r="I4" s="48"/>
      <c r="J4" s="48"/>
      <c r="K4" s="6"/>
      <c r="L4" s="48"/>
      <c r="M4" s="6"/>
      <c r="N4" s="6"/>
      <c r="O4" s="48"/>
      <c r="P4" s="48"/>
      <c r="Q4" s="48"/>
      <c r="R4" s="48"/>
      <c r="T4" s="6"/>
      <c r="U4" s="4"/>
      <c r="W4" s="48"/>
      <c r="X4" s="48"/>
      <c r="Y4" s="4"/>
      <c r="Z4" s="311"/>
      <c r="AB4" s="48"/>
      <c r="AC4" s="48"/>
      <c r="AD4" s="48"/>
      <c r="AE4" s="48"/>
      <c r="AF4" s="48"/>
    </row>
    <row r="5" spans="1:32" ht="18" customHeight="1">
      <c r="A5" s="96" t="s">
        <v>18</v>
      </c>
      <c r="B5" s="1"/>
      <c r="C5" s="3389"/>
      <c r="D5" s="3390" t="s">
        <v>19</v>
      </c>
      <c r="E5" s="3391"/>
      <c r="F5" s="3389"/>
      <c r="G5" s="3390" t="s">
        <v>20</v>
      </c>
      <c r="H5" s="3391"/>
      <c r="I5" s="3389"/>
      <c r="J5" s="3390" t="s">
        <v>21</v>
      </c>
      <c r="K5" s="3391"/>
      <c r="L5" s="3389"/>
      <c r="M5" s="3390" t="s">
        <v>22</v>
      </c>
      <c r="N5" s="3391"/>
      <c r="O5" s="3389"/>
      <c r="P5" s="3390" t="s">
        <v>23</v>
      </c>
      <c r="Q5" s="3391"/>
      <c r="R5" s="3389"/>
      <c r="S5" s="3390" t="s">
        <v>24</v>
      </c>
      <c r="T5" s="3392"/>
      <c r="U5" s="3393"/>
      <c r="V5" s="3394" t="s">
        <v>25</v>
      </c>
      <c r="W5" s="3392"/>
    </row>
    <row r="6" spans="1:32" ht="18" customHeight="1">
      <c r="A6" s="3395"/>
      <c r="B6" s="3396" t="s">
        <v>26</v>
      </c>
      <c r="C6" s="3397" t="s">
        <v>27</v>
      </c>
      <c r="D6" s="3398"/>
      <c r="E6" s="3399"/>
      <c r="F6" s="3397" t="s">
        <v>27</v>
      </c>
      <c r="G6" s="3400"/>
      <c r="H6" s="3400"/>
      <c r="I6" s="3397" t="s">
        <v>27</v>
      </c>
      <c r="J6" s="3400"/>
      <c r="K6" s="3399"/>
      <c r="L6" s="3397" t="s">
        <v>27</v>
      </c>
      <c r="M6" s="3400"/>
      <c r="N6" s="3399"/>
      <c r="O6" s="3397" t="s">
        <v>28</v>
      </c>
      <c r="P6" s="3400"/>
      <c r="Q6" s="3399"/>
      <c r="R6" s="3401"/>
      <c r="S6" s="3401"/>
      <c r="T6" s="3401"/>
      <c r="U6" s="3402"/>
      <c r="V6" s="3401"/>
      <c r="W6" s="3403"/>
      <c r="X6" s="3400"/>
      <c r="Y6" s="3400"/>
      <c r="Z6" s="3400"/>
      <c r="AA6" s="3400"/>
      <c r="AB6" s="3404"/>
      <c r="AC6" s="3399"/>
      <c r="AD6" s="111"/>
      <c r="AE6" s="111"/>
      <c r="AF6" s="111"/>
    </row>
    <row r="7" spans="1:32" ht="18" customHeight="1">
      <c r="A7" s="3396"/>
      <c r="B7" s="3405" t="s">
        <v>469</v>
      </c>
      <c r="C7" s="3406" t="s">
        <v>30</v>
      </c>
      <c r="D7" s="3407"/>
      <c r="E7" s="3408"/>
      <c r="F7" s="3406" t="s">
        <v>30</v>
      </c>
      <c r="G7" s="3407"/>
      <c r="H7" s="3407"/>
      <c r="I7" s="3406" t="s">
        <v>30</v>
      </c>
      <c r="J7" s="3407"/>
      <c r="K7" s="3408"/>
      <c r="L7" s="3406" t="s">
        <v>30</v>
      </c>
      <c r="M7" s="3407"/>
      <c r="N7" s="3407"/>
      <c r="O7" s="3406" t="s">
        <v>30</v>
      </c>
      <c r="P7" s="3407"/>
      <c r="Q7" s="3408"/>
      <c r="R7" s="3409" t="s">
        <v>31</v>
      </c>
      <c r="S7" s="3410"/>
      <c r="T7" s="3410"/>
      <c r="U7" s="3411" t="s">
        <v>31</v>
      </c>
      <c r="V7" s="3410"/>
      <c r="W7" s="3412"/>
      <c r="X7" s="3400"/>
      <c r="Y7" s="3400"/>
      <c r="Z7" s="3400"/>
      <c r="AA7" s="3400"/>
      <c r="AB7" s="3413"/>
      <c r="AC7" s="3399"/>
      <c r="AD7" s="111"/>
      <c r="AE7" s="111"/>
      <c r="AF7" s="111"/>
    </row>
    <row r="8" spans="1:32" ht="18" customHeight="1">
      <c r="A8" s="3396"/>
      <c r="B8" s="3405" t="s">
        <v>470</v>
      </c>
      <c r="C8" s="3397" t="s">
        <v>33</v>
      </c>
      <c r="D8" s="3407"/>
      <c r="E8" s="3408"/>
      <c r="F8" s="3397" t="s">
        <v>33</v>
      </c>
      <c r="G8" s="3400"/>
      <c r="H8" s="3400"/>
      <c r="I8" s="3397" t="s">
        <v>33</v>
      </c>
      <c r="J8" s="3400"/>
      <c r="K8" s="3399"/>
      <c r="L8" s="3397" t="s">
        <v>33</v>
      </c>
      <c r="M8" s="3400"/>
      <c r="N8" s="3399"/>
      <c r="O8" s="3397" t="s">
        <v>33</v>
      </c>
      <c r="P8" s="3400"/>
      <c r="Q8" s="3399"/>
      <c r="R8" s="3414" t="s">
        <v>34</v>
      </c>
      <c r="S8" s="3401"/>
      <c r="T8" s="3401"/>
      <c r="U8" s="3415" t="s">
        <v>35</v>
      </c>
      <c r="V8" s="3401"/>
      <c r="W8" s="3403"/>
      <c r="X8" s="3400"/>
      <c r="Y8" s="3400"/>
      <c r="Z8" s="3400"/>
      <c r="AA8" s="3400"/>
      <c r="AB8" s="3413"/>
      <c r="AC8" s="3399"/>
      <c r="AD8" s="111"/>
      <c r="AE8" s="111"/>
      <c r="AF8" s="111"/>
    </row>
    <row r="9" spans="1:32" ht="18" customHeight="1">
      <c r="A9" s="96" t="s">
        <v>10</v>
      </c>
    </row>
    <row r="10" spans="1:32" ht="18" customHeight="1">
      <c r="A10" s="96" t="s">
        <v>10</v>
      </c>
      <c r="C10" s="292" t="s">
        <v>250</v>
      </c>
    </row>
    <row r="11" spans="1:32" ht="18" customHeight="1">
      <c r="L11" s="292"/>
    </row>
    <row r="12" spans="1:32" ht="18" customHeight="1" thickBot="1">
      <c r="B12" s="60" t="s">
        <v>36</v>
      </c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</row>
    <row r="13" spans="1:32" ht="18" customHeight="1" thickBot="1">
      <c r="A13" s="2983" t="s">
        <v>37</v>
      </c>
      <c r="B13" s="2984" t="s">
        <v>38</v>
      </c>
      <c r="C13" s="2985">
        <v>1</v>
      </c>
      <c r="D13" s="2985">
        <v>2</v>
      </c>
      <c r="E13" s="2985">
        <v>3</v>
      </c>
      <c r="F13" s="2985">
        <v>4</v>
      </c>
      <c r="G13" s="2985">
        <v>5</v>
      </c>
      <c r="H13" s="2986">
        <v>6</v>
      </c>
      <c r="I13" s="2986">
        <v>7</v>
      </c>
      <c r="J13" s="2985">
        <v>8</v>
      </c>
      <c r="K13" s="2985">
        <v>9</v>
      </c>
      <c r="L13" s="2985">
        <v>10</v>
      </c>
      <c r="M13" s="2985">
        <v>11</v>
      </c>
      <c r="N13" s="2985">
        <v>12</v>
      </c>
      <c r="O13" s="2986">
        <v>13</v>
      </c>
      <c r="P13" s="2986">
        <v>14</v>
      </c>
      <c r="Q13" s="2985">
        <v>15</v>
      </c>
      <c r="R13" s="2985">
        <v>16</v>
      </c>
      <c r="S13" s="2985">
        <v>17</v>
      </c>
      <c r="T13" s="2985">
        <v>18</v>
      </c>
      <c r="U13" s="2985">
        <v>19</v>
      </c>
      <c r="V13" s="2986">
        <v>20</v>
      </c>
      <c r="W13" s="2986">
        <v>21</v>
      </c>
      <c r="X13" s="2985">
        <v>22</v>
      </c>
      <c r="Y13" s="2985">
        <v>23</v>
      </c>
      <c r="Z13" s="2985">
        <v>24</v>
      </c>
      <c r="AA13" s="2985">
        <v>25</v>
      </c>
      <c r="AB13" s="2985">
        <v>26</v>
      </c>
      <c r="AC13" s="2986">
        <v>27</v>
      </c>
      <c r="AD13" s="2986">
        <v>28</v>
      </c>
      <c r="AE13" s="2985">
        <v>29</v>
      </c>
      <c r="AF13" s="2985">
        <v>30</v>
      </c>
    </row>
    <row r="14" spans="1:32" ht="18" customHeight="1">
      <c r="A14" s="2987">
        <v>8500</v>
      </c>
      <c r="B14" s="2988" t="s">
        <v>39</v>
      </c>
      <c r="C14" s="2989" t="s">
        <v>40</v>
      </c>
      <c r="D14" s="2990" t="s">
        <v>40</v>
      </c>
      <c r="E14" s="2990" t="s">
        <v>40</v>
      </c>
      <c r="F14" s="2990" t="s">
        <v>40</v>
      </c>
      <c r="G14" s="2990" t="s">
        <v>40</v>
      </c>
      <c r="H14" s="2990"/>
      <c r="I14" s="2990"/>
      <c r="J14" s="2989" t="s">
        <v>40</v>
      </c>
      <c r="K14" s="2990" t="s">
        <v>40</v>
      </c>
      <c r="L14" s="2990" t="s">
        <v>40</v>
      </c>
      <c r="M14" s="2990" t="s">
        <v>40</v>
      </c>
      <c r="N14" s="2990" t="s">
        <v>40</v>
      </c>
      <c r="O14" s="2990"/>
      <c r="P14" s="2990"/>
      <c r="Q14" s="2989" t="s">
        <v>40</v>
      </c>
      <c r="R14" s="2990" t="s">
        <v>40</v>
      </c>
      <c r="S14" s="2990" t="s">
        <v>40</v>
      </c>
      <c r="T14" s="2990" t="s">
        <v>40</v>
      </c>
      <c r="U14" s="2990" t="s">
        <v>40</v>
      </c>
      <c r="V14" s="2990"/>
      <c r="W14" s="2990"/>
      <c r="X14" s="2989" t="s">
        <v>40</v>
      </c>
      <c r="Y14" s="2990" t="s">
        <v>40</v>
      </c>
      <c r="Z14" s="2990" t="s">
        <v>40</v>
      </c>
      <c r="AA14" s="2990" t="s">
        <v>40</v>
      </c>
      <c r="AB14" s="2990" t="s">
        <v>40</v>
      </c>
      <c r="AC14" s="2990"/>
      <c r="AD14" s="2990"/>
      <c r="AE14" s="2989" t="s">
        <v>40</v>
      </c>
      <c r="AF14" s="2990" t="s">
        <v>40</v>
      </c>
    </row>
    <row r="15" spans="1:32" ht="18" customHeight="1">
      <c r="A15" s="3416">
        <v>8546</v>
      </c>
      <c r="B15" s="3417" t="s">
        <v>41</v>
      </c>
      <c r="C15" s="3418" t="s">
        <v>40</v>
      </c>
      <c r="D15" s="3419" t="s">
        <v>40</v>
      </c>
      <c r="E15" s="3419" t="s">
        <v>40</v>
      </c>
      <c r="F15" s="3420" t="s">
        <v>50</v>
      </c>
      <c r="G15" s="3419" t="s">
        <v>40</v>
      </c>
      <c r="H15" s="3420" t="s">
        <v>47</v>
      </c>
      <c r="I15" s="3420" t="s">
        <v>47</v>
      </c>
      <c r="J15" s="3418" t="s">
        <v>40</v>
      </c>
      <c r="K15" s="3419" t="s">
        <v>40</v>
      </c>
      <c r="L15" s="3419" t="s">
        <v>40</v>
      </c>
      <c r="M15" s="3419" t="s">
        <v>40</v>
      </c>
      <c r="N15" s="3419" t="s">
        <v>40</v>
      </c>
      <c r="O15" s="3419"/>
      <c r="P15" s="3419"/>
      <c r="Q15" s="3418" t="s">
        <v>40</v>
      </c>
      <c r="R15" s="3419" t="s">
        <v>40</v>
      </c>
      <c r="S15" s="3419" t="s">
        <v>40</v>
      </c>
      <c r="T15" s="3419" t="s">
        <v>40</v>
      </c>
      <c r="U15" s="3419" t="s">
        <v>40</v>
      </c>
      <c r="V15" s="3419"/>
      <c r="W15" s="3419"/>
      <c r="X15" s="3421" t="s">
        <v>26</v>
      </c>
      <c r="Y15" s="3422" t="s">
        <v>26</v>
      </c>
      <c r="Z15" s="3422" t="s">
        <v>26</v>
      </c>
      <c r="AA15" s="3422" t="s">
        <v>26</v>
      </c>
      <c r="AB15" s="3423" t="s">
        <v>26</v>
      </c>
      <c r="AC15" s="3419"/>
      <c r="AD15" s="3419"/>
      <c r="AE15" s="3423" t="s">
        <v>26</v>
      </c>
      <c r="AF15" s="3423" t="s">
        <v>26</v>
      </c>
    </row>
    <row r="16" spans="1:32" ht="18" customHeight="1" thickBot="1">
      <c r="A16" s="235"/>
      <c r="B16" s="3424" t="s">
        <v>42</v>
      </c>
      <c r="C16" s="3423" t="s">
        <v>40</v>
      </c>
      <c r="D16" s="3423" t="s">
        <v>40</v>
      </c>
      <c r="E16" s="3423" t="s">
        <v>40</v>
      </c>
      <c r="F16" s="3425" t="s">
        <v>40</v>
      </c>
      <c r="G16" s="3426" t="s">
        <v>40</v>
      </c>
      <c r="H16" s="3425"/>
      <c r="I16" s="3425"/>
      <c r="J16" s="3427" t="s">
        <v>40</v>
      </c>
      <c r="K16" s="3425" t="s">
        <v>40</v>
      </c>
      <c r="L16" s="3425" t="s">
        <v>40</v>
      </c>
      <c r="M16" s="3425" t="s">
        <v>40</v>
      </c>
      <c r="N16" s="3425" t="s">
        <v>40</v>
      </c>
      <c r="O16" s="3425"/>
      <c r="P16" s="3425"/>
      <c r="Q16" s="3427" t="s">
        <v>40</v>
      </c>
      <c r="R16" s="3425" t="s">
        <v>40</v>
      </c>
      <c r="S16" s="3425" t="s">
        <v>40</v>
      </c>
      <c r="T16" s="3425" t="s">
        <v>40</v>
      </c>
      <c r="U16" s="3425" t="s">
        <v>40</v>
      </c>
      <c r="V16" s="3425"/>
      <c r="W16" s="3425"/>
      <c r="X16" s="3427" t="s">
        <v>40</v>
      </c>
      <c r="Y16" s="3425" t="s">
        <v>40</v>
      </c>
      <c r="Z16" s="3425" t="s">
        <v>40</v>
      </c>
      <c r="AA16" s="3425" t="s">
        <v>40</v>
      </c>
      <c r="AB16" s="3425" t="s">
        <v>40</v>
      </c>
      <c r="AC16" s="3426"/>
      <c r="AD16" s="3426"/>
      <c r="AE16" s="3426" t="s">
        <v>40</v>
      </c>
      <c r="AF16" s="3426" t="s">
        <v>40</v>
      </c>
    </row>
    <row r="17" spans="1:32" ht="18" customHeight="1" thickBot="1">
      <c r="A17" s="3428" t="s">
        <v>44</v>
      </c>
      <c r="B17" s="3429"/>
      <c r="C17" s="506"/>
      <c r="D17" s="506"/>
      <c r="E17" s="506"/>
      <c r="F17" s="506"/>
      <c r="G17" s="506"/>
      <c r="H17" s="506"/>
      <c r="I17" s="506"/>
      <c r="J17" s="506"/>
      <c r="K17" s="506"/>
      <c r="L17" s="506"/>
      <c r="M17" s="506"/>
      <c r="N17" s="506"/>
      <c r="O17" s="506"/>
      <c r="P17" s="506"/>
      <c r="Q17" s="506"/>
      <c r="R17" s="506"/>
      <c r="S17" s="506"/>
      <c r="T17" s="506"/>
      <c r="U17" s="506"/>
      <c r="V17" s="506"/>
      <c r="W17" s="506"/>
      <c r="X17" s="506"/>
      <c r="Y17" s="506"/>
      <c r="Z17" s="506"/>
      <c r="AA17" s="506"/>
      <c r="AB17" s="506"/>
      <c r="AC17" s="506"/>
      <c r="AD17" s="506"/>
      <c r="AE17" s="506"/>
      <c r="AF17" s="506"/>
    </row>
    <row r="18" spans="1:32" ht="18" customHeight="1">
      <c r="A18" s="3012">
        <v>8546</v>
      </c>
      <c r="B18" s="507" t="s">
        <v>45</v>
      </c>
      <c r="C18" s="3430" t="s">
        <v>46</v>
      </c>
      <c r="D18" s="3430" t="s">
        <v>46</v>
      </c>
      <c r="E18" s="3430" t="s">
        <v>46</v>
      </c>
      <c r="F18" s="3430" t="s">
        <v>46</v>
      </c>
      <c r="G18" s="3430" t="s">
        <v>46</v>
      </c>
      <c r="H18" s="3430" t="s">
        <v>49</v>
      </c>
      <c r="I18" s="3430" t="s">
        <v>49</v>
      </c>
      <c r="J18" s="3430" t="s">
        <v>50</v>
      </c>
      <c r="K18" s="3430" t="s">
        <v>50</v>
      </c>
      <c r="L18" s="3430" t="s">
        <v>50</v>
      </c>
      <c r="M18" s="3430" t="s">
        <v>50</v>
      </c>
      <c r="N18" s="3430" t="s">
        <v>50</v>
      </c>
      <c r="O18" s="3430"/>
      <c r="P18" s="3430"/>
      <c r="Q18" s="3430" t="s">
        <v>46</v>
      </c>
      <c r="R18" s="3430" t="s">
        <v>46</v>
      </c>
      <c r="S18" s="3430" t="s">
        <v>46</v>
      </c>
      <c r="T18" s="3430" t="s">
        <v>46</v>
      </c>
      <c r="U18" s="3430" t="s">
        <v>46</v>
      </c>
      <c r="V18" s="3430" t="s">
        <v>47</v>
      </c>
      <c r="W18" s="3430" t="s">
        <v>47</v>
      </c>
      <c r="X18" s="3430" t="s">
        <v>26</v>
      </c>
      <c r="Y18" s="3430" t="s">
        <v>26</v>
      </c>
      <c r="Z18" s="3430" t="s">
        <v>26</v>
      </c>
      <c r="AA18" s="3430" t="s">
        <v>26</v>
      </c>
      <c r="AB18" s="3430" t="s">
        <v>26</v>
      </c>
      <c r="AC18" s="3430" t="s">
        <v>0</v>
      </c>
      <c r="AD18" s="3430"/>
      <c r="AE18" s="3430" t="s">
        <v>43</v>
      </c>
      <c r="AF18" s="3430" t="s">
        <v>43</v>
      </c>
    </row>
    <row r="19" spans="1:32" ht="18" customHeight="1">
      <c r="A19" s="3416">
        <v>8500</v>
      </c>
      <c r="B19" s="3431" t="s">
        <v>51</v>
      </c>
      <c r="C19" s="3432" t="s">
        <v>50</v>
      </c>
      <c r="D19" s="3432" t="s">
        <v>50</v>
      </c>
      <c r="E19" s="3432" t="s">
        <v>50</v>
      </c>
      <c r="F19" s="3433" t="s">
        <v>50</v>
      </c>
      <c r="G19" s="3433" t="s">
        <v>50</v>
      </c>
      <c r="H19" s="3433" t="s">
        <v>376</v>
      </c>
      <c r="I19" s="3393"/>
      <c r="J19" s="3434" t="s">
        <v>46</v>
      </c>
      <c r="K19" s="3434" t="s">
        <v>46</v>
      </c>
      <c r="L19" s="3434" t="s">
        <v>46</v>
      </c>
      <c r="M19" s="3434" t="s">
        <v>46</v>
      </c>
      <c r="N19" s="3434" t="s">
        <v>46</v>
      </c>
      <c r="O19" s="3435" t="s">
        <v>47</v>
      </c>
      <c r="P19" s="3435" t="s">
        <v>47</v>
      </c>
      <c r="Q19" s="3436" t="s">
        <v>26</v>
      </c>
      <c r="R19" s="3436" t="s">
        <v>26</v>
      </c>
      <c r="S19" s="3436" t="s">
        <v>26</v>
      </c>
      <c r="T19" s="3436" t="s">
        <v>26</v>
      </c>
      <c r="U19" s="3436" t="s">
        <v>26</v>
      </c>
      <c r="V19" s="3393"/>
      <c r="W19" s="3434"/>
      <c r="X19" s="3432" t="s">
        <v>43</v>
      </c>
      <c r="Y19" s="3432" t="s">
        <v>43</v>
      </c>
      <c r="Z19" s="3432" t="s">
        <v>43</v>
      </c>
      <c r="AA19" s="3432" t="s">
        <v>43</v>
      </c>
      <c r="AB19" s="3432" t="s">
        <v>43</v>
      </c>
      <c r="AC19" s="3432"/>
      <c r="AD19" s="3432"/>
      <c r="AE19" s="3432" t="s">
        <v>46</v>
      </c>
      <c r="AF19" s="3432" t="s">
        <v>46</v>
      </c>
    </row>
    <row r="20" spans="1:32" ht="18" customHeight="1">
      <c r="A20" s="3416">
        <v>8500</v>
      </c>
      <c r="B20" s="3431" t="s">
        <v>54</v>
      </c>
      <c r="C20" s="3437" t="s">
        <v>46</v>
      </c>
      <c r="D20" s="3437" t="s">
        <v>46</v>
      </c>
      <c r="E20" s="3437" t="s">
        <v>46</v>
      </c>
      <c r="F20" s="3437" t="s">
        <v>46</v>
      </c>
      <c r="G20" s="3437" t="s">
        <v>46</v>
      </c>
      <c r="H20" s="3438" t="s">
        <v>47</v>
      </c>
      <c r="I20" s="3438" t="s">
        <v>471</v>
      </c>
      <c r="J20" s="3393" t="s">
        <v>26</v>
      </c>
      <c r="K20" s="3422" t="s">
        <v>26</v>
      </c>
      <c r="L20" s="3422" t="s">
        <v>26</v>
      </c>
      <c r="M20" s="3422" t="s">
        <v>26</v>
      </c>
      <c r="N20" s="3423" t="s">
        <v>26</v>
      </c>
      <c r="O20" s="3422"/>
      <c r="P20" s="3423"/>
      <c r="Q20" s="3423" t="s">
        <v>43</v>
      </c>
      <c r="R20" s="3422" t="s">
        <v>43</v>
      </c>
      <c r="S20" s="3423" t="s">
        <v>43</v>
      </c>
      <c r="T20" s="3423" t="s">
        <v>43</v>
      </c>
      <c r="U20" s="3439" t="s">
        <v>43</v>
      </c>
      <c r="V20" s="3423"/>
      <c r="W20" s="3423"/>
      <c r="X20" s="3423" t="s">
        <v>46</v>
      </c>
      <c r="Y20" s="3423" t="s">
        <v>46</v>
      </c>
      <c r="Z20" s="3432" t="s">
        <v>46</v>
      </c>
      <c r="AA20" s="3432" t="s">
        <v>46</v>
      </c>
      <c r="AB20" s="3422" t="s">
        <v>46</v>
      </c>
      <c r="AC20" s="3422" t="s">
        <v>49</v>
      </c>
      <c r="AD20" s="3422" t="s">
        <v>49</v>
      </c>
      <c r="AE20" s="3423" t="s">
        <v>50</v>
      </c>
      <c r="AF20" s="3423" t="s">
        <v>50</v>
      </c>
    </row>
    <row r="21" spans="1:32" ht="18" customHeight="1">
      <c r="A21" s="3416">
        <v>8546</v>
      </c>
      <c r="B21" s="3417" t="s">
        <v>56</v>
      </c>
      <c r="C21" s="3437" t="s">
        <v>26</v>
      </c>
      <c r="D21" s="3437" t="s">
        <v>26</v>
      </c>
      <c r="E21" s="3437" t="s">
        <v>26</v>
      </c>
      <c r="F21" s="3437" t="s">
        <v>26</v>
      </c>
      <c r="G21" s="3437" t="s">
        <v>26</v>
      </c>
      <c r="H21" s="3437"/>
      <c r="I21" s="3437"/>
      <c r="J21" s="3423" t="s">
        <v>43</v>
      </c>
      <c r="K21" s="3423" t="s">
        <v>43</v>
      </c>
      <c r="L21" s="3423" t="s">
        <v>43</v>
      </c>
      <c r="M21" s="3440" t="s">
        <v>43</v>
      </c>
      <c r="N21" s="3423" t="s">
        <v>43</v>
      </c>
      <c r="O21" s="3441"/>
      <c r="P21" s="3418"/>
      <c r="Q21" s="3423" t="s">
        <v>46</v>
      </c>
      <c r="R21" s="3441" t="s">
        <v>46</v>
      </c>
      <c r="S21" s="3418" t="s">
        <v>46</v>
      </c>
      <c r="T21" s="3423" t="s">
        <v>46</v>
      </c>
      <c r="U21" s="3423" t="s">
        <v>46</v>
      </c>
      <c r="V21" s="3422" t="s">
        <v>49</v>
      </c>
      <c r="W21" s="3422" t="s">
        <v>49</v>
      </c>
      <c r="X21" s="3423" t="s">
        <v>50</v>
      </c>
      <c r="Y21" s="3422" t="s">
        <v>50</v>
      </c>
      <c r="Z21" s="3422" t="s">
        <v>50</v>
      </c>
      <c r="AA21" s="3442" t="s">
        <v>50</v>
      </c>
      <c r="AB21" s="3443" t="s">
        <v>50</v>
      </c>
      <c r="AC21" s="3422"/>
      <c r="AD21" s="3422"/>
      <c r="AE21" s="3422" t="s">
        <v>46</v>
      </c>
      <c r="AF21" s="3422" t="s">
        <v>46</v>
      </c>
    </row>
    <row r="22" spans="1:32" ht="18" customHeight="1" thickBot="1">
      <c r="B22" s="3417" t="s">
        <v>472</v>
      </c>
      <c r="C22" s="3444">
        <v>11</v>
      </c>
      <c r="D22" s="3444">
        <v>11</v>
      </c>
      <c r="E22" s="3444">
        <v>10</v>
      </c>
      <c r="F22" s="3444">
        <v>10</v>
      </c>
      <c r="G22" s="3444">
        <v>9</v>
      </c>
      <c r="H22" s="3444" t="s">
        <v>53</v>
      </c>
      <c r="I22" s="3444" t="s">
        <v>53</v>
      </c>
      <c r="J22" s="3445" t="s">
        <v>46</v>
      </c>
      <c r="K22" s="3445" t="s">
        <v>46</v>
      </c>
      <c r="L22" s="3445" t="s">
        <v>46</v>
      </c>
      <c r="M22" s="3445" t="s">
        <v>46</v>
      </c>
      <c r="N22" s="3445" t="s">
        <v>46</v>
      </c>
      <c r="O22" s="3393"/>
      <c r="P22" s="3393"/>
      <c r="Q22" s="3444" t="s">
        <v>26</v>
      </c>
      <c r="R22" s="3444" t="s">
        <v>26</v>
      </c>
      <c r="S22" s="3444" t="s">
        <v>26</v>
      </c>
      <c r="T22" s="3444" t="s">
        <v>26</v>
      </c>
      <c r="U22" s="3444" t="s">
        <v>26</v>
      </c>
      <c r="V22" s="3393"/>
      <c r="W22" s="3423"/>
      <c r="X22" s="3444" t="s">
        <v>40</v>
      </c>
      <c r="Y22" s="3444" t="s">
        <v>40</v>
      </c>
      <c r="Z22" s="3444" t="s">
        <v>40</v>
      </c>
      <c r="AA22" s="3444" t="s">
        <v>40</v>
      </c>
      <c r="AB22" s="3444" t="s">
        <v>40</v>
      </c>
      <c r="AC22" s="3446"/>
      <c r="AD22" s="3446"/>
      <c r="AE22" s="3423" t="s">
        <v>46</v>
      </c>
      <c r="AF22" s="3423" t="s">
        <v>46</v>
      </c>
    </row>
    <row r="23" spans="1:32" ht="18" customHeight="1" thickBot="1">
      <c r="A23" s="3447"/>
      <c r="B23" s="3448"/>
      <c r="C23" s="3449"/>
      <c r="D23" s="3427"/>
      <c r="E23" s="3427"/>
      <c r="F23" s="3449"/>
      <c r="G23" s="3449"/>
      <c r="H23" s="3449"/>
      <c r="I23" s="3449"/>
      <c r="J23" s="3450"/>
      <c r="K23" s="3450"/>
      <c r="L23" s="3449"/>
      <c r="M23" s="3450"/>
      <c r="N23" s="3450"/>
      <c r="O23" s="3449"/>
      <c r="P23" s="3450"/>
      <c r="Q23" s="3450"/>
      <c r="R23" s="3450"/>
      <c r="S23" s="3450"/>
      <c r="T23" s="3450"/>
      <c r="U23" s="3451"/>
      <c r="V23" s="3451"/>
      <c r="W23" s="3449"/>
      <c r="X23" s="3449"/>
      <c r="Y23" s="3449"/>
      <c r="Z23" s="3449"/>
      <c r="AA23" s="3449"/>
      <c r="AB23" s="3449"/>
      <c r="AC23" s="3446"/>
      <c r="AD23" s="3449"/>
      <c r="AE23" s="3452"/>
      <c r="AF23" s="3427"/>
    </row>
    <row r="24" spans="1:32" ht="18" customHeight="1" thickBot="1">
      <c r="A24" s="3032" t="s">
        <v>58</v>
      </c>
      <c r="B24" s="3033"/>
      <c r="C24" s="3034"/>
      <c r="D24" s="3034"/>
      <c r="E24" s="3034"/>
      <c r="F24" s="3034"/>
      <c r="G24" s="3034"/>
      <c r="H24" s="3034"/>
      <c r="I24" s="3034"/>
      <c r="J24" s="3034"/>
      <c r="K24" s="3034"/>
      <c r="L24" s="3034"/>
      <c r="M24" s="3034"/>
      <c r="N24" s="3034"/>
      <c r="O24" s="3034"/>
      <c r="P24" s="3034"/>
      <c r="Q24" s="3034"/>
      <c r="R24" s="3034"/>
      <c r="S24" s="3034"/>
      <c r="T24" s="3034"/>
      <c r="U24" s="3034"/>
      <c r="V24" s="3034"/>
      <c r="W24" s="3034"/>
      <c r="X24" s="3034"/>
      <c r="Y24" s="3034"/>
      <c r="Z24" s="3034"/>
      <c r="AA24" s="3034"/>
      <c r="AB24" s="3034"/>
      <c r="AC24" s="3034"/>
      <c r="AD24" s="3034"/>
      <c r="AE24" s="3034"/>
      <c r="AF24" s="3034"/>
    </row>
    <row r="25" spans="1:32" ht="18" customHeight="1">
      <c r="A25" s="3012">
        <v>8500</v>
      </c>
      <c r="B25" s="3035" t="s">
        <v>59</v>
      </c>
      <c r="C25" s="2848" t="s">
        <v>40</v>
      </c>
      <c r="D25" s="3418" t="s">
        <v>40</v>
      </c>
      <c r="E25" s="2990" t="s">
        <v>40</v>
      </c>
      <c r="F25" s="2990" t="s">
        <v>40</v>
      </c>
      <c r="G25" s="3089" t="s">
        <v>40</v>
      </c>
      <c r="H25" s="3089"/>
      <c r="I25" s="3090"/>
      <c r="J25" s="2848" t="s">
        <v>40</v>
      </c>
      <c r="K25" s="2990" t="s">
        <v>40</v>
      </c>
      <c r="L25" s="2990" t="s">
        <v>40</v>
      </c>
      <c r="M25" s="2990" t="s">
        <v>40</v>
      </c>
      <c r="N25" s="3088" t="s">
        <v>40</v>
      </c>
      <c r="O25" s="3453" t="s">
        <v>47</v>
      </c>
      <c r="P25" s="3454" t="s">
        <v>47</v>
      </c>
      <c r="Q25" s="2848" t="s">
        <v>40</v>
      </c>
      <c r="R25" s="2990" t="s">
        <v>40</v>
      </c>
      <c r="S25" s="2990" t="s">
        <v>40</v>
      </c>
      <c r="T25" s="2990" t="s">
        <v>40</v>
      </c>
      <c r="U25" s="2990" t="s">
        <v>40</v>
      </c>
      <c r="V25" s="3455" t="s">
        <v>47</v>
      </c>
      <c r="W25" s="2990"/>
      <c r="X25" s="2848" t="s">
        <v>40</v>
      </c>
      <c r="Y25" s="2990" t="s">
        <v>40</v>
      </c>
      <c r="Z25" s="2990" t="s">
        <v>40</v>
      </c>
      <c r="AA25" s="2990" t="s">
        <v>40</v>
      </c>
      <c r="AB25" s="3089" t="s">
        <v>40</v>
      </c>
      <c r="AC25" s="332" t="s">
        <v>47</v>
      </c>
      <c r="AD25" s="332" t="s">
        <v>47</v>
      </c>
      <c r="AE25" s="2848" t="s">
        <v>40</v>
      </c>
      <c r="AF25" s="2990" t="s">
        <v>40</v>
      </c>
    </row>
    <row r="26" spans="1:32" ht="18" customHeight="1">
      <c r="A26" s="3416">
        <v>8500</v>
      </c>
      <c r="B26" s="3417" t="s">
        <v>364</v>
      </c>
      <c r="C26" s="842" t="s">
        <v>40</v>
      </c>
      <c r="D26" s="842" t="s">
        <v>40</v>
      </c>
      <c r="E26" s="842" t="s">
        <v>40</v>
      </c>
      <c r="F26" s="3440" t="s">
        <v>43</v>
      </c>
      <c r="G26" s="3456" t="s">
        <v>43</v>
      </c>
      <c r="H26" s="3441" t="s">
        <v>52</v>
      </c>
      <c r="I26" s="3457" t="s">
        <v>53</v>
      </c>
      <c r="J26" s="3422" t="s">
        <v>46</v>
      </c>
      <c r="K26" s="3422" t="s">
        <v>46</v>
      </c>
      <c r="L26" s="3423" t="s">
        <v>46</v>
      </c>
      <c r="M26" s="3422" t="s">
        <v>46</v>
      </c>
      <c r="N26" s="3422" t="s">
        <v>46</v>
      </c>
      <c r="O26" s="3423" t="s">
        <v>49</v>
      </c>
      <c r="P26" s="3423" t="s">
        <v>49</v>
      </c>
      <c r="Q26" s="3423" t="s">
        <v>50</v>
      </c>
      <c r="R26" s="3423" t="s">
        <v>50</v>
      </c>
      <c r="S26" s="3441" t="s">
        <v>50</v>
      </c>
      <c r="T26" s="3423" t="s">
        <v>50</v>
      </c>
      <c r="U26" s="3423" t="s">
        <v>50</v>
      </c>
      <c r="V26" s="3432"/>
      <c r="W26" s="3423"/>
      <c r="X26" s="3458" t="s">
        <v>413</v>
      </c>
      <c r="Y26" s="335" t="s">
        <v>113</v>
      </c>
      <c r="Z26" s="335" t="s">
        <v>113</v>
      </c>
      <c r="AA26" s="3423" t="s">
        <v>50</v>
      </c>
      <c r="AB26" s="3423" t="s">
        <v>50</v>
      </c>
      <c r="AC26" s="3440"/>
      <c r="AD26" s="3423"/>
      <c r="AE26" s="296" t="s">
        <v>43</v>
      </c>
      <c r="AF26" s="297" t="s">
        <v>43</v>
      </c>
    </row>
    <row r="27" spans="1:32" ht="18" customHeight="1">
      <c r="A27" s="3393"/>
      <c r="B27" s="3417" t="s">
        <v>297</v>
      </c>
      <c r="C27" s="3421" t="s">
        <v>40</v>
      </c>
      <c r="D27" s="3421" t="s">
        <v>40</v>
      </c>
      <c r="E27" s="3421" t="s">
        <v>40</v>
      </c>
      <c r="F27" s="3418" t="s">
        <v>40</v>
      </c>
      <c r="G27" s="3418" t="s">
        <v>40</v>
      </c>
      <c r="H27" s="3432"/>
      <c r="I27" s="3432"/>
      <c r="J27" s="3418" t="s">
        <v>40</v>
      </c>
      <c r="K27" s="3418" t="s">
        <v>40</v>
      </c>
      <c r="L27" s="3418" t="s">
        <v>40</v>
      </c>
      <c r="M27" s="3418" t="s">
        <v>40</v>
      </c>
      <c r="N27" s="3418" t="s">
        <v>40</v>
      </c>
      <c r="O27" s="3432"/>
      <c r="P27" s="3432"/>
      <c r="Q27" s="3418" t="s">
        <v>40</v>
      </c>
      <c r="R27" s="3418" t="s">
        <v>40</v>
      </c>
      <c r="S27" s="3422" t="s">
        <v>40</v>
      </c>
      <c r="T27" s="3422" t="s">
        <v>40</v>
      </c>
      <c r="U27" s="3422" t="s">
        <v>40</v>
      </c>
      <c r="V27" s="3432"/>
      <c r="W27" s="3432"/>
      <c r="X27" s="3432" t="s">
        <v>40</v>
      </c>
      <c r="Y27" s="3418" t="s">
        <v>40</v>
      </c>
      <c r="Z27" s="3418" t="s">
        <v>40</v>
      </c>
      <c r="AA27" s="3418" t="s">
        <v>40</v>
      </c>
      <c r="AB27" s="3418" t="s">
        <v>40</v>
      </c>
      <c r="AC27" s="3432"/>
      <c r="AD27" s="3432"/>
      <c r="AE27" s="3421" t="s">
        <v>40</v>
      </c>
      <c r="AF27" s="3421" t="s">
        <v>40</v>
      </c>
    </row>
    <row r="28" spans="1:32" ht="18" customHeight="1" thickBot="1">
      <c r="A28" s="3459"/>
      <c r="B28" s="3460" t="s">
        <v>65</v>
      </c>
      <c r="C28" s="3426" t="s">
        <v>40</v>
      </c>
      <c r="D28" s="3426" t="s">
        <v>40</v>
      </c>
      <c r="E28" s="3426" t="s">
        <v>40</v>
      </c>
      <c r="F28" s="3426" t="s">
        <v>40</v>
      </c>
      <c r="G28" s="3426" t="s">
        <v>40</v>
      </c>
      <c r="H28" s="3426"/>
      <c r="I28" s="3426"/>
      <c r="J28" s="3426" t="s">
        <v>40</v>
      </c>
      <c r="K28" s="3426" t="s">
        <v>40</v>
      </c>
      <c r="L28" s="3426" t="s">
        <v>40</v>
      </c>
      <c r="M28" s="3426" t="s">
        <v>40</v>
      </c>
      <c r="N28" s="3426" t="s">
        <v>40</v>
      </c>
      <c r="O28" s="3426"/>
      <c r="P28" s="3426"/>
      <c r="Q28" s="3461" t="s">
        <v>40</v>
      </c>
      <c r="R28" s="3425" t="s">
        <v>40</v>
      </c>
      <c r="S28" s="3462" t="s">
        <v>40</v>
      </c>
      <c r="T28" s="3463" t="s">
        <v>40</v>
      </c>
      <c r="U28" s="3451" t="s">
        <v>40</v>
      </c>
      <c r="V28" s="3451"/>
      <c r="W28" s="3425"/>
      <c r="X28" s="3461" t="s">
        <v>40</v>
      </c>
      <c r="Y28" s="3464" t="s">
        <v>40</v>
      </c>
      <c r="Z28" s="3464" t="s">
        <v>40</v>
      </c>
      <c r="AA28" s="3425" t="s">
        <v>40</v>
      </c>
      <c r="AB28" s="3465" t="s">
        <v>40</v>
      </c>
      <c r="AC28" s="3451"/>
      <c r="AD28" s="3425"/>
      <c r="AE28" s="3461" t="s">
        <v>40</v>
      </c>
      <c r="AF28" s="3462" t="s">
        <v>40</v>
      </c>
    </row>
    <row r="29" spans="1:32" ht="18" customHeight="1">
      <c r="A29" s="153"/>
      <c r="B29" s="111"/>
      <c r="C29" s="120"/>
      <c r="E29" s="182"/>
      <c r="F29" s="182"/>
      <c r="G29" s="111"/>
      <c r="H29" s="111"/>
      <c r="I29" s="120"/>
      <c r="J29" s="111"/>
      <c r="K29" s="182"/>
      <c r="L29" s="111"/>
      <c r="M29" s="111"/>
      <c r="O29" s="116"/>
      <c r="P29" s="129"/>
      <c r="Q29" s="183"/>
      <c r="R29" s="182"/>
      <c r="S29" s="182"/>
      <c r="T29" s="182"/>
      <c r="U29" s="111"/>
      <c r="V29" s="116"/>
      <c r="W29" s="182"/>
      <c r="X29" s="183"/>
      <c r="Y29" s="182"/>
      <c r="Z29" s="182"/>
      <c r="AA29" s="182"/>
      <c r="AB29" s="111"/>
      <c r="AC29" s="111"/>
      <c r="AD29" s="182"/>
      <c r="AE29" s="183"/>
      <c r="AF29" s="182"/>
    </row>
    <row r="30" spans="1:32" ht="18" customHeight="1" thickBot="1">
      <c r="A30" s="153"/>
      <c r="B30" s="111"/>
      <c r="C30" s="2985">
        <v>1</v>
      </c>
      <c r="D30" s="2985">
        <v>2</v>
      </c>
      <c r="E30" s="2985">
        <v>3</v>
      </c>
      <c r="F30" s="2985">
        <v>4</v>
      </c>
      <c r="G30" s="2985">
        <v>5</v>
      </c>
      <c r="H30" s="2986">
        <v>6</v>
      </c>
      <c r="I30" s="2986">
        <v>7</v>
      </c>
      <c r="J30" s="2985">
        <v>8</v>
      </c>
      <c r="K30" s="2985">
        <v>9</v>
      </c>
      <c r="L30" s="2985">
        <v>10</v>
      </c>
      <c r="M30" s="2985">
        <v>11</v>
      </c>
      <c r="N30" s="2985">
        <v>12</v>
      </c>
      <c r="O30" s="2986">
        <v>13</v>
      </c>
      <c r="P30" s="2986">
        <v>14</v>
      </c>
      <c r="Q30" s="2985">
        <v>15</v>
      </c>
      <c r="R30" s="2985">
        <v>16</v>
      </c>
      <c r="S30" s="2985">
        <v>17</v>
      </c>
      <c r="T30" s="2985">
        <v>18</v>
      </c>
      <c r="U30" s="2985">
        <v>19</v>
      </c>
      <c r="V30" s="2986">
        <v>20</v>
      </c>
      <c r="W30" s="2986">
        <v>21</v>
      </c>
      <c r="X30" s="2985">
        <v>22</v>
      </c>
      <c r="Y30" s="2985">
        <v>23</v>
      </c>
      <c r="Z30" s="2985">
        <v>24</v>
      </c>
      <c r="AA30" s="2985">
        <v>25</v>
      </c>
      <c r="AB30" s="2985">
        <v>26</v>
      </c>
      <c r="AC30" s="2986">
        <v>27</v>
      </c>
      <c r="AD30" s="2986">
        <v>28</v>
      </c>
      <c r="AE30" s="2985">
        <v>29</v>
      </c>
      <c r="AF30" s="3466">
        <v>30</v>
      </c>
    </row>
    <row r="31" spans="1:32" ht="18" customHeight="1">
      <c r="A31" s="152"/>
      <c r="B31" s="115" t="s">
        <v>0</v>
      </c>
      <c r="D31" t="s">
        <v>0</v>
      </c>
      <c r="F31" s="182"/>
      <c r="G31" s="111"/>
      <c r="H31" s="111" t="s">
        <v>0</v>
      </c>
      <c r="I31" s="111" t="s">
        <v>0</v>
      </c>
      <c r="J31" s="128">
        <v>3</v>
      </c>
      <c r="K31" s="128"/>
      <c r="L31" s="128"/>
      <c r="M31" s="128"/>
      <c r="N31" s="128"/>
      <c r="O31" s="111"/>
      <c r="P31" s="111"/>
      <c r="Q31" s="116"/>
      <c r="R31" s="116"/>
      <c r="S31" s="120"/>
      <c r="T31" s="120"/>
      <c r="U31" s="120"/>
      <c r="V31" s="179" t="s">
        <v>0</v>
      </c>
      <c r="X31" s="111" t="s">
        <v>0</v>
      </c>
      <c r="Z31" s="111"/>
      <c r="AA31" s="111" t="s">
        <v>0</v>
      </c>
      <c r="AB31" s="111"/>
      <c r="AC31" t="s">
        <v>91</v>
      </c>
      <c r="AD31" t="s">
        <v>89</v>
      </c>
      <c r="AE31" t="s">
        <v>0</v>
      </c>
      <c r="AF31" s="182"/>
    </row>
    <row r="32" spans="1:32" ht="18" customHeight="1">
      <c r="A32" s="152"/>
      <c r="B32" s="111"/>
      <c r="C32" s="183"/>
      <c r="D32" s="182"/>
      <c r="E32" s="182"/>
      <c r="F32" s="182"/>
      <c r="G32" s="111"/>
      <c r="H32" s="312" t="s">
        <v>0</v>
      </c>
      <c r="I32" s="312" t="s">
        <v>0</v>
      </c>
      <c r="L32" s="111"/>
      <c r="M32" s="124" t="s">
        <v>0</v>
      </c>
      <c r="N32" s="128"/>
      <c r="O32" s="179"/>
      <c r="P32" s="179"/>
      <c r="Q32" s="111">
        <v>9</v>
      </c>
      <c r="R32" s="124" t="s">
        <v>0</v>
      </c>
      <c r="S32" s="111" t="s">
        <v>0</v>
      </c>
      <c r="T32" s="124" t="s">
        <v>0</v>
      </c>
      <c r="U32" s="111" t="s">
        <v>0</v>
      </c>
      <c r="V32" s="111" t="s">
        <v>0</v>
      </c>
      <c r="W32" s="111"/>
      <c r="X32" s="111"/>
      <c r="Y32" s="124" t="s">
        <v>0</v>
      </c>
      <c r="Z32" s="111"/>
      <c r="AA32" s="124" t="s">
        <v>0</v>
      </c>
      <c r="AB32" s="111"/>
      <c r="AC32" s="111" t="s">
        <v>0</v>
      </c>
      <c r="AD32" s="111" t="s">
        <v>0</v>
      </c>
      <c r="AE32" s="111"/>
      <c r="AF32" s="124" t="s">
        <v>0</v>
      </c>
    </row>
    <row r="33" spans="1:34" ht="18" customHeight="1">
      <c r="A33" s="150"/>
      <c r="B33" s="151"/>
      <c r="C33" s="302"/>
      <c r="D33" s="302"/>
      <c r="E33" s="302"/>
      <c r="F33" s="302"/>
      <c r="G33" s="302"/>
      <c r="H33" s="313"/>
      <c r="I33" s="313"/>
      <c r="L33" s="179"/>
      <c r="M33" s="179"/>
      <c r="N33" s="179"/>
      <c r="O33" s="111"/>
      <c r="P33" s="111"/>
      <c r="Q33" t="s">
        <v>0</v>
      </c>
      <c r="R33" s="120"/>
      <c r="S33" s="120"/>
      <c r="T33" s="111"/>
      <c r="U33" s="111"/>
      <c r="V33" s="111"/>
      <c r="Y33" s="111"/>
      <c r="Z33" s="111"/>
      <c r="AA33" s="111"/>
      <c r="AB33" s="111"/>
      <c r="AC33" s="111"/>
      <c r="AD33" s="116" t="s">
        <v>0</v>
      </c>
      <c r="AE33" s="116" t="s">
        <v>0</v>
      </c>
      <c r="AF33" s="116" t="s">
        <v>0</v>
      </c>
    </row>
    <row r="34" spans="1:34" ht="18" customHeight="1" thickBot="1">
      <c r="A34" s="96" t="s">
        <v>66</v>
      </c>
      <c r="B34" s="96" t="s">
        <v>66</v>
      </c>
      <c r="D34" s="48"/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 t="s">
        <v>0</v>
      </c>
      <c r="P34" s="48"/>
      <c r="Q34" s="48" t="s">
        <v>67</v>
      </c>
      <c r="R34" s="48" t="s">
        <v>0</v>
      </c>
      <c r="S34" s="48" t="s">
        <v>68</v>
      </c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4" ht="18" customHeight="1">
      <c r="A35" s="3056" t="s">
        <v>69</v>
      </c>
      <c r="B35" s="3056" t="s">
        <v>473</v>
      </c>
      <c r="C35" s="3057"/>
      <c r="D35" s="3058" t="s">
        <v>70</v>
      </c>
      <c r="E35" s="3059"/>
      <c r="F35" s="3059"/>
      <c r="G35" s="3059"/>
      <c r="H35" s="3059"/>
      <c r="I35" s="3059"/>
      <c r="J35" s="3059"/>
      <c r="K35" s="3059"/>
      <c r="L35" s="3059"/>
      <c r="M35" s="3060" t="s">
        <v>71</v>
      </c>
      <c r="N35" s="3059"/>
      <c r="O35" s="3059"/>
      <c r="P35" s="3059"/>
      <c r="Q35" s="3059"/>
      <c r="R35" s="3059"/>
      <c r="S35" s="3061"/>
      <c r="T35" s="3467" t="s">
        <v>72</v>
      </c>
      <c r="U35" s="3468"/>
      <c r="V35" s="3468"/>
      <c r="W35" s="3468"/>
      <c r="X35" s="3468"/>
      <c r="Y35" s="3468"/>
      <c r="Z35" s="3468"/>
      <c r="AA35" s="3063" t="s">
        <v>73</v>
      </c>
      <c r="AB35" s="3064"/>
      <c r="AC35" s="3064"/>
      <c r="AD35" s="3064"/>
      <c r="AE35" s="3064"/>
      <c r="AF35" s="3064"/>
    </row>
    <row r="36" spans="1:34" ht="18" customHeight="1">
      <c r="A36" s="3469" t="s">
        <v>74</v>
      </c>
      <c r="B36" s="3469" t="s">
        <v>74</v>
      </c>
      <c r="C36" s="3470"/>
      <c r="D36" s="3471" t="s">
        <v>75</v>
      </c>
      <c r="E36" s="3472"/>
      <c r="F36" s="3383"/>
      <c r="G36" s="3383"/>
      <c r="H36" s="3383"/>
      <c r="I36" s="3383"/>
      <c r="J36" s="3383"/>
      <c r="K36" s="3383"/>
      <c r="L36" s="3473"/>
      <c r="M36" s="3474" t="s">
        <v>76</v>
      </c>
      <c r="N36" s="3470"/>
      <c r="O36" s="3475"/>
      <c r="P36" s="3470"/>
      <c r="Q36" s="3470"/>
      <c r="R36" s="3470"/>
      <c r="S36" s="3476"/>
      <c r="T36" s="3471" t="s">
        <v>77</v>
      </c>
      <c r="U36" s="3383"/>
      <c r="V36" s="3472"/>
      <c r="W36" s="3383"/>
      <c r="X36" s="3383"/>
      <c r="Y36" s="3383"/>
      <c r="Z36" s="3473"/>
      <c r="AA36" s="97" t="s">
        <v>78</v>
      </c>
      <c r="AD36" s="59"/>
    </row>
    <row r="37" spans="1:34" ht="18" customHeight="1">
      <c r="A37" s="3477" t="s">
        <v>79</v>
      </c>
      <c r="B37" s="3477" t="s">
        <v>79</v>
      </c>
      <c r="C37" s="3383"/>
      <c r="D37" s="3478"/>
      <c r="E37" s="3383"/>
      <c r="F37" s="3383"/>
      <c r="G37" s="3473"/>
      <c r="H37" s="3479" t="s">
        <v>80</v>
      </c>
      <c r="I37" s="3383"/>
      <c r="J37" s="3383"/>
      <c r="K37" s="3383"/>
      <c r="L37" s="3383"/>
      <c r="M37" s="3480"/>
      <c r="N37" s="3383"/>
      <c r="O37" s="3383"/>
      <c r="P37" s="3383"/>
      <c r="Q37" s="3383"/>
      <c r="R37" s="3383"/>
      <c r="S37" s="3383"/>
      <c r="T37" s="3478"/>
      <c r="U37" s="96" t="s">
        <v>81</v>
      </c>
      <c r="AA37" s="3475"/>
      <c r="AB37" s="3470"/>
      <c r="AC37" s="3470"/>
      <c r="AD37" s="3470"/>
      <c r="AE37" s="3470"/>
      <c r="AF37" s="3470"/>
    </row>
    <row r="38" spans="1:34" ht="18" customHeight="1" thickBot="1">
      <c r="A38" s="3481" t="s">
        <v>82</v>
      </c>
      <c r="B38" s="3481" t="s">
        <v>82</v>
      </c>
      <c r="C38" s="3482"/>
      <c r="D38" s="3483"/>
      <c r="E38" s="3482"/>
      <c r="F38" s="3482"/>
      <c r="G38" s="3484"/>
      <c r="H38" s="3485" t="s">
        <v>83</v>
      </c>
      <c r="I38" s="3484"/>
      <c r="J38" s="3482"/>
      <c r="K38" s="3482"/>
      <c r="L38" s="3482"/>
      <c r="M38" s="3486"/>
      <c r="N38" s="3482"/>
      <c r="O38" s="3482"/>
      <c r="P38" s="3482"/>
      <c r="Q38" s="3487"/>
      <c r="R38" s="3487"/>
      <c r="S38" s="3487"/>
      <c r="T38" s="3483"/>
      <c r="U38" s="3488" t="s">
        <v>84</v>
      </c>
      <c r="V38" s="3482"/>
      <c r="W38" s="3482"/>
      <c r="X38" s="3482"/>
      <c r="Y38" s="3482"/>
      <c r="Z38" s="3482"/>
      <c r="AA38" s="3482"/>
      <c r="AB38" s="3482"/>
      <c r="AC38" s="3482"/>
      <c r="AD38" s="3482"/>
      <c r="AE38" s="3482"/>
      <c r="AF38" s="3482"/>
    </row>
    <row r="39" spans="1:34" ht="18" customHeight="1" thickBot="1">
      <c r="B39" s="62" t="s">
        <v>36</v>
      </c>
      <c r="C39" s="48"/>
      <c r="D39" s="48"/>
      <c r="E39" s="48"/>
      <c r="F39" s="48"/>
      <c r="G39" s="48"/>
      <c r="H39" s="48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8"/>
      <c r="Z39" s="48"/>
      <c r="AA39" s="48"/>
      <c r="AB39" s="48"/>
      <c r="AC39" s="48"/>
      <c r="AD39" s="48"/>
      <c r="AE39" s="48"/>
      <c r="AF39" s="48"/>
      <c r="AG39" s="103"/>
    </row>
    <row r="40" spans="1:34" ht="18" customHeight="1" thickBot="1">
      <c r="A40" s="3489" t="s">
        <v>37</v>
      </c>
      <c r="B40" s="3490" t="s">
        <v>38</v>
      </c>
      <c r="C40" s="2985">
        <v>1</v>
      </c>
      <c r="D40" s="2985">
        <v>2</v>
      </c>
      <c r="E40" s="2985">
        <v>3</v>
      </c>
      <c r="F40" s="2985">
        <v>4</v>
      </c>
      <c r="G40" s="2985">
        <v>5</v>
      </c>
      <c r="H40" s="2986">
        <v>6</v>
      </c>
      <c r="I40" s="2986">
        <v>7</v>
      </c>
      <c r="J40" s="2985">
        <v>8</v>
      </c>
      <c r="K40" s="2985">
        <v>9</v>
      </c>
      <c r="L40" s="2985">
        <v>10</v>
      </c>
      <c r="M40" s="2985">
        <v>11</v>
      </c>
      <c r="N40" s="2985">
        <v>12</v>
      </c>
      <c r="O40" s="2986">
        <v>13</v>
      </c>
      <c r="P40" s="2986">
        <v>14</v>
      </c>
      <c r="Q40" s="2985">
        <v>15</v>
      </c>
      <c r="R40" s="2985">
        <v>16</v>
      </c>
      <c r="S40" s="2985">
        <v>17</v>
      </c>
      <c r="T40" s="2985">
        <v>18</v>
      </c>
      <c r="U40" s="2985">
        <v>19</v>
      </c>
      <c r="V40" s="2986">
        <v>20</v>
      </c>
      <c r="W40" s="2986">
        <v>21</v>
      </c>
      <c r="X40" s="2985">
        <v>22</v>
      </c>
      <c r="Y40" s="2985">
        <v>23</v>
      </c>
      <c r="Z40" s="2985">
        <v>24</v>
      </c>
      <c r="AA40" s="2985">
        <v>25</v>
      </c>
      <c r="AB40" s="2985">
        <v>26</v>
      </c>
      <c r="AC40" s="2986">
        <v>27</v>
      </c>
      <c r="AD40" s="2986">
        <v>28</v>
      </c>
      <c r="AE40" s="2985">
        <v>29</v>
      </c>
      <c r="AF40" s="2985">
        <v>30</v>
      </c>
      <c r="AG40" s="105"/>
    </row>
    <row r="41" spans="1:34" ht="18" customHeight="1">
      <c r="A41" s="3087">
        <v>1</v>
      </c>
      <c r="B41" s="3406" t="s">
        <v>85</v>
      </c>
      <c r="C41" s="3088">
        <v>3</v>
      </c>
      <c r="D41" s="3089">
        <v>3</v>
      </c>
      <c r="E41" s="3088">
        <v>3</v>
      </c>
      <c r="F41" s="3088">
        <v>3</v>
      </c>
      <c r="G41" s="3088">
        <v>3</v>
      </c>
      <c r="H41" s="3088"/>
      <c r="I41" s="3088"/>
      <c r="J41" s="2989">
        <v>11</v>
      </c>
      <c r="K41" s="3088">
        <v>11</v>
      </c>
      <c r="L41" s="3088">
        <v>11</v>
      </c>
      <c r="M41" s="3088">
        <v>11</v>
      </c>
      <c r="N41" s="3088">
        <v>11</v>
      </c>
      <c r="O41" s="3089" t="s">
        <v>87</v>
      </c>
      <c r="P41" s="3088" t="s">
        <v>87</v>
      </c>
      <c r="Q41" s="3090" t="s">
        <v>46</v>
      </c>
      <c r="R41" s="3491" t="s">
        <v>257</v>
      </c>
      <c r="S41" s="3492" t="s">
        <v>257</v>
      </c>
      <c r="T41" s="3492" t="s">
        <v>257</v>
      </c>
      <c r="U41" s="3492" t="s">
        <v>257</v>
      </c>
      <c r="V41" s="3088" t="s">
        <v>89</v>
      </c>
      <c r="W41" s="3088" t="s">
        <v>89</v>
      </c>
      <c r="X41" s="3292">
        <v>8</v>
      </c>
      <c r="Y41" s="3292">
        <v>8</v>
      </c>
      <c r="Z41" s="3292">
        <v>8</v>
      </c>
      <c r="AA41" s="3292">
        <v>8</v>
      </c>
      <c r="AB41" s="3292">
        <v>8</v>
      </c>
      <c r="AC41" s="3090"/>
      <c r="AD41" s="3090"/>
      <c r="AE41" s="3088" t="s">
        <v>46</v>
      </c>
      <c r="AF41" s="3088" t="s">
        <v>46</v>
      </c>
      <c r="AG41" s="105"/>
    </row>
    <row r="42" spans="1:34" ht="18" customHeight="1">
      <c r="A42" s="3493">
        <v>6</v>
      </c>
      <c r="B42" s="3417" t="s">
        <v>88</v>
      </c>
      <c r="C42" s="3421">
        <v>1</v>
      </c>
      <c r="D42" s="3421">
        <v>1</v>
      </c>
      <c r="E42" s="3421">
        <v>1</v>
      </c>
      <c r="F42" s="3421">
        <v>1</v>
      </c>
      <c r="G42" s="3421">
        <v>1</v>
      </c>
      <c r="H42" s="3421"/>
      <c r="I42" s="3421"/>
      <c r="J42" s="3494">
        <v>9</v>
      </c>
      <c r="K42" s="3494">
        <v>9</v>
      </c>
      <c r="L42" s="3494">
        <v>9</v>
      </c>
      <c r="M42" s="3494">
        <v>9</v>
      </c>
      <c r="N42" s="3494">
        <v>9</v>
      </c>
      <c r="O42" s="3494" t="s">
        <v>52</v>
      </c>
      <c r="P42" s="3494" t="s">
        <v>53</v>
      </c>
      <c r="Q42" s="3494" t="s">
        <v>46</v>
      </c>
      <c r="R42" s="3494" t="s">
        <v>46</v>
      </c>
      <c r="S42" s="3494" t="s">
        <v>46</v>
      </c>
      <c r="T42" s="3494" t="s">
        <v>46</v>
      </c>
      <c r="U42" s="3494" t="s">
        <v>46</v>
      </c>
      <c r="V42" s="3494" t="s">
        <v>91</v>
      </c>
      <c r="W42" s="3494" t="s">
        <v>89</v>
      </c>
      <c r="X42" s="3494">
        <v>6</v>
      </c>
      <c r="Y42" s="3494">
        <v>6</v>
      </c>
      <c r="Z42" s="3494">
        <v>6</v>
      </c>
      <c r="AA42" s="3494">
        <v>6</v>
      </c>
      <c r="AB42" s="3494">
        <v>6</v>
      </c>
      <c r="AC42" s="3494"/>
      <c r="AD42" s="3494"/>
      <c r="AE42" s="3421" t="s">
        <v>46</v>
      </c>
      <c r="AF42" s="3421" t="s">
        <v>46</v>
      </c>
      <c r="AG42" s="105"/>
      <c r="AH42" t="s">
        <v>133</v>
      </c>
    </row>
    <row r="43" spans="1:34" ht="18" customHeight="1" thickBot="1">
      <c r="A43" s="3495">
        <v>11</v>
      </c>
      <c r="B43" s="3424" t="s">
        <v>90</v>
      </c>
      <c r="C43" s="3426">
        <v>5</v>
      </c>
      <c r="D43" s="3426">
        <v>5</v>
      </c>
      <c r="E43" s="3426">
        <v>5</v>
      </c>
      <c r="F43" s="3426">
        <v>5</v>
      </c>
      <c r="G43" s="3426">
        <v>5</v>
      </c>
      <c r="H43" s="3426"/>
      <c r="I43" s="3426"/>
      <c r="J43" s="3496">
        <v>10</v>
      </c>
      <c r="K43" s="3496">
        <v>10</v>
      </c>
      <c r="L43" s="3496">
        <v>10</v>
      </c>
      <c r="M43" s="3427">
        <v>10</v>
      </c>
      <c r="N43" s="3496">
        <v>10</v>
      </c>
      <c r="O43" s="3496" t="s">
        <v>53</v>
      </c>
      <c r="P43" s="3496" t="s">
        <v>53</v>
      </c>
      <c r="Q43" s="3496" t="s">
        <v>46</v>
      </c>
      <c r="R43" s="3496" t="s">
        <v>46</v>
      </c>
      <c r="S43" s="3496" t="s">
        <v>46</v>
      </c>
      <c r="T43" s="3425" t="s">
        <v>46</v>
      </c>
      <c r="U43" s="3496" t="s">
        <v>46</v>
      </c>
      <c r="V43" s="3496" t="s">
        <v>86</v>
      </c>
      <c r="W43" s="3496" t="s">
        <v>86</v>
      </c>
      <c r="X43" s="3496">
        <v>7</v>
      </c>
      <c r="Y43" s="3496">
        <v>7</v>
      </c>
      <c r="Z43" s="3496">
        <v>7</v>
      </c>
      <c r="AA43" s="3496">
        <v>7</v>
      </c>
      <c r="AB43" s="3496">
        <v>7</v>
      </c>
      <c r="AC43" s="3496"/>
      <c r="AD43" s="3496"/>
      <c r="AE43" s="3496">
        <v>4</v>
      </c>
      <c r="AF43" s="3496">
        <v>4</v>
      </c>
      <c r="AG43" s="105"/>
      <c r="AH43" t="s">
        <v>133</v>
      </c>
    </row>
    <row r="44" spans="1:34" ht="18" customHeight="1">
      <c r="A44" s="3087">
        <v>2</v>
      </c>
      <c r="B44" s="3035" t="s">
        <v>92</v>
      </c>
      <c r="C44" s="3497">
        <v>11</v>
      </c>
      <c r="D44" s="3497">
        <v>11</v>
      </c>
      <c r="E44" s="3261">
        <v>11</v>
      </c>
      <c r="F44" s="3261">
        <v>11</v>
      </c>
      <c r="G44" s="3497">
        <v>11</v>
      </c>
      <c r="H44" s="3497" t="s">
        <v>87</v>
      </c>
      <c r="I44" s="3497" t="s">
        <v>87</v>
      </c>
      <c r="J44" s="3089" t="s">
        <v>46</v>
      </c>
      <c r="K44" s="3089" t="s">
        <v>46</v>
      </c>
      <c r="L44" s="3088" t="s">
        <v>46</v>
      </c>
      <c r="M44" s="3088" t="s">
        <v>46</v>
      </c>
      <c r="N44" s="3088" t="s">
        <v>46</v>
      </c>
      <c r="O44" s="3090" t="s">
        <v>89</v>
      </c>
      <c r="P44" s="3088" t="s">
        <v>89</v>
      </c>
      <c r="Q44" s="3498">
        <v>8</v>
      </c>
      <c r="R44" s="3090">
        <v>8</v>
      </c>
      <c r="S44" s="3491">
        <v>8</v>
      </c>
      <c r="T44" s="3090">
        <v>8</v>
      </c>
      <c r="U44" s="3090">
        <v>8</v>
      </c>
      <c r="V44" s="3090"/>
      <c r="W44" s="3090"/>
      <c r="X44" s="3498">
        <v>89</v>
      </c>
      <c r="Y44" s="3492" t="s">
        <v>116</v>
      </c>
      <c r="Z44" s="3088" t="s">
        <v>46</v>
      </c>
      <c r="AA44" s="3088" t="s">
        <v>46</v>
      </c>
      <c r="AB44" s="3088" t="s">
        <v>46</v>
      </c>
      <c r="AC44" s="3090"/>
      <c r="AD44" s="3090"/>
      <c r="AE44" s="3088">
        <v>1</v>
      </c>
      <c r="AF44" s="3088">
        <v>1</v>
      </c>
      <c r="AG44" s="105"/>
    </row>
    <row r="45" spans="1:34" ht="18" customHeight="1">
      <c r="A45" s="3493">
        <v>7</v>
      </c>
      <c r="B45" s="3417" t="s">
        <v>93</v>
      </c>
      <c r="C45" s="3430">
        <v>9</v>
      </c>
      <c r="D45" s="3430">
        <v>9</v>
      </c>
      <c r="E45" s="3430">
        <v>9</v>
      </c>
      <c r="F45" s="3430">
        <v>9</v>
      </c>
      <c r="G45" s="3430">
        <v>9</v>
      </c>
      <c r="H45" s="3430" t="s">
        <v>52</v>
      </c>
      <c r="I45" s="3430" t="s">
        <v>53</v>
      </c>
      <c r="J45" s="3430" t="s">
        <v>46</v>
      </c>
      <c r="K45" s="3430" t="s">
        <v>46</v>
      </c>
      <c r="L45" s="3430" t="s">
        <v>46</v>
      </c>
      <c r="M45" s="3430" t="s">
        <v>46</v>
      </c>
      <c r="N45" s="3430" t="s">
        <v>46</v>
      </c>
      <c r="O45" s="3430" t="s">
        <v>91</v>
      </c>
      <c r="P45" s="3430" t="s">
        <v>89</v>
      </c>
      <c r="Q45" s="3430">
        <v>6</v>
      </c>
      <c r="R45" s="3430">
        <v>6</v>
      </c>
      <c r="S45" s="3430">
        <v>6</v>
      </c>
      <c r="T45" s="3430">
        <v>6</v>
      </c>
      <c r="U45" s="3430">
        <v>6</v>
      </c>
      <c r="V45" s="3430"/>
      <c r="W45" s="3430"/>
      <c r="X45" s="3430" t="s">
        <v>46</v>
      </c>
      <c r="Y45" s="3430" t="s">
        <v>46</v>
      </c>
      <c r="Z45" s="3430" t="s">
        <v>46</v>
      </c>
      <c r="AA45" s="3430" t="s">
        <v>46</v>
      </c>
      <c r="AB45" s="3430" t="s">
        <v>46</v>
      </c>
      <c r="AC45" s="222"/>
      <c r="AD45" s="3430"/>
      <c r="AE45" s="3430">
        <v>5</v>
      </c>
      <c r="AF45" s="3430">
        <v>5</v>
      </c>
    </row>
    <row r="46" spans="1:34" ht="18" customHeight="1" thickBot="1">
      <c r="A46" s="3495">
        <v>12</v>
      </c>
      <c r="B46" s="3499" t="s">
        <v>94</v>
      </c>
      <c r="C46" s="3427">
        <v>10</v>
      </c>
      <c r="D46" s="3500">
        <v>10</v>
      </c>
      <c r="E46" s="3501">
        <v>10</v>
      </c>
      <c r="F46" s="3502">
        <v>10</v>
      </c>
      <c r="G46" s="3500">
        <v>10</v>
      </c>
      <c r="H46" s="3427" t="s">
        <v>53</v>
      </c>
      <c r="I46" s="3427" t="s">
        <v>53</v>
      </c>
      <c r="J46" s="3427" t="s">
        <v>46</v>
      </c>
      <c r="K46" s="3500">
        <v>3</v>
      </c>
      <c r="L46" s="3500">
        <v>3</v>
      </c>
      <c r="M46" s="3500">
        <v>3</v>
      </c>
      <c r="N46" s="3500">
        <v>3</v>
      </c>
      <c r="O46" s="3427" t="s">
        <v>86</v>
      </c>
      <c r="P46" s="3427" t="s">
        <v>86</v>
      </c>
      <c r="Q46" s="3500">
        <v>7</v>
      </c>
      <c r="R46" s="3500">
        <v>7</v>
      </c>
      <c r="S46" s="3500">
        <v>7</v>
      </c>
      <c r="T46" s="3427">
        <v>7</v>
      </c>
      <c r="U46" s="3427">
        <v>7</v>
      </c>
      <c r="V46" s="3427"/>
      <c r="W46" s="3427"/>
      <c r="X46" s="3427">
        <v>4</v>
      </c>
      <c r="Y46" s="3427">
        <v>4</v>
      </c>
      <c r="Z46" s="3427">
        <v>4</v>
      </c>
      <c r="AA46" s="3427">
        <v>4</v>
      </c>
      <c r="AB46" s="3427">
        <v>4</v>
      </c>
      <c r="AC46" s="3427"/>
      <c r="AD46" s="3427"/>
      <c r="AE46" s="3427">
        <v>3</v>
      </c>
      <c r="AF46" s="3427">
        <v>3</v>
      </c>
      <c r="AG46" s="105"/>
    </row>
    <row r="47" spans="1:34" ht="18" customHeight="1">
      <c r="A47" s="3087">
        <v>3</v>
      </c>
      <c r="B47" s="3104" t="s">
        <v>95</v>
      </c>
      <c r="C47" s="511" t="s">
        <v>46</v>
      </c>
      <c r="D47" s="511" t="s">
        <v>46</v>
      </c>
      <c r="E47" s="511" t="s">
        <v>46</v>
      </c>
      <c r="F47" s="504" t="s">
        <v>46</v>
      </c>
      <c r="G47" s="504" t="s">
        <v>46</v>
      </c>
      <c r="H47" s="504" t="s">
        <v>89</v>
      </c>
      <c r="I47" s="504" t="s">
        <v>89</v>
      </c>
      <c r="J47" s="508">
        <v>8</v>
      </c>
      <c r="K47" s="508">
        <v>8</v>
      </c>
      <c r="L47" s="508">
        <v>8</v>
      </c>
      <c r="M47" s="508">
        <v>8</v>
      </c>
      <c r="N47" s="508">
        <v>8</v>
      </c>
      <c r="O47" s="508"/>
      <c r="P47" s="508"/>
      <c r="Q47" s="508" t="s">
        <v>46</v>
      </c>
      <c r="R47" s="504" t="s">
        <v>46</v>
      </c>
      <c r="S47" s="504" t="s">
        <v>46</v>
      </c>
      <c r="T47" s="504" t="s">
        <v>46</v>
      </c>
      <c r="U47" s="504" t="s">
        <v>46</v>
      </c>
      <c r="V47" s="508"/>
      <c r="W47" s="508"/>
      <c r="X47" s="501" t="s">
        <v>257</v>
      </c>
      <c r="Y47" s="504" t="s">
        <v>257</v>
      </c>
      <c r="Z47" s="504" t="s">
        <v>257</v>
      </c>
      <c r="AA47" s="504" t="s">
        <v>257</v>
      </c>
      <c r="AB47" s="504" t="s">
        <v>257</v>
      </c>
      <c r="AC47" s="509"/>
      <c r="AD47" s="504"/>
      <c r="AE47" s="510">
        <v>9</v>
      </c>
      <c r="AF47" s="510">
        <v>9</v>
      </c>
      <c r="AG47" s="105"/>
      <c r="AH47" t="s">
        <v>133</v>
      </c>
    </row>
    <row r="48" spans="1:34" ht="18" customHeight="1">
      <c r="A48" s="3493">
        <v>8</v>
      </c>
      <c r="B48" s="3417" t="s">
        <v>96</v>
      </c>
      <c r="C48" s="3418" t="s">
        <v>46</v>
      </c>
      <c r="D48" s="3418" t="s">
        <v>46</v>
      </c>
      <c r="E48" s="3418" t="s">
        <v>46</v>
      </c>
      <c r="F48" s="3418" t="s">
        <v>46</v>
      </c>
      <c r="G48" s="3418" t="s">
        <v>46</v>
      </c>
      <c r="H48" s="3418" t="s">
        <v>91</v>
      </c>
      <c r="I48" s="3418" t="s">
        <v>89</v>
      </c>
      <c r="J48" s="3418">
        <v>6</v>
      </c>
      <c r="K48" s="3418">
        <v>6</v>
      </c>
      <c r="L48" s="3418">
        <v>6</v>
      </c>
      <c r="M48" s="3418">
        <v>6</v>
      </c>
      <c r="N48" s="3418">
        <v>6</v>
      </c>
      <c r="O48" s="3418"/>
      <c r="P48" s="3418"/>
      <c r="Q48" s="3418" t="s">
        <v>46</v>
      </c>
      <c r="R48" s="3418" t="s">
        <v>46</v>
      </c>
      <c r="S48" s="3418" t="s">
        <v>46</v>
      </c>
      <c r="T48" s="3418" t="s">
        <v>46</v>
      </c>
      <c r="U48" s="3418" t="s">
        <v>46</v>
      </c>
      <c r="V48" s="3418"/>
      <c r="W48" s="3418"/>
      <c r="X48" s="3418">
        <v>5</v>
      </c>
      <c r="Y48" s="3503">
        <v>5</v>
      </c>
      <c r="Z48" s="3503">
        <v>5</v>
      </c>
      <c r="AA48" s="3503">
        <v>5</v>
      </c>
      <c r="AB48" s="3494">
        <v>5</v>
      </c>
      <c r="AC48" s="3503"/>
      <c r="AD48" s="3422"/>
      <c r="AE48" s="3494">
        <v>10</v>
      </c>
      <c r="AF48" s="3504">
        <v>10</v>
      </c>
      <c r="AG48" s="105"/>
    </row>
    <row r="49" spans="1:34" ht="18" customHeight="1" thickBot="1">
      <c r="A49" s="3495">
        <v>13</v>
      </c>
      <c r="B49" s="3424" t="s">
        <v>97</v>
      </c>
      <c r="C49" s="842" t="s">
        <v>46</v>
      </c>
      <c r="D49" s="842" t="s">
        <v>46</v>
      </c>
      <c r="E49" s="842" t="s">
        <v>46</v>
      </c>
      <c r="F49" s="842" t="s">
        <v>46</v>
      </c>
      <c r="G49" s="842" t="s">
        <v>46</v>
      </c>
      <c r="H49" s="842" t="s">
        <v>86</v>
      </c>
      <c r="I49" s="842" t="s">
        <v>86</v>
      </c>
      <c r="J49" s="842">
        <v>7</v>
      </c>
      <c r="K49" s="842">
        <v>7</v>
      </c>
      <c r="L49" s="842">
        <v>7</v>
      </c>
      <c r="M49" s="842">
        <v>7</v>
      </c>
      <c r="N49" s="842">
        <v>7</v>
      </c>
      <c r="O49" s="842"/>
      <c r="P49" s="842"/>
      <c r="Q49" s="842">
        <v>4</v>
      </c>
      <c r="R49" s="842">
        <v>4</v>
      </c>
      <c r="S49" s="842">
        <v>4</v>
      </c>
      <c r="T49" s="842">
        <v>4</v>
      </c>
      <c r="U49" s="842">
        <v>4</v>
      </c>
      <c r="V49" s="842"/>
      <c r="W49" s="842"/>
      <c r="X49" s="842">
        <v>3</v>
      </c>
      <c r="Y49" s="842">
        <v>3</v>
      </c>
      <c r="Z49" s="842">
        <v>3</v>
      </c>
      <c r="AA49" s="842">
        <v>3</v>
      </c>
      <c r="AB49" s="842">
        <v>3</v>
      </c>
      <c r="AC49" s="842"/>
      <c r="AD49" s="842"/>
      <c r="AE49" s="842">
        <v>11</v>
      </c>
      <c r="AF49" s="842">
        <v>11</v>
      </c>
      <c r="AG49" s="105"/>
    </row>
    <row r="50" spans="1:34" ht="18" customHeight="1">
      <c r="A50" s="3087">
        <v>4</v>
      </c>
      <c r="B50" s="3035" t="s">
        <v>99</v>
      </c>
      <c r="C50" s="510">
        <v>8</v>
      </c>
      <c r="D50" s="510">
        <v>8</v>
      </c>
      <c r="E50" s="510">
        <v>8</v>
      </c>
      <c r="F50" s="510">
        <v>8</v>
      </c>
      <c r="G50" s="510">
        <v>8</v>
      </c>
      <c r="H50" s="510"/>
      <c r="I50" s="510"/>
      <c r="J50" s="508" t="s">
        <v>46</v>
      </c>
      <c r="K50" s="508" t="s">
        <v>46</v>
      </c>
      <c r="L50" s="508" t="s">
        <v>46</v>
      </c>
      <c r="M50" s="508" t="s">
        <v>46</v>
      </c>
      <c r="N50" s="508" t="s">
        <v>46</v>
      </c>
      <c r="O50" s="508"/>
      <c r="P50" s="508"/>
      <c r="Q50" s="508">
        <v>1</v>
      </c>
      <c r="R50" s="504">
        <v>1</v>
      </c>
      <c r="S50" s="504">
        <v>1</v>
      </c>
      <c r="T50" s="504">
        <v>1</v>
      </c>
      <c r="U50" s="504">
        <v>1</v>
      </c>
      <c r="V50" s="508"/>
      <c r="W50" s="508"/>
      <c r="X50" s="501">
        <v>9</v>
      </c>
      <c r="Y50" s="504">
        <v>9</v>
      </c>
      <c r="Z50" s="504">
        <v>9</v>
      </c>
      <c r="AA50" s="586">
        <v>9</v>
      </c>
      <c r="AB50" s="586">
        <v>9</v>
      </c>
      <c r="AC50" s="509" t="s">
        <v>52</v>
      </c>
      <c r="AD50" s="504" t="s">
        <v>53</v>
      </c>
      <c r="AE50" s="504" t="s">
        <v>46</v>
      </c>
      <c r="AF50" s="504" t="s">
        <v>46</v>
      </c>
      <c r="AG50" s="105"/>
      <c r="AH50" s="124" t="s">
        <v>133</v>
      </c>
    </row>
    <row r="51" spans="1:34" ht="18" customHeight="1">
      <c r="A51" s="3493">
        <v>9</v>
      </c>
      <c r="B51" s="3417" t="s">
        <v>101</v>
      </c>
      <c r="C51" s="3418">
        <v>6</v>
      </c>
      <c r="D51" s="3418">
        <v>6</v>
      </c>
      <c r="E51" s="3418">
        <v>6</v>
      </c>
      <c r="F51" s="3418">
        <v>6</v>
      </c>
      <c r="G51" s="3418">
        <v>6</v>
      </c>
      <c r="H51" s="3418"/>
      <c r="I51" s="3419"/>
      <c r="J51" s="3418" t="s">
        <v>46</v>
      </c>
      <c r="K51" s="3418" t="s">
        <v>46</v>
      </c>
      <c r="L51" s="3418" t="s">
        <v>46</v>
      </c>
      <c r="M51" s="3418" t="s">
        <v>46</v>
      </c>
      <c r="N51" s="3422" t="s">
        <v>46</v>
      </c>
      <c r="O51" s="3418"/>
      <c r="P51" s="3418"/>
      <c r="Q51" s="3418">
        <v>5</v>
      </c>
      <c r="R51" s="3418">
        <v>5</v>
      </c>
      <c r="S51" s="3418">
        <v>5</v>
      </c>
      <c r="T51" s="3418">
        <v>5</v>
      </c>
      <c r="U51" s="3418">
        <v>5</v>
      </c>
      <c r="V51" s="3503"/>
      <c r="W51" s="3503"/>
      <c r="X51" s="3432">
        <v>10</v>
      </c>
      <c r="Y51" s="3503">
        <v>10</v>
      </c>
      <c r="Z51" s="3503">
        <v>10</v>
      </c>
      <c r="AA51" s="3503">
        <v>10</v>
      </c>
      <c r="AB51" s="3503">
        <v>10</v>
      </c>
      <c r="AC51" s="3436" t="s">
        <v>53</v>
      </c>
      <c r="AD51" s="3436" t="s">
        <v>53</v>
      </c>
      <c r="AE51" s="3422" t="s">
        <v>46</v>
      </c>
      <c r="AF51" s="3504" t="s">
        <v>46</v>
      </c>
      <c r="AG51" s="105"/>
    </row>
    <row r="52" spans="1:34" ht="18" customHeight="1" thickBot="1">
      <c r="A52" s="3495">
        <v>14</v>
      </c>
      <c r="B52" s="3424" t="s">
        <v>102</v>
      </c>
      <c r="C52" s="3451">
        <v>7</v>
      </c>
      <c r="D52" s="3465">
        <v>7</v>
      </c>
      <c r="E52" s="3496">
        <v>7</v>
      </c>
      <c r="F52" s="3496">
        <v>7</v>
      </c>
      <c r="G52" s="3496">
        <v>7</v>
      </c>
      <c r="H52" s="3496"/>
      <c r="I52" s="3496"/>
      <c r="J52" s="3505">
        <v>4</v>
      </c>
      <c r="K52" s="3505">
        <v>4</v>
      </c>
      <c r="L52" s="3505">
        <v>4</v>
      </c>
      <c r="M52" s="3505">
        <v>4</v>
      </c>
      <c r="N52" s="3505">
        <v>4</v>
      </c>
      <c r="O52" s="3450"/>
      <c r="P52" s="3450"/>
      <c r="Q52" s="3496">
        <v>3</v>
      </c>
      <c r="R52" s="3496">
        <v>3</v>
      </c>
      <c r="S52" s="3496">
        <v>3</v>
      </c>
      <c r="T52" s="3496">
        <v>3</v>
      </c>
      <c r="U52" s="3506">
        <v>3</v>
      </c>
      <c r="V52" s="3506" t="s">
        <v>91</v>
      </c>
      <c r="W52" s="3496"/>
      <c r="X52" s="3507">
        <v>11</v>
      </c>
      <c r="Y52" s="3507">
        <v>11</v>
      </c>
      <c r="Z52" s="3507">
        <v>11</v>
      </c>
      <c r="AA52" s="3507">
        <v>11</v>
      </c>
      <c r="AB52" s="3507">
        <v>11</v>
      </c>
      <c r="AC52" s="3506" t="s">
        <v>87</v>
      </c>
      <c r="AD52" s="3496" t="s">
        <v>87</v>
      </c>
      <c r="AE52" s="3451" t="s">
        <v>46</v>
      </c>
      <c r="AF52" s="3496" t="s">
        <v>46</v>
      </c>
      <c r="AG52" s="105"/>
    </row>
    <row r="53" spans="1:34" ht="18" customHeight="1">
      <c r="A53" s="3087">
        <v>5</v>
      </c>
      <c r="B53" s="3417"/>
      <c r="C53" s="3089" t="s">
        <v>46</v>
      </c>
      <c r="D53" s="2989" t="s">
        <v>46</v>
      </c>
      <c r="E53" s="2989" t="s">
        <v>46</v>
      </c>
      <c r="F53" s="2989" t="s">
        <v>46</v>
      </c>
      <c r="G53" s="2989" t="s">
        <v>46</v>
      </c>
      <c r="H53" s="2989"/>
      <c r="I53" s="2989"/>
      <c r="O53" s="3089"/>
      <c r="P53" s="3088"/>
      <c r="Q53" s="3088"/>
      <c r="R53" s="3089"/>
      <c r="S53" s="3088"/>
      <c r="T53" s="3088"/>
      <c r="U53" s="3090"/>
      <c r="V53" s="3090"/>
      <c r="W53" s="3090"/>
      <c r="X53" s="3090"/>
      <c r="Y53" s="3112"/>
      <c r="Z53" s="3090"/>
      <c r="AA53" s="3090"/>
      <c r="AB53" s="3090"/>
      <c r="AC53" s="3090"/>
      <c r="AD53" s="3088"/>
      <c r="AE53" s="3088"/>
      <c r="AF53" s="3089"/>
      <c r="AG53" s="105"/>
    </row>
    <row r="54" spans="1:34" ht="18" customHeight="1">
      <c r="A54" s="3493">
        <v>10</v>
      </c>
      <c r="B54" s="3417" t="s">
        <v>105</v>
      </c>
      <c r="C54" s="3422" t="s">
        <v>46</v>
      </c>
      <c r="D54" s="3422" t="s">
        <v>46</v>
      </c>
      <c r="E54" s="3422" t="s">
        <v>46</v>
      </c>
      <c r="F54" s="3422" t="s">
        <v>46</v>
      </c>
      <c r="G54" s="3422" t="s">
        <v>46</v>
      </c>
      <c r="H54" s="3422"/>
      <c r="I54" s="3419"/>
      <c r="J54" s="3494">
        <v>5</v>
      </c>
      <c r="K54" s="3494">
        <v>5</v>
      </c>
      <c r="L54" s="3494">
        <v>5</v>
      </c>
      <c r="M54" s="3494">
        <v>5</v>
      </c>
      <c r="N54" s="3494">
        <v>5</v>
      </c>
      <c r="O54" s="3494"/>
      <c r="P54" s="3494"/>
      <c r="Q54" s="3494">
        <v>10</v>
      </c>
      <c r="R54" s="3494">
        <v>10</v>
      </c>
      <c r="S54" s="3494">
        <v>10</v>
      </c>
      <c r="T54" s="3494">
        <v>10</v>
      </c>
      <c r="U54" s="3494">
        <v>10</v>
      </c>
      <c r="V54" s="3494" t="s">
        <v>53</v>
      </c>
      <c r="W54" s="3494" t="s">
        <v>53</v>
      </c>
      <c r="X54" s="3494" t="s">
        <v>46</v>
      </c>
      <c r="Y54" s="3494" t="s">
        <v>46</v>
      </c>
      <c r="Z54" s="3494" t="s">
        <v>46</v>
      </c>
      <c r="AA54" s="3494" t="s">
        <v>46</v>
      </c>
      <c r="AB54" s="3494" t="s">
        <v>46</v>
      </c>
      <c r="AC54" s="3494" t="s">
        <v>86</v>
      </c>
      <c r="AD54" s="3494" t="s">
        <v>86</v>
      </c>
      <c r="AE54" s="3436">
        <v>7</v>
      </c>
      <c r="AF54" s="3436">
        <v>7</v>
      </c>
      <c r="AG54" s="105"/>
      <c r="AH54" t="s">
        <v>133</v>
      </c>
    </row>
    <row r="55" spans="1:34" ht="18" customHeight="1" thickBot="1">
      <c r="A55" s="3495">
        <v>15</v>
      </c>
      <c r="B55" s="3424" t="s">
        <v>106</v>
      </c>
      <c r="C55" s="3505">
        <v>4</v>
      </c>
      <c r="D55" s="3505">
        <v>4</v>
      </c>
      <c r="E55" s="3505">
        <v>4</v>
      </c>
      <c r="F55" s="3505">
        <v>4</v>
      </c>
      <c r="G55" s="3505">
        <v>4</v>
      </c>
      <c r="H55" s="3450"/>
      <c r="I55" s="3450"/>
      <c r="J55" s="3508">
        <v>3</v>
      </c>
      <c r="K55" s="3508">
        <v>3</v>
      </c>
      <c r="L55" s="3508">
        <v>3</v>
      </c>
      <c r="M55" s="3509">
        <v>3</v>
      </c>
      <c r="N55" s="3510">
        <v>3</v>
      </c>
      <c r="O55" s="3511"/>
      <c r="P55" s="3511"/>
      <c r="Q55" s="3510">
        <v>11</v>
      </c>
      <c r="R55" s="3510">
        <v>11</v>
      </c>
      <c r="S55" s="3510">
        <v>11</v>
      </c>
      <c r="T55" s="3512">
        <v>11</v>
      </c>
      <c r="U55" s="3513">
        <v>11</v>
      </c>
      <c r="V55" s="3510" t="s">
        <v>87</v>
      </c>
      <c r="W55" s="3514" t="s">
        <v>87</v>
      </c>
      <c r="X55" s="3514" t="s">
        <v>46</v>
      </c>
      <c r="Y55" s="3514" t="s">
        <v>46</v>
      </c>
      <c r="Z55" s="3514" t="s">
        <v>46</v>
      </c>
      <c r="AA55" s="3514" t="s">
        <v>46</v>
      </c>
      <c r="AB55" s="3514" t="s">
        <v>46</v>
      </c>
      <c r="AC55" s="3514" t="s">
        <v>89</v>
      </c>
      <c r="AD55" s="3426" t="s">
        <v>89</v>
      </c>
      <c r="AE55" s="3426">
        <v>8</v>
      </c>
      <c r="AF55" s="3426">
        <v>8</v>
      </c>
      <c r="AG55" s="220" t="s">
        <v>474</v>
      </c>
    </row>
    <row r="56" spans="1:34" ht="18" customHeight="1">
      <c r="A56" s="61"/>
      <c r="AG56" s="108"/>
    </row>
    <row r="57" spans="1:34" ht="18" customHeight="1">
      <c r="A57" s="61"/>
      <c r="AG57" s="108"/>
    </row>
    <row r="58" spans="1:34" ht="18" customHeight="1" thickBot="1">
      <c r="A58" s="67"/>
      <c r="B58" s="42"/>
      <c r="G58" s="111"/>
      <c r="H58" s="179"/>
      <c r="I58" s="179"/>
    </row>
    <row r="59" spans="1:34" ht="18" customHeight="1" thickBot="1">
      <c r="A59" s="3515"/>
      <c r="B59" s="3516" t="s">
        <v>38</v>
      </c>
      <c r="C59" s="2985">
        <v>1</v>
      </c>
      <c r="D59" s="2985">
        <v>2</v>
      </c>
      <c r="E59" s="2985">
        <v>3</v>
      </c>
      <c r="F59" s="2985">
        <v>4</v>
      </c>
      <c r="G59" s="2985">
        <v>5</v>
      </c>
      <c r="H59" s="2986">
        <v>6</v>
      </c>
      <c r="I59" s="2986">
        <v>7</v>
      </c>
      <c r="J59" s="2985">
        <v>8</v>
      </c>
      <c r="K59" s="2985">
        <v>9</v>
      </c>
      <c r="L59" s="2985">
        <v>10</v>
      </c>
      <c r="M59" s="2985">
        <v>11</v>
      </c>
      <c r="N59" s="2985">
        <v>12</v>
      </c>
      <c r="O59" s="2986">
        <v>13</v>
      </c>
      <c r="P59" s="2986">
        <v>14</v>
      </c>
      <c r="Q59" s="2985">
        <v>15</v>
      </c>
      <c r="R59" s="2985">
        <v>16</v>
      </c>
      <c r="S59" s="2985">
        <v>17</v>
      </c>
      <c r="T59" s="2985">
        <v>18</v>
      </c>
      <c r="U59" s="2985">
        <v>19</v>
      </c>
      <c r="V59" s="2986">
        <v>20</v>
      </c>
      <c r="W59" s="2986">
        <v>21</v>
      </c>
      <c r="X59" s="2985">
        <v>22</v>
      </c>
      <c r="Y59" s="2985">
        <v>23</v>
      </c>
      <c r="Z59" s="2985">
        <v>24</v>
      </c>
      <c r="AA59" s="2985">
        <v>25</v>
      </c>
      <c r="AB59" s="2985">
        <v>26</v>
      </c>
      <c r="AC59" s="2986">
        <v>27</v>
      </c>
      <c r="AD59" s="2986">
        <v>28</v>
      </c>
      <c r="AE59" s="2985">
        <v>29</v>
      </c>
      <c r="AF59" s="2985">
        <v>30</v>
      </c>
    </row>
    <row r="60" spans="1:34" ht="18" customHeight="1">
      <c r="A60" s="3517"/>
      <c r="B60" s="3518" t="s">
        <v>112</v>
      </c>
      <c r="C60" s="3418" t="s">
        <v>43</v>
      </c>
      <c r="D60" s="3418" t="s">
        <v>43</v>
      </c>
      <c r="E60" s="3418" t="s">
        <v>43</v>
      </c>
      <c r="F60" s="3418" t="s">
        <v>475</v>
      </c>
      <c r="G60" s="3418" t="s">
        <v>475</v>
      </c>
      <c r="H60" s="3519" t="s">
        <v>49</v>
      </c>
      <c r="I60" s="3520" t="s">
        <v>49</v>
      </c>
      <c r="J60" s="3521" t="s">
        <v>46</v>
      </c>
      <c r="K60" s="3521" t="s">
        <v>475</v>
      </c>
      <c r="L60" s="3418" t="s">
        <v>475</v>
      </c>
      <c r="M60" s="3418" t="s">
        <v>475</v>
      </c>
      <c r="N60" s="3418" t="s">
        <v>475</v>
      </c>
      <c r="O60" s="3432"/>
      <c r="P60" s="3432"/>
      <c r="Q60" s="3418" t="s">
        <v>257</v>
      </c>
      <c r="R60" s="3522" t="s">
        <v>475</v>
      </c>
      <c r="S60" s="3523" t="s">
        <v>475</v>
      </c>
      <c r="T60" s="3523" t="s">
        <v>475</v>
      </c>
      <c r="U60" s="3418" t="s">
        <v>475</v>
      </c>
      <c r="V60" s="3432"/>
      <c r="W60" s="3432" t="s">
        <v>104</v>
      </c>
      <c r="X60" s="3418" t="s">
        <v>475</v>
      </c>
      <c r="Y60" s="3418" t="s">
        <v>475</v>
      </c>
      <c r="Z60" s="3418" t="s">
        <v>475</v>
      </c>
      <c r="AA60" s="3418" t="s">
        <v>475</v>
      </c>
      <c r="AB60" s="3524" t="s">
        <v>475</v>
      </c>
      <c r="AC60" s="3525"/>
      <c r="AD60" s="3525"/>
      <c r="AE60" s="3418" t="s">
        <v>475</v>
      </c>
      <c r="AF60" s="3524" t="s">
        <v>475</v>
      </c>
    </row>
    <row r="61" spans="1:34" ht="18" customHeight="1">
      <c r="A61" s="3517"/>
      <c r="B61" s="3518" t="s">
        <v>114</v>
      </c>
      <c r="C61" s="307">
        <v>69</v>
      </c>
      <c r="D61" s="3526" t="s">
        <v>40</v>
      </c>
      <c r="E61" s="182">
        <v>69</v>
      </c>
      <c r="F61" s="3526">
        <v>9</v>
      </c>
      <c r="G61" s="3527">
        <v>9</v>
      </c>
      <c r="H61" s="3418"/>
      <c r="I61" s="3418"/>
      <c r="J61" s="3528" t="s">
        <v>152</v>
      </c>
      <c r="K61" s="3528" t="s">
        <v>152</v>
      </c>
      <c r="L61" s="3528" t="s">
        <v>152</v>
      </c>
      <c r="M61" s="3528" t="s">
        <v>152</v>
      </c>
      <c r="N61" s="3529" t="s">
        <v>152</v>
      </c>
      <c r="O61" s="3529" t="s">
        <v>373</v>
      </c>
      <c r="P61" s="3530" t="s">
        <v>113</v>
      </c>
      <c r="Q61" s="3531" t="s">
        <v>113</v>
      </c>
      <c r="R61" s="329">
        <v>9</v>
      </c>
      <c r="S61" s="330" t="s">
        <v>46</v>
      </c>
      <c r="T61" s="330" t="s">
        <v>46</v>
      </c>
      <c r="U61" s="3532" t="s">
        <v>46</v>
      </c>
      <c r="V61" s="3432"/>
      <c r="W61" s="3434"/>
      <c r="X61" s="3523" t="s">
        <v>46</v>
      </c>
      <c r="Y61" s="3523" t="s">
        <v>61</v>
      </c>
      <c r="Z61" s="3523" t="s">
        <v>46</v>
      </c>
      <c r="AA61" s="3523">
        <v>3</v>
      </c>
      <c r="AB61" s="3533" t="s">
        <v>46</v>
      </c>
      <c r="AC61" s="3534" t="s">
        <v>89</v>
      </c>
      <c r="AD61" s="3534" t="s">
        <v>89</v>
      </c>
      <c r="AE61" s="3535" t="s">
        <v>40</v>
      </c>
      <c r="AF61" s="3536" t="s">
        <v>40</v>
      </c>
    </row>
    <row r="62" spans="1:34" ht="18" customHeight="1">
      <c r="A62" s="3537"/>
      <c r="B62" s="3538" t="s">
        <v>115</v>
      </c>
      <c r="C62" s="3539">
        <v>9</v>
      </c>
      <c r="D62" s="3539">
        <v>9</v>
      </c>
      <c r="E62" s="3539" t="s">
        <v>366</v>
      </c>
      <c r="F62" s="3540" t="s">
        <v>413</v>
      </c>
      <c r="G62" s="3540" t="s">
        <v>413</v>
      </c>
      <c r="H62" s="3541"/>
      <c r="I62" s="3542"/>
      <c r="J62" s="3543">
        <v>4</v>
      </c>
      <c r="K62" s="3521">
        <v>4</v>
      </c>
      <c r="L62" s="3544">
        <v>4</v>
      </c>
      <c r="M62" s="3521">
        <v>4</v>
      </c>
      <c r="N62" s="3544">
        <v>4</v>
      </c>
      <c r="O62" s="3545" t="s">
        <v>104</v>
      </c>
      <c r="P62" s="3546" t="s">
        <v>104</v>
      </c>
      <c r="Q62" s="3547" t="s">
        <v>152</v>
      </c>
      <c r="R62" s="504" t="s">
        <v>152</v>
      </c>
      <c r="S62" s="504" t="s">
        <v>152</v>
      </c>
      <c r="T62" s="593" t="s">
        <v>152</v>
      </c>
      <c r="U62" s="3548" t="s">
        <v>152</v>
      </c>
      <c r="V62" s="3547" t="s">
        <v>104</v>
      </c>
      <c r="W62" s="3549"/>
      <c r="X62" s="3550" t="s">
        <v>152</v>
      </c>
      <c r="Y62" s="3549" t="s">
        <v>152</v>
      </c>
      <c r="Z62" s="3525" t="s">
        <v>152</v>
      </c>
      <c r="AA62" s="3521" t="s">
        <v>152</v>
      </c>
      <c r="AB62" s="3521" t="s">
        <v>152</v>
      </c>
      <c r="AC62" s="3549"/>
      <c r="AD62" s="3549"/>
      <c r="AE62" s="3549">
        <v>9</v>
      </c>
      <c r="AF62" s="3549">
        <v>9</v>
      </c>
    </row>
    <row r="63" spans="1:34" ht="18" customHeight="1">
      <c r="B63" s="3518" t="s">
        <v>117</v>
      </c>
      <c r="C63" s="3551">
        <v>5</v>
      </c>
      <c r="D63" s="3551">
        <v>5</v>
      </c>
      <c r="E63" s="596" t="s">
        <v>46</v>
      </c>
      <c r="F63" s="581" t="s">
        <v>46</v>
      </c>
      <c r="G63" s="581" t="s">
        <v>46</v>
      </c>
      <c r="H63" s="3552" t="s">
        <v>429</v>
      </c>
      <c r="I63" s="3552" t="s">
        <v>418</v>
      </c>
      <c r="J63" s="511">
        <v>5</v>
      </c>
      <c r="K63" s="501">
        <v>5</v>
      </c>
      <c r="L63" s="501">
        <v>5</v>
      </c>
      <c r="M63" s="504" t="s">
        <v>457</v>
      </c>
      <c r="N63" s="504" t="s">
        <v>457</v>
      </c>
      <c r="O63" s="504"/>
      <c r="P63" s="3542" t="s">
        <v>126</v>
      </c>
      <c r="Q63" s="3553">
        <v>6</v>
      </c>
      <c r="R63" s="3553">
        <v>6</v>
      </c>
      <c r="S63" s="3553">
        <v>6</v>
      </c>
      <c r="T63" s="3553">
        <v>6</v>
      </c>
      <c r="U63" s="3548" t="s">
        <v>104</v>
      </c>
      <c r="V63" s="3548"/>
      <c r="W63" s="3549" t="s">
        <v>61</v>
      </c>
      <c r="X63" s="3549" t="s">
        <v>61</v>
      </c>
      <c r="Y63" s="3523" t="s">
        <v>46</v>
      </c>
      <c r="Z63" s="3523" t="s">
        <v>46</v>
      </c>
      <c r="AA63" s="3523" t="s">
        <v>46</v>
      </c>
      <c r="AB63" s="3521" t="s">
        <v>457</v>
      </c>
      <c r="AC63" s="3521"/>
      <c r="AD63" s="3554"/>
      <c r="AE63" s="3549">
        <v>5</v>
      </c>
      <c r="AF63" s="3549">
        <v>5</v>
      </c>
    </row>
    <row r="64" spans="1:34" ht="18" customHeight="1">
      <c r="B64" s="3518" t="s">
        <v>119</v>
      </c>
      <c r="C64" s="599">
        <v>8</v>
      </c>
      <c r="D64" s="601">
        <v>8</v>
      </c>
      <c r="E64" s="599">
        <v>8</v>
      </c>
      <c r="F64" s="599">
        <v>8</v>
      </c>
      <c r="G64" s="599">
        <v>8</v>
      </c>
      <c r="H64" s="3432"/>
      <c r="I64" s="3432"/>
      <c r="J64" s="3437">
        <v>9</v>
      </c>
      <c r="K64" s="3437">
        <v>9</v>
      </c>
      <c r="L64" s="3555">
        <v>9</v>
      </c>
      <c r="M64" s="3528">
        <v>9</v>
      </c>
      <c r="N64" s="3528">
        <v>9</v>
      </c>
      <c r="O64" s="3528" t="s">
        <v>52</v>
      </c>
      <c r="P64" s="3531" t="s">
        <v>53</v>
      </c>
      <c r="Q64" s="3555" t="s">
        <v>46</v>
      </c>
      <c r="R64" s="3555" t="s">
        <v>46</v>
      </c>
      <c r="S64" s="3555" t="s">
        <v>46</v>
      </c>
      <c r="T64" s="3555" t="s">
        <v>46</v>
      </c>
      <c r="U64" s="3555" t="s">
        <v>40</v>
      </c>
      <c r="V64" s="3555" t="s">
        <v>104</v>
      </c>
      <c r="W64" s="306" t="s">
        <v>89</v>
      </c>
      <c r="X64" s="586">
        <v>6</v>
      </c>
      <c r="Y64" s="586">
        <v>6</v>
      </c>
      <c r="Z64" s="586">
        <v>6</v>
      </c>
      <c r="AA64" s="586">
        <v>6</v>
      </c>
      <c r="AB64" s="586">
        <v>6</v>
      </c>
      <c r="AC64" s="581"/>
      <c r="AD64" s="501"/>
      <c r="AE64" s="501" t="s">
        <v>40</v>
      </c>
      <c r="AF64" s="736" t="s">
        <v>116</v>
      </c>
    </row>
    <row r="65" spans="2:34" ht="18" customHeight="1">
      <c r="B65" s="3518" t="s">
        <v>476</v>
      </c>
      <c r="C65" s="3494" t="s">
        <v>116</v>
      </c>
      <c r="D65" s="3494" t="s">
        <v>116</v>
      </c>
      <c r="E65" s="3494" t="s">
        <v>116</v>
      </c>
      <c r="F65" s="3494" t="s">
        <v>116</v>
      </c>
      <c r="G65" s="3494" t="s">
        <v>116</v>
      </c>
      <c r="H65" s="3494"/>
      <c r="I65" s="3494"/>
      <c r="J65" s="3556">
        <v>89</v>
      </c>
      <c r="K65" s="3557" t="s">
        <v>417</v>
      </c>
      <c r="L65" s="3558">
        <v>99</v>
      </c>
      <c r="M65" s="3559" t="s">
        <v>417</v>
      </c>
      <c r="N65" s="3558">
        <v>69</v>
      </c>
      <c r="O65" s="3560"/>
      <c r="P65" s="3560"/>
      <c r="Q65" s="3560" t="s">
        <v>40</v>
      </c>
      <c r="R65" s="3560" t="s">
        <v>116</v>
      </c>
      <c r="S65" s="3560" t="s">
        <v>40</v>
      </c>
      <c r="T65" s="3560" t="s">
        <v>116</v>
      </c>
      <c r="U65" s="3560" t="s">
        <v>40</v>
      </c>
      <c r="V65" s="3560"/>
      <c r="W65" s="3560"/>
      <c r="X65" s="199">
        <v>89</v>
      </c>
      <c r="Y65" s="3430" t="s">
        <v>116</v>
      </c>
      <c r="Z65" s="3430" t="s">
        <v>40</v>
      </c>
      <c r="AA65" s="3430" t="s">
        <v>116</v>
      </c>
      <c r="AB65" s="3430" t="s">
        <v>40</v>
      </c>
      <c r="AC65" s="3430"/>
      <c r="AD65" s="3430"/>
      <c r="AE65" s="3430" t="s">
        <v>40</v>
      </c>
      <c r="AF65" s="3430" t="s">
        <v>116</v>
      </c>
      <c r="AH65" t="s">
        <v>0</v>
      </c>
    </row>
    <row r="66" spans="2:34" ht="18" customHeight="1">
      <c r="B66" s="3518" t="s">
        <v>122</v>
      </c>
      <c r="C66" s="3536" t="s">
        <v>40</v>
      </c>
      <c r="D66" s="3536" t="s">
        <v>40</v>
      </c>
      <c r="E66" s="3536" t="s">
        <v>40</v>
      </c>
      <c r="F66" s="3536" t="s">
        <v>40</v>
      </c>
      <c r="G66" s="3536" t="s">
        <v>40</v>
      </c>
      <c r="H66" s="3536"/>
      <c r="I66" s="3536"/>
      <c r="J66" s="3536" t="s">
        <v>40</v>
      </c>
      <c r="K66" s="3536" t="s">
        <v>40</v>
      </c>
      <c r="L66" s="246" t="s">
        <v>40</v>
      </c>
      <c r="M66" s="246" t="s">
        <v>40</v>
      </c>
      <c r="N66" s="246" t="s">
        <v>40</v>
      </c>
      <c r="O66" s="246"/>
      <c r="P66" s="246"/>
      <c r="Q66" s="608">
        <v>9</v>
      </c>
      <c r="R66" s="609">
        <v>9</v>
      </c>
      <c r="S66" s="504" t="s">
        <v>366</v>
      </c>
      <c r="T66" s="504">
        <v>9</v>
      </c>
      <c r="U66" s="610">
        <v>9</v>
      </c>
      <c r="V66" s="508" t="s">
        <v>52</v>
      </c>
      <c r="W66" s="508" t="s">
        <v>53</v>
      </c>
      <c r="X66" s="3561" t="s">
        <v>46</v>
      </c>
      <c r="Y66" s="3561" t="s">
        <v>46</v>
      </c>
      <c r="Z66" s="3561" t="s">
        <v>46</v>
      </c>
      <c r="AA66" s="3561" t="s">
        <v>46</v>
      </c>
      <c r="AB66" s="3561" t="s">
        <v>46</v>
      </c>
      <c r="AC66" s="3437" t="s">
        <v>86</v>
      </c>
      <c r="AD66" s="3437" t="s">
        <v>86</v>
      </c>
      <c r="AE66" s="3561">
        <v>6</v>
      </c>
      <c r="AF66" s="3561">
        <v>6</v>
      </c>
    </row>
    <row r="67" spans="2:34" ht="18" customHeight="1">
      <c r="B67" s="3538" t="s">
        <v>129</v>
      </c>
      <c r="C67" s="3549" t="s">
        <v>116</v>
      </c>
      <c r="D67" s="3549" t="s">
        <v>116</v>
      </c>
      <c r="E67" s="3549" t="s">
        <v>116</v>
      </c>
      <c r="F67" s="3562" t="s">
        <v>116</v>
      </c>
      <c r="G67" s="3562" t="s">
        <v>116</v>
      </c>
      <c r="H67" s="3558"/>
      <c r="I67" s="3558" t="s">
        <v>376</v>
      </c>
      <c r="J67" s="124" t="s">
        <v>113</v>
      </c>
      <c r="K67" s="124" t="s">
        <v>113</v>
      </c>
      <c r="L67" s="3547" t="s">
        <v>46</v>
      </c>
      <c r="M67" s="3547" t="s">
        <v>116</v>
      </c>
      <c r="N67" s="3547" t="s">
        <v>153</v>
      </c>
      <c r="O67" s="3504" t="s">
        <v>91</v>
      </c>
      <c r="P67" s="3504" t="s">
        <v>89</v>
      </c>
      <c r="Q67" s="3563" t="s">
        <v>46</v>
      </c>
      <c r="R67" s="3564" t="s">
        <v>46</v>
      </c>
      <c r="S67" s="3563" t="s">
        <v>46</v>
      </c>
      <c r="T67" s="3564" t="s">
        <v>46</v>
      </c>
      <c r="U67" s="3565">
        <v>6</v>
      </c>
      <c r="V67" s="3547"/>
      <c r="W67" s="3547"/>
      <c r="X67" s="3521" t="s">
        <v>418</v>
      </c>
      <c r="Y67" s="3521" t="s">
        <v>418</v>
      </c>
      <c r="Z67" s="3561" t="s">
        <v>46</v>
      </c>
      <c r="AA67" s="3525" t="s">
        <v>113</v>
      </c>
      <c r="AB67" s="3525" t="s">
        <v>373</v>
      </c>
      <c r="AC67" s="3525" t="s">
        <v>373</v>
      </c>
      <c r="AD67" s="3525" t="s">
        <v>113</v>
      </c>
      <c r="AE67" s="3547">
        <v>10</v>
      </c>
      <c r="AF67" s="3547" t="s">
        <v>46</v>
      </c>
    </row>
    <row r="68" spans="2:34" ht="18" customHeight="1">
      <c r="B68" s="3566" t="s">
        <v>134</v>
      </c>
      <c r="C68" s="3418" t="s">
        <v>46</v>
      </c>
      <c r="D68" s="3418" t="s">
        <v>46</v>
      </c>
      <c r="E68" s="3418" t="s">
        <v>46</v>
      </c>
      <c r="F68" s="3418" t="s">
        <v>46</v>
      </c>
      <c r="G68" s="3418" t="s">
        <v>46</v>
      </c>
      <c r="H68" s="3567" t="s">
        <v>86</v>
      </c>
      <c r="I68" s="3567" t="s">
        <v>86</v>
      </c>
      <c r="J68" s="3567">
        <v>7</v>
      </c>
      <c r="K68" s="3567">
        <v>7</v>
      </c>
      <c r="L68" s="3567">
        <v>7</v>
      </c>
      <c r="M68" s="3567">
        <v>7</v>
      </c>
      <c r="N68" s="3567">
        <v>7</v>
      </c>
      <c r="O68" s="611"/>
      <c r="P68" s="555"/>
      <c r="Q68" s="3549">
        <v>11</v>
      </c>
      <c r="R68" s="3549">
        <v>11</v>
      </c>
      <c r="S68" s="3549">
        <v>11</v>
      </c>
      <c r="T68" s="3549">
        <v>11</v>
      </c>
      <c r="U68" s="3549">
        <v>11</v>
      </c>
      <c r="V68" s="3567"/>
      <c r="W68" s="3567"/>
      <c r="X68" s="3568">
        <v>3</v>
      </c>
      <c r="Y68" s="3567">
        <v>3</v>
      </c>
      <c r="Z68" s="3567">
        <v>3</v>
      </c>
      <c r="AA68" s="3567" t="s">
        <v>116</v>
      </c>
      <c r="AB68" s="3567">
        <v>3</v>
      </c>
      <c r="AC68" s="3567"/>
      <c r="AD68" s="3567"/>
      <c r="AE68" s="3549">
        <v>8</v>
      </c>
      <c r="AF68" s="3549">
        <v>8</v>
      </c>
    </row>
    <row r="69" spans="2:34" ht="18" customHeight="1" thickBot="1">
      <c r="B69" s="3517" t="s">
        <v>135</v>
      </c>
      <c r="C69" s="586" t="s">
        <v>121</v>
      </c>
      <c r="D69" s="586" t="s">
        <v>121</v>
      </c>
      <c r="E69" s="586" t="s">
        <v>121</v>
      </c>
      <c r="F69" s="586" t="s">
        <v>121</v>
      </c>
      <c r="G69" s="586" t="s">
        <v>121</v>
      </c>
      <c r="H69" s="586" t="s">
        <v>120</v>
      </c>
      <c r="I69" s="586" t="s">
        <v>120</v>
      </c>
      <c r="J69" s="581" t="s">
        <v>46</v>
      </c>
      <c r="K69" s="504" t="s">
        <v>46</v>
      </c>
      <c r="L69" s="504" t="s">
        <v>46</v>
      </c>
      <c r="M69" s="504" t="s">
        <v>46</v>
      </c>
      <c r="N69" s="504" t="s">
        <v>46</v>
      </c>
      <c r="O69" s="504" t="s">
        <v>46</v>
      </c>
      <c r="P69" s="504" t="s">
        <v>46</v>
      </c>
      <c r="Q69" s="612" t="s">
        <v>40</v>
      </c>
      <c r="R69" s="613" t="s">
        <v>40</v>
      </c>
      <c r="S69" s="614" t="s">
        <v>40</v>
      </c>
      <c r="T69" s="614" t="s">
        <v>40</v>
      </c>
      <c r="U69" s="614" t="s">
        <v>40</v>
      </c>
      <c r="V69" s="3503"/>
      <c r="W69" s="3549"/>
      <c r="X69" s="3549" t="s">
        <v>413</v>
      </c>
      <c r="Y69" s="480" t="s">
        <v>118</v>
      </c>
      <c r="Z69" s="480" t="s">
        <v>118</v>
      </c>
      <c r="AA69" s="480" t="s">
        <v>118</v>
      </c>
      <c r="AB69" s="480" t="s">
        <v>118</v>
      </c>
      <c r="AC69" s="480" t="s">
        <v>118</v>
      </c>
      <c r="AD69" s="3422"/>
      <c r="AE69" s="3526">
        <v>26</v>
      </c>
      <c r="AF69" s="3526">
        <v>26</v>
      </c>
    </row>
    <row r="70" spans="2:34" ht="18" customHeight="1" thickBot="1">
      <c r="B70" s="3517" t="s">
        <v>138</v>
      </c>
      <c r="C70" s="3096" t="s">
        <v>40</v>
      </c>
      <c r="D70" s="3096" t="s">
        <v>40</v>
      </c>
      <c r="E70" s="3096" t="s">
        <v>40</v>
      </c>
      <c r="F70" s="3096" t="s">
        <v>40</v>
      </c>
      <c r="G70" s="3096" t="s">
        <v>40</v>
      </c>
      <c r="H70" s="3096"/>
      <c r="I70" s="3096"/>
      <c r="J70" s="3569" t="s">
        <v>40</v>
      </c>
      <c r="K70" s="3569" t="s">
        <v>40</v>
      </c>
      <c r="L70" s="3569" t="s">
        <v>40</v>
      </c>
      <c r="M70" s="3569" t="s">
        <v>40</v>
      </c>
      <c r="N70" s="3569" t="s">
        <v>40</v>
      </c>
      <c r="O70" s="3430"/>
      <c r="P70" s="3430"/>
      <c r="Q70" s="3096" t="s">
        <v>40</v>
      </c>
      <c r="R70" s="3096" t="s">
        <v>40</v>
      </c>
      <c r="S70" s="3096" t="s">
        <v>40</v>
      </c>
      <c r="T70" s="3096" t="s">
        <v>40</v>
      </c>
      <c r="U70" s="3096" t="s">
        <v>40</v>
      </c>
      <c r="V70" s="3570"/>
      <c r="W70" s="3570"/>
      <c r="X70" s="3096" t="s">
        <v>40</v>
      </c>
      <c r="Y70" s="3096" t="s">
        <v>40</v>
      </c>
      <c r="Z70" s="3096" t="s">
        <v>40</v>
      </c>
      <c r="AA70" s="3096" t="s">
        <v>40</v>
      </c>
      <c r="AB70" s="3096" t="s">
        <v>40</v>
      </c>
      <c r="AC70" s="3430"/>
      <c r="AD70" s="3430"/>
      <c r="AE70" s="3430" t="s">
        <v>40</v>
      </c>
      <c r="AF70" s="3430" t="s">
        <v>40</v>
      </c>
    </row>
    <row r="71" spans="2:34" ht="18" customHeight="1" thickBot="1">
      <c r="B71" s="3517" t="s">
        <v>140</v>
      </c>
      <c r="C71" s="596" t="s">
        <v>46</v>
      </c>
      <c r="D71" s="129" t="s">
        <v>46</v>
      </c>
      <c r="E71" t="s">
        <v>46</v>
      </c>
      <c r="F71" t="s">
        <v>46</v>
      </c>
      <c r="G71" t="s">
        <v>104</v>
      </c>
      <c r="H71" s="3418" t="s">
        <v>46</v>
      </c>
      <c r="I71" s="3571" t="s">
        <v>46</v>
      </c>
      <c r="J71" s="3549" t="s">
        <v>257</v>
      </c>
      <c r="K71" s="3549" t="s">
        <v>257</v>
      </c>
      <c r="L71" s="3549" t="s">
        <v>257</v>
      </c>
      <c r="M71" s="3549" t="s">
        <v>257</v>
      </c>
      <c r="N71" s="3549" t="s">
        <v>257</v>
      </c>
      <c r="O71" s="3572"/>
      <c r="P71" s="3494"/>
      <c r="Q71" s="3494" t="s">
        <v>40</v>
      </c>
      <c r="R71" s="3494" t="s">
        <v>40</v>
      </c>
      <c r="S71" s="3494" t="s">
        <v>40</v>
      </c>
      <c r="T71" s="3494" t="s">
        <v>40</v>
      </c>
      <c r="U71" s="3494" t="s">
        <v>40</v>
      </c>
      <c r="V71" s="3494"/>
      <c r="W71" s="3494"/>
      <c r="X71" s="3573" t="s">
        <v>257</v>
      </c>
      <c r="Y71" s="3430" t="s">
        <v>257</v>
      </c>
      <c r="Z71" s="3430" t="s">
        <v>257</v>
      </c>
      <c r="AA71" s="3574" t="s">
        <v>257</v>
      </c>
      <c r="AB71" s="3573" t="s">
        <v>477</v>
      </c>
      <c r="AC71" s="3422"/>
      <c r="AD71" s="3422"/>
      <c r="AE71" s="3503" t="s">
        <v>257</v>
      </c>
      <c r="AF71" s="3503" t="s">
        <v>257</v>
      </c>
    </row>
    <row r="72" spans="2:34" ht="18" customHeight="1">
      <c r="B72" s="3517" t="s">
        <v>147</v>
      </c>
      <c r="C72" s="842" t="s">
        <v>40</v>
      </c>
      <c r="D72" s="842" t="s">
        <v>40</v>
      </c>
      <c r="E72" s="842" t="s">
        <v>40</v>
      </c>
      <c r="F72" s="3523" t="s">
        <v>116</v>
      </c>
      <c r="G72" s="3575" t="s">
        <v>116</v>
      </c>
      <c r="H72" s="3523"/>
      <c r="I72" s="3571"/>
      <c r="J72" s="3550" t="s">
        <v>159</v>
      </c>
      <c r="K72" s="3550" t="s">
        <v>159</v>
      </c>
      <c r="L72" s="3576" t="s">
        <v>159</v>
      </c>
      <c r="M72" s="3550" t="s">
        <v>159</v>
      </c>
      <c r="N72" s="3550" t="s">
        <v>159</v>
      </c>
      <c r="O72" s="3541"/>
      <c r="P72" s="3503"/>
      <c r="Q72" s="3528">
        <v>10</v>
      </c>
      <c r="R72" s="3528">
        <v>10</v>
      </c>
      <c r="S72" s="3528">
        <v>10</v>
      </c>
      <c r="T72" s="3528">
        <v>10</v>
      </c>
      <c r="U72" s="3528">
        <v>10</v>
      </c>
      <c r="V72" s="3528" t="s">
        <v>53</v>
      </c>
      <c r="W72" s="3528" t="s">
        <v>53</v>
      </c>
      <c r="X72" s="3090" t="s">
        <v>46</v>
      </c>
      <c r="Y72" s="3112" t="s">
        <v>46</v>
      </c>
      <c r="Z72" s="3090" t="s">
        <v>46</v>
      </c>
      <c r="AA72" s="3090" t="s">
        <v>46</v>
      </c>
      <c r="AB72" s="3090" t="s">
        <v>46</v>
      </c>
      <c r="AC72" s="3422"/>
      <c r="AD72" s="3422"/>
      <c r="AE72" s="3418">
        <v>11</v>
      </c>
      <c r="AF72" s="3418">
        <v>11</v>
      </c>
    </row>
    <row r="73" spans="2:34" ht="18" customHeight="1">
      <c r="B73" s="3577" t="s">
        <v>103</v>
      </c>
      <c r="C73" s="3549">
        <v>4</v>
      </c>
      <c r="D73" s="3549">
        <v>4</v>
      </c>
      <c r="E73" s="3549">
        <v>4</v>
      </c>
      <c r="F73" s="3549">
        <v>4</v>
      </c>
      <c r="G73" s="3549">
        <v>4</v>
      </c>
      <c r="H73" s="3549"/>
      <c r="I73" s="3578"/>
      <c r="J73" s="581">
        <v>1</v>
      </c>
      <c r="K73" s="504">
        <v>1</v>
      </c>
      <c r="L73" s="504">
        <v>1</v>
      </c>
      <c r="M73" s="504">
        <v>1</v>
      </c>
      <c r="N73" s="595">
        <v>1</v>
      </c>
      <c r="O73" s="3437"/>
      <c r="P73" s="3579"/>
      <c r="Q73" s="3567">
        <v>4</v>
      </c>
      <c r="R73" s="3567">
        <v>4</v>
      </c>
      <c r="S73" s="3567">
        <v>4</v>
      </c>
      <c r="T73" s="3567">
        <v>4</v>
      </c>
      <c r="U73" s="3567">
        <v>4</v>
      </c>
      <c r="V73" s="3534"/>
      <c r="W73" s="3534"/>
      <c r="X73" s="3525">
        <v>79</v>
      </c>
      <c r="Y73" s="3525">
        <v>79</v>
      </c>
      <c r="Z73" s="3525">
        <v>79</v>
      </c>
      <c r="AA73" s="3525">
        <v>79</v>
      </c>
      <c r="AB73" s="3525">
        <v>79</v>
      </c>
      <c r="AC73" s="3422"/>
      <c r="AD73" s="3422"/>
      <c r="AE73" s="3525" t="s">
        <v>40</v>
      </c>
      <c r="AF73" s="3525" t="s">
        <v>40</v>
      </c>
    </row>
    <row r="74" spans="2:34" ht="18" customHeight="1">
      <c r="B74" s="3580" t="s">
        <v>478</v>
      </c>
      <c r="C74" s="3547"/>
      <c r="D74" s="32"/>
      <c r="E74" s="238"/>
      <c r="F74" s="238"/>
      <c r="G74" s="238"/>
      <c r="H74" s="238"/>
      <c r="I74" s="3389"/>
      <c r="J74" s="3389"/>
      <c r="K74" s="3389"/>
      <c r="L74" s="3389"/>
      <c r="M74" s="3389"/>
      <c r="N74" s="3389"/>
      <c r="O74" s="3389"/>
      <c r="P74" s="3581"/>
      <c r="Q74" s="3547" t="s">
        <v>40</v>
      </c>
      <c r="R74" s="303">
        <v>89</v>
      </c>
      <c r="S74" s="236">
        <v>89</v>
      </c>
      <c r="T74" s="236" t="s">
        <v>64</v>
      </c>
      <c r="U74" s="305">
        <v>79</v>
      </c>
      <c r="V74" s="3547"/>
      <c r="W74" s="3547"/>
      <c r="X74" s="3582">
        <v>11</v>
      </c>
      <c r="Y74" s="3583">
        <v>11</v>
      </c>
      <c r="Z74" s="3584">
        <v>11</v>
      </c>
      <c r="AA74" s="3584">
        <v>11</v>
      </c>
      <c r="AB74" s="3584">
        <v>11</v>
      </c>
      <c r="AC74" s="3584" t="s">
        <v>53</v>
      </c>
      <c r="AD74" s="3585" t="s">
        <v>53</v>
      </c>
      <c r="AE74" s="321" t="s">
        <v>46</v>
      </c>
      <c r="AF74" s="321" t="s">
        <v>46</v>
      </c>
    </row>
    <row r="75" spans="2:34" ht="18" customHeight="1">
      <c r="B75" s="3586" t="s">
        <v>479</v>
      </c>
      <c r="C75" s="200"/>
      <c r="D75" s="3587"/>
      <c r="E75" s="3588"/>
      <c r="F75" s="3588"/>
      <c r="G75" s="3588"/>
      <c r="H75" s="3523"/>
      <c r="I75" s="3523"/>
      <c r="J75" s="3523"/>
      <c r="K75" s="3588"/>
      <c r="L75" s="3588"/>
      <c r="M75" s="3588"/>
      <c r="N75" s="3588"/>
      <c r="O75" s="3589"/>
      <c r="P75" s="3590"/>
      <c r="Q75" s="3547" t="s">
        <v>40</v>
      </c>
      <c r="R75" s="303">
        <v>79</v>
      </c>
      <c r="S75" s="236">
        <v>79</v>
      </c>
      <c r="T75" s="236">
        <v>89</v>
      </c>
      <c r="U75" s="236" t="s">
        <v>64</v>
      </c>
      <c r="V75" s="238"/>
      <c r="W75" s="238"/>
      <c r="X75" s="236">
        <v>8</v>
      </c>
      <c r="Y75" s="3584">
        <v>8</v>
      </c>
      <c r="Z75" s="3584">
        <v>8</v>
      </c>
      <c r="AA75" s="3584">
        <v>8</v>
      </c>
      <c r="AB75" s="3584">
        <v>8</v>
      </c>
      <c r="AC75" s="3389"/>
      <c r="AD75" s="3389"/>
      <c r="AE75" s="3591" t="s">
        <v>125</v>
      </c>
      <c r="AF75" s="3591" t="s">
        <v>125</v>
      </c>
    </row>
    <row r="76" spans="2:34" ht="18" customHeight="1">
      <c r="B76" s="3592"/>
      <c r="C76" s="3593"/>
      <c r="D76" s="3587"/>
      <c r="E76" s="3588"/>
      <c r="F76" s="3588"/>
      <c r="G76" s="3588"/>
      <c r="H76" s="3588"/>
      <c r="I76" s="3588"/>
      <c r="J76" s="3587"/>
      <c r="K76" s="3594"/>
      <c r="L76" s="3594"/>
      <c r="M76" s="3595"/>
      <c r="N76" s="3595"/>
      <c r="O76" s="3595"/>
      <c r="P76" s="3594"/>
      <c r="Q76" s="304"/>
      <c r="R76" s="3588"/>
      <c r="S76" s="3588"/>
      <c r="T76" s="3588"/>
      <c r="U76" s="3594"/>
      <c r="V76" s="3594"/>
      <c r="W76" s="3594"/>
      <c r="X76" s="3594"/>
      <c r="Y76" s="3594"/>
      <c r="Z76" s="3594"/>
      <c r="AA76" s="3594"/>
      <c r="AB76" s="3594"/>
      <c r="AC76" s="3588"/>
      <c r="AD76" s="3594"/>
      <c r="AE76" s="3594"/>
      <c r="AF76" s="3588"/>
    </row>
    <row r="77" spans="2:34" ht="18" customHeight="1" thickBot="1">
      <c r="B77" s="3547"/>
      <c r="C77" s="3596"/>
      <c r="D77" s="3450"/>
      <c r="E77" s="3496"/>
      <c r="F77" s="3496"/>
      <c r="G77" s="3496"/>
      <c r="H77" s="3496"/>
      <c r="I77" s="3496"/>
      <c r="J77" s="3450"/>
      <c r="K77" s="3597"/>
      <c r="L77" s="3597"/>
      <c r="M77" s="3597"/>
      <c r="N77" s="3597"/>
      <c r="O77" s="3597"/>
      <c r="P77" s="3598"/>
      <c r="Q77" s="3598"/>
      <c r="R77" s="3496"/>
      <c r="S77" s="3496"/>
      <c r="T77" s="3496"/>
      <c r="U77" s="3597"/>
      <c r="V77" s="3597"/>
      <c r="W77" s="3598"/>
      <c r="X77" s="3598"/>
      <c r="Y77" s="3598"/>
      <c r="Z77" s="3496"/>
      <c r="AA77" s="3496"/>
      <c r="AB77" s="3496"/>
      <c r="AC77" s="3496"/>
      <c r="AD77" s="3496"/>
      <c r="AE77" s="3450">
        <v>7</v>
      </c>
      <c r="AF77" s="3496" t="s">
        <v>125</v>
      </c>
    </row>
    <row r="78" spans="2:34" ht="18" customHeight="1" thickBot="1">
      <c r="B78" s="1490" t="s">
        <v>154</v>
      </c>
      <c r="C78" s="2985">
        <v>1</v>
      </c>
      <c r="D78" s="2985">
        <v>2</v>
      </c>
      <c r="E78" s="2985">
        <v>3</v>
      </c>
      <c r="F78" s="2985">
        <v>4</v>
      </c>
      <c r="G78" s="2985">
        <v>5</v>
      </c>
      <c r="H78" s="2986">
        <v>6</v>
      </c>
      <c r="I78" s="2986">
        <v>7</v>
      </c>
      <c r="J78" s="2985">
        <v>8</v>
      </c>
      <c r="K78" s="2985">
        <v>9</v>
      </c>
      <c r="L78" s="2985">
        <v>10</v>
      </c>
      <c r="M78" s="2985">
        <v>11</v>
      </c>
      <c r="N78" s="2985">
        <v>12</v>
      </c>
      <c r="O78" s="2986">
        <v>13</v>
      </c>
      <c r="P78" s="2986">
        <v>14</v>
      </c>
      <c r="Q78" s="2985">
        <v>15</v>
      </c>
      <c r="R78" s="2985">
        <v>16</v>
      </c>
      <c r="S78" s="2985">
        <v>17</v>
      </c>
      <c r="T78" s="2985">
        <v>18</v>
      </c>
      <c r="U78" s="2985">
        <v>19</v>
      </c>
      <c r="V78" s="2986">
        <v>20</v>
      </c>
      <c r="W78" s="2986">
        <v>21</v>
      </c>
      <c r="X78" s="2985">
        <v>22</v>
      </c>
      <c r="Y78" s="2985">
        <v>23</v>
      </c>
      <c r="Z78" s="2985">
        <v>24</v>
      </c>
      <c r="AA78" s="2985">
        <v>25</v>
      </c>
      <c r="AB78" s="2985">
        <v>26</v>
      </c>
      <c r="AC78" s="2986">
        <v>27</v>
      </c>
      <c r="AD78" s="2986">
        <v>28</v>
      </c>
      <c r="AE78" s="2985">
        <v>29</v>
      </c>
      <c r="AF78" s="2985">
        <v>30</v>
      </c>
    </row>
    <row r="81" spans="1:35" ht="12.75" thickBot="1"/>
    <row r="82" spans="1:35" ht="18" customHeight="1" thickBot="1">
      <c r="A82" s="1311"/>
      <c r="B82" s="1481" t="s">
        <v>156</v>
      </c>
      <c r="C82" s="2985">
        <v>1</v>
      </c>
      <c r="D82" s="2985">
        <v>2</v>
      </c>
      <c r="E82" s="2985">
        <v>3</v>
      </c>
      <c r="F82" s="2985">
        <v>4</v>
      </c>
      <c r="G82" s="2985">
        <v>5</v>
      </c>
      <c r="H82" s="2986">
        <v>6</v>
      </c>
      <c r="I82" s="2986">
        <v>7</v>
      </c>
      <c r="J82" s="2985">
        <v>8</v>
      </c>
      <c r="K82" s="2985">
        <v>9</v>
      </c>
      <c r="L82" s="2985">
        <v>10</v>
      </c>
      <c r="M82" s="2985">
        <v>11</v>
      </c>
      <c r="N82" s="2985">
        <v>12</v>
      </c>
      <c r="O82" s="2986">
        <v>13</v>
      </c>
      <c r="P82" s="2986">
        <v>14</v>
      </c>
      <c r="Q82" s="2985">
        <v>15</v>
      </c>
      <c r="R82" s="3599">
        <v>16</v>
      </c>
      <c r="S82" s="3599">
        <v>17</v>
      </c>
      <c r="T82" s="3599">
        <v>18</v>
      </c>
      <c r="U82" s="2985">
        <v>19</v>
      </c>
      <c r="V82" s="2986">
        <v>20</v>
      </c>
      <c r="W82" s="2986">
        <v>21</v>
      </c>
      <c r="X82" s="2985">
        <v>22</v>
      </c>
      <c r="Y82" s="2985">
        <v>23</v>
      </c>
      <c r="Z82" s="2985">
        <v>24</v>
      </c>
      <c r="AA82" s="2985">
        <v>25</v>
      </c>
      <c r="AB82" s="2985">
        <v>26</v>
      </c>
      <c r="AC82" s="2986">
        <v>27</v>
      </c>
      <c r="AD82" s="2986">
        <v>28</v>
      </c>
      <c r="AE82" s="2985">
        <v>29</v>
      </c>
      <c r="AF82" s="2985">
        <v>30</v>
      </c>
    </row>
    <row r="83" spans="1:35" ht="18" customHeight="1" thickBot="1">
      <c r="A83" s="3600"/>
      <c r="B83" s="3408" t="s">
        <v>157</v>
      </c>
      <c r="C83" s="3494" t="s">
        <v>40</v>
      </c>
      <c r="D83" s="129">
        <v>8</v>
      </c>
      <c r="E83" s="3601">
        <v>5</v>
      </c>
      <c r="F83" s="3601">
        <v>5</v>
      </c>
      <c r="G83" s="3602">
        <v>5</v>
      </c>
      <c r="H83" s="3434">
        <v>22</v>
      </c>
      <c r="I83" s="3434">
        <v>22</v>
      </c>
      <c r="J83" s="3432" t="s">
        <v>46</v>
      </c>
      <c r="K83" s="3432">
        <v>69</v>
      </c>
      <c r="L83" s="3433">
        <v>69</v>
      </c>
      <c r="M83" s="3433">
        <v>69</v>
      </c>
      <c r="N83" s="3494" t="s">
        <v>40</v>
      </c>
      <c r="O83" s="3432" t="s">
        <v>104</v>
      </c>
      <c r="P83" s="3503" t="s">
        <v>104</v>
      </c>
      <c r="Q83" s="3603" t="s">
        <v>40</v>
      </c>
      <c r="R83" s="3604" t="s">
        <v>40</v>
      </c>
      <c r="S83" s="3605" t="s">
        <v>40</v>
      </c>
      <c r="T83" s="3547" t="s">
        <v>40</v>
      </c>
      <c r="U83" s="3606">
        <v>3</v>
      </c>
      <c r="V83" s="3607" t="s">
        <v>87</v>
      </c>
      <c r="W83" s="3607" t="s">
        <v>480</v>
      </c>
      <c r="X83" s="3418" t="s">
        <v>46</v>
      </c>
      <c r="Y83" s="3418" t="s">
        <v>46</v>
      </c>
      <c r="Z83" s="3418" t="s">
        <v>46</v>
      </c>
      <c r="AA83" s="3418" t="s">
        <v>46</v>
      </c>
      <c r="AB83" s="3418" t="s">
        <v>46</v>
      </c>
      <c r="AC83" s="3441"/>
      <c r="AD83" s="3503"/>
      <c r="AE83" s="3503" t="s">
        <v>127</v>
      </c>
      <c r="AF83" s="3503" t="s">
        <v>127</v>
      </c>
    </row>
    <row r="84" spans="1:35" ht="18" customHeight="1">
      <c r="A84" s="3608"/>
      <c r="B84" s="3517" t="s">
        <v>460</v>
      </c>
      <c r="C84" s="3503" t="s">
        <v>40</v>
      </c>
      <c r="D84" s="3503" t="s">
        <v>40</v>
      </c>
      <c r="E84" s="3503" t="s">
        <v>40</v>
      </c>
      <c r="F84" s="3503" t="s">
        <v>40</v>
      </c>
      <c r="G84" s="3503" t="s">
        <v>40</v>
      </c>
      <c r="H84" s="3393"/>
      <c r="I84" s="3393"/>
      <c r="J84" s="3503" t="s">
        <v>40</v>
      </c>
      <c r="K84" s="3503" t="s">
        <v>40</v>
      </c>
      <c r="L84" s="3503" t="s">
        <v>40</v>
      </c>
      <c r="M84" s="3503" t="s">
        <v>40</v>
      </c>
      <c r="N84" s="3503" t="s">
        <v>40</v>
      </c>
      <c r="O84" s="3393"/>
      <c r="P84" s="3609"/>
      <c r="Q84" s="3503" t="s">
        <v>40</v>
      </c>
      <c r="R84" s="504" t="s">
        <v>40</v>
      </c>
      <c r="S84" s="504" t="s">
        <v>40</v>
      </c>
      <c r="T84" s="504" t="s">
        <v>40</v>
      </c>
      <c r="U84" s="3503" t="s">
        <v>40</v>
      </c>
      <c r="V84" s="3418"/>
      <c r="W84" s="3418"/>
      <c r="X84" s="3503" t="s">
        <v>40</v>
      </c>
      <c r="Y84" s="3503" t="s">
        <v>40</v>
      </c>
      <c r="Z84" s="3503" t="s">
        <v>40</v>
      </c>
      <c r="AA84" s="3503" t="s">
        <v>40</v>
      </c>
      <c r="AB84" s="3503" t="s">
        <v>40</v>
      </c>
      <c r="AC84" s="3441"/>
      <c r="AD84" s="3503"/>
      <c r="AE84" s="3503" t="s">
        <v>40</v>
      </c>
      <c r="AF84" s="3444" t="s">
        <v>145</v>
      </c>
    </row>
    <row r="85" spans="1:35" ht="18" customHeight="1">
      <c r="A85" s="3608"/>
      <c r="B85" s="325" t="s">
        <v>481</v>
      </c>
      <c r="C85" s="3503" t="s">
        <v>40</v>
      </c>
      <c r="D85" s="3503" t="s">
        <v>40</v>
      </c>
      <c r="E85" s="3503" t="s">
        <v>40</v>
      </c>
      <c r="F85" s="3503" t="s">
        <v>40</v>
      </c>
      <c r="G85" s="3503" t="s">
        <v>40</v>
      </c>
      <c r="H85" s="3393"/>
      <c r="I85" s="3393"/>
      <c r="J85" s="3503" t="s">
        <v>40</v>
      </c>
      <c r="K85" s="3503" t="s">
        <v>40</v>
      </c>
      <c r="L85" s="3503" t="s">
        <v>40</v>
      </c>
      <c r="M85" s="3503" t="s">
        <v>40</v>
      </c>
      <c r="N85" s="3503" t="s">
        <v>40</v>
      </c>
      <c r="O85" s="3393"/>
      <c r="P85" s="3609"/>
      <c r="Q85" s="3503" t="s">
        <v>40</v>
      </c>
      <c r="R85" s="504" t="s">
        <v>40</v>
      </c>
      <c r="S85" s="504" t="s">
        <v>40</v>
      </c>
      <c r="T85" s="504" t="s">
        <v>40</v>
      </c>
      <c r="U85" s="3503" t="s">
        <v>40</v>
      </c>
      <c r="V85" s="3418"/>
      <c r="W85" s="3418"/>
      <c r="X85" s="3503" t="s">
        <v>40</v>
      </c>
      <c r="Y85" s="3503" t="s">
        <v>40</v>
      </c>
      <c r="Z85" s="3503" t="s">
        <v>40</v>
      </c>
      <c r="AA85" s="3503" t="s">
        <v>40</v>
      </c>
      <c r="AB85" s="3503" t="s">
        <v>40</v>
      </c>
      <c r="AC85" s="3441"/>
      <c r="AD85" s="3503"/>
      <c r="AE85" s="3503" t="s">
        <v>46</v>
      </c>
      <c r="AF85" s="3444" t="s">
        <v>131</v>
      </c>
    </row>
    <row r="86" spans="1:35" ht="18" customHeight="1" thickBot="1">
      <c r="A86" s="3610"/>
      <c r="B86" s="3611" t="s">
        <v>158</v>
      </c>
      <c r="C86" s="3503" t="s">
        <v>40</v>
      </c>
      <c r="D86" s="3503" t="s">
        <v>40</v>
      </c>
      <c r="E86" s="3503" t="s">
        <v>40</v>
      </c>
      <c r="F86" s="3503" t="s">
        <v>482</v>
      </c>
      <c r="G86" s="3503" t="s">
        <v>482</v>
      </c>
      <c r="H86" s="3432"/>
      <c r="I86" s="3432"/>
      <c r="J86" s="3432">
        <v>69</v>
      </c>
      <c r="K86" s="3432" t="s">
        <v>40</v>
      </c>
      <c r="L86" s="3432" t="s">
        <v>40</v>
      </c>
      <c r="M86" s="3432" t="s">
        <v>46</v>
      </c>
      <c r="N86" s="3612" t="s">
        <v>61</v>
      </c>
      <c r="O86" s="3434" t="s">
        <v>61</v>
      </c>
      <c r="P86" s="3613" t="s">
        <v>61</v>
      </c>
      <c r="Q86" s="3503" t="s">
        <v>46</v>
      </c>
      <c r="R86" s="3432" t="s">
        <v>40</v>
      </c>
      <c r="S86" s="3422" t="s">
        <v>40</v>
      </c>
      <c r="T86" s="3422" t="s">
        <v>40</v>
      </c>
      <c r="U86" s="3614" t="s">
        <v>40</v>
      </c>
      <c r="V86" s="3422"/>
      <c r="W86" s="3503"/>
      <c r="X86" s="3458" t="s">
        <v>413</v>
      </c>
      <c r="Y86" s="3615" t="s">
        <v>40</v>
      </c>
      <c r="Z86" s="3503" t="s">
        <v>40</v>
      </c>
      <c r="AA86" s="3503" t="s">
        <v>40</v>
      </c>
      <c r="AB86" s="3503" t="s">
        <v>40</v>
      </c>
      <c r="AC86" s="3422"/>
      <c r="AD86" s="3503"/>
      <c r="AE86" s="3422" t="s">
        <v>40</v>
      </c>
      <c r="AF86" s="3422" t="s">
        <v>40</v>
      </c>
    </row>
    <row r="87" spans="1:35" ht="18" customHeight="1" thickBot="1">
      <c r="A87" s="584"/>
      <c r="B87" s="241" t="s">
        <v>38</v>
      </c>
      <c r="C87" s="1459">
        <v>1</v>
      </c>
      <c r="D87" s="1459">
        <v>2</v>
      </c>
      <c r="E87" s="1459">
        <v>3</v>
      </c>
      <c r="F87" s="1459">
        <v>4</v>
      </c>
      <c r="G87" s="1459">
        <v>5</v>
      </c>
      <c r="H87" s="1459">
        <v>6</v>
      </c>
      <c r="I87" s="1459">
        <v>7</v>
      </c>
      <c r="J87" s="1459">
        <v>8</v>
      </c>
      <c r="K87" s="1459">
        <v>9</v>
      </c>
      <c r="L87" s="1459">
        <v>10</v>
      </c>
      <c r="M87" s="1459">
        <v>11</v>
      </c>
      <c r="N87" s="1459">
        <v>12</v>
      </c>
      <c r="O87" s="1459">
        <v>13</v>
      </c>
      <c r="P87" s="1459">
        <v>14</v>
      </c>
      <c r="Q87" s="1459">
        <v>15</v>
      </c>
      <c r="R87" s="1459">
        <v>16</v>
      </c>
      <c r="S87" s="1459">
        <v>17</v>
      </c>
      <c r="T87" s="1459">
        <v>18</v>
      </c>
      <c r="U87" s="1459">
        <v>19</v>
      </c>
      <c r="V87" s="1459">
        <v>20</v>
      </c>
      <c r="W87" s="1459">
        <v>21</v>
      </c>
      <c r="X87" s="1459">
        <v>22</v>
      </c>
      <c r="Y87" s="1459">
        <v>23</v>
      </c>
      <c r="Z87" s="1459">
        <v>24</v>
      </c>
      <c r="AA87" s="1459">
        <v>25</v>
      </c>
      <c r="AB87" s="1459">
        <v>26</v>
      </c>
      <c r="AC87" s="1459">
        <v>27</v>
      </c>
      <c r="AD87" s="1459">
        <v>28</v>
      </c>
      <c r="AE87" s="1459">
        <v>29</v>
      </c>
      <c r="AF87" s="1459">
        <v>30</v>
      </c>
    </row>
    <row r="88" spans="1:35" ht="18" customHeight="1">
      <c r="A88" s="3616"/>
      <c r="B88" s="3448" t="s">
        <v>160</v>
      </c>
      <c r="C88" s="3089"/>
      <c r="D88" s="3190"/>
      <c r="E88" s="3089"/>
      <c r="F88" s="3089"/>
      <c r="G88" s="3089"/>
      <c r="H88" s="3089"/>
      <c r="I88" s="3089"/>
      <c r="J88" s="3089"/>
      <c r="K88" s="3089"/>
      <c r="L88" s="3089"/>
      <c r="M88" s="3089"/>
      <c r="N88" s="3089"/>
      <c r="O88" s="3089"/>
      <c r="P88" s="3089"/>
      <c r="Q88" s="3089"/>
      <c r="R88" s="3089"/>
      <c r="S88" s="3089"/>
      <c r="T88" s="3089"/>
      <c r="U88" s="3089"/>
      <c r="V88" s="3089"/>
      <c r="W88" s="3089"/>
      <c r="X88" s="3089"/>
      <c r="Y88" s="3089"/>
      <c r="Z88" s="3089"/>
      <c r="AA88" s="3089"/>
      <c r="AB88" s="3089"/>
      <c r="AC88" s="3089"/>
      <c r="AD88" s="3089"/>
      <c r="AE88" s="3089"/>
      <c r="AF88" s="3089"/>
      <c r="AI88" t="s">
        <v>0</v>
      </c>
    </row>
    <row r="89" spans="1:35" ht="18" customHeight="1">
      <c r="A89" s="3616"/>
      <c r="B89" s="3417"/>
      <c r="C89" s="3526"/>
      <c r="D89" s="3526"/>
      <c r="E89" s="3526"/>
      <c r="F89" s="3419"/>
      <c r="G89" s="3419"/>
      <c r="H89" s="3526"/>
      <c r="I89" s="3526"/>
      <c r="J89" s="3526"/>
      <c r="K89" s="3526"/>
      <c r="L89" s="3526"/>
      <c r="M89" s="3526"/>
      <c r="N89" s="3526"/>
      <c r="O89" s="3526"/>
      <c r="P89" s="3526"/>
      <c r="Q89" s="3526"/>
      <c r="R89" s="3526"/>
      <c r="S89" s="3526"/>
      <c r="T89" s="3432"/>
      <c r="U89" s="3526"/>
      <c r="V89" s="3526"/>
      <c r="W89" s="3526"/>
      <c r="X89" s="3526"/>
      <c r="Y89" s="3526"/>
      <c r="Z89" s="3526"/>
      <c r="AA89" s="3526"/>
      <c r="AB89" s="3526"/>
      <c r="AC89" s="3526"/>
      <c r="AD89" s="3526"/>
      <c r="AE89" s="3526"/>
      <c r="AF89" s="3526"/>
    </row>
    <row r="90" spans="1:35" ht="18" customHeight="1">
      <c r="A90" s="3616"/>
      <c r="B90" s="3417"/>
      <c r="C90" s="3432"/>
      <c r="D90" s="3432"/>
      <c r="E90" s="3432"/>
      <c r="F90" s="3432"/>
      <c r="G90" s="3432"/>
      <c r="H90" s="3432"/>
      <c r="I90" s="3432"/>
      <c r="J90" s="3432"/>
      <c r="K90" s="3432"/>
      <c r="L90" s="3432"/>
      <c r="M90" s="3432"/>
      <c r="N90" s="3432"/>
      <c r="O90" s="3432"/>
      <c r="P90" s="3432"/>
      <c r="Q90" s="3432"/>
      <c r="R90" s="3432"/>
      <c r="S90" s="3432"/>
      <c r="T90" s="3432"/>
      <c r="U90" s="3432"/>
      <c r="V90" s="3432"/>
      <c r="W90" s="3432"/>
      <c r="X90" s="3432"/>
      <c r="Y90" s="3432"/>
      <c r="Z90" s="3432"/>
      <c r="AA90" s="3432"/>
      <c r="AB90" s="3432"/>
      <c r="AC90" s="3432"/>
      <c r="AD90" s="3432"/>
      <c r="AE90" s="3432"/>
      <c r="AF90" s="3432"/>
    </row>
    <row r="91" spans="1:35" ht="18" customHeight="1" thickBot="1">
      <c r="A91" s="89"/>
      <c r="B91" s="3424"/>
      <c r="C91" s="3597"/>
      <c r="D91" s="3597"/>
      <c r="E91" s="3597"/>
      <c r="F91" s="3597"/>
      <c r="G91" s="3597"/>
      <c r="H91" s="3597"/>
      <c r="I91" s="3597"/>
      <c r="J91" s="3597"/>
      <c r="K91" s="3597"/>
      <c r="L91" s="3597"/>
      <c r="M91" s="3597"/>
      <c r="N91" s="3597"/>
      <c r="O91" s="3597"/>
      <c r="P91" s="3597"/>
      <c r="Q91" s="3597"/>
      <c r="R91" s="3597"/>
      <c r="S91" s="3597"/>
      <c r="T91" s="3597"/>
      <c r="U91" s="3597"/>
      <c r="V91" s="3597"/>
      <c r="W91" s="3597"/>
      <c r="X91" s="3597"/>
      <c r="Y91" s="3597"/>
      <c r="Z91" s="3597"/>
      <c r="AA91" s="3597"/>
      <c r="AB91" s="3597"/>
      <c r="AC91" s="3597"/>
      <c r="AD91" s="3597"/>
      <c r="AE91" s="3597"/>
      <c r="AF91" s="3597"/>
    </row>
    <row r="92" spans="1:35" ht="18" customHeight="1">
      <c r="A92" s="114"/>
      <c r="B92" s="115"/>
      <c r="C92" s="126"/>
      <c r="D92" s="126"/>
      <c r="E92" s="126"/>
      <c r="F92" s="126"/>
      <c r="G92" s="126"/>
      <c r="H92" s="126"/>
      <c r="I92" s="126"/>
      <c r="J92" s="126"/>
      <c r="K92" s="126"/>
      <c r="L92" s="126"/>
      <c r="M92" s="126"/>
      <c r="N92" s="126"/>
      <c r="O92" s="126"/>
      <c r="P92" s="126"/>
      <c r="Q92" s="126"/>
      <c r="R92" s="126"/>
      <c r="S92" s="126"/>
      <c r="T92" s="126"/>
      <c r="U92" s="126"/>
      <c r="V92" s="126"/>
      <c r="W92" s="126"/>
      <c r="X92" s="126"/>
      <c r="Y92" s="126"/>
      <c r="Z92" s="126"/>
      <c r="AA92" s="126"/>
      <c r="AB92" s="126"/>
      <c r="AC92" s="126"/>
      <c r="AD92" s="126"/>
      <c r="AE92" s="126"/>
      <c r="AF92" s="126"/>
    </row>
    <row r="93" spans="1:35" ht="18" customHeight="1">
      <c r="A93" s="114"/>
      <c r="B93" s="1481" t="s">
        <v>483</v>
      </c>
      <c r="C93" s="3599">
        <v>1</v>
      </c>
      <c r="D93" s="3599">
        <v>2</v>
      </c>
      <c r="E93" s="3599">
        <v>3</v>
      </c>
      <c r="F93" s="3599">
        <v>4</v>
      </c>
      <c r="G93" s="3599">
        <v>5</v>
      </c>
      <c r="H93" s="3617">
        <v>6</v>
      </c>
      <c r="I93" s="3617">
        <v>7</v>
      </c>
      <c r="J93" s="3599">
        <v>8</v>
      </c>
      <c r="K93" s="3599">
        <v>9</v>
      </c>
      <c r="L93" s="3599">
        <v>10</v>
      </c>
      <c r="M93" s="3599">
        <v>11</v>
      </c>
      <c r="N93" s="3599">
        <v>12</v>
      </c>
      <c r="O93" s="3617">
        <v>13</v>
      </c>
      <c r="P93" s="3617">
        <v>14</v>
      </c>
      <c r="Q93" s="3599">
        <v>15</v>
      </c>
      <c r="R93" s="3599">
        <v>16</v>
      </c>
      <c r="S93" s="3599">
        <v>17</v>
      </c>
      <c r="T93" s="3599">
        <v>18</v>
      </c>
      <c r="U93" s="3599">
        <v>19</v>
      </c>
      <c r="V93" s="3617">
        <v>20</v>
      </c>
      <c r="W93" s="3617">
        <v>21</v>
      </c>
      <c r="X93" s="3599">
        <v>22</v>
      </c>
      <c r="Y93" s="3599">
        <v>23</v>
      </c>
      <c r="Z93" s="3599">
        <v>24</v>
      </c>
      <c r="AA93" s="3599">
        <v>25</v>
      </c>
      <c r="AB93" s="3599">
        <v>26</v>
      </c>
      <c r="AC93" s="3617">
        <v>27</v>
      </c>
      <c r="AD93" s="3617">
        <v>28</v>
      </c>
      <c r="AE93" s="3599">
        <v>29</v>
      </c>
      <c r="AF93" s="3599">
        <v>30</v>
      </c>
    </row>
    <row r="94" spans="1:35" ht="18" customHeight="1">
      <c r="A94" s="114"/>
      <c r="B94" s="308" t="s">
        <v>484</v>
      </c>
      <c r="C94" s="309" t="s">
        <v>485</v>
      </c>
      <c r="D94" s="309" t="s">
        <v>486</v>
      </c>
      <c r="E94" s="309" t="s">
        <v>486</v>
      </c>
      <c r="F94" s="309" t="s">
        <v>487</v>
      </c>
      <c r="G94" s="309" t="s">
        <v>487</v>
      </c>
      <c r="H94" s="309"/>
      <c r="I94" s="309"/>
      <c r="J94" s="317" t="s">
        <v>488</v>
      </c>
      <c r="K94" s="317" t="s">
        <v>487</v>
      </c>
      <c r="L94" s="309" t="s">
        <v>489</v>
      </c>
      <c r="M94" s="309" t="s">
        <v>487</v>
      </c>
      <c r="N94" s="309" t="s">
        <v>487</v>
      </c>
      <c r="O94" s="309"/>
      <c r="P94" s="309"/>
      <c r="Q94" s="309" t="s">
        <v>490</v>
      </c>
      <c r="R94" s="309" t="s">
        <v>487</v>
      </c>
      <c r="S94" s="309" t="s">
        <v>491</v>
      </c>
      <c r="T94" s="309" t="s">
        <v>491</v>
      </c>
      <c r="U94" s="309" t="s">
        <v>491</v>
      </c>
      <c r="V94" s="309"/>
      <c r="W94" s="309"/>
      <c r="X94" s="309" t="s">
        <v>487</v>
      </c>
      <c r="Y94" s="927" t="s">
        <v>487</v>
      </c>
      <c r="Z94" s="927" t="s">
        <v>487</v>
      </c>
      <c r="AA94" s="927" t="s">
        <v>487</v>
      </c>
      <c r="AB94" s="927" t="s">
        <v>487</v>
      </c>
      <c r="AC94" s="309"/>
      <c r="AD94" s="309"/>
      <c r="AE94" s="309" t="s">
        <v>487</v>
      </c>
      <c r="AF94" s="309" t="s">
        <v>492</v>
      </c>
    </row>
    <row r="95" spans="1:35" ht="18" customHeight="1">
      <c r="A95" s="114"/>
      <c r="B95" s="308" t="s">
        <v>493</v>
      </c>
      <c r="C95" s="310" t="s">
        <v>158</v>
      </c>
      <c r="D95" s="309" t="s">
        <v>494</v>
      </c>
      <c r="E95" s="309" t="s">
        <v>495</v>
      </c>
      <c r="F95" s="309" t="s">
        <v>495</v>
      </c>
      <c r="G95" s="309" t="s">
        <v>495</v>
      </c>
      <c r="H95" s="309"/>
      <c r="I95" s="315"/>
      <c r="J95" s="315" t="s">
        <v>488</v>
      </c>
      <c r="K95" s="314" t="s">
        <v>496</v>
      </c>
      <c r="L95" s="316" t="s">
        <v>496</v>
      </c>
      <c r="M95" s="314" t="s">
        <v>496</v>
      </c>
      <c r="N95" s="314" t="s">
        <v>496</v>
      </c>
      <c r="O95" s="309"/>
      <c r="P95" s="309"/>
      <c r="Q95" s="309" t="s">
        <v>497</v>
      </c>
      <c r="R95" s="314" t="s">
        <v>497</v>
      </c>
      <c r="S95" s="314" t="s">
        <v>497</v>
      </c>
      <c r="T95" s="314" t="s">
        <v>497</v>
      </c>
      <c r="U95" s="314" t="s">
        <v>491</v>
      </c>
      <c r="V95" s="309"/>
      <c r="W95" s="309"/>
      <c r="X95" s="309" t="s">
        <v>491</v>
      </c>
      <c r="Y95" s="309" t="s">
        <v>497</v>
      </c>
      <c r="Z95" s="309" t="s">
        <v>491</v>
      </c>
      <c r="AA95" s="309" t="s">
        <v>491</v>
      </c>
      <c r="AB95" s="309" t="s">
        <v>491</v>
      </c>
      <c r="AC95" s="309"/>
      <c r="AD95" s="309"/>
      <c r="AE95" s="309" t="s">
        <v>487</v>
      </c>
      <c r="AF95" s="309" t="s">
        <v>487</v>
      </c>
    </row>
    <row r="96" spans="1:35" ht="18" customHeight="1">
      <c r="A96" s="114"/>
      <c r="B96" s="115"/>
      <c r="C96" s="126"/>
      <c r="D96" s="126"/>
      <c r="E96" s="126"/>
      <c r="F96" s="126"/>
      <c r="G96" s="126"/>
      <c r="H96" s="126"/>
      <c r="I96" s="126"/>
      <c r="J96" s="126"/>
      <c r="K96" s="126"/>
      <c r="L96" s="126"/>
      <c r="M96" s="126"/>
      <c r="N96" s="126"/>
      <c r="O96" s="126"/>
      <c r="P96" s="126"/>
      <c r="Q96" s="126"/>
      <c r="R96" s="126"/>
      <c r="S96" s="126"/>
      <c r="T96" s="126"/>
      <c r="U96" s="126"/>
      <c r="V96" s="126"/>
      <c r="W96" s="126"/>
      <c r="X96" s="126"/>
      <c r="Y96" s="126"/>
      <c r="Z96" s="126"/>
      <c r="AA96" s="126"/>
      <c r="AB96" s="126"/>
      <c r="AC96" s="126"/>
      <c r="AD96" s="126"/>
      <c r="AE96" s="126"/>
      <c r="AF96" s="126"/>
    </row>
    <row r="97" spans="1:33" ht="18" customHeight="1">
      <c r="A97" s="114"/>
      <c r="B97" s="115"/>
      <c r="C97" s="126"/>
      <c r="D97" s="126"/>
      <c r="E97" s="126"/>
      <c r="F97" s="126"/>
      <c r="G97" s="126"/>
      <c r="H97" s="126"/>
      <c r="I97" s="126"/>
      <c r="J97" s="126"/>
      <c r="K97" s="126"/>
      <c r="L97" s="126"/>
      <c r="M97" s="126"/>
      <c r="N97" s="126"/>
      <c r="O97" s="126"/>
      <c r="P97" s="126"/>
      <c r="Q97" s="126"/>
      <c r="R97" s="126"/>
      <c r="S97" s="126"/>
      <c r="T97" s="126"/>
      <c r="U97" s="126"/>
      <c r="V97" s="126"/>
      <c r="W97" s="126"/>
      <c r="X97" s="126"/>
      <c r="Y97" s="126"/>
      <c r="Z97" s="126"/>
      <c r="AA97" s="126"/>
      <c r="AB97" s="126"/>
      <c r="AC97" s="126"/>
      <c r="AD97" s="126"/>
      <c r="AE97" s="126"/>
      <c r="AF97" s="126"/>
    </row>
    <row r="98" spans="1:33" ht="18" customHeight="1">
      <c r="A98" s="42" t="s">
        <v>161</v>
      </c>
      <c r="C98" s="110"/>
      <c r="D98" s="110"/>
      <c r="E98" s="110"/>
      <c r="F98" s="110"/>
      <c r="G98" s="110"/>
      <c r="H98" s="110"/>
      <c r="I98" s="110"/>
      <c r="J98" s="110"/>
      <c r="K98" s="110"/>
      <c r="L98" s="110"/>
      <c r="M98" s="110"/>
      <c r="N98" s="110"/>
      <c r="O98" s="110"/>
      <c r="P98" s="110"/>
      <c r="Q98" s="110"/>
      <c r="R98" s="110"/>
      <c r="S98" s="110"/>
      <c r="T98" s="110"/>
      <c r="U98" s="110"/>
      <c r="V98" s="110"/>
      <c r="W98" s="110"/>
      <c r="X98" s="110"/>
      <c r="Y98" s="110"/>
      <c r="Z98" s="110"/>
      <c r="AA98" s="110"/>
      <c r="AB98" s="110"/>
      <c r="AC98" s="110"/>
      <c r="AD98" s="110"/>
      <c r="AE98" s="110"/>
      <c r="AF98" s="110"/>
    </row>
    <row r="99" spans="1:33" ht="18" customHeight="1">
      <c r="B99" s="3394"/>
      <c r="C99" s="3393"/>
      <c r="D99" s="3394" t="s">
        <v>19</v>
      </c>
      <c r="E99" s="3393"/>
      <c r="F99" s="3393"/>
      <c r="G99" s="3394" t="s">
        <v>20</v>
      </c>
      <c r="H99" s="3393"/>
      <c r="I99" s="3393"/>
      <c r="J99" s="3394" t="s">
        <v>21</v>
      </c>
      <c r="K99" s="3393"/>
      <c r="L99" s="3393"/>
      <c r="M99" s="3394" t="s">
        <v>22</v>
      </c>
      <c r="N99" s="3393"/>
      <c r="O99" s="3393"/>
      <c r="P99" s="3394" t="s">
        <v>23</v>
      </c>
      <c r="Q99" s="3393"/>
      <c r="R99" s="3389"/>
      <c r="S99" s="3390" t="s">
        <v>24</v>
      </c>
      <c r="T99" s="3393"/>
      <c r="U99" s="3393"/>
      <c r="V99" s="3394" t="s">
        <v>25</v>
      </c>
      <c r="W99" s="3393"/>
      <c r="X99" s="68"/>
      <c r="Y99" s="68"/>
      <c r="Z99" s="68"/>
      <c r="AA99" s="68"/>
      <c r="AB99" s="68"/>
      <c r="AC99" s="68"/>
      <c r="AD99" s="68"/>
      <c r="AE99" s="68"/>
      <c r="AF99" s="68"/>
    </row>
    <row r="100" spans="1:33" ht="18" customHeight="1">
      <c r="B100" s="3618" t="s">
        <v>162</v>
      </c>
      <c r="C100" s="3619" t="s">
        <v>163</v>
      </c>
      <c r="D100" s="3620"/>
      <c r="E100" s="3620"/>
      <c r="F100" s="3619" t="s">
        <v>163</v>
      </c>
      <c r="G100" s="3620"/>
      <c r="H100" s="3620"/>
      <c r="I100" s="3619" t="s">
        <v>163</v>
      </c>
      <c r="J100" s="3620"/>
      <c r="K100" s="3620"/>
      <c r="L100" s="3619" t="s">
        <v>163</v>
      </c>
      <c r="M100" s="3620"/>
      <c r="N100" s="3620"/>
      <c r="O100" s="3619" t="s">
        <v>163</v>
      </c>
      <c r="P100" s="3620"/>
      <c r="Q100" s="3620"/>
      <c r="R100" s="3621"/>
      <c r="S100" s="3620"/>
      <c r="T100" s="3620"/>
      <c r="U100" s="3621" t="s">
        <v>164</v>
      </c>
      <c r="V100" s="3620"/>
      <c r="W100" s="3622"/>
      <c r="X100" s="68"/>
      <c r="Y100" s="68"/>
      <c r="Z100" s="68"/>
      <c r="AA100" s="68"/>
      <c r="AB100" s="68"/>
      <c r="AC100" s="68"/>
      <c r="AD100" s="68"/>
      <c r="AE100" s="68"/>
      <c r="AF100" s="68"/>
    </row>
    <row r="101" spans="1:33" ht="18" customHeight="1">
      <c r="B101" s="3618" t="s">
        <v>165</v>
      </c>
      <c r="C101" s="3623" t="s">
        <v>166</v>
      </c>
      <c r="D101" s="3624"/>
      <c r="E101" s="3624"/>
      <c r="F101" s="3623" t="s">
        <v>167</v>
      </c>
      <c r="G101" s="3624"/>
      <c r="H101" s="3624"/>
      <c r="I101" s="3623" t="s">
        <v>167</v>
      </c>
      <c r="J101" s="3624"/>
      <c r="K101" s="3624"/>
      <c r="L101" s="3623" t="s">
        <v>167</v>
      </c>
      <c r="M101" s="3624"/>
      <c r="N101" s="3624"/>
      <c r="O101" s="3623" t="s">
        <v>168</v>
      </c>
      <c r="P101" s="3624"/>
      <c r="Q101" s="3624"/>
      <c r="R101" s="242"/>
      <c r="S101" s="46"/>
      <c r="T101" s="3622"/>
      <c r="U101" s="242"/>
      <c r="V101" s="46"/>
      <c r="W101" s="3622"/>
      <c r="X101" s="68"/>
      <c r="Y101" s="68"/>
      <c r="Z101" s="68"/>
      <c r="AA101" s="68"/>
      <c r="AB101" s="68"/>
      <c r="AC101" s="68"/>
      <c r="AD101" s="68"/>
      <c r="AE101" s="68"/>
      <c r="AF101" s="68"/>
    </row>
    <row r="102" spans="1:33" ht="18" customHeight="1">
      <c r="B102" s="3618" t="s">
        <v>169</v>
      </c>
      <c r="C102" s="3577" t="s">
        <v>170</v>
      </c>
      <c r="D102" s="3383"/>
      <c r="E102" s="3383"/>
      <c r="F102" s="3577" t="s">
        <v>171</v>
      </c>
      <c r="G102" s="3480"/>
      <c r="H102" s="3383"/>
      <c r="I102" s="3577" t="s">
        <v>171</v>
      </c>
      <c r="J102" s="3400"/>
      <c r="K102" s="3399"/>
      <c r="L102" s="3625" t="s">
        <v>172</v>
      </c>
      <c r="M102" s="3400"/>
      <c r="N102" s="3626"/>
      <c r="O102" s="3577" t="s">
        <v>172</v>
      </c>
      <c r="P102" s="3383"/>
      <c r="Q102" s="3383"/>
      <c r="R102" s="3625" t="s">
        <v>173</v>
      </c>
      <c r="S102" s="3400"/>
      <c r="T102" s="3399"/>
      <c r="U102" s="3625" t="s">
        <v>173</v>
      </c>
      <c r="V102" s="3400"/>
      <c r="W102" s="3399"/>
      <c r="X102" s="68"/>
      <c r="Y102" s="68"/>
      <c r="Z102" s="68"/>
      <c r="AA102" s="68"/>
      <c r="AB102" s="68"/>
      <c r="AC102" s="68"/>
      <c r="AD102" s="68"/>
      <c r="AE102" s="68"/>
      <c r="AF102" s="68"/>
    </row>
    <row r="103" spans="1:33" ht="18" customHeight="1">
      <c r="B103" s="3618" t="s">
        <v>174</v>
      </c>
      <c r="C103" s="3577" t="s">
        <v>46</v>
      </c>
      <c r="D103" s="3383"/>
      <c r="E103" s="3383"/>
      <c r="F103" s="3577" t="s">
        <v>46</v>
      </c>
      <c r="G103" s="3480"/>
      <c r="H103" s="3383"/>
      <c r="I103" s="3625" t="s">
        <v>46</v>
      </c>
      <c r="J103" s="3400"/>
      <c r="K103" s="3399"/>
      <c r="L103" s="3625" t="s">
        <v>46</v>
      </c>
      <c r="M103" s="3400"/>
      <c r="N103" s="3626"/>
      <c r="O103" s="3577" t="s">
        <v>46</v>
      </c>
      <c r="P103" s="3383"/>
      <c r="Q103" s="3383"/>
      <c r="R103" s="3625"/>
      <c r="S103" s="3400"/>
      <c r="T103" s="3399"/>
      <c r="U103" s="3625"/>
      <c r="V103" s="3400"/>
      <c r="W103" s="3310"/>
      <c r="X103" s="68"/>
      <c r="Y103" s="68"/>
      <c r="Z103" s="68"/>
      <c r="AA103" s="68"/>
      <c r="AB103" s="68"/>
      <c r="AC103" s="68"/>
      <c r="AD103" s="68"/>
      <c r="AE103" s="68"/>
      <c r="AF103" s="68"/>
    </row>
    <row r="104" spans="1:33" ht="18" customHeight="1" thickBot="1">
      <c r="B104" s="243"/>
      <c r="C104" s="244"/>
      <c r="D104" s="111"/>
      <c r="E104" s="111"/>
      <c r="F104" s="244"/>
      <c r="G104" s="115"/>
      <c r="H104" s="111"/>
      <c r="I104" s="115"/>
      <c r="J104" s="111"/>
      <c r="K104" s="111"/>
      <c r="L104" s="115"/>
      <c r="M104" s="111"/>
      <c r="N104" s="32"/>
      <c r="O104" s="244"/>
      <c r="P104" s="111"/>
      <c r="Q104" s="111"/>
      <c r="R104" s="115"/>
      <c r="S104" s="111"/>
      <c r="T104" s="111"/>
      <c r="U104" s="115"/>
      <c r="V104" s="111"/>
      <c r="W104" s="111"/>
      <c r="X104" s="68"/>
      <c r="Y104" s="68"/>
      <c r="Z104" s="68"/>
      <c r="AA104" s="68"/>
      <c r="AB104" s="68"/>
      <c r="AC104" s="68"/>
      <c r="AD104" s="68"/>
      <c r="AE104" s="68"/>
      <c r="AF104" s="68"/>
    </row>
    <row r="105" spans="1:33" ht="18" customHeight="1" thickBot="1">
      <c r="B105" s="3200" t="s">
        <v>38</v>
      </c>
      <c r="C105" s="2985">
        <v>1</v>
      </c>
      <c r="D105" s="2985">
        <v>2</v>
      </c>
      <c r="E105" s="2985">
        <v>3</v>
      </c>
      <c r="F105" s="2985">
        <v>4</v>
      </c>
      <c r="G105" s="2985">
        <v>5</v>
      </c>
      <c r="H105" s="2986">
        <v>6</v>
      </c>
      <c r="I105" s="2986">
        <v>7</v>
      </c>
      <c r="J105" s="2985">
        <v>8</v>
      </c>
      <c r="K105" s="2985">
        <v>9</v>
      </c>
      <c r="L105" s="2985">
        <v>10</v>
      </c>
      <c r="M105" s="2985">
        <v>11</v>
      </c>
      <c r="N105" s="2985">
        <v>12</v>
      </c>
      <c r="O105" s="2986">
        <v>13</v>
      </c>
      <c r="P105" s="2986">
        <v>14</v>
      </c>
      <c r="Q105" s="2985">
        <v>15</v>
      </c>
      <c r="R105" s="2985">
        <v>16</v>
      </c>
      <c r="S105" s="2985">
        <v>17</v>
      </c>
      <c r="T105" s="2985">
        <v>18</v>
      </c>
      <c r="U105" s="2985">
        <v>19</v>
      </c>
      <c r="V105" s="2986">
        <v>20</v>
      </c>
      <c r="W105" s="2986">
        <v>21</v>
      </c>
      <c r="X105" s="2985">
        <v>22</v>
      </c>
      <c r="Y105" s="2985">
        <v>23</v>
      </c>
      <c r="Z105" s="2985">
        <v>24</v>
      </c>
      <c r="AA105" s="2985">
        <v>25</v>
      </c>
      <c r="AB105" s="2985">
        <v>26</v>
      </c>
      <c r="AC105" s="2986">
        <v>27</v>
      </c>
      <c r="AD105" s="2986">
        <v>28</v>
      </c>
      <c r="AE105" s="2985">
        <v>29</v>
      </c>
      <c r="AF105" s="2985">
        <v>30</v>
      </c>
    </row>
    <row r="106" spans="1:33" ht="18" customHeight="1">
      <c r="B106" s="3202" t="s">
        <v>175</v>
      </c>
      <c r="C106" s="3526">
        <v>26</v>
      </c>
      <c r="D106" s="3627">
        <v>26</v>
      </c>
      <c r="E106" s="3627">
        <v>26</v>
      </c>
      <c r="F106" s="3627">
        <v>26</v>
      </c>
      <c r="G106" s="3627">
        <v>26</v>
      </c>
      <c r="H106" s="585"/>
      <c r="I106" s="585"/>
      <c r="J106" s="585" t="s">
        <v>121</v>
      </c>
      <c r="K106" s="585" t="s">
        <v>121</v>
      </c>
      <c r="L106" s="585" t="s">
        <v>121</v>
      </c>
      <c r="M106" s="585" t="s">
        <v>121</v>
      </c>
      <c r="N106" s="585" t="s">
        <v>121</v>
      </c>
      <c r="O106" s="3526" t="s">
        <v>120</v>
      </c>
      <c r="P106" s="3393" t="s">
        <v>120</v>
      </c>
      <c r="Q106" s="3393" t="s">
        <v>46</v>
      </c>
      <c r="R106" s="3393" t="s">
        <v>46</v>
      </c>
      <c r="S106" s="3393" t="s">
        <v>46</v>
      </c>
      <c r="T106" s="3526" t="s">
        <v>46</v>
      </c>
      <c r="U106" s="3526" t="s">
        <v>46</v>
      </c>
      <c r="V106" s="3526"/>
      <c r="W106" s="3526"/>
      <c r="X106" s="3526">
        <v>25</v>
      </c>
      <c r="Y106" s="3526">
        <v>25</v>
      </c>
      <c r="Z106" s="3526">
        <v>25</v>
      </c>
      <c r="AA106" s="3526">
        <v>25</v>
      </c>
      <c r="AB106" s="3526">
        <v>25</v>
      </c>
      <c r="AC106" s="3526"/>
      <c r="AD106" s="3526">
        <v>26</v>
      </c>
      <c r="AE106" s="3494">
        <v>26</v>
      </c>
      <c r="AF106" s="3494">
        <v>26</v>
      </c>
      <c r="AG106" t="s">
        <v>133</v>
      </c>
    </row>
    <row r="107" spans="1:33" ht="18" customHeight="1">
      <c r="B107" s="3625" t="s">
        <v>176</v>
      </c>
      <c r="C107" s="510" t="s">
        <v>121</v>
      </c>
      <c r="D107" s="510" t="s">
        <v>121</v>
      </c>
      <c r="E107" s="510" t="s">
        <v>121</v>
      </c>
      <c r="F107" s="510" t="s">
        <v>121</v>
      </c>
      <c r="G107" s="510" t="s">
        <v>121</v>
      </c>
      <c r="H107" s="3494" t="s">
        <v>120</v>
      </c>
      <c r="I107" s="3494" t="s">
        <v>120</v>
      </c>
      <c r="J107" s="3437" t="s">
        <v>46</v>
      </c>
      <c r="K107" s="3437" t="s">
        <v>46</v>
      </c>
      <c r="L107" s="3437" t="s">
        <v>46</v>
      </c>
      <c r="M107" s="3437" t="s">
        <v>46</v>
      </c>
      <c r="N107" s="3437" t="s">
        <v>46</v>
      </c>
      <c r="O107" s="3437"/>
      <c r="P107" s="3437"/>
      <c r="Q107" s="3437">
        <v>25</v>
      </c>
      <c r="R107" s="3437">
        <v>25</v>
      </c>
      <c r="S107" s="3437">
        <v>25</v>
      </c>
      <c r="T107" s="3437">
        <v>25</v>
      </c>
      <c r="U107" s="3437">
        <v>25</v>
      </c>
      <c r="V107" s="3437"/>
      <c r="W107" s="3437">
        <v>26</v>
      </c>
      <c r="X107" s="3526">
        <v>26</v>
      </c>
      <c r="Y107" s="3526">
        <v>26</v>
      </c>
      <c r="Z107" s="3526">
        <v>26</v>
      </c>
      <c r="AA107" s="3526">
        <v>26</v>
      </c>
      <c r="AB107" s="3526">
        <v>26</v>
      </c>
      <c r="AC107" s="585"/>
      <c r="AD107" s="585"/>
      <c r="AE107" s="585" t="s">
        <v>121</v>
      </c>
      <c r="AF107" s="585" t="s">
        <v>121</v>
      </c>
      <c r="AG107" t="s">
        <v>133</v>
      </c>
    </row>
    <row r="108" spans="1:33" ht="18" customHeight="1">
      <c r="B108" s="3628" t="s">
        <v>177</v>
      </c>
      <c r="C108" s="3494" t="s">
        <v>46</v>
      </c>
      <c r="D108" s="3494" t="s">
        <v>46</v>
      </c>
      <c r="E108" s="3494" t="s">
        <v>46</v>
      </c>
      <c r="F108" s="3494" t="s">
        <v>46</v>
      </c>
      <c r="G108" s="3494" t="s">
        <v>46</v>
      </c>
      <c r="H108" s="3494"/>
      <c r="I108" s="3494"/>
      <c r="J108" s="3526">
        <v>25</v>
      </c>
      <c r="K108" s="3526">
        <v>25</v>
      </c>
      <c r="L108" s="3526">
        <v>25</v>
      </c>
      <c r="M108" s="3526">
        <v>25</v>
      </c>
      <c r="N108" s="3526">
        <v>25</v>
      </c>
      <c r="O108" s="3526"/>
      <c r="P108" s="3627">
        <v>26</v>
      </c>
      <c r="Q108" s="3627">
        <v>26</v>
      </c>
      <c r="R108" s="3627">
        <v>26</v>
      </c>
      <c r="S108" s="3627">
        <v>26</v>
      </c>
      <c r="T108" s="3627">
        <v>26</v>
      </c>
      <c r="U108" s="3439">
        <v>26</v>
      </c>
      <c r="V108" s="3526"/>
      <c r="W108" s="3526"/>
      <c r="X108" s="3526" t="s">
        <v>121</v>
      </c>
      <c r="Y108" s="3627" t="s">
        <v>121</v>
      </c>
      <c r="Z108" s="3526" t="s">
        <v>121</v>
      </c>
      <c r="AA108" s="3526" t="s">
        <v>121</v>
      </c>
      <c r="AB108" s="3526" t="s">
        <v>121</v>
      </c>
      <c r="AC108" s="3526" t="s">
        <v>120</v>
      </c>
      <c r="AD108" s="3526" t="s">
        <v>120</v>
      </c>
      <c r="AE108" s="3526" t="s">
        <v>46</v>
      </c>
      <c r="AF108" s="3526" t="s">
        <v>46</v>
      </c>
    </row>
    <row r="109" spans="1:33" ht="18" customHeight="1" thickBot="1">
      <c r="B109" s="2725" t="s">
        <v>498</v>
      </c>
      <c r="C109" s="3526">
        <v>25</v>
      </c>
      <c r="D109" s="3526">
        <v>25</v>
      </c>
      <c r="E109" s="3526">
        <v>25</v>
      </c>
      <c r="F109" s="3526">
        <v>25</v>
      </c>
      <c r="G109" s="3526">
        <v>25</v>
      </c>
      <c r="H109" s="3526"/>
      <c r="I109" s="3526">
        <v>26</v>
      </c>
      <c r="J109" s="3629">
        <v>26</v>
      </c>
      <c r="K109" s="3627">
        <v>26</v>
      </c>
      <c r="L109" s="3627">
        <v>26</v>
      </c>
      <c r="M109" s="3627">
        <v>26</v>
      </c>
      <c r="N109" s="3627">
        <v>26</v>
      </c>
      <c r="O109" s="3526"/>
      <c r="P109" s="3526"/>
      <c r="Q109" s="3526" t="s">
        <v>121</v>
      </c>
      <c r="R109" s="3526" t="s">
        <v>121</v>
      </c>
      <c r="S109" s="3526" t="s">
        <v>121</v>
      </c>
      <c r="T109" s="3526" t="s">
        <v>121</v>
      </c>
      <c r="U109" s="3526" t="s">
        <v>121</v>
      </c>
      <c r="V109" s="3526" t="s">
        <v>120</v>
      </c>
      <c r="W109" s="3526" t="s">
        <v>120</v>
      </c>
      <c r="X109" s="3526" t="s">
        <v>46</v>
      </c>
      <c r="Y109" s="3526" t="s">
        <v>46</v>
      </c>
      <c r="Z109" s="3526" t="s">
        <v>46</v>
      </c>
      <c r="AA109" s="3526" t="s">
        <v>46</v>
      </c>
      <c r="AB109" s="3526" t="s">
        <v>46</v>
      </c>
      <c r="AC109" s="3526"/>
      <c r="AD109" s="3526"/>
      <c r="AE109" s="3526">
        <v>25</v>
      </c>
      <c r="AF109" s="3526">
        <v>25</v>
      </c>
    </row>
    <row r="110" spans="1:33" ht="18" customHeight="1">
      <c r="A110" s="114"/>
      <c r="B110" s="115"/>
      <c r="C110" s="126"/>
      <c r="D110" s="126"/>
      <c r="E110" s="126"/>
      <c r="F110" s="126"/>
      <c r="G110" s="126"/>
      <c r="H110" s="126"/>
      <c r="I110" s="126"/>
      <c r="J110" s="126"/>
      <c r="K110" s="126"/>
      <c r="L110" s="126"/>
      <c r="M110" s="126"/>
      <c r="N110" s="126"/>
      <c r="O110" s="126"/>
      <c r="P110" s="126"/>
      <c r="Q110" s="126"/>
      <c r="R110" s="126"/>
      <c r="S110" s="126"/>
      <c r="T110" s="126"/>
      <c r="U110" s="126"/>
      <c r="V110" s="126"/>
      <c r="W110" s="126"/>
      <c r="X110" s="126"/>
      <c r="Y110" s="126"/>
      <c r="Z110" s="126"/>
      <c r="AA110" s="126"/>
      <c r="AB110" s="126"/>
      <c r="AC110" s="126"/>
      <c r="AD110" s="126"/>
      <c r="AE110" s="126"/>
      <c r="AF110" s="126"/>
    </row>
    <row r="111" spans="1:33" ht="18" customHeight="1">
      <c r="A111" s="114"/>
      <c r="B111" s="115"/>
      <c r="C111" s="126"/>
      <c r="D111" s="126"/>
      <c r="E111" s="126"/>
      <c r="F111" s="126"/>
      <c r="G111" s="126"/>
      <c r="H111" s="126"/>
      <c r="I111" s="126"/>
      <c r="J111" s="126"/>
      <c r="K111" s="126"/>
      <c r="L111" s="126"/>
      <c r="M111" s="126"/>
      <c r="N111" s="126"/>
      <c r="O111" s="126"/>
      <c r="P111" s="126"/>
      <c r="Q111" s="126"/>
      <c r="R111" s="126"/>
      <c r="S111" s="126"/>
      <c r="T111" s="126"/>
      <c r="U111" s="126"/>
      <c r="V111" s="126"/>
      <c r="W111" s="126"/>
      <c r="X111" s="126"/>
      <c r="Y111" s="126"/>
      <c r="Z111" s="126"/>
      <c r="AA111" s="126"/>
      <c r="AB111" s="126"/>
      <c r="AC111" s="126"/>
      <c r="AD111" s="126"/>
      <c r="AE111" s="126"/>
      <c r="AF111" s="126"/>
    </row>
    <row r="112" spans="1:33" ht="18" customHeight="1" thickBot="1">
      <c r="B112" s="133" t="s">
        <v>178</v>
      </c>
      <c r="C112" s="126"/>
      <c r="D112" s="126"/>
      <c r="E112" s="126"/>
      <c r="F112" s="126"/>
      <c r="G112" s="126"/>
      <c r="H112" s="126"/>
      <c r="I112" s="126"/>
      <c r="J112" s="126"/>
      <c r="K112" s="126"/>
      <c r="L112" s="126"/>
      <c r="M112" s="126"/>
      <c r="N112" s="126"/>
      <c r="O112" s="126"/>
      <c r="P112" s="126"/>
      <c r="Q112" s="126"/>
      <c r="R112" s="148"/>
      <c r="S112" s="148"/>
      <c r="T112" s="148"/>
      <c r="U112" s="126"/>
      <c r="V112" s="126"/>
      <c r="W112" s="126"/>
      <c r="X112" s="126"/>
      <c r="Y112" s="126"/>
      <c r="Z112" s="126"/>
      <c r="AA112" s="126"/>
      <c r="AB112" s="126"/>
      <c r="AC112" s="126"/>
      <c r="AD112" s="126"/>
      <c r="AE112" s="126"/>
      <c r="AF112" s="126"/>
    </row>
    <row r="113" spans="1:32" ht="18" customHeight="1" thickBot="1">
      <c r="A113" s="114"/>
      <c r="B113" s="134"/>
      <c r="C113" s="135"/>
      <c r="D113" s="135"/>
      <c r="E113" s="138"/>
      <c r="F113" s="135"/>
      <c r="G113" s="135"/>
      <c r="H113" s="135"/>
      <c r="I113" s="135"/>
      <c r="J113" s="135"/>
      <c r="K113" s="141"/>
      <c r="L113" s="156"/>
      <c r="M113" s="156"/>
      <c r="N113" s="156"/>
      <c r="O113" s="139"/>
      <c r="P113" s="139"/>
      <c r="Q113" s="139"/>
      <c r="R113" s="139"/>
      <c r="S113" s="139"/>
      <c r="T113" s="140"/>
      <c r="W113" s="101"/>
      <c r="X113" s="101"/>
      <c r="Y113" s="101"/>
      <c r="Z113" s="101"/>
      <c r="AA113" s="101"/>
      <c r="AB113" s="101"/>
      <c r="AC113" s="101"/>
      <c r="AD113" s="101"/>
      <c r="AE113" s="101"/>
      <c r="AF113" s="101"/>
    </row>
    <row r="114" spans="1:32" ht="18" customHeight="1" thickBot="1">
      <c r="A114" s="114"/>
      <c r="B114" s="160" t="s">
        <v>180</v>
      </c>
      <c r="C114" s="161"/>
      <c r="D114" s="161"/>
      <c r="E114" s="166" t="s">
        <v>181</v>
      </c>
      <c r="F114" s="161"/>
      <c r="G114" s="161"/>
      <c r="H114" s="161"/>
      <c r="I114" s="135"/>
      <c r="J114" s="135"/>
      <c r="K114" s="135"/>
      <c r="L114" s="144"/>
      <c r="M114" s="144"/>
      <c r="N114" s="144"/>
      <c r="O114" s="144"/>
      <c r="P114" s="144"/>
      <c r="Q114" s="144"/>
      <c r="R114" s="144"/>
      <c r="S114" s="144"/>
      <c r="T114" s="145"/>
      <c r="U114" s="101"/>
      <c r="V114" s="101"/>
      <c r="W114" s="101"/>
      <c r="X114" s="101"/>
      <c r="Y114" s="101"/>
      <c r="Z114" s="101"/>
      <c r="AA114" s="101"/>
      <c r="AB114" s="101"/>
      <c r="AC114" s="101"/>
      <c r="AD114" s="101"/>
      <c r="AE114" s="101"/>
      <c r="AF114" s="101"/>
    </row>
    <row r="116" spans="1:32" ht="18" customHeight="1" thickBot="1">
      <c r="A116" s="114"/>
      <c r="B116" s="3630" t="s">
        <v>421</v>
      </c>
      <c r="C116" s="2985">
        <v>1</v>
      </c>
      <c r="D116" s="2985">
        <v>2</v>
      </c>
      <c r="E116" s="2985">
        <v>3</v>
      </c>
      <c r="F116" s="2985">
        <v>4</v>
      </c>
      <c r="G116" s="2985">
        <v>5</v>
      </c>
      <c r="H116" s="2986">
        <v>6</v>
      </c>
      <c r="I116" s="2986">
        <v>7</v>
      </c>
      <c r="J116" s="2985">
        <v>8</v>
      </c>
      <c r="K116" s="2985">
        <v>9</v>
      </c>
      <c r="L116" s="2985">
        <v>10</v>
      </c>
      <c r="M116" s="2985">
        <v>11</v>
      </c>
      <c r="N116" s="2985">
        <v>12</v>
      </c>
      <c r="O116" s="2986">
        <v>13</v>
      </c>
      <c r="P116" s="2986">
        <v>14</v>
      </c>
      <c r="Q116" s="2985">
        <v>15</v>
      </c>
      <c r="R116" s="2985">
        <v>16</v>
      </c>
      <c r="S116" s="2985">
        <v>17</v>
      </c>
      <c r="T116" s="2985">
        <v>18</v>
      </c>
      <c r="U116" s="2985">
        <v>19</v>
      </c>
      <c r="V116" s="2986">
        <v>20</v>
      </c>
      <c r="W116" s="2986">
        <v>21</v>
      </c>
      <c r="X116" s="2985">
        <v>22</v>
      </c>
      <c r="Y116" s="2985">
        <v>23</v>
      </c>
      <c r="Z116" s="2985">
        <v>24</v>
      </c>
      <c r="AA116" s="2985">
        <v>25</v>
      </c>
      <c r="AB116" s="2985">
        <v>26</v>
      </c>
      <c r="AC116" s="2986">
        <v>27</v>
      </c>
      <c r="AD116" s="2986">
        <v>28</v>
      </c>
      <c r="AE116" s="2985">
        <v>29</v>
      </c>
      <c r="AF116" s="2985">
        <v>30</v>
      </c>
    </row>
    <row r="117" spans="1:32" ht="18" customHeight="1">
      <c r="B117" s="3631" t="s">
        <v>184</v>
      </c>
      <c r="C117" s="3632" t="s">
        <v>46</v>
      </c>
      <c r="D117" s="3632" t="s">
        <v>46</v>
      </c>
      <c r="E117" s="3632" t="s">
        <v>46</v>
      </c>
      <c r="F117" s="3632" t="s">
        <v>46</v>
      </c>
      <c r="G117" s="3632" t="s">
        <v>118</v>
      </c>
      <c r="H117" s="3632" t="s">
        <v>118</v>
      </c>
      <c r="I117" s="3632" t="s">
        <v>118</v>
      </c>
      <c r="J117" s="3632" t="s">
        <v>118</v>
      </c>
      <c r="K117" s="3632" t="s">
        <v>118</v>
      </c>
      <c r="L117" s="3632" t="s">
        <v>118</v>
      </c>
      <c r="M117" s="3632" t="s">
        <v>46</v>
      </c>
      <c r="N117" s="3632" t="s">
        <v>46</v>
      </c>
      <c r="O117" s="3632" t="s">
        <v>46</v>
      </c>
      <c r="P117" s="3632" t="s">
        <v>46</v>
      </c>
      <c r="Q117" s="3632" t="s">
        <v>46</v>
      </c>
      <c r="R117" s="3632" t="s">
        <v>46</v>
      </c>
      <c r="S117" s="3632" t="s">
        <v>118</v>
      </c>
      <c r="T117" s="3632" t="s">
        <v>118</v>
      </c>
      <c r="U117" s="3632" t="s">
        <v>118</v>
      </c>
      <c r="V117" s="3632" t="s">
        <v>118</v>
      </c>
      <c r="W117" s="3632" t="s">
        <v>118</v>
      </c>
      <c r="X117" s="3632" t="s">
        <v>118</v>
      </c>
      <c r="Y117" s="3632" t="s">
        <v>46</v>
      </c>
      <c r="Z117" s="3632" t="s">
        <v>46</v>
      </c>
      <c r="AA117" s="3632" t="s">
        <v>46</v>
      </c>
      <c r="AB117" s="3604" t="s">
        <v>46</v>
      </c>
      <c r="AC117" s="3604" t="s">
        <v>46</v>
      </c>
      <c r="AD117" s="3604" t="s">
        <v>46</v>
      </c>
      <c r="AE117" s="3604" t="s">
        <v>46</v>
      </c>
      <c r="AF117" s="3604" t="s">
        <v>46</v>
      </c>
    </row>
    <row r="118" spans="1:32" ht="18" customHeight="1">
      <c r="B118" s="3406" t="s">
        <v>195</v>
      </c>
      <c r="C118" s="3633" t="s">
        <v>118</v>
      </c>
      <c r="D118" s="3633" t="s">
        <v>118</v>
      </c>
      <c r="E118" s="3633" t="s">
        <v>118</v>
      </c>
      <c r="F118" s="3633" t="s">
        <v>118</v>
      </c>
      <c r="G118" s="3633" t="s">
        <v>46</v>
      </c>
      <c r="H118" s="3633" t="s">
        <v>46</v>
      </c>
      <c r="I118" s="3633" t="s">
        <v>46</v>
      </c>
      <c r="J118" s="3634" t="s">
        <v>46</v>
      </c>
      <c r="K118" s="3635" t="s">
        <v>46</v>
      </c>
      <c r="L118" s="3634" t="s">
        <v>46</v>
      </c>
      <c r="M118" s="3634" t="s">
        <v>118</v>
      </c>
      <c r="N118" s="3636" t="s">
        <v>118</v>
      </c>
      <c r="O118" s="3634" t="s">
        <v>118</v>
      </c>
      <c r="P118" s="3634" t="s">
        <v>118</v>
      </c>
      <c r="Q118" s="3636" t="s">
        <v>118</v>
      </c>
      <c r="R118" s="3636" t="s">
        <v>118</v>
      </c>
      <c r="S118" s="3636" t="s">
        <v>46</v>
      </c>
      <c r="T118" s="3534" t="s">
        <v>46</v>
      </c>
      <c r="U118" s="3534" t="s">
        <v>46</v>
      </c>
      <c r="V118" s="3534" t="s">
        <v>46</v>
      </c>
      <c r="W118" s="3534" t="s">
        <v>46</v>
      </c>
      <c r="X118" s="3637" t="s">
        <v>46</v>
      </c>
      <c r="Y118" s="3638" t="s">
        <v>46</v>
      </c>
      <c r="Z118" s="3638" t="s">
        <v>46</v>
      </c>
      <c r="AA118" s="3547" t="s">
        <v>46</v>
      </c>
      <c r="AB118" s="3547" t="s">
        <v>46</v>
      </c>
      <c r="AC118" s="3547" t="s">
        <v>46</v>
      </c>
      <c r="AD118" s="3547" t="s">
        <v>46</v>
      </c>
      <c r="AE118" s="3547" t="s">
        <v>118</v>
      </c>
      <c r="AF118" s="3636" t="s">
        <v>118</v>
      </c>
    </row>
    <row r="119" spans="1:32" ht="18" customHeight="1" thickBot="1">
      <c r="B119" s="3639" t="s">
        <v>385</v>
      </c>
      <c r="C119" s="3521" t="s">
        <v>46</v>
      </c>
      <c r="D119" s="3521" t="s">
        <v>46</v>
      </c>
      <c r="E119" s="3525" t="s">
        <v>46</v>
      </c>
      <c r="F119" s="3525" t="s">
        <v>46</v>
      </c>
      <c r="G119" s="3525" t="s">
        <v>118</v>
      </c>
      <c r="H119" s="3525" t="s">
        <v>118</v>
      </c>
      <c r="I119" s="3525" t="s">
        <v>118</v>
      </c>
      <c r="J119" s="3525" t="s">
        <v>118</v>
      </c>
      <c r="K119" s="3525" t="s">
        <v>118</v>
      </c>
      <c r="L119" s="3525" t="s">
        <v>118</v>
      </c>
      <c r="M119" s="3525" t="s">
        <v>46</v>
      </c>
      <c r="N119" s="3525" t="s">
        <v>46</v>
      </c>
      <c r="O119" s="3525" t="s">
        <v>46</v>
      </c>
      <c r="P119" s="3525" t="s">
        <v>46</v>
      </c>
      <c r="Q119" s="3525" t="s">
        <v>46</v>
      </c>
      <c r="R119" s="3525" t="s">
        <v>46</v>
      </c>
      <c r="S119" s="3525" t="s">
        <v>118</v>
      </c>
      <c r="T119" s="3525" t="s">
        <v>118</v>
      </c>
      <c r="U119" s="3525" t="s">
        <v>118</v>
      </c>
      <c r="V119" s="3525" t="s">
        <v>118</v>
      </c>
      <c r="W119" s="3525" t="s">
        <v>118</v>
      </c>
      <c r="X119" s="3525" t="s">
        <v>118</v>
      </c>
      <c r="Y119" s="3525" t="s">
        <v>46</v>
      </c>
      <c r="Z119" s="3525" t="s">
        <v>46</v>
      </c>
      <c r="AA119" s="3525" t="s">
        <v>46</v>
      </c>
      <c r="AB119" s="3525" t="s">
        <v>46</v>
      </c>
      <c r="AC119" s="3525" t="s">
        <v>46</v>
      </c>
      <c r="AD119" s="3525" t="s">
        <v>46</v>
      </c>
      <c r="AE119" s="3525" t="s">
        <v>46</v>
      </c>
      <c r="AF119" s="3525" t="s">
        <v>46</v>
      </c>
    </row>
    <row r="120" spans="1:32" ht="18" customHeight="1"/>
    <row r="121" spans="1:32" ht="18" customHeight="1" thickBot="1">
      <c r="A121" s="3"/>
      <c r="B121" s="3" t="s">
        <v>188</v>
      </c>
    </row>
    <row r="122" spans="1:32" ht="18" customHeight="1" thickBot="1">
      <c r="B122" s="134"/>
      <c r="C122" s="135"/>
      <c r="D122" s="135"/>
      <c r="E122" s="138"/>
      <c r="F122" s="135"/>
      <c r="G122" s="135"/>
      <c r="H122" s="135"/>
      <c r="I122" s="135"/>
      <c r="J122" s="135"/>
      <c r="K122" s="141"/>
      <c r="L122" s="139"/>
      <c r="M122" s="139"/>
      <c r="N122" s="139"/>
      <c r="O122" s="139"/>
      <c r="P122" s="139"/>
      <c r="Q122" s="139"/>
      <c r="R122" s="139"/>
      <c r="S122" s="139"/>
      <c r="T122" s="140"/>
    </row>
    <row r="123" spans="1:32" ht="18" customHeight="1" thickBot="1">
      <c r="B123" s="160" t="s">
        <v>180</v>
      </c>
      <c r="C123" s="161"/>
      <c r="D123" s="161"/>
      <c r="E123" s="166" t="s">
        <v>189</v>
      </c>
      <c r="F123" s="161"/>
      <c r="G123" s="161"/>
      <c r="H123" s="161"/>
      <c r="I123" s="135"/>
      <c r="J123" s="135"/>
      <c r="K123" s="135"/>
      <c r="L123" s="144"/>
      <c r="M123" s="144"/>
      <c r="N123" s="144"/>
      <c r="O123" s="144"/>
      <c r="P123" s="144"/>
      <c r="Q123" s="144"/>
      <c r="R123" s="144"/>
      <c r="S123" s="144"/>
      <c r="T123" s="145"/>
      <c r="U123" s="101"/>
      <c r="V123" s="101"/>
    </row>
    <row r="124" spans="1:32" ht="18" customHeight="1" thickBot="1">
      <c r="T124" s="101"/>
      <c r="U124" s="101"/>
      <c r="V124" s="101"/>
    </row>
    <row r="125" spans="1:32" ht="18" customHeight="1" thickBot="1">
      <c r="B125" s="1469" t="s">
        <v>423</v>
      </c>
      <c r="C125" s="2985">
        <v>1</v>
      </c>
      <c r="D125" s="2985">
        <v>2</v>
      </c>
      <c r="E125" s="2985">
        <v>3</v>
      </c>
      <c r="F125" s="2985">
        <v>4</v>
      </c>
      <c r="G125" s="2985">
        <v>5</v>
      </c>
      <c r="H125" s="2986">
        <v>6</v>
      </c>
      <c r="I125" s="2986">
        <v>7</v>
      </c>
      <c r="J125" s="2985">
        <v>8</v>
      </c>
      <c r="K125" s="2985">
        <v>9</v>
      </c>
      <c r="L125" s="2985">
        <v>10</v>
      </c>
      <c r="M125" s="2985">
        <v>11</v>
      </c>
      <c r="N125" s="2985">
        <v>12</v>
      </c>
      <c r="O125" s="2986">
        <v>13</v>
      </c>
      <c r="P125" s="2986">
        <v>14</v>
      </c>
      <c r="Q125" s="2985">
        <v>15</v>
      </c>
      <c r="R125" s="2985">
        <v>16</v>
      </c>
      <c r="S125" s="2985">
        <v>17</v>
      </c>
      <c r="T125" s="2985">
        <v>18</v>
      </c>
      <c r="U125" s="2985">
        <v>19</v>
      </c>
      <c r="V125" s="2986">
        <v>20</v>
      </c>
      <c r="W125" s="2986">
        <v>21</v>
      </c>
      <c r="X125" s="2985">
        <v>22</v>
      </c>
      <c r="Y125" s="2985">
        <v>23</v>
      </c>
      <c r="Z125" s="2985">
        <v>24</v>
      </c>
      <c r="AA125" s="2985">
        <v>25</v>
      </c>
      <c r="AB125" s="2985">
        <v>26</v>
      </c>
      <c r="AC125" s="2986">
        <v>27</v>
      </c>
      <c r="AD125" s="2986">
        <v>28</v>
      </c>
      <c r="AE125" s="2985">
        <v>29</v>
      </c>
      <c r="AF125" s="2985">
        <v>30</v>
      </c>
    </row>
    <row r="126" spans="1:32" ht="18" customHeight="1">
      <c r="B126" s="3640" t="s">
        <v>190</v>
      </c>
      <c r="C126" s="3521" t="s">
        <v>46</v>
      </c>
      <c r="D126" s="3521" t="s">
        <v>46</v>
      </c>
      <c r="E126" s="3521" t="s">
        <v>46</v>
      </c>
      <c r="F126" s="3525" t="s">
        <v>61</v>
      </c>
      <c r="G126" s="3525" t="s">
        <v>61</v>
      </c>
      <c r="H126" s="480" t="s">
        <v>61</v>
      </c>
      <c r="I126" s="480" t="s">
        <v>46</v>
      </c>
      <c r="J126" s="484" t="s">
        <v>46</v>
      </c>
      <c r="K126" s="484" t="s">
        <v>46</v>
      </c>
      <c r="L126" s="484" t="s">
        <v>61</v>
      </c>
      <c r="M126" s="480" t="s">
        <v>61</v>
      </c>
      <c r="N126" s="489" t="s">
        <v>61</v>
      </c>
      <c r="O126" s="480" t="s">
        <v>46</v>
      </c>
      <c r="P126" s="480" t="s">
        <v>46</v>
      </c>
      <c r="Q126" s="480" t="s">
        <v>46</v>
      </c>
      <c r="R126" s="480" t="s">
        <v>61</v>
      </c>
      <c r="S126" s="480" t="s">
        <v>61</v>
      </c>
      <c r="T126" s="480" t="s">
        <v>61</v>
      </c>
      <c r="U126" s="480" t="s">
        <v>61</v>
      </c>
      <c r="V126" s="484" t="s">
        <v>46</v>
      </c>
      <c r="W126" s="484" t="s">
        <v>46</v>
      </c>
      <c r="X126" s="484" t="s">
        <v>46</v>
      </c>
      <c r="Y126" s="484" t="s">
        <v>46</v>
      </c>
      <c r="Z126" s="484" t="s">
        <v>61</v>
      </c>
      <c r="AA126" s="484" t="s">
        <v>61</v>
      </c>
      <c r="AB126" s="480" t="s">
        <v>61</v>
      </c>
      <c r="AC126" s="490" t="s">
        <v>61</v>
      </c>
      <c r="AD126" s="490" t="s">
        <v>61</v>
      </c>
      <c r="AE126" s="480" t="s">
        <v>46</v>
      </c>
      <c r="AF126" s="480" t="s">
        <v>46</v>
      </c>
    </row>
    <row r="127" spans="1:32" ht="18" customHeight="1" thickBot="1">
      <c r="B127" s="3640" t="s">
        <v>191</v>
      </c>
      <c r="C127" s="3525" t="s">
        <v>61</v>
      </c>
      <c r="D127" s="3525" t="s">
        <v>61</v>
      </c>
      <c r="E127" s="3525" t="s">
        <v>61</v>
      </c>
      <c r="F127" s="3525" t="s">
        <v>46</v>
      </c>
      <c r="G127" s="3525" t="s">
        <v>46</v>
      </c>
      <c r="H127" s="3525" t="s">
        <v>46</v>
      </c>
      <c r="I127" s="3521" t="s">
        <v>61</v>
      </c>
      <c r="J127" s="3641" t="s">
        <v>61</v>
      </c>
      <c r="K127" s="3641" t="s">
        <v>61</v>
      </c>
      <c r="L127" s="3641" t="s">
        <v>46</v>
      </c>
      <c r="M127" s="3641" t="s">
        <v>46</v>
      </c>
      <c r="N127" s="483" t="s">
        <v>46</v>
      </c>
      <c r="O127" s="3641" t="s">
        <v>61</v>
      </c>
      <c r="P127" s="3641" t="s">
        <v>61</v>
      </c>
      <c r="Q127" s="3641" t="s">
        <v>61</v>
      </c>
      <c r="R127" s="3641" t="s">
        <v>46</v>
      </c>
      <c r="S127" s="3641" t="s">
        <v>46</v>
      </c>
      <c r="T127" s="3641" t="s">
        <v>46</v>
      </c>
      <c r="U127" s="3641" t="s">
        <v>46</v>
      </c>
      <c r="V127" s="3641" t="s">
        <v>46</v>
      </c>
      <c r="W127" s="3641" t="s">
        <v>61</v>
      </c>
      <c r="X127" s="3641" t="s">
        <v>61</v>
      </c>
      <c r="Y127" s="3641" t="s">
        <v>61</v>
      </c>
      <c r="Z127" s="3641" t="s">
        <v>46</v>
      </c>
      <c r="AA127" s="3641" t="s">
        <v>46</v>
      </c>
      <c r="AB127" s="3641" t="s">
        <v>46</v>
      </c>
      <c r="AC127" s="3641" t="s">
        <v>46</v>
      </c>
      <c r="AD127" s="3641" t="s">
        <v>46</v>
      </c>
      <c r="AE127" s="3521" t="s">
        <v>61</v>
      </c>
      <c r="AF127" s="3521" t="s">
        <v>61</v>
      </c>
    </row>
    <row r="128" spans="1:32" ht="18" customHeight="1">
      <c r="B128" s="1455" t="s">
        <v>0</v>
      </c>
      <c r="C128" s="1456" t="s">
        <v>0</v>
      </c>
      <c r="D128" s="1456" t="s">
        <v>0</v>
      </c>
      <c r="E128" s="1456" t="s">
        <v>0</v>
      </c>
      <c r="F128" s="1456" t="s">
        <v>0</v>
      </c>
      <c r="G128" s="1456" t="s">
        <v>0</v>
      </c>
      <c r="H128" s="1456" t="s">
        <v>0</v>
      </c>
      <c r="I128" s="1456" t="s">
        <v>0</v>
      </c>
      <c r="J128" s="1456" t="s">
        <v>0</v>
      </c>
      <c r="K128" s="1456" t="s">
        <v>0</v>
      </c>
      <c r="L128" s="1456" t="s">
        <v>0</v>
      </c>
      <c r="M128" s="1456" t="s">
        <v>0</v>
      </c>
      <c r="N128" s="1456" t="s">
        <v>0</v>
      </c>
      <c r="O128" s="1456" t="s">
        <v>0</v>
      </c>
      <c r="P128" s="1456" t="s">
        <v>0</v>
      </c>
      <c r="Q128" s="1456" t="s">
        <v>0</v>
      </c>
      <c r="R128" s="1456" t="s">
        <v>0</v>
      </c>
      <c r="S128" s="1456" t="s">
        <v>0</v>
      </c>
      <c r="T128" s="1456" t="s">
        <v>0</v>
      </c>
      <c r="U128" s="1456" t="s">
        <v>0</v>
      </c>
      <c r="V128" s="1456" t="s">
        <v>0</v>
      </c>
      <c r="W128" s="1456" t="s">
        <v>0</v>
      </c>
      <c r="X128" s="1456" t="s">
        <v>0</v>
      </c>
      <c r="Y128" s="1456" t="s">
        <v>0</v>
      </c>
      <c r="Z128" s="1456" t="s">
        <v>0</v>
      </c>
      <c r="AA128" s="1456" t="s">
        <v>0</v>
      </c>
      <c r="AB128" s="1456" t="s">
        <v>0</v>
      </c>
      <c r="AC128" s="1456" t="s">
        <v>0</v>
      </c>
      <c r="AD128" s="1456" t="s">
        <v>0</v>
      </c>
      <c r="AE128" s="1456" t="s">
        <v>0</v>
      </c>
      <c r="AF128" s="1456" t="s">
        <v>0</v>
      </c>
    </row>
    <row r="129" spans="2:32" ht="18" customHeight="1" thickBot="1">
      <c r="B129" s="3" t="s">
        <v>192</v>
      </c>
    </row>
    <row r="130" spans="2:32" ht="18" customHeight="1" thickBot="1">
      <c r="B130" s="134"/>
      <c r="C130" s="135"/>
      <c r="D130" s="135"/>
      <c r="E130" s="138"/>
      <c r="F130" s="135"/>
      <c r="G130" s="135"/>
      <c r="H130" s="135"/>
      <c r="I130" s="135"/>
      <c r="J130" s="135"/>
      <c r="K130" s="141"/>
      <c r="L130" s="139"/>
      <c r="M130" s="139"/>
      <c r="N130" s="139"/>
      <c r="O130" s="139"/>
      <c r="P130" s="139"/>
      <c r="Q130" s="139"/>
      <c r="R130" s="139"/>
      <c r="S130" s="139"/>
      <c r="T130" s="140"/>
    </row>
    <row r="131" spans="2:32" ht="18" customHeight="1" thickBot="1">
      <c r="B131" s="160" t="s">
        <v>180</v>
      </c>
      <c r="C131" s="161"/>
      <c r="D131" s="161"/>
      <c r="E131" s="166" t="s">
        <v>193</v>
      </c>
      <c r="F131" s="161"/>
      <c r="G131" s="135"/>
      <c r="H131" s="135"/>
      <c r="I131" s="135"/>
      <c r="J131" s="135"/>
      <c r="K131" s="135"/>
      <c r="L131" s="144"/>
      <c r="M131" s="144"/>
      <c r="N131" s="144"/>
      <c r="O131" s="144"/>
      <c r="P131" s="144"/>
      <c r="Q131" s="144"/>
      <c r="R131" s="144"/>
      <c r="S131" s="144"/>
      <c r="T131" s="145"/>
      <c r="U131" s="101"/>
      <c r="V131" s="101"/>
    </row>
    <row r="133" spans="2:32" ht="18" customHeight="1" thickBot="1">
      <c r="B133" s="1469" t="s">
        <v>424</v>
      </c>
      <c r="C133" s="2985">
        <v>1</v>
      </c>
      <c r="D133" s="2985">
        <v>2</v>
      </c>
      <c r="E133" s="2985">
        <v>3</v>
      </c>
      <c r="F133" s="2985">
        <v>4</v>
      </c>
      <c r="G133" s="2985">
        <v>5</v>
      </c>
      <c r="H133" s="2986">
        <v>6</v>
      </c>
      <c r="I133" s="2986">
        <v>7</v>
      </c>
      <c r="J133" s="2985">
        <v>8</v>
      </c>
      <c r="K133" s="2985">
        <v>9</v>
      </c>
      <c r="L133" s="2985">
        <v>10</v>
      </c>
      <c r="M133" s="2985">
        <v>11</v>
      </c>
      <c r="N133" s="2985">
        <v>12</v>
      </c>
      <c r="O133" s="2986">
        <v>13</v>
      </c>
      <c r="P133" s="2986">
        <v>14</v>
      </c>
      <c r="Q133" s="2985">
        <v>15</v>
      </c>
      <c r="R133" s="2985">
        <v>16</v>
      </c>
      <c r="S133" s="2985">
        <v>17</v>
      </c>
      <c r="T133" s="2985">
        <v>18</v>
      </c>
      <c r="U133" s="2985">
        <v>19</v>
      </c>
      <c r="V133" s="2986">
        <v>20</v>
      </c>
      <c r="W133" s="2986">
        <v>21</v>
      </c>
      <c r="X133" s="2985">
        <v>22</v>
      </c>
      <c r="Y133" s="2985">
        <v>23</v>
      </c>
      <c r="Z133" s="2985">
        <v>24</v>
      </c>
      <c r="AA133" s="2985">
        <v>25</v>
      </c>
      <c r="AB133" s="2985">
        <v>26</v>
      </c>
      <c r="AC133" s="2986">
        <v>27</v>
      </c>
      <c r="AD133" s="2986">
        <v>28</v>
      </c>
      <c r="AE133" s="2985">
        <v>29</v>
      </c>
      <c r="AF133" s="2985">
        <v>30</v>
      </c>
    </row>
    <row r="134" spans="2:32" ht="18" customHeight="1">
      <c r="B134" s="3642" t="s">
        <v>194</v>
      </c>
      <c r="C134" s="3643" t="s">
        <v>46</v>
      </c>
      <c r="D134" s="3644" t="s">
        <v>46</v>
      </c>
      <c r="E134" s="3644" t="s">
        <v>46</v>
      </c>
      <c r="F134" s="3645" t="s">
        <v>139</v>
      </c>
      <c r="G134" s="3645" t="s">
        <v>139</v>
      </c>
      <c r="H134" s="3645" t="s">
        <v>139</v>
      </c>
      <c r="I134" s="3646" t="s">
        <v>139</v>
      </c>
      <c r="J134" s="3647" t="s">
        <v>139</v>
      </c>
      <c r="K134" s="3645" t="s">
        <v>139</v>
      </c>
      <c r="L134" s="3645" t="s">
        <v>139</v>
      </c>
      <c r="M134" s="3645" t="s">
        <v>139</v>
      </c>
      <c r="N134" s="3549" t="s">
        <v>46</v>
      </c>
      <c r="O134" s="3648" t="s">
        <v>429</v>
      </c>
      <c r="P134" s="3648" t="s">
        <v>418</v>
      </c>
      <c r="Q134" s="3645" t="s">
        <v>139</v>
      </c>
      <c r="R134" s="3645" t="s">
        <v>139</v>
      </c>
      <c r="S134" s="3645" t="s">
        <v>139</v>
      </c>
      <c r="T134" s="3549" t="s">
        <v>46</v>
      </c>
      <c r="U134" s="3549" t="s">
        <v>46</v>
      </c>
      <c r="V134" s="3520" t="s">
        <v>61</v>
      </c>
      <c r="W134" s="3645" t="s">
        <v>139</v>
      </c>
      <c r="X134" s="3645" t="s">
        <v>139</v>
      </c>
      <c r="Y134" s="3645" t="s">
        <v>139</v>
      </c>
      <c r="Z134" s="3549" t="s">
        <v>46</v>
      </c>
      <c r="AA134" s="3549" t="s">
        <v>46</v>
      </c>
      <c r="AB134" s="3549" t="s">
        <v>46</v>
      </c>
      <c r="AC134" s="3645" t="s">
        <v>139</v>
      </c>
      <c r="AD134" s="3645" t="s">
        <v>139</v>
      </c>
      <c r="AE134" s="3645" t="s">
        <v>139</v>
      </c>
      <c r="AF134" s="3549" t="s">
        <v>46</v>
      </c>
    </row>
    <row r="135" spans="2:32" ht="18" customHeight="1">
      <c r="B135" s="3649" t="s">
        <v>185</v>
      </c>
      <c r="C135" s="3650" t="s">
        <v>139</v>
      </c>
      <c r="D135" s="3650" t="s">
        <v>139</v>
      </c>
      <c r="E135" s="3650" t="s">
        <v>139</v>
      </c>
      <c r="F135" s="3549" t="s">
        <v>46</v>
      </c>
      <c r="G135" s="3549" t="s">
        <v>46</v>
      </c>
      <c r="H135" s="3549" t="s">
        <v>46</v>
      </c>
      <c r="I135" s="3549" t="s">
        <v>46</v>
      </c>
      <c r="J135" s="3551" t="s">
        <v>61</v>
      </c>
      <c r="K135" s="3551" t="s">
        <v>61</v>
      </c>
      <c r="L135" s="3549" t="s">
        <v>46</v>
      </c>
      <c r="M135" s="3549" t="s">
        <v>46</v>
      </c>
      <c r="N135" s="3651" t="s">
        <v>139</v>
      </c>
      <c r="O135" s="3645" t="s">
        <v>139</v>
      </c>
      <c r="P135" s="3645" t="s">
        <v>139</v>
      </c>
      <c r="Q135" s="3549" t="s">
        <v>46</v>
      </c>
      <c r="R135" s="3549" t="s">
        <v>46</v>
      </c>
      <c r="S135" s="3549" t="s">
        <v>46</v>
      </c>
      <c r="T135" s="3645" t="s">
        <v>139</v>
      </c>
      <c r="U135" s="3645" t="s">
        <v>139</v>
      </c>
      <c r="V135" s="3645" t="s">
        <v>139</v>
      </c>
      <c r="W135" s="3549" t="s">
        <v>46</v>
      </c>
      <c r="X135" s="3549" t="s">
        <v>46</v>
      </c>
      <c r="Y135" s="3549" t="s">
        <v>46</v>
      </c>
      <c r="Z135" s="3645" t="s">
        <v>139</v>
      </c>
      <c r="AA135" s="3645" t="s">
        <v>139</v>
      </c>
      <c r="AB135" s="3645" t="s">
        <v>139</v>
      </c>
      <c r="AC135" s="3549" t="s">
        <v>46</v>
      </c>
      <c r="AD135" s="559" t="s">
        <v>118</v>
      </c>
      <c r="AE135" s="3549" t="s">
        <v>46</v>
      </c>
      <c r="AF135" s="3645" t="s">
        <v>139</v>
      </c>
    </row>
    <row r="136" spans="2:32" ht="18" customHeight="1">
      <c r="B136" s="115"/>
      <c r="C136" s="116"/>
      <c r="D136" s="116"/>
      <c r="E136" s="116"/>
      <c r="F136" s="116"/>
      <c r="G136" s="116"/>
      <c r="H136" s="116"/>
      <c r="K136" s="116"/>
      <c r="L136" s="116"/>
      <c r="M136" s="116"/>
      <c r="N136" s="116"/>
      <c r="O136" s="116"/>
      <c r="P136" s="116"/>
      <c r="Q136" s="116"/>
      <c r="R136" s="116"/>
      <c r="S136" s="116"/>
      <c r="T136" s="116"/>
      <c r="U136" s="116"/>
      <c r="V136" s="116"/>
      <c r="W136" s="116"/>
      <c r="X136" s="116"/>
      <c r="Y136" s="116"/>
      <c r="Z136" s="116"/>
      <c r="AA136" s="116"/>
      <c r="AB136" s="116"/>
      <c r="AC136" s="116"/>
      <c r="AD136" s="116"/>
      <c r="AE136" s="116"/>
      <c r="AF136" s="116"/>
    </row>
    <row r="137" spans="2:32" ht="18" customHeight="1" thickBot="1">
      <c r="B137" s="3" t="s">
        <v>196</v>
      </c>
    </row>
    <row r="138" spans="2:32" ht="18" customHeight="1" thickBot="1">
      <c r="B138" s="134"/>
      <c r="C138" s="135"/>
      <c r="D138" s="135"/>
      <c r="E138" s="138" t="s">
        <v>179</v>
      </c>
      <c r="F138" s="135"/>
      <c r="G138" s="135"/>
      <c r="H138" s="135"/>
      <c r="I138" s="135"/>
      <c r="J138" s="135"/>
      <c r="K138" s="141" t="s">
        <v>15</v>
      </c>
      <c r="L138" s="139"/>
      <c r="M138" s="139"/>
      <c r="N138" s="139"/>
      <c r="O138" s="139"/>
      <c r="P138" s="139"/>
      <c r="Q138" s="139"/>
      <c r="R138" s="139"/>
      <c r="S138" s="139"/>
      <c r="T138" s="140"/>
    </row>
    <row r="139" spans="2:32" ht="18" customHeight="1" thickBot="1">
      <c r="B139" s="134" t="s">
        <v>180</v>
      </c>
      <c r="C139" s="136" t="s">
        <v>499</v>
      </c>
      <c r="D139" s="135"/>
      <c r="E139" s="135"/>
      <c r="F139" s="135"/>
      <c r="G139" s="928" t="s">
        <v>500</v>
      </c>
      <c r="H139" s="135"/>
      <c r="I139" s="135"/>
      <c r="J139" s="135"/>
      <c r="K139" s="928" t="s">
        <v>501</v>
      </c>
      <c r="L139" s="135"/>
      <c r="M139" s="135"/>
      <c r="N139" s="135"/>
      <c r="O139" s="928" t="s">
        <v>502</v>
      </c>
      <c r="P139" s="135"/>
      <c r="Q139" s="135"/>
      <c r="R139" s="135"/>
      <c r="S139" s="147"/>
      <c r="T139" s="147"/>
    </row>
    <row r="140" spans="2:32" ht="18" customHeight="1" thickBot="1">
      <c r="T140" s="101"/>
      <c r="U140" s="101"/>
      <c r="V140" s="101"/>
    </row>
    <row r="141" spans="2:32" ht="18" customHeight="1" thickBot="1">
      <c r="B141" s="1469" t="s">
        <v>197</v>
      </c>
      <c r="C141" s="2985">
        <v>1</v>
      </c>
      <c r="D141" s="2985">
        <v>2</v>
      </c>
      <c r="E141" s="2985">
        <v>3</v>
      </c>
      <c r="F141" s="2985">
        <v>4</v>
      </c>
      <c r="G141" s="2985">
        <v>5</v>
      </c>
      <c r="H141" s="2986">
        <v>6</v>
      </c>
      <c r="I141" s="2986">
        <v>7</v>
      </c>
      <c r="J141" s="2985">
        <v>8</v>
      </c>
      <c r="K141" s="2985">
        <v>9</v>
      </c>
      <c r="L141" s="2985">
        <v>10</v>
      </c>
      <c r="M141" s="2985">
        <v>11</v>
      </c>
      <c r="N141" s="2985">
        <v>12</v>
      </c>
      <c r="O141" s="2986">
        <v>13</v>
      </c>
      <c r="P141" s="2986">
        <v>14</v>
      </c>
      <c r="Q141" s="2985">
        <v>15</v>
      </c>
      <c r="R141" s="2985">
        <v>16</v>
      </c>
      <c r="S141" s="2985">
        <v>17</v>
      </c>
      <c r="T141" s="2985">
        <v>18</v>
      </c>
      <c r="U141" s="2985">
        <v>19</v>
      </c>
      <c r="V141" s="2986">
        <v>20</v>
      </c>
      <c r="W141" s="2986">
        <v>21</v>
      </c>
      <c r="X141" s="2985">
        <v>22</v>
      </c>
      <c r="Y141" s="2985">
        <v>23</v>
      </c>
      <c r="Z141" s="2985">
        <v>24</v>
      </c>
      <c r="AA141" s="2985">
        <v>25</v>
      </c>
      <c r="AB141" s="2985">
        <v>26</v>
      </c>
      <c r="AC141" s="2986">
        <v>27</v>
      </c>
      <c r="AD141" s="2986">
        <v>28</v>
      </c>
      <c r="AE141" s="2985">
        <v>29</v>
      </c>
      <c r="AF141" s="2985">
        <v>30</v>
      </c>
    </row>
    <row r="142" spans="2:32" ht="18" customHeight="1">
      <c r="B142" s="3538" t="s">
        <v>198</v>
      </c>
      <c r="C142" s="3521" t="s">
        <v>113</v>
      </c>
      <c r="D142" s="3521" t="s">
        <v>113</v>
      </c>
      <c r="E142" s="3521" t="s">
        <v>113</v>
      </c>
      <c r="F142" s="3521" t="s">
        <v>113</v>
      </c>
      <c r="G142" s="3521" t="s">
        <v>373</v>
      </c>
      <c r="H142" s="3521" t="s">
        <v>373</v>
      </c>
      <c r="I142" s="3521" t="s">
        <v>113</v>
      </c>
      <c r="J142" s="3521" t="s">
        <v>46</v>
      </c>
      <c r="K142" s="3521" t="s">
        <v>46</v>
      </c>
      <c r="L142" s="3521" t="s">
        <v>113</v>
      </c>
      <c r="M142" s="3521" t="s">
        <v>113</v>
      </c>
      <c r="N142" s="3521" t="s">
        <v>373</v>
      </c>
      <c r="O142" s="3521" t="s">
        <v>46</v>
      </c>
      <c r="P142" s="3521" t="s">
        <v>46</v>
      </c>
      <c r="Q142" s="3521" t="s">
        <v>46</v>
      </c>
      <c r="R142" s="3521" t="s">
        <v>113</v>
      </c>
      <c r="S142" s="3521" t="s">
        <v>113</v>
      </c>
      <c r="T142" s="3521" t="s">
        <v>113</v>
      </c>
      <c r="U142" s="3525" t="s">
        <v>373</v>
      </c>
      <c r="V142" s="3525" t="s">
        <v>373</v>
      </c>
      <c r="W142" s="3525" t="s">
        <v>113</v>
      </c>
      <c r="X142" s="3525" t="s">
        <v>113</v>
      </c>
      <c r="Y142" s="3525" t="s">
        <v>46</v>
      </c>
      <c r="Z142" s="3525" t="s">
        <v>46</v>
      </c>
      <c r="AA142" s="3521" t="s">
        <v>46</v>
      </c>
      <c r="AB142" s="3521" t="s">
        <v>46</v>
      </c>
      <c r="AC142" s="3521" t="s">
        <v>46</v>
      </c>
      <c r="AD142" s="3521" t="s">
        <v>46</v>
      </c>
      <c r="AE142" s="3521" t="s">
        <v>113</v>
      </c>
      <c r="AF142" s="3521" t="s">
        <v>113</v>
      </c>
    </row>
    <row r="143" spans="2:32" ht="18" customHeight="1">
      <c r="B143" s="3625" t="s">
        <v>155</v>
      </c>
      <c r="C143" s="3549" t="s">
        <v>418</v>
      </c>
      <c r="D143" s="3549" t="s">
        <v>418</v>
      </c>
      <c r="E143" s="3549" t="s">
        <v>418</v>
      </c>
      <c r="F143" s="3549" t="s">
        <v>418</v>
      </c>
      <c r="G143" s="3549" t="s">
        <v>429</v>
      </c>
      <c r="H143" s="3549" t="s">
        <v>46</v>
      </c>
      <c r="I143" s="3549" t="s">
        <v>46</v>
      </c>
      <c r="J143" s="3521" t="s">
        <v>46</v>
      </c>
      <c r="K143" s="3521" t="s">
        <v>46</v>
      </c>
      <c r="L143" s="3521" t="s">
        <v>418</v>
      </c>
      <c r="M143" s="3521" t="s">
        <v>418</v>
      </c>
      <c r="N143" s="3521" t="s">
        <v>429</v>
      </c>
      <c r="O143" s="3525" t="s">
        <v>46</v>
      </c>
      <c r="P143" s="3525" t="s">
        <v>46</v>
      </c>
      <c r="Q143" s="3525" t="s">
        <v>418</v>
      </c>
      <c r="R143" s="3525" t="s">
        <v>418</v>
      </c>
      <c r="S143" s="3525" t="s">
        <v>418</v>
      </c>
      <c r="T143" s="3525" t="s">
        <v>418</v>
      </c>
      <c r="U143" s="3521" t="s">
        <v>429</v>
      </c>
      <c r="V143" s="3521" t="s">
        <v>429</v>
      </c>
      <c r="W143" s="3521" t="s">
        <v>418</v>
      </c>
      <c r="X143" s="3521" t="s">
        <v>46</v>
      </c>
      <c r="Y143" s="3521" t="s">
        <v>46</v>
      </c>
      <c r="Z143" s="3521" t="s">
        <v>418</v>
      </c>
      <c r="AA143" s="3525" t="s">
        <v>418</v>
      </c>
      <c r="AB143" s="3525" t="s">
        <v>429</v>
      </c>
      <c r="AC143" s="3525" t="s">
        <v>46</v>
      </c>
      <c r="AD143" s="3525" t="s">
        <v>46</v>
      </c>
      <c r="AE143" s="3525" t="s">
        <v>418</v>
      </c>
      <c r="AF143" s="3525" t="s">
        <v>418</v>
      </c>
    </row>
    <row r="144" spans="2:32" ht="18" customHeight="1">
      <c r="B144" s="157"/>
      <c r="C144" s="116"/>
      <c r="D144" s="116"/>
      <c r="E144" s="116"/>
      <c r="F144" s="116"/>
      <c r="G144" s="116"/>
      <c r="H144" s="116"/>
      <c r="I144" s="124"/>
      <c r="AE144" s="116"/>
      <c r="AF144" s="116"/>
    </row>
    <row r="145" spans="2:33" ht="18" customHeight="1">
      <c r="B145" s="323" t="s">
        <v>503</v>
      </c>
      <c r="C145" s="116"/>
      <c r="D145" s="116"/>
      <c r="E145" s="116"/>
      <c r="F145" s="116"/>
      <c r="G145" s="116"/>
      <c r="H145" s="116"/>
      <c r="I145" s="124"/>
      <c r="AE145" s="116"/>
      <c r="AF145" s="116"/>
    </row>
    <row r="146" spans="2:33" ht="18" customHeight="1">
      <c r="B146" s="318" t="s">
        <v>113</v>
      </c>
      <c r="C146" s="319"/>
      <c r="D146" s="319"/>
      <c r="E146" s="319"/>
      <c r="F146" s="319"/>
      <c r="G146" s="319"/>
      <c r="H146" s="319"/>
      <c r="I146" s="319"/>
      <c r="J146" s="319" t="s">
        <v>504</v>
      </c>
      <c r="K146" s="319" t="s">
        <v>504</v>
      </c>
      <c r="L146" s="319"/>
      <c r="M146" s="319"/>
      <c r="N146" s="319"/>
      <c r="O146" s="319"/>
      <c r="P146" s="319" t="s">
        <v>505</v>
      </c>
      <c r="Q146" s="319" t="s">
        <v>485</v>
      </c>
      <c r="R146" s="319"/>
      <c r="S146" s="319"/>
      <c r="T146" s="319"/>
      <c r="U146" s="320"/>
      <c r="V146" s="320"/>
      <c r="W146" s="320"/>
      <c r="X146" s="320"/>
      <c r="Y146" s="320" t="s">
        <v>506</v>
      </c>
      <c r="Z146" s="320" t="s">
        <v>506</v>
      </c>
      <c r="AA146" s="319" t="s">
        <v>504</v>
      </c>
      <c r="AB146" s="319"/>
      <c r="AC146" s="319"/>
      <c r="AD146" s="319" t="s">
        <v>504</v>
      </c>
      <c r="AE146" s="319"/>
      <c r="AF146" s="319"/>
    </row>
    <row r="147" spans="2:33" ht="18" customHeight="1">
      <c r="B147" s="318" t="s">
        <v>373</v>
      </c>
      <c r="C147" s="321"/>
      <c r="D147" s="321"/>
      <c r="E147" s="321"/>
      <c r="F147" s="321"/>
      <c r="G147" s="321"/>
      <c r="H147" s="321"/>
      <c r="I147" s="321"/>
      <c r="J147" s="319"/>
      <c r="K147" s="319"/>
      <c r="L147" s="319"/>
      <c r="M147" s="319"/>
      <c r="N147" s="319"/>
      <c r="O147" s="320" t="s">
        <v>505</v>
      </c>
      <c r="P147" s="320"/>
      <c r="Q147" s="320"/>
      <c r="R147" s="320"/>
      <c r="S147" s="320"/>
      <c r="T147" s="320"/>
      <c r="U147" s="319"/>
      <c r="V147" s="319"/>
      <c r="W147" s="319"/>
      <c r="X147" s="319"/>
      <c r="Y147" s="319"/>
      <c r="Z147" s="319"/>
      <c r="AA147" s="320"/>
      <c r="AB147" s="320" t="s">
        <v>504</v>
      </c>
      <c r="AC147" s="320" t="s">
        <v>504</v>
      </c>
      <c r="AD147" s="320"/>
      <c r="AE147" s="320"/>
      <c r="AF147" s="320"/>
    </row>
    <row r="148" spans="2:33" ht="18" customHeight="1">
      <c r="B148" s="318" t="s">
        <v>418</v>
      </c>
      <c r="C148" s="321"/>
      <c r="D148" s="321"/>
      <c r="E148" s="321"/>
      <c r="F148" s="321"/>
      <c r="G148" s="321"/>
      <c r="H148" s="321"/>
      <c r="I148" s="321" t="s">
        <v>507</v>
      </c>
      <c r="J148" s="322" t="s">
        <v>508</v>
      </c>
      <c r="K148" s="322" t="s">
        <v>508</v>
      </c>
      <c r="L148" s="319"/>
      <c r="M148" s="319"/>
      <c r="N148" s="319"/>
      <c r="O148" s="320"/>
      <c r="P148" s="320" t="s">
        <v>194</v>
      </c>
      <c r="Q148" s="320"/>
      <c r="R148" s="320"/>
      <c r="S148" s="320"/>
      <c r="T148" s="320"/>
      <c r="U148" s="319"/>
      <c r="V148" s="319"/>
      <c r="W148" s="319"/>
      <c r="X148" s="319" t="s">
        <v>504</v>
      </c>
      <c r="Y148" s="319" t="s">
        <v>504</v>
      </c>
      <c r="Z148" s="319"/>
      <c r="AA148" s="320"/>
      <c r="AB148" s="320"/>
      <c r="AC148" s="320"/>
      <c r="AD148" s="320" t="s">
        <v>508</v>
      </c>
      <c r="AE148" s="320"/>
      <c r="AF148" s="320"/>
    </row>
    <row r="149" spans="2:33" ht="18" customHeight="1">
      <c r="B149" s="318" t="s">
        <v>429</v>
      </c>
      <c r="C149" s="321"/>
      <c r="D149" s="321"/>
      <c r="E149" s="321"/>
      <c r="F149" s="321"/>
      <c r="G149" s="321"/>
      <c r="H149" s="321" t="s">
        <v>507</v>
      </c>
      <c r="I149" s="321"/>
      <c r="J149" s="319"/>
      <c r="K149" s="319"/>
      <c r="L149" s="319"/>
      <c r="M149" s="319"/>
      <c r="N149" s="319"/>
      <c r="O149" s="320" t="s">
        <v>509</v>
      </c>
      <c r="P149" s="320"/>
      <c r="Q149" s="320"/>
      <c r="R149" s="320"/>
      <c r="S149" s="320"/>
      <c r="T149" s="320"/>
      <c r="U149" s="319"/>
      <c r="V149" s="319"/>
      <c r="W149" s="319"/>
      <c r="X149" s="319"/>
      <c r="Y149" s="319"/>
      <c r="Z149" s="319"/>
      <c r="AA149" s="320"/>
      <c r="AB149" s="320"/>
      <c r="AC149" s="320" t="s">
        <v>508</v>
      </c>
      <c r="AD149" s="320"/>
      <c r="AE149" s="320"/>
      <c r="AF149" s="320"/>
    </row>
    <row r="150" spans="2:33" ht="18" customHeight="1">
      <c r="B150" s="157"/>
      <c r="C150" s="116"/>
      <c r="D150" s="116"/>
      <c r="E150" s="116"/>
      <c r="F150" s="116"/>
      <c r="G150" s="116"/>
      <c r="H150" s="116"/>
      <c r="I150" s="124"/>
      <c r="AE150" s="116"/>
      <c r="AF150" s="116"/>
    </row>
    <row r="151" spans="2:33" ht="18" customHeight="1">
      <c r="B151" s="157"/>
      <c r="C151" s="116"/>
      <c r="D151" s="116"/>
      <c r="E151" s="116"/>
      <c r="F151" s="116"/>
      <c r="G151" s="116"/>
      <c r="H151" s="116"/>
      <c r="I151" s="124"/>
      <c r="AE151" s="116"/>
      <c r="AF151" s="116"/>
    </row>
    <row r="152" spans="2:33" ht="18" customHeight="1">
      <c r="B152" s="157"/>
      <c r="C152" s="116"/>
      <c r="D152" s="116"/>
      <c r="E152" s="116"/>
      <c r="F152" s="116"/>
      <c r="G152" s="116"/>
      <c r="H152" s="116"/>
      <c r="I152" s="124"/>
      <c r="AE152" s="116"/>
      <c r="AF152" s="116"/>
    </row>
    <row r="153" spans="2:33" ht="18" customHeight="1" thickBot="1">
      <c r="B153" s="3" t="s">
        <v>464</v>
      </c>
      <c r="R153" t="s">
        <v>465</v>
      </c>
    </row>
    <row r="154" spans="2:33" ht="18" customHeight="1" thickBot="1">
      <c r="B154" s="134"/>
      <c r="C154" s="135"/>
      <c r="D154" s="135"/>
      <c r="E154" s="138" t="s">
        <v>179</v>
      </c>
      <c r="F154" s="135"/>
      <c r="G154" s="135"/>
      <c r="H154" s="135"/>
      <c r="I154" s="135"/>
      <c r="J154" s="135"/>
      <c r="K154" s="141" t="s">
        <v>15</v>
      </c>
      <c r="L154" s="139"/>
      <c r="M154" s="139"/>
      <c r="N154" s="139"/>
      <c r="O154" s="139"/>
      <c r="P154" s="139"/>
      <c r="Q154" s="139"/>
      <c r="R154" s="139"/>
      <c r="S154" s="139"/>
      <c r="T154" s="140"/>
    </row>
    <row r="155" spans="2:33" ht="18" customHeight="1" thickBot="1">
      <c r="B155" s="134" t="s">
        <v>180</v>
      </c>
      <c r="C155" s="135"/>
      <c r="D155" s="135"/>
      <c r="E155" s="136" t="s">
        <v>389</v>
      </c>
      <c r="F155" s="135"/>
      <c r="G155" s="135"/>
      <c r="H155" s="135"/>
      <c r="I155" s="135"/>
      <c r="J155" s="135"/>
      <c r="K155" s="135" t="s">
        <v>0</v>
      </c>
      <c r="L155" s="135"/>
      <c r="M155" s="135"/>
      <c r="N155" s="135"/>
      <c r="O155" s="135"/>
      <c r="P155" s="135"/>
      <c r="Q155" s="135"/>
      <c r="R155" s="147" t="s">
        <v>0</v>
      </c>
      <c r="S155" s="147"/>
      <c r="T155" s="147"/>
    </row>
    <row r="156" spans="2:33" ht="18" customHeight="1" thickBot="1">
      <c r="T156" s="101"/>
      <c r="U156" s="101"/>
      <c r="V156" s="101"/>
    </row>
    <row r="157" spans="2:33" ht="18" customHeight="1" thickBot="1">
      <c r="B157" s="1315" t="s">
        <v>197</v>
      </c>
      <c r="C157" s="1313">
        <v>1</v>
      </c>
      <c r="D157" s="1313">
        <v>2</v>
      </c>
      <c r="E157" s="1313">
        <v>3</v>
      </c>
      <c r="F157" s="1313">
        <v>4</v>
      </c>
      <c r="G157" s="1313">
        <v>5</v>
      </c>
      <c r="H157" s="1316">
        <v>6</v>
      </c>
      <c r="I157" s="1316">
        <v>7</v>
      </c>
      <c r="J157" s="1313">
        <v>8</v>
      </c>
      <c r="K157" s="1313">
        <v>9</v>
      </c>
      <c r="L157" s="1313">
        <v>10</v>
      </c>
      <c r="M157" s="1313">
        <v>11</v>
      </c>
      <c r="N157" s="1313">
        <v>12</v>
      </c>
      <c r="O157" s="1316">
        <v>13</v>
      </c>
      <c r="P157" s="1316">
        <v>14</v>
      </c>
      <c r="Q157" s="1313">
        <v>15</v>
      </c>
      <c r="R157" s="1313">
        <v>16</v>
      </c>
      <c r="S157" s="1313">
        <v>17</v>
      </c>
      <c r="T157" s="1313">
        <v>18</v>
      </c>
      <c r="U157" s="1313">
        <v>19</v>
      </c>
      <c r="V157" s="1316">
        <v>20</v>
      </c>
      <c r="W157" s="1316">
        <v>21</v>
      </c>
      <c r="X157" s="1313">
        <v>22</v>
      </c>
      <c r="Y157" s="1313">
        <v>23</v>
      </c>
      <c r="Z157" s="1313">
        <v>24</v>
      </c>
      <c r="AA157" s="1313">
        <v>25</v>
      </c>
      <c r="AB157" s="1313">
        <v>26</v>
      </c>
      <c r="AC157" s="1316">
        <v>27</v>
      </c>
      <c r="AD157" s="1316">
        <v>28</v>
      </c>
      <c r="AE157" s="1313">
        <v>29</v>
      </c>
      <c r="AF157" s="1313">
        <v>30</v>
      </c>
      <c r="AG157" s="1317">
        <v>31</v>
      </c>
    </row>
    <row r="158" spans="2:33" ht="18" customHeight="1">
      <c r="B158" s="3517" t="s">
        <v>416</v>
      </c>
      <c r="C158" s="480" t="s">
        <v>118</v>
      </c>
      <c r="D158" s="480" t="s">
        <v>118</v>
      </c>
      <c r="E158" s="480" t="s">
        <v>118</v>
      </c>
      <c r="F158" s="480" t="s">
        <v>118</v>
      </c>
      <c r="G158" s="480"/>
      <c r="H158" s="483"/>
      <c r="I158" s="483"/>
      <c r="J158" s="483" t="s">
        <v>40</v>
      </c>
      <c r="K158" s="483" t="s">
        <v>40</v>
      </c>
      <c r="L158" s="483" t="s">
        <v>40</v>
      </c>
      <c r="M158" s="483" t="s">
        <v>40</v>
      </c>
      <c r="N158" s="483" t="s">
        <v>40</v>
      </c>
      <c r="O158" s="483"/>
      <c r="AF158" s="480"/>
      <c r="AG158" s="480"/>
    </row>
    <row r="159" spans="2:33" ht="18" customHeight="1">
      <c r="B159" s="3652" t="s">
        <v>510</v>
      </c>
      <c r="C159" s="3525"/>
      <c r="D159" s="3525"/>
      <c r="E159" s="3525"/>
      <c r="F159" s="3525"/>
      <c r="G159" s="3525"/>
      <c r="H159" s="3549"/>
      <c r="AE159" s="3525"/>
      <c r="AF159" s="3525"/>
      <c r="AG159" s="3525"/>
    </row>
    <row r="160" spans="2:33" ht="18" customHeight="1">
      <c r="B160" s="3652" t="s">
        <v>511</v>
      </c>
      <c r="C160" s="3548"/>
      <c r="D160" s="3548"/>
      <c r="E160" s="3521"/>
      <c r="F160" s="3521"/>
      <c r="G160" s="3525"/>
      <c r="H160" s="3525"/>
      <c r="AE160" s="3525"/>
      <c r="AF160" s="3525"/>
      <c r="AG160" s="3525"/>
    </row>
    <row r="161" spans="1:33" ht="18" customHeight="1">
      <c r="B161" s="157"/>
      <c r="C161" s="186"/>
      <c r="D161" s="186"/>
      <c r="E161" s="124"/>
      <c r="F161" s="124"/>
      <c r="G161" s="116"/>
      <c r="H161" s="116"/>
      <c r="J161" s="124"/>
      <c r="AE161" s="116"/>
      <c r="AF161" s="116"/>
      <c r="AG161" s="116"/>
    </row>
    <row r="162" spans="1:33" ht="18" customHeight="1" thickBot="1">
      <c r="A162" s="117"/>
      <c r="B162" s="111"/>
      <c r="C162" s="118"/>
      <c r="D162" s="118"/>
      <c r="E162" s="118"/>
      <c r="F162" s="118"/>
      <c r="G162" s="118"/>
      <c r="H162" s="118"/>
      <c r="I162" s="118"/>
      <c r="J162" s="118"/>
      <c r="K162" s="118"/>
      <c r="L162" s="118"/>
      <c r="M162" s="118"/>
      <c r="N162" s="118"/>
      <c r="O162" s="118"/>
      <c r="P162" s="118"/>
      <c r="Q162" s="118"/>
      <c r="R162" s="118"/>
      <c r="S162" s="118"/>
      <c r="T162" s="118"/>
      <c r="U162" s="118"/>
      <c r="V162" s="118"/>
      <c r="W162" s="118"/>
      <c r="X162" s="118"/>
      <c r="Y162" s="118"/>
      <c r="Z162" s="118"/>
      <c r="AA162" s="118"/>
      <c r="AB162" s="118"/>
      <c r="AC162" s="118"/>
      <c r="AD162" s="118"/>
      <c r="AE162" s="118"/>
      <c r="AF162" s="118"/>
      <c r="AG162" s="105"/>
    </row>
    <row r="163" spans="1:33" ht="18" customHeight="1">
      <c r="A163" s="48"/>
      <c r="B163" s="2764" t="s">
        <v>201</v>
      </c>
      <c r="C163" s="2765"/>
      <c r="D163" s="2766" t="s">
        <v>19</v>
      </c>
      <c r="E163" s="2767"/>
      <c r="F163" s="2765"/>
      <c r="G163" s="2768" t="s">
        <v>20</v>
      </c>
      <c r="H163" s="2769"/>
      <c r="I163" s="2770"/>
      <c r="J163" s="2768" t="s">
        <v>21</v>
      </c>
      <c r="K163" s="2771"/>
      <c r="L163" s="2770"/>
      <c r="M163" s="2772" t="s">
        <v>22</v>
      </c>
      <c r="N163" s="2771"/>
      <c r="O163" s="2770"/>
      <c r="P163" s="2768" t="s">
        <v>23</v>
      </c>
      <c r="Q163" s="2773"/>
      <c r="R163" s="2770"/>
      <c r="S163" s="2768" t="s">
        <v>24</v>
      </c>
      <c r="T163" s="2774"/>
      <c r="U163" s="2770"/>
      <c r="V163" s="2768" t="s">
        <v>25</v>
      </c>
      <c r="W163" s="2773"/>
      <c r="X163" s="2775" t="s">
        <v>202</v>
      </c>
      <c r="Y163" s="2776"/>
      <c r="Z163" s="2776"/>
      <c r="AA163" s="2777"/>
      <c r="AB163" s="2778" t="s">
        <v>108</v>
      </c>
      <c r="AC163" s="2779"/>
      <c r="AD163" s="2779"/>
      <c r="AE163" s="2780"/>
      <c r="AF163" s="2780"/>
      <c r="AG163" s="105"/>
    </row>
    <row r="164" spans="1:33" ht="18" customHeight="1">
      <c r="A164" s="48"/>
      <c r="B164" s="3653" t="s">
        <v>203</v>
      </c>
      <c r="C164" s="3654" t="s">
        <v>204</v>
      </c>
      <c r="D164" s="3233"/>
      <c r="E164" s="3655"/>
      <c r="F164" s="3654" t="s">
        <v>204</v>
      </c>
      <c r="G164" s="3233"/>
      <c r="H164" s="3655"/>
      <c r="I164" s="3654" t="s">
        <v>204</v>
      </c>
      <c r="J164" s="3233"/>
      <c r="K164" s="3655"/>
      <c r="L164" s="3654" t="s">
        <v>204</v>
      </c>
      <c r="M164" s="3233"/>
      <c r="N164" s="3655"/>
      <c r="O164" s="3654" t="s">
        <v>205</v>
      </c>
      <c r="P164" s="3233"/>
      <c r="Q164" s="3655"/>
      <c r="R164" s="3654"/>
      <c r="S164" s="3233"/>
      <c r="T164" s="3655"/>
      <c r="U164" s="3654"/>
      <c r="V164" s="3233"/>
      <c r="W164" s="3655"/>
      <c r="X164" s="3654"/>
      <c r="Y164" s="3235"/>
      <c r="Z164" s="3235"/>
      <c r="AA164" s="3235"/>
      <c r="AB164" s="3382"/>
      <c r="AC164" s="3235"/>
      <c r="AD164" s="3235"/>
      <c r="AE164" s="3235"/>
      <c r="AF164" s="3235"/>
      <c r="AG164" s="105"/>
    </row>
    <row r="165" spans="1:33" ht="18" customHeight="1" thickBot="1">
      <c r="A165" s="48"/>
      <c r="B165" s="4"/>
      <c r="C165" s="48"/>
      <c r="D165" s="48"/>
      <c r="E165" s="48"/>
      <c r="F165" s="48"/>
      <c r="G165" s="48"/>
      <c r="H165" s="48"/>
      <c r="I165" s="48"/>
      <c r="J165" s="48"/>
      <c r="K165" s="48"/>
      <c r="L165" s="48"/>
      <c r="M165" s="48"/>
      <c r="N165" s="48"/>
      <c r="O165" s="48"/>
      <c r="P165" s="48"/>
      <c r="Q165" s="48"/>
      <c r="R165" s="48"/>
      <c r="S165" s="48"/>
      <c r="T165" s="48"/>
      <c r="U165" s="48"/>
      <c r="V165" s="48"/>
      <c r="W165" s="48"/>
      <c r="X165" s="48"/>
      <c r="Y165" s="48"/>
      <c r="Z165" s="48"/>
      <c r="AA165" s="48"/>
      <c r="AB165" s="48"/>
      <c r="AC165" s="48"/>
      <c r="AD165" s="48"/>
      <c r="AE165" s="48"/>
      <c r="AF165" s="48"/>
      <c r="AG165" s="105"/>
    </row>
    <row r="166" spans="1:33" ht="18" customHeight="1" thickBot="1">
      <c r="A166" s="3236" t="s">
        <v>37</v>
      </c>
      <c r="B166" s="3490" t="s">
        <v>38</v>
      </c>
      <c r="C166" s="2985">
        <v>1</v>
      </c>
      <c r="D166" s="2985">
        <v>2</v>
      </c>
      <c r="E166" s="2985">
        <v>3</v>
      </c>
      <c r="F166" s="2985">
        <v>4</v>
      </c>
      <c r="G166" s="2985">
        <v>5</v>
      </c>
      <c r="H166" s="2986">
        <v>6</v>
      </c>
      <c r="I166" s="2986">
        <v>7</v>
      </c>
      <c r="J166" s="2985">
        <v>8</v>
      </c>
      <c r="K166" s="2985">
        <v>9</v>
      </c>
      <c r="L166" s="2985">
        <v>10</v>
      </c>
      <c r="M166" s="2985">
        <v>11</v>
      </c>
      <c r="N166" s="2985">
        <v>12</v>
      </c>
      <c r="O166" s="2986">
        <v>13</v>
      </c>
      <c r="P166" s="2986">
        <v>14</v>
      </c>
      <c r="Q166" s="2985">
        <v>15</v>
      </c>
      <c r="R166" s="2985">
        <v>16</v>
      </c>
      <c r="S166" s="2985">
        <v>17</v>
      </c>
      <c r="T166" s="2985">
        <v>18</v>
      </c>
      <c r="U166" s="2985">
        <v>19</v>
      </c>
      <c r="V166" s="2986">
        <v>20</v>
      </c>
      <c r="W166" s="2986">
        <v>21</v>
      </c>
      <c r="X166" s="2985">
        <v>22</v>
      </c>
      <c r="Y166" s="2985">
        <v>23</v>
      </c>
      <c r="Z166" s="2985">
        <v>24</v>
      </c>
      <c r="AA166" s="2985">
        <v>25</v>
      </c>
      <c r="AB166" s="2985">
        <v>26</v>
      </c>
      <c r="AC166" s="2986">
        <v>27</v>
      </c>
      <c r="AD166" s="2986">
        <v>28</v>
      </c>
      <c r="AE166" s="2985">
        <v>29</v>
      </c>
      <c r="AF166" s="2985">
        <v>30</v>
      </c>
      <c r="AG166" s="105"/>
    </row>
    <row r="167" spans="1:33" ht="18" customHeight="1">
      <c r="A167" s="2785">
        <v>8520</v>
      </c>
      <c r="B167" s="2786" t="s">
        <v>206</v>
      </c>
      <c r="C167" s="3089" t="s">
        <v>207</v>
      </c>
      <c r="D167" s="3089" t="s">
        <v>207</v>
      </c>
      <c r="E167" s="3089" t="s">
        <v>207</v>
      </c>
      <c r="F167" s="3089" t="s">
        <v>207</v>
      </c>
      <c r="G167" s="3089" t="s">
        <v>207</v>
      </c>
      <c r="H167" s="3089"/>
      <c r="I167" s="3089"/>
      <c r="J167" s="3656" t="s">
        <v>207</v>
      </c>
      <c r="K167" s="3656" t="s">
        <v>207</v>
      </c>
      <c r="L167" s="3656" t="s">
        <v>207</v>
      </c>
      <c r="M167" s="3656" t="s">
        <v>207</v>
      </c>
      <c r="N167" s="3291" t="s">
        <v>207</v>
      </c>
      <c r="O167" s="3089"/>
      <c r="P167" s="3089"/>
      <c r="Q167" s="3089" t="s">
        <v>207</v>
      </c>
      <c r="R167" s="3089" t="s">
        <v>207</v>
      </c>
      <c r="S167" s="3089" t="s">
        <v>207</v>
      </c>
      <c r="T167" s="3089" t="s">
        <v>207</v>
      </c>
      <c r="U167" s="3089" t="s">
        <v>207</v>
      </c>
      <c r="V167" s="3089"/>
      <c r="W167" s="3089"/>
      <c r="X167" s="3089" t="s">
        <v>207</v>
      </c>
      <c r="Y167" s="3089" t="s">
        <v>207</v>
      </c>
      <c r="Z167" s="3089" t="s">
        <v>207</v>
      </c>
      <c r="AA167" s="3089" t="s">
        <v>207</v>
      </c>
      <c r="AB167" s="3089" t="s">
        <v>207</v>
      </c>
      <c r="AC167" s="3089"/>
      <c r="AD167" s="3089"/>
      <c r="AE167" s="3089" t="s">
        <v>207</v>
      </c>
      <c r="AF167" s="3089" t="s">
        <v>207</v>
      </c>
      <c r="AG167" s="105"/>
    </row>
    <row r="168" spans="1:33" ht="18" customHeight="1">
      <c r="A168" s="122"/>
      <c r="B168" s="121"/>
      <c r="C168" s="116"/>
      <c r="D168" s="116"/>
      <c r="E168" s="116"/>
      <c r="F168" s="116"/>
      <c r="G168" s="116"/>
      <c r="H168" s="116"/>
      <c r="I168" s="116"/>
      <c r="J168" s="116"/>
      <c r="K168" s="116"/>
      <c r="L168" s="116"/>
      <c r="M168" s="116"/>
      <c r="N168" s="116"/>
      <c r="O168" s="116"/>
      <c r="P168" s="116"/>
      <c r="Q168" s="116"/>
      <c r="R168" s="116"/>
      <c r="S168" s="116"/>
      <c r="T168" s="116"/>
      <c r="U168" s="116"/>
      <c r="V168" s="116"/>
      <c r="W168" s="116"/>
      <c r="X168" s="116"/>
      <c r="Y168" s="116"/>
      <c r="Z168" s="116"/>
      <c r="AA168" s="116"/>
      <c r="AB168" s="116"/>
      <c r="AC168" s="116"/>
      <c r="AD168" s="116"/>
      <c r="AE168" s="116"/>
      <c r="AF168" s="116"/>
      <c r="AG168" s="105"/>
    </row>
    <row r="169" spans="1:33" ht="18" customHeight="1">
      <c r="AG169" s="65"/>
    </row>
    <row r="170" spans="1:33" ht="18" customHeight="1" thickBot="1">
      <c r="A170" s="100" t="s">
        <v>208</v>
      </c>
      <c r="B170" s="101"/>
      <c r="C170" s="101"/>
      <c r="D170" s="102"/>
      <c r="E170" s="102"/>
      <c r="F170" s="102"/>
      <c r="G170" s="63"/>
      <c r="H170" s="102"/>
      <c r="I170" s="102"/>
      <c r="J170" s="102"/>
      <c r="K170" s="102"/>
      <c r="L170" s="102"/>
      <c r="M170" s="102"/>
      <c r="N170" s="102"/>
      <c r="O170" s="102"/>
      <c r="P170" s="102"/>
      <c r="Q170" s="102"/>
      <c r="R170" s="102"/>
      <c r="S170" s="102"/>
      <c r="T170" s="102"/>
      <c r="U170" s="102"/>
      <c r="V170" s="102"/>
      <c r="W170" s="102"/>
      <c r="X170" s="102"/>
      <c r="Y170" s="102"/>
      <c r="Z170" s="102"/>
      <c r="AA170" s="102"/>
      <c r="AB170" s="102"/>
      <c r="AC170" s="102"/>
      <c r="AD170" s="102"/>
      <c r="AE170" s="102"/>
      <c r="AF170" s="102"/>
      <c r="AG170" s="101"/>
    </row>
    <row r="171" spans="1:33" ht="18" customHeight="1">
      <c r="A171" s="100"/>
      <c r="B171" s="2764" t="s">
        <v>209</v>
      </c>
      <c r="C171" s="2787"/>
      <c r="D171" s="2788" t="s">
        <v>19</v>
      </c>
      <c r="E171" s="2789"/>
      <c r="F171" s="2790"/>
      <c r="G171" s="2787"/>
      <c r="H171" s="2788" t="s">
        <v>20</v>
      </c>
      <c r="I171" s="2789"/>
      <c r="J171" s="2790"/>
      <c r="K171" s="2787"/>
      <c r="L171" s="2788" t="s">
        <v>21</v>
      </c>
      <c r="M171" s="2789"/>
      <c r="N171" s="2790"/>
      <c r="O171" s="2787"/>
      <c r="P171" s="2788" t="s">
        <v>22</v>
      </c>
      <c r="Q171" s="2789"/>
      <c r="R171" s="2790"/>
      <c r="S171" s="2787"/>
      <c r="T171" s="2788" t="s">
        <v>23</v>
      </c>
      <c r="U171" s="2789"/>
      <c r="V171" s="2790"/>
      <c r="W171" s="2787"/>
      <c r="X171" s="2788" t="s">
        <v>24</v>
      </c>
      <c r="Y171" s="2789"/>
      <c r="Z171" s="2790"/>
      <c r="AA171" s="2787"/>
      <c r="AB171" s="2788" t="s">
        <v>25</v>
      </c>
      <c r="AC171" s="2789"/>
      <c r="AD171" s="2789"/>
      <c r="AE171" s="2791" t="s">
        <v>108</v>
      </c>
      <c r="AF171" s="2789"/>
      <c r="AG171" s="2792"/>
    </row>
    <row r="172" spans="1:33" ht="18" customHeight="1">
      <c r="A172" s="100"/>
      <c r="B172" s="3657"/>
      <c r="C172" s="3658">
        <v>69</v>
      </c>
      <c r="D172" s="3239" t="s">
        <v>211</v>
      </c>
      <c r="E172" s="3239"/>
      <c r="F172" s="3659"/>
      <c r="G172" s="3658">
        <v>69</v>
      </c>
      <c r="H172" s="3239" t="s">
        <v>211</v>
      </c>
      <c r="I172" s="3239"/>
      <c r="J172" s="3659"/>
      <c r="K172" s="3658">
        <v>69</v>
      </c>
      <c r="L172" s="3239" t="s">
        <v>211</v>
      </c>
      <c r="M172" s="3239"/>
      <c r="N172" s="3659"/>
      <c r="O172" s="3658">
        <v>69</v>
      </c>
      <c r="P172" s="3239" t="s">
        <v>211</v>
      </c>
      <c r="Q172" s="3239"/>
      <c r="R172" s="3659"/>
      <c r="S172" s="3658">
        <v>69</v>
      </c>
      <c r="T172" s="3239" t="s">
        <v>211</v>
      </c>
      <c r="U172" s="3239"/>
      <c r="V172" s="3659"/>
      <c r="W172" s="3658"/>
      <c r="X172" s="3241"/>
      <c r="Y172" s="3241"/>
      <c r="Z172" s="3660"/>
      <c r="AA172" s="3658"/>
      <c r="AB172" s="3239"/>
      <c r="AC172" s="3239"/>
      <c r="AD172" s="3620"/>
      <c r="AE172" s="3661">
        <v>35</v>
      </c>
      <c r="AF172" s="3239"/>
      <c r="AG172" s="3662"/>
    </row>
    <row r="173" spans="1:33" ht="18" customHeight="1">
      <c r="A173" s="100"/>
      <c r="B173" s="3657" t="s">
        <v>212</v>
      </c>
      <c r="C173" s="3658">
        <v>79</v>
      </c>
      <c r="D173" s="3239" t="s">
        <v>213</v>
      </c>
      <c r="E173" s="3239"/>
      <c r="F173" s="3659"/>
      <c r="G173" s="3658">
        <v>79</v>
      </c>
      <c r="H173" s="3239" t="s">
        <v>213</v>
      </c>
      <c r="I173" s="3239"/>
      <c r="J173" s="3659"/>
      <c r="K173" s="3658">
        <v>79</v>
      </c>
      <c r="L173" s="3239" t="s">
        <v>213</v>
      </c>
      <c r="M173" s="3239"/>
      <c r="N173" s="3659"/>
      <c r="O173" s="3658">
        <v>79</v>
      </c>
      <c r="P173" s="3239" t="s">
        <v>213</v>
      </c>
      <c r="Q173" s="3239"/>
      <c r="R173" s="3659"/>
      <c r="S173" s="3658">
        <v>79</v>
      </c>
      <c r="T173" s="3239" t="s">
        <v>213</v>
      </c>
      <c r="U173" s="3239"/>
      <c r="V173" s="3659"/>
      <c r="W173" s="3658"/>
      <c r="X173" s="3239"/>
      <c r="Y173" s="3239"/>
      <c r="Z173" s="3659"/>
      <c r="AA173" s="3239"/>
      <c r="AB173" s="3239"/>
      <c r="AC173" s="3239"/>
      <c r="AD173" s="3620"/>
      <c r="AE173" s="3661">
        <v>40</v>
      </c>
      <c r="AF173" s="3239"/>
    </row>
    <row r="174" spans="1:33" ht="18" customHeight="1">
      <c r="A174" s="100"/>
      <c r="B174" s="3657" t="s">
        <v>214</v>
      </c>
      <c r="C174" s="3658">
        <v>89</v>
      </c>
      <c r="D174" s="3239" t="s">
        <v>215</v>
      </c>
      <c r="E174" s="3239"/>
      <c r="F174" s="3659"/>
      <c r="G174" s="3658">
        <v>89</v>
      </c>
      <c r="H174" s="3239" t="s">
        <v>215</v>
      </c>
      <c r="I174" s="3239"/>
      <c r="J174" s="3659"/>
      <c r="K174" s="3658">
        <v>89</v>
      </c>
      <c r="L174" s="3239" t="s">
        <v>215</v>
      </c>
      <c r="M174" s="3239"/>
      <c r="N174" s="3659"/>
      <c r="O174" s="3658">
        <v>89</v>
      </c>
      <c r="P174" s="3239" t="s">
        <v>215</v>
      </c>
      <c r="Q174" s="3239"/>
      <c r="R174" s="3659"/>
      <c r="S174" s="3658">
        <v>89</v>
      </c>
      <c r="T174" s="3239" t="s">
        <v>216</v>
      </c>
      <c r="U174" s="3239"/>
      <c r="V174" s="3659"/>
      <c r="W174" s="3245"/>
      <c r="X174" s="3246" t="s">
        <v>217</v>
      </c>
      <c r="Y174" s="3246"/>
      <c r="Z174" s="3622"/>
      <c r="AA174" s="3245"/>
      <c r="AB174" s="3246"/>
      <c r="AC174" s="3246"/>
      <c r="AD174" s="3624"/>
      <c r="AE174" s="3661">
        <v>44</v>
      </c>
      <c r="AF174" s="3239"/>
    </row>
    <row r="175" spans="1:33" ht="18" customHeight="1">
      <c r="A175" s="100"/>
      <c r="B175" s="19" t="s">
        <v>218</v>
      </c>
      <c r="C175" s="3245">
        <v>99</v>
      </c>
      <c r="D175" s="3246" t="s">
        <v>219</v>
      </c>
      <c r="E175" s="3246"/>
      <c r="F175" s="3622"/>
      <c r="G175" s="3245">
        <v>99</v>
      </c>
      <c r="H175" s="3246" t="s">
        <v>219</v>
      </c>
      <c r="I175" s="3246"/>
      <c r="J175" s="3622"/>
      <c r="K175" s="3245">
        <v>99</v>
      </c>
      <c r="L175" s="3246" t="s">
        <v>219</v>
      </c>
      <c r="M175" s="3246"/>
      <c r="N175" s="3622"/>
      <c r="O175" s="3245">
        <v>99</v>
      </c>
      <c r="P175" s="3246" t="s">
        <v>219</v>
      </c>
      <c r="Q175" s="3246"/>
      <c r="R175" s="3622"/>
      <c r="S175" s="3245">
        <v>99</v>
      </c>
      <c r="T175" s="3246" t="s">
        <v>220</v>
      </c>
      <c r="U175" s="3246"/>
      <c r="V175" s="3624"/>
      <c r="W175" s="3623"/>
      <c r="X175" s="3624"/>
      <c r="Y175" s="3246"/>
      <c r="Z175" s="3622"/>
      <c r="AA175" s="3623"/>
      <c r="AB175" s="3624"/>
      <c r="AC175" s="3246"/>
      <c r="AD175" s="3622"/>
      <c r="AE175" s="3247">
        <v>28</v>
      </c>
      <c r="AF175" s="3246"/>
    </row>
    <row r="176" spans="1:33" ht="18" customHeight="1" thickBot="1">
      <c r="A176" s="100"/>
      <c r="B176" s="3663" t="s">
        <v>221</v>
      </c>
      <c r="C176" s="3664" t="s">
        <v>159</v>
      </c>
      <c r="D176" s="3665" t="s">
        <v>222</v>
      </c>
      <c r="E176" s="3666"/>
      <c r="F176" s="3484"/>
      <c r="G176" s="3664" t="s">
        <v>159</v>
      </c>
      <c r="H176" s="3665" t="s">
        <v>222</v>
      </c>
      <c r="I176" s="3482"/>
      <c r="J176" s="3666"/>
      <c r="K176" s="3664" t="s">
        <v>159</v>
      </c>
      <c r="L176" s="3665" t="s">
        <v>222</v>
      </c>
      <c r="M176" s="3666"/>
      <c r="N176" s="3667"/>
      <c r="O176" s="3664" t="s">
        <v>159</v>
      </c>
      <c r="P176" s="3665" t="s">
        <v>222</v>
      </c>
      <c r="Q176" s="3666"/>
      <c r="R176" s="3665"/>
      <c r="S176" s="3664" t="s">
        <v>159</v>
      </c>
      <c r="T176" s="3486" t="s">
        <v>223</v>
      </c>
      <c r="U176" s="3665"/>
      <c r="V176" s="3667"/>
      <c r="W176" s="3666"/>
      <c r="X176" s="3665"/>
      <c r="Y176" s="3665"/>
      <c r="Z176" s="3665"/>
      <c r="AA176" s="3668"/>
      <c r="AB176" s="3669"/>
      <c r="AC176" s="3665"/>
      <c r="AD176" s="3670"/>
      <c r="AE176" s="3665"/>
      <c r="AF176" s="3665"/>
    </row>
    <row r="177" spans="1:32" ht="18" customHeight="1" thickBot="1">
      <c r="A177" s="66"/>
      <c r="B177" s="100"/>
      <c r="C177" s="102"/>
      <c r="D177" s="102"/>
      <c r="E177" s="102"/>
      <c r="F177" s="102"/>
      <c r="G177" s="102"/>
      <c r="H177" s="102"/>
      <c r="I177" s="102"/>
      <c r="J177" s="102"/>
      <c r="K177" s="102"/>
      <c r="L177" s="102"/>
      <c r="M177" s="102"/>
      <c r="N177" s="102"/>
      <c r="O177" s="102"/>
      <c r="P177" s="102"/>
      <c r="Q177" s="102"/>
      <c r="R177" s="102"/>
      <c r="S177" s="102"/>
      <c r="T177" s="102"/>
      <c r="U177" s="102"/>
      <c r="V177" s="102"/>
      <c r="W177" s="102"/>
      <c r="X177" s="102"/>
      <c r="Y177" s="102"/>
      <c r="Z177" s="102"/>
      <c r="AA177" s="102"/>
      <c r="AB177" s="102"/>
      <c r="AC177" s="102"/>
      <c r="AD177" s="102"/>
      <c r="AE177" s="102"/>
      <c r="AF177" s="102"/>
    </row>
    <row r="178" spans="1:32" ht="18" customHeight="1" thickBot="1">
      <c r="A178" s="3236"/>
      <c r="B178" s="3490" t="s">
        <v>38</v>
      </c>
      <c r="C178" s="2985">
        <v>1</v>
      </c>
      <c r="D178" s="2985">
        <v>2</v>
      </c>
      <c r="E178" s="2985">
        <v>3</v>
      </c>
      <c r="F178" s="2985">
        <v>4</v>
      </c>
      <c r="G178" s="2985">
        <v>5</v>
      </c>
      <c r="H178" s="2986">
        <v>6</v>
      </c>
      <c r="I178" s="2986">
        <v>7</v>
      </c>
      <c r="J178" s="2985">
        <v>8</v>
      </c>
      <c r="K178" s="2985">
        <v>9</v>
      </c>
      <c r="L178" s="2985">
        <v>10</v>
      </c>
      <c r="M178" s="2985">
        <v>11</v>
      </c>
      <c r="N178" s="2985">
        <v>12</v>
      </c>
      <c r="O178" s="2986">
        <v>13</v>
      </c>
      <c r="P178" s="2986">
        <v>14</v>
      </c>
      <c r="Q178" s="2985">
        <v>15</v>
      </c>
      <c r="R178" s="2985">
        <v>16</v>
      </c>
      <c r="S178" s="2985">
        <v>17</v>
      </c>
      <c r="T178" s="2985">
        <v>18</v>
      </c>
      <c r="U178" s="2985">
        <v>19</v>
      </c>
      <c r="V178" s="2986">
        <v>20</v>
      </c>
      <c r="W178" s="2986">
        <v>21</v>
      </c>
      <c r="X178" s="2985">
        <v>22</v>
      </c>
      <c r="Y178" s="2985">
        <v>23</v>
      </c>
      <c r="Z178" s="2985">
        <v>24</v>
      </c>
      <c r="AA178" s="2985">
        <v>25</v>
      </c>
      <c r="AB178" s="2985">
        <v>26</v>
      </c>
      <c r="AC178" s="2986">
        <v>27</v>
      </c>
      <c r="AD178" s="2986">
        <v>28</v>
      </c>
      <c r="AE178" s="2985">
        <v>29</v>
      </c>
      <c r="AF178" s="2985">
        <v>30</v>
      </c>
    </row>
    <row r="179" spans="1:32" ht="18" customHeight="1">
      <c r="A179" s="2814">
        <v>1</v>
      </c>
      <c r="B179" s="2815" t="s">
        <v>224</v>
      </c>
      <c r="C179" s="3088">
        <v>99</v>
      </c>
      <c r="D179" s="2816">
        <v>99</v>
      </c>
      <c r="E179" s="3089">
        <v>99</v>
      </c>
      <c r="F179" s="3089">
        <v>99</v>
      </c>
      <c r="G179" s="3090" t="s">
        <v>46</v>
      </c>
      <c r="H179" s="3088"/>
      <c r="I179" s="3090"/>
      <c r="J179" s="3291" t="s">
        <v>159</v>
      </c>
      <c r="K179" s="3291" t="s">
        <v>159</v>
      </c>
      <c r="L179" s="3291" t="s">
        <v>159</v>
      </c>
      <c r="M179" s="3291" t="s">
        <v>159</v>
      </c>
      <c r="N179" s="3291" t="s">
        <v>159</v>
      </c>
      <c r="O179" s="3291"/>
      <c r="P179" s="3291"/>
      <c r="Q179" s="3291">
        <v>69</v>
      </c>
      <c r="R179" s="3291">
        <v>69</v>
      </c>
      <c r="S179" s="3291">
        <v>69</v>
      </c>
      <c r="T179" s="3291">
        <v>69</v>
      </c>
      <c r="U179" s="3291">
        <v>69</v>
      </c>
      <c r="V179" s="3291"/>
      <c r="W179" s="3291"/>
      <c r="X179" s="3291">
        <v>79</v>
      </c>
      <c r="Y179" s="3291">
        <v>79</v>
      </c>
      <c r="Z179" s="3291">
        <v>79</v>
      </c>
      <c r="AA179" s="3291">
        <v>79</v>
      </c>
      <c r="AB179" s="3291">
        <v>79</v>
      </c>
      <c r="AC179" s="3291"/>
      <c r="AD179" s="3291"/>
      <c r="AE179" s="2817">
        <v>89</v>
      </c>
      <c r="AF179" s="3096" t="s">
        <v>376</v>
      </c>
    </row>
    <row r="180" spans="1:32" ht="18" customHeight="1">
      <c r="A180" s="3671">
        <v>2</v>
      </c>
      <c r="B180" s="3672" t="s">
        <v>225</v>
      </c>
      <c r="C180" s="3437" t="s">
        <v>159</v>
      </c>
      <c r="D180" s="3437" t="s">
        <v>159</v>
      </c>
      <c r="E180" s="3437" t="s">
        <v>159</v>
      </c>
      <c r="F180" s="3437" t="s">
        <v>159</v>
      </c>
      <c r="G180" s="3437" t="s">
        <v>159</v>
      </c>
      <c r="H180" s="3437"/>
      <c r="I180" s="3437"/>
      <c r="J180" s="3503">
        <v>69</v>
      </c>
      <c r="K180" s="3503">
        <v>69</v>
      </c>
      <c r="L180" s="3503">
        <v>69</v>
      </c>
      <c r="M180" s="3503">
        <v>69</v>
      </c>
      <c r="N180" s="3503">
        <v>69</v>
      </c>
      <c r="O180" s="3418"/>
      <c r="P180" s="3503"/>
      <c r="Q180" s="3503">
        <v>79</v>
      </c>
      <c r="R180" s="3436">
        <v>79</v>
      </c>
      <c r="S180" s="3436">
        <v>79</v>
      </c>
      <c r="T180" s="3432">
        <v>79</v>
      </c>
      <c r="U180" s="3436">
        <v>79</v>
      </c>
      <c r="V180" s="3503"/>
      <c r="W180" s="3503"/>
      <c r="X180" s="842">
        <v>89</v>
      </c>
      <c r="Y180" s="3503">
        <v>89</v>
      </c>
      <c r="Z180" s="3503">
        <v>89</v>
      </c>
      <c r="AA180" s="3432">
        <v>89</v>
      </c>
      <c r="AB180" s="3422">
        <v>89</v>
      </c>
      <c r="AC180" s="3524">
        <v>89</v>
      </c>
      <c r="AD180" s="3434"/>
      <c r="AE180" s="3418">
        <v>99</v>
      </c>
      <c r="AF180" s="3418">
        <v>99</v>
      </c>
    </row>
    <row r="181" spans="1:32" ht="18" customHeight="1">
      <c r="A181" s="3671">
        <v>3</v>
      </c>
      <c r="B181" s="3518" t="s">
        <v>124</v>
      </c>
      <c r="C181" s="842">
        <v>69</v>
      </c>
      <c r="D181" s="842">
        <v>69</v>
      </c>
      <c r="E181" s="842">
        <v>69</v>
      </c>
      <c r="F181" s="3673">
        <v>69</v>
      </c>
      <c r="G181" s="3615">
        <v>69</v>
      </c>
      <c r="H181" s="3421"/>
      <c r="I181" s="3422"/>
      <c r="J181" s="3673">
        <v>79</v>
      </c>
      <c r="K181" s="3673">
        <v>79</v>
      </c>
      <c r="L181" s="3673">
        <v>79</v>
      </c>
      <c r="M181" s="3673">
        <v>79</v>
      </c>
      <c r="N181" s="3503">
        <v>79</v>
      </c>
      <c r="O181" s="3418"/>
      <c r="P181" s="3526"/>
      <c r="Q181" s="3418">
        <v>89</v>
      </c>
      <c r="R181" s="3436">
        <v>89</v>
      </c>
      <c r="S181" s="3436">
        <v>89</v>
      </c>
      <c r="T181" s="3436">
        <v>89</v>
      </c>
      <c r="U181" s="3437">
        <v>89</v>
      </c>
      <c r="V181" s="3418">
        <v>89</v>
      </c>
      <c r="W181" s="3418"/>
      <c r="X181" s="3418">
        <v>99</v>
      </c>
      <c r="Y181" s="3673">
        <v>99</v>
      </c>
      <c r="Z181" s="3673">
        <v>99</v>
      </c>
      <c r="AA181" s="3673">
        <v>99</v>
      </c>
      <c r="AB181" s="3673" t="s">
        <v>46</v>
      </c>
      <c r="AC181" s="3673"/>
      <c r="AD181" s="3673"/>
      <c r="AE181" s="3673" t="s">
        <v>159</v>
      </c>
      <c r="AF181" s="3673" t="s">
        <v>159</v>
      </c>
    </row>
    <row r="182" spans="1:32" ht="18" customHeight="1">
      <c r="A182" s="3671">
        <v>4</v>
      </c>
      <c r="B182" s="3672" t="s">
        <v>226</v>
      </c>
      <c r="C182" s="3432">
        <v>79</v>
      </c>
      <c r="D182" s="3432">
        <v>79</v>
      </c>
      <c r="E182" s="3432">
        <v>79</v>
      </c>
      <c r="F182" s="3432">
        <v>79</v>
      </c>
      <c r="G182" s="3432">
        <v>79</v>
      </c>
      <c r="H182" s="3432"/>
      <c r="I182" s="3422"/>
      <c r="J182" s="3674">
        <v>89</v>
      </c>
      <c r="K182" s="3432">
        <v>89</v>
      </c>
      <c r="L182" s="3432">
        <v>89</v>
      </c>
      <c r="M182" s="3432">
        <v>89</v>
      </c>
      <c r="N182" s="3503">
        <v>89</v>
      </c>
      <c r="O182" s="3432">
        <v>89</v>
      </c>
      <c r="P182" s="3432"/>
      <c r="Q182" s="3526">
        <v>99</v>
      </c>
      <c r="R182" s="3526">
        <v>99</v>
      </c>
      <c r="S182" s="3432">
        <v>99</v>
      </c>
      <c r="T182" s="3432">
        <v>99</v>
      </c>
      <c r="U182" s="3432" t="s">
        <v>46</v>
      </c>
      <c r="V182" s="3432"/>
      <c r="W182" s="3432"/>
      <c r="X182" s="3418" t="s">
        <v>159</v>
      </c>
      <c r="Y182" s="3526" t="s">
        <v>159</v>
      </c>
      <c r="Z182" s="3526" t="s">
        <v>159</v>
      </c>
      <c r="AA182" s="3432" t="s">
        <v>64</v>
      </c>
      <c r="AB182" s="3432" t="s">
        <v>64</v>
      </c>
      <c r="AC182" s="3434"/>
      <c r="AD182" s="3432"/>
      <c r="AE182" s="3432">
        <v>69</v>
      </c>
      <c r="AF182" s="3432">
        <v>69</v>
      </c>
    </row>
    <row r="183" spans="1:32" ht="18" customHeight="1" thickBot="1">
      <c r="A183" s="3675">
        <v>5</v>
      </c>
      <c r="B183" s="3499" t="s">
        <v>227</v>
      </c>
      <c r="C183" s="3597">
        <v>89</v>
      </c>
      <c r="D183" s="3597">
        <v>89</v>
      </c>
      <c r="E183" s="3451">
        <v>89</v>
      </c>
      <c r="F183" s="3427">
        <v>89</v>
      </c>
      <c r="G183" s="3427">
        <v>89</v>
      </c>
      <c r="H183" s="3496">
        <v>89</v>
      </c>
      <c r="I183" s="3506"/>
      <c r="J183" s="3496">
        <v>99</v>
      </c>
      <c r="K183" s="3502">
        <v>99</v>
      </c>
      <c r="L183" s="3676">
        <v>99</v>
      </c>
      <c r="M183" s="3465">
        <v>99</v>
      </c>
      <c r="N183" s="3506" t="s">
        <v>46</v>
      </c>
      <c r="O183" s="3597"/>
      <c r="P183" s="3597"/>
      <c r="Q183" s="3597" t="s">
        <v>159</v>
      </c>
      <c r="R183" s="3597" t="s">
        <v>159</v>
      </c>
      <c r="S183" s="3451" t="s">
        <v>159</v>
      </c>
      <c r="T183" s="3507" t="s">
        <v>159</v>
      </c>
      <c r="U183" s="3507" t="s">
        <v>159</v>
      </c>
      <c r="V183" s="3597"/>
      <c r="W183" s="3597"/>
      <c r="X183" s="3418">
        <v>69</v>
      </c>
      <c r="Y183" s="3597">
        <v>69</v>
      </c>
      <c r="Z183" s="3597">
        <v>69</v>
      </c>
      <c r="AA183" s="3427">
        <v>69</v>
      </c>
      <c r="AB183" s="3597">
        <v>69</v>
      </c>
      <c r="AC183" s="3451"/>
      <c r="AD183" s="3434"/>
      <c r="AE183" s="3677">
        <v>79</v>
      </c>
      <c r="AF183" s="3507">
        <v>79</v>
      </c>
    </row>
    <row r="184" spans="1:32" ht="18" customHeight="1">
      <c r="A184" s="117"/>
      <c r="B184" s="125"/>
      <c r="C184" s="126"/>
      <c r="D184" s="126"/>
      <c r="E184" s="126"/>
      <c r="F184" s="116"/>
      <c r="G184" s="124"/>
      <c r="H184" s="124"/>
      <c r="I184" s="124"/>
      <c r="J184" s="124"/>
      <c r="K184" s="124"/>
      <c r="L184" s="116"/>
      <c r="M184" s="116"/>
      <c r="N184" s="126"/>
      <c r="O184" s="126"/>
      <c r="P184" s="126"/>
      <c r="Q184" s="126"/>
      <c r="R184" s="126"/>
      <c r="S184" s="116"/>
      <c r="T184" s="127"/>
      <c r="U184" s="126"/>
      <c r="V184" s="126"/>
      <c r="W184" s="126"/>
      <c r="X184" s="126"/>
      <c r="Y184" s="126"/>
      <c r="Z184" s="128"/>
      <c r="AA184" s="128"/>
      <c r="AB184" s="126"/>
      <c r="AC184" s="126"/>
      <c r="AD184" s="126"/>
      <c r="AE184" s="126"/>
      <c r="AF184" s="126"/>
    </row>
    <row r="185" spans="1:32" ht="18" customHeight="1">
      <c r="A185" s="67"/>
      <c r="B185" s="68"/>
      <c r="C185" s="64"/>
      <c r="D185" s="64"/>
      <c r="E185" s="64"/>
      <c r="F185" s="64"/>
      <c r="G185" s="64"/>
      <c r="H185" s="64"/>
      <c r="I185" s="64"/>
      <c r="J185" s="64"/>
      <c r="K185" s="64"/>
      <c r="L185" s="64"/>
      <c r="M185" s="64"/>
      <c r="N185" s="64"/>
      <c r="O185" s="64"/>
      <c r="P185" s="64"/>
      <c r="Q185" s="64"/>
      <c r="R185" s="64"/>
      <c r="S185" s="64"/>
      <c r="T185" s="64"/>
      <c r="U185" s="64"/>
      <c r="V185" s="64"/>
      <c r="W185" s="64"/>
      <c r="X185" s="64"/>
      <c r="Y185" s="64"/>
      <c r="Z185" s="64"/>
      <c r="AA185" s="64"/>
      <c r="AB185" s="64"/>
      <c r="AC185" s="64"/>
      <c r="AD185" s="64"/>
      <c r="AE185" s="64"/>
      <c r="AF185" s="64"/>
    </row>
    <row r="186" spans="1:32" ht="18" customHeight="1" thickBot="1">
      <c r="A186" s="100" t="s">
        <v>228</v>
      </c>
      <c r="B186" s="101"/>
      <c r="C186" s="101"/>
      <c r="D186" s="102"/>
      <c r="E186" s="102"/>
      <c r="F186" s="102"/>
      <c r="G186" s="63"/>
      <c r="H186" s="102"/>
      <c r="I186" s="102"/>
      <c r="J186" s="102"/>
      <c r="K186" s="102"/>
      <c r="L186" s="102"/>
      <c r="M186" s="102"/>
      <c r="N186" s="102"/>
      <c r="O186" s="102"/>
      <c r="P186" s="102"/>
      <c r="Q186" s="102"/>
      <c r="R186" s="102"/>
      <c r="S186" s="102"/>
      <c r="T186" s="102"/>
      <c r="U186" s="102"/>
      <c r="V186" s="102"/>
      <c r="W186" s="102"/>
      <c r="X186" s="102"/>
      <c r="Y186" s="102"/>
      <c r="Z186" s="102"/>
      <c r="AA186" s="102"/>
      <c r="AB186" s="102"/>
      <c r="AC186" s="102"/>
      <c r="AD186" s="102"/>
      <c r="AE186" s="102"/>
      <c r="AF186" s="102"/>
    </row>
    <row r="187" spans="1:32" ht="18" customHeight="1">
      <c r="A187" s="100"/>
      <c r="B187" s="2764" t="s">
        <v>209</v>
      </c>
      <c r="C187" s="2787"/>
      <c r="D187" s="2788" t="s">
        <v>19</v>
      </c>
      <c r="E187" s="2789"/>
      <c r="F187" s="2790"/>
      <c r="G187" s="2787"/>
      <c r="H187" s="2788" t="s">
        <v>20</v>
      </c>
      <c r="I187" s="2789"/>
      <c r="J187" s="2790"/>
      <c r="K187" s="2787"/>
      <c r="L187" s="2788" t="s">
        <v>21</v>
      </c>
      <c r="M187" s="2789"/>
      <c r="N187" s="2790"/>
      <c r="O187" s="2787"/>
      <c r="P187" s="2788" t="s">
        <v>22</v>
      </c>
      <c r="Q187" s="2789"/>
      <c r="R187" s="2790"/>
      <c r="S187" s="2787"/>
      <c r="T187" s="2788" t="s">
        <v>23</v>
      </c>
      <c r="U187" s="2789"/>
      <c r="V187" s="2790"/>
      <c r="W187" s="2787"/>
      <c r="X187" s="2788" t="s">
        <v>24</v>
      </c>
      <c r="Y187" s="2789"/>
      <c r="Z187" s="2790"/>
      <c r="AA187" s="2787"/>
      <c r="AB187" s="2788" t="s">
        <v>25</v>
      </c>
      <c r="AC187" s="2789"/>
      <c r="AD187" s="2789"/>
      <c r="AE187" s="2791" t="s">
        <v>108</v>
      </c>
      <c r="AF187" s="2789"/>
    </row>
    <row r="188" spans="1:32" ht="18" customHeight="1">
      <c r="A188" s="100"/>
      <c r="B188" s="3657" t="s">
        <v>229</v>
      </c>
      <c r="C188" s="3621" t="s">
        <v>230</v>
      </c>
      <c r="D188" s="3239"/>
      <c r="E188" s="3239"/>
      <c r="F188" s="3659"/>
      <c r="G188" s="3621" t="s">
        <v>230</v>
      </c>
      <c r="H188" s="3239"/>
      <c r="I188" s="3239"/>
      <c r="J188" s="3659"/>
      <c r="K188" s="3621" t="s">
        <v>230</v>
      </c>
      <c r="L188" s="3239"/>
      <c r="M188" s="3239"/>
      <c r="N188" s="3659"/>
      <c r="O188" s="3621" t="s">
        <v>231</v>
      </c>
      <c r="P188" s="3239"/>
      <c r="Q188" s="3239"/>
      <c r="R188" s="3659"/>
      <c r="S188" s="3621" t="s">
        <v>232</v>
      </c>
      <c r="T188" s="3239"/>
      <c r="U188" s="3239"/>
      <c r="V188" s="3659"/>
      <c r="W188" s="3621" t="s">
        <v>233</v>
      </c>
      <c r="X188" s="3241"/>
      <c r="Y188" s="3241"/>
      <c r="Z188" s="3660"/>
      <c r="AA188" s="3621" t="s">
        <v>233</v>
      </c>
      <c r="AB188" s="3239"/>
      <c r="AC188" s="3239"/>
      <c r="AD188" s="3620"/>
      <c r="AE188" s="3661">
        <v>68</v>
      </c>
      <c r="AF188" s="530"/>
    </row>
    <row r="189" spans="1:32" ht="18" customHeight="1">
      <c r="A189" s="100"/>
      <c r="B189" s="3657"/>
      <c r="C189" s="3621" t="s">
        <v>220</v>
      </c>
      <c r="D189" s="3239"/>
      <c r="E189" s="3239"/>
      <c r="F189" s="3659"/>
      <c r="G189" s="3621" t="s">
        <v>220</v>
      </c>
      <c r="H189" s="3239"/>
      <c r="I189" s="3239"/>
      <c r="J189" s="3659"/>
      <c r="K189" s="3621" t="s">
        <v>220</v>
      </c>
      <c r="L189" s="3239"/>
      <c r="M189" s="3239"/>
      <c r="N189" s="3659"/>
      <c r="O189" s="3621" t="s">
        <v>220</v>
      </c>
      <c r="P189" s="3239"/>
      <c r="Q189" s="3239"/>
      <c r="R189" s="3659"/>
      <c r="S189" s="3621" t="s">
        <v>220</v>
      </c>
      <c r="T189" s="3239"/>
      <c r="U189" s="3239"/>
      <c r="V189" s="3659"/>
      <c r="W189" s="3621" t="s">
        <v>220</v>
      </c>
      <c r="X189" s="3239"/>
      <c r="Y189" s="3239"/>
      <c r="Z189" s="3659"/>
      <c r="AA189" s="3239" t="s">
        <v>220</v>
      </c>
      <c r="AB189" s="3239"/>
      <c r="AC189" s="3239"/>
      <c r="AD189" s="3620"/>
      <c r="AE189" s="3661">
        <v>0</v>
      </c>
      <c r="AF189" s="530"/>
    </row>
    <row r="190" spans="1:32" ht="18" customHeight="1">
      <c r="A190" s="100"/>
      <c r="B190" s="3657" t="s">
        <v>234</v>
      </c>
      <c r="C190" s="3621" t="s">
        <v>231</v>
      </c>
      <c r="D190" s="3239"/>
      <c r="E190" s="3239"/>
      <c r="F190" s="3659"/>
      <c r="G190" s="3621" t="s">
        <v>231</v>
      </c>
      <c r="H190" s="3239"/>
      <c r="I190" s="3239"/>
      <c r="J190" s="3659"/>
      <c r="K190" s="3621" t="s">
        <v>231</v>
      </c>
      <c r="L190" s="3239"/>
      <c r="M190" s="3239"/>
      <c r="N190" s="3659"/>
      <c r="O190" s="3621" t="s">
        <v>230</v>
      </c>
      <c r="P190" s="3239"/>
      <c r="Q190" s="3239"/>
      <c r="R190" s="3659"/>
      <c r="S190" s="3621" t="s">
        <v>230</v>
      </c>
      <c r="T190" s="3239"/>
      <c r="U190" s="3239"/>
      <c r="V190" s="3659"/>
      <c r="W190" s="3621" t="s">
        <v>232</v>
      </c>
      <c r="X190" s="3241"/>
      <c r="Y190" s="3241"/>
      <c r="Z190" s="3660"/>
      <c r="AA190" s="3621" t="s">
        <v>232</v>
      </c>
      <c r="AB190" s="3239"/>
      <c r="AC190" s="3239"/>
      <c r="AD190" s="3620"/>
      <c r="AE190" s="3661">
        <v>68</v>
      </c>
      <c r="AF190" s="3239"/>
    </row>
    <row r="191" spans="1:32" ht="18" customHeight="1">
      <c r="A191" s="100"/>
      <c r="B191" s="3657"/>
      <c r="C191" s="3621" t="s">
        <v>220</v>
      </c>
      <c r="D191" s="3239"/>
      <c r="E191" s="3239"/>
      <c r="F191" s="3659"/>
      <c r="G191" s="3621" t="s">
        <v>220</v>
      </c>
      <c r="H191" s="3239"/>
      <c r="I191" s="3239"/>
      <c r="J191" s="3659"/>
      <c r="K191" s="3621" t="s">
        <v>220</v>
      </c>
      <c r="L191" s="3239"/>
      <c r="M191" s="3239"/>
      <c r="N191" s="3659"/>
      <c r="O191" s="3621" t="s">
        <v>220</v>
      </c>
      <c r="P191" s="3239"/>
      <c r="Q191" s="3239"/>
      <c r="R191" s="3659"/>
      <c r="S191" s="3621" t="s">
        <v>220</v>
      </c>
      <c r="T191" s="3239"/>
      <c r="U191" s="3239"/>
      <c r="V191" s="3659"/>
      <c r="W191" s="3621" t="s">
        <v>220</v>
      </c>
      <c r="X191" s="3239"/>
      <c r="Y191" s="3239"/>
      <c r="Z191" s="3659"/>
      <c r="AA191" s="3239" t="s">
        <v>220</v>
      </c>
      <c r="AB191" s="3239"/>
      <c r="AC191" s="3239"/>
      <c r="AD191" s="3620"/>
      <c r="AE191" s="3661">
        <v>0</v>
      </c>
      <c r="AF191" s="3239"/>
    </row>
    <row r="192" spans="1:32" ht="18" customHeight="1">
      <c r="A192" s="100"/>
      <c r="B192" s="3657" t="s">
        <v>235</v>
      </c>
      <c r="C192" s="3621" t="s">
        <v>230</v>
      </c>
      <c r="D192" s="3239"/>
      <c r="E192" s="3239"/>
      <c r="F192" s="3659"/>
      <c r="G192" s="3621" t="s">
        <v>230</v>
      </c>
      <c r="H192" s="3239"/>
      <c r="I192" s="3239"/>
      <c r="J192" s="3659"/>
      <c r="K192" s="3621" t="s">
        <v>230</v>
      </c>
      <c r="L192" s="3239"/>
      <c r="M192" s="3239"/>
      <c r="N192" s="3659"/>
      <c r="O192" s="3621" t="s">
        <v>230</v>
      </c>
      <c r="P192" s="3239"/>
      <c r="Q192" s="3239"/>
      <c r="R192" s="3659"/>
      <c r="S192" s="3621" t="s">
        <v>230</v>
      </c>
      <c r="T192" s="3239"/>
      <c r="U192" s="3239"/>
      <c r="V192" s="3659"/>
      <c r="W192" s="3621" t="s">
        <v>236</v>
      </c>
      <c r="X192" s="3246"/>
      <c r="Y192" s="3246"/>
      <c r="Z192" s="3622"/>
      <c r="AA192" s="3621" t="s">
        <v>236</v>
      </c>
      <c r="AB192" s="3246"/>
      <c r="AC192" s="3246"/>
      <c r="AD192" s="3624"/>
      <c r="AE192" s="3661">
        <v>68</v>
      </c>
      <c r="AF192" s="3239"/>
    </row>
    <row r="193" spans="1:32" ht="18" customHeight="1" thickBot="1">
      <c r="A193" s="100"/>
      <c r="B193" s="3657"/>
      <c r="C193" s="3678" t="s">
        <v>220</v>
      </c>
      <c r="D193" s="3679"/>
      <c r="E193" s="3679"/>
      <c r="F193" s="3680"/>
      <c r="G193" s="3678" t="s">
        <v>220</v>
      </c>
      <c r="H193" s="3679"/>
      <c r="I193" s="3679"/>
      <c r="J193" s="3680"/>
      <c r="K193" s="3678" t="s">
        <v>220</v>
      </c>
      <c r="L193" s="3679"/>
      <c r="M193" s="3679"/>
      <c r="N193" s="3680"/>
      <c r="O193" s="3678" t="s">
        <v>220</v>
      </c>
      <c r="P193" s="3679"/>
      <c r="Q193" s="3679"/>
      <c r="R193" s="3680"/>
      <c r="S193" s="3678" t="s">
        <v>220</v>
      </c>
      <c r="T193" s="3679"/>
      <c r="U193" s="3679"/>
      <c r="V193" s="3681"/>
      <c r="W193" s="3678" t="s">
        <v>220</v>
      </c>
      <c r="X193" s="3681"/>
      <c r="Y193" s="3679"/>
      <c r="Z193" s="3680"/>
      <c r="AA193" s="3678" t="s">
        <v>220</v>
      </c>
      <c r="AB193" s="3681"/>
      <c r="AC193" s="3679"/>
      <c r="AD193" s="3680"/>
      <c r="AE193" s="3682"/>
      <c r="AF193" s="3679"/>
    </row>
    <row r="194" spans="1:32" ht="18" customHeight="1" thickBot="1">
      <c r="A194" s="66"/>
      <c r="B194" s="100"/>
      <c r="C194" s="102"/>
      <c r="D194" s="102"/>
      <c r="E194" s="102"/>
      <c r="F194" s="102"/>
      <c r="G194" s="102"/>
      <c r="H194" s="102"/>
      <c r="I194" s="102"/>
      <c r="J194" s="102"/>
      <c r="K194" s="102"/>
      <c r="L194" s="102"/>
      <c r="M194" s="102"/>
      <c r="N194" s="102"/>
      <c r="O194" s="102"/>
      <c r="P194" s="102"/>
      <c r="Q194" s="102"/>
      <c r="R194" s="102"/>
      <c r="S194" s="102"/>
      <c r="T194" s="102"/>
      <c r="U194" s="102"/>
      <c r="V194" s="102"/>
      <c r="W194" s="102"/>
      <c r="X194" s="102"/>
      <c r="Y194" s="102"/>
      <c r="Z194" s="102"/>
      <c r="AA194" s="102"/>
      <c r="AB194" s="102"/>
      <c r="AC194" s="102"/>
      <c r="AD194" s="102"/>
      <c r="AE194" s="102"/>
      <c r="AF194" s="102"/>
    </row>
    <row r="195" spans="1:32" ht="18" customHeight="1" thickBot="1">
      <c r="A195" s="3236"/>
      <c r="B195" s="3490" t="s">
        <v>38</v>
      </c>
      <c r="C195" s="2985">
        <v>1</v>
      </c>
      <c r="D195" s="2985">
        <v>2</v>
      </c>
      <c r="E195" s="2985">
        <v>3</v>
      </c>
      <c r="F195" s="2985">
        <v>4</v>
      </c>
      <c r="G195" s="2985">
        <v>5</v>
      </c>
      <c r="H195" s="2986">
        <v>6</v>
      </c>
      <c r="I195" s="2986">
        <v>7</v>
      </c>
      <c r="J195" s="2985">
        <v>8</v>
      </c>
      <c r="K195" s="2985">
        <v>9</v>
      </c>
      <c r="L195" s="2985">
        <v>10</v>
      </c>
      <c r="M195" s="2985">
        <v>11</v>
      </c>
      <c r="N195" s="2985">
        <v>12</v>
      </c>
      <c r="O195" s="2986">
        <v>13</v>
      </c>
      <c r="P195" s="2986">
        <v>14</v>
      </c>
      <c r="Q195" s="2985">
        <v>15</v>
      </c>
      <c r="R195" s="2985">
        <v>16</v>
      </c>
      <c r="S195" s="2985">
        <v>17</v>
      </c>
      <c r="T195" s="2985">
        <v>18</v>
      </c>
      <c r="U195" s="2985">
        <v>19</v>
      </c>
      <c r="V195" s="2986">
        <v>20</v>
      </c>
      <c r="W195" s="2986">
        <v>21</v>
      </c>
      <c r="X195" s="2985">
        <v>22</v>
      </c>
      <c r="Y195" s="2985">
        <v>23</v>
      </c>
      <c r="Z195" s="2985">
        <v>24</v>
      </c>
      <c r="AA195" s="2985">
        <v>25</v>
      </c>
      <c r="AB195" s="2985">
        <v>26</v>
      </c>
      <c r="AC195" s="2986">
        <v>27</v>
      </c>
      <c r="AD195" s="2986">
        <v>28</v>
      </c>
      <c r="AE195" s="2985">
        <v>29</v>
      </c>
      <c r="AF195" s="2985">
        <v>30</v>
      </c>
    </row>
    <row r="196" spans="1:32" ht="18" customHeight="1" thickBot="1">
      <c r="A196" s="2828">
        <v>1</v>
      </c>
      <c r="B196" s="3517" t="s">
        <v>237</v>
      </c>
      <c r="C196" s="3683">
        <v>22</v>
      </c>
      <c r="D196" s="2830" t="s">
        <v>46</v>
      </c>
      <c r="E196" s="2830" t="s">
        <v>46</v>
      </c>
      <c r="F196" s="2830" t="s">
        <v>46</v>
      </c>
      <c r="G196" s="2830" t="s">
        <v>46</v>
      </c>
      <c r="H196" s="2829"/>
      <c r="I196" s="2829"/>
      <c r="J196" s="2829">
        <v>23</v>
      </c>
      <c r="K196" s="2831">
        <v>23</v>
      </c>
      <c r="L196" s="2831">
        <v>23</v>
      </c>
      <c r="M196" s="2831">
        <v>23</v>
      </c>
      <c r="N196" s="2830">
        <v>23</v>
      </c>
      <c r="O196" s="3684">
        <v>23</v>
      </c>
      <c r="P196" s="3684">
        <v>23</v>
      </c>
      <c r="Q196" s="2830" t="s">
        <v>143</v>
      </c>
      <c r="R196" s="2830" t="s">
        <v>46</v>
      </c>
      <c r="S196" s="2830" t="s">
        <v>46</v>
      </c>
      <c r="T196" s="2830" t="s">
        <v>46</v>
      </c>
      <c r="U196" s="2830" t="s">
        <v>46</v>
      </c>
      <c r="V196" s="2829"/>
      <c r="W196" s="2829"/>
      <c r="X196" s="2829">
        <v>21</v>
      </c>
      <c r="Y196" s="2829">
        <v>21</v>
      </c>
      <c r="Z196" s="2829">
        <v>21</v>
      </c>
      <c r="AA196" s="2829">
        <v>21</v>
      </c>
      <c r="AB196" s="2829">
        <v>21</v>
      </c>
      <c r="AC196" s="2832">
        <v>21</v>
      </c>
      <c r="AD196" s="2832">
        <v>21</v>
      </c>
      <c r="AE196" s="2829" t="s">
        <v>46</v>
      </c>
      <c r="AF196" s="2829" t="s">
        <v>46</v>
      </c>
    </row>
    <row r="197" spans="1:32" ht="18" customHeight="1">
      <c r="A197" s="3685">
        <v>2</v>
      </c>
      <c r="B197" s="3517" t="s">
        <v>238</v>
      </c>
      <c r="C197" s="3525" t="s">
        <v>46</v>
      </c>
      <c r="D197" s="3683">
        <v>22</v>
      </c>
      <c r="E197" s="3683">
        <v>22</v>
      </c>
      <c r="F197" s="3683">
        <v>22</v>
      </c>
      <c r="G197" s="3550" t="s">
        <v>46</v>
      </c>
      <c r="H197" s="3544"/>
      <c r="I197" s="3544"/>
      <c r="J197" s="3544">
        <v>21</v>
      </c>
      <c r="K197" s="3554">
        <v>21</v>
      </c>
      <c r="L197" s="3554">
        <v>21</v>
      </c>
      <c r="M197" s="3554">
        <v>21</v>
      </c>
      <c r="N197" s="3550">
        <v>21</v>
      </c>
      <c r="O197" s="3550">
        <v>21</v>
      </c>
      <c r="P197" s="3686">
        <v>21</v>
      </c>
      <c r="Q197" s="3550" t="s">
        <v>46</v>
      </c>
      <c r="R197" s="3525" t="s">
        <v>46</v>
      </c>
      <c r="S197" s="3521" t="s">
        <v>46</v>
      </c>
      <c r="T197" s="3544" t="s">
        <v>46</v>
      </c>
      <c r="U197" s="3544" t="s">
        <v>46</v>
      </c>
      <c r="V197" s="3544"/>
      <c r="W197" s="3544"/>
      <c r="X197" s="3544">
        <v>22</v>
      </c>
      <c r="Y197" s="3525">
        <v>22</v>
      </c>
      <c r="Z197" s="3525">
        <v>22</v>
      </c>
      <c r="AA197" s="3525">
        <v>22</v>
      </c>
      <c r="AB197" s="3525">
        <v>22</v>
      </c>
      <c r="AC197" s="3544">
        <v>22</v>
      </c>
      <c r="AD197" s="3544">
        <v>22</v>
      </c>
      <c r="AE197" s="3544" t="s">
        <v>46</v>
      </c>
      <c r="AF197" s="3544" t="s">
        <v>46</v>
      </c>
    </row>
    <row r="198" spans="1:32" ht="18" customHeight="1">
      <c r="A198" s="3685">
        <v>3</v>
      </c>
      <c r="B198" s="3517" t="s">
        <v>239</v>
      </c>
      <c r="C198" s="3525" t="s">
        <v>46</v>
      </c>
      <c r="D198" s="3550" t="s">
        <v>46</v>
      </c>
      <c r="E198" s="3550" t="s">
        <v>46</v>
      </c>
      <c r="F198" s="3550" t="s">
        <v>46</v>
      </c>
      <c r="G198" s="3550" t="s">
        <v>46</v>
      </c>
      <c r="H198" s="3550"/>
      <c r="I198" s="3525"/>
      <c r="J198" s="3525">
        <v>22</v>
      </c>
      <c r="K198" s="3554">
        <v>22</v>
      </c>
      <c r="L198" s="3554">
        <v>22</v>
      </c>
      <c r="M198" s="3554">
        <v>22</v>
      </c>
      <c r="N198" s="3550">
        <v>22</v>
      </c>
      <c r="O198" s="3550">
        <v>22</v>
      </c>
      <c r="P198" s="3550">
        <v>22</v>
      </c>
      <c r="Q198" s="3550" t="s">
        <v>46</v>
      </c>
      <c r="R198" s="3525" t="s">
        <v>46</v>
      </c>
      <c r="S198" s="3521" t="s">
        <v>46</v>
      </c>
      <c r="T198" s="3525" t="s">
        <v>46</v>
      </c>
      <c r="U198" s="3525" t="s">
        <v>46</v>
      </c>
      <c r="V198" s="3525"/>
      <c r="W198" s="3525"/>
      <c r="X198" s="3525">
        <v>23</v>
      </c>
      <c r="Y198" s="3525">
        <v>23</v>
      </c>
      <c r="Z198" s="3525">
        <v>23</v>
      </c>
      <c r="AA198" s="3525">
        <v>23</v>
      </c>
      <c r="AB198" s="3525">
        <v>23</v>
      </c>
      <c r="AC198" s="3544">
        <v>23</v>
      </c>
      <c r="AD198" s="3544">
        <v>23</v>
      </c>
      <c r="AE198" s="3544" t="s">
        <v>46</v>
      </c>
      <c r="AF198" s="3525" t="s">
        <v>46</v>
      </c>
    </row>
    <row r="199" spans="1:32" ht="18" customHeight="1">
      <c r="A199" s="3685">
        <v>4</v>
      </c>
      <c r="B199" s="485" t="s">
        <v>240</v>
      </c>
      <c r="C199" s="3641">
        <v>22</v>
      </c>
      <c r="D199" s="3641">
        <v>22</v>
      </c>
      <c r="E199" s="3641">
        <v>22</v>
      </c>
      <c r="F199" s="3641">
        <v>22</v>
      </c>
      <c r="G199" s="3641">
        <v>22</v>
      </c>
      <c r="H199" s="3641">
        <v>22</v>
      </c>
      <c r="I199" s="3641">
        <v>22</v>
      </c>
      <c r="J199" s="3550" t="s">
        <v>46</v>
      </c>
      <c r="K199" s="3550" t="s">
        <v>46</v>
      </c>
      <c r="L199" s="3550" t="s">
        <v>46</v>
      </c>
      <c r="M199" s="3550" t="s">
        <v>46</v>
      </c>
      <c r="N199" s="3550" t="s">
        <v>46</v>
      </c>
      <c r="O199" s="3550"/>
      <c r="P199" s="3525"/>
      <c r="Q199" s="3525">
        <v>23</v>
      </c>
      <c r="R199" s="3687">
        <v>23</v>
      </c>
      <c r="S199" s="3687">
        <v>23</v>
      </c>
      <c r="T199" s="3525">
        <v>23</v>
      </c>
      <c r="U199" s="3544">
        <v>23</v>
      </c>
      <c r="V199" s="3544">
        <v>23</v>
      </c>
      <c r="W199" s="3521">
        <v>23</v>
      </c>
      <c r="X199" s="3525" t="s">
        <v>46</v>
      </c>
      <c r="Y199" s="3550" t="s">
        <v>46</v>
      </c>
      <c r="Z199" s="3550" t="s">
        <v>46</v>
      </c>
      <c r="AA199" s="3550" t="s">
        <v>46</v>
      </c>
      <c r="AB199" s="3550" t="s">
        <v>46</v>
      </c>
      <c r="AC199" s="3525"/>
      <c r="AD199" s="3525"/>
      <c r="AE199" s="3525">
        <v>21</v>
      </c>
      <c r="AF199" s="3648">
        <v>21</v>
      </c>
    </row>
    <row r="200" spans="1:32" ht="18" customHeight="1">
      <c r="A200" s="3685">
        <v>5</v>
      </c>
      <c r="B200" s="3277" t="s">
        <v>242</v>
      </c>
      <c r="C200" s="3688">
        <v>23</v>
      </c>
      <c r="D200" s="3689">
        <v>23</v>
      </c>
      <c r="E200" s="3689">
        <v>23</v>
      </c>
      <c r="F200" s="3689">
        <v>23</v>
      </c>
      <c r="G200" s="3689">
        <v>23</v>
      </c>
      <c r="H200" s="3689">
        <v>23</v>
      </c>
      <c r="I200" s="3689">
        <v>23</v>
      </c>
      <c r="J200" s="3552" t="s">
        <v>418</v>
      </c>
      <c r="K200" s="3648" t="s">
        <v>418</v>
      </c>
      <c r="L200" s="3521" t="s">
        <v>46</v>
      </c>
      <c r="M200" s="3525" t="s">
        <v>46</v>
      </c>
      <c r="N200" s="3525" t="s">
        <v>46</v>
      </c>
      <c r="O200" s="3648">
        <v>23</v>
      </c>
      <c r="P200" s="3648">
        <v>23</v>
      </c>
      <c r="Q200" s="3648">
        <v>21</v>
      </c>
      <c r="R200" s="3687">
        <v>21</v>
      </c>
      <c r="S200" s="3690">
        <v>21</v>
      </c>
      <c r="T200" s="3525">
        <v>21</v>
      </c>
      <c r="U200" s="3544">
        <v>21</v>
      </c>
      <c r="V200" s="3551">
        <v>21</v>
      </c>
      <c r="W200" s="3551">
        <v>21</v>
      </c>
      <c r="X200" s="3525" t="s">
        <v>46</v>
      </c>
      <c r="Y200" s="3525" t="s">
        <v>46</v>
      </c>
      <c r="Z200" s="3521" t="s">
        <v>46</v>
      </c>
      <c r="AA200" s="3544" t="s">
        <v>46</v>
      </c>
      <c r="AB200" s="3544" t="s">
        <v>46</v>
      </c>
      <c r="AC200" s="3691" t="s">
        <v>429</v>
      </c>
      <c r="AD200" s="3691" t="s">
        <v>418</v>
      </c>
      <c r="AE200" s="3544">
        <v>22</v>
      </c>
      <c r="AF200" s="3692">
        <v>22</v>
      </c>
    </row>
    <row r="201" spans="1:32" ht="18" customHeight="1" thickBot="1">
      <c r="A201" s="3693">
        <v>6</v>
      </c>
      <c r="B201" s="3694" t="s">
        <v>243</v>
      </c>
      <c r="C201" s="3695">
        <v>21</v>
      </c>
      <c r="D201" s="3696">
        <v>21</v>
      </c>
      <c r="E201" s="3696">
        <v>21</v>
      </c>
      <c r="F201" s="3696">
        <v>21</v>
      </c>
      <c r="G201" s="3697">
        <v>21</v>
      </c>
      <c r="H201" s="3698">
        <v>21</v>
      </c>
      <c r="I201" s="3698">
        <v>21</v>
      </c>
      <c r="J201" s="3699" t="s">
        <v>46</v>
      </c>
      <c r="K201" s="3700">
        <v>99</v>
      </c>
      <c r="L201" s="3700">
        <v>99</v>
      </c>
      <c r="M201" s="3700">
        <v>99</v>
      </c>
      <c r="N201" s="3700">
        <v>69</v>
      </c>
      <c r="O201" s="3699"/>
      <c r="P201" s="3699"/>
      <c r="Q201" s="3699">
        <v>22</v>
      </c>
      <c r="R201" s="3699">
        <v>22</v>
      </c>
      <c r="S201" s="3699">
        <v>22</v>
      </c>
      <c r="T201" s="3699">
        <v>22</v>
      </c>
      <c r="U201" s="3699">
        <v>22</v>
      </c>
      <c r="V201" s="3699">
        <v>22</v>
      </c>
      <c r="W201" s="3699">
        <v>22</v>
      </c>
      <c r="X201" s="3699" t="s">
        <v>46</v>
      </c>
      <c r="Y201" s="3699" t="s">
        <v>46</v>
      </c>
      <c r="Z201" s="3699" t="s">
        <v>46</v>
      </c>
      <c r="AA201" s="3699" t="s">
        <v>46</v>
      </c>
      <c r="AB201" s="3699" t="s">
        <v>46</v>
      </c>
      <c r="AC201" s="3699"/>
      <c r="AD201" s="3699"/>
      <c r="AE201" s="3695">
        <v>23</v>
      </c>
      <c r="AF201" s="3695">
        <v>23</v>
      </c>
    </row>
    <row r="202" spans="1:32" ht="18" customHeight="1">
      <c r="A202" s="117"/>
      <c r="B202" s="115"/>
      <c r="C202" s="116"/>
      <c r="D202" s="116"/>
      <c r="E202" s="124"/>
      <c r="F202" s="116"/>
      <c r="G202" s="116"/>
      <c r="H202" s="129"/>
      <c r="I202" s="129"/>
      <c r="J202" s="129"/>
      <c r="K202" s="129"/>
      <c r="L202" s="129"/>
      <c r="M202" s="129"/>
      <c r="N202" s="113"/>
      <c r="O202" s="113"/>
      <c r="P202" s="124"/>
      <c r="Q202" s="116"/>
      <c r="R202" s="116"/>
      <c r="S202" s="124"/>
      <c r="T202" s="116"/>
      <c r="U202" s="116"/>
      <c r="V202" s="116"/>
      <c r="W202" s="116"/>
      <c r="X202" s="116"/>
      <c r="Y202" s="116"/>
      <c r="Z202" s="116"/>
      <c r="AA202" s="116"/>
      <c r="AB202" s="113"/>
      <c r="AC202" s="113"/>
      <c r="AD202" s="124"/>
      <c r="AE202" s="116"/>
      <c r="AF202" s="116"/>
    </row>
    <row r="203" spans="1:32" ht="18" customHeight="1">
      <c r="A203" s="67"/>
      <c r="B203" s="68"/>
      <c r="C203" s="108"/>
      <c r="D203" s="108"/>
      <c r="E203" s="99"/>
      <c r="F203" s="108"/>
      <c r="G203" s="108"/>
      <c r="H203" s="108"/>
      <c r="I203" s="108"/>
      <c r="J203" s="108"/>
      <c r="K203" s="108"/>
      <c r="L203" s="108"/>
      <c r="M203" s="108"/>
      <c r="N203" s="108"/>
      <c r="O203" s="108"/>
      <c r="P203" s="99"/>
      <c r="Q203" s="108"/>
      <c r="R203" s="108"/>
      <c r="S203" s="99"/>
      <c r="T203" s="108"/>
      <c r="U203" s="108"/>
      <c r="V203" s="108"/>
      <c r="W203" s="108"/>
      <c r="X203" s="108"/>
      <c r="Y203" s="108"/>
      <c r="Z203" s="108"/>
      <c r="AA203" s="108"/>
      <c r="AB203" s="108"/>
      <c r="AC203" s="109"/>
      <c r="AD203" s="109"/>
      <c r="AE203" s="109"/>
      <c r="AF203" s="108"/>
    </row>
    <row r="204" spans="1:32" ht="18" customHeight="1" thickBot="1">
      <c r="A204" s="96" t="s">
        <v>244</v>
      </c>
      <c r="D204" s="48"/>
      <c r="E204" s="48"/>
      <c r="F204" s="48"/>
      <c r="G204" s="63"/>
      <c r="H204" s="48"/>
      <c r="I204" s="48"/>
      <c r="J204" s="48"/>
      <c r="K204" s="48"/>
      <c r="L204" s="48"/>
      <c r="M204" s="48"/>
      <c r="N204" s="48"/>
      <c r="O204" s="48"/>
      <c r="P204" s="48"/>
      <c r="Q204" s="48"/>
      <c r="R204" s="48"/>
      <c r="S204" s="48"/>
      <c r="T204" s="48"/>
      <c r="U204" s="48"/>
      <c r="V204" s="48"/>
      <c r="W204" s="48"/>
      <c r="X204" s="48"/>
      <c r="Y204" s="48"/>
      <c r="Z204" s="48"/>
      <c r="AA204" s="48"/>
      <c r="AB204" s="48"/>
      <c r="AC204" s="48"/>
      <c r="AD204" s="48"/>
      <c r="AE204" s="48"/>
      <c r="AF204" s="48"/>
    </row>
    <row r="205" spans="1:32" ht="18" customHeight="1">
      <c r="A205" s="1"/>
      <c r="B205" s="2764" t="s">
        <v>209</v>
      </c>
      <c r="C205" s="2765"/>
      <c r="D205" s="2788" t="s">
        <v>19</v>
      </c>
      <c r="E205" s="3064"/>
      <c r="F205" s="2769"/>
      <c r="G205" s="2765"/>
      <c r="H205" s="2788" t="s">
        <v>20</v>
      </c>
      <c r="I205" s="3064"/>
      <c r="J205" s="2769"/>
      <c r="K205" s="2765"/>
      <c r="L205" s="2788" t="s">
        <v>21</v>
      </c>
      <c r="M205" s="3064"/>
      <c r="N205" s="2769"/>
      <c r="O205" s="2765"/>
      <c r="P205" s="2788" t="s">
        <v>22</v>
      </c>
      <c r="Q205" s="3064"/>
      <c r="R205" s="2769"/>
      <c r="S205" s="2765"/>
      <c r="T205" s="2788" t="s">
        <v>23</v>
      </c>
      <c r="U205" s="3064"/>
      <c r="V205" s="2769"/>
      <c r="W205" s="2765"/>
      <c r="X205" s="2788" t="s">
        <v>24</v>
      </c>
      <c r="Y205" s="3064"/>
      <c r="Z205" s="2769"/>
      <c r="AA205" s="2765"/>
      <c r="AB205" s="2788" t="s">
        <v>25</v>
      </c>
      <c r="AC205" s="3064"/>
      <c r="AD205" s="3064"/>
      <c r="AE205" s="2791" t="s">
        <v>108</v>
      </c>
      <c r="AF205" s="3064"/>
    </row>
    <row r="206" spans="1:32" ht="18" customHeight="1">
      <c r="A206" s="1"/>
      <c r="B206" s="3657" t="s">
        <v>210</v>
      </c>
      <c r="C206" s="3621" t="s">
        <v>211</v>
      </c>
      <c r="D206" s="3383"/>
      <c r="E206" s="3383"/>
      <c r="F206" s="3659"/>
      <c r="G206" s="3621" t="s">
        <v>211</v>
      </c>
      <c r="H206" s="3383"/>
      <c r="I206" s="3383"/>
      <c r="J206" s="3659"/>
      <c r="K206" s="3621" t="s">
        <v>211</v>
      </c>
      <c r="L206" s="3383"/>
      <c r="M206" s="3383"/>
      <c r="N206" s="3659"/>
      <c r="O206" s="3621" t="s">
        <v>245</v>
      </c>
      <c r="P206" s="3383"/>
      <c r="Q206" s="3383"/>
      <c r="R206" s="3659"/>
      <c r="S206" s="3621" t="s">
        <v>220</v>
      </c>
      <c r="T206" s="3383"/>
      <c r="U206" s="3383"/>
      <c r="V206" s="3659"/>
      <c r="W206" s="3286"/>
      <c r="X206" s="3701"/>
      <c r="Y206" s="3701"/>
      <c r="Z206" s="3660"/>
      <c r="AA206" s="3658"/>
      <c r="AB206" s="3383"/>
      <c r="AC206" s="3383"/>
      <c r="AD206" s="3620"/>
      <c r="AE206" s="3661">
        <v>27</v>
      </c>
      <c r="AF206" s="3383"/>
    </row>
    <row r="207" spans="1:32" ht="18" customHeight="1">
      <c r="A207" s="1"/>
      <c r="B207" s="3657" t="s">
        <v>212</v>
      </c>
      <c r="C207" s="3621" t="s">
        <v>246</v>
      </c>
      <c r="D207" s="3383"/>
      <c r="E207" s="3383"/>
      <c r="F207" s="3659"/>
      <c r="G207" s="3621" t="s">
        <v>246</v>
      </c>
      <c r="H207" s="3383"/>
      <c r="I207" s="3383"/>
      <c r="J207" s="3659"/>
      <c r="K207" s="3621" t="s">
        <v>246</v>
      </c>
      <c r="L207" s="3383"/>
      <c r="M207" s="3383"/>
      <c r="N207" s="3659"/>
      <c r="O207" s="3621" t="s">
        <v>246</v>
      </c>
      <c r="P207" s="3383"/>
      <c r="Q207" s="3383"/>
      <c r="R207" s="3659"/>
      <c r="S207" s="3621" t="s">
        <v>211</v>
      </c>
      <c r="T207" s="3383"/>
      <c r="U207" s="3383"/>
      <c r="V207" s="3659"/>
      <c r="W207" s="3621"/>
      <c r="X207" s="3383"/>
      <c r="Y207" s="3383"/>
      <c r="Z207" s="3659"/>
      <c r="AA207" s="3383"/>
      <c r="AB207" s="3383"/>
      <c r="AC207" s="3383"/>
      <c r="AD207" s="3620"/>
      <c r="AE207" s="3661">
        <v>39</v>
      </c>
      <c r="AF207" s="3383"/>
    </row>
    <row r="208" spans="1:32" ht="18" customHeight="1">
      <c r="A208" s="1"/>
      <c r="B208" s="3657" t="s">
        <v>214</v>
      </c>
      <c r="C208" s="3621" t="s">
        <v>246</v>
      </c>
      <c r="D208" s="3383"/>
      <c r="E208" s="3383"/>
      <c r="F208" s="3659"/>
      <c r="G208" s="3621" t="s">
        <v>246</v>
      </c>
      <c r="H208" s="3383"/>
      <c r="I208" s="3383"/>
      <c r="J208" s="3659"/>
      <c r="K208" s="3621" t="s">
        <v>246</v>
      </c>
      <c r="L208" s="3383"/>
      <c r="M208" s="3383"/>
      <c r="N208" s="3659"/>
      <c r="O208" s="3621" t="s">
        <v>246</v>
      </c>
      <c r="P208" s="3383"/>
      <c r="Q208" s="3383"/>
      <c r="R208" s="3659"/>
      <c r="S208" s="3621" t="s">
        <v>246</v>
      </c>
      <c r="T208" s="3383"/>
      <c r="U208" s="3383"/>
      <c r="V208" s="3659"/>
      <c r="W208" s="3623" t="s">
        <v>217</v>
      </c>
      <c r="X208" s="3470"/>
      <c r="Y208" s="3470"/>
      <c r="Z208" s="3622"/>
      <c r="AA208" s="3245"/>
      <c r="AB208" s="3470"/>
      <c r="AC208" s="3470"/>
      <c r="AD208" s="3624"/>
      <c r="AE208" s="3661">
        <v>45</v>
      </c>
      <c r="AF208" s="3383"/>
    </row>
    <row r="209" spans="1:32" ht="18" customHeight="1" thickBot="1">
      <c r="A209" s="1"/>
      <c r="B209" s="1484" t="s">
        <v>218</v>
      </c>
      <c r="C209" s="3678"/>
      <c r="D209" s="3482"/>
      <c r="E209" s="3482"/>
      <c r="F209" s="3680"/>
      <c r="G209" s="3678"/>
      <c r="H209" s="3482"/>
      <c r="I209" s="3482"/>
      <c r="J209" s="3680"/>
      <c r="K209" s="3678"/>
      <c r="L209" s="3482"/>
      <c r="M209" s="3482"/>
      <c r="N209" s="3680"/>
      <c r="O209" s="3678"/>
      <c r="P209" s="3482"/>
      <c r="Q209" s="3482"/>
      <c r="R209" s="3680"/>
      <c r="S209" s="3678"/>
      <c r="T209" s="3482"/>
      <c r="U209" s="3482"/>
      <c r="V209" s="3681"/>
      <c r="W209" s="3678"/>
      <c r="X209" s="3681"/>
      <c r="Y209" s="3482"/>
      <c r="Z209" s="3680"/>
      <c r="AA209" s="3678"/>
      <c r="AB209" s="3681"/>
      <c r="AC209" s="3482"/>
      <c r="AD209" s="3680"/>
      <c r="AE209" s="3289"/>
      <c r="AF209" s="3482"/>
    </row>
    <row r="210" spans="1:32" ht="18" customHeight="1" thickBot="1">
      <c r="A210" s="66"/>
      <c r="B210" s="1"/>
      <c r="C210" s="48"/>
      <c r="D210" s="48"/>
      <c r="E210" s="48"/>
      <c r="F210" s="48"/>
      <c r="G210" s="48"/>
      <c r="H210" s="48"/>
      <c r="I210" s="48"/>
      <c r="J210" s="48"/>
      <c r="K210" s="48"/>
      <c r="L210" s="48"/>
      <c r="M210" s="48"/>
      <c r="N210" s="48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Y210" s="48"/>
      <c r="Z210" s="48"/>
      <c r="AA210" s="48"/>
      <c r="AB210" s="48"/>
      <c r="AC210" s="48"/>
      <c r="AD210" s="48"/>
      <c r="AE210" s="48"/>
      <c r="AF210" s="48"/>
    </row>
    <row r="211" spans="1:32" ht="18" customHeight="1" thickBot="1">
      <c r="A211" s="3236"/>
      <c r="B211" s="3490" t="s">
        <v>38</v>
      </c>
      <c r="C211" s="2985">
        <v>1</v>
      </c>
      <c r="D211" s="2985">
        <v>2</v>
      </c>
      <c r="E211" s="2985">
        <v>3</v>
      </c>
      <c r="F211" s="2985">
        <v>4</v>
      </c>
      <c r="G211" s="2985">
        <v>5</v>
      </c>
      <c r="H211" s="2986">
        <v>6</v>
      </c>
      <c r="I211" s="2986">
        <v>7</v>
      </c>
      <c r="J211" s="2985">
        <v>8</v>
      </c>
      <c r="K211" s="2985">
        <v>9</v>
      </c>
      <c r="L211" s="2985">
        <v>10</v>
      </c>
      <c r="M211" s="2985">
        <v>11</v>
      </c>
      <c r="N211" s="2985">
        <v>12</v>
      </c>
      <c r="O211" s="2986">
        <v>13</v>
      </c>
      <c r="P211" s="2986">
        <v>14</v>
      </c>
      <c r="Q211" s="2985">
        <v>15</v>
      </c>
      <c r="R211" s="2985">
        <v>16</v>
      </c>
      <c r="S211" s="2985">
        <v>17</v>
      </c>
      <c r="T211" s="2985">
        <v>18</v>
      </c>
      <c r="U211" s="2985">
        <v>19</v>
      </c>
      <c r="V211" s="2986">
        <v>20</v>
      </c>
      <c r="W211" s="2986">
        <v>21</v>
      </c>
      <c r="X211" s="2985">
        <v>22</v>
      </c>
      <c r="Y211" s="2985">
        <v>23</v>
      </c>
      <c r="Z211" s="2985">
        <v>24</v>
      </c>
      <c r="AA211" s="2985">
        <v>25</v>
      </c>
      <c r="AB211" s="2985">
        <v>26</v>
      </c>
      <c r="AC211" s="2986">
        <v>27</v>
      </c>
      <c r="AD211" s="2986">
        <v>28</v>
      </c>
      <c r="AE211" s="2985">
        <v>29</v>
      </c>
      <c r="AF211" s="2985">
        <v>30</v>
      </c>
    </row>
    <row r="212" spans="1:32" ht="18" customHeight="1">
      <c r="A212" s="2814">
        <v>1</v>
      </c>
      <c r="B212" s="2847" t="s">
        <v>247</v>
      </c>
      <c r="C212" s="3089" t="s">
        <v>40</v>
      </c>
      <c r="D212" s="3089" t="s">
        <v>40</v>
      </c>
      <c r="E212" s="3089" t="s">
        <v>40</v>
      </c>
      <c r="F212" s="3089" t="s">
        <v>40</v>
      </c>
      <c r="G212" s="3089" t="s">
        <v>40</v>
      </c>
      <c r="H212" s="2848"/>
      <c r="I212" s="3089"/>
      <c r="J212" s="3089" t="s">
        <v>40</v>
      </c>
      <c r="K212" s="3089" t="s">
        <v>40</v>
      </c>
      <c r="L212" s="3089" t="s">
        <v>40</v>
      </c>
      <c r="M212" s="3089" t="s">
        <v>40</v>
      </c>
      <c r="N212" s="3089" t="s">
        <v>40</v>
      </c>
      <c r="O212" s="3089"/>
      <c r="P212" s="3089"/>
      <c r="Q212" s="3089" t="s">
        <v>40</v>
      </c>
      <c r="R212" s="2848" t="s">
        <v>40</v>
      </c>
      <c r="S212" s="3089" t="s">
        <v>40</v>
      </c>
      <c r="T212" s="3089" t="s">
        <v>40</v>
      </c>
      <c r="U212" s="3089" t="s">
        <v>40</v>
      </c>
      <c r="V212" s="3089" t="s">
        <v>248</v>
      </c>
      <c r="W212" s="3089"/>
      <c r="X212" s="3089" t="s">
        <v>40</v>
      </c>
      <c r="Y212" s="3089" t="s">
        <v>40</v>
      </c>
      <c r="Z212" s="3089" t="s">
        <v>40</v>
      </c>
      <c r="AA212" s="3089" t="s">
        <v>40</v>
      </c>
      <c r="AB212" s="3089" t="s">
        <v>40</v>
      </c>
      <c r="AC212" s="2848"/>
      <c r="AD212" s="3089"/>
      <c r="AE212" s="3089" t="s">
        <v>40</v>
      </c>
      <c r="AF212" s="3089" t="s">
        <v>40</v>
      </c>
    </row>
    <row r="213" spans="1:32" ht="18" customHeight="1">
      <c r="A213" s="3671">
        <v>2</v>
      </c>
      <c r="B213" s="3293" t="s">
        <v>249</v>
      </c>
      <c r="C213" s="3702" t="s">
        <v>250</v>
      </c>
      <c r="D213" s="3432" t="s">
        <v>250</v>
      </c>
      <c r="E213" s="3432" t="s">
        <v>250</v>
      </c>
      <c r="F213" s="3432" t="s">
        <v>250</v>
      </c>
      <c r="G213" s="3432" t="s">
        <v>250</v>
      </c>
      <c r="H213" s="3432"/>
      <c r="I213" s="3432"/>
      <c r="J213" s="3432" t="s">
        <v>248</v>
      </c>
      <c r="K213" s="3432" t="s">
        <v>248</v>
      </c>
      <c r="L213" s="3432" t="s">
        <v>248</v>
      </c>
      <c r="M213" s="3432" t="s">
        <v>248</v>
      </c>
      <c r="N213" s="3432" t="s">
        <v>248</v>
      </c>
      <c r="O213" s="3432" t="s">
        <v>248</v>
      </c>
      <c r="P213" s="3432"/>
      <c r="Q213" s="3432" t="s">
        <v>251</v>
      </c>
      <c r="R213" s="3432" t="s">
        <v>251</v>
      </c>
      <c r="S213" s="3432" t="s">
        <v>251</v>
      </c>
      <c r="T213" s="3432" t="s">
        <v>251</v>
      </c>
      <c r="U213" s="3432" t="s">
        <v>46</v>
      </c>
      <c r="V213" s="3432"/>
      <c r="W213" s="3432"/>
      <c r="X213" s="3432" t="s">
        <v>250</v>
      </c>
      <c r="Y213" s="3432" t="s">
        <v>250</v>
      </c>
      <c r="Z213" s="3432" t="s">
        <v>250</v>
      </c>
      <c r="AA213" s="3432" t="s">
        <v>250</v>
      </c>
      <c r="AB213" s="3432" t="s">
        <v>250</v>
      </c>
      <c r="AC213" s="3432"/>
      <c r="AD213" s="3432"/>
      <c r="AE213" s="3432" t="s">
        <v>248</v>
      </c>
      <c r="AF213" s="3432" t="s">
        <v>248</v>
      </c>
    </row>
    <row r="214" spans="1:32" ht="18" customHeight="1">
      <c r="A214" s="3671">
        <v>3</v>
      </c>
      <c r="B214" s="3294" t="s">
        <v>512</v>
      </c>
      <c r="C214" s="3432" t="s">
        <v>248</v>
      </c>
      <c r="D214" s="3418" t="s">
        <v>248</v>
      </c>
      <c r="E214" s="3418" t="s">
        <v>248</v>
      </c>
      <c r="F214" s="3432" t="s">
        <v>248</v>
      </c>
      <c r="G214" s="3432" t="s">
        <v>248</v>
      </c>
      <c r="H214" s="3432" t="s">
        <v>248</v>
      </c>
      <c r="I214" s="3432"/>
      <c r="J214" s="3432" t="s">
        <v>251</v>
      </c>
      <c r="K214" s="3432" t="s">
        <v>251</v>
      </c>
      <c r="L214" s="3432" t="s">
        <v>251</v>
      </c>
      <c r="M214" s="3432" t="s">
        <v>251</v>
      </c>
      <c r="N214" s="3432" t="s">
        <v>46</v>
      </c>
      <c r="O214" s="3418"/>
      <c r="P214" s="3418"/>
      <c r="Q214" s="3432" t="s">
        <v>250</v>
      </c>
      <c r="R214" s="3432" t="s">
        <v>250</v>
      </c>
      <c r="S214" s="3432" t="s">
        <v>250</v>
      </c>
      <c r="T214" s="3432" t="s">
        <v>250</v>
      </c>
      <c r="U214" s="3432" t="s">
        <v>250</v>
      </c>
      <c r="V214" s="3418"/>
      <c r="W214" s="3432"/>
      <c r="X214" s="3432" t="s">
        <v>248</v>
      </c>
      <c r="Y214" s="3418" t="s">
        <v>248</v>
      </c>
      <c r="Z214" s="3418" t="s">
        <v>248</v>
      </c>
      <c r="AA214" s="3432" t="s">
        <v>248</v>
      </c>
      <c r="AB214" s="3432" t="s">
        <v>248</v>
      </c>
      <c r="AC214" s="3432" t="s">
        <v>248</v>
      </c>
      <c r="AD214" s="3432"/>
      <c r="AE214" s="3432" t="s">
        <v>251</v>
      </c>
      <c r="AF214" s="3432" t="s">
        <v>251</v>
      </c>
    </row>
    <row r="215" spans="1:32" ht="18" customHeight="1">
      <c r="A215" s="3671">
        <v>4</v>
      </c>
      <c r="B215" s="3294" t="s">
        <v>253</v>
      </c>
      <c r="C215" s="3432"/>
      <c r="D215" s="3432"/>
      <c r="E215" s="3432"/>
      <c r="F215" s="3432"/>
      <c r="G215" s="3432"/>
      <c r="H215" s="3432"/>
      <c r="I215" s="3432"/>
      <c r="J215" s="3432"/>
      <c r="K215" s="3432"/>
      <c r="L215" s="3432"/>
      <c r="M215" s="3432"/>
      <c r="N215" s="3432"/>
      <c r="O215" s="3419"/>
      <c r="P215" s="3432"/>
      <c r="Q215" s="3432"/>
      <c r="R215" s="3432"/>
      <c r="S215" s="3432"/>
      <c r="T215" s="3432"/>
      <c r="U215" s="3432"/>
      <c r="V215" s="3432"/>
      <c r="W215" s="3432"/>
      <c r="X215" s="3432"/>
      <c r="Y215" s="3432"/>
      <c r="Z215" s="3432"/>
      <c r="AA215" s="3432"/>
      <c r="AB215" s="3432"/>
      <c r="AC215" s="3432"/>
      <c r="AD215" s="3432"/>
      <c r="AE215" s="3432"/>
      <c r="AF215" s="3432"/>
    </row>
    <row r="216" spans="1:32" ht="18" customHeight="1">
      <c r="A216" s="3671">
        <v>5</v>
      </c>
      <c r="B216" s="3294"/>
      <c r="C216" s="3503"/>
      <c r="D216" s="3432"/>
      <c r="E216" s="3432"/>
      <c r="F216" s="3418"/>
      <c r="G216" s="3418"/>
      <c r="H216" s="3503"/>
      <c r="I216" s="3503"/>
      <c r="J216" s="3503"/>
      <c r="K216" s="3503"/>
      <c r="L216" s="3503"/>
      <c r="M216" s="3503"/>
      <c r="N216" s="3503"/>
      <c r="O216" s="3503"/>
      <c r="P216" s="3418"/>
      <c r="Q216" s="3418"/>
      <c r="R216" s="3503"/>
      <c r="S216" s="3503"/>
      <c r="T216" s="3503"/>
      <c r="U216" s="3503"/>
      <c r="V216" s="3503"/>
      <c r="W216" s="3503"/>
      <c r="X216" s="3503"/>
      <c r="Y216" s="3432"/>
      <c r="Z216" s="3432"/>
      <c r="AA216" s="3418"/>
      <c r="AB216" s="3418"/>
      <c r="AC216" s="3503"/>
      <c r="AD216" s="3503"/>
      <c r="AE216" s="3503"/>
      <c r="AF216" s="3503"/>
    </row>
    <row r="217" spans="1:32" ht="18" customHeight="1">
      <c r="A217" s="3671">
        <v>6</v>
      </c>
      <c r="B217" s="3417"/>
      <c r="C217" s="3503"/>
      <c r="D217" s="3432"/>
      <c r="E217" s="3432"/>
      <c r="F217" s="3418"/>
      <c r="G217" s="3418"/>
      <c r="H217" s="3503"/>
      <c r="I217" s="3503"/>
      <c r="J217" s="3503"/>
      <c r="K217" s="3503"/>
      <c r="L217" s="3503"/>
      <c r="M217" s="3503"/>
      <c r="N217" s="3503"/>
      <c r="O217" s="3503"/>
      <c r="P217" s="3418"/>
      <c r="Q217" s="3418"/>
      <c r="R217" s="3503"/>
      <c r="S217" s="3503"/>
      <c r="T217" s="3503"/>
      <c r="U217" s="3503"/>
      <c r="V217" s="3503"/>
      <c r="W217" s="3503"/>
      <c r="X217" s="3503"/>
      <c r="Y217" s="3432"/>
      <c r="Z217" s="3432"/>
      <c r="AA217" s="3418"/>
      <c r="AB217" s="3418"/>
      <c r="AC217" s="3503"/>
      <c r="AD217" s="3503"/>
      <c r="AE217" s="3503"/>
      <c r="AF217" s="3503"/>
    </row>
    <row r="221" spans="1:32" ht="18" customHeight="1" thickBot="1">
      <c r="A221" s="90" t="s">
        <v>254</v>
      </c>
      <c r="B221" s="48"/>
      <c r="C221" s="64"/>
      <c r="D221" s="48"/>
      <c r="E221" s="48"/>
      <c r="F221" s="64"/>
      <c r="G221" s="48"/>
      <c r="H221" s="48"/>
      <c r="I221" s="64"/>
      <c r="J221" s="64"/>
      <c r="K221" s="48"/>
      <c r="L221" s="64"/>
      <c r="M221" s="48"/>
      <c r="N221" s="48"/>
      <c r="O221" s="64"/>
      <c r="P221" s="48"/>
      <c r="Q221" s="64"/>
      <c r="R221" s="64"/>
      <c r="S221" s="48"/>
      <c r="T221" s="48"/>
      <c r="U221" s="64"/>
      <c r="V221" s="48"/>
      <c r="W221" s="64"/>
      <c r="X221" s="64"/>
      <c r="Y221" s="48"/>
      <c r="Z221" s="48"/>
      <c r="AA221" s="48"/>
      <c r="AB221" s="48"/>
      <c r="AC221" s="48"/>
      <c r="AD221" s="48"/>
      <c r="AE221" s="64"/>
    </row>
    <row r="222" spans="1:32" ht="18" customHeight="1">
      <c r="A222" s="67"/>
      <c r="B222" s="2851" t="s">
        <v>255</v>
      </c>
      <c r="C222" s="2852"/>
      <c r="D222" s="2853" t="s">
        <v>19</v>
      </c>
      <c r="E222" s="3224"/>
      <c r="F222" s="2854"/>
      <c r="G222" s="2855"/>
      <c r="H222" s="2853" t="s">
        <v>20</v>
      </c>
      <c r="I222" s="3224"/>
      <c r="J222" s="2854"/>
      <c r="K222" s="2855"/>
      <c r="L222" s="2853" t="s">
        <v>21</v>
      </c>
      <c r="M222" s="3224"/>
      <c r="N222" s="2854"/>
      <c r="O222" s="2855"/>
      <c r="P222" s="2853" t="s">
        <v>22</v>
      </c>
      <c r="Q222" s="3224"/>
      <c r="R222" s="2854"/>
      <c r="S222" s="2855"/>
      <c r="T222" s="2853" t="s">
        <v>23</v>
      </c>
      <c r="U222" s="3224"/>
      <c r="V222" s="2854"/>
      <c r="W222" s="2855"/>
      <c r="X222" s="2853" t="s">
        <v>24</v>
      </c>
      <c r="Y222" s="3224"/>
      <c r="Z222" s="2854"/>
      <c r="AA222" s="2855"/>
      <c r="AB222" s="2853" t="s">
        <v>25</v>
      </c>
      <c r="AC222" s="3224"/>
      <c r="AD222" s="3224"/>
      <c r="AE222" s="2856" t="s">
        <v>108</v>
      </c>
    </row>
    <row r="223" spans="1:32" ht="18" customHeight="1">
      <c r="A223" s="67"/>
      <c r="B223" s="3396" t="s">
        <v>256</v>
      </c>
      <c r="C223" s="3295" t="s">
        <v>152</v>
      </c>
      <c r="D223" s="3296" t="s">
        <v>258</v>
      </c>
      <c r="E223" s="3297"/>
      <c r="F223" s="3298"/>
      <c r="G223" s="3299"/>
      <c r="H223" s="3300" t="s">
        <v>258</v>
      </c>
      <c r="I223" s="3301"/>
      <c r="J223" s="3298"/>
      <c r="K223" s="3299"/>
      <c r="L223" s="3300" t="s">
        <v>258</v>
      </c>
      <c r="M223" s="3301"/>
      <c r="N223" s="3298"/>
      <c r="O223" s="3299"/>
      <c r="P223" s="3300" t="s">
        <v>513</v>
      </c>
      <c r="Q223" s="3301"/>
      <c r="R223" s="3298"/>
      <c r="S223" s="3299"/>
      <c r="T223" s="3300" t="s">
        <v>260</v>
      </c>
      <c r="U223" s="3301"/>
      <c r="V223" s="3298"/>
      <c r="W223" s="3302"/>
      <c r="X223" s="3400"/>
      <c r="Y223" s="3400"/>
      <c r="Z223" s="3303"/>
      <c r="AA223" s="3302"/>
      <c r="AB223" s="3400"/>
      <c r="AC223" s="3400"/>
      <c r="AD223" s="3400"/>
      <c r="AE223" s="3302"/>
    </row>
    <row r="224" spans="1:32" ht="18" customHeight="1">
      <c r="A224" s="67"/>
      <c r="B224" s="3396" t="s">
        <v>261</v>
      </c>
      <c r="C224" s="3295" t="s">
        <v>130</v>
      </c>
      <c r="D224" s="3296" t="s">
        <v>258</v>
      </c>
      <c r="E224" s="3297"/>
      <c r="F224" s="3298"/>
      <c r="G224" s="3299"/>
      <c r="H224" s="3300" t="s">
        <v>258</v>
      </c>
      <c r="I224" s="3301"/>
      <c r="J224" s="3298"/>
      <c r="K224" s="3299"/>
      <c r="L224" s="3300" t="s">
        <v>262</v>
      </c>
      <c r="M224" s="3301"/>
      <c r="N224" s="3298"/>
      <c r="O224" s="3299"/>
      <c r="P224" s="3300" t="s">
        <v>263</v>
      </c>
      <c r="Q224" s="3301"/>
      <c r="R224" s="3298"/>
      <c r="S224" s="3299"/>
      <c r="T224" s="3300" t="s">
        <v>264</v>
      </c>
      <c r="U224" s="3301"/>
      <c r="V224" s="3298"/>
      <c r="W224" s="3302"/>
      <c r="X224" s="3400"/>
      <c r="Y224" s="3400"/>
      <c r="Z224" s="3303"/>
      <c r="AA224" s="3302"/>
      <c r="AB224" s="3400"/>
      <c r="AC224" s="3400"/>
      <c r="AD224" s="3400"/>
      <c r="AE224" s="3302"/>
    </row>
    <row r="225" spans="1:32" ht="18" customHeight="1">
      <c r="A225" s="67"/>
      <c r="B225" s="3396" t="s">
        <v>265</v>
      </c>
      <c r="C225" s="3295" t="s">
        <v>153</v>
      </c>
      <c r="D225" s="3296" t="s">
        <v>266</v>
      </c>
      <c r="E225" s="3297"/>
      <c r="F225" s="3298"/>
      <c r="G225" s="3299"/>
      <c r="H225" s="3296" t="s">
        <v>266</v>
      </c>
      <c r="I225" s="3301"/>
      <c r="J225" s="3298"/>
      <c r="K225" s="3299"/>
      <c r="L225" s="3296" t="s">
        <v>266</v>
      </c>
      <c r="M225" s="3301"/>
      <c r="N225" s="3298"/>
      <c r="O225" s="3299"/>
      <c r="P225" s="3300" t="s">
        <v>267</v>
      </c>
      <c r="Q225" s="3301"/>
      <c r="R225" s="3298"/>
      <c r="S225" s="3299"/>
      <c r="T225" s="3300" t="s">
        <v>264</v>
      </c>
      <c r="U225" s="3301"/>
      <c r="V225" s="3298"/>
      <c r="W225" s="3302"/>
      <c r="X225" s="3400"/>
      <c r="Y225" s="3400"/>
      <c r="Z225" s="3303"/>
      <c r="AA225" s="3302"/>
      <c r="AB225" s="3400"/>
      <c r="AC225" s="3400"/>
      <c r="AD225" s="3400"/>
      <c r="AE225" s="3302"/>
    </row>
    <row r="226" spans="1:32" ht="18" customHeight="1">
      <c r="A226" s="67"/>
      <c r="B226" s="3304" t="s">
        <v>272</v>
      </c>
      <c r="C226" s="3295" t="s">
        <v>128</v>
      </c>
      <c r="D226" s="3296" t="s">
        <v>273</v>
      </c>
      <c r="E226" s="3297"/>
      <c r="F226" s="3305"/>
      <c r="G226" s="3306"/>
      <c r="H226" s="3296" t="s">
        <v>273</v>
      </c>
      <c r="I226" s="3307"/>
      <c r="J226" s="3305"/>
      <c r="K226" s="3306"/>
      <c r="L226" s="3296" t="s">
        <v>273</v>
      </c>
      <c r="M226" s="3307"/>
      <c r="N226" s="3305"/>
      <c r="O226" s="3306"/>
      <c r="P226" s="3300" t="s">
        <v>274</v>
      </c>
      <c r="Q226" s="3307"/>
      <c r="R226" s="3305"/>
      <c r="S226" s="3306"/>
      <c r="T226" s="3300" t="s">
        <v>264</v>
      </c>
      <c r="U226" s="3307"/>
      <c r="V226" s="3399"/>
      <c r="W226" s="3308"/>
      <c r="X226" s="3309"/>
      <c r="Y226" s="3309"/>
      <c r="Z226" s="3310"/>
      <c r="AA226" s="3308"/>
      <c r="AB226" s="3309"/>
      <c r="AC226" s="3309"/>
      <c r="AD226" s="3309"/>
      <c r="AE226" s="3308"/>
    </row>
    <row r="227" spans="1:32" ht="18" customHeight="1">
      <c r="A227" s="67"/>
      <c r="B227" s="3396" t="s">
        <v>275</v>
      </c>
      <c r="C227" s="3295" t="s">
        <v>127</v>
      </c>
      <c r="D227" s="3296" t="s">
        <v>276</v>
      </c>
      <c r="E227" s="3297"/>
      <c r="F227" s="3298"/>
      <c r="G227" s="3299"/>
      <c r="H227" s="3296" t="s">
        <v>276</v>
      </c>
      <c r="I227" s="3301"/>
      <c r="J227" s="3298"/>
      <c r="K227" s="3299"/>
      <c r="L227" s="3296" t="s">
        <v>276</v>
      </c>
      <c r="M227" s="3301"/>
      <c r="N227" s="3298"/>
      <c r="O227" s="3299"/>
      <c r="P227" s="3300" t="s">
        <v>277</v>
      </c>
      <c r="Q227" s="3301"/>
      <c r="R227" s="3298"/>
      <c r="S227" s="3299"/>
      <c r="T227" s="3300" t="s">
        <v>264</v>
      </c>
      <c r="U227" s="3301"/>
      <c r="V227" s="3298"/>
      <c r="W227" s="3302"/>
      <c r="X227" s="3400"/>
      <c r="Y227" s="3400"/>
      <c r="Z227" s="3400"/>
      <c r="AA227" s="3302"/>
      <c r="AB227" s="3400"/>
      <c r="AC227" s="3400"/>
      <c r="AD227" s="3400"/>
      <c r="AE227" s="3302"/>
    </row>
    <row r="228" spans="1:32" ht="18" customHeight="1">
      <c r="A228" s="67"/>
      <c r="B228" s="3396" t="s">
        <v>446</v>
      </c>
      <c r="C228" s="3295" t="s">
        <v>403</v>
      </c>
      <c r="D228" s="3296" t="s">
        <v>279</v>
      </c>
      <c r="E228" s="3297"/>
      <c r="F228" s="3298"/>
      <c r="G228" s="3299"/>
      <c r="H228" s="3300" t="s">
        <v>279</v>
      </c>
      <c r="I228" s="3301"/>
      <c r="J228" s="3298"/>
      <c r="K228" s="3299"/>
      <c r="L228" s="3300" t="s">
        <v>279</v>
      </c>
      <c r="M228" s="3301"/>
      <c r="N228" s="3301"/>
      <c r="O228" s="3299"/>
      <c r="P228" s="3300" t="s">
        <v>279</v>
      </c>
      <c r="Q228" s="3301"/>
      <c r="R228" s="3301"/>
      <c r="S228" s="3299"/>
      <c r="T228" s="3300" t="s">
        <v>264</v>
      </c>
      <c r="U228" s="3301"/>
      <c r="V228" s="3298"/>
      <c r="W228" s="3396"/>
      <c r="X228" s="3400"/>
      <c r="Y228" s="3400"/>
      <c r="Z228" s="3400"/>
      <c r="AA228" s="3302"/>
      <c r="AB228" s="3400"/>
      <c r="AC228" s="3400"/>
      <c r="AD228" s="3400"/>
      <c r="AE228" s="3302"/>
    </row>
    <row r="229" spans="1:32" ht="18" customHeight="1">
      <c r="A229" s="67"/>
      <c r="B229" s="3396" t="s">
        <v>278</v>
      </c>
      <c r="C229" s="3295" t="s">
        <v>116</v>
      </c>
      <c r="D229" s="3296" t="s">
        <v>279</v>
      </c>
      <c r="E229" s="3297"/>
      <c r="F229" s="3298"/>
      <c r="G229" s="3299"/>
      <c r="H229" s="3300" t="s">
        <v>279</v>
      </c>
      <c r="I229" s="3301"/>
      <c r="J229" s="3298"/>
      <c r="K229" s="3299"/>
      <c r="L229" s="3300" t="s">
        <v>279</v>
      </c>
      <c r="M229" s="3301"/>
      <c r="N229" s="3301"/>
      <c r="O229" s="3299"/>
      <c r="P229" s="3300" t="s">
        <v>279</v>
      </c>
      <c r="Q229" s="3301"/>
      <c r="R229" s="3301"/>
      <c r="S229" s="3299"/>
      <c r="T229" s="3300" t="s">
        <v>264</v>
      </c>
      <c r="U229" s="3301"/>
      <c r="V229" s="3298"/>
      <c r="W229" s="3396"/>
      <c r="X229" s="3400"/>
      <c r="Y229" s="3400"/>
      <c r="Z229" s="3303"/>
      <c r="AA229" s="3311"/>
      <c r="AB229" s="3400"/>
      <c r="AC229" s="3400"/>
      <c r="AD229" s="3400"/>
      <c r="AE229" s="3302"/>
    </row>
    <row r="230" spans="1:32" ht="18" customHeight="1">
      <c r="A230" s="67"/>
      <c r="B230" s="3396" t="s">
        <v>280</v>
      </c>
      <c r="C230" s="3295" t="s">
        <v>123</v>
      </c>
      <c r="D230" s="3296" t="s">
        <v>448</v>
      </c>
      <c r="E230" s="3297"/>
      <c r="F230" s="3298"/>
      <c r="G230" s="3299"/>
      <c r="H230" s="3296" t="s">
        <v>448</v>
      </c>
      <c r="I230" s="3296"/>
      <c r="J230" s="3298"/>
      <c r="K230" s="3299"/>
      <c r="L230" s="3296" t="s">
        <v>448</v>
      </c>
      <c r="M230" s="3296"/>
      <c r="N230" s="3301"/>
      <c r="O230" s="3299"/>
      <c r="P230" s="3300" t="s">
        <v>449</v>
      </c>
      <c r="Q230" s="3301"/>
      <c r="R230" s="3301"/>
      <c r="S230" s="3299"/>
      <c r="T230" s="3300" t="s">
        <v>450</v>
      </c>
      <c r="U230" s="3301"/>
      <c r="V230" s="3298"/>
      <c r="AA230" s="110"/>
      <c r="AE230" s="110"/>
    </row>
    <row r="231" spans="1:32" ht="18" customHeight="1" thickBot="1">
      <c r="A231" s="67"/>
      <c r="B231" t="s">
        <v>284</v>
      </c>
      <c r="C231" s="110"/>
      <c r="F231" s="110"/>
      <c r="I231" s="110"/>
      <c r="J231" s="110"/>
      <c r="L231" s="110"/>
      <c r="O231" s="110"/>
      <c r="Q231" s="110"/>
      <c r="R231" s="110"/>
      <c r="U231" s="110"/>
      <c r="W231" s="110"/>
      <c r="X231" s="110"/>
      <c r="AE231" s="110"/>
    </row>
    <row r="232" spans="1:32" ht="18" customHeight="1">
      <c r="A232" s="67"/>
      <c r="B232" s="2851" t="s">
        <v>255</v>
      </c>
      <c r="C232" s="2874"/>
      <c r="D232" s="2853" t="s">
        <v>19</v>
      </c>
      <c r="E232" s="3224"/>
      <c r="F232" s="2854"/>
      <c r="G232" s="2855"/>
      <c r="H232" s="2853" t="s">
        <v>20</v>
      </c>
      <c r="I232" s="3224"/>
      <c r="J232" s="2854"/>
      <c r="K232" s="2855"/>
      <c r="L232" s="2853" t="s">
        <v>21</v>
      </c>
      <c r="M232" s="3224"/>
      <c r="N232" s="2854"/>
      <c r="O232" s="2855"/>
      <c r="P232" s="2853" t="s">
        <v>22</v>
      </c>
      <c r="Q232" s="3224"/>
      <c r="R232" s="2854"/>
      <c r="S232" s="2855"/>
      <c r="T232" s="2853" t="s">
        <v>23</v>
      </c>
      <c r="U232" s="3224"/>
      <c r="V232" s="2854"/>
      <c r="W232" s="2855"/>
      <c r="X232" s="2853" t="s">
        <v>24</v>
      </c>
      <c r="Y232" s="3224"/>
      <c r="Z232" s="2854"/>
      <c r="AA232" s="2855"/>
      <c r="AB232" s="2853" t="s">
        <v>25</v>
      </c>
      <c r="AC232" s="3224"/>
      <c r="AD232" s="3224"/>
      <c r="AE232" s="2856" t="s">
        <v>108</v>
      </c>
    </row>
    <row r="233" spans="1:32" ht="18" customHeight="1">
      <c r="A233" s="67"/>
      <c r="B233" s="3396" t="s">
        <v>514</v>
      </c>
      <c r="C233" s="3295" t="s">
        <v>515</v>
      </c>
      <c r="D233" s="3296" t="s">
        <v>276</v>
      </c>
      <c r="E233" s="3297"/>
      <c r="F233" s="3298"/>
      <c r="G233" s="3299"/>
      <c r="H233" s="3296" t="s">
        <v>516</v>
      </c>
      <c r="I233" s="3297"/>
      <c r="J233" s="3298"/>
      <c r="K233" s="3299"/>
      <c r="L233" s="3296" t="s">
        <v>517</v>
      </c>
      <c r="M233" s="3297"/>
      <c r="N233" s="3298"/>
      <c r="O233" s="3299"/>
      <c r="P233" s="3300" t="s">
        <v>518</v>
      </c>
      <c r="Q233" s="3301"/>
      <c r="R233" s="3298"/>
      <c r="S233" s="3299"/>
      <c r="T233" s="3296" t="s">
        <v>519</v>
      </c>
      <c r="U233" s="3297"/>
      <c r="V233" s="3298"/>
      <c r="W233" s="3312"/>
      <c r="X233" s="3400"/>
      <c r="Y233" s="3400"/>
      <c r="Z233" s="3399"/>
      <c r="AA233" s="3312"/>
      <c r="AB233" s="3400"/>
      <c r="AC233" s="3400"/>
      <c r="AD233" s="3400"/>
      <c r="AE233" s="3312"/>
    </row>
    <row r="234" spans="1:32" ht="18" customHeight="1">
      <c r="A234" s="67"/>
      <c r="B234" s="3396" t="s">
        <v>520</v>
      </c>
      <c r="C234" s="3295" t="s">
        <v>152</v>
      </c>
      <c r="D234" s="3296" t="s">
        <v>285</v>
      </c>
      <c r="E234" s="3297"/>
      <c r="F234" s="3298"/>
      <c r="G234" s="3299"/>
      <c r="H234" s="3296" t="s">
        <v>285</v>
      </c>
      <c r="I234" s="3301"/>
      <c r="J234" s="3298"/>
      <c r="K234" s="3299"/>
      <c r="L234" s="3296" t="s">
        <v>285</v>
      </c>
      <c r="M234" s="3301"/>
      <c r="N234" s="3298"/>
      <c r="O234" s="3299"/>
      <c r="P234" s="3300" t="s">
        <v>286</v>
      </c>
      <c r="Q234" s="3301"/>
      <c r="R234" s="3298"/>
      <c r="S234" s="3299"/>
      <c r="T234" s="3300" t="s">
        <v>287</v>
      </c>
      <c r="U234" s="3301"/>
      <c r="V234" s="3298"/>
      <c r="W234" s="3312"/>
      <c r="X234" s="3400"/>
      <c r="Y234" s="3400"/>
      <c r="Z234" s="3399"/>
      <c r="AA234" s="3312"/>
      <c r="AB234" s="3400"/>
      <c r="AC234" s="3400"/>
      <c r="AD234" s="3400"/>
      <c r="AE234" s="3312"/>
    </row>
    <row r="235" spans="1:32" ht="18" customHeight="1">
      <c r="A235" s="67"/>
      <c r="B235" s="3396" t="s">
        <v>261</v>
      </c>
      <c r="C235" s="3295" t="s">
        <v>130</v>
      </c>
      <c r="D235" s="3296" t="s">
        <v>285</v>
      </c>
      <c r="E235" s="3297"/>
      <c r="F235" s="3298"/>
      <c r="G235" s="3299"/>
      <c r="H235" s="3296" t="s">
        <v>285</v>
      </c>
      <c r="I235" s="3301"/>
      <c r="J235" s="3298"/>
      <c r="K235" s="3299"/>
      <c r="L235" s="3300" t="s">
        <v>262</v>
      </c>
      <c r="M235" s="3301"/>
      <c r="N235" s="3298"/>
      <c r="O235" s="3299"/>
      <c r="P235" s="3300" t="s">
        <v>288</v>
      </c>
      <c r="Q235" s="3301"/>
      <c r="R235" s="3298"/>
      <c r="S235" s="3299"/>
      <c r="T235" s="3300" t="s">
        <v>289</v>
      </c>
      <c r="U235" s="3301"/>
      <c r="V235" s="3298"/>
      <c r="W235" s="3312"/>
      <c r="X235" s="3400"/>
      <c r="Y235" s="3400"/>
      <c r="Z235" s="3399"/>
      <c r="AA235" s="3312"/>
      <c r="AB235" s="3400"/>
      <c r="AC235" s="3400"/>
      <c r="AD235" s="3400"/>
      <c r="AE235" s="3312"/>
    </row>
    <row r="236" spans="1:32" ht="18" customHeight="1">
      <c r="A236" s="67"/>
      <c r="B236" s="3396" t="s">
        <v>265</v>
      </c>
      <c r="C236" s="3295" t="s">
        <v>153</v>
      </c>
      <c r="D236" s="3296" t="s">
        <v>285</v>
      </c>
      <c r="E236" s="3297"/>
      <c r="F236" s="3298"/>
      <c r="G236" s="3299"/>
      <c r="H236" s="3296" t="s">
        <v>285</v>
      </c>
      <c r="I236" s="3301"/>
      <c r="J236" s="3298"/>
      <c r="K236" s="3299"/>
      <c r="L236" s="3296" t="s">
        <v>285</v>
      </c>
      <c r="M236" s="3301"/>
      <c r="N236" s="3298"/>
      <c r="O236" s="3299"/>
      <c r="P236" s="3300" t="s">
        <v>290</v>
      </c>
      <c r="Q236" s="3301"/>
      <c r="R236" s="3298"/>
      <c r="S236" s="3299"/>
      <c r="T236" s="3300" t="s">
        <v>289</v>
      </c>
      <c r="U236" s="3301"/>
      <c r="V236" s="3298"/>
      <c r="W236" s="3312"/>
      <c r="X236" s="3400"/>
      <c r="Y236" s="3400"/>
      <c r="Z236" s="3399"/>
      <c r="AA236" s="3312"/>
      <c r="AB236" s="3400"/>
      <c r="AC236" s="3400"/>
      <c r="AD236" s="3400"/>
      <c r="AE236" s="3312"/>
    </row>
    <row r="237" spans="1:32" ht="18" customHeight="1">
      <c r="A237" s="67"/>
      <c r="B237" s="3304" t="s">
        <v>272</v>
      </c>
      <c r="C237" s="3295" t="s">
        <v>128</v>
      </c>
      <c r="D237" s="3296" t="s">
        <v>285</v>
      </c>
      <c r="E237" s="3297"/>
      <c r="F237" s="3298"/>
      <c r="G237" s="3299"/>
      <c r="H237" s="3296" t="s">
        <v>285</v>
      </c>
      <c r="I237" s="3301"/>
      <c r="J237" s="3298"/>
      <c r="K237" s="3299"/>
      <c r="L237" s="3296" t="s">
        <v>285</v>
      </c>
      <c r="M237" s="3301"/>
      <c r="N237" s="3298"/>
      <c r="O237" s="3299"/>
      <c r="P237" s="3300" t="s">
        <v>290</v>
      </c>
      <c r="Q237" s="3301"/>
      <c r="R237" s="3298"/>
      <c r="S237" s="3299"/>
      <c r="T237" s="3300" t="s">
        <v>289</v>
      </c>
      <c r="U237" s="3301"/>
      <c r="V237" s="3298"/>
      <c r="W237" s="3308"/>
      <c r="X237" s="3309"/>
      <c r="Y237" s="3309"/>
      <c r="Z237" s="3310"/>
      <c r="AA237" s="3308"/>
      <c r="AB237" s="3309"/>
      <c r="AC237" s="3309"/>
      <c r="AD237" s="3309"/>
      <c r="AE237" s="3308"/>
      <c r="AF237" s="3309"/>
    </row>
    <row r="238" spans="1:32" ht="18" customHeight="1">
      <c r="A238" s="67"/>
      <c r="B238" s="3396" t="s">
        <v>275</v>
      </c>
      <c r="C238" s="3295" t="s">
        <v>127</v>
      </c>
      <c r="D238" s="3296" t="s">
        <v>285</v>
      </c>
      <c r="E238" s="3297"/>
      <c r="F238" s="3298"/>
      <c r="G238" s="3299"/>
      <c r="H238" s="3296" t="s">
        <v>285</v>
      </c>
      <c r="I238" s="3301"/>
      <c r="J238" s="3298"/>
      <c r="K238" s="3299"/>
      <c r="L238" s="3296" t="s">
        <v>285</v>
      </c>
      <c r="M238" s="3301"/>
      <c r="N238" s="3298"/>
      <c r="O238" s="3299"/>
      <c r="P238" s="3300" t="s">
        <v>286</v>
      </c>
      <c r="Q238" s="3301"/>
      <c r="R238" s="3298"/>
      <c r="S238" s="3299"/>
      <c r="T238" s="3300" t="s">
        <v>287</v>
      </c>
      <c r="U238" s="3301"/>
      <c r="V238" s="3298"/>
      <c r="W238" s="3312"/>
      <c r="X238" s="3400"/>
      <c r="Y238" s="3400"/>
      <c r="Z238" s="3400"/>
      <c r="AA238" s="3312"/>
      <c r="AB238" s="3400"/>
      <c r="AC238" s="3400"/>
      <c r="AD238" s="3400"/>
      <c r="AE238" s="3312"/>
      <c r="AF238" s="3400"/>
    </row>
    <row r="239" spans="1:32" ht="18" customHeight="1">
      <c r="A239" s="67"/>
      <c r="B239" s="3396" t="s">
        <v>278</v>
      </c>
      <c r="C239" s="3295" t="s">
        <v>116</v>
      </c>
      <c r="D239" s="3296" t="s">
        <v>279</v>
      </c>
      <c r="E239" s="3297"/>
      <c r="F239" s="3298"/>
      <c r="G239" s="3299"/>
      <c r="H239" s="3300" t="s">
        <v>279</v>
      </c>
      <c r="I239" s="3301"/>
      <c r="J239" s="3298"/>
      <c r="K239" s="3299"/>
      <c r="L239" s="3300" t="s">
        <v>279</v>
      </c>
      <c r="M239" s="3301"/>
      <c r="N239" s="3301"/>
      <c r="O239" s="3299"/>
      <c r="P239" s="3300" t="s">
        <v>279</v>
      </c>
      <c r="Q239" s="3301"/>
      <c r="R239" s="3301"/>
      <c r="S239" s="3299"/>
      <c r="T239" s="3300" t="s">
        <v>264</v>
      </c>
      <c r="U239" s="3301"/>
      <c r="V239" s="3298"/>
      <c r="W239" s="3396"/>
      <c r="X239" s="3400"/>
      <c r="Y239" s="3400"/>
      <c r="Z239" s="3399"/>
      <c r="AA239" s="3311"/>
      <c r="AB239" s="3400"/>
      <c r="AC239" s="3400"/>
      <c r="AD239" s="3400"/>
      <c r="AE239" s="3312"/>
      <c r="AF239" s="3400"/>
    </row>
    <row r="240" spans="1:32" ht="18" customHeight="1">
      <c r="A240" s="67"/>
      <c r="B240" s="3396" t="s">
        <v>280</v>
      </c>
      <c r="C240" s="3295" t="s">
        <v>123</v>
      </c>
      <c r="D240" s="3296" t="s">
        <v>448</v>
      </c>
      <c r="E240" s="3297"/>
      <c r="F240" s="3298"/>
      <c r="G240" s="3299"/>
      <c r="H240" s="3296" t="s">
        <v>448</v>
      </c>
      <c r="I240" s="3296"/>
      <c r="J240" s="3298"/>
      <c r="K240" s="3299"/>
      <c r="L240" s="3296" t="s">
        <v>448</v>
      </c>
      <c r="M240" s="3296"/>
      <c r="N240" s="3301"/>
      <c r="O240" s="3299"/>
      <c r="P240" s="3300" t="s">
        <v>449</v>
      </c>
      <c r="Q240" s="3301"/>
      <c r="R240" s="3301"/>
      <c r="S240" s="3299"/>
      <c r="T240" s="3300" t="s">
        <v>450</v>
      </c>
      <c r="U240" s="3301"/>
      <c r="V240" s="3298"/>
      <c r="W240" s="3396"/>
      <c r="X240" s="3400"/>
      <c r="Y240" s="3400"/>
      <c r="Z240" s="3399"/>
      <c r="AA240" s="3311"/>
      <c r="AB240" s="3400"/>
      <c r="AC240" s="3400"/>
      <c r="AD240" s="3400"/>
      <c r="AE240" s="3312"/>
      <c r="AF240" s="3400"/>
    </row>
    <row r="241" spans="1:32" ht="18" customHeight="1" thickBot="1">
      <c r="A241" s="67"/>
      <c r="B241" s="119"/>
      <c r="C241" s="120"/>
      <c r="D241" s="121"/>
      <c r="E241" s="122"/>
      <c r="F241" s="122"/>
      <c r="G241" s="123"/>
      <c r="H241" s="121"/>
      <c r="I241" s="122"/>
      <c r="J241" s="122"/>
      <c r="K241" s="123"/>
      <c r="L241" s="121"/>
      <c r="M241" s="122"/>
      <c r="N241" s="122"/>
      <c r="O241" s="123"/>
      <c r="P241" s="115"/>
      <c r="Q241" s="122"/>
      <c r="R241" s="122"/>
      <c r="S241" s="123"/>
      <c r="T241" s="115"/>
      <c r="U241" s="122"/>
      <c r="V241" s="122"/>
      <c r="W241" s="122"/>
      <c r="X241" s="122"/>
      <c r="Y241" s="122"/>
      <c r="Z241" s="122"/>
      <c r="AA241" s="123"/>
      <c r="AB241" s="122"/>
      <c r="AC241" s="122"/>
      <c r="AD241" s="122"/>
      <c r="AE241" s="123"/>
      <c r="AF241" s="122"/>
    </row>
    <row r="242" spans="1:32" ht="18" customHeight="1" thickBot="1">
      <c r="A242" s="89"/>
      <c r="B242" s="3315" t="s">
        <v>38</v>
      </c>
      <c r="C242" s="2985">
        <v>1</v>
      </c>
      <c r="D242" s="2985">
        <v>2</v>
      </c>
      <c r="E242" s="2985">
        <v>3</v>
      </c>
      <c r="F242" s="2985">
        <v>4</v>
      </c>
      <c r="G242" s="2985">
        <v>5</v>
      </c>
      <c r="H242" s="2986">
        <v>6</v>
      </c>
      <c r="I242" s="2986">
        <v>7</v>
      </c>
      <c r="J242" s="2985">
        <v>8</v>
      </c>
      <c r="K242" s="2985">
        <v>9</v>
      </c>
      <c r="L242" s="2985">
        <v>10</v>
      </c>
      <c r="M242" s="2985">
        <v>11</v>
      </c>
      <c r="N242" s="2985">
        <v>12</v>
      </c>
      <c r="O242" s="2986">
        <v>13</v>
      </c>
      <c r="P242" s="2986">
        <v>14</v>
      </c>
      <c r="Q242" s="2985">
        <v>15</v>
      </c>
      <c r="R242" s="2985">
        <v>16</v>
      </c>
      <c r="S242" s="2985">
        <v>17</v>
      </c>
      <c r="T242" s="2985">
        <v>18</v>
      </c>
      <c r="U242" s="2985">
        <v>19</v>
      </c>
      <c r="V242" s="2986">
        <v>20</v>
      </c>
      <c r="W242" s="2986">
        <v>21</v>
      </c>
      <c r="X242" s="2985">
        <v>22</v>
      </c>
      <c r="Y242" s="2985">
        <v>23</v>
      </c>
      <c r="Z242" s="2985">
        <v>24</v>
      </c>
      <c r="AA242" s="2985">
        <v>25</v>
      </c>
      <c r="AB242" s="2985">
        <v>26</v>
      </c>
      <c r="AC242" s="2986">
        <v>27</v>
      </c>
      <c r="AD242" s="2986">
        <v>28</v>
      </c>
      <c r="AE242" s="2985">
        <v>29</v>
      </c>
      <c r="AF242" s="2985">
        <v>30</v>
      </c>
    </row>
    <row r="243" spans="1:32" ht="18" customHeight="1">
      <c r="A243" s="67"/>
      <c r="B243" s="3703" t="s">
        <v>293</v>
      </c>
      <c r="C243" s="3549" t="s">
        <v>152</v>
      </c>
      <c r="D243" s="3549" t="s">
        <v>152</v>
      </c>
      <c r="E243" s="3549" t="s">
        <v>152</v>
      </c>
      <c r="F243" s="3549" t="s">
        <v>152</v>
      </c>
      <c r="G243" s="3549" t="s">
        <v>152</v>
      </c>
      <c r="H243" s="3549"/>
      <c r="I243" s="3549"/>
      <c r="J243" s="3641" t="s">
        <v>152</v>
      </c>
      <c r="K243" s="3641" t="s">
        <v>152</v>
      </c>
      <c r="L243" s="3641" t="s">
        <v>152</v>
      </c>
      <c r="M243" s="3641" t="s">
        <v>152</v>
      </c>
      <c r="N243" s="3641" t="s">
        <v>152</v>
      </c>
      <c r="O243" s="3641"/>
      <c r="P243" s="3641"/>
      <c r="Q243" s="3641" t="s">
        <v>152</v>
      </c>
      <c r="R243" s="3641" t="s">
        <v>152</v>
      </c>
      <c r="S243" s="3641" t="s">
        <v>152</v>
      </c>
      <c r="T243" s="3641" t="s">
        <v>152</v>
      </c>
      <c r="U243" s="3641" t="s">
        <v>152</v>
      </c>
      <c r="V243" s="3641"/>
      <c r="W243" s="3641"/>
      <c r="X243" s="3641" t="s">
        <v>152</v>
      </c>
      <c r="Y243" s="3641" t="s">
        <v>152</v>
      </c>
      <c r="Z243" s="3641" t="s">
        <v>152</v>
      </c>
      <c r="AA243" s="3641" t="s">
        <v>152</v>
      </c>
      <c r="AB243" s="3641" t="s">
        <v>152</v>
      </c>
      <c r="AC243" s="3641"/>
      <c r="AD243" s="3641"/>
      <c r="AE243" s="3521" t="s">
        <v>152</v>
      </c>
      <c r="AF243" s="3521" t="s">
        <v>152</v>
      </c>
    </row>
    <row r="244" spans="1:32" ht="18" customHeight="1">
      <c r="A244" s="67"/>
      <c r="B244" s="3703" t="s">
        <v>294</v>
      </c>
      <c r="C244" s="3554" t="s">
        <v>130</v>
      </c>
      <c r="D244" s="3554" t="s">
        <v>130</v>
      </c>
      <c r="E244" s="3554" t="s">
        <v>130</v>
      </c>
      <c r="F244" s="3554" t="s">
        <v>130</v>
      </c>
      <c r="G244" s="3554" t="s">
        <v>130</v>
      </c>
      <c r="H244" s="3554"/>
      <c r="I244" s="3547"/>
      <c r="J244" s="3547" t="s">
        <v>130</v>
      </c>
      <c r="K244" s="3547" t="s">
        <v>130</v>
      </c>
      <c r="L244" s="3547" t="s">
        <v>130</v>
      </c>
      <c r="M244" s="3547" t="s">
        <v>130</v>
      </c>
      <c r="N244" s="3547" t="s">
        <v>130</v>
      </c>
      <c r="O244" s="3547"/>
      <c r="P244" s="3547"/>
      <c r="Q244" s="3547" t="s">
        <v>130</v>
      </c>
      <c r="R244" s="3554" t="s">
        <v>130</v>
      </c>
      <c r="S244" s="3554" t="s">
        <v>130</v>
      </c>
      <c r="T244" s="3554" t="s">
        <v>130</v>
      </c>
      <c r="U244" s="3554" t="s">
        <v>130</v>
      </c>
      <c r="V244" s="3554"/>
      <c r="W244" s="3554"/>
      <c r="X244" s="3554" t="s">
        <v>130</v>
      </c>
      <c r="Y244" s="3554" t="s">
        <v>130</v>
      </c>
      <c r="Z244" s="3554" t="s">
        <v>130</v>
      </c>
      <c r="AA244" s="3554" t="s">
        <v>130</v>
      </c>
      <c r="AB244" s="3554" t="s">
        <v>130</v>
      </c>
      <c r="AC244" s="3554"/>
      <c r="AD244" s="3554"/>
      <c r="AE244" s="3554" t="s">
        <v>130</v>
      </c>
      <c r="AF244" s="3554" t="s">
        <v>130</v>
      </c>
    </row>
    <row r="245" spans="1:32" ht="18" customHeight="1">
      <c r="A245" s="67"/>
      <c r="B245" s="3316" t="s">
        <v>295</v>
      </c>
      <c r="C245" s="3521" t="s">
        <v>153</v>
      </c>
      <c r="D245" s="3521" t="s">
        <v>153</v>
      </c>
      <c r="E245" s="3521" t="s">
        <v>153</v>
      </c>
      <c r="F245" s="3521" t="s">
        <v>153</v>
      </c>
      <c r="G245" s="3521" t="s">
        <v>153</v>
      </c>
      <c r="H245" s="3521"/>
      <c r="I245" s="3521"/>
      <c r="J245" s="3549" t="s">
        <v>153</v>
      </c>
      <c r="K245" s="3549" t="s">
        <v>153</v>
      </c>
      <c r="L245" s="3549" t="s">
        <v>153</v>
      </c>
      <c r="M245" s="3549" t="s">
        <v>153</v>
      </c>
      <c r="N245" s="3704" t="s">
        <v>153</v>
      </c>
      <c r="O245" s="3549"/>
      <c r="P245" s="3549"/>
      <c r="Q245" s="3521" t="s">
        <v>153</v>
      </c>
      <c r="R245" s="3521" t="s">
        <v>153</v>
      </c>
      <c r="S245" s="3521" t="s">
        <v>153</v>
      </c>
      <c r="T245" s="3521" t="s">
        <v>153</v>
      </c>
      <c r="U245" s="3521" t="s">
        <v>153</v>
      </c>
      <c r="V245" s="3521"/>
      <c r="W245" s="3521"/>
      <c r="X245" s="3521" t="s">
        <v>153</v>
      </c>
      <c r="Y245" s="3521" t="s">
        <v>153</v>
      </c>
      <c r="Z245" s="3521" t="s">
        <v>153</v>
      </c>
      <c r="AA245" s="3521" t="s">
        <v>153</v>
      </c>
      <c r="AB245" s="3521" t="s">
        <v>153</v>
      </c>
      <c r="AC245" s="3521"/>
      <c r="AD245" s="3521"/>
      <c r="AE245" s="3521" t="s">
        <v>153</v>
      </c>
      <c r="AF245" s="3521" t="s">
        <v>153</v>
      </c>
    </row>
    <row r="246" spans="1:32" ht="18" customHeight="1">
      <c r="A246" s="67"/>
      <c r="B246" s="3406" t="s">
        <v>297</v>
      </c>
      <c r="C246" s="3641" t="s">
        <v>128</v>
      </c>
      <c r="D246" s="3641" t="s">
        <v>128</v>
      </c>
      <c r="E246" s="3641" t="s">
        <v>128</v>
      </c>
      <c r="F246" s="3641" t="s">
        <v>128</v>
      </c>
      <c r="G246" s="3641" t="s">
        <v>128</v>
      </c>
      <c r="H246" s="3641"/>
      <c r="I246" s="3641"/>
      <c r="J246" s="3521" t="s">
        <v>128</v>
      </c>
      <c r="K246" s="3521" t="s">
        <v>128</v>
      </c>
      <c r="L246" s="3521" t="s">
        <v>128</v>
      </c>
      <c r="M246" s="3521" t="s">
        <v>128</v>
      </c>
      <c r="N246" s="3705" t="s">
        <v>128</v>
      </c>
      <c r="O246" s="3521"/>
      <c r="P246" s="3521"/>
      <c r="Q246" s="3521" t="s">
        <v>128</v>
      </c>
      <c r="R246" s="3521" t="s">
        <v>128</v>
      </c>
      <c r="S246" s="3521" t="s">
        <v>128</v>
      </c>
      <c r="T246" s="3521" t="s">
        <v>128</v>
      </c>
      <c r="U246" s="3521" t="s">
        <v>128</v>
      </c>
      <c r="V246" s="3521"/>
      <c r="W246" s="3521"/>
      <c r="X246" s="3521" t="s">
        <v>128</v>
      </c>
      <c r="Y246" s="3521"/>
      <c r="Z246" s="3521"/>
      <c r="AA246" s="3521"/>
      <c r="AB246" s="3521"/>
      <c r="AC246" s="3521"/>
      <c r="AD246" s="3521"/>
      <c r="AE246" s="3521"/>
      <c r="AF246" s="3521"/>
    </row>
    <row r="247" spans="1:32" ht="18" customHeight="1">
      <c r="A247" s="67"/>
      <c r="B247" s="3318" t="s">
        <v>298</v>
      </c>
      <c r="C247" s="3521" t="s">
        <v>127</v>
      </c>
      <c r="D247" s="3521" t="s">
        <v>127</v>
      </c>
      <c r="E247" s="3521" t="s">
        <v>127</v>
      </c>
      <c r="F247" s="3521" t="s">
        <v>127</v>
      </c>
      <c r="G247" s="3521" t="s">
        <v>127</v>
      </c>
      <c r="H247" s="3521"/>
      <c r="I247" s="3521"/>
      <c r="J247" s="3547" t="s">
        <v>127</v>
      </c>
      <c r="K247" s="3547" t="s">
        <v>127</v>
      </c>
      <c r="L247" s="3547" t="s">
        <v>127</v>
      </c>
      <c r="M247" s="3547" t="s">
        <v>127</v>
      </c>
      <c r="N247" s="3547" t="s">
        <v>127</v>
      </c>
      <c r="O247" s="3547"/>
      <c r="P247" s="3547"/>
      <c r="Q247" s="3547" t="s">
        <v>127</v>
      </c>
      <c r="R247" s="3547" t="s">
        <v>127</v>
      </c>
      <c r="S247" s="3547" t="s">
        <v>127</v>
      </c>
      <c r="T247" s="3547" t="s">
        <v>127</v>
      </c>
      <c r="U247" s="3547" t="s">
        <v>127</v>
      </c>
      <c r="V247" s="3547"/>
      <c r="W247" s="3547"/>
      <c r="X247" s="3547" t="s">
        <v>127</v>
      </c>
      <c r="Y247" s="3547" t="s">
        <v>127</v>
      </c>
      <c r="Z247" s="3547" t="s">
        <v>127</v>
      </c>
      <c r="AA247" s="3547" t="s">
        <v>127</v>
      </c>
      <c r="AB247" s="3547" t="s">
        <v>127</v>
      </c>
      <c r="AC247" s="3547"/>
      <c r="AD247" s="3547"/>
      <c r="AE247" s="3706" t="s">
        <v>127</v>
      </c>
      <c r="AF247" s="3706" t="s">
        <v>127</v>
      </c>
    </row>
    <row r="248" spans="1:32" ht="18" customHeight="1">
      <c r="A248" s="67"/>
      <c r="B248" s="3517"/>
      <c r="C248" s="3521" t="s">
        <v>403</v>
      </c>
      <c r="D248" s="3521" t="s">
        <v>403</v>
      </c>
      <c r="E248" s="3521" t="s">
        <v>403</v>
      </c>
      <c r="F248" s="3521" t="s">
        <v>403</v>
      </c>
      <c r="G248" s="3521" t="s">
        <v>403</v>
      </c>
      <c r="H248" s="3521"/>
      <c r="I248" s="3521"/>
      <c r="J248" s="3521" t="s">
        <v>403</v>
      </c>
      <c r="K248" s="3521" t="s">
        <v>403</v>
      </c>
      <c r="L248" s="3521" t="s">
        <v>403</v>
      </c>
      <c r="M248" s="3521" t="s">
        <v>403</v>
      </c>
      <c r="N248" s="3521" t="s">
        <v>403</v>
      </c>
      <c r="O248" s="3521"/>
      <c r="P248" s="3521"/>
      <c r="Q248" s="3521" t="s">
        <v>403</v>
      </c>
      <c r="R248" s="3521" t="s">
        <v>403</v>
      </c>
      <c r="S248" s="3521" t="s">
        <v>403</v>
      </c>
      <c r="T248" s="3521" t="s">
        <v>403</v>
      </c>
      <c r="U248" s="3521" t="s">
        <v>403</v>
      </c>
      <c r="V248" s="3521"/>
      <c r="W248" s="3521"/>
      <c r="X248" s="3521" t="s">
        <v>403</v>
      </c>
      <c r="Y248" s="3521" t="s">
        <v>403</v>
      </c>
      <c r="Z248" s="3521" t="s">
        <v>403</v>
      </c>
      <c r="AA248" s="3521" t="s">
        <v>403</v>
      </c>
      <c r="AB248" s="3521" t="s">
        <v>403</v>
      </c>
      <c r="AC248" s="3521"/>
      <c r="AD248" s="3521"/>
      <c r="AE248" s="3521" t="s">
        <v>403</v>
      </c>
      <c r="AF248" s="3521" t="s">
        <v>403</v>
      </c>
    </row>
    <row r="249" spans="1:32" ht="18" customHeight="1">
      <c r="A249" s="67"/>
      <c r="B249" s="3707" t="s">
        <v>299</v>
      </c>
      <c r="C249" s="3521" t="s">
        <v>123</v>
      </c>
      <c r="D249" s="3521" t="s">
        <v>123</v>
      </c>
      <c r="E249" s="3521" t="s">
        <v>123</v>
      </c>
      <c r="F249" s="3521" t="s">
        <v>123</v>
      </c>
      <c r="G249" s="3521" t="s">
        <v>123</v>
      </c>
      <c r="H249" s="3521"/>
      <c r="I249" s="3521"/>
      <c r="J249" s="3521" t="s">
        <v>123</v>
      </c>
      <c r="K249" s="3521" t="s">
        <v>123</v>
      </c>
      <c r="L249" s="3521" t="s">
        <v>123</v>
      </c>
      <c r="M249" s="3521" t="s">
        <v>123</v>
      </c>
      <c r="N249" s="3521" t="s">
        <v>123</v>
      </c>
      <c r="O249" s="3521"/>
      <c r="P249" s="3521"/>
      <c r="Q249" s="3521" t="s">
        <v>123</v>
      </c>
      <c r="R249" s="3521" t="s">
        <v>123</v>
      </c>
      <c r="S249" s="3521" t="s">
        <v>123</v>
      </c>
      <c r="T249" s="3521" t="s">
        <v>123</v>
      </c>
      <c r="U249" s="3521" t="s">
        <v>123</v>
      </c>
      <c r="V249" s="3521"/>
      <c r="W249" s="3521"/>
      <c r="X249" s="3521" t="s">
        <v>123</v>
      </c>
      <c r="Y249" s="3521" t="s">
        <v>123</v>
      </c>
      <c r="Z249" s="3521" t="s">
        <v>123</v>
      </c>
      <c r="AA249" s="3521" t="s">
        <v>123</v>
      </c>
      <c r="AB249" s="3521" t="s">
        <v>123</v>
      </c>
      <c r="AC249" s="3521"/>
      <c r="AD249" s="3521"/>
      <c r="AE249" s="3521" t="s">
        <v>123</v>
      </c>
      <c r="AF249" s="3521" t="s">
        <v>123</v>
      </c>
    </row>
    <row r="250" spans="1:32" ht="18" customHeight="1">
      <c r="A250" s="67"/>
      <c r="B250" s="3707" t="s">
        <v>300</v>
      </c>
      <c r="C250" s="3641" t="s">
        <v>116</v>
      </c>
      <c r="D250" s="3641" t="s">
        <v>116</v>
      </c>
      <c r="E250" s="3641" t="s">
        <v>116</v>
      </c>
      <c r="F250" s="3641" t="s">
        <v>116</v>
      </c>
      <c r="G250" s="3641" t="s">
        <v>116</v>
      </c>
      <c r="H250" s="3549"/>
      <c r="I250" s="3549"/>
      <c r="J250" s="3521" t="s">
        <v>116</v>
      </c>
      <c r="K250" s="3521" t="s">
        <v>116</v>
      </c>
      <c r="L250" s="3521" t="s">
        <v>116</v>
      </c>
      <c r="M250" s="3521" t="s">
        <v>116</v>
      </c>
      <c r="N250" s="3521" t="s">
        <v>116</v>
      </c>
      <c r="O250" s="3521"/>
      <c r="P250" s="3521"/>
      <c r="Q250" s="3521" t="s">
        <v>116</v>
      </c>
      <c r="R250" s="3521" t="s">
        <v>116</v>
      </c>
      <c r="S250" s="3521" t="s">
        <v>116</v>
      </c>
      <c r="T250" s="3521" t="s">
        <v>116</v>
      </c>
      <c r="U250" s="3521" t="s">
        <v>116</v>
      </c>
      <c r="V250" s="3521"/>
      <c r="W250" s="3521"/>
      <c r="X250" s="3521" t="s">
        <v>116</v>
      </c>
      <c r="Y250" s="3521" t="s">
        <v>116</v>
      </c>
      <c r="Z250" s="3521" t="s">
        <v>116</v>
      </c>
      <c r="AA250" s="3521" t="s">
        <v>116</v>
      </c>
      <c r="AB250" s="3521" t="s">
        <v>116</v>
      </c>
      <c r="AC250" s="3521"/>
      <c r="AD250" s="3521"/>
      <c r="AE250" s="3521" t="s">
        <v>116</v>
      </c>
      <c r="AF250" s="3521" t="s">
        <v>116</v>
      </c>
    </row>
    <row r="253" spans="1:32" ht="18" customHeight="1" thickBot="1">
      <c r="A253" s="1" t="s">
        <v>302</v>
      </c>
      <c r="B253" s="37"/>
    </row>
    <row r="254" spans="1:32" ht="18" customHeight="1">
      <c r="A254" s="1"/>
      <c r="B254" s="3708" t="s">
        <v>303</v>
      </c>
      <c r="C254" s="2882" t="s">
        <v>19</v>
      </c>
      <c r="D254" s="2883"/>
      <c r="E254" s="2883"/>
      <c r="F254" s="2883"/>
      <c r="G254" s="2882" t="s">
        <v>20</v>
      </c>
      <c r="H254" s="2883"/>
      <c r="I254" s="2883"/>
      <c r="J254" s="2883"/>
      <c r="K254" s="2882" t="s">
        <v>21</v>
      </c>
      <c r="L254" s="2883"/>
      <c r="M254" s="2883"/>
      <c r="N254" s="2883"/>
      <c r="O254" s="2882" t="s">
        <v>22</v>
      </c>
      <c r="P254" s="2883"/>
      <c r="Q254" s="2883"/>
      <c r="R254" s="2883"/>
      <c r="S254" s="2882" t="s">
        <v>23</v>
      </c>
      <c r="T254" s="2883"/>
      <c r="U254" s="2883"/>
      <c r="V254" s="2883"/>
      <c r="W254" s="2882" t="s">
        <v>24</v>
      </c>
      <c r="X254" s="3064"/>
      <c r="Y254" s="2883"/>
      <c r="Z254" s="2884"/>
      <c r="AA254" s="2882" t="s">
        <v>25</v>
      </c>
      <c r="AB254" s="3064"/>
      <c r="AC254" s="2883"/>
      <c r="AD254" s="2884"/>
      <c r="AE254" s="2885" t="s">
        <v>108</v>
      </c>
      <c r="AF254" s="2883"/>
    </row>
    <row r="255" spans="1:32" ht="18" customHeight="1">
      <c r="A255" s="1"/>
      <c r="B255" s="3319">
        <v>3701</v>
      </c>
      <c r="C255" s="68" t="s">
        <v>304</v>
      </c>
      <c r="D255" s="68"/>
      <c r="E255" s="68"/>
      <c r="F255" s="68"/>
      <c r="G255" s="279" t="s">
        <v>305</v>
      </c>
      <c r="H255" s="68"/>
      <c r="I255" s="68"/>
      <c r="J255" s="68"/>
      <c r="K255" s="279" t="s">
        <v>305</v>
      </c>
      <c r="L255" s="68"/>
      <c r="M255" s="68"/>
      <c r="N255" s="68"/>
      <c r="O255" s="279" t="s">
        <v>305</v>
      </c>
      <c r="P255" s="68"/>
      <c r="Q255" s="68"/>
      <c r="R255" s="68"/>
      <c r="S255" s="279" t="s">
        <v>306</v>
      </c>
      <c r="T255" s="68"/>
      <c r="U255" s="68"/>
      <c r="V255" s="68"/>
      <c r="W255" s="3577"/>
      <c r="X255" s="3709"/>
      <c r="Y255" s="3480"/>
      <c r="Z255" s="3321"/>
      <c r="AA255" s="3577"/>
      <c r="AB255" s="3709"/>
      <c r="AC255" s="3480"/>
      <c r="AD255" s="3321"/>
      <c r="AE255" s="3658"/>
      <c r="AF255" s="3480"/>
    </row>
    <row r="256" spans="1:32" ht="18" customHeight="1">
      <c r="B256" s="3708">
        <v>3700</v>
      </c>
      <c r="C256" s="3480" t="s">
        <v>204</v>
      </c>
      <c r="D256" s="3480"/>
      <c r="E256" s="3480"/>
      <c r="F256" s="3480"/>
      <c r="G256" s="3322" t="s">
        <v>204</v>
      </c>
      <c r="H256" s="3480"/>
      <c r="I256" s="3480"/>
      <c r="J256" s="3480"/>
      <c r="K256" s="3322" t="s">
        <v>204</v>
      </c>
      <c r="L256" s="3480"/>
      <c r="M256" s="3480"/>
      <c r="N256" s="3480"/>
      <c r="O256" s="3322" t="s">
        <v>204</v>
      </c>
      <c r="P256" s="3480"/>
      <c r="Q256" s="3480"/>
      <c r="R256" s="3480"/>
      <c r="S256" s="3322" t="s">
        <v>205</v>
      </c>
      <c r="T256" s="3480"/>
      <c r="U256" s="3480"/>
      <c r="V256" s="3480"/>
      <c r="W256" s="3577"/>
      <c r="X256" s="3480"/>
      <c r="Y256" s="3480"/>
      <c r="Z256" s="3659"/>
      <c r="AA256" s="3658"/>
      <c r="AB256" s="3480"/>
      <c r="AC256" s="3480"/>
      <c r="AD256" s="3620"/>
      <c r="AE256" s="3323"/>
      <c r="AF256" s="3480"/>
    </row>
    <row r="257" spans="1:32" ht="18" customHeight="1">
      <c r="A257" s="1"/>
      <c r="B257" s="3708">
        <v>8514</v>
      </c>
      <c r="C257" s="3480" t="s">
        <v>305</v>
      </c>
      <c r="D257" s="3480"/>
      <c r="E257" s="3480"/>
      <c r="F257" s="3480"/>
      <c r="G257" s="3322" t="s">
        <v>305</v>
      </c>
      <c r="H257" s="3480"/>
      <c r="I257" s="3480"/>
      <c r="J257" s="3480"/>
      <c r="K257" s="3322" t="s">
        <v>305</v>
      </c>
      <c r="L257" s="3480"/>
      <c r="M257" s="3480"/>
      <c r="N257" s="3480"/>
      <c r="O257" s="3322" t="s">
        <v>305</v>
      </c>
      <c r="P257" s="3480"/>
      <c r="Q257" s="3480"/>
      <c r="R257" s="3480"/>
      <c r="S257" s="3322" t="s">
        <v>307</v>
      </c>
      <c r="T257" s="3480"/>
      <c r="U257" s="3480"/>
      <c r="V257" s="3480"/>
      <c r="W257" s="3577"/>
      <c r="X257" s="3480"/>
      <c r="Y257" s="3480"/>
      <c r="Z257" s="3659"/>
      <c r="AA257" s="3621"/>
      <c r="AB257" s="3480"/>
      <c r="AC257" s="3480"/>
      <c r="AD257" s="3620"/>
      <c r="AE257" s="3621"/>
      <c r="AF257" s="3480"/>
    </row>
    <row r="258" spans="1:32" ht="18" customHeight="1">
      <c r="A258" s="1"/>
      <c r="B258" s="3708">
        <v>8500</v>
      </c>
      <c r="C258" s="531" t="s">
        <v>308</v>
      </c>
      <c r="D258" s="531"/>
      <c r="E258" s="531"/>
      <c r="F258" s="531"/>
      <c r="G258" s="534" t="s">
        <v>308</v>
      </c>
      <c r="H258" s="531"/>
      <c r="I258" s="531"/>
      <c r="J258" s="531"/>
      <c r="K258" s="534" t="s">
        <v>308</v>
      </c>
      <c r="L258" s="531"/>
      <c r="M258" s="531"/>
      <c r="N258" s="531"/>
      <c r="O258" s="534" t="s">
        <v>308</v>
      </c>
      <c r="P258" s="531"/>
      <c r="Q258" s="531"/>
      <c r="R258" s="531"/>
      <c r="S258" s="534" t="s">
        <v>309</v>
      </c>
      <c r="T258" s="531"/>
      <c r="U258" s="531"/>
      <c r="V258" s="531"/>
      <c r="W258" s="3577"/>
      <c r="X258" s="531"/>
      <c r="Y258" s="531"/>
      <c r="Z258" s="535"/>
      <c r="AA258" s="536"/>
      <c r="AB258" s="531"/>
      <c r="AC258" s="531"/>
      <c r="AD258" s="535"/>
      <c r="AE258" s="536"/>
      <c r="AF258" s="531"/>
    </row>
    <row r="259" spans="1:32" ht="18" customHeight="1">
      <c r="A259" s="1"/>
      <c r="B259" s="3708">
        <v>8514</v>
      </c>
      <c r="C259" s="537" t="s">
        <v>305</v>
      </c>
      <c r="D259" s="537"/>
      <c r="E259" s="537"/>
      <c r="F259" s="537"/>
      <c r="G259" s="538" t="s">
        <v>305</v>
      </c>
      <c r="H259" s="537"/>
      <c r="I259" s="537"/>
      <c r="J259" s="537"/>
      <c r="K259" s="538" t="s">
        <v>305</v>
      </c>
      <c r="L259" s="537"/>
      <c r="M259" s="537"/>
      <c r="N259" s="537"/>
      <c r="O259" s="538" t="s">
        <v>305</v>
      </c>
      <c r="P259" s="537"/>
      <c r="Q259" s="537"/>
      <c r="R259" s="537"/>
      <c r="S259" s="538" t="s">
        <v>307</v>
      </c>
      <c r="T259" s="537"/>
      <c r="U259" s="537"/>
      <c r="V259" s="537"/>
      <c r="W259" s="3324"/>
      <c r="X259" s="539"/>
      <c r="Y259" s="531"/>
      <c r="Z259" s="540"/>
      <c r="AA259" s="541"/>
      <c r="AB259" s="539"/>
      <c r="AC259" s="531"/>
      <c r="AD259" s="531"/>
      <c r="AE259" s="542"/>
      <c r="AF259" s="531"/>
    </row>
    <row r="260" spans="1:32" ht="18" customHeight="1" thickBot="1">
      <c r="A260" s="1"/>
      <c r="B260" s="3325" t="s">
        <v>310</v>
      </c>
      <c r="C260" s="3486" t="s">
        <v>10</v>
      </c>
      <c r="D260" s="3486"/>
      <c r="E260" s="3486"/>
      <c r="F260" s="3486"/>
      <c r="G260" s="3710" t="s">
        <v>10</v>
      </c>
      <c r="H260" s="3486"/>
      <c r="I260" s="3486"/>
      <c r="J260" s="3486"/>
      <c r="K260" s="3711" t="s">
        <v>10</v>
      </c>
      <c r="L260" s="3486"/>
      <c r="M260" s="3486"/>
      <c r="N260" s="3486"/>
      <c r="O260" s="3710" t="s">
        <v>10</v>
      </c>
      <c r="P260" s="3486"/>
      <c r="Q260" s="3486"/>
      <c r="R260" s="3486"/>
      <c r="S260" s="3710" t="s">
        <v>10</v>
      </c>
      <c r="T260" s="3486"/>
      <c r="U260" s="3486"/>
      <c r="V260" s="3486"/>
      <c r="W260" s="3711"/>
      <c r="X260" s="3486"/>
      <c r="Y260" s="3486"/>
      <c r="Z260" s="3680"/>
      <c r="AA260" s="3664"/>
      <c r="AB260" s="3486"/>
      <c r="AC260" s="3486"/>
      <c r="AD260" s="3681"/>
      <c r="AE260" s="3712"/>
      <c r="AF260" s="3486"/>
    </row>
    <row r="261" spans="1:32" ht="18" customHeight="1">
      <c r="A261" s="1"/>
      <c r="B261" s="5"/>
      <c r="C261" s="42"/>
      <c r="D261" s="68"/>
      <c r="E261" s="68"/>
      <c r="F261" s="46"/>
      <c r="G261" s="42"/>
      <c r="H261" s="68"/>
      <c r="I261" s="68"/>
      <c r="J261" s="46"/>
      <c r="K261" s="42"/>
      <c r="L261" s="68"/>
      <c r="M261" s="68"/>
      <c r="N261" s="46"/>
      <c r="O261" s="42"/>
      <c r="P261" s="68"/>
      <c r="Q261" s="68"/>
      <c r="R261" s="46"/>
      <c r="S261" s="42"/>
      <c r="T261" s="68"/>
      <c r="U261" s="68"/>
      <c r="V261" s="46"/>
      <c r="W261" s="46"/>
      <c r="Z261" s="46"/>
      <c r="AA261" s="46"/>
      <c r="AD261" s="46"/>
      <c r="AE261" s="46"/>
    </row>
    <row r="262" spans="1:32" ht="18" customHeight="1" thickBot="1">
      <c r="A262" s="1" t="s">
        <v>311</v>
      </c>
      <c r="B262" s="5"/>
      <c r="C262" s="42"/>
      <c r="D262" s="68"/>
      <c r="E262" s="68"/>
      <c r="F262" s="46"/>
      <c r="G262" s="42"/>
      <c r="H262" s="68"/>
      <c r="I262" s="68"/>
      <c r="J262" s="46"/>
      <c r="K262" s="42"/>
      <c r="L262" s="68"/>
      <c r="M262" s="68"/>
      <c r="N262" s="46"/>
      <c r="O262" s="42"/>
      <c r="P262" s="68"/>
      <c r="Q262" s="68"/>
      <c r="R262" s="46"/>
      <c r="S262" s="42"/>
      <c r="T262" s="68"/>
      <c r="U262" s="68"/>
      <c r="V262" s="46"/>
      <c r="W262" s="46"/>
      <c r="Z262" s="46"/>
      <c r="AA262" s="46"/>
      <c r="AD262" s="46"/>
      <c r="AE262" s="46"/>
    </row>
    <row r="263" spans="1:32" ht="18" customHeight="1" thickBot="1">
      <c r="A263" s="3236"/>
      <c r="B263" s="3490" t="s">
        <v>38</v>
      </c>
      <c r="C263" s="2985">
        <v>1</v>
      </c>
      <c r="D263" s="2985">
        <v>2</v>
      </c>
      <c r="E263" s="2985">
        <v>3</v>
      </c>
      <c r="F263" s="2985">
        <v>4</v>
      </c>
      <c r="G263" s="2985">
        <v>5</v>
      </c>
      <c r="H263" s="2986">
        <v>6</v>
      </c>
      <c r="I263" s="2986">
        <v>7</v>
      </c>
      <c r="J263" s="2985">
        <v>8</v>
      </c>
      <c r="K263" s="2985">
        <v>9</v>
      </c>
      <c r="L263" s="2985">
        <v>10</v>
      </c>
      <c r="M263" s="2985">
        <v>11</v>
      </c>
      <c r="N263" s="2985">
        <v>12</v>
      </c>
      <c r="O263" s="2986">
        <v>13</v>
      </c>
      <c r="P263" s="2986">
        <v>14</v>
      </c>
      <c r="Q263" s="2985">
        <v>15</v>
      </c>
      <c r="R263" s="2985">
        <v>16</v>
      </c>
      <c r="S263" s="2985">
        <v>17</v>
      </c>
      <c r="T263" s="2985">
        <v>18</v>
      </c>
      <c r="U263" s="2985">
        <v>19</v>
      </c>
      <c r="V263" s="2986">
        <v>20</v>
      </c>
      <c r="W263" s="2986">
        <v>21</v>
      </c>
      <c r="X263" s="2985">
        <v>22</v>
      </c>
      <c r="Y263" s="2985">
        <v>23</v>
      </c>
      <c r="Z263" s="2985">
        <v>24</v>
      </c>
      <c r="AA263" s="2985">
        <v>25</v>
      </c>
      <c r="AB263" s="2985">
        <v>26</v>
      </c>
      <c r="AC263" s="2986">
        <v>27</v>
      </c>
      <c r="AD263" s="2986">
        <v>28</v>
      </c>
      <c r="AE263" s="2985">
        <v>29</v>
      </c>
      <c r="AF263" s="2985">
        <v>30</v>
      </c>
    </row>
    <row r="264" spans="1:32" ht="18" customHeight="1">
      <c r="A264" s="2896"/>
      <c r="B264" s="2897"/>
      <c r="C264" s="3503" t="s">
        <v>40</v>
      </c>
      <c r="D264" s="3432" t="s">
        <v>40</v>
      </c>
      <c r="E264" s="3432" t="s">
        <v>40</v>
      </c>
      <c r="F264" s="3418" t="s">
        <v>40</v>
      </c>
      <c r="G264" s="3418" t="s">
        <v>40</v>
      </c>
      <c r="H264" s="3503"/>
      <c r="I264" s="3503"/>
      <c r="J264" s="3503" t="s">
        <v>40</v>
      </c>
      <c r="K264" s="3503" t="s">
        <v>40</v>
      </c>
      <c r="L264" s="3503" t="s">
        <v>40</v>
      </c>
      <c r="M264" s="3503" t="s">
        <v>40</v>
      </c>
      <c r="N264" s="3503" t="s">
        <v>40</v>
      </c>
      <c r="O264" s="3503"/>
      <c r="P264" s="3418"/>
      <c r="Q264" s="3418" t="s">
        <v>40</v>
      </c>
      <c r="R264" s="3503" t="s">
        <v>40</v>
      </c>
      <c r="S264" s="3503" t="s">
        <v>40</v>
      </c>
      <c r="T264" s="3503" t="s">
        <v>40</v>
      </c>
      <c r="U264" s="3503" t="s">
        <v>40</v>
      </c>
      <c r="V264" s="3503"/>
      <c r="W264" s="3503"/>
      <c r="X264" s="3503" t="s">
        <v>40</v>
      </c>
      <c r="Y264" s="3432" t="s">
        <v>40</v>
      </c>
      <c r="Z264" s="3432" t="s">
        <v>40</v>
      </c>
      <c r="AA264" s="3418" t="s">
        <v>40</v>
      </c>
      <c r="AB264" s="3418" t="s">
        <v>40</v>
      </c>
      <c r="AC264" s="3503"/>
      <c r="AD264" s="3503"/>
      <c r="AE264" s="3503" t="s">
        <v>40</v>
      </c>
      <c r="AF264" s="3503" t="s">
        <v>40</v>
      </c>
    </row>
    <row r="265" spans="1:32" ht="18" customHeight="1">
      <c r="A265" s="3713"/>
      <c r="B265" s="3329" t="s">
        <v>312</v>
      </c>
      <c r="C265" s="3554"/>
      <c r="D265" s="3554"/>
      <c r="E265" s="3554"/>
      <c r="F265" s="3554"/>
      <c r="G265" s="3525"/>
      <c r="H265" s="3525"/>
      <c r="I265" s="3525"/>
      <c r="J265" s="3554"/>
      <c r="K265" s="3554"/>
      <c r="L265" s="3554"/>
      <c r="M265" s="3554"/>
      <c r="N265" s="3525"/>
      <c r="O265" s="3525"/>
      <c r="P265" s="3525"/>
      <c r="Q265" s="3554"/>
      <c r="R265" s="3554"/>
      <c r="S265" s="3554"/>
      <c r="T265" s="3554"/>
      <c r="U265" s="3525"/>
      <c r="V265" s="3525"/>
      <c r="W265" s="3525"/>
      <c r="X265" s="3554"/>
      <c r="Y265" s="3554"/>
      <c r="Z265" s="3554"/>
      <c r="AA265" s="3554"/>
      <c r="AB265" s="3525"/>
      <c r="AC265" s="3525"/>
      <c r="AD265" s="3525"/>
      <c r="AE265" s="3554"/>
      <c r="AF265" s="3554"/>
    </row>
    <row r="266" spans="1:32" ht="18" customHeight="1">
      <c r="A266" s="3330">
        <v>8514</v>
      </c>
      <c r="B266" s="3714" t="s">
        <v>313</v>
      </c>
      <c r="C266" s="3503" t="s">
        <v>40</v>
      </c>
      <c r="D266" s="3432" t="s">
        <v>40</v>
      </c>
      <c r="E266" s="3432" t="s">
        <v>40</v>
      </c>
      <c r="F266" s="3418" t="s">
        <v>40</v>
      </c>
      <c r="G266" s="3418" t="s">
        <v>40</v>
      </c>
      <c r="H266" s="3503"/>
      <c r="I266" s="3503"/>
      <c r="J266" s="3503" t="s">
        <v>40</v>
      </c>
      <c r="K266" s="3503" t="s">
        <v>40</v>
      </c>
      <c r="L266" s="3503" t="s">
        <v>40</v>
      </c>
      <c r="M266" s="3503" t="s">
        <v>40</v>
      </c>
      <c r="N266" s="3503" t="s">
        <v>40</v>
      </c>
      <c r="O266" s="3503"/>
      <c r="P266" s="3418"/>
      <c r="Q266" s="3418" t="s">
        <v>40</v>
      </c>
      <c r="R266" s="3503" t="s">
        <v>40</v>
      </c>
      <c r="S266" s="3503" t="s">
        <v>40</v>
      </c>
      <c r="T266" s="3503" t="s">
        <v>40</v>
      </c>
      <c r="U266" s="3503" t="s">
        <v>40</v>
      </c>
      <c r="V266" s="3503"/>
      <c r="W266" s="3503"/>
      <c r="X266" s="3503" t="s">
        <v>40</v>
      </c>
      <c r="Y266" s="3432" t="s">
        <v>40</v>
      </c>
      <c r="Z266" s="3432" t="s">
        <v>40</v>
      </c>
      <c r="AA266" s="3418" t="s">
        <v>40</v>
      </c>
      <c r="AB266" s="3418" t="s">
        <v>40</v>
      </c>
      <c r="AC266" s="3503"/>
      <c r="AD266" s="3503"/>
      <c r="AE266" s="3503" t="s">
        <v>40</v>
      </c>
      <c r="AF266" s="3503" t="s">
        <v>40</v>
      </c>
    </row>
    <row r="267" spans="1:32" ht="18" customHeight="1">
      <c r="A267" s="3330">
        <v>3701</v>
      </c>
      <c r="B267" s="3331" t="s">
        <v>314</v>
      </c>
      <c r="C267" s="3332"/>
      <c r="D267" s="3332"/>
      <c r="E267" s="3332"/>
      <c r="F267" s="3332"/>
      <c r="G267" s="3333"/>
      <c r="H267" s="3333"/>
      <c r="I267" s="3333"/>
      <c r="J267" s="3332"/>
      <c r="K267" s="3332"/>
      <c r="L267" s="3332"/>
      <c r="M267" s="3332"/>
      <c r="N267" s="3333"/>
      <c r="O267" s="3333"/>
      <c r="P267" s="3333"/>
      <c r="Q267" s="3332"/>
      <c r="R267" s="3332"/>
      <c r="S267" s="3332"/>
      <c r="T267" s="3332"/>
      <c r="U267" s="3333"/>
      <c r="V267" s="3333"/>
      <c r="W267" s="3333"/>
      <c r="X267" s="3332"/>
      <c r="Y267" s="3332"/>
      <c r="Z267" s="3332"/>
      <c r="AA267" s="3332"/>
      <c r="AB267" s="3333"/>
      <c r="AC267" s="3333"/>
      <c r="AD267" s="3333"/>
      <c r="AE267" s="3332"/>
      <c r="AF267" s="3332"/>
    </row>
    <row r="268" spans="1:32" ht="18" customHeight="1">
      <c r="A268" s="3330">
        <v>3701</v>
      </c>
      <c r="B268" s="3316" t="s">
        <v>315</v>
      </c>
      <c r="C268" s="3503" t="s">
        <v>40</v>
      </c>
      <c r="D268" s="3432" t="s">
        <v>40</v>
      </c>
      <c r="E268" s="3432" t="s">
        <v>40</v>
      </c>
      <c r="F268" s="3494" t="s">
        <v>40</v>
      </c>
      <c r="G268" s="3494" t="s">
        <v>40</v>
      </c>
      <c r="H268" s="3503"/>
      <c r="I268" s="3503"/>
      <c r="J268" s="3503" t="s">
        <v>40</v>
      </c>
      <c r="K268" s="3503" t="s">
        <v>40</v>
      </c>
      <c r="L268" s="3503" t="s">
        <v>40</v>
      </c>
      <c r="M268" s="3503" t="s">
        <v>40</v>
      </c>
      <c r="N268" s="3503" t="s">
        <v>40</v>
      </c>
      <c r="O268" s="3503"/>
      <c r="P268" s="3418"/>
      <c r="Q268" s="3418" t="s">
        <v>40</v>
      </c>
      <c r="R268" s="3503" t="s">
        <v>40</v>
      </c>
      <c r="S268" s="3503" t="s">
        <v>40</v>
      </c>
      <c r="T268" s="3494" t="s">
        <v>40</v>
      </c>
      <c r="U268" s="3503" t="s">
        <v>40</v>
      </c>
      <c r="V268" s="3503"/>
      <c r="W268" s="3503"/>
      <c r="X268" s="3503" t="s">
        <v>40</v>
      </c>
      <c r="Y268" s="3432" t="s">
        <v>40</v>
      </c>
      <c r="Z268" s="3432" t="s">
        <v>40</v>
      </c>
      <c r="AA268" s="3418" t="s">
        <v>40</v>
      </c>
      <c r="AB268" s="3418" t="s">
        <v>40</v>
      </c>
      <c r="AC268" s="3503"/>
      <c r="AD268" s="3503"/>
      <c r="AE268" s="3503" t="s">
        <v>40</v>
      </c>
      <c r="AF268" s="3503" t="s">
        <v>40</v>
      </c>
    </row>
    <row r="269" spans="1:32" ht="18" customHeight="1">
      <c r="A269" s="3330">
        <v>3701</v>
      </c>
      <c r="B269" s="3316" t="s">
        <v>316</v>
      </c>
      <c r="C269" s="3503" t="s">
        <v>40</v>
      </c>
      <c r="D269" s="3432" t="s">
        <v>40</v>
      </c>
      <c r="E269" s="3432" t="s">
        <v>40</v>
      </c>
      <c r="F269" s="3439" t="s">
        <v>40</v>
      </c>
      <c r="G269" s="3439" t="s">
        <v>40</v>
      </c>
      <c r="H269" s="3503"/>
      <c r="I269" s="3503"/>
      <c r="J269" s="3503" t="s">
        <v>40</v>
      </c>
      <c r="K269" s="3503" t="s">
        <v>40</v>
      </c>
      <c r="L269" s="3503" t="s">
        <v>40</v>
      </c>
      <c r="M269" s="3503" t="s">
        <v>40</v>
      </c>
      <c r="N269" s="3503" t="s">
        <v>40</v>
      </c>
      <c r="O269" s="3503"/>
      <c r="P269" s="3418"/>
      <c r="Q269" s="3418" t="s">
        <v>40</v>
      </c>
      <c r="R269" s="3503" t="s">
        <v>40</v>
      </c>
      <c r="S269" s="3503" t="s">
        <v>40</v>
      </c>
      <c r="T269" s="3503" t="s">
        <v>40</v>
      </c>
      <c r="U269" s="3503" t="s">
        <v>40</v>
      </c>
      <c r="V269" s="3503"/>
      <c r="W269" s="3503"/>
      <c r="X269" s="3503" t="s">
        <v>40</v>
      </c>
      <c r="Y269" s="3432" t="s">
        <v>40</v>
      </c>
      <c r="Z269" s="3432" t="s">
        <v>40</v>
      </c>
      <c r="AA269" s="3418" t="s">
        <v>40</v>
      </c>
      <c r="AB269" s="3418" t="s">
        <v>40</v>
      </c>
      <c r="AC269" s="3503"/>
      <c r="AD269" s="3503"/>
      <c r="AE269" s="3503" t="s">
        <v>40</v>
      </c>
      <c r="AF269" s="3503" t="s">
        <v>40</v>
      </c>
    </row>
    <row r="270" spans="1:32" ht="18" customHeight="1">
      <c r="A270" s="3330">
        <v>3701</v>
      </c>
      <c r="B270" s="3316" t="s">
        <v>317</v>
      </c>
      <c r="C270" s="3503" t="s">
        <v>40</v>
      </c>
      <c r="D270" s="3432" t="s">
        <v>40</v>
      </c>
      <c r="E270" s="3432" t="s">
        <v>40</v>
      </c>
      <c r="F270" s="3418" t="s">
        <v>40</v>
      </c>
      <c r="G270" s="3418" t="s">
        <v>40</v>
      </c>
      <c r="H270" s="3503"/>
      <c r="I270" s="3503"/>
      <c r="J270" s="3503" t="s">
        <v>40</v>
      </c>
      <c r="K270" s="3503" t="s">
        <v>40</v>
      </c>
      <c r="L270" s="3503" t="s">
        <v>40</v>
      </c>
      <c r="M270" s="3503" t="s">
        <v>40</v>
      </c>
      <c r="N270" s="3503" t="s">
        <v>40</v>
      </c>
      <c r="O270" s="3503"/>
      <c r="P270" s="3418"/>
      <c r="Q270" s="3418" t="s">
        <v>40</v>
      </c>
      <c r="R270" s="3503" t="s">
        <v>40</v>
      </c>
      <c r="S270" s="3503" t="s">
        <v>40</v>
      </c>
      <c r="T270" s="3503" t="s">
        <v>40</v>
      </c>
      <c r="U270" s="3503" t="s">
        <v>40</v>
      </c>
      <c r="V270" s="3503"/>
      <c r="W270" s="3503"/>
      <c r="X270" s="3503" t="s">
        <v>40</v>
      </c>
      <c r="Y270" s="3432" t="s">
        <v>40</v>
      </c>
      <c r="Z270" s="3432" t="s">
        <v>40</v>
      </c>
      <c r="AA270" s="3418" t="s">
        <v>40</v>
      </c>
      <c r="AB270" s="3418" t="s">
        <v>40</v>
      </c>
      <c r="AC270" s="3503"/>
      <c r="AD270" s="3503"/>
      <c r="AE270" s="3503" t="s">
        <v>40</v>
      </c>
      <c r="AF270" s="3503" t="s">
        <v>40</v>
      </c>
    </row>
    <row r="271" spans="1:32" ht="18" customHeight="1">
      <c r="A271" s="3330">
        <v>3701</v>
      </c>
      <c r="B271" s="3331" t="s">
        <v>318</v>
      </c>
      <c r="C271" s="3332"/>
      <c r="D271" s="3332"/>
      <c r="E271" s="3332"/>
      <c r="F271" s="3332"/>
      <c r="G271" s="3333"/>
      <c r="H271" s="3333"/>
      <c r="I271" s="3333"/>
      <c r="J271" s="3332"/>
      <c r="K271" s="3332"/>
      <c r="L271" s="3332"/>
      <c r="M271" s="3332"/>
      <c r="N271" s="3333"/>
      <c r="O271" s="3333"/>
      <c r="P271" s="3333"/>
      <c r="Q271" s="3332"/>
      <c r="R271" s="3332"/>
      <c r="S271" s="3332"/>
      <c r="T271" s="3332"/>
      <c r="U271" s="3333"/>
      <c r="V271" s="3333"/>
      <c r="W271" s="3333"/>
      <c r="X271" s="3332"/>
      <c r="Y271" s="3332"/>
      <c r="Z271" s="3332"/>
      <c r="AA271" s="3332"/>
      <c r="AB271" s="3333"/>
      <c r="AC271" s="3333"/>
      <c r="AD271" s="3333"/>
      <c r="AE271" s="3332"/>
      <c r="AF271" s="3332"/>
    </row>
    <row r="272" spans="1:32" ht="18" customHeight="1">
      <c r="A272" s="3330">
        <v>3701</v>
      </c>
      <c r="B272" s="3316" t="s">
        <v>319</v>
      </c>
      <c r="C272" s="3503" t="s">
        <v>40</v>
      </c>
      <c r="D272" s="3432" t="s">
        <v>40</v>
      </c>
      <c r="E272" s="3432" t="s">
        <v>40</v>
      </c>
      <c r="F272" s="3418" t="s">
        <v>40</v>
      </c>
      <c r="G272" s="3418" t="s">
        <v>40</v>
      </c>
      <c r="H272" s="3503"/>
      <c r="I272" s="3503"/>
      <c r="J272" s="3503" t="s">
        <v>40</v>
      </c>
      <c r="K272" s="3503" t="s">
        <v>40</v>
      </c>
      <c r="L272" s="3503" t="s">
        <v>40</v>
      </c>
      <c r="M272" s="3503" t="s">
        <v>40</v>
      </c>
      <c r="N272" s="3503" t="s">
        <v>40</v>
      </c>
      <c r="O272" s="3503"/>
      <c r="P272" s="3418"/>
      <c r="Q272" s="3418" t="s">
        <v>40</v>
      </c>
      <c r="R272" s="3503" t="s">
        <v>40</v>
      </c>
      <c r="S272" s="3503" t="s">
        <v>40</v>
      </c>
      <c r="T272" s="3503" t="s">
        <v>40</v>
      </c>
      <c r="U272" s="3503" t="s">
        <v>40</v>
      </c>
      <c r="V272" s="3503"/>
      <c r="W272" s="3503"/>
      <c r="X272" s="3503" t="s">
        <v>40</v>
      </c>
      <c r="Y272" s="3432" t="s">
        <v>40</v>
      </c>
      <c r="Z272" s="3432" t="s">
        <v>40</v>
      </c>
      <c r="AA272" s="3418" t="s">
        <v>40</v>
      </c>
      <c r="AB272" s="3418" t="s">
        <v>40</v>
      </c>
      <c r="AC272" s="3503"/>
      <c r="AD272" s="3503"/>
      <c r="AE272" s="3503" t="s">
        <v>40</v>
      </c>
      <c r="AF272" s="3503" t="s">
        <v>40</v>
      </c>
    </row>
    <row r="273" spans="1:32" ht="18" customHeight="1">
      <c r="A273" s="3330">
        <v>3701</v>
      </c>
      <c r="B273" s="3316" t="s">
        <v>320</v>
      </c>
      <c r="C273" s="3503" t="s">
        <v>40</v>
      </c>
      <c r="D273" s="3432" t="s">
        <v>40</v>
      </c>
      <c r="E273" s="3432" t="s">
        <v>40</v>
      </c>
      <c r="F273" s="3418" t="s">
        <v>40</v>
      </c>
      <c r="G273" s="3418" t="s">
        <v>40</v>
      </c>
      <c r="H273" s="3503"/>
      <c r="I273" s="3503"/>
      <c r="J273" s="3503" t="s">
        <v>40</v>
      </c>
      <c r="K273" s="3503" t="s">
        <v>40</v>
      </c>
      <c r="L273" s="3503" t="s">
        <v>40</v>
      </c>
      <c r="M273" s="3503" t="s">
        <v>40</v>
      </c>
      <c r="N273" s="3503" t="s">
        <v>40</v>
      </c>
      <c r="O273" s="3503"/>
      <c r="P273" s="3418"/>
      <c r="Q273" s="3418" t="s">
        <v>40</v>
      </c>
      <c r="R273" s="3503" t="s">
        <v>40</v>
      </c>
      <c r="S273" s="3503" t="s">
        <v>40</v>
      </c>
      <c r="T273" s="3503" t="s">
        <v>40</v>
      </c>
      <c r="U273" s="3503" t="s">
        <v>40</v>
      </c>
      <c r="V273" s="3503"/>
      <c r="W273" s="3503"/>
      <c r="X273" s="3503" t="s">
        <v>40</v>
      </c>
      <c r="Y273" s="3432" t="s">
        <v>40</v>
      </c>
      <c r="Z273" s="3430" t="s">
        <v>325</v>
      </c>
      <c r="AA273" s="3418" t="s">
        <v>40</v>
      </c>
      <c r="AB273" s="3494" t="s">
        <v>40</v>
      </c>
      <c r="AC273" s="3503"/>
      <c r="AD273" s="3503"/>
      <c r="AE273" s="3503" t="s">
        <v>40</v>
      </c>
      <c r="AF273" s="3503" t="s">
        <v>40</v>
      </c>
    </row>
    <row r="274" spans="1:32" ht="18" customHeight="1">
      <c r="A274" s="3334">
        <v>3701</v>
      </c>
      <c r="B274" s="3316" t="s">
        <v>321</v>
      </c>
      <c r="C274" s="3503" t="s">
        <v>40</v>
      </c>
      <c r="D274" s="3432" t="s">
        <v>40</v>
      </c>
      <c r="E274" s="3432" t="s">
        <v>40</v>
      </c>
      <c r="F274" s="3418" t="s">
        <v>40</v>
      </c>
      <c r="G274" s="3418" t="s">
        <v>40</v>
      </c>
      <c r="H274" s="3503"/>
      <c r="I274" s="3503"/>
      <c r="J274" s="3503" t="s">
        <v>40</v>
      </c>
      <c r="K274" s="3503" t="s">
        <v>40</v>
      </c>
      <c r="L274" s="3503" t="s">
        <v>40</v>
      </c>
      <c r="M274" s="3503" t="s">
        <v>40</v>
      </c>
      <c r="N274" s="3503" t="s">
        <v>40</v>
      </c>
      <c r="O274" s="3503"/>
      <c r="P274" s="3418"/>
      <c r="Q274" s="3418" t="s">
        <v>40</v>
      </c>
      <c r="R274" s="3503" t="s">
        <v>40</v>
      </c>
      <c r="S274" s="3503" t="s">
        <v>40</v>
      </c>
      <c r="T274" s="3503" t="s">
        <v>40</v>
      </c>
      <c r="U274" s="3574" t="s">
        <v>40</v>
      </c>
      <c r="V274" s="3430" t="s">
        <v>376</v>
      </c>
      <c r="W274" s="3503"/>
      <c r="X274" s="3393" t="s">
        <v>40</v>
      </c>
      <c r="Y274" s="3393" t="s">
        <v>40</v>
      </c>
      <c r="Z274" s="3432" t="s">
        <v>40</v>
      </c>
      <c r="AA274" s="3418" t="s">
        <v>40</v>
      </c>
      <c r="AB274" s="3418" t="s">
        <v>40</v>
      </c>
      <c r="AC274" s="3503"/>
      <c r="AD274" s="3503"/>
      <c r="AE274" s="3503" t="s">
        <v>40</v>
      </c>
      <c r="AF274" s="3503" t="s">
        <v>40</v>
      </c>
    </row>
    <row r="275" spans="1:32" ht="18" customHeight="1">
      <c r="A275" s="3330">
        <v>3701</v>
      </c>
      <c r="B275" s="3316" t="s">
        <v>322</v>
      </c>
      <c r="C275" s="3503" t="s">
        <v>40</v>
      </c>
      <c r="D275" s="3432" t="s">
        <v>40</v>
      </c>
      <c r="E275" s="3432" t="s">
        <v>40</v>
      </c>
      <c r="F275" s="3418" t="s">
        <v>40</v>
      </c>
      <c r="G275" s="3418" t="s">
        <v>40</v>
      </c>
      <c r="H275" s="3503"/>
      <c r="I275" s="3503"/>
      <c r="J275" s="3503" t="s">
        <v>40</v>
      </c>
      <c r="K275" s="3503" t="s">
        <v>40</v>
      </c>
      <c r="L275" s="3503" t="s">
        <v>40</v>
      </c>
      <c r="M275" s="3503" t="s">
        <v>40</v>
      </c>
      <c r="N275" s="3503" t="s">
        <v>40</v>
      </c>
      <c r="O275" s="3503"/>
      <c r="P275" s="3418"/>
      <c r="Q275" s="3418" t="s">
        <v>40</v>
      </c>
      <c r="R275" s="3503" t="s">
        <v>40</v>
      </c>
      <c r="S275" s="3503" t="s">
        <v>40</v>
      </c>
      <c r="T275" s="3503" t="s">
        <v>40</v>
      </c>
      <c r="U275" s="3503" t="s">
        <v>40</v>
      </c>
      <c r="V275" s="3503"/>
      <c r="W275" s="3503"/>
      <c r="X275" s="3503" t="s">
        <v>40</v>
      </c>
      <c r="Y275" s="3432" t="s">
        <v>40</v>
      </c>
      <c r="Z275" s="3432" t="s">
        <v>40</v>
      </c>
      <c r="AA275" s="3418" t="s">
        <v>40</v>
      </c>
      <c r="AB275" s="3418" t="s">
        <v>40</v>
      </c>
      <c r="AC275" s="3503"/>
      <c r="AD275" s="3503"/>
      <c r="AE275" s="3503" t="s">
        <v>40</v>
      </c>
      <c r="AF275" s="3503" t="s">
        <v>40</v>
      </c>
    </row>
    <row r="276" spans="1:32" ht="18" customHeight="1">
      <c r="A276" s="3330">
        <v>3701</v>
      </c>
      <c r="B276" s="3316" t="s">
        <v>323</v>
      </c>
      <c r="C276" s="3503" t="s">
        <v>40</v>
      </c>
      <c r="D276" s="3432" t="s">
        <v>40</v>
      </c>
      <c r="E276" s="3432" t="s">
        <v>40</v>
      </c>
      <c r="F276" s="3418" t="s">
        <v>40</v>
      </c>
      <c r="G276" s="3418" t="s">
        <v>40</v>
      </c>
      <c r="H276" s="3503"/>
      <c r="I276" s="3503"/>
      <c r="J276" s="3503" t="s">
        <v>40</v>
      </c>
      <c r="K276" s="3503" t="s">
        <v>40</v>
      </c>
      <c r="L276" s="3503" t="s">
        <v>40</v>
      </c>
      <c r="M276" s="3503" t="s">
        <v>40</v>
      </c>
      <c r="N276" s="3503" t="s">
        <v>40</v>
      </c>
      <c r="O276" s="3503"/>
      <c r="P276" s="3418"/>
      <c r="Q276" s="3418" t="s">
        <v>40</v>
      </c>
      <c r="R276" s="3503" t="s">
        <v>40</v>
      </c>
      <c r="S276" s="3503" t="s">
        <v>40</v>
      </c>
      <c r="T276" s="3503" t="s">
        <v>40</v>
      </c>
      <c r="U276" s="3503" t="s">
        <v>40</v>
      </c>
      <c r="V276" s="3503"/>
      <c r="W276" s="3503"/>
      <c r="X276" s="3503" t="s">
        <v>40</v>
      </c>
      <c r="Y276" s="3432" t="s">
        <v>40</v>
      </c>
      <c r="Z276" s="3432" t="s">
        <v>40</v>
      </c>
      <c r="AA276" s="3418" t="s">
        <v>40</v>
      </c>
      <c r="AB276" s="3418" t="s">
        <v>40</v>
      </c>
      <c r="AC276" s="3503"/>
      <c r="AD276" s="3503"/>
      <c r="AE276" s="3503" t="s">
        <v>40</v>
      </c>
      <c r="AF276" s="3503" t="s">
        <v>40</v>
      </c>
    </row>
    <row r="277" spans="1:32" ht="18" customHeight="1">
      <c r="A277" s="3330"/>
      <c r="B277" s="3316" t="s">
        <v>324</v>
      </c>
      <c r="C277" s="3503" t="s">
        <v>40</v>
      </c>
      <c r="D277" s="3432" t="s">
        <v>40</v>
      </c>
      <c r="E277" s="3432" t="s">
        <v>40</v>
      </c>
      <c r="F277" s="3418" t="s">
        <v>40</v>
      </c>
      <c r="G277" s="3418" t="s">
        <v>40</v>
      </c>
      <c r="H277" s="3503"/>
      <c r="I277" s="3503"/>
      <c r="J277" s="3503" t="s">
        <v>40</v>
      </c>
      <c r="K277" s="3503" t="s">
        <v>40</v>
      </c>
      <c r="L277" s="3503" t="s">
        <v>40</v>
      </c>
      <c r="M277" s="3503" t="s">
        <v>40</v>
      </c>
      <c r="N277" s="3503" t="s">
        <v>40</v>
      </c>
      <c r="O277" s="3503"/>
      <c r="P277" s="3418"/>
      <c r="Q277" s="3418" t="s">
        <v>40</v>
      </c>
      <c r="R277" s="3503" t="s">
        <v>40</v>
      </c>
      <c r="S277" s="3503" t="s">
        <v>40</v>
      </c>
      <c r="T277" s="3503" t="s">
        <v>40</v>
      </c>
      <c r="U277" s="3503" t="s">
        <v>40</v>
      </c>
      <c r="V277" s="3503"/>
      <c r="W277" s="3503"/>
      <c r="X277" s="3503" t="s">
        <v>40</v>
      </c>
      <c r="Y277" s="3432" t="s">
        <v>40</v>
      </c>
      <c r="Z277" s="3432" t="s">
        <v>40</v>
      </c>
      <c r="AA277" s="3418" t="s">
        <v>40</v>
      </c>
      <c r="AB277" s="3418" t="s">
        <v>40</v>
      </c>
      <c r="AC277" s="3503"/>
      <c r="AD277" s="3503"/>
      <c r="AE277" s="3503" t="s">
        <v>40</v>
      </c>
      <c r="AF277" s="3503" t="s">
        <v>40</v>
      </c>
    </row>
    <row r="278" spans="1:32" ht="18" customHeight="1">
      <c r="A278" s="3330"/>
      <c r="B278" s="3316"/>
      <c r="C278" s="3503" t="s">
        <v>40</v>
      </c>
      <c r="D278" s="3432" t="s">
        <v>40</v>
      </c>
      <c r="E278" s="3432" t="s">
        <v>40</v>
      </c>
      <c r="F278" s="3418" t="s">
        <v>40</v>
      </c>
      <c r="G278" s="3418" t="s">
        <v>40</v>
      </c>
      <c r="H278" s="3503"/>
      <c r="I278" s="3503"/>
      <c r="J278" s="3503" t="s">
        <v>40</v>
      </c>
      <c r="K278" s="3503" t="s">
        <v>40</v>
      </c>
      <c r="L278" s="3503" t="s">
        <v>40</v>
      </c>
      <c r="M278" s="3503" t="s">
        <v>40</v>
      </c>
      <c r="N278" s="3503" t="s">
        <v>40</v>
      </c>
      <c r="O278" s="3503"/>
      <c r="P278" s="3418"/>
      <c r="Q278" s="3418" t="s">
        <v>40</v>
      </c>
      <c r="R278" s="3503" t="s">
        <v>40</v>
      </c>
      <c r="S278" s="3503" t="s">
        <v>40</v>
      </c>
      <c r="T278" s="3503" t="s">
        <v>40</v>
      </c>
      <c r="U278" s="3503" t="s">
        <v>40</v>
      </c>
      <c r="V278" s="3503"/>
      <c r="W278" s="3503"/>
      <c r="X278" s="3503" t="s">
        <v>40</v>
      </c>
      <c r="Y278" s="3432" t="s">
        <v>40</v>
      </c>
      <c r="Z278" s="3432" t="s">
        <v>40</v>
      </c>
      <c r="AA278" s="3418" t="s">
        <v>40</v>
      </c>
      <c r="AB278" s="3418" t="s">
        <v>40</v>
      </c>
      <c r="AC278" s="3503"/>
      <c r="AD278" s="3503"/>
      <c r="AE278" s="3503" t="s">
        <v>40</v>
      </c>
      <c r="AF278" s="3503" t="s">
        <v>40</v>
      </c>
    </row>
    <row r="279" spans="1:32" ht="18" customHeight="1">
      <c r="A279" s="3330"/>
      <c r="B279" s="3316" t="s">
        <v>326</v>
      </c>
      <c r="C279" s="3503" t="s">
        <v>40</v>
      </c>
      <c r="D279" s="3432" t="s">
        <v>40</v>
      </c>
      <c r="E279" s="3432" t="s">
        <v>40</v>
      </c>
      <c r="F279" s="3494" t="s">
        <v>40</v>
      </c>
      <c r="G279" s="3494" t="s">
        <v>40</v>
      </c>
      <c r="H279" s="3494"/>
      <c r="I279" s="3494"/>
      <c r="J279" s="3494" t="s">
        <v>40</v>
      </c>
      <c r="K279" s="3494" t="s">
        <v>40</v>
      </c>
      <c r="L279" s="3494" t="s">
        <v>40</v>
      </c>
      <c r="M279" s="3494" t="s">
        <v>40</v>
      </c>
      <c r="N279" s="3494" t="s">
        <v>40</v>
      </c>
      <c r="O279" s="3494"/>
      <c r="P279" s="3494"/>
      <c r="Q279" s="3494" t="s">
        <v>40</v>
      </c>
      <c r="R279" s="3494" t="s">
        <v>40</v>
      </c>
      <c r="S279" s="3494" t="s">
        <v>40</v>
      </c>
      <c r="T279" s="3494" t="s">
        <v>40</v>
      </c>
      <c r="U279" s="3494" t="s">
        <v>40</v>
      </c>
      <c r="V279" s="3494"/>
      <c r="W279" s="3494"/>
      <c r="X279" s="3494" t="s">
        <v>40</v>
      </c>
      <c r="Y279" s="3494" t="s">
        <v>40</v>
      </c>
      <c r="Z279" s="3494" t="s">
        <v>40</v>
      </c>
      <c r="AA279" s="3494" t="s">
        <v>40</v>
      </c>
      <c r="AB279" s="3494" t="s">
        <v>40</v>
      </c>
      <c r="AC279" s="3503"/>
      <c r="AD279" s="3503"/>
      <c r="AE279" s="3503" t="s">
        <v>40</v>
      </c>
      <c r="AF279" s="3503" t="s">
        <v>40</v>
      </c>
    </row>
    <row r="280" spans="1:32" ht="18" customHeight="1">
      <c r="A280" s="3330"/>
      <c r="B280" s="3331" t="s">
        <v>327</v>
      </c>
      <c r="C280" s="3332"/>
      <c r="D280" s="3332"/>
      <c r="E280" s="3332"/>
      <c r="F280" s="3332"/>
      <c r="G280" s="3333"/>
      <c r="H280" s="3333"/>
      <c r="I280" s="3333"/>
      <c r="J280" s="3332"/>
      <c r="K280" s="3332"/>
      <c r="L280" s="3332"/>
      <c r="M280" s="3332"/>
      <c r="N280" s="3333"/>
      <c r="O280" s="3333"/>
      <c r="P280" s="3333"/>
      <c r="Q280" s="3332"/>
      <c r="R280" s="3332"/>
      <c r="S280" s="3332"/>
      <c r="T280" s="3332"/>
      <c r="U280" s="3333"/>
      <c r="V280" s="3333"/>
      <c r="W280" s="3333"/>
      <c r="X280" s="3332"/>
      <c r="Y280" s="3332"/>
      <c r="Z280" s="3332"/>
      <c r="AA280" s="3332"/>
      <c r="AB280" s="3333"/>
      <c r="AC280" s="3333"/>
      <c r="AD280" s="3333"/>
      <c r="AE280" s="3332"/>
      <c r="AF280" s="3332"/>
    </row>
    <row r="281" spans="1:32" ht="18" customHeight="1">
      <c r="A281" s="3330"/>
      <c r="B281" s="3316" t="s">
        <v>328</v>
      </c>
      <c r="C281" s="3503" t="s">
        <v>40</v>
      </c>
      <c r="D281" s="3432" t="s">
        <v>40</v>
      </c>
      <c r="E281" s="3432" t="s">
        <v>40</v>
      </c>
      <c r="F281" s="3418" t="s">
        <v>40</v>
      </c>
      <c r="G281" s="3418" t="s">
        <v>40</v>
      </c>
      <c r="H281" s="3503"/>
      <c r="I281" s="3503"/>
      <c r="J281" s="3503" t="s">
        <v>40</v>
      </c>
      <c r="K281" s="3503" t="s">
        <v>40</v>
      </c>
      <c r="L281" s="3503" t="s">
        <v>40</v>
      </c>
      <c r="M281" s="3503" t="s">
        <v>40</v>
      </c>
      <c r="N281" s="3503" t="s">
        <v>40</v>
      </c>
      <c r="O281" s="3503"/>
      <c r="P281" s="3418"/>
      <c r="Q281" s="3418" t="s">
        <v>40</v>
      </c>
      <c r="R281" s="3503" t="s">
        <v>40</v>
      </c>
      <c r="S281" s="3503" t="s">
        <v>40</v>
      </c>
      <c r="T281" s="3503" t="s">
        <v>40</v>
      </c>
      <c r="U281" s="3503" t="s">
        <v>40</v>
      </c>
      <c r="V281" s="3503"/>
      <c r="W281" s="3503"/>
      <c r="X281" s="3503" t="s">
        <v>40</v>
      </c>
      <c r="Y281" s="3432" t="s">
        <v>40</v>
      </c>
      <c r="Z281" s="3432" t="s">
        <v>40</v>
      </c>
      <c r="AA281" s="3418" t="s">
        <v>40</v>
      </c>
      <c r="AB281" s="3418" t="s">
        <v>40</v>
      </c>
      <c r="AC281" s="3503"/>
      <c r="AD281" s="3503"/>
      <c r="AE281" s="3503" t="s">
        <v>40</v>
      </c>
      <c r="AF281" s="3503" t="s">
        <v>40</v>
      </c>
    </row>
    <row r="282" spans="1:32" ht="18" customHeight="1">
      <c r="A282" s="3353"/>
      <c r="B282" s="3715" t="s">
        <v>329</v>
      </c>
      <c r="C282" s="3588" t="s">
        <v>40</v>
      </c>
      <c r="D282" s="3589" t="s">
        <v>40</v>
      </c>
      <c r="E282" s="3432" t="s">
        <v>40</v>
      </c>
      <c r="F282" s="3418" t="s">
        <v>40</v>
      </c>
      <c r="G282" s="3418" t="s">
        <v>40</v>
      </c>
      <c r="H282" s="3503"/>
      <c r="I282" s="3503"/>
      <c r="J282" s="3503" t="s">
        <v>40</v>
      </c>
      <c r="K282" s="3503" t="s">
        <v>40</v>
      </c>
      <c r="L282" s="3503" t="s">
        <v>40</v>
      </c>
      <c r="M282" s="3503" t="s">
        <v>40</v>
      </c>
      <c r="N282" s="3503" t="s">
        <v>40</v>
      </c>
      <c r="O282" s="3503"/>
      <c r="P282" s="3418"/>
      <c r="Q282" s="3418" t="s">
        <v>40</v>
      </c>
      <c r="R282" s="3503" t="s">
        <v>40</v>
      </c>
      <c r="S282" s="3503" t="s">
        <v>40</v>
      </c>
      <c r="T282" s="3503" t="s">
        <v>40</v>
      </c>
      <c r="U282" s="3503" t="s">
        <v>40</v>
      </c>
      <c r="V282" s="3503"/>
      <c r="W282" s="3503"/>
      <c r="X282" s="3503" t="s">
        <v>40</v>
      </c>
      <c r="Y282" s="3432" t="s">
        <v>40</v>
      </c>
      <c r="Z282" s="3432" t="s">
        <v>40</v>
      </c>
      <c r="AA282" s="3418" t="s">
        <v>40</v>
      </c>
      <c r="AB282" s="3418" t="s">
        <v>40</v>
      </c>
      <c r="AC282" s="3503"/>
      <c r="AD282" s="3503"/>
      <c r="AE282" s="3503" t="s">
        <v>40</v>
      </c>
      <c r="AF282" s="3503" t="s">
        <v>40</v>
      </c>
    </row>
    <row r="283" spans="1:32" ht="18" customHeight="1">
      <c r="A283" s="3547"/>
      <c r="B283" s="3715" t="s">
        <v>330</v>
      </c>
      <c r="C283" s="3521" t="s">
        <v>40</v>
      </c>
      <c r="D283" s="3525" t="s">
        <v>40</v>
      </c>
      <c r="E283" s="3541" t="s">
        <v>40</v>
      </c>
      <c r="F283" s="3418" t="s">
        <v>40</v>
      </c>
      <c r="G283" s="3418" t="s">
        <v>40</v>
      </c>
      <c r="H283" s="3503"/>
      <c r="I283" s="3503"/>
      <c r="J283" s="3503" t="s">
        <v>40</v>
      </c>
      <c r="K283" s="3503" t="s">
        <v>40</v>
      </c>
      <c r="L283" s="3503" t="s">
        <v>40</v>
      </c>
      <c r="M283" s="3503" t="s">
        <v>40</v>
      </c>
      <c r="N283" s="3503" t="s">
        <v>40</v>
      </c>
      <c r="O283" s="3503"/>
      <c r="P283" s="3418"/>
      <c r="Q283" s="3418" t="s">
        <v>40</v>
      </c>
      <c r="R283" s="3503" t="s">
        <v>40</v>
      </c>
      <c r="S283" s="3503" t="s">
        <v>40</v>
      </c>
      <c r="T283" s="3503" t="s">
        <v>40</v>
      </c>
      <c r="U283" s="3503" t="s">
        <v>40</v>
      </c>
      <c r="V283" s="3503"/>
      <c r="W283" s="3503"/>
      <c r="X283" s="3503" t="s">
        <v>40</v>
      </c>
      <c r="Y283" s="3432" t="s">
        <v>40</v>
      </c>
      <c r="Z283" s="3432" t="s">
        <v>40</v>
      </c>
      <c r="AA283" s="3418" t="s">
        <v>40</v>
      </c>
      <c r="AB283" s="3418" t="s">
        <v>40</v>
      </c>
      <c r="AC283" s="3503"/>
      <c r="AD283" s="3503"/>
      <c r="AE283" s="3503" t="s">
        <v>40</v>
      </c>
      <c r="AF283" s="3503" t="s">
        <v>40</v>
      </c>
    </row>
    <row r="284" spans="1:32" ht="18" customHeight="1"/>
    <row r="285" spans="1:32" ht="18" customHeight="1" thickBot="1">
      <c r="A285" s="96" t="s">
        <v>331</v>
      </c>
    </row>
    <row r="286" spans="1:32" ht="18" customHeight="1">
      <c r="B286" s="2908" t="s">
        <v>303</v>
      </c>
      <c r="C286" s="2765"/>
      <c r="D286" s="2788" t="s">
        <v>19</v>
      </c>
      <c r="E286" s="3064"/>
      <c r="F286" s="2769"/>
      <c r="G286" s="2765"/>
      <c r="H286" s="2788" t="s">
        <v>20</v>
      </c>
      <c r="I286" s="3064"/>
      <c r="J286" s="2769"/>
      <c r="K286" s="2765"/>
      <c r="L286" s="2788" t="s">
        <v>21</v>
      </c>
      <c r="M286" s="3064"/>
      <c r="N286" s="2769"/>
      <c r="O286" s="2765"/>
      <c r="P286" s="2788" t="s">
        <v>22</v>
      </c>
      <c r="Q286" s="3064"/>
      <c r="R286" s="2769"/>
      <c r="S286" s="2765"/>
      <c r="T286" s="2788" t="s">
        <v>23</v>
      </c>
      <c r="U286" s="3064"/>
      <c r="V286" s="2769"/>
      <c r="W286" s="2765"/>
      <c r="X286" s="2788" t="s">
        <v>24</v>
      </c>
      <c r="Y286" s="3064"/>
      <c r="Z286" s="2769"/>
      <c r="AA286" s="2765"/>
      <c r="AB286" s="2788" t="s">
        <v>25</v>
      </c>
      <c r="AC286" s="3064"/>
      <c r="AD286" s="3064"/>
      <c r="AE286" s="2791"/>
      <c r="AF286" s="3064"/>
    </row>
    <row r="287" spans="1:32" ht="18" customHeight="1">
      <c r="B287" s="3716" t="s">
        <v>210</v>
      </c>
      <c r="C287" s="543" t="s">
        <v>332</v>
      </c>
      <c r="D287" s="539"/>
      <c r="E287" s="544"/>
      <c r="F287" s="545"/>
      <c r="G287" s="543" t="s">
        <v>332</v>
      </c>
      <c r="H287" s="539"/>
      <c r="I287" s="544"/>
      <c r="J287" s="545"/>
      <c r="K287" s="543" t="s">
        <v>332</v>
      </c>
      <c r="L287" s="539"/>
      <c r="M287" s="544"/>
      <c r="N287" s="545"/>
      <c r="O287" s="543" t="s">
        <v>332</v>
      </c>
      <c r="P287" s="546"/>
      <c r="Q287" s="544"/>
      <c r="R287" s="545"/>
      <c r="S287" s="547" t="s">
        <v>333</v>
      </c>
      <c r="T287" s="539"/>
      <c r="U287" s="544"/>
      <c r="V287" s="545"/>
      <c r="W287" s="541"/>
      <c r="X287" s="539"/>
      <c r="Y287" s="531"/>
      <c r="Z287" s="540"/>
      <c r="AA287" s="541"/>
      <c r="AB287" s="539"/>
      <c r="AC287" s="531"/>
      <c r="AD287" s="531"/>
      <c r="AE287" s="542"/>
      <c r="AF287" s="531"/>
    </row>
    <row r="288" spans="1:32" ht="18" customHeight="1">
      <c r="A288" s="68"/>
      <c r="B288" s="3716" t="s">
        <v>212</v>
      </c>
      <c r="C288" s="543" t="s">
        <v>334</v>
      </c>
      <c r="D288" s="539"/>
      <c r="E288" s="544"/>
      <c r="F288" s="545"/>
      <c r="G288" s="543" t="s">
        <v>334</v>
      </c>
      <c r="H288" s="539"/>
      <c r="I288" s="544"/>
      <c r="J288" s="545"/>
      <c r="K288" s="543" t="s">
        <v>334</v>
      </c>
      <c r="L288" s="539"/>
      <c r="M288" s="544"/>
      <c r="N288" s="545"/>
      <c r="O288" s="543" t="s">
        <v>334</v>
      </c>
      <c r="P288" s="539"/>
      <c r="Q288" s="544"/>
      <c r="R288" s="545"/>
      <c r="S288" s="543" t="s">
        <v>335</v>
      </c>
      <c r="T288" s="539"/>
      <c r="U288" s="544"/>
      <c r="V288" s="545"/>
      <c r="W288" s="541"/>
      <c r="X288" s="539"/>
      <c r="Y288" s="531"/>
      <c r="Z288" s="540"/>
      <c r="AA288" s="541"/>
      <c r="AB288" s="539"/>
      <c r="AC288" s="531"/>
      <c r="AD288" s="531"/>
      <c r="AE288" s="542"/>
      <c r="AF288" s="531"/>
    </row>
    <row r="289" spans="1:32" ht="18" customHeight="1" thickBot="1">
      <c r="B289" s="3717" t="s">
        <v>336</v>
      </c>
      <c r="C289" s="3286" t="s">
        <v>334</v>
      </c>
      <c r="D289" s="3718"/>
      <c r="E289" s="544"/>
      <c r="F289" s="545"/>
      <c r="G289" s="3286" t="s">
        <v>334</v>
      </c>
      <c r="H289" s="3718"/>
      <c r="I289" s="544"/>
      <c r="J289" s="545"/>
      <c r="K289" s="3286" t="s">
        <v>334</v>
      </c>
      <c r="L289" s="3718"/>
      <c r="M289" s="544"/>
      <c r="N289" s="545"/>
      <c r="O289" s="3286" t="s">
        <v>334</v>
      </c>
      <c r="P289" s="3718"/>
      <c r="Q289" s="544"/>
      <c r="R289" s="545"/>
      <c r="S289" s="3286" t="s">
        <v>335</v>
      </c>
      <c r="T289" s="539"/>
      <c r="U289" s="544"/>
      <c r="V289" s="545"/>
      <c r="W289" s="541"/>
      <c r="X289" s="539"/>
      <c r="Y289" s="531"/>
      <c r="Z289" s="540"/>
      <c r="AA289" s="541"/>
      <c r="AB289" s="539"/>
      <c r="AC289" s="531"/>
      <c r="AD289" s="531"/>
      <c r="AE289" s="542"/>
      <c r="AF289" s="531"/>
    </row>
    <row r="290" spans="1:32" ht="18" customHeight="1">
      <c r="B290" s="37"/>
      <c r="C290" s="42"/>
      <c r="D290" s="5"/>
      <c r="G290" s="42"/>
      <c r="H290" s="5"/>
      <c r="K290" s="42"/>
      <c r="L290" s="5"/>
      <c r="O290" s="42"/>
      <c r="P290" s="5"/>
      <c r="S290" s="42"/>
      <c r="T290" s="42"/>
      <c r="X290" s="42"/>
      <c r="AB290" s="42"/>
      <c r="AE290" s="42"/>
    </row>
    <row r="291" spans="1:32" ht="18" customHeight="1" thickBot="1">
      <c r="A291" s="588" t="s">
        <v>337</v>
      </c>
    </row>
    <row r="292" spans="1:32" ht="18" customHeight="1" thickBot="1">
      <c r="A292" s="3236"/>
      <c r="B292" s="3490" t="s">
        <v>38</v>
      </c>
      <c r="C292" s="2985">
        <v>1</v>
      </c>
      <c r="D292" s="2985">
        <v>2</v>
      </c>
      <c r="E292" s="2985">
        <v>3</v>
      </c>
      <c r="F292" s="2985">
        <v>4</v>
      </c>
      <c r="G292" s="2985">
        <v>5</v>
      </c>
      <c r="H292" s="2986">
        <v>6</v>
      </c>
      <c r="I292" s="2986">
        <v>7</v>
      </c>
      <c r="J292" s="2985">
        <v>8</v>
      </c>
      <c r="K292" s="2985">
        <v>9</v>
      </c>
      <c r="L292" s="2985">
        <v>10</v>
      </c>
      <c r="M292" s="2985">
        <v>11</v>
      </c>
      <c r="N292" s="2985">
        <v>12</v>
      </c>
      <c r="O292" s="2986">
        <v>13</v>
      </c>
      <c r="P292" s="2986">
        <v>14</v>
      </c>
      <c r="Q292" s="2985">
        <v>15</v>
      </c>
      <c r="R292" s="2985">
        <v>16</v>
      </c>
      <c r="S292" s="2985">
        <v>17</v>
      </c>
      <c r="T292" s="2985">
        <v>18</v>
      </c>
      <c r="U292" s="2985">
        <v>19</v>
      </c>
      <c r="V292" s="2986">
        <v>20</v>
      </c>
      <c r="W292" s="2986">
        <v>21</v>
      </c>
      <c r="X292" s="2985">
        <v>22</v>
      </c>
      <c r="Y292" s="2985">
        <v>23</v>
      </c>
      <c r="Z292" s="2985">
        <v>24</v>
      </c>
      <c r="AA292" s="2985">
        <v>25</v>
      </c>
      <c r="AB292" s="2985">
        <v>26</v>
      </c>
      <c r="AC292" s="2986">
        <v>27</v>
      </c>
      <c r="AD292" s="2986">
        <v>28</v>
      </c>
      <c r="AE292" s="2985">
        <v>29</v>
      </c>
      <c r="AF292" s="2985">
        <v>30</v>
      </c>
    </row>
    <row r="293" spans="1:32" ht="18" customHeight="1">
      <c r="A293" s="2912">
        <v>3702</v>
      </c>
      <c r="B293" s="2913" t="s">
        <v>338</v>
      </c>
      <c r="C293" s="3494" t="s">
        <v>40</v>
      </c>
      <c r="D293" s="3494" t="s">
        <v>40</v>
      </c>
      <c r="E293" s="3494" t="s">
        <v>40</v>
      </c>
      <c r="F293" s="3494" t="s">
        <v>40</v>
      </c>
      <c r="G293" s="3494" t="s">
        <v>40</v>
      </c>
      <c r="H293" s="3494"/>
      <c r="I293" s="3494"/>
      <c r="J293" s="3503" t="s">
        <v>40</v>
      </c>
      <c r="K293" s="3503" t="s">
        <v>40</v>
      </c>
      <c r="L293" s="3503" t="s">
        <v>40</v>
      </c>
      <c r="M293" s="3503" t="s">
        <v>40</v>
      </c>
      <c r="N293" s="3503" t="s">
        <v>40</v>
      </c>
      <c r="O293" s="3503"/>
      <c r="P293" s="3418"/>
      <c r="Q293" s="3418" t="s">
        <v>40</v>
      </c>
      <c r="R293" s="3503" t="s">
        <v>40</v>
      </c>
      <c r="S293" s="3503" t="s">
        <v>40</v>
      </c>
      <c r="T293" s="3503" t="s">
        <v>40</v>
      </c>
      <c r="U293" s="3503" t="s">
        <v>40</v>
      </c>
      <c r="V293" s="3503"/>
      <c r="W293" s="3503"/>
      <c r="X293" s="3503" t="s">
        <v>40</v>
      </c>
      <c r="Y293" s="3432" t="s">
        <v>40</v>
      </c>
      <c r="Z293" s="3432" t="s">
        <v>40</v>
      </c>
      <c r="AA293" s="3418" t="s">
        <v>40</v>
      </c>
      <c r="AB293" s="3418" t="s">
        <v>40</v>
      </c>
      <c r="AC293" s="3503"/>
      <c r="AD293" s="3503"/>
      <c r="AE293" s="3503" t="s">
        <v>40</v>
      </c>
      <c r="AF293" s="3503" t="s">
        <v>40</v>
      </c>
    </row>
    <row r="294" spans="1:32" ht="18" customHeight="1">
      <c r="A294" s="3719"/>
      <c r="B294" s="3720"/>
      <c r="C294" s="3432"/>
      <c r="D294" s="3432"/>
      <c r="E294" s="3432"/>
      <c r="F294" s="3432"/>
      <c r="G294" s="3432"/>
      <c r="H294" s="3432"/>
      <c r="I294" s="3432"/>
      <c r="J294" s="3432"/>
      <c r="K294" s="3432"/>
      <c r="L294" s="3432"/>
      <c r="M294" s="3432"/>
      <c r="N294" s="3432"/>
      <c r="O294" s="3432"/>
      <c r="P294" s="3432"/>
      <c r="Q294" s="3432"/>
      <c r="R294" s="3432"/>
      <c r="S294" s="3432"/>
      <c r="T294" s="3432"/>
      <c r="U294" s="3432"/>
      <c r="V294" s="3432"/>
      <c r="W294" s="3432"/>
      <c r="X294" s="3432"/>
      <c r="Y294" s="3432"/>
      <c r="Z294" s="3432"/>
      <c r="AA294" s="3432"/>
      <c r="AB294" s="3432"/>
      <c r="AC294" s="3432"/>
      <c r="AD294" s="3432"/>
      <c r="AE294" s="3432"/>
      <c r="AF294" s="3432"/>
    </row>
    <row r="295" spans="1:32" ht="18" customHeight="1">
      <c r="A295" s="3721"/>
      <c r="B295" s="3722" t="s">
        <v>339</v>
      </c>
      <c r="C295" s="3723"/>
      <c r="D295" s="3723"/>
      <c r="E295" s="3723"/>
      <c r="F295" s="3723"/>
      <c r="G295" s="3723"/>
      <c r="H295" s="3723"/>
      <c r="I295" s="3723"/>
      <c r="J295" s="3723"/>
      <c r="K295" s="3723"/>
      <c r="L295" s="3723"/>
      <c r="M295" s="3723"/>
      <c r="N295" s="3723"/>
      <c r="O295" s="3723"/>
      <c r="P295" s="3723"/>
      <c r="Q295" s="3723"/>
      <c r="R295" s="3723"/>
      <c r="S295" s="3723"/>
      <c r="T295" s="3723"/>
      <c r="U295" s="3723"/>
      <c r="V295" s="3723"/>
      <c r="W295" s="3723"/>
      <c r="X295" s="3723"/>
      <c r="Y295" s="3723"/>
      <c r="Z295" s="3723"/>
      <c r="AA295" s="3723"/>
      <c r="AB295" s="3723"/>
      <c r="AC295" s="3723"/>
      <c r="AD295" s="3723"/>
      <c r="AE295" s="3723"/>
      <c r="AF295" s="3723"/>
    </row>
    <row r="296" spans="1:32" ht="18" customHeight="1">
      <c r="A296" s="3724">
        <v>3702</v>
      </c>
      <c r="B296" s="3417" t="s">
        <v>340</v>
      </c>
      <c r="C296" s="3503" t="s">
        <v>341</v>
      </c>
      <c r="D296" s="3503" t="s">
        <v>341</v>
      </c>
      <c r="E296" s="3503" t="s">
        <v>341</v>
      </c>
      <c r="F296" s="3418" t="s">
        <v>341</v>
      </c>
      <c r="G296" s="3418" t="s">
        <v>341</v>
      </c>
      <c r="H296" s="3503"/>
      <c r="I296" s="3503"/>
      <c r="J296" s="3494" t="s">
        <v>341</v>
      </c>
      <c r="K296" s="3494" t="s">
        <v>341</v>
      </c>
      <c r="L296" s="3494" t="s">
        <v>341</v>
      </c>
      <c r="M296" s="3494" t="s">
        <v>341</v>
      </c>
      <c r="N296" s="3494" t="s">
        <v>341</v>
      </c>
      <c r="O296" s="3494"/>
      <c r="P296" s="3494"/>
      <c r="Q296" s="3494" t="s">
        <v>341</v>
      </c>
      <c r="R296" s="3494" t="s">
        <v>341</v>
      </c>
      <c r="S296" s="3494" t="s">
        <v>341</v>
      </c>
      <c r="T296" s="3494" t="s">
        <v>341</v>
      </c>
      <c r="U296" s="3494" t="s">
        <v>341</v>
      </c>
      <c r="V296" s="3494"/>
      <c r="W296" s="3494"/>
      <c r="X296" s="3503" t="s">
        <v>341</v>
      </c>
      <c r="Y296" s="3503" t="s">
        <v>341</v>
      </c>
      <c r="Z296" s="3503" t="s">
        <v>341</v>
      </c>
      <c r="AA296" s="3418" t="s">
        <v>341</v>
      </c>
      <c r="AB296" s="3418" t="s">
        <v>341</v>
      </c>
      <c r="AC296" s="3503"/>
      <c r="AD296" s="3503"/>
      <c r="AE296" s="3503" t="s">
        <v>341</v>
      </c>
      <c r="AF296" s="3503" t="s">
        <v>341</v>
      </c>
    </row>
    <row r="297" spans="1:32" ht="18" customHeight="1">
      <c r="A297" s="3724"/>
      <c r="B297" s="3417" t="s">
        <v>343</v>
      </c>
      <c r="C297" s="3503" t="s">
        <v>342</v>
      </c>
      <c r="D297" s="3503" t="s">
        <v>342</v>
      </c>
      <c r="E297" s="3503" t="s">
        <v>342</v>
      </c>
      <c r="F297" s="3503" t="s">
        <v>342</v>
      </c>
      <c r="G297" s="3503" t="s">
        <v>342</v>
      </c>
      <c r="H297" s="3503"/>
      <c r="I297" s="3503"/>
      <c r="J297" s="3503" t="s">
        <v>342</v>
      </c>
      <c r="K297" s="3613" t="s">
        <v>342</v>
      </c>
      <c r="L297" s="3503" t="s">
        <v>342</v>
      </c>
      <c r="M297" s="3503" t="s">
        <v>342</v>
      </c>
      <c r="N297" s="3613" t="s">
        <v>342</v>
      </c>
      <c r="O297" s="3503"/>
      <c r="P297" s="3503"/>
      <c r="Q297" s="3503" t="s">
        <v>342</v>
      </c>
      <c r="R297" s="3503" t="s">
        <v>342</v>
      </c>
      <c r="S297" s="3503" t="s">
        <v>342</v>
      </c>
      <c r="T297" s="3503" t="s">
        <v>342</v>
      </c>
      <c r="U297" s="3503" t="s">
        <v>342</v>
      </c>
      <c r="V297" s="3503"/>
      <c r="W297" s="3503"/>
      <c r="X297" s="3503" t="s">
        <v>342</v>
      </c>
      <c r="Y297" s="3503" t="s">
        <v>342</v>
      </c>
      <c r="Z297" s="3725" t="s">
        <v>342</v>
      </c>
      <c r="AA297" s="3725" t="s">
        <v>342</v>
      </c>
      <c r="AB297" s="3725" t="s">
        <v>342</v>
      </c>
      <c r="AC297" s="3503"/>
      <c r="AD297" s="3503"/>
      <c r="AE297" s="3503" t="s">
        <v>342</v>
      </c>
      <c r="AF297" s="3503" t="s">
        <v>342</v>
      </c>
    </row>
    <row r="298" spans="1:32" ht="18" customHeight="1">
      <c r="A298" s="3726"/>
      <c r="B298" s="3424" t="s">
        <v>345</v>
      </c>
      <c r="C298" s="3512" t="s">
        <v>346</v>
      </c>
      <c r="D298" s="3496" t="s">
        <v>346</v>
      </c>
      <c r="E298" s="3427" t="s">
        <v>346</v>
      </c>
      <c r="F298" s="3427" t="s">
        <v>346</v>
      </c>
      <c r="G298" s="3427" t="s">
        <v>346</v>
      </c>
      <c r="H298" s="3496"/>
      <c r="I298" s="3496"/>
      <c r="J298" s="3496" t="s">
        <v>346</v>
      </c>
      <c r="K298" s="3496" t="s">
        <v>346</v>
      </c>
      <c r="L298" s="3427" t="s">
        <v>346</v>
      </c>
      <c r="M298" s="3427" t="s">
        <v>346</v>
      </c>
      <c r="N298" s="3427" t="s">
        <v>346</v>
      </c>
      <c r="O298" s="3496"/>
      <c r="P298" s="3496"/>
      <c r="Q298" s="3496" t="s">
        <v>346</v>
      </c>
      <c r="R298" s="3496" t="s">
        <v>346</v>
      </c>
      <c r="S298" s="3496" t="s">
        <v>346</v>
      </c>
      <c r="T298" s="3496" t="s">
        <v>346</v>
      </c>
      <c r="U298" s="3427" t="s">
        <v>346</v>
      </c>
      <c r="V298" s="3496"/>
      <c r="W298" s="3496"/>
      <c r="X298" s="3496" t="s">
        <v>128</v>
      </c>
      <c r="Y298" s="3496" t="s">
        <v>128</v>
      </c>
      <c r="Z298" s="3496" t="s">
        <v>128</v>
      </c>
      <c r="AA298" s="3496" t="s">
        <v>128</v>
      </c>
      <c r="AB298" s="3496" t="s">
        <v>128</v>
      </c>
      <c r="AC298" s="3496"/>
      <c r="AD298" s="3496"/>
      <c r="AE298" s="3496" t="s">
        <v>128</v>
      </c>
      <c r="AF298" s="3496" t="s">
        <v>128</v>
      </c>
    </row>
    <row r="301" spans="1:32" ht="18" customHeight="1" thickBot="1">
      <c r="A301" s="96" t="s">
        <v>348</v>
      </c>
    </row>
    <row r="302" spans="1:32" ht="18" customHeight="1">
      <c r="A302" s="1"/>
      <c r="B302" s="2908" t="s">
        <v>303</v>
      </c>
      <c r="C302" s="2765"/>
      <c r="D302" s="2788" t="s">
        <v>19</v>
      </c>
      <c r="E302" s="3064"/>
      <c r="F302" s="2769"/>
      <c r="G302" s="2765"/>
      <c r="H302" s="2788" t="s">
        <v>20</v>
      </c>
      <c r="I302" s="3064"/>
      <c r="J302" s="2769"/>
      <c r="K302" s="2765"/>
      <c r="L302" s="2788" t="s">
        <v>21</v>
      </c>
      <c r="M302" s="3064"/>
      <c r="N302" s="2769"/>
      <c r="O302" s="2765"/>
      <c r="P302" s="2788" t="s">
        <v>22</v>
      </c>
      <c r="Q302" s="3064"/>
      <c r="R302" s="2769"/>
      <c r="S302" s="2765"/>
      <c r="T302" s="2788" t="s">
        <v>23</v>
      </c>
      <c r="U302" s="3064"/>
      <c r="V302" s="2769"/>
      <c r="W302" s="2765"/>
      <c r="X302" s="2788" t="s">
        <v>24</v>
      </c>
      <c r="Y302" s="3064"/>
      <c r="Z302" s="2769"/>
      <c r="AA302" s="2765"/>
      <c r="AB302" s="2788" t="s">
        <v>25</v>
      </c>
      <c r="AC302" s="3064"/>
      <c r="AD302" s="3064"/>
      <c r="AE302" s="2791" t="s">
        <v>108</v>
      </c>
      <c r="AF302" s="3064"/>
    </row>
    <row r="303" spans="1:32" ht="18" customHeight="1">
      <c r="A303" s="1"/>
      <c r="B303" s="548"/>
      <c r="C303" s="549"/>
      <c r="D303" s="539"/>
      <c r="E303" s="516"/>
      <c r="F303" s="518"/>
      <c r="G303" s="549"/>
      <c r="H303" s="539"/>
      <c r="I303" s="516"/>
      <c r="J303" s="518"/>
      <c r="K303" s="549"/>
      <c r="L303" s="539"/>
      <c r="M303" s="516"/>
      <c r="N303" s="518"/>
      <c r="O303" s="549"/>
      <c r="P303" s="539"/>
      <c r="Q303" s="516"/>
      <c r="R303" s="518"/>
      <c r="S303" s="549"/>
      <c r="T303" s="539"/>
      <c r="U303" s="516"/>
      <c r="V303" s="518"/>
      <c r="W303" s="549"/>
      <c r="X303" s="539"/>
      <c r="Y303" s="516"/>
      <c r="Z303" s="518"/>
      <c r="AA303" s="549"/>
      <c r="AB303" s="539"/>
      <c r="AC303" s="516"/>
      <c r="AD303" s="516"/>
      <c r="AE303" s="542"/>
      <c r="AF303" s="516"/>
    </row>
    <row r="304" spans="1:32" ht="18" customHeight="1">
      <c r="A304" s="68"/>
      <c r="B304" s="3716"/>
      <c r="C304" s="3621"/>
      <c r="D304" s="3383"/>
      <c r="E304" s="3383"/>
      <c r="F304" s="3659"/>
      <c r="G304" s="3621"/>
      <c r="H304" s="3383"/>
      <c r="I304" s="3383"/>
      <c r="J304" s="3659"/>
      <c r="K304" s="3621"/>
      <c r="L304" s="3383"/>
      <c r="M304" s="3383"/>
      <c r="N304" s="3659"/>
      <c r="O304" s="3621"/>
      <c r="P304" s="3383"/>
      <c r="Q304" s="3383"/>
      <c r="R304" s="3659"/>
      <c r="S304" s="3621"/>
      <c r="T304" s="3383"/>
      <c r="U304" s="3383"/>
      <c r="V304" s="3659"/>
      <c r="W304" s="3621"/>
      <c r="X304" s="3383"/>
      <c r="Y304" s="3383"/>
      <c r="Z304" s="3659"/>
      <c r="AA304" s="3658"/>
      <c r="AB304" s="3383"/>
      <c r="AC304" s="3383"/>
      <c r="AD304" s="3620"/>
      <c r="AE304" s="3727"/>
      <c r="AF304" s="3383"/>
    </row>
    <row r="305" spans="1:32" ht="18" customHeight="1" thickBot="1">
      <c r="A305" s="1"/>
      <c r="B305" s="3663"/>
      <c r="C305" s="3664"/>
      <c r="D305" s="3482"/>
      <c r="E305" s="3482"/>
      <c r="F305" s="3680"/>
      <c r="G305" s="3664"/>
      <c r="H305" s="3482"/>
      <c r="I305" s="3482"/>
      <c r="J305" s="3680"/>
      <c r="K305" s="3664"/>
      <c r="L305" s="3482"/>
      <c r="M305" s="3482"/>
      <c r="N305" s="3680"/>
      <c r="O305" s="3664"/>
      <c r="P305" s="3482"/>
      <c r="Q305" s="3482"/>
      <c r="R305" s="3680"/>
      <c r="S305" s="3664"/>
      <c r="T305" s="3482"/>
      <c r="U305" s="3482"/>
      <c r="V305" s="3680"/>
      <c r="W305" s="3678"/>
      <c r="X305" s="3482"/>
      <c r="Y305" s="3482"/>
      <c r="Z305" s="3680"/>
      <c r="AA305" s="3678"/>
      <c r="AB305" s="3482"/>
      <c r="AC305" s="3482"/>
      <c r="AD305" s="3681"/>
      <c r="AE305" s="3678"/>
      <c r="AF305" s="3482"/>
    </row>
    <row r="306" spans="1:32" ht="18" customHeight="1">
      <c r="A306" s="1"/>
      <c r="B306" s="5"/>
      <c r="C306" s="42"/>
      <c r="F306" s="46"/>
      <c r="G306" s="42"/>
      <c r="J306" s="46"/>
      <c r="K306" s="42"/>
      <c r="N306" s="46"/>
      <c r="O306" s="42"/>
      <c r="R306" s="46"/>
      <c r="S306" s="42"/>
      <c r="V306" s="46"/>
      <c r="W306" s="46"/>
      <c r="Z306" s="46"/>
      <c r="AA306" s="46"/>
      <c r="AD306" s="46"/>
      <c r="AE306" s="46"/>
    </row>
    <row r="307" spans="1:32" ht="18" customHeight="1" thickBot="1">
      <c r="A307" s="96" t="s">
        <v>349</v>
      </c>
      <c r="B307" s="5"/>
      <c r="C307" s="42"/>
      <c r="F307" s="46"/>
      <c r="G307" s="42"/>
      <c r="J307" s="46"/>
      <c r="K307" s="42"/>
      <c r="N307" s="46"/>
      <c r="O307" s="42"/>
      <c r="R307" s="46"/>
      <c r="S307" s="42"/>
      <c r="V307" s="46"/>
      <c r="W307" s="46"/>
      <c r="Z307" s="46"/>
      <c r="AA307" s="46"/>
      <c r="AD307" s="46"/>
      <c r="AE307" s="46"/>
    </row>
    <row r="308" spans="1:32" ht="18" customHeight="1" thickBot="1">
      <c r="A308" s="3236" t="s">
        <v>37</v>
      </c>
      <c r="B308" s="3490" t="s">
        <v>38</v>
      </c>
      <c r="C308" s="2985">
        <v>1</v>
      </c>
      <c r="D308" s="2985">
        <v>2</v>
      </c>
      <c r="E308" s="2985">
        <v>3</v>
      </c>
      <c r="F308" s="2985">
        <v>4</v>
      </c>
      <c r="G308" s="2985">
        <v>5</v>
      </c>
      <c r="H308" s="2986">
        <v>6</v>
      </c>
      <c r="I308" s="2986">
        <v>7</v>
      </c>
      <c r="J308" s="2985">
        <v>8</v>
      </c>
      <c r="K308" s="2985">
        <v>9</v>
      </c>
      <c r="L308" s="2985">
        <v>10</v>
      </c>
      <c r="M308" s="2985">
        <v>11</v>
      </c>
      <c r="N308" s="2985">
        <v>12</v>
      </c>
      <c r="O308" s="2986">
        <v>13</v>
      </c>
      <c r="P308" s="2986">
        <v>14</v>
      </c>
      <c r="Q308" s="2985">
        <v>15</v>
      </c>
      <c r="R308" s="2985">
        <v>16</v>
      </c>
      <c r="S308" s="2985">
        <v>17</v>
      </c>
      <c r="T308" s="2985">
        <v>18</v>
      </c>
      <c r="U308" s="2985">
        <v>19</v>
      </c>
      <c r="V308" s="2986">
        <v>20</v>
      </c>
      <c r="W308" s="2986">
        <v>21</v>
      </c>
      <c r="X308" s="2985">
        <v>22</v>
      </c>
      <c r="Y308" s="2985">
        <v>23</v>
      </c>
      <c r="Z308" s="2985">
        <v>24</v>
      </c>
      <c r="AA308" s="2985">
        <v>25</v>
      </c>
      <c r="AB308" s="2985">
        <v>26</v>
      </c>
      <c r="AC308" s="2986">
        <v>27</v>
      </c>
      <c r="AD308" s="2986">
        <v>28</v>
      </c>
      <c r="AE308" s="2985">
        <v>29</v>
      </c>
      <c r="AF308" s="2985">
        <v>30</v>
      </c>
    </row>
    <row r="309" spans="1:32" ht="18" customHeight="1">
      <c r="A309" s="2924"/>
      <c r="B309" s="2925"/>
      <c r="C309" s="3503" t="s">
        <v>40</v>
      </c>
      <c r="D309" s="3432" t="s">
        <v>40</v>
      </c>
      <c r="E309" s="3432" t="s">
        <v>40</v>
      </c>
      <c r="F309" s="3418" t="s">
        <v>40</v>
      </c>
      <c r="G309" s="3418" t="s">
        <v>40</v>
      </c>
      <c r="H309" s="3503"/>
      <c r="I309" s="3503"/>
      <c r="J309" s="3503" t="s">
        <v>40</v>
      </c>
      <c r="K309" s="3503" t="s">
        <v>40</v>
      </c>
      <c r="L309" s="3503" t="s">
        <v>40</v>
      </c>
      <c r="M309" s="3503" t="s">
        <v>40</v>
      </c>
      <c r="N309" s="3503" t="s">
        <v>40</v>
      </c>
      <c r="O309" s="3503"/>
      <c r="P309" s="3418"/>
      <c r="Q309" s="3418" t="s">
        <v>40</v>
      </c>
      <c r="R309" s="3503" t="s">
        <v>40</v>
      </c>
      <c r="S309" s="3503" t="s">
        <v>40</v>
      </c>
      <c r="T309" s="3503" t="s">
        <v>40</v>
      </c>
      <c r="U309" s="3503" t="s">
        <v>40</v>
      </c>
      <c r="V309" s="3503"/>
      <c r="W309" s="3503"/>
      <c r="X309" s="3503" t="s">
        <v>40</v>
      </c>
      <c r="Y309" s="3432" t="s">
        <v>40</v>
      </c>
      <c r="Z309" s="3432" t="s">
        <v>40</v>
      </c>
      <c r="AA309" s="3418" t="s">
        <v>40</v>
      </c>
      <c r="AB309" s="3418" t="s">
        <v>40</v>
      </c>
      <c r="AC309" s="3503"/>
      <c r="AD309" s="3503"/>
      <c r="AE309" s="3503" t="s">
        <v>40</v>
      </c>
      <c r="AF309" s="3503" t="s">
        <v>40</v>
      </c>
    </row>
    <row r="310" spans="1:32" ht="18" customHeight="1">
      <c r="A310" s="3352"/>
      <c r="B310" s="3517" t="s">
        <v>350</v>
      </c>
      <c r="C310" s="3503" t="s">
        <v>40</v>
      </c>
      <c r="D310" s="3432" t="s">
        <v>40</v>
      </c>
      <c r="E310" s="3432" t="s">
        <v>40</v>
      </c>
      <c r="F310" s="3418" t="s">
        <v>40</v>
      </c>
      <c r="G310" s="3418" t="s">
        <v>40</v>
      </c>
      <c r="H310" s="3503"/>
      <c r="I310" s="3503"/>
      <c r="J310" s="3503" t="s">
        <v>40</v>
      </c>
      <c r="K310" s="3503" t="s">
        <v>40</v>
      </c>
      <c r="L310" s="3503" t="s">
        <v>40</v>
      </c>
      <c r="M310" s="3503" t="s">
        <v>40</v>
      </c>
      <c r="N310" s="3503" t="s">
        <v>40</v>
      </c>
      <c r="O310" s="3503"/>
      <c r="P310" s="3418"/>
      <c r="Q310" s="3418" t="s">
        <v>40</v>
      </c>
      <c r="R310" s="3503" t="s">
        <v>40</v>
      </c>
      <c r="S310" s="3503" t="s">
        <v>40</v>
      </c>
      <c r="T310" s="3503" t="s">
        <v>40</v>
      </c>
      <c r="U310" s="3503" t="s">
        <v>40</v>
      </c>
      <c r="V310" s="3503"/>
      <c r="W310" s="3503"/>
      <c r="X310" s="3503" t="s">
        <v>40</v>
      </c>
      <c r="Y310" s="3432" t="s">
        <v>40</v>
      </c>
      <c r="Z310" s="3432" t="s">
        <v>40</v>
      </c>
      <c r="AA310" s="3418" t="s">
        <v>40</v>
      </c>
      <c r="AB310" s="3418" t="s">
        <v>40</v>
      </c>
      <c r="AC310" s="3503"/>
      <c r="AD310" s="3503"/>
      <c r="AE310" s="3503" t="s">
        <v>40</v>
      </c>
      <c r="AF310" s="3503" t="s">
        <v>40</v>
      </c>
    </row>
    <row r="311" spans="1:32" ht="18" customHeight="1">
      <c r="A311" s="3330"/>
      <c r="B311" s="3517" t="s">
        <v>351</v>
      </c>
      <c r="C311" s="3503" t="s">
        <v>40</v>
      </c>
      <c r="D311" s="3432" t="s">
        <v>40</v>
      </c>
      <c r="E311" s="3432" t="s">
        <v>40</v>
      </c>
      <c r="F311" s="3418" t="s">
        <v>40</v>
      </c>
      <c r="G311" s="3418" t="s">
        <v>40</v>
      </c>
      <c r="H311" s="3503"/>
      <c r="I311" s="3503"/>
      <c r="J311" s="3503" t="s">
        <v>40</v>
      </c>
      <c r="K311" s="3503" t="s">
        <v>40</v>
      </c>
      <c r="L311" s="3503" t="s">
        <v>40</v>
      </c>
      <c r="M311" s="3503" t="s">
        <v>40</v>
      </c>
      <c r="N311" s="3503" t="s">
        <v>40</v>
      </c>
      <c r="O311" s="3503"/>
      <c r="P311" s="3418"/>
      <c r="Q311" s="3418" t="s">
        <v>40</v>
      </c>
      <c r="R311" s="3503" t="s">
        <v>40</v>
      </c>
      <c r="S311" s="3503" t="s">
        <v>40</v>
      </c>
      <c r="T311" s="3503" t="s">
        <v>40</v>
      </c>
      <c r="U311" s="3503" t="s">
        <v>40</v>
      </c>
      <c r="V311" s="3503"/>
      <c r="W311" s="3503"/>
      <c r="X311" s="3503" t="s">
        <v>40</v>
      </c>
      <c r="Y311" s="3432" t="s">
        <v>40</v>
      </c>
      <c r="Z311" s="3432" t="s">
        <v>40</v>
      </c>
      <c r="AA311" s="3418" t="s">
        <v>40</v>
      </c>
      <c r="AB311" s="3418" t="s">
        <v>40</v>
      </c>
      <c r="AC311" s="3503"/>
      <c r="AD311" s="3503"/>
      <c r="AE311" s="3503" t="s">
        <v>40</v>
      </c>
      <c r="AF311" s="3503" t="s">
        <v>40</v>
      </c>
    </row>
    <row r="312" spans="1:32" ht="18" customHeight="1">
      <c r="A312" s="3330"/>
      <c r="B312" s="3517" t="s">
        <v>352</v>
      </c>
      <c r="C312" s="3503" t="s">
        <v>40</v>
      </c>
      <c r="D312" s="3432" t="s">
        <v>40</v>
      </c>
      <c r="E312" s="3432" t="s">
        <v>40</v>
      </c>
      <c r="F312" s="3418" t="s">
        <v>40</v>
      </c>
      <c r="G312" s="3418" t="s">
        <v>40</v>
      </c>
      <c r="H312" s="3503"/>
      <c r="I312" s="3503"/>
      <c r="J312" s="3503" t="s">
        <v>40</v>
      </c>
      <c r="K312" s="3503" t="s">
        <v>40</v>
      </c>
      <c r="L312" s="3503" t="s">
        <v>40</v>
      </c>
      <c r="M312" s="3503" t="s">
        <v>40</v>
      </c>
      <c r="N312" s="3503" t="s">
        <v>40</v>
      </c>
      <c r="O312" s="3503"/>
      <c r="P312" s="3418"/>
      <c r="Q312" s="3418" t="s">
        <v>40</v>
      </c>
      <c r="R312" s="3503" t="s">
        <v>40</v>
      </c>
      <c r="S312" s="3503" t="s">
        <v>40</v>
      </c>
      <c r="T312" s="3503" t="s">
        <v>40</v>
      </c>
      <c r="U312" s="3503" t="s">
        <v>40</v>
      </c>
      <c r="V312" s="3503"/>
      <c r="W312" s="3503"/>
      <c r="X312" s="3503" t="s">
        <v>40</v>
      </c>
      <c r="Y312" s="3432" t="s">
        <v>40</v>
      </c>
      <c r="Z312" s="3432" t="s">
        <v>40</v>
      </c>
      <c r="AA312" s="3418" t="s">
        <v>40</v>
      </c>
      <c r="AB312" s="3418" t="s">
        <v>40</v>
      </c>
      <c r="AC312" s="3503"/>
      <c r="AD312" s="3503"/>
      <c r="AE312" s="3503" t="s">
        <v>40</v>
      </c>
      <c r="AF312" s="3503" t="s">
        <v>40</v>
      </c>
    </row>
    <row r="313" spans="1:32" ht="18" customHeight="1">
      <c r="A313" s="3330"/>
      <c r="B313" s="3517" t="s">
        <v>353</v>
      </c>
      <c r="C313" s="3503" t="s">
        <v>40</v>
      </c>
      <c r="D313" s="3432" t="s">
        <v>40</v>
      </c>
      <c r="E313" s="3432" t="s">
        <v>40</v>
      </c>
      <c r="F313" s="3418" t="s">
        <v>40</v>
      </c>
      <c r="G313" s="3418" t="s">
        <v>40</v>
      </c>
      <c r="H313" s="3503"/>
      <c r="I313" s="3503"/>
      <c r="J313" s="3503" t="s">
        <v>40</v>
      </c>
      <c r="K313" s="3503" t="s">
        <v>40</v>
      </c>
      <c r="L313" s="3503" t="s">
        <v>40</v>
      </c>
      <c r="M313" s="3503" t="s">
        <v>40</v>
      </c>
      <c r="N313" s="3503" t="s">
        <v>40</v>
      </c>
      <c r="O313" s="3503"/>
      <c r="P313" s="3418"/>
      <c r="Q313" s="3418" t="s">
        <v>40</v>
      </c>
      <c r="R313" s="3503" t="s">
        <v>40</v>
      </c>
      <c r="S313" s="3503" t="s">
        <v>40</v>
      </c>
      <c r="T313" s="3503" t="s">
        <v>40</v>
      </c>
      <c r="U313" s="3503" t="s">
        <v>40</v>
      </c>
      <c r="V313" s="3503"/>
      <c r="W313" s="3503"/>
      <c r="X313" s="3503" t="s">
        <v>40</v>
      </c>
      <c r="Y313" s="3432" t="s">
        <v>40</v>
      </c>
      <c r="Z313" s="3432" t="s">
        <v>40</v>
      </c>
      <c r="AA313" s="3418" t="s">
        <v>40</v>
      </c>
      <c r="AB313" s="3418" t="s">
        <v>40</v>
      </c>
      <c r="AC313" s="3503"/>
      <c r="AD313" s="3503"/>
      <c r="AE313" s="3503" t="s">
        <v>40</v>
      </c>
      <c r="AF313" s="3503" t="s">
        <v>40</v>
      </c>
    </row>
    <row r="314" spans="1:32" ht="18" customHeight="1">
      <c r="A314" s="3330"/>
      <c r="B314" s="3517" t="s">
        <v>354</v>
      </c>
      <c r="C314" s="3503" t="s">
        <v>40</v>
      </c>
      <c r="D314" s="3432" t="s">
        <v>40</v>
      </c>
      <c r="E314" s="3432" t="s">
        <v>40</v>
      </c>
      <c r="F314" s="3418" t="s">
        <v>40</v>
      </c>
      <c r="G314" s="3418" t="s">
        <v>40</v>
      </c>
      <c r="H314" s="3503"/>
      <c r="I314" s="3503"/>
      <c r="J314" s="3503" t="s">
        <v>40</v>
      </c>
      <c r="K314" s="3503" t="s">
        <v>40</v>
      </c>
      <c r="L314" s="3503" t="s">
        <v>40</v>
      </c>
      <c r="M314" s="3503" t="s">
        <v>40</v>
      </c>
      <c r="N314" s="3503" t="s">
        <v>40</v>
      </c>
      <c r="O314" s="3503"/>
      <c r="P314" s="3418"/>
      <c r="Q314" s="3418" t="s">
        <v>40</v>
      </c>
      <c r="R314" s="3503" t="s">
        <v>40</v>
      </c>
      <c r="S314" s="3503" t="s">
        <v>40</v>
      </c>
      <c r="T314" s="3503" t="s">
        <v>40</v>
      </c>
      <c r="U314" s="3503" t="s">
        <v>40</v>
      </c>
      <c r="V314" s="3503"/>
      <c r="W314" s="3503"/>
      <c r="X314" s="3503" t="s">
        <v>40</v>
      </c>
      <c r="Y314" s="3432" t="s">
        <v>40</v>
      </c>
      <c r="Z314" s="3432" t="s">
        <v>40</v>
      </c>
      <c r="AA314" s="3418" t="s">
        <v>40</v>
      </c>
      <c r="AB314" s="3418" t="s">
        <v>40</v>
      </c>
      <c r="AC314" s="3503"/>
      <c r="AD314" s="3503"/>
      <c r="AE314" s="3503" t="s">
        <v>40</v>
      </c>
      <c r="AF314" s="3503" t="s">
        <v>40</v>
      </c>
    </row>
    <row r="315" spans="1:32" ht="18" customHeight="1">
      <c r="A315" s="3330"/>
      <c r="B315" s="3517" t="s">
        <v>355</v>
      </c>
      <c r="C315" s="3503" t="s">
        <v>40</v>
      </c>
      <c r="D315" s="3432" t="s">
        <v>40</v>
      </c>
      <c r="E315" s="3432" t="s">
        <v>40</v>
      </c>
      <c r="F315" s="3418" t="s">
        <v>40</v>
      </c>
      <c r="G315" s="3418" t="s">
        <v>40</v>
      </c>
      <c r="H315" s="3503"/>
      <c r="I315" s="3503"/>
      <c r="J315" s="3503" t="s">
        <v>40</v>
      </c>
      <c r="K315" s="3503" t="s">
        <v>40</v>
      </c>
      <c r="L315" s="3503" t="s">
        <v>40</v>
      </c>
      <c r="M315" s="3503" t="s">
        <v>40</v>
      </c>
      <c r="N315" s="3503" t="s">
        <v>40</v>
      </c>
      <c r="O315" s="3503"/>
      <c r="P315" s="3418"/>
      <c r="Q315" s="3418" t="s">
        <v>40</v>
      </c>
      <c r="R315" s="3503" t="s">
        <v>40</v>
      </c>
      <c r="S315" s="3503" t="s">
        <v>40</v>
      </c>
      <c r="T315" s="3503" t="s">
        <v>40</v>
      </c>
      <c r="U315" s="3503" t="s">
        <v>40</v>
      </c>
      <c r="V315" s="3503"/>
      <c r="W315" s="3503"/>
      <c r="X315" s="3503" t="s">
        <v>40</v>
      </c>
      <c r="Y315" s="3432" t="s">
        <v>40</v>
      </c>
      <c r="Z315" s="3432" t="s">
        <v>40</v>
      </c>
      <c r="AA315" s="3418" t="s">
        <v>40</v>
      </c>
      <c r="AB315" s="3418" t="s">
        <v>40</v>
      </c>
      <c r="AC315" s="3503"/>
      <c r="AD315" s="3503"/>
      <c r="AE315" s="3503" t="s">
        <v>40</v>
      </c>
      <c r="AF315" s="3503" t="s">
        <v>40</v>
      </c>
    </row>
    <row r="316" spans="1:32" ht="18" customHeight="1">
      <c r="A316" s="3330"/>
      <c r="B316" s="3517" t="s">
        <v>237</v>
      </c>
      <c r="C316" s="3503" t="s">
        <v>40</v>
      </c>
      <c r="D316" s="3432" t="s">
        <v>40</v>
      </c>
      <c r="E316" s="3432" t="s">
        <v>40</v>
      </c>
      <c r="F316" s="3418" t="s">
        <v>40</v>
      </c>
      <c r="G316" s="3418" t="s">
        <v>40</v>
      </c>
      <c r="H316" s="3503"/>
      <c r="I316" s="3503"/>
      <c r="J316" s="3503" t="s">
        <v>40</v>
      </c>
      <c r="K316" s="3503" t="s">
        <v>40</v>
      </c>
      <c r="L316" s="3503" t="s">
        <v>40</v>
      </c>
      <c r="M316" s="3503" t="s">
        <v>40</v>
      </c>
      <c r="N316" s="3503" t="s">
        <v>40</v>
      </c>
      <c r="O316" s="3503"/>
      <c r="P316" s="3418"/>
      <c r="Q316" s="3418" t="s">
        <v>40</v>
      </c>
      <c r="R316" s="3503" t="s">
        <v>40</v>
      </c>
      <c r="S316" s="3503" t="s">
        <v>40</v>
      </c>
      <c r="T316" s="3503" t="s">
        <v>40</v>
      </c>
      <c r="U316" s="3503" t="s">
        <v>40</v>
      </c>
      <c r="V316" s="3503"/>
      <c r="W316" s="3503"/>
      <c r="X316" s="3503" t="s">
        <v>40</v>
      </c>
      <c r="Y316" s="3432" t="s">
        <v>40</v>
      </c>
      <c r="Z316" s="3432" t="s">
        <v>40</v>
      </c>
      <c r="AA316" s="3418" t="s">
        <v>40</v>
      </c>
      <c r="AB316" s="3418" t="s">
        <v>40</v>
      </c>
      <c r="AC316" s="3503"/>
      <c r="AD316" s="3503"/>
      <c r="AE316" s="3503" t="s">
        <v>40</v>
      </c>
      <c r="AF316" s="3503" t="s">
        <v>40</v>
      </c>
    </row>
    <row r="317" spans="1:32" ht="18" customHeight="1">
      <c r="A317" s="3330"/>
      <c r="B317" s="3517" t="s">
        <v>356</v>
      </c>
      <c r="C317" s="3503" t="s">
        <v>40</v>
      </c>
      <c r="D317" s="3432" t="s">
        <v>40</v>
      </c>
      <c r="E317" s="3432" t="s">
        <v>40</v>
      </c>
      <c r="F317" s="3418" t="s">
        <v>40</v>
      </c>
      <c r="G317" s="3418" t="s">
        <v>40</v>
      </c>
      <c r="H317" s="3503"/>
      <c r="I317" s="3503"/>
      <c r="J317" s="3503" t="s">
        <v>40</v>
      </c>
      <c r="K317" s="3503" t="s">
        <v>40</v>
      </c>
      <c r="L317" s="3503" t="s">
        <v>40</v>
      </c>
      <c r="M317" s="3503" t="s">
        <v>40</v>
      </c>
      <c r="N317" s="3503" t="s">
        <v>40</v>
      </c>
      <c r="O317" s="3503"/>
      <c r="P317" s="3418"/>
      <c r="Q317" s="3418" t="s">
        <v>40</v>
      </c>
      <c r="R317" s="3503" t="s">
        <v>40</v>
      </c>
      <c r="S317" s="3503" t="s">
        <v>40</v>
      </c>
      <c r="T317" s="3503" t="s">
        <v>40</v>
      </c>
      <c r="U317" s="3503" t="s">
        <v>40</v>
      </c>
      <c r="V317" s="3503"/>
      <c r="W317" s="3503"/>
      <c r="X317" s="3503" t="s">
        <v>40</v>
      </c>
      <c r="Y317" s="3432" t="s">
        <v>40</v>
      </c>
      <c r="Z317" s="3432" t="s">
        <v>40</v>
      </c>
      <c r="AA317" s="3418" t="s">
        <v>40</v>
      </c>
      <c r="AB317" s="3418" t="s">
        <v>40</v>
      </c>
      <c r="AC317" s="3503"/>
      <c r="AD317" s="3503"/>
      <c r="AE317" s="3503" t="s">
        <v>40</v>
      </c>
      <c r="AF317" s="3503" t="s">
        <v>40</v>
      </c>
    </row>
    <row r="318" spans="1:32" ht="18" customHeight="1">
      <c r="A318" s="3330"/>
      <c r="B318" s="3517" t="s">
        <v>357</v>
      </c>
      <c r="C318" s="3503" t="s">
        <v>40</v>
      </c>
      <c r="D318" s="3432" t="s">
        <v>40</v>
      </c>
      <c r="E318" s="3432" t="s">
        <v>40</v>
      </c>
      <c r="F318" s="3418" t="s">
        <v>40</v>
      </c>
      <c r="G318" s="3418" t="s">
        <v>40</v>
      </c>
      <c r="H318" s="3503"/>
      <c r="I318" s="3503"/>
      <c r="J318" s="3503" t="s">
        <v>40</v>
      </c>
      <c r="K318" s="3503" t="s">
        <v>40</v>
      </c>
      <c r="L318" s="3503" t="s">
        <v>40</v>
      </c>
      <c r="M318" s="3503" t="s">
        <v>40</v>
      </c>
      <c r="N318" s="3503" t="s">
        <v>40</v>
      </c>
      <c r="O318" s="3503"/>
      <c r="P318" s="3418"/>
      <c r="Q318" s="3418" t="s">
        <v>40</v>
      </c>
      <c r="R318" s="3503" t="s">
        <v>40</v>
      </c>
      <c r="S318" s="3503" t="s">
        <v>40</v>
      </c>
      <c r="T318" s="3503" t="s">
        <v>40</v>
      </c>
      <c r="U318" s="3503" t="s">
        <v>40</v>
      </c>
      <c r="V318" s="3503"/>
      <c r="W318" s="3503"/>
      <c r="X318" s="3503" t="s">
        <v>40</v>
      </c>
      <c r="Y318" s="3432" t="s">
        <v>40</v>
      </c>
      <c r="Z318" s="3432" t="s">
        <v>40</v>
      </c>
      <c r="AA318" s="3418" t="s">
        <v>40</v>
      </c>
      <c r="AB318" s="3418" t="s">
        <v>40</v>
      </c>
      <c r="AC318" s="3503"/>
      <c r="AD318" s="3503"/>
      <c r="AE318" s="3503" t="s">
        <v>40</v>
      </c>
      <c r="AF318" s="3503" t="s">
        <v>40</v>
      </c>
    </row>
    <row r="319" spans="1:32" ht="18" customHeight="1">
      <c r="A319" s="3353"/>
      <c r="B319" s="3628" t="s">
        <v>358</v>
      </c>
      <c r="C319" s="3503" t="s">
        <v>40</v>
      </c>
      <c r="D319" s="3432" t="s">
        <v>40</v>
      </c>
      <c r="E319" s="3432" t="s">
        <v>40</v>
      </c>
      <c r="F319" s="3418" t="s">
        <v>40</v>
      </c>
      <c r="G319" s="3418" t="s">
        <v>40</v>
      </c>
      <c r="H319" s="3503"/>
      <c r="I319" s="3503"/>
      <c r="J319" s="3503" t="s">
        <v>40</v>
      </c>
      <c r="K319" s="3503" t="s">
        <v>40</v>
      </c>
      <c r="L319" s="3503" t="s">
        <v>40</v>
      </c>
      <c r="M319" s="3503" t="s">
        <v>40</v>
      </c>
      <c r="N319" s="3503" t="s">
        <v>40</v>
      </c>
      <c r="O319" s="3503"/>
      <c r="P319" s="3418"/>
      <c r="Q319" s="3418" t="s">
        <v>40</v>
      </c>
      <c r="R319" s="3503" t="s">
        <v>40</v>
      </c>
      <c r="S319" s="3503" t="s">
        <v>40</v>
      </c>
      <c r="T319" s="3503" t="s">
        <v>40</v>
      </c>
      <c r="U319" s="3503" t="s">
        <v>40</v>
      </c>
      <c r="V319" s="3503"/>
      <c r="W319" s="3503"/>
      <c r="X319" s="3503" t="s">
        <v>40</v>
      </c>
      <c r="Y319" s="3432" t="s">
        <v>40</v>
      </c>
      <c r="Z319" s="3432" t="s">
        <v>40</v>
      </c>
      <c r="AA319" s="3418" t="s">
        <v>40</v>
      </c>
      <c r="AB319" s="3418" t="s">
        <v>40</v>
      </c>
      <c r="AC319" s="3503"/>
      <c r="AD319" s="3503"/>
      <c r="AE319" s="3503" t="s">
        <v>40</v>
      </c>
      <c r="AF319" s="3503" t="s">
        <v>40</v>
      </c>
    </row>
  </sheetData>
  <sheetProtection algorithmName="SHA-512" hashValue="Q9MEFBneclYzx9OQFoVJDscRAa9Lzl1EL8zm/fGB38cxCZ4ccLA1ecHIQOb1hDaQmVgO8jgjvfnVQq8VdLRWUA==" saltValue="DWqH0XAt6O79hj9J6xhD5Q==" spinCount="100000" sheet="1" objects="1" scenarios="1"/>
  <mergeCells count="3">
    <mergeCell ref="T35:Z35"/>
    <mergeCell ref="C3:F3"/>
    <mergeCell ref="AB3:AE3"/>
  </mergeCells>
  <phoneticPr fontId="10" type="noConversion"/>
  <pageMargins left="0.7" right="0.7" top="0.75" bottom="0.75" header="0.3" footer="0.3"/>
  <pageSetup paperSize="9" orientation="landscape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D9037-D919-4B0F-A4EB-9FA0387B1AD0}">
  <sheetPr codeName="Ark27">
    <pageSetUpPr fitToPage="1"/>
  </sheetPr>
  <dimension ref="A1:AP319"/>
  <sheetViews>
    <sheetView zoomScale="90" zoomScaleNormal="90" workbookViewId="0">
      <pane ySplit="1" topLeftCell="A63" activePane="bottomLeft" state="frozen"/>
      <selection pane="bottomLeft" activeCell="A148" sqref="A148"/>
    </sheetView>
  </sheetViews>
  <sheetFormatPr defaultRowHeight="12"/>
  <cols>
    <col min="2" max="2" width="31.28515625" customWidth="1"/>
    <col min="3" max="32" width="4.5703125" customWidth="1"/>
    <col min="33" max="33" width="4.28515625" customWidth="1"/>
  </cols>
  <sheetData>
    <row r="1" spans="1:33">
      <c r="B1" s="2984" t="s">
        <v>521</v>
      </c>
      <c r="C1" s="2985">
        <v>1</v>
      </c>
      <c r="D1" s="2985">
        <v>2</v>
      </c>
      <c r="E1" s="2985">
        <v>3</v>
      </c>
      <c r="F1" s="2986">
        <v>4</v>
      </c>
      <c r="G1" s="2986">
        <v>5</v>
      </c>
      <c r="H1" s="2985">
        <v>6</v>
      </c>
      <c r="I1" s="2985">
        <v>7</v>
      </c>
      <c r="J1" s="2985">
        <v>8</v>
      </c>
      <c r="K1" s="2985">
        <v>9</v>
      </c>
      <c r="L1" s="2985">
        <v>10</v>
      </c>
      <c r="M1" s="2986">
        <v>11</v>
      </c>
      <c r="N1" s="2986">
        <v>12</v>
      </c>
      <c r="O1" s="2985">
        <v>13</v>
      </c>
      <c r="P1" s="2985">
        <v>14</v>
      </c>
      <c r="Q1" s="2985">
        <v>15</v>
      </c>
      <c r="R1" s="2985">
        <v>16</v>
      </c>
      <c r="S1" s="2985">
        <v>17</v>
      </c>
      <c r="T1" s="2986">
        <v>18</v>
      </c>
      <c r="U1" s="2986">
        <v>19</v>
      </c>
      <c r="V1" s="2985">
        <v>20</v>
      </c>
      <c r="W1" s="2985">
        <v>21</v>
      </c>
      <c r="X1" s="2985">
        <v>22</v>
      </c>
      <c r="Y1" s="2985">
        <v>23</v>
      </c>
      <c r="Z1" s="2985">
        <v>24</v>
      </c>
      <c r="AA1" s="2986">
        <v>25</v>
      </c>
      <c r="AB1" s="2986">
        <v>26</v>
      </c>
      <c r="AC1" s="2985">
        <v>27</v>
      </c>
      <c r="AD1" s="2985">
        <v>28</v>
      </c>
      <c r="AE1" s="2985">
        <v>29</v>
      </c>
      <c r="AF1" s="2985">
        <v>30</v>
      </c>
      <c r="AG1" s="2985">
        <v>31</v>
      </c>
    </row>
    <row r="2" spans="1:33" ht="18" customHeight="1">
      <c r="A2" t="s">
        <v>0</v>
      </c>
      <c r="B2" s="864" t="s">
        <v>1</v>
      </c>
      <c r="U2" t="s">
        <v>359</v>
      </c>
    </row>
    <row r="3" spans="1:33" ht="18" customHeight="1">
      <c r="B3" s="3728" t="s">
        <v>2</v>
      </c>
      <c r="C3" s="3729" t="s">
        <v>3</v>
      </c>
      <c r="D3" s="3730"/>
      <c r="E3" s="3731" t="s">
        <v>4</v>
      </c>
      <c r="F3" s="3732"/>
      <c r="G3" s="3733"/>
      <c r="H3" s="3733"/>
      <c r="I3" s="3733"/>
      <c r="J3" s="3733"/>
      <c r="K3" s="3734"/>
      <c r="L3" s="3735" t="s">
        <v>5</v>
      </c>
      <c r="M3" s="3736"/>
      <c r="N3" s="3737"/>
      <c r="O3" s="3738" t="s">
        <v>6</v>
      </c>
      <c r="P3" s="3739"/>
      <c r="Q3" s="3740"/>
      <c r="R3" s="3741"/>
      <c r="S3" s="3742" t="s">
        <v>7</v>
      </c>
      <c r="T3" s="3743"/>
      <c r="U3" s="3744"/>
      <c r="V3" s="3743"/>
      <c r="W3" s="3745" t="s">
        <v>8</v>
      </c>
      <c r="X3" s="3746"/>
      <c r="Y3" s="3747"/>
      <c r="Z3" s="98" t="s">
        <v>9</v>
      </c>
      <c r="AA3" s="3748"/>
      <c r="AB3" s="3749"/>
      <c r="AC3" s="3750"/>
      <c r="AD3" s="3751" t="s">
        <v>10</v>
      </c>
      <c r="AE3" s="3752"/>
      <c r="AF3" s="3752"/>
    </row>
    <row r="4" spans="1:33" ht="18" customHeight="1">
      <c r="A4" s="1"/>
      <c r="B4" s="3753" t="s">
        <v>11</v>
      </c>
      <c r="C4" s="3754" t="s">
        <v>12</v>
      </c>
      <c r="D4" s="3755"/>
      <c r="E4" s="3755"/>
      <c r="F4" s="3756"/>
      <c r="G4" s="518"/>
      <c r="H4" s="519" t="s">
        <v>10</v>
      </c>
      <c r="I4" s="520"/>
      <c r="J4" s="520"/>
      <c r="K4" s="521"/>
      <c r="L4" s="3757" t="s">
        <v>13</v>
      </c>
      <c r="M4" s="3758"/>
      <c r="N4" s="3759"/>
      <c r="O4" s="520"/>
      <c r="P4" s="520"/>
      <c r="Q4" s="520"/>
      <c r="R4" s="520"/>
      <c r="S4" s="516"/>
      <c r="T4" s="505" t="s">
        <v>14</v>
      </c>
      <c r="U4" s="522"/>
      <c r="V4" s="523"/>
      <c r="W4" s="524"/>
      <c r="X4" s="551"/>
      <c r="Y4" s="3760" t="s">
        <v>15</v>
      </c>
      <c r="Z4" s="3761"/>
      <c r="AA4" s="3761"/>
      <c r="AB4" s="3387" t="s">
        <v>16</v>
      </c>
      <c r="AC4" s="3388"/>
      <c r="AD4" s="3388"/>
      <c r="AE4" s="3388"/>
    </row>
    <row r="5" spans="1:33" ht="18" customHeight="1">
      <c r="A5" s="96" t="s">
        <v>17</v>
      </c>
      <c r="B5" s="22"/>
      <c r="C5" s="4"/>
      <c r="D5" s="48"/>
      <c r="E5" s="48"/>
      <c r="F5" s="48"/>
      <c r="G5" s="48"/>
      <c r="H5" s="4"/>
      <c r="I5" s="48"/>
      <c r="J5" s="48"/>
      <c r="K5" s="6"/>
      <c r="L5" s="48"/>
      <c r="M5" s="6"/>
      <c r="N5" s="6"/>
      <c r="O5" s="48"/>
      <c r="P5" s="48"/>
      <c r="Q5" s="48"/>
      <c r="R5" s="48"/>
      <c r="T5" s="6"/>
      <c r="U5" s="4"/>
      <c r="W5" s="48"/>
      <c r="X5" s="48"/>
      <c r="Y5" s="4"/>
      <c r="Z5" s="48"/>
      <c r="AB5" s="48"/>
      <c r="AC5" s="48"/>
      <c r="AD5" s="48"/>
      <c r="AE5" s="48"/>
      <c r="AF5" s="48"/>
    </row>
    <row r="6" spans="1:33" ht="18" customHeight="1">
      <c r="A6" s="96" t="s">
        <v>18</v>
      </c>
      <c r="B6" s="1"/>
      <c r="C6" s="3762"/>
      <c r="D6" s="3763" t="s">
        <v>19</v>
      </c>
      <c r="E6" s="3764"/>
      <c r="F6" s="3762"/>
      <c r="G6" s="3763" t="s">
        <v>20</v>
      </c>
      <c r="H6" s="3764"/>
      <c r="I6" s="3762"/>
      <c r="J6" s="3763" t="s">
        <v>21</v>
      </c>
      <c r="K6" s="3764"/>
      <c r="L6" s="3762"/>
      <c r="M6" s="3763" t="s">
        <v>22</v>
      </c>
      <c r="N6" s="3764"/>
      <c r="O6" s="3762"/>
      <c r="P6" s="3763" t="s">
        <v>23</v>
      </c>
      <c r="Q6" s="3764"/>
      <c r="R6" s="3762"/>
      <c r="S6" s="3763" t="s">
        <v>24</v>
      </c>
      <c r="T6" s="3765"/>
      <c r="U6" s="3766"/>
      <c r="V6" s="3767" t="s">
        <v>25</v>
      </c>
      <c r="W6" s="3765"/>
    </row>
    <row r="7" spans="1:33" ht="18" customHeight="1">
      <c r="A7" s="3395"/>
      <c r="B7" s="3396" t="s">
        <v>26</v>
      </c>
      <c r="C7" s="3397" t="s">
        <v>27</v>
      </c>
      <c r="D7" s="3398"/>
      <c r="E7" s="3399"/>
      <c r="F7" s="3397" t="s">
        <v>27</v>
      </c>
      <c r="G7" s="3400"/>
      <c r="H7" s="3400"/>
      <c r="I7" s="3397" t="s">
        <v>27</v>
      </c>
      <c r="J7" s="3400"/>
      <c r="K7" s="3399"/>
      <c r="L7" s="3397" t="s">
        <v>27</v>
      </c>
      <c r="M7" s="3400"/>
      <c r="N7" s="3399"/>
      <c r="O7" s="3397" t="s">
        <v>28</v>
      </c>
      <c r="P7" s="3400"/>
      <c r="Q7" s="3399"/>
      <c r="R7" s="3400"/>
      <c r="S7" s="3400"/>
      <c r="T7" s="3400"/>
      <c r="U7" s="3396"/>
      <c r="V7" s="3400"/>
      <c r="W7" s="3399"/>
      <c r="X7" s="3400"/>
      <c r="Y7" s="3400"/>
      <c r="Z7" s="3400"/>
      <c r="AA7" s="3400"/>
      <c r="AB7" s="3404"/>
      <c r="AC7" s="3399"/>
      <c r="AD7" s="111"/>
      <c r="AE7" s="111"/>
      <c r="AF7" s="111"/>
    </row>
    <row r="8" spans="1:33" ht="18" customHeight="1">
      <c r="A8" s="3396"/>
      <c r="B8" s="3396" t="s">
        <v>29</v>
      </c>
      <c r="C8" s="3406" t="s">
        <v>30</v>
      </c>
      <c r="D8" s="3407"/>
      <c r="E8" s="3408"/>
      <c r="F8" s="3406" t="s">
        <v>30</v>
      </c>
      <c r="G8" s="3407"/>
      <c r="H8" s="3407"/>
      <c r="I8" s="3406" t="s">
        <v>30</v>
      </c>
      <c r="J8" s="3407"/>
      <c r="K8" s="3408"/>
      <c r="L8" s="3406" t="s">
        <v>30</v>
      </c>
      <c r="M8" s="3407"/>
      <c r="N8" s="3407"/>
      <c r="O8" s="3406" t="s">
        <v>30</v>
      </c>
      <c r="P8" s="3407"/>
      <c r="Q8" s="3408"/>
      <c r="R8" s="1491" t="s">
        <v>31</v>
      </c>
      <c r="S8" s="1492"/>
      <c r="T8" s="1492"/>
      <c r="U8" s="3768" t="s">
        <v>31</v>
      </c>
      <c r="V8" s="1492"/>
      <c r="W8" s="1493"/>
      <c r="X8" s="3400"/>
      <c r="Y8" s="3400"/>
      <c r="Z8" s="3400"/>
      <c r="AA8" s="3400"/>
      <c r="AB8" s="3413"/>
      <c r="AC8" s="3399"/>
      <c r="AD8" s="111"/>
      <c r="AE8" s="111"/>
      <c r="AF8" s="111"/>
    </row>
    <row r="9" spans="1:33" ht="18" customHeight="1">
      <c r="A9" s="3396"/>
      <c r="B9" s="3396" t="s">
        <v>32</v>
      </c>
      <c r="C9" s="3397" t="s">
        <v>33</v>
      </c>
      <c r="D9" s="3407"/>
      <c r="E9" s="3408"/>
      <c r="F9" s="3397" t="s">
        <v>33</v>
      </c>
      <c r="G9" s="3400"/>
      <c r="H9" s="3400"/>
      <c r="I9" s="3397" t="s">
        <v>33</v>
      </c>
      <c r="J9" s="3400"/>
      <c r="K9" s="3399"/>
      <c r="L9" s="3397" t="s">
        <v>33</v>
      </c>
      <c r="M9" s="3400"/>
      <c r="N9" s="3399"/>
      <c r="O9" s="3397" t="s">
        <v>33</v>
      </c>
      <c r="P9" s="3400"/>
      <c r="Q9" s="3399"/>
      <c r="R9" s="3769" t="s">
        <v>34</v>
      </c>
      <c r="S9" s="3400"/>
      <c r="T9" s="3400"/>
      <c r="U9" s="3397" t="s">
        <v>35</v>
      </c>
      <c r="V9" s="3400"/>
      <c r="W9" s="3399"/>
      <c r="X9" s="3400"/>
      <c r="Y9" s="3400"/>
      <c r="Z9" s="3400"/>
      <c r="AA9" s="3400"/>
      <c r="AB9" s="3413"/>
      <c r="AC9" s="3399"/>
      <c r="AD9" s="111"/>
      <c r="AE9" s="111"/>
      <c r="AF9" s="111"/>
    </row>
    <row r="10" spans="1:33" ht="18" customHeight="1">
      <c r="A10" s="96" t="s">
        <v>10</v>
      </c>
    </row>
    <row r="11" spans="1:33" ht="18" customHeight="1">
      <c r="A11" s="96" t="s">
        <v>10</v>
      </c>
      <c r="AG11" s="103"/>
    </row>
    <row r="12" spans="1:33" ht="18" customHeight="1">
      <c r="AG12" s="105"/>
    </row>
    <row r="13" spans="1:33" ht="18" customHeight="1" thickBot="1">
      <c r="B13" s="60" t="s">
        <v>36</v>
      </c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104"/>
    </row>
    <row r="14" spans="1:33" ht="18" customHeight="1" thickBot="1">
      <c r="A14" s="2983" t="s">
        <v>37</v>
      </c>
      <c r="B14" s="2984" t="s">
        <v>38</v>
      </c>
      <c r="C14" s="2985">
        <v>1</v>
      </c>
      <c r="D14" s="2985">
        <v>2</v>
      </c>
      <c r="E14" s="2985">
        <v>3</v>
      </c>
      <c r="F14" s="2986">
        <v>4</v>
      </c>
      <c r="G14" s="2986">
        <v>5</v>
      </c>
      <c r="H14" s="2985">
        <v>6</v>
      </c>
      <c r="I14" s="2985">
        <v>7</v>
      </c>
      <c r="J14" s="2985">
        <v>8</v>
      </c>
      <c r="K14" s="2985">
        <v>9</v>
      </c>
      <c r="L14" s="2985">
        <v>10</v>
      </c>
      <c r="M14" s="2986">
        <v>11</v>
      </c>
      <c r="N14" s="2986">
        <v>12</v>
      </c>
      <c r="O14" s="2985">
        <v>13</v>
      </c>
      <c r="P14" s="2985">
        <v>14</v>
      </c>
      <c r="Q14" s="2985">
        <v>15</v>
      </c>
      <c r="R14" s="2985">
        <v>16</v>
      </c>
      <c r="S14" s="2985">
        <v>17</v>
      </c>
      <c r="T14" s="2986">
        <v>18</v>
      </c>
      <c r="U14" s="2986">
        <v>19</v>
      </c>
      <c r="V14" s="2985">
        <v>20</v>
      </c>
      <c r="W14" s="2985">
        <v>21</v>
      </c>
      <c r="X14" s="2985">
        <v>22</v>
      </c>
      <c r="Y14" s="2985">
        <v>23</v>
      </c>
      <c r="Z14" s="2985">
        <v>24</v>
      </c>
      <c r="AA14" s="2986">
        <v>25</v>
      </c>
      <c r="AB14" s="2986">
        <v>26</v>
      </c>
      <c r="AC14" s="2985">
        <v>27</v>
      </c>
      <c r="AD14" s="2985">
        <v>28</v>
      </c>
      <c r="AE14" s="2985">
        <v>29</v>
      </c>
      <c r="AF14" s="2985">
        <v>30</v>
      </c>
      <c r="AG14" s="2985">
        <v>31</v>
      </c>
    </row>
    <row r="15" spans="1:33" ht="18" customHeight="1">
      <c r="A15" s="2987">
        <v>8500</v>
      </c>
      <c r="B15" s="2988" t="s">
        <v>39</v>
      </c>
      <c r="C15" s="3770" t="s">
        <v>40</v>
      </c>
      <c r="D15" s="3770" t="s">
        <v>40</v>
      </c>
      <c r="E15" s="3770" t="s">
        <v>40</v>
      </c>
      <c r="F15" s="2990"/>
      <c r="G15" s="2990"/>
      <c r="H15" s="2990" t="s">
        <v>40</v>
      </c>
      <c r="I15" s="2990" t="s">
        <v>40</v>
      </c>
      <c r="J15" s="2990" t="s">
        <v>40</v>
      </c>
      <c r="K15" s="2990" t="s">
        <v>40</v>
      </c>
      <c r="L15" s="3771" t="s">
        <v>40</v>
      </c>
      <c r="M15" s="2990"/>
      <c r="N15" s="2990"/>
      <c r="O15" s="2990" t="s">
        <v>40</v>
      </c>
      <c r="P15" s="2990" t="s">
        <v>40</v>
      </c>
      <c r="Q15" s="2990" t="s">
        <v>40</v>
      </c>
      <c r="R15" s="2990" t="s">
        <v>40</v>
      </c>
      <c r="S15" s="2990" t="s">
        <v>40</v>
      </c>
      <c r="T15" s="2990"/>
      <c r="U15" s="2990"/>
      <c r="V15" s="2990" t="s">
        <v>40</v>
      </c>
      <c r="W15" s="2990" t="s">
        <v>40</v>
      </c>
      <c r="X15" s="2990" t="s">
        <v>40</v>
      </c>
      <c r="Y15" s="2990" t="s">
        <v>40</v>
      </c>
      <c r="Z15" s="2990" t="s">
        <v>40</v>
      </c>
      <c r="AA15" s="2990"/>
      <c r="AB15" s="2990"/>
      <c r="AC15" s="2990" t="s">
        <v>40</v>
      </c>
      <c r="AD15" s="2990" t="s">
        <v>40</v>
      </c>
      <c r="AE15" s="2990" t="s">
        <v>40</v>
      </c>
      <c r="AF15" s="2990" t="s">
        <v>40</v>
      </c>
      <c r="AG15" s="2990" t="s">
        <v>40</v>
      </c>
    </row>
    <row r="16" spans="1:33" ht="18" customHeight="1">
      <c r="A16" s="3772">
        <v>8546</v>
      </c>
      <c r="B16" s="3773" t="s">
        <v>41</v>
      </c>
      <c r="C16" s="3774" t="s">
        <v>26</v>
      </c>
      <c r="D16" s="3774" t="s">
        <v>26</v>
      </c>
      <c r="E16" s="3774" t="s">
        <v>26</v>
      </c>
      <c r="F16" s="3771"/>
      <c r="G16" s="3771"/>
      <c r="H16" s="3771" t="s">
        <v>40</v>
      </c>
      <c r="I16" s="3771" t="s">
        <v>40</v>
      </c>
      <c r="J16" s="3771" t="s">
        <v>40</v>
      </c>
      <c r="K16" s="3771" t="s">
        <v>40</v>
      </c>
      <c r="L16" s="3771" t="s">
        <v>40</v>
      </c>
      <c r="M16" s="3771"/>
      <c r="N16" s="3771"/>
      <c r="O16" s="3775" t="s">
        <v>40</v>
      </c>
      <c r="P16" s="3775" t="s">
        <v>40</v>
      </c>
      <c r="Q16" s="3775" t="s">
        <v>40</v>
      </c>
      <c r="R16" s="3775" t="s">
        <v>40</v>
      </c>
      <c r="S16" s="3775" t="s">
        <v>40</v>
      </c>
      <c r="T16" s="3775"/>
      <c r="U16" s="3775"/>
      <c r="V16" s="3771" t="s">
        <v>40</v>
      </c>
      <c r="W16" s="3771" t="s">
        <v>40</v>
      </c>
      <c r="X16" s="3771" t="s">
        <v>40</v>
      </c>
      <c r="Y16" s="3771" t="s">
        <v>40</v>
      </c>
      <c r="Z16" s="3771" t="s">
        <v>40</v>
      </c>
      <c r="AA16" s="3771"/>
      <c r="AB16" s="3771"/>
      <c r="AC16" s="3771" t="s">
        <v>40</v>
      </c>
      <c r="AD16" s="3771" t="s">
        <v>40</v>
      </c>
      <c r="AE16" s="3771" t="s">
        <v>40</v>
      </c>
      <c r="AF16" s="3771" t="s">
        <v>40</v>
      </c>
      <c r="AG16" s="3771" t="s">
        <v>40</v>
      </c>
    </row>
    <row r="17" spans="1:34" ht="18" customHeight="1" thickBot="1">
      <c r="A17" s="3010" t="s">
        <v>44</v>
      </c>
      <c r="B17" s="3776"/>
      <c r="C17" s="506"/>
      <c r="D17" s="506"/>
      <c r="E17" s="506"/>
      <c r="F17" s="506"/>
      <c r="G17" s="506"/>
      <c r="H17" s="506"/>
      <c r="I17" s="506"/>
      <c r="J17" s="506"/>
      <c r="K17" s="506"/>
      <c r="L17" s="506"/>
      <c r="M17" s="506"/>
      <c r="N17" s="506"/>
      <c r="O17" s="506"/>
      <c r="P17" s="506"/>
      <c r="Q17" s="506"/>
      <c r="R17" s="506"/>
      <c r="S17" s="506"/>
      <c r="T17" s="506"/>
      <c r="U17" s="506"/>
      <c r="V17" s="506"/>
      <c r="W17" s="506"/>
      <c r="X17" s="506"/>
      <c r="Y17" s="506"/>
      <c r="Z17" s="506"/>
      <c r="AA17" s="506"/>
      <c r="AB17" s="506"/>
      <c r="AC17" s="506"/>
      <c r="AD17" s="506"/>
      <c r="AE17" s="506"/>
      <c r="AF17" s="506"/>
      <c r="AG17" s="506"/>
    </row>
    <row r="18" spans="1:34" ht="18" customHeight="1">
      <c r="A18" s="3012">
        <v>8546</v>
      </c>
      <c r="B18" s="507" t="s">
        <v>45</v>
      </c>
      <c r="C18" s="3777" t="s">
        <v>43</v>
      </c>
      <c r="D18" s="3777" t="s">
        <v>43</v>
      </c>
      <c r="E18" s="3777" t="s">
        <v>43</v>
      </c>
      <c r="F18" s="3777"/>
      <c r="G18" s="3777"/>
      <c r="H18" s="3777" t="s">
        <v>46</v>
      </c>
      <c r="I18" s="3777" t="s">
        <v>46</v>
      </c>
      <c r="J18" s="3777" t="s">
        <v>46</v>
      </c>
      <c r="K18" s="3777" t="s">
        <v>46</v>
      </c>
      <c r="L18" s="3777" t="s">
        <v>46</v>
      </c>
      <c r="M18" s="3777" t="s">
        <v>49</v>
      </c>
      <c r="N18" s="3777" t="s">
        <v>49</v>
      </c>
      <c r="O18" s="3777" t="s">
        <v>50</v>
      </c>
      <c r="P18" s="3777" t="s">
        <v>50</v>
      </c>
      <c r="Q18" s="3777" t="s">
        <v>50</v>
      </c>
      <c r="R18" s="3777" t="s">
        <v>50</v>
      </c>
      <c r="S18" s="3777" t="s">
        <v>50</v>
      </c>
      <c r="T18" s="3777"/>
      <c r="U18" s="3777"/>
      <c r="V18" s="3777" t="s">
        <v>46</v>
      </c>
      <c r="W18" s="3777" t="s">
        <v>46</v>
      </c>
      <c r="X18" s="3777" t="s">
        <v>46</v>
      </c>
      <c r="Y18" s="3777" t="s">
        <v>46</v>
      </c>
      <c r="Z18" s="3777" t="s">
        <v>46</v>
      </c>
      <c r="AA18" s="3777" t="s">
        <v>47</v>
      </c>
      <c r="AB18" s="3777" t="s">
        <v>47</v>
      </c>
      <c r="AC18" s="3777" t="s">
        <v>26</v>
      </c>
      <c r="AD18" s="3777" t="s">
        <v>26</v>
      </c>
      <c r="AE18" s="3777" t="s">
        <v>26</v>
      </c>
      <c r="AF18" s="3777" t="s">
        <v>26</v>
      </c>
      <c r="AG18" s="3777" t="s">
        <v>26</v>
      </c>
    </row>
    <row r="19" spans="1:34" ht="18" customHeight="1">
      <c r="A19" s="3772">
        <v>8500</v>
      </c>
      <c r="B19" s="3778" t="s">
        <v>51</v>
      </c>
      <c r="C19" s="3779" t="s">
        <v>46</v>
      </c>
      <c r="D19" s="3779" t="s">
        <v>46</v>
      </c>
      <c r="E19" s="3779" t="s">
        <v>46</v>
      </c>
      <c r="F19" s="3779" t="s">
        <v>49</v>
      </c>
      <c r="G19" s="3779" t="s">
        <v>49</v>
      </c>
      <c r="H19" s="3779" t="s">
        <v>50</v>
      </c>
      <c r="I19" s="3779" t="s">
        <v>50</v>
      </c>
      <c r="J19" s="3779" t="s">
        <v>50</v>
      </c>
      <c r="K19" s="3779" t="s">
        <v>50</v>
      </c>
      <c r="L19" s="3779" t="s">
        <v>50</v>
      </c>
      <c r="M19" s="3779"/>
      <c r="N19" s="3779"/>
      <c r="O19" s="3779" t="s">
        <v>46</v>
      </c>
      <c r="P19" s="3779" t="s">
        <v>46</v>
      </c>
      <c r="Q19" s="3779" t="s">
        <v>46</v>
      </c>
      <c r="R19" s="3779" t="s">
        <v>46</v>
      </c>
      <c r="S19" s="3779" t="s">
        <v>46</v>
      </c>
      <c r="T19" s="3779" t="s">
        <v>47</v>
      </c>
      <c r="U19" s="3779" t="s">
        <v>47</v>
      </c>
      <c r="V19" s="3780" t="s">
        <v>26</v>
      </c>
      <c r="W19" s="3780" t="s">
        <v>26</v>
      </c>
      <c r="X19" s="3780" t="s">
        <v>26</v>
      </c>
      <c r="Y19" s="3781" t="s">
        <v>26</v>
      </c>
      <c r="Z19" s="3782" t="s">
        <v>26</v>
      </c>
      <c r="AB19" s="3779"/>
      <c r="AC19" s="3783" t="s">
        <v>43</v>
      </c>
      <c r="AD19" s="3783" t="s">
        <v>43</v>
      </c>
      <c r="AE19" s="3783" t="s">
        <v>43</v>
      </c>
      <c r="AF19" s="3783" t="s">
        <v>43</v>
      </c>
      <c r="AG19" s="3783" t="s">
        <v>43</v>
      </c>
    </row>
    <row r="20" spans="1:34" ht="18" customHeight="1">
      <c r="A20" s="3772">
        <v>8500</v>
      </c>
      <c r="B20" s="3778" t="s">
        <v>54</v>
      </c>
      <c r="C20" s="3780" t="s">
        <v>50</v>
      </c>
      <c r="D20" s="3780" t="s">
        <v>50</v>
      </c>
      <c r="E20" s="3784" t="s">
        <v>50</v>
      </c>
      <c r="F20" s="3785"/>
      <c r="G20" s="3786"/>
      <c r="H20" s="3786" t="s">
        <v>46</v>
      </c>
      <c r="I20" s="3787" t="s">
        <v>46</v>
      </c>
      <c r="J20" s="3787" t="s">
        <v>46</v>
      </c>
      <c r="K20" s="3787" t="s">
        <v>46</v>
      </c>
      <c r="L20" s="3780" t="s">
        <v>46</v>
      </c>
      <c r="M20" s="3783" t="s">
        <v>47</v>
      </c>
      <c r="N20" s="3783" t="s">
        <v>47</v>
      </c>
      <c r="O20" s="3774" t="s">
        <v>26</v>
      </c>
      <c r="P20" s="3774" t="s">
        <v>26</v>
      </c>
      <c r="Q20" s="3774" t="s">
        <v>26</v>
      </c>
      <c r="R20" s="3774" t="s">
        <v>26</v>
      </c>
      <c r="S20" s="3774" t="s">
        <v>26</v>
      </c>
      <c r="T20" s="3783"/>
      <c r="U20" s="3783"/>
      <c r="V20" s="3774" t="s">
        <v>43</v>
      </c>
      <c r="W20" s="3774" t="s">
        <v>43</v>
      </c>
      <c r="X20" s="3774" t="s">
        <v>43</v>
      </c>
      <c r="Y20" s="3774" t="s">
        <v>43</v>
      </c>
      <c r="Z20" s="3774" t="s">
        <v>43</v>
      </c>
      <c r="AA20" s="3783"/>
      <c r="AB20" s="3783"/>
      <c r="AC20" s="3780" t="s">
        <v>46</v>
      </c>
      <c r="AD20" s="3780" t="s">
        <v>46</v>
      </c>
      <c r="AE20" s="3780" t="s">
        <v>46</v>
      </c>
      <c r="AF20" s="3780" t="s">
        <v>46</v>
      </c>
      <c r="AG20" s="3780" t="s">
        <v>46</v>
      </c>
    </row>
    <row r="21" spans="1:34" ht="18" customHeight="1">
      <c r="A21" s="3772">
        <v>8546</v>
      </c>
      <c r="B21" s="3773" t="s">
        <v>56</v>
      </c>
      <c r="C21" s="3779" t="s">
        <v>46</v>
      </c>
      <c r="D21" s="3779" t="s">
        <v>46</v>
      </c>
      <c r="E21" s="3780" t="s">
        <v>46</v>
      </c>
      <c r="F21" s="3774" t="s">
        <v>47</v>
      </c>
      <c r="G21" s="3774" t="s">
        <v>47</v>
      </c>
      <c r="H21" s="3774" t="s">
        <v>26</v>
      </c>
      <c r="I21" s="3774" t="s">
        <v>26</v>
      </c>
      <c r="J21" s="3774" t="s">
        <v>26</v>
      </c>
      <c r="K21" s="3774" t="s">
        <v>26</v>
      </c>
      <c r="L21" s="3774" t="s">
        <v>26</v>
      </c>
      <c r="M21" s="3784"/>
      <c r="N21" s="3788"/>
      <c r="O21" s="3775" t="s">
        <v>43</v>
      </c>
      <c r="P21" s="3775" t="s">
        <v>43</v>
      </c>
      <c r="Q21" s="3775" t="s">
        <v>43</v>
      </c>
      <c r="R21" s="3775" t="s">
        <v>43</v>
      </c>
      <c r="S21" s="3775" t="s">
        <v>43</v>
      </c>
      <c r="T21" s="3775"/>
      <c r="U21" s="3775"/>
      <c r="V21" s="3775" t="s">
        <v>46</v>
      </c>
      <c r="W21" s="3775" t="s">
        <v>46</v>
      </c>
      <c r="X21" s="3775" t="s">
        <v>46</v>
      </c>
      <c r="Y21" s="3775" t="s">
        <v>46</v>
      </c>
      <c r="Z21" s="3775" t="s">
        <v>46</v>
      </c>
      <c r="AA21" s="3775" t="s">
        <v>49</v>
      </c>
      <c r="AB21" s="3775" t="s">
        <v>49</v>
      </c>
      <c r="AC21" s="3787" t="s">
        <v>50</v>
      </c>
      <c r="AD21" s="3787" t="s">
        <v>50</v>
      </c>
      <c r="AE21" s="3779" t="s">
        <v>50</v>
      </c>
      <c r="AF21" s="3779" t="s">
        <v>50</v>
      </c>
      <c r="AG21" s="3779" t="s">
        <v>50</v>
      </c>
    </row>
    <row r="22" spans="1:34" ht="18" customHeight="1">
      <c r="B22" s="3773" t="s">
        <v>472</v>
      </c>
      <c r="C22" s="3783" t="s">
        <v>46</v>
      </c>
      <c r="D22" s="3783" t="s">
        <v>46</v>
      </c>
      <c r="E22" s="3783" t="s">
        <v>46</v>
      </c>
      <c r="F22" s="3789" t="s">
        <v>47</v>
      </c>
      <c r="G22" s="3789" t="s">
        <v>47</v>
      </c>
      <c r="H22" s="3789" t="s">
        <v>43</v>
      </c>
      <c r="I22" s="3789" t="s">
        <v>43</v>
      </c>
      <c r="J22" s="3789" t="s">
        <v>43</v>
      </c>
      <c r="K22" s="3789" t="s">
        <v>43</v>
      </c>
      <c r="L22" s="3783" t="s">
        <v>40</v>
      </c>
      <c r="M22" s="291"/>
      <c r="N22" s="3783"/>
      <c r="O22" s="3780" t="s">
        <v>46</v>
      </c>
      <c r="P22" s="3780" t="s">
        <v>46</v>
      </c>
      <c r="Q22" s="3780" t="s">
        <v>46</v>
      </c>
      <c r="R22" s="3780" t="s">
        <v>46</v>
      </c>
      <c r="S22" s="3784" t="s">
        <v>46</v>
      </c>
      <c r="T22" s="3790" t="s">
        <v>49</v>
      </c>
      <c r="U22" s="3790" t="s">
        <v>49</v>
      </c>
      <c r="V22" s="3789" t="s">
        <v>50</v>
      </c>
      <c r="W22" s="3789" t="s">
        <v>50</v>
      </c>
      <c r="X22" s="3789" t="s">
        <v>50</v>
      </c>
      <c r="Y22" s="3789" t="s">
        <v>50</v>
      </c>
      <c r="Z22" s="3789" t="s">
        <v>50</v>
      </c>
      <c r="AA22" s="3788"/>
      <c r="AB22" s="3788"/>
      <c r="AC22" s="3771" t="s">
        <v>46</v>
      </c>
      <c r="AD22" s="3771" t="s">
        <v>46</v>
      </c>
      <c r="AE22" s="3771" t="s">
        <v>46</v>
      </c>
      <c r="AF22" s="3771" t="s">
        <v>46</v>
      </c>
      <c r="AG22" s="3771" t="s">
        <v>46</v>
      </c>
    </row>
    <row r="23" spans="1:34" ht="18" customHeight="1" thickBot="1">
      <c r="A23" s="3791"/>
      <c r="B23" s="3792" t="s">
        <v>97</v>
      </c>
      <c r="C23" s="876" t="s">
        <v>40</v>
      </c>
      <c r="D23" s="876" t="s">
        <v>40</v>
      </c>
      <c r="E23" s="876" t="s">
        <v>40</v>
      </c>
      <c r="F23" s="3783"/>
      <c r="G23" s="3783"/>
      <c r="H23" s="3793" t="s">
        <v>26</v>
      </c>
      <c r="I23" s="3793" t="s">
        <v>26</v>
      </c>
      <c r="J23" s="3793" t="s">
        <v>26</v>
      </c>
      <c r="K23" s="3793" t="s">
        <v>26</v>
      </c>
      <c r="L23" s="3676" t="s">
        <v>40</v>
      </c>
      <c r="M23" s="3788"/>
      <c r="N23" s="3788"/>
      <c r="O23" s="3766" t="s">
        <v>50</v>
      </c>
      <c r="P23" s="3766" t="s">
        <v>50</v>
      </c>
      <c r="Q23" s="3766" t="s">
        <v>50</v>
      </c>
      <c r="R23" s="3766" t="s">
        <v>50</v>
      </c>
      <c r="S23" s="3766" t="s">
        <v>50</v>
      </c>
      <c r="T23" s="3787" t="s">
        <v>0</v>
      </c>
      <c r="U23" s="3787" t="s">
        <v>0</v>
      </c>
      <c r="V23" s="3784" t="s">
        <v>46</v>
      </c>
      <c r="W23" s="3784" t="s">
        <v>46</v>
      </c>
      <c r="X23" s="3784" t="s">
        <v>46</v>
      </c>
      <c r="Y23" s="3784" t="s">
        <v>46</v>
      </c>
      <c r="Z23" s="3784" t="s">
        <v>46</v>
      </c>
      <c r="AA23" s="3779" t="s">
        <v>47</v>
      </c>
      <c r="AB23" s="3779" t="s">
        <v>47</v>
      </c>
      <c r="AC23" s="3794" t="s">
        <v>26</v>
      </c>
      <c r="AD23" s="3794" t="s">
        <v>26</v>
      </c>
      <c r="AE23" s="3794" t="s">
        <v>26</v>
      </c>
      <c r="AF23" s="3794" t="s">
        <v>26</v>
      </c>
      <c r="AG23" s="3794" t="s">
        <v>26</v>
      </c>
    </row>
    <row r="24" spans="1:34" ht="18" customHeight="1" thickBot="1">
      <c r="A24" s="3032" t="s">
        <v>58</v>
      </c>
      <c r="B24" s="3033"/>
      <c r="C24" s="3034"/>
      <c r="D24" s="3034"/>
      <c r="E24" s="3034"/>
      <c r="F24" s="3034"/>
      <c r="G24" s="3034"/>
      <c r="H24" s="501" t="s">
        <v>40</v>
      </c>
      <c r="I24" s="501" t="s">
        <v>40</v>
      </c>
      <c r="J24" s="581" t="s">
        <v>40</v>
      </c>
      <c r="K24" s="581" t="s">
        <v>40</v>
      </c>
      <c r="L24" s="581" t="s">
        <v>40</v>
      </c>
      <c r="M24" s="3034"/>
      <c r="N24" s="3034"/>
      <c r="O24" s="3034"/>
      <c r="P24" s="3034"/>
      <c r="Q24" s="3034"/>
      <c r="R24" s="3034"/>
      <c r="S24" s="3034"/>
      <c r="T24" s="3034"/>
      <c r="U24" s="3034"/>
      <c r="V24" s="3034"/>
      <c r="W24" s="3034"/>
      <c r="X24" s="3034"/>
      <c r="Y24" s="3034"/>
      <c r="Z24" s="3034"/>
      <c r="AA24" s="3034"/>
      <c r="AB24" s="3034"/>
      <c r="AC24" s="3034"/>
      <c r="AD24" s="3034"/>
      <c r="AE24" s="3034"/>
      <c r="AF24" s="3034"/>
      <c r="AG24" s="3034"/>
    </row>
    <row r="25" spans="1:34" ht="18" customHeight="1">
      <c r="A25" s="3012">
        <v>8500</v>
      </c>
      <c r="B25" s="3035" t="s">
        <v>59</v>
      </c>
      <c r="C25" s="3037" t="s">
        <v>40</v>
      </c>
      <c r="D25" s="3037" t="s">
        <v>40</v>
      </c>
      <c r="E25" s="3037" t="s">
        <v>40</v>
      </c>
      <c r="F25" s="3037"/>
      <c r="G25" s="3037"/>
      <c r="H25" s="3037" t="s">
        <v>40</v>
      </c>
      <c r="I25" s="3037" t="s">
        <v>40</v>
      </c>
      <c r="J25" s="3037" t="s">
        <v>40</v>
      </c>
      <c r="K25" s="3037" t="s">
        <v>40</v>
      </c>
      <c r="L25" s="3037" t="s">
        <v>40</v>
      </c>
      <c r="M25" s="3037"/>
      <c r="N25" s="3037"/>
      <c r="O25" s="3795" t="s">
        <v>40</v>
      </c>
      <c r="P25" s="3795" t="s">
        <v>40</v>
      </c>
      <c r="Q25" s="3795" t="s">
        <v>40</v>
      </c>
      <c r="R25" s="3795" t="s">
        <v>40</v>
      </c>
      <c r="S25" s="3795" t="s">
        <v>40</v>
      </c>
      <c r="T25" s="3795"/>
      <c r="U25" s="3795"/>
      <c r="V25" s="3795" t="s">
        <v>40</v>
      </c>
      <c r="W25" s="3795" t="s">
        <v>40</v>
      </c>
      <c r="X25" s="3795" t="s">
        <v>40</v>
      </c>
      <c r="Y25" s="3037" t="s">
        <v>40</v>
      </c>
      <c r="Z25" s="3795" t="s">
        <v>40</v>
      </c>
      <c r="AA25" s="3037"/>
      <c r="AB25" s="3037"/>
      <c r="AC25" s="3037" t="s">
        <v>40</v>
      </c>
      <c r="AD25" s="3037" t="s">
        <v>40</v>
      </c>
      <c r="AE25" s="3037" t="s">
        <v>40</v>
      </c>
      <c r="AF25" s="3796" t="s">
        <v>325</v>
      </c>
      <c r="AG25" s="3037" t="s">
        <v>40</v>
      </c>
    </row>
    <row r="26" spans="1:34" ht="18" customHeight="1">
      <c r="A26" s="3772">
        <v>8500</v>
      </c>
      <c r="B26" s="3773" t="s">
        <v>364</v>
      </c>
      <c r="C26" s="3783" t="s">
        <v>43</v>
      </c>
      <c r="D26" s="3783" t="s">
        <v>43</v>
      </c>
      <c r="E26" s="3797" t="s">
        <v>43</v>
      </c>
      <c r="F26" s="3798"/>
      <c r="G26" s="3799"/>
      <c r="H26" s="3800" t="s">
        <v>43</v>
      </c>
      <c r="I26" s="3800" t="s">
        <v>43</v>
      </c>
      <c r="J26" s="3800" t="s">
        <v>43</v>
      </c>
      <c r="K26" s="3800" t="s">
        <v>43</v>
      </c>
      <c r="L26" s="3801" t="s">
        <v>40</v>
      </c>
      <c r="M26" s="3802" t="s">
        <v>49</v>
      </c>
      <c r="N26" s="3802" t="s">
        <v>49</v>
      </c>
      <c r="O26" s="3803" t="s">
        <v>46</v>
      </c>
      <c r="P26" s="3803" t="s">
        <v>46</v>
      </c>
      <c r="Q26" s="3803" t="s">
        <v>46</v>
      </c>
      <c r="R26" s="3803" t="s">
        <v>46</v>
      </c>
      <c r="S26" s="3803" t="s">
        <v>46</v>
      </c>
      <c r="T26" s="3804"/>
      <c r="U26" s="3804"/>
      <c r="V26" s="3800" t="s">
        <v>50</v>
      </c>
      <c r="W26" s="3800" t="s">
        <v>50</v>
      </c>
      <c r="X26" s="3805" t="s">
        <v>50</v>
      </c>
      <c r="Y26" s="3800" t="s">
        <v>50</v>
      </c>
      <c r="Z26" s="3800" t="s">
        <v>50</v>
      </c>
      <c r="AA26" s="3806"/>
      <c r="AB26" s="3806"/>
      <c r="AC26" s="3807" t="s">
        <v>46</v>
      </c>
      <c r="AD26" s="3808" t="s">
        <v>46</v>
      </c>
      <c r="AE26" s="3809" t="s">
        <v>46</v>
      </c>
      <c r="AF26" s="3806" t="s">
        <v>46</v>
      </c>
      <c r="AG26" s="3810" t="s">
        <v>0</v>
      </c>
    </row>
    <row r="27" spans="1:34" ht="18" customHeight="1">
      <c r="A27" s="3772"/>
      <c r="B27" s="3189" t="s">
        <v>522</v>
      </c>
      <c r="C27" s="3766" t="s">
        <v>40</v>
      </c>
      <c r="D27" s="3789" t="s">
        <v>26</v>
      </c>
      <c r="E27" s="3811" t="s">
        <v>26</v>
      </c>
      <c r="F27" s="3806"/>
      <c r="G27" s="3806"/>
      <c r="H27" s="3812" t="s">
        <v>40</v>
      </c>
      <c r="I27" s="3812">
        <v>79</v>
      </c>
      <c r="J27" s="3806" t="s">
        <v>40</v>
      </c>
      <c r="K27" s="3813" t="s">
        <v>40</v>
      </c>
      <c r="L27" s="3806" t="s">
        <v>40</v>
      </c>
      <c r="M27" s="3806"/>
      <c r="N27" s="3806"/>
      <c r="O27" s="3812" t="s">
        <v>26</v>
      </c>
      <c r="P27" s="3812" t="s">
        <v>26</v>
      </c>
      <c r="Q27" s="3812" t="s">
        <v>26</v>
      </c>
      <c r="R27" s="3812" t="s">
        <v>26</v>
      </c>
      <c r="S27" s="3812" t="s">
        <v>26</v>
      </c>
      <c r="T27" s="3802"/>
      <c r="U27" s="3802"/>
      <c r="V27" s="3812" t="s">
        <v>43</v>
      </c>
      <c r="W27" s="3812" t="s">
        <v>43</v>
      </c>
      <c r="X27" s="3814" t="s">
        <v>43</v>
      </c>
      <c r="Y27" s="3814" t="s">
        <v>43</v>
      </c>
      <c r="Z27" s="3812" t="s">
        <v>43</v>
      </c>
      <c r="AA27" s="3806"/>
      <c r="AB27" s="3806"/>
      <c r="AC27" s="3808" t="s">
        <v>26</v>
      </c>
      <c r="AD27" s="3808" t="s">
        <v>26</v>
      </c>
      <c r="AE27" s="3808" t="s">
        <v>26</v>
      </c>
      <c r="AF27" s="3807" t="s">
        <v>26</v>
      </c>
      <c r="AG27" s="296" t="s">
        <v>26</v>
      </c>
    </row>
    <row r="28" spans="1:34" ht="18" customHeight="1">
      <c r="A28" s="3766"/>
      <c r="B28" s="3773" t="s">
        <v>88</v>
      </c>
      <c r="C28" s="3024" t="s">
        <v>46</v>
      </c>
      <c r="D28" s="3024" t="s">
        <v>46</v>
      </c>
      <c r="E28" s="3025" t="s">
        <v>46</v>
      </c>
      <c r="F28" s="3806"/>
      <c r="G28" s="3806"/>
      <c r="H28" s="3815" t="s">
        <v>26</v>
      </c>
      <c r="I28" s="3815" t="s">
        <v>26</v>
      </c>
      <c r="J28" s="3815" t="s">
        <v>26</v>
      </c>
      <c r="K28" s="3815" t="s">
        <v>26</v>
      </c>
      <c r="L28" s="3806" t="s">
        <v>40</v>
      </c>
      <c r="M28" s="3806"/>
      <c r="N28" s="3806"/>
      <c r="O28" s="3799" t="s">
        <v>43</v>
      </c>
      <c r="P28" s="3648" t="s">
        <v>43</v>
      </c>
      <c r="Q28" s="3806" t="s">
        <v>43</v>
      </c>
      <c r="R28" s="3806" t="s">
        <v>43</v>
      </c>
      <c r="S28" s="3802" t="s">
        <v>43</v>
      </c>
      <c r="T28" s="3802"/>
      <c r="U28" s="3802"/>
      <c r="V28" s="3816" t="s">
        <v>159</v>
      </c>
      <c r="W28" s="3816" t="s">
        <v>159</v>
      </c>
      <c r="X28" s="3816" t="s">
        <v>159</v>
      </c>
      <c r="Y28" s="3816" t="s">
        <v>159</v>
      </c>
      <c r="Z28" s="3816" t="s">
        <v>159</v>
      </c>
      <c r="AA28" s="3816" t="s">
        <v>49</v>
      </c>
      <c r="AB28" s="3816" t="s">
        <v>49</v>
      </c>
      <c r="AC28" s="3806" t="s">
        <v>46</v>
      </c>
      <c r="AD28" s="3806" t="s">
        <v>46</v>
      </c>
      <c r="AE28" s="3806" t="s">
        <v>46</v>
      </c>
      <c r="AF28" s="3806" t="s">
        <v>46</v>
      </c>
      <c r="AG28" s="3817" t="s">
        <v>46</v>
      </c>
    </row>
    <row r="29" spans="1:34" ht="18" customHeight="1">
      <c r="A29" s="3762"/>
      <c r="B29" s="3189" t="s">
        <v>297</v>
      </c>
      <c r="C29" s="3818" t="s">
        <v>40</v>
      </c>
      <c r="D29" s="3818" t="s">
        <v>40</v>
      </c>
      <c r="E29" s="3819" t="s">
        <v>40</v>
      </c>
      <c r="F29" s="3798"/>
      <c r="G29" s="3799"/>
      <c r="H29" s="3799" t="s">
        <v>40</v>
      </c>
      <c r="I29" s="3820" t="s">
        <v>40</v>
      </c>
      <c r="J29" s="3820" t="s">
        <v>40</v>
      </c>
      <c r="K29" s="3820" t="s">
        <v>40</v>
      </c>
      <c r="L29" s="3821" t="s">
        <v>40</v>
      </c>
      <c r="M29" s="3798"/>
      <c r="N29" s="3822"/>
      <c r="O29" s="3803">
        <v>69</v>
      </c>
      <c r="P29" s="3803">
        <v>69</v>
      </c>
      <c r="Q29" s="3803">
        <v>69</v>
      </c>
      <c r="R29" s="3803">
        <v>69</v>
      </c>
      <c r="S29" s="3803">
        <v>69</v>
      </c>
      <c r="T29" s="3798"/>
      <c r="U29" s="3799"/>
      <c r="V29" s="3799">
        <v>89</v>
      </c>
      <c r="W29" s="3799">
        <v>89</v>
      </c>
      <c r="X29" s="3799">
        <v>89</v>
      </c>
      <c r="Y29" s="3799">
        <v>89</v>
      </c>
      <c r="Z29" s="3823" t="s">
        <v>40</v>
      </c>
      <c r="AA29" s="3798"/>
      <c r="AB29" s="3799"/>
      <c r="AC29" s="3799" t="s">
        <v>40</v>
      </c>
      <c r="AD29" s="3798" t="s">
        <v>40</v>
      </c>
      <c r="AE29" s="3824" t="s">
        <v>40</v>
      </c>
      <c r="AF29" s="3798" t="s">
        <v>40</v>
      </c>
      <c r="AG29" s="3825" t="s">
        <v>40</v>
      </c>
    </row>
    <row r="30" spans="1:34" ht="18" customHeight="1" thickBot="1">
      <c r="A30" s="3826"/>
      <c r="B30" s="3827" t="s">
        <v>65</v>
      </c>
      <c r="C30" s="3828" t="s">
        <v>40</v>
      </c>
      <c r="D30" s="3829" t="s">
        <v>40</v>
      </c>
      <c r="E30" s="3829" t="s">
        <v>40</v>
      </c>
      <c r="F30" s="3829"/>
      <c r="G30" s="3830"/>
      <c r="H30" s="3830" t="s">
        <v>40</v>
      </c>
      <c r="I30" s="3830" t="s">
        <v>40</v>
      </c>
      <c r="J30" s="3828" t="s">
        <v>40</v>
      </c>
      <c r="K30" s="3829" t="s">
        <v>40</v>
      </c>
      <c r="L30" s="3831" t="s">
        <v>40</v>
      </c>
      <c r="M30" s="3829"/>
      <c r="N30" s="3832"/>
      <c r="O30" s="3830" t="s">
        <v>40</v>
      </c>
      <c r="P30" s="3829" t="s">
        <v>40</v>
      </c>
      <c r="Q30" s="3833" t="s">
        <v>40</v>
      </c>
      <c r="R30" s="3834" t="s">
        <v>40</v>
      </c>
      <c r="S30" s="3829" t="s">
        <v>40</v>
      </c>
      <c r="T30" s="3829"/>
      <c r="U30" s="3830"/>
      <c r="V30" s="3830" t="s">
        <v>40</v>
      </c>
      <c r="W30" s="3829" t="s">
        <v>40</v>
      </c>
      <c r="X30" s="3828" t="s">
        <v>40</v>
      </c>
      <c r="Y30" s="3835" t="s">
        <v>40</v>
      </c>
      <c r="Z30" s="3836" t="s">
        <v>40</v>
      </c>
      <c r="AA30" s="3829"/>
      <c r="AB30" s="3830"/>
      <c r="AC30" s="3830" t="s">
        <v>40</v>
      </c>
      <c r="AD30" s="3829" t="s">
        <v>40</v>
      </c>
      <c r="AE30" s="3828" t="s">
        <v>40</v>
      </c>
      <c r="AF30" s="3837" t="s">
        <v>40</v>
      </c>
      <c r="AG30" s="1634" t="s">
        <v>40</v>
      </c>
    </row>
    <row r="31" spans="1:34" ht="18" customHeight="1">
      <c r="A31" s="731"/>
      <c r="B31" s="111"/>
      <c r="C31" s="312"/>
      <c r="D31" s="312"/>
      <c r="E31" s="312"/>
      <c r="F31" s="312"/>
      <c r="G31" s="111"/>
      <c r="H31" s="185"/>
      <c r="I31" s="185"/>
      <c r="J31" s="185"/>
      <c r="K31" s="185"/>
      <c r="L31" s="186" t="s">
        <v>0</v>
      </c>
      <c r="M31" s="186"/>
      <c r="N31" s="111"/>
      <c r="O31" s="732" t="s">
        <v>0</v>
      </c>
      <c r="P31" s="732" t="s">
        <v>0</v>
      </c>
      <c r="Q31" s="732" t="s">
        <v>0</v>
      </c>
      <c r="R31" s="732" t="s">
        <v>0</v>
      </c>
      <c r="S31" s="732" t="s">
        <v>0</v>
      </c>
      <c r="T31" s="732" t="s">
        <v>0</v>
      </c>
      <c r="U31" s="732" t="s">
        <v>0</v>
      </c>
      <c r="V31" s="184" t="s">
        <v>0</v>
      </c>
      <c r="W31" s="186" t="s">
        <v>0</v>
      </c>
      <c r="X31" s="186"/>
      <c r="Y31" s="120"/>
      <c r="Z31" s="120"/>
      <c r="AA31" s="111" t="s">
        <v>0</v>
      </c>
      <c r="AB31" s="111" t="s">
        <v>0</v>
      </c>
      <c r="AC31" s="120"/>
      <c r="AD31" s="120"/>
      <c r="AE31" s="120"/>
      <c r="AF31" s="120" t="s">
        <v>0</v>
      </c>
      <c r="AG31" s="120"/>
      <c r="AH31" s="111"/>
    </row>
    <row r="32" spans="1:34" ht="18" customHeight="1">
      <c r="A32" s="731"/>
      <c r="B32" s="111"/>
      <c r="C32" s="111"/>
      <c r="D32" s="111"/>
      <c r="E32" s="111"/>
      <c r="F32" s="111"/>
      <c r="G32" s="111"/>
      <c r="H32" s="111" t="s">
        <v>0</v>
      </c>
      <c r="I32" s="120" t="s">
        <v>0</v>
      </c>
      <c r="J32" s="733" t="s">
        <v>0</v>
      </c>
      <c r="K32" s="111" t="s">
        <v>0</v>
      </c>
      <c r="L32" s="120" t="s">
        <v>0</v>
      </c>
      <c r="M32" s="120" t="s">
        <v>0</v>
      </c>
      <c r="N32" s="120" t="s">
        <v>0</v>
      </c>
      <c r="O32" s="186"/>
      <c r="P32" s="186"/>
      <c r="Q32" s="186"/>
      <c r="R32" s="186"/>
      <c r="S32" s="186"/>
      <c r="T32" s="182"/>
      <c r="U32" s="111" t="s">
        <v>0</v>
      </c>
      <c r="V32" s="111"/>
      <c r="W32" s="182"/>
      <c r="X32" s="183"/>
      <c r="Y32" s="182"/>
      <c r="Z32" s="182"/>
      <c r="AA32" s="120"/>
      <c r="AB32" s="733" t="s">
        <v>0</v>
      </c>
      <c r="AC32" s="312"/>
      <c r="AD32" s="312"/>
      <c r="AE32" s="312"/>
      <c r="AF32" s="312"/>
      <c r="AG32" s="111"/>
      <c r="AH32" s="111"/>
    </row>
    <row r="33" spans="1:34" ht="18" customHeight="1">
      <c r="A33" s="731"/>
      <c r="B33" s="111"/>
      <c r="C33" s="183"/>
      <c r="D33" s="111"/>
      <c r="E33" s="120"/>
      <c r="F33" s="120" t="s">
        <v>0</v>
      </c>
      <c r="G33" s="120" t="s">
        <v>0</v>
      </c>
      <c r="H33" s="120" t="s">
        <v>0</v>
      </c>
      <c r="I33" s="111" t="s">
        <v>0</v>
      </c>
      <c r="J33" s="111" t="s">
        <v>0</v>
      </c>
      <c r="K33" s="111" t="s">
        <v>0</v>
      </c>
      <c r="L33" s="120" t="s">
        <v>0</v>
      </c>
      <c r="M33" s="120"/>
      <c r="N33" s="120"/>
      <c r="O33" s="111">
        <v>23</v>
      </c>
      <c r="P33" s="111">
        <v>23</v>
      </c>
      <c r="Q33" s="111">
        <v>23</v>
      </c>
      <c r="R33" s="111" t="s">
        <v>0</v>
      </c>
      <c r="S33" s="111"/>
      <c r="T33" s="111" t="s">
        <v>0</v>
      </c>
      <c r="U33" s="111" t="s">
        <v>0</v>
      </c>
      <c r="V33" s="111" t="s">
        <v>0</v>
      </c>
      <c r="W33" s="111" t="s">
        <v>0</v>
      </c>
      <c r="X33" s="111"/>
      <c r="Y33" s="111"/>
      <c r="Z33" s="111"/>
      <c r="AA33" s="179"/>
      <c r="AB33" s="179"/>
      <c r="AC33" s="116"/>
      <c r="AD33" s="129"/>
      <c r="AE33" s="127"/>
      <c r="AF33" s="182"/>
      <c r="AG33" s="182"/>
      <c r="AH33" s="111"/>
    </row>
    <row r="34" spans="1:34">
      <c r="A34" s="111"/>
      <c r="B34" s="111"/>
      <c r="C34" s="111"/>
      <c r="D34" s="111"/>
      <c r="E34" s="111"/>
      <c r="F34" s="111"/>
      <c r="G34" s="111"/>
      <c r="H34" s="111"/>
      <c r="I34" s="111"/>
      <c r="J34" s="111"/>
      <c r="K34" s="111"/>
      <c r="L34" s="111"/>
      <c r="M34" s="111"/>
      <c r="N34" s="111"/>
      <c r="O34" s="111"/>
      <c r="P34" s="111"/>
      <c r="Q34" s="111"/>
      <c r="R34" s="111"/>
      <c r="S34" s="111"/>
      <c r="T34" s="111"/>
      <c r="U34" s="312" t="s">
        <v>0</v>
      </c>
      <c r="V34" s="111"/>
      <c r="W34" s="111"/>
      <c r="X34" s="111"/>
      <c r="Y34" s="111"/>
      <c r="Z34" s="111"/>
      <c r="AA34" s="111"/>
      <c r="AB34" s="111"/>
      <c r="AC34" s="312" t="s">
        <v>0</v>
      </c>
      <c r="AD34" s="312" t="s">
        <v>0</v>
      </c>
      <c r="AE34" s="111"/>
      <c r="AF34" s="111"/>
      <c r="AG34" s="111"/>
      <c r="AH34" s="111"/>
    </row>
    <row r="35" spans="1:34">
      <c r="A35" s="111"/>
      <c r="B35" s="111"/>
      <c r="C35" s="111"/>
      <c r="D35" s="111" t="s">
        <v>0</v>
      </c>
      <c r="E35" s="111" t="s">
        <v>0</v>
      </c>
      <c r="F35" s="111" t="s">
        <v>0</v>
      </c>
      <c r="G35" s="111"/>
      <c r="H35" s="120"/>
      <c r="I35" s="111"/>
      <c r="J35" s="111"/>
      <c r="K35" s="111"/>
      <c r="L35" s="111"/>
      <c r="M35" s="120" t="s">
        <v>0</v>
      </c>
      <c r="N35" s="120" t="s">
        <v>0</v>
      </c>
      <c r="O35" s="111"/>
      <c r="P35" s="111">
        <v>4</v>
      </c>
      <c r="Q35" s="111">
        <v>4</v>
      </c>
      <c r="R35" s="111">
        <v>4</v>
      </c>
      <c r="S35" s="111"/>
      <c r="T35" s="111"/>
      <c r="U35" s="120" t="s">
        <v>0</v>
      </c>
      <c r="V35" s="120" t="s">
        <v>0</v>
      </c>
      <c r="W35" s="111"/>
      <c r="X35" s="111" t="s">
        <v>0</v>
      </c>
      <c r="Y35" s="111"/>
      <c r="Z35" s="111"/>
      <c r="AA35" s="111"/>
      <c r="AB35" s="111"/>
      <c r="AC35" s="111"/>
      <c r="AD35" s="111"/>
      <c r="AE35" s="111"/>
      <c r="AF35" s="111"/>
      <c r="AG35" s="111"/>
      <c r="AH35" s="111"/>
    </row>
    <row r="36" spans="1:34">
      <c r="A36" s="111"/>
      <c r="B36" s="111"/>
      <c r="C36" s="111"/>
      <c r="D36" s="111"/>
      <c r="E36" s="111"/>
      <c r="F36" s="111"/>
      <c r="G36" s="111"/>
      <c r="H36" s="120" t="s">
        <v>0</v>
      </c>
      <c r="I36" s="111"/>
      <c r="J36" s="111"/>
      <c r="K36" s="111"/>
      <c r="L36" s="111" t="s">
        <v>0</v>
      </c>
      <c r="M36" s="111" t="s">
        <v>0</v>
      </c>
      <c r="N36" s="111" t="s">
        <v>67</v>
      </c>
      <c r="O36" s="179" t="s">
        <v>0</v>
      </c>
      <c r="P36" s="179" t="s">
        <v>0</v>
      </c>
      <c r="Q36" s="179" t="s">
        <v>0</v>
      </c>
      <c r="R36" s="179" t="s">
        <v>0</v>
      </c>
      <c r="S36" s="179" t="s">
        <v>0</v>
      </c>
      <c r="T36" s="179"/>
      <c r="U36" s="179"/>
      <c r="V36" s="179"/>
      <c r="W36" s="179"/>
      <c r="X36" s="179"/>
      <c r="Y36" s="179"/>
      <c r="Z36" s="179"/>
      <c r="AA36" s="111"/>
      <c r="AB36" s="111"/>
      <c r="AC36" s="126"/>
      <c r="AD36" s="126"/>
      <c r="AE36" s="126"/>
      <c r="AF36" s="860"/>
      <c r="AG36" s="126"/>
      <c r="AH36" s="111"/>
    </row>
    <row r="37" spans="1:34" ht="12.75">
      <c r="A37" s="421" t="s">
        <v>66</v>
      </c>
      <c r="B37" s="111"/>
      <c r="C37" s="111"/>
      <c r="D37" s="122"/>
      <c r="E37" s="122"/>
      <c r="F37" s="122"/>
      <c r="G37" s="122"/>
      <c r="H37" s="111" t="s">
        <v>0</v>
      </c>
      <c r="I37" s="111" t="s">
        <v>0</v>
      </c>
      <c r="J37" s="111"/>
      <c r="K37" s="111"/>
      <c r="L37" s="111"/>
      <c r="M37" s="111"/>
      <c r="N37" s="111" t="s">
        <v>0</v>
      </c>
      <c r="O37" s="120"/>
      <c r="P37" s="120"/>
      <c r="Q37" s="120"/>
      <c r="R37" s="120"/>
      <c r="S37" s="120"/>
      <c r="T37" s="111"/>
      <c r="U37" s="111"/>
      <c r="V37" s="111" t="s">
        <v>0</v>
      </c>
      <c r="W37" s="111" t="s">
        <v>0</v>
      </c>
      <c r="X37" s="111"/>
      <c r="Y37" s="111"/>
      <c r="Z37" s="111"/>
      <c r="AA37" s="111" t="s">
        <v>0</v>
      </c>
      <c r="AB37" s="111" t="s">
        <v>0</v>
      </c>
      <c r="AC37" s="120"/>
      <c r="AD37" s="111"/>
      <c r="AE37" s="111"/>
      <c r="AF37" s="111"/>
      <c r="AG37" s="111"/>
      <c r="AH37" s="111"/>
    </row>
    <row r="38" spans="1:34" ht="18" customHeight="1" thickBot="1">
      <c r="W38" s="48"/>
      <c r="X38" s="48"/>
      <c r="Y38" s="48"/>
      <c r="Z38" s="48"/>
      <c r="AA38" s="48"/>
      <c r="AB38" s="48"/>
      <c r="AC38" s="48"/>
      <c r="AD38" s="48"/>
      <c r="AE38" s="48"/>
      <c r="AF38" s="48"/>
    </row>
    <row r="39" spans="1:34" ht="18" customHeight="1">
      <c r="A39" s="3056" t="s">
        <v>69</v>
      </c>
      <c r="B39" s="3057"/>
      <c r="C39" s="3057"/>
      <c r="D39" s="3058" t="s">
        <v>70</v>
      </c>
      <c r="E39" s="3059"/>
      <c r="F39" s="3059"/>
      <c r="G39" s="3059"/>
      <c r="H39" s="3059"/>
      <c r="I39" s="3059"/>
      <c r="J39" s="3059"/>
      <c r="K39" s="3059"/>
      <c r="L39" s="3059"/>
      <c r="M39" s="3060" t="s">
        <v>71</v>
      </c>
      <c r="N39" s="3059"/>
      <c r="O39" s="3059"/>
      <c r="P39" s="3059"/>
      <c r="Q39" s="3059"/>
      <c r="R39" s="3059"/>
      <c r="S39" s="3061"/>
      <c r="T39" s="3467" t="s">
        <v>72</v>
      </c>
      <c r="U39" s="3468"/>
      <c r="V39" s="3468"/>
      <c r="W39" s="3468"/>
      <c r="X39" s="3468"/>
      <c r="Y39" s="3468"/>
      <c r="Z39" s="3468"/>
      <c r="AA39" s="3063" t="s">
        <v>73</v>
      </c>
      <c r="AB39" s="3064"/>
      <c r="AC39" s="3064"/>
      <c r="AD39" s="3064"/>
      <c r="AE39" s="3064"/>
      <c r="AF39" s="3064"/>
    </row>
    <row r="40" spans="1:34" ht="18" customHeight="1">
      <c r="A40" s="3065" t="s">
        <v>74</v>
      </c>
      <c r="B40" s="3066"/>
      <c r="C40" s="3066"/>
      <c r="D40" s="3838" t="s">
        <v>75</v>
      </c>
      <c r="E40" s="3068"/>
      <c r="F40" s="3758"/>
      <c r="G40" s="3758"/>
      <c r="H40" s="3758"/>
      <c r="I40" s="3758"/>
      <c r="J40" s="3758"/>
      <c r="K40" s="3758"/>
      <c r="L40" s="3839"/>
      <c r="M40" s="3070" t="s">
        <v>76</v>
      </c>
      <c r="N40" s="3066"/>
      <c r="O40" s="3071"/>
      <c r="P40" s="3066"/>
      <c r="Q40" s="3066"/>
      <c r="R40" s="3066"/>
      <c r="S40" s="3072"/>
      <c r="T40" s="3838" t="s">
        <v>77</v>
      </c>
      <c r="U40" s="3758"/>
      <c r="V40" s="3068"/>
      <c r="W40" s="3758"/>
      <c r="X40" s="3758"/>
      <c r="Y40" s="3758"/>
      <c r="Z40" s="3839"/>
      <c r="AA40" s="97" t="s">
        <v>78</v>
      </c>
      <c r="AD40" s="59"/>
    </row>
    <row r="41" spans="1:34" ht="18" customHeight="1">
      <c r="A41" s="3840" t="s">
        <v>79</v>
      </c>
      <c r="B41" s="3758"/>
      <c r="C41" s="3758"/>
      <c r="D41" s="3841"/>
      <c r="E41" s="3758"/>
      <c r="F41" s="3758"/>
      <c r="G41" s="3839"/>
      <c r="H41" s="3842" t="s">
        <v>80</v>
      </c>
      <c r="I41" s="3758"/>
      <c r="J41" s="3758"/>
      <c r="K41" s="3758"/>
      <c r="L41" s="3758"/>
      <c r="M41" s="3076"/>
      <c r="N41" s="3758"/>
      <c r="O41" s="3758"/>
      <c r="P41" s="3758"/>
      <c r="Q41" s="3758"/>
      <c r="R41" s="3758"/>
      <c r="S41" s="3758"/>
      <c r="T41" s="3841"/>
      <c r="U41" s="96" t="s">
        <v>81</v>
      </c>
      <c r="AA41" s="3071"/>
      <c r="AB41" s="3066"/>
      <c r="AC41" s="3066"/>
      <c r="AD41" s="3066"/>
      <c r="AE41" s="3066"/>
      <c r="AF41" s="3066"/>
    </row>
    <row r="42" spans="1:34" ht="18" customHeight="1" thickBot="1">
      <c r="A42" s="3843" t="s">
        <v>82</v>
      </c>
      <c r="B42" s="3844"/>
      <c r="C42" s="3844"/>
      <c r="D42" s="3845"/>
      <c r="E42" s="3844"/>
      <c r="F42" s="3844"/>
      <c r="G42" s="3846"/>
      <c r="H42" s="3847" t="s">
        <v>83</v>
      </c>
      <c r="I42" s="3846"/>
      <c r="J42" s="3844"/>
      <c r="K42" s="3844"/>
      <c r="L42" s="3844"/>
      <c r="M42" s="3848"/>
      <c r="N42" s="3844"/>
      <c r="O42" s="3844"/>
      <c r="P42" s="3844"/>
      <c r="Q42" s="3849"/>
      <c r="R42" s="3849"/>
      <c r="S42" s="3849"/>
      <c r="T42" s="3845"/>
      <c r="U42" s="3850" t="s">
        <v>84</v>
      </c>
      <c r="V42" s="3844"/>
      <c r="W42" s="3844"/>
      <c r="X42" s="3844"/>
      <c r="Y42" s="3844"/>
      <c r="Z42" s="3844"/>
      <c r="AA42" s="3844"/>
      <c r="AB42" s="3844"/>
      <c r="AC42" s="3844"/>
      <c r="AD42" s="3844"/>
      <c r="AE42" s="3844"/>
      <c r="AF42" s="3844"/>
    </row>
    <row r="43" spans="1:34" ht="18" customHeight="1" thickBot="1">
      <c r="B43" s="62" t="s">
        <v>36</v>
      </c>
      <c r="C43" s="48"/>
      <c r="D43" s="48"/>
      <c r="E43" s="48"/>
      <c r="F43" s="48"/>
      <c r="G43" s="48"/>
      <c r="H43" s="48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  <c r="AA43" s="48"/>
      <c r="AB43" s="48"/>
      <c r="AC43" s="48"/>
      <c r="AD43" s="48"/>
      <c r="AE43" s="48"/>
      <c r="AF43" s="48"/>
      <c r="AG43" s="103"/>
    </row>
    <row r="44" spans="1:34" ht="18" customHeight="1" thickBot="1">
      <c r="A44" s="3085" t="s">
        <v>37</v>
      </c>
      <c r="B44" s="3851" t="s">
        <v>523</v>
      </c>
      <c r="C44" s="2985">
        <v>1</v>
      </c>
      <c r="D44" s="2985">
        <v>2</v>
      </c>
      <c r="E44" s="2985">
        <v>3</v>
      </c>
      <c r="F44" s="2986">
        <v>4</v>
      </c>
      <c r="G44" s="2986">
        <v>5</v>
      </c>
      <c r="H44" s="2985">
        <v>6</v>
      </c>
      <c r="I44" s="2985">
        <v>7</v>
      </c>
      <c r="J44" s="2985">
        <v>8</v>
      </c>
      <c r="K44" s="2985">
        <v>9</v>
      </c>
      <c r="L44" s="2985">
        <v>10</v>
      </c>
      <c r="M44" s="2986">
        <v>11</v>
      </c>
      <c r="N44" s="2986">
        <v>12</v>
      </c>
      <c r="O44" s="2985">
        <v>13</v>
      </c>
      <c r="P44" s="2985">
        <v>14</v>
      </c>
      <c r="Q44" s="2985">
        <v>15</v>
      </c>
      <c r="R44" s="2985">
        <v>16</v>
      </c>
      <c r="S44" s="2985">
        <v>17</v>
      </c>
      <c r="T44" s="2986">
        <v>18</v>
      </c>
      <c r="U44" s="2986">
        <v>19</v>
      </c>
      <c r="V44" s="2985">
        <v>20</v>
      </c>
      <c r="W44" s="2985">
        <v>21</v>
      </c>
      <c r="X44" s="2985">
        <v>22</v>
      </c>
      <c r="Y44" s="2985">
        <v>23</v>
      </c>
      <c r="Z44" s="2985">
        <v>24</v>
      </c>
      <c r="AA44" s="2986">
        <v>25</v>
      </c>
      <c r="AB44" s="2986">
        <v>26</v>
      </c>
      <c r="AC44" s="2985">
        <v>27</v>
      </c>
      <c r="AD44" s="2985">
        <v>28</v>
      </c>
      <c r="AE44" s="2985">
        <v>29</v>
      </c>
      <c r="AF44" s="2985">
        <v>30</v>
      </c>
      <c r="AG44" s="2985">
        <v>31</v>
      </c>
    </row>
    <row r="45" spans="1:34" ht="18" customHeight="1">
      <c r="A45" s="3087">
        <v>1</v>
      </c>
      <c r="B45" s="3406" t="s">
        <v>85</v>
      </c>
      <c r="C45" s="3088" t="s">
        <v>46</v>
      </c>
      <c r="D45" s="3089" t="s">
        <v>46</v>
      </c>
      <c r="E45" s="3088" t="s">
        <v>46</v>
      </c>
      <c r="F45" s="3088"/>
      <c r="G45" s="3088"/>
      <c r="H45" s="3261">
        <v>1</v>
      </c>
      <c r="I45" s="3261">
        <v>1</v>
      </c>
      <c r="J45" s="3261">
        <v>1</v>
      </c>
      <c r="K45" s="3261">
        <v>1</v>
      </c>
      <c r="L45" s="3261">
        <v>1</v>
      </c>
      <c r="M45" s="3261"/>
      <c r="N45" s="3088"/>
      <c r="O45" s="3089">
        <v>9</v>
      </c>
      <c r="P45" s="3088">
        <v>9</v>
      </c>
      <c r="Q45" s="3090">
        <v>9</v>
      </c>
      <c r="R45" s="3089">
        <v>9</v>
      </c>
      <c r="S45" s="3088">
        <v>9</v>
      </c>
      <c r="T45" s="3852" t="s">
        <v>52</v>
      </c>
      <c r="U45" s="3260" t="s">
        <v>52</v>
      </c>
      <c r="V45" s="3260" t="s">
        <v>143</v>
      </c>
      <c r="W45" s="3088" t="s">
        <v>46</v>
      </c>
      <c r="X45" s="3853" t="s">
        <v>46</v>
      </c>
      <c r="Y45" s="3090" t="s">
        <v>46</v>
      </c>
      <c r="Z45" s="3088" t="s">
        <v>46</v>
      </c>
      <c r="AA45" s="3854" t="s">
        <v>91</v>
      </c>
      <c r="AB45" s="3855" t="s">
        <v>89</v>
      </c>
      <c r="AC45" s="3291">
        <v>6</v>
      </c>
      <c r="AD45" s="3291">
        <v>6</v>
      </c>
      <c r="AE45" s="3291">
        <v>6</v>
      </c>
      <c r="AF45" s="3291">
        <v>6</v>
      </c>
      <c r="AG45" s="3291">
        <v>6</v>
      </c>
    </row>
    <row r="46" spans="1:34" ht="18" customHeight="1">
      <c r="A46" s="3856">
        <v>6</v>
      </c>
      <c r="B46" s="3628" t="s">
        <v>524</v>
      </c>
      <c r="C46" s="3786" t="s">
        <v>46</v>
      </c>
      <c r="D46" s="3786" t="s">
        <v>46</v>
      </c>
      <c r="E46" s="3786" t="s">
        <v>46</v>
      </c>
      <c r="F46" s="3786"/>
      <c r="G46" s="3786"/>
      <c r="H46" s="3786">
        <v>5</v>
      </c>
      <c r="I46" s="3786">
        <v>5</v>
      </c>
      <c r="J46" s="3786">
        <v>5</v>
      </c>
      <c r="K46" s="3786">
        <v>5</v>
      </c>
      <c r="L46" s="3786">
        <v>5</v>
      </c>
      <c r="M46" s="3786"/>
      <c r="N46" s="3786"/>
      <c r="O46" s="3786">
        <v>10</v>
      </c>
      <c r="P46" s="3786">
        <v>10</v>
      </c>
      <c r="Q46" s="3786">
        <v>10</v>
      </c>
      <c r="R46" s="3786">
        <v>10</v>
      </c>
      <c r="S46" s="3786">
        <v>10</v>
      </c>
      <c r="T46" s="3786" t="s">
        <v>53</v>
      </c>
      <c r="U46" s="3786" t="s">
        <v>53</v>
      </c>
      <c r="V46" s="3786" t="s">
        <v>46</v>
      </c>
      <c r="W46" s="3786" t="s">
        <v>46</v>
      </c>
      <c r="X46" s="3786" t="s">
        <v>46</v>
      </c>
      <c r="Y46" s="3786" t="s">
        <v>46</v>
      </c>
      <c r="Z46" s="3786" t="s">
        <v>46</v>
      </c>
      <c r="AA46" s="3857" t="s">
        <v>86</v>
      </c>
      <c r="AB46" s="3857" t="s">
        <v>86</v>
      </c>
      <c r="AC46" s="3857">
        <v>7</v>
      </c>
      <c r="AD46" s="3857">
        <v>7</v>
      </c>
      <c r="AE46" s="3857">
        <v>7</v>
      </c>
      <c r="AF46" s="3858">
        <v>7</v>
      </c>
      <c r="AG46" s="3857">
        <v>7</v>
      </c>
    </row>
    <row r="47" spans="1:34" ht="18" customHeight="1">
      <c r="A47" s="3859">
        <v>11</v>
      </c>
      <c r="B47" s="3792" t="s">
        <v>90</v>
      </c>
      <c r="C47" s="3860">
        <v>4</v>
      </c>
      <c r="D47" s="3860">
        <v>4</v>
      </c>
      <c r="E47" s="3861">
        <v>4</v>
      </c>
      <c r="F47" s="3860"/>
      <c r="G47" s="3860"/>
      <c r="H47" s="3862">
        <v>3</v>
      </c>
      <c r="I47" s="3862">
        <v>3</v>
      </c>
      <c r="J47" s="3862" t="s">
        <v>525</v>
      </c>
      <c r="K47" s="3860">
        <v>3</v>
      </c>
      <c r="L47" s="3860">
        <v>3</v>
      </c>
      <c r="M47" s="3863"/>
      <c r="N47" s="3860"/>
      <c r="O47" s="3860">
        <v>11</v>
      </c>
      <c r="P47" s="3860">
        <v>11</v>
      </c>
      <c r="Q47" s="3860">
        <v>11</v>
      </c>
      <c r="R47" s="3860">
        <v>11</v>
      </c>
      <c r="S47" s="3860">
        <v>11</v>
      </c>
      <c r="T47" s="3864" t="s">
        <v>87</v>
      </c>
      <c r="U47" s="3860" t="s">
        <v>87</v>
      </c>
      <c r="V47" s="3865" t="s">
        <v>46</v>
      </c>
      <c r="W47" s="3865" t="s">
        <v>46</v>
      </c>
      <c r="X47" s="3865" t="s">
        <v>46</v>
      </c>
      <c r="Y47" s="3865" t="s">
        <v>46</v>
      </c>
      <c r="Z47" s="3865" t="s">
        <v>46</v>
      </c>
      <c r="AA47" s="3865" t="s">
        <v>89</v>
      </c>
      <c r="AB47" s="3866" t="s">
        <v>89</v>
      </c>
      <c r="AC47" s="3867">
        <v>8</v>
      </c>
      <c r="AD47" s="3867">
        <v>8</v>
      </c>
      <c r="AE47" s="3867">
        <v>8</v>
      </c>
      <c r="AF47" s="3867">
        <v>8</v>
      </c>
      <c r="AG47" s="3867">
        <v>8</v>
      </c>
    </row>
    <row r="48" spans="1:34" ht="18" customHeight="1">
      <c r="A48" s="3087">
        <v>2</v>
      </c>
      <c r="B48" s="3035" t="s">
        <v>92</v>
      </c>
      <c r="C48" s="2989">
        <v>1</v>
      </c>
      <c r="D48" s="2990">
        <v>1</v>
      </c>
      <c r="E48" s="2990">
        <v>1</v>
      </c>
      <c r="F48" s="2989"/>
      <c r="G48" s="2989"/>
      <c r="H48" s="3291">
        <v>9</v>
      </c>
      <c r="I48" s="3291">
        <v>9</v>
      </c>
      <c r="J48" s="3291">
        <v>9</v>
      </c>
      <c r="K48" s="3291">
        <v>9</v>
      </c>
      <c r="L48" s="3291">
        <v>9</v>
      </c>
      <c r="M48" s="3291" t="s">
        <v>52</v>
      </c>
      <c r="N48" s="3291" t="s">
        <v>53</v>
      </c>
      <c r="O48" s="3291" t="s">
        <v>46</v>
      </c>
      <c r="P48" s="3291" t="s">
        <v>46</v>
      </c>
      <c r="Q48" s="3291" t="s">
        <v>46</v>
      </c>
      <c r="R48" s="3291" t="s">
        <v>46</v>
      </c>
      <c r="S48" s="3291" t="s">
        <v>46</v>
      </c>
      <c r="T48" s="3291" t="s">
        <v>91</v>
      </c>
      <c r="U48" s="3291" t="s">
        <v>89</v>
      </c>
      <c r="V48" s="3291">
        <v>6</v>
      </c>
      <c r="W48" s="3291">
        <v>6</v>
      </c>
      <c r="X48" s="3291">
        <v>6</v>
      </c>
      <c r="Y48" s="3291">
        <v>6</v>
      </c>
      <c r="Z48" s="3291">
        <v>6</v>
      </c>
      <c r="AA48" s="3291"/>
      <c r="AB48" s="3291"/>
      <c r="AC48" s="3868" t="s">
        <v>46</v>
      </c>
      <c r="AD48" s="3868" t="s">
        <v>46</v>
      </c>
      <c r="AE48" s="3869" t="s">
        <v>46</v>
      </c>
      <c r="AF48" s="3869" t="s">
        <v>46</v>
      </c>
      <c r="AG48" s="3869" t="s">
        <v>46</v>
      </c>
    </row>
    <row r="49" spans="1:35" ht="18" customHeight="1">
      <c r="A49" s="3856">
        <v>7</v>
      </c>
      <c r="B49" s="3773" t="s">
        <v>93</v>
      </c>
      <c r="C49" s="3777">
        <v>5</v>
      </c>
      <c r="D49" s="3777">
        <v>5</v>
      </c>
      <c r="E49" s="3777">
        <v>5</v>
      </c>
      <c r="F49" s="3777"/>
      <c r="G49" s="3777"/>
      <c r="H49" s="3777">
        <v>10</v>
      </c>
      <c r="I49" s="3777">
        <v>10</v>
      </c>
      <c r="J49" s="3777">
        <v>10</v>
      </c>
      <c r="K49" s="3777">
        <v>10</v>
      </c>
      <c r="L49" s="3777">
        <v>10</v>
      </c>
      <c r="M49" s="3777" t="s">
        <v>53</v>
      </c>
      <c r="N49" s="3777" t="s">
        <v>53</v>
      </c>
      <c r="O49" s="3777" t="s">
        <v>46</v>
      </c>
      <c r="P49" s="3777" t="s">
        <v>46</v>
      </c>
      <c r="Q49" s="3777" t="s">
        <v>46</v>
      </c>
      <c r="R49" s="3777" t="s">
        <v>46</v>
      </c>
      <c r="S49" s="3777" t="s">
        <v>46</v>
      </c>
      <c r="T49" s="251" t="s">
        <v>86</v>
      </c>
      <c r="U49" s="251" t="s">
        <v>86</v>
      </c>
      <c r="V49" s="3777">
        <v>7</v>
      </c>
      <c r="W49" s="3777">
        <v>7</v>
      </c>
      <c r="X49" s="3777">
        <v>7</v>
      </c>
      <c r="Y49" s="3777">
        <v>7</v>
      </c>
      <c r="Z49" s="3777">
        <v>7</v>
      </c>
      <c r="AA49" s="3777"/>
      <c r="AB49" s="222"/>
      <c r="AC49" s="3777">
        <v>4</v>
      </c>
      <c r="AD49" s="3777">
        <v>4</v>
      </c>
      <c r="AE49" s="3777">
        <v>4</v>
      </c>
      <c r="AF49" s="3777">
        <v>4</v>
      </c>
      <c r="AG49" s="3777">
        <v>4</v>
      </c>
      <c r="AI49" t="s">
        <v>133</v>
      </c>
    </row>
    <row r="50" spans="1:35" ht="18" customHeight="1" thickBot="1">
      <c r="A50" s="3859">
        <v>12</v>
      </c>
      <c r="B50" s="3870" t="s">
        <v>94</v>
      </c>
      <c r="C50" s="3863" t="s">
        <v>123</v>
      </c>
      <c r="D50" s="3863">
        <v>3</v>
      </c>
      <c r="E50" s="3863">
        <v>3</v>
      </c>
      <c r="F50" s="3863"/>
      <c r="G50" s="3863"/>
      <c r="H50" s="3863">
        <v>11</v>
      </c>
      <c r="I50" s="3863">
        <v>11</v>
      </c>
      <c r="J50" s="3863">
        <v>11</v>
      </c>
      <c r="K50" s="3863">
        <v>11</v>
      </c>
      <c r="L50" s="3863">
        <v>11</v>
      </c>
      <c r="M50" s="3863" t="s">
        <v>87</v>
      </c>
      <c r="N50" s="3863" t="s">
        <v>87</v>
      </c>
      <c r="O50" s="3863" t="s">
        <v>46</v>
      </c>
      <c r="P50" s="3863" t="s">
        <v>46</v>
      </c>
      <c r="Q50" s="3863" t="s">
        <v>46</v>
      </c>
      <c r="R50" s="3863" t="s">
        <v>46</v>
      </c>
      <c r="S50" s="3863" t="s">
        <v>46</v>
      </c>
      <c r="T50" s="3863" t="s">
        <v>89</v>
      </c>
      <c r="U50" s="3863" t="s">
        <v>89</v>
      </c>
      <c r="V50" s="3863">
        <v>8</v>
      </c>
      <c r="W50" s="3863">
        <v>8</v>
      </c>
      <c r="X50" s="3871">
        <v>8</v>
      </c>
      <c r="Y50" s="3863">
        <v>8</v>
      </c>
      <c r="Z50" s="3863">
        <v>8</v>
      </c>
      <c r="AA50" s="3863"/>
      <c r="AB50" s="3863"/>
      <c r="AC50" s="3863" t="s">
        <v>46</v>
      </c>
      <c r="AD50" s="3871" t="s">
        <v>46</v>
      </c>
      <c r="AE50" s="3871" t="s">
        <v>46</v>
      </c>
      <c r="AF50" s="3871" t="s">
        <v>46</v>
      </c>
      <c r="AG50" s="3871" t="s">
        <v>46</v>
      </c>
    </row>
    <row r="51" spans="1:35" ht="18" customHeight="1">
      <c r="A51" s="3087">
        <v>3</v>
      </c>
      <c r="B51" s="3104" t="s">
        <v>95</v>
      </c>
      <c r="C51" s="510">
        <v>9</v>
      </c>
      <c r="D51" s="510">
        <v>9</v>
      </c>
      <c r="E51" s="510">
        <v>9</v>
      </c>
      <c r="F51" s="510" t="s">
        <v>52</v>
      </c>
      <c r="G51" s="510" t="s">
        <v>53</v>
      </c>
      <c r="H51" s="510" t="s">
        <v>46</v>
      </c>
      <c r="I51" s="510" t="s">
        <v>46</v>
      </c>
      <c r="J51" s="510" t="s">
        <v>46</v>
      </c>
      <c r="K51" s="510" t="s">
        <v>46</v>
      </c>
      <c r="L51" s="510" t="s">
        <v>46</v>
      </c>
      <c r="M51" s="510" t="s">
        <v>91</v>
      </c>
      <c r="N51" s="510" t="s">
        <v>89</v>
      </c>
      <c r="O51" s="859">
        <v>6</v>
      </c>
      <c r="P51" s="859">
        <v>6</v>
      </c>
      <c r="Q51" s="859">
        <v>6</v>
      </c>
      <c r="R51" s="608">
        <v>6</v>
      </c>
      <c r="S51" s="608" t="s">
        <v>142</v>
      </c>
      <c r="T51" s="583"/>
      <c r="U51" s="583"/>
      <c r="V51" s="583" t="s">
        <v>46</v>
      </c>
      <c r="W51" s="583" t="s">
        <v>46</v>
      </c>
      <c r="X51" s="583" t="s">
        <v>46</v>
      </c>
      <c r="Y51" s="583" t="s">
        <v>46</v>
      </c>
      <c r="Z51" s="583" t="s">
        <v>46</v>
      </c>
      <c r="AA51" s="583"/>
      <c r="AB51" s="583"/>
      <c r="AC51" s="583">
        <v>5</v>
      </c>
      <c r="AD51" s="583">
        <v>5</v>
      </c>
      <c r="AE51" s="583">
        <v>5</v>
      </c>
      <c r="AF51" s="583">
        <v>5</v>
      </c>
      <c r="AG51" s="583">
        <v>5</v>
      </c>
      <c r="AI51" t="s">
        <v>133</v>
      </c>
    </row>
    <row r="52" spans="1:35" ht="18" customHeight="1">
      <c r="A52" s="3856">
        <v>8</v>
      </c>
      <c r="B52" s="3773" t="s">
        <v>96</v>
      </c>
      <c r="C52" s="3788">
        <v>10</v>
      </c>
      <c r="D52" s="3788">
        <v>10</v>
      </c>
      <c r="E52" s="3788">
        <v>10</v>
      </c>
      <c r="F52" s="3788" t="s">
        <v>53</v>
      </c>
      <c r="G52" s="3788" t="s">
        <v>53</v>
      </c>
      <c r="H52" s="3788" t="s">
        <v>46</v>
      </c>
      <c r="I52" s="3788" t="s">
        <v>46</v>
      </c>
      <c r="J52" s="3788" t="s">
        <v>46</v>
      </c>
      <c r="K52" s="3788" t="s">
        <v>46</v>
      </c>
      <c r="L52" s="3788" t="s">
        <v>46</v>
      </c>
      <c r="M52" s="3788" t="s">
        <v>86</v>
      </c>
      <c r="N52" s="3788" t="s">
        <v>86</v>
      </c>
      <c r="O52" s="3788">
        <v>7</v>
      </c>
      <c r="P52" s="3788">
        <v>7</v>
      </c>
      <c r="Q52" s="3788">
        <v>7</v>
      </c>
      <c r="R52" s="3788">
        <v>7</v>
      </c>
      <c r="S52" s="3788">
        <v>7</v>
      </c>
      <c r="T52" s="3788"/>
      <c r="U52" s="3788"/>
      <c r="V52" s="3788">
        <v>4</v>
      </c>
      <c r="W52" s="3872">
        <v>4</v>
      </c>
      <c r="X52" s="3788">
        <v>4</v>
      </c>
      <c r="Y52" s="3873">
        <v>4</v>
      </c>
      <c r="Z52" s="3873">
        <v>4</v>
      </c>
      <c r="AA52" s="3873"/>
      <c r="AB52" s="3873"/>
      <c r="AC52" s="3873">
        <v>3</v>
      </c>
      <c r="AD52" s="3787">
        <v>3</v>
      </c>
      <c r="AE52" s="3787">
        <v>3</v>
      </c>
      <c r="AF52" s="3874">
        <v>3</v>
      </c>
      <c r="AG52" s="3874">
        <v>3</v>
      </c>
    </row>
    <row r="53" spans="1:35" ht="18" customHeight="1" thickBot="1">
      <c r="A53" s="3859">
        <v>13</v>
      </c>
      <c r="B53" s="3628" t="s">
        <v>147</v>
      </c>
      <c r="C53" s="3865">
        <v>11</v>
      </c>
      <c r="D53" s="3865">
        <v>11</v>
      </c>
      <c r="E53" s="3865">
        <v>11</v>
      </c>
      <c r="F53" s="3865" t="s">
        <v>87</v>
      </c>
      <c r="G53" s="3865" t="s">
        <v>87</v>
      </c>
      <c r="H53" s="3860" t="s">
        <v>46</v>
      </c>
      <c r="I53" s="3860" t="s">
        <v>46</v>
      </c>
      <c r="J53" s="3875" t="s">
        <v>46</v>
      </c>
      <c r="K53" s="3860" t="s">
        <v>46</v>
      </c>
      <c r="L53" s="3876" t="s">
        <v>46</v>
      </c>
      <c r="M53" s="3860" t="s">
        <v>89</v>
      </c>
      <c r="N53" s="3867" t="s">
        <v>89</v>
      </c>
      <c r="O53" s="3867">
        <v>8</v>
      </c>
      <c r="P53" s="3867">
        <v>8</v>
      </c>
      <c r="Q53" s="3860">
        <v>8</v>
      </c>
      <c r="R53" s="3860">
        <v>8</v>
      </c>
      <c r="S53" s="3860">
        <v>8</v>
      </c>
      <c r="T53" s="3860"/>
      <c r="U53" s="3860"/>
      <c r="V53" s="3860" t="s">
        <v>46</v>
      </c>
      <c r="W53" s="3860" t="s">
        <v>46</v>
      </c>
      <c r="X53" s="3860" t="s">
        <v>46</v>
      </c>
      <c r="Y53" s="3875" t="s">
        <v>46</v>
      </c>
      <c r="Z53" s="3860" t="s">
        <v>46</v>
      </c>
      <c r="AA53" s="3860"/>
      <c r="AB53" s="3860"/>
      <c r="AC53" s="3877">
        <v>1</v>
      </c>
      <c r="AD53" s="3877">
        <v>1</v>
      </c>
      <c r="AE53" s="3877">
        <v>1</v>
      </c>
      <c r="AF53" s="3877">
        <v>1</v>
      </c>
      <c r="AG53" s="3877">
        <v>1</v>
      </c>
      <c r="AI53" t="s">
        <v>133</v>
      </c>
    </row>
    <row r="54" spans="1:35" ht="18" customHeight="1">
      <c r="A54" s="3087">
        <v>4</v>
      </c>
      <c r="B54" s="3035" t="s">
        <v>99</v>
      </c>
      <c r="C54" s="501" t="s">
        <v>46</v>
      </c>
      <c r="D54" s="508" t="s">
        <v>46</v>
      </c>
      <c r="E54" s="504" t="s">
        <v>46</v>
      </c>
      <c r="F54" s="504" t="s">
        <v>91</v>
      </c>
      <c r="G54" s="504" t="s">
        <v>89</v>
      </c>
      <c r="H54" s="504">
        <v>6</v>
      </c>
      <c r="I54" s="504">
        <v>6</v>
      </c>
      <c r="J54" s="508">
        <v>6</v>
      </c>
      <c r="K54" s="508">
        <v>6</v>
      </c>
      <c r="L54" s="508">
        <v>6</v>
      </c>
      <c r="M54" s="508"/>
      <c r="N54" s="508"/>
      <c r="O54" s="527" t="s">
        <v>46</v>
      </c>
      <c r="P54" s="527" t="s">
        <v>46</v>
      </c>
      <c r="Q54" s="508" t="s">
        <v>46</v>
      </c>
      <c r="R54" s="504" t="s">
        <v>46</v>
      </c>
      <c r="S54" s="593" t="s">
        <v>46</v>
      </c>
      <c r="T54" s="504"/>
      <c r="U54" s="504"/>
      <c r="V54" s="508">
        <v>5</v>
      </c>
      <c r="W54" s="508">
        <v>5</v>
      </c>
      <c r="X54" s="501">
        <v>5</v>
      </c>
      <c r="Y54" s="504">
        <v>5</v>
      </c>
      <c r="Z54" s="504">
        <v>5</v>
      </c>
      <c r="AA54" s="504"/>
      <c r="AB54" s="504"/>
      <c r="AC54" s="509">
        <v>10</v>
      </c>
      <c r="AD54" s="504">
        <v>10</v>
      </c>
      <c r="AE54" s="504">
        <v>10</v>
      </c>
      <c r="AF54" s="504">
        <v>10</v>
      </c>
      <c r="AG54" s="614">
        <v>10</v>
      </c>
    </row>
    <row r="55" spans="1:35" ht="18" customHeight="1">
      <c r="A55" s="3856">
        <v>9</v>
      </c>
      <c r="B55" s="3773" t="s">
        <v>101</v>
      </c>
      <c r="C55" s="3788" t="s">
        <v>46</v>
      </c>
      <c r="D55" s="3788" t="s">
        <v>46</v>
      </c>
      <c r="E55" s="3788" t="s">
        <v>46</v>
      </c>
      <c r="F55" s="3788" t="s">
        <v>86</v>
      </c>
      <c r="G55" s="3788" t="s">
        <v>86</v>
      </c>
      <c r="H55" s="3788">
        <v>7</v>
      </c>
      <c r="I55" s="3771">
        <v>7</v>
      </c>
      <c r="J55" s="3788">
        <v>7</v>
      </c>
      <c r="K55" s="3788">
        <v>7</v>
      </c>
      <c r="L55" s="3788">
        <v>7</v>
      </c>
      <c r="M55" s="3788"/>
      <c r="N55" s="3787"/>
      <c r="O55" s="3775">
        <v>4</v>
      </c>
      <c r="P55" s="3775">
        <v>4</v>
      </c>
      <c r="Q55" s="3775">
        <v>4</v>
      </c>
      <c r="R55" s="3775">
        <v>4</v>
      </c>
      <c r="S55" s="3775">
        <v>4</v>
      </c>
      <c r="T55" s="3775"/>
      <c r="U55" s="3775"/>
      <c r="V55" s="3775">
        <v>3</v>
      </c>
      <c r="W55" s="3775">
        <v>3</v>
      </c>
      <c r="X55" s="3775">
        <v>3</v>
      </c>
      <c r="Y55" s="3775">
        <v>3</v>
      </c>
      <c r="Z55" s="3775">
        <v>3</v>
      </c>
      <c r="AA55" s="3775"/>
      <c r="AB55" s="3775"/>
      <c r="AC55" s="3873">
        <v>11</v>
      </c>
      <c r="AD55" s="3787">
        <v>11</v>
      </c>
      <c r="AE55" s="3787">
        <v>11</v>
      </c>
      <c r="AF55" s="3874">
        <v>11</v>
      </c>
      <c r="AG55" s="3874">
        <v>11</v>
      </c>
      <c r="AI55" t="s">
        <v>133</v>
      </c>
    </row>
    <row r="56" spans="1:35" ht="18" customHeight="1" thickBot="1">
      <c r="A56" s="3859">
        <v>14</v>
      </c>
      <c r="B56" s="3792" t="s">
        <v>102</v>
      </c>
      <c r="C56" s="3875" t="s">
        <v>46</v>
      </c>
      <c r="D56" s="3875" t="s">
        <v>46</v>
      </c>
      <c r="E56" s="3860" t="s">
        <v>46</v>
      </c>
      <c r="F56" s="3860" t="s">
        <v>89</v>
      </c>
      <c r="G56" s="3860" t="s">
        <v>89</v>
      </c>
      <c r="H56" s="3860">
        <v>8</v>
      </c>
      <c r="I56" s="3860">
        <v>8</v>
      </c>
      <c r="J56" s="3875">
        <v>8</v>
      </c>
      <c r="K56" s="3860">
        <v>8</v>
      </c>
      <c r="L56" s="3867">
        <v>8</v>
      </c>
      <c r="M56" s="3860"/>
      <c r="N56" s="3867"/>
      <c r="O56" s="3878" t="s">
        <v>46</v>
      </c>
      <c r="P56" s="3867" t="s">
        <v>46</v>
      </c>
      <c r="Q56" s="3879" t="s">
        <v>46</v>
      </c>
      <c r="R56" s="3879" t="s">
        <v>46</v>
      </c>
      <c r="S56" s="3879" t="s">
        <v>46</v>
      </c>
      <c r="T56" s="3860"/>
      <c r="U56" s="3860"/>
      <c r="V56" s="3860">
        <v>1</v>
      </c>
      <c r="W56" s="3860">
        <v>1</v>
      </c>
      <c r="X56" s="3863">
        <v>1</v>
      </c>
      <c r="Y56" s="3875">
        <v>1</v>
      </c>
      <c r="Z56" s="3860">
        <v>1</v>
      </c>
      <c r="AA56" s="3860"/>
      <c r="AB56" s="3860"/>
      <c r="AC56" s="3860">
        <v>9</v>
      </c>
      <c r="AD56" s="3860">
        <v>9</v>
      </c>
      <c r="AE56" s="3875">
        <v>9</v>
      </c>
      <c r="AF56" s="3860">
        <v>9</v>
      </c>
      <c r="AG56" s="3860">
        <v>9</v>
      </c>
    </row>
    <row r="57" spans="1:35" ht="18" customHeight="1">
      <c r="A57" s="3087">
        <v>5</v>
      </c>
      <c r="B57" s="3640" t="s">
        <v>190</v>
      </c>
      <c r="C57" s="3880">
        <v>6</v>
      </c>
      <c r="D57" s="3880">
        <v>6</v>
      </c>
      <c r="E57" s="3880">
        <v>6</v>
      </c>
      <c r="F57" s="3880"/>
      <c r="G57" s="3880"/>
      <c r="H57" s="3880" t="s">
        <v>46</v>
      </c>
      <c r="I57" s="3880" t="s">
        <v>46</v>
      </c>
      <c r="J57" s="3880" t="s">
        <v>46</v>
      </c>
      <c r="K57" s="3880" t="s">
        <v>46</v>
      </c>
      <c r="L57" s="3880" t="s">
        <v>46</v>
      </c>
      <c r="M57" s="3880"/>
      <c r="N57" s="3880"/>
      <c r="O57" s="3880">
        <v>5</v>
      </c>
      <c r="P57" s="3880">
        <v>5</v>
      </c>
      <c r="Q57" s="3880">
        <v>5</v>
      </c>
      <c r="R57" s="3880">
        <v>5</v>
      </c>
      <c r="S57" s="3880">
        <v>5</v>
      </c>
      <c r="T57" s="3880"/>
      <c r="U57" s="3880"/>
      <c r="V57" s="3880">
        <v>10</v>
      </c>
      <c r="W57" s="3880">
        <v>10</v>
      </c>
      <c r="X57" s="3880">
        <v>10</v>
      </c>
      <c r="Y57" s="3880">
        <v>10</v>
      </c>
      <c r="Z57" s="3880">
        <v>10</v>
      </c>
      <c r="AA57" s="3881" t="s">
        <v>53</v>
      </c>
      <c r="AB57" s="3881" t="s">
        <v>53</v>
      </c>
      <c r="AC57" s="3090" t="s">
        <v>46</v>
      </c>
      <c r="AD57" s="3088" t="s">
        <v>46</v>
      </c>
      <c r="AE57" s="3088" t="s">
        <v>46</v>
      </c>
      <c r="AF57" s="3089" t="s">
        <v>46</v>
      </c>
      <c r="AG57" s="3089" t="s">
        <v>46</v>
      </c>
    </row>
    <row r="58" spans="1:35" ht="18" customHeight="1">
      <c r="A58" s="3882">
        <v>10</v>
      </c>
      <c r="B58" s="3189" t="s">
        <v>105</v>
      </c>
      <c r="C58" s="3883">
        <v>7</v>
      </c>
      <c r="D58" s="3883">
        <v>7</v>
      </c>
      <c r="E58" s="3883">
        <v>7</v>
      </c>
      <c r="F58" s="3019"/>
      <c r="G58" s="3019"/>
      <c r="H58" s="3019">
        <v>4</v>
      </c>
      <c r="I58" s="3139">
        <v>4</v>
      </c>
      <c r="J58" s="3139">
        <v>4</v>
      </c>
      <c r="K58" s="3884">
        <v>4</v>
      </c>
      <c r="L58" s="3139">
        <v>4</v>
      </c>
      <c r="M58" s="3139"/>
      <c r="N58" s="3139"/>
      <c r="O58" s="3019">
        <v>3</v>
      </c>
      <c r="P58" s="3019">
        <v>3</v>
      </c>
      <c r="Q58" s="3885">
        <v>3</v>
      </c>
      <c r="R58" s="3019">
        <v>3</v>
      </c>
      <c r="S58" s="3019">
        <v>3</v>
      </c>
      <c r="T58" s="3139"/>
      <c r="U58" s="3139"/>
      <c r="V58" s="3883">
        <v>11</v>
      </c>
      <c r="W58" s="3883">
        <v>11</v>
      </c>
      <c r="X58" s="3883">
        <v>11</v>
      </c>
      <c r="Y58" s="3883">
        <v>11</v>
      </c>
      <c r="Z58" s="3883">
        <v>11</v>
      </c>
      <c r="AA58" s="3883" t="s">
        <v>87</v>
      </c>
      <c r="AB58" s="3883" t="s">
        <v>87</v>
      </c>
      <c r="AC58" s="3114" t="s">
        <v>46</v>
      </c>
      <c r="AD58" s="3114" t="s">
        <v>46</v>
      </c>
      <c r="AE58" s="3114" t="s">
        <v>46</v>
      </c>
      <c r="AF58" s="3114" t="s">
        <v>46</v>
      </c>
      <c r="AG58" s="3114" t="s">
        <v>46</v>
      </c>
    </row>
    <row r="59" spans="1:35" ht="18" customHeight="1" thickBot="1">
      <c r="A59" s="1470">
        <v>15</v>
      </c>
      <c r="B59" s="3886" t="s">
        <v>526</v>
      </c>
      <c r="C59" s="3887">
        <v>8</v>
      </c>
      <c r="D59" s="3887">
        <v>8</v>
      </c>
      <c r="E59" s="3887">
        <v>8</v>
      </c>
      <c r="F59" s="1587" t="s">
        <v>0</v>
      </c>
      <c r="G59" s="3888" t="s">
        <v>0</v>
      </c>
      <c r="H59" s="3889" t="s">
        <v>46</v>
      </c>
      <c r="I59" s="3889" t="s">
        <v>46</v>
      </c>
      <c r="J59" s="3889" t="s">
        <v>46</v>
      </c>
      <c r="K59" s="3830" t="s">
        <v>46</v>
      </c>
      <c r="L59" s="3832" t="s">
        <v>46</v>
      </c>
      <c r="M59" s="3832"/>
      <c r="N59" s="3832"/>
      <c r="O59" s="3890">
        <v>1</v>
      </c>
      <c r="P59" s="3890">
        <v>1</v>
      </c>
      <c r="Q59" s="3890">
        <v>1</v>
      </c>
      <c r="R59" s="3890">
        <v>1</v>
      </c>
      <c r="S59" s="3891">
        <v>1</v>
      </c>
      <c r="T59" s="3890"/>
      <c r="U59" s="3890"/>
      <c r="V59" s="3832">
        <v>9</v>
      </c>
      <c r="W59" s="3832">
        <v>9</v>
      </c>
      <c r="X59" s="3892">
        <v>9</v>
      </c>
      <c r="Y59" s="3830">
        <v>9</v>
      </c>
      <c r="Z59" s="3893">
        <v>9</v>
      </c>
      <c r="AA59" s="3893" t="s">
        <v>52</v>
      </c>
      <c r="AB59" s="3893" t="s">
        <v>52</v>
      </c>
      <c r="AC59" s="3832" t="s">
        <v>46</v>
      </c>
      <c r="AD59" s="3832" t="s">
        <v>46</v>
      </c>
      <c r="AE59" s="3830" t="s">
        <v>46</v>
      </c>
      <c r="AF59" s="3830" t="s">
        <v>46</v>
      </c>
      <c r="AG59" s="3830" t="s">
        <v>46</v>
      </c>
    </row>
    <row r="60" spans="1:35" ht="18" customHeight="1">
      <c r="A60" s="731"/>
      <c r="B60" s="111"/>
      <c r="C60" s="185"/>
      <c r="D60" s="185"/>
      <c r="E60" s="185"/>
      <c r="F60" s="295"/>
      <c r="G60" s="185"/>
      <c r="H60" s="111"/>
      <c r="I60" s="111"/>
      <c r="J60" s="111"/>
      <c r="K60" s="111"/>
      <c r="L60" s="111"/>
      <c r="M60" s="111"/>
      <c r="N60" s="111"/>
      <c r="O60" s="111"/>
      <c r="P60" s="111"/>
      <c r="Q60" s="111"/>
      <c r="R60" s="111"/>
      <c r="S60" s="111"/>
      <c r="T60" s="111"/>
      <c r="U60" s="111"/>
      <c r="V60" s="111"/>
      <c r="W60" s="111"/>
      <c r="X60" s="111"/>
      <c r="Y60" s="111"/>
      <c r="Z60" s="111"/>
      <c r="AA60" s="111"/>
      <c r="AB60" s="111"/>
      <c r="AC60" s="111"/>
      <c r="AD60" s="111"/>
      <c r="AE60" s="111"/>
      <c r="AF60" s="111"/>
      <c r="AG60" s="111"/>
    </row>
    <row r="61" spans="1:35" ht="18" customHeight="1">
      <c r="A61" s="286"/>
      <c r="B61" s="499" t="s">
        <v>107</v>
      </c>
      <c r="C61" s="111"/>
      <c r="D61" s="123"/>
      <c r="E61" s="123"/>
      <c r="F61" s="123"/>
      <c r="G61" s="123"/>
      <c r="H61" s="123"/>
      <c r="I61" s="123"/>
      <c r="J61" s="123"/>
      <c r="K61" s="123"/>
      <c r="L61" s="123"/>
      <c r="M61" s="123"/>
      <c r="N61" s="123"/>
      <c r="O61" s="123"/>
      <c r="P61" s="123"/>
      <c r="Q61" s="123"/>
      <c r="R61" s="123" t="s">
        <v>0</v>
      </c>
      <c r="S61" s="123"/>
      <c r="T61" s="123"/>
      <c r="U61" s="123"/>
      <c r="V61" s="123"/>
      <c r="W61" s="123"/>
      <c r="X61" s="123"/>
      <c r="Y61" s="123"/>
      <c r="Z61" s="123"/>
      <c r="AA61" s="123"/>
      <c r="AB61" s="123"/>
      <c r="AC61" s="123"/>
      <c r="AD61" s="123"/>
      <c r="AE61" s="123"/>
      <c r="AF61" s="123"/>
      <c r="AG61" s="111"/>
    </row>
    <row r="62" spans="1:35" ht="18" customHeight="1">
      <c r="A62" s="637" t="s">
        <v>37</v>
      </c>
      <c r="B62" s="637"/>
      <c r="C62" s="592"/>
      <c r="D62" s="637" t="s">
        <v>19</v>
      </c>
      <c r="E62" s="734"/>
      <c r="F62" s="592"/>
      <c r="G62" s="637" t="s">
        <v>20</v>
      </c>
      <c r="H62" s="734"/>
      <c r="I62" s="592"/>
      <c r="J62" s="637" t="s">
        <v>21</v>
      </c>
      <c r="K62" s="734"/>
      <c r="L62" s="592"/>
      <c r="M62" s="637" t="s">
        <v>22</v>
      </c>
      <c r="N62" s="734"/>
      <c r="O62" s="592"/>
      <c r="P62" s="637" t="s">
        <v>23</v>
      </c>
      <c r="Q62" s="734"/>
      <c r="R62" s="238"/>
      <c r="S62" s="275" t="s">
        <v>24</v>
      </c>
      <c r="T62" s="734"/>
      <c r="U62" s="592"/>
      <c r="V62" s="637" t="s">
        <v>25</v>
      </c>
      <c r="W62" s="734"/>
      <c r="X62" s="735" t="s">
        <v>108</v>
      </c>
      <c r="Y62" s="734"/>
      <c r="Z62" s="734"/>
      <c r="AA62" s="633"/>
      <c r="AB62" s="520"/>
      <c r="AC62" s="520"/>
      <c r="AD62" s="520"/>
      <c r="AE62" s="520"/>
      <c r="AF62" s="520"/>
    </row>
    <row r="63" spans="1:35" ht="18" customHeight="1">
      <c r="A63" s="3894">
        <v>8517</v>
      </c>
      <c r="B63" s="3895" t="s">
        <v>162</v>
      </c>
      <c r="C63" s="3896" t="s">
        <v>527</v>
      </c>
      <c r="D63" s="3194"/>
      <c r="E63" s="3759"/>
      <c r="F63" s="3896" t="s">
        <v>528</v>
      </c>
      <c r="G63" s="3194"/>
      <c r="H63" s="3759"/>
      <c r="I63" s="3896" t="s">
        <v>527</v>
      </c>
      <c r="J63" s="3194"/>
      <c r="K63" s="3759"/>
      <c r="L63" s="3896" t="s">
        <v>528</v>
      </c>
      <c r="M63" s="3194"/>
      <c r="N63" s="3759"/>
      <c r="O63" s="3896" t="s">
        <v>529</v>
      </c>
      <c r="P63" s="3194"/>
      <c r="Q63" s="3759"/>
      <c r="R63" s="3896"/>
      <c r="S63" s="3194"/>
      <c r="T63" s="3759"/>
      <c r="U63" s="3896" t="s">
        <v>530</v>
      </c>
      <c r="V63" s="3194"/>
      <c r="W63" s="3759"/>
      <c r="X63" s="3757"/>
      <c r="Y63" s="3233"/>
      <c r="Z63" s="3655"/>
      <c r="AA63" s="3233"/>
      <c r="AB63" s="3233"/>
      <c r="AC63" s="3233"/>
      <c r="AD63" s="3233"/>
      <c r="AE63" s="3233"/>
      <c r="AF63" s="3233"/>
    </row>
    <row r="64" spans="1:35" ht="18" customHeight="1">
      <c r="B64" s="3772" t="s">
        <v>109</v>
      </c>
      <c r="C64" s="3197" t="s">
        <v>110</v>
      </c>
      <c r="D64" s="3198"/>
      <c r="E64" s="3897"/>
      <c r="F64" s="3197" t="s">
        <v>110</v>
      </c>
      <c r="G64" s="3898"/>
      <c r="H64" s="3897"/>
      <c r="I64" s="3896" t="s">
        <v>110</v>
      </c>
      <c r="J64" s="3194"/>
      <c r="K64" s="3899"/>
      <c r="L64" s="3896" t="s">
        <v>110</v>
      </c>
      <c r="M64" s="3194"/>
      <c r="N64" s="3899"/>
      <c r="O64" s="3896" t="s">
        <v>111</v>
      </c>
      <c r="P64" s="3194"/>
      <c r="Q64" s="3759"/>
      <c r="R64" s="3900" t="s">
        <v>0</v>
      </c>
      <c r="S64" s="3194"/>
      <c r="T64" s="3899"/>
      <c r="U64" s="3194" t="s">
        <v>0</v>
      </c>
      <c r="V64" s="3194"/>
      <c r="W64" s="3759"/>
      <c r="X64" s="3757" t="s">
        <v>0</v>
      </c>
      <c r="Y64" s="3233"/>
      <c r="Z64" s="3655"/>
      <c r="AA64" s="48"/>
      <c r="AB64" s="48"/>
      <c r="AC64" s="48"/>
      <c r="AD64" s="48"/>
      <c r="AE64" s="48"/>
      <c r="AF64" s="48"/>
    </row>
    <row r="65" spans="1:33" ht="18" customHeight="1">
      <c r="A65" s="3901"/>
      <c r="B65" s="3895" t="s">
        <v>165</v>
      </c>
      <c r="C65" s="3197" t="s">
        <v>531</v>
      </c>
      <c r="D65" s="3198"/>
      <c r="E65" s="3898"/>
      <c r="F65" s="3197" t="s">
        <v>531</v>
      </c>
      <c r="G65" s="3198"/>
      <c r="H65" s="3898"/>
      <c r="I65" s="3197" t="s">
        <v>531</v>
      </c>
      <c r="J65" s="3198"/>
      <c r="K65" s="3898"/>
      <c r="L65" s="3197" t="s">
        <v>531</v>
      </c>
      <c r="M65" s="3198"/>
      <c r="N65" s="3898"/>
      <c r="O65" s="3197" t="s">
        <v>532</v>
      </c>
      <c r="P65" s="3198"/>
      <c r="Q65" s="3898"/>
      <c r="R65" s="242"/>
      <c r="S65" s="131"/>
      <c r="T65" s="3897"/>
      <c r="U65" s="3198"/>
      <c r="V65" s="3198"/>
      <c r="W65" s="3898"/>
      <c r="X65" s="3757"/>
      <c r="Y65" s="3233"/>
      <c r="Z65" s="3655"/>
      <c r="AA65" s="3233"/>
      <c r="AB65" s="3233"/>
      <c r="AC65" s="3233"/>
      <c r="AD65" s="3233"/>
      <c r="AE65" s="3233"/>
      <c r="AF65" s="3233"/>
    </row>
    <row r="66" spans="1:33" ht="18" customHeight="1">
      <c r="A66" s="3901"/>
      <c r="B66" s="3895"/>
      <c r="C66" s="3197"/>
      <c r="D66" s="3198"/>
      <c r="E66" s="3898"/>
      <c r="F66" s="3197"/>
      <c r="G66" s="3198"/>
      <c r="H66" s="3898"/>
      <c r="I66" s="131"/>
      <c r="J66" s="131"/>
      <c r="K66" s="333"/>
      <c r="L66" s="131"/>
      <c r="M66" s="131"/>
      <c r="N66" s="333"/>
      <c r="O66" s="3197"/>
      <c r="P66" s="3198"/>
      <c r="Q66" s="3898"/>
      <c r="R66" s="334"/>
      <c r="S66" s="131"/>
      <c r="T66" s="333"/>
      <c r="U66" s="131"/>
      <c r="V66" s="131"/>
      <c r="W66" s="333"/>
      <c r="X66" s="3757"/>
      <c r="Y66" s="3233"/>
      <c r="Z66" s="3655"/>
      <c r="AA66" s="3233"/>
      <c r="AB66" s="3233"/>
      <c r="AC66" s="3233"/>
      <c r="AD66" s="3233"/>
      <c r="AE66" s="3233"/>
      <c r="AF66" s="3233"/>
    </row>
    <row r="67" spans="1:33" ht="18" customHeight="1">
      <c r="A67" s="3767"/>
      <c r="B67" s="3895" t="s">
        <v>169</v>
      </c>
      <c r="C67" s="3902" t="s">
        <v>533</v>
      </c>
      <c r="D67" s="3758"/>
      <c r="E67" s="3758"/>
      <c r="F67" s="3902" t="s">
        <v>533</v>
      </c>
      <c r="G67" s="3076"/>
      <c r="H67" s="3758"/>
      <c r="I67" s="3625" t="s">
        <v>533</v>
      </c>
      <c r="J67" s="3400"/>
      <c r="K67" s="3399"/>
      <c r="L67" s="3625" t="s">
        <v>533</v>
      </c>
      <c r="M67" s="3400"/>
      <c r="N67" s="3626"/>
      <c r="O67" s="3902" t="s">
        <v>533</v>
      </c>
      <c r="P67" s="3758"/>
      <c r="Q67" s="3758"/>
      <c r="R67" s="3625" t="s">
        <v>534</v>
      </c>
      <c r="S67" s="3400" t="s">
        <v>535</v>
      </c>
      <c r="T67" s="3399"/>
      <c r="U67" s="3625" t="s">
        <v>536</v>
      </c>
      <c r="V67" s="3400"/>
      <c r="W67" s="3400"/>
      <c r="X67" s="3903"/>
      <c r="Y67" s="3758"/>
      <c r="Z67" s="3839"/>
      <c r="AA67" s="3903"/>
      <c r="AB67" s="3758"/>
      <c r="AC67" s="3758"/>
      <c r="AD67" s="3758"/>
      <c r="AE67" s="3758"/>
      <c r="AF67" s="3233"/>
    </row>
    <row r="68" spans="1:33" ht="12.75" thickBot="1"/>
    <row r="69" spans="1:33" ht="18" customHeight="1" thickBot="1">
      <c r="B69" s="1318" t="s">
        <v>537</v>
      </c>
      <c r="C69" s="1319">
        <v>1</v>
      </c>
      <c r="D69" s="1319">
        <v>2</v>
      </c>
      <c r="E69" s="1319">
        <v>3</v>
      </c>
      <c r="F69" s="1320">
        <v>4</v>
      </c>
      <c r="G69" s="1320">
        <v>5</v>
      </c>
      <c r="H69" s="1319">
        <v>6</v>
      </c>
      <c r="I69" s="1319">
        <v>7</v>
      </c>
      <c r="J69" s="1319">
        <v>8</v>
      </c>
      <c r="K69" s="1319">
        <v>9</v>
      </c>
      <c r="L69" s="1319">
        <v>10</v>
      </c>
      <c r="M69" s="1320">
        <v>11</v>
      </c>
      <c r="N69" s="1320">
        <v>12</v>
      </c>
      <c r="O69" s="1319">
        <v>13</v>
      </c>
      <c r="P69" s="1319">
        <v>14</v>
      </c>
      <c r="Q69" s="1319">
        <v>15</v>
      </c>
      <c r="R69" s="1319">
        <v>16</v>
      </c>
      <c r="S69" s="1319">
        <v>17</v>
      </c>
      <c r="T69" s="1320">
        <v>18</v>
      </c>
      <c r="U69" s="1320">
        <v>19</v>
      </c>
      <c r="V69" s="1319">
        <v>20</v>
      </c>
      <c r="W69" s="1319">
        <v>21</v>
      </c>
      <c r="X69" s="1319">
        <v>22</v>
      </c>
      <c r="Y69" s="1319">
        <v>23</v>
      </c>
      <c r="Z69" s="1319">
        <v>24</v>
      </c>
      <c r="AA69" s="1320">
        <v>25</v>
      </c>
      <c r="AB69" s="1320">
        <v>26</v>
      </c>
      <c r="AC69" s="1319">
        <v>27</v>
      </c>
      <c r="AD69" s="1319">
        <v>28</v>
      </c>
      <c r="AE69" s="1319">
        <v>29</v>
      </c>
      <c r="AF69" s="1319">
        <v>30</v>
      </c>
      <c r="AG69" s="1321">
        <v>31</v>
      </c>
    </row>
    <row r="70" spans="1:33" ht="18" customHeight="1">
      <c r="B70" s="3904" t="s">
        <v>112</v>
      </c>
      <c r="C70" s="3779" t="s">
        <v>475</v>
      </c>
      <c r="D70" s="3779" t="s">
        <v>475</v>
      </c>
      <c r="E70" s="3779" t="s">
        <v>475</v>
      </c>
      <c r="F70" s="3779"/>
      <c r="G70" s="3779"/>
      <c r="H70" s="3779" t="s">
        <v>475</v>
      </c>
      <c r="I70" s="3779" t="s">
        <v>475</v>
      </c>
      <c r="J70" s="3779" t="s">
        <v>475</v>
      </c>
      <c r="K70" s="3779" t="s">
        <v>475</v>
      </c>
      <c r="L70" s="3783" t="s">
        <v>43</v>
      </c>
      <c r="M70" s="3779"/>
      <c r="N70" s="3779"/>
      <c r="O70" s="3779" t="s">
        <v>475</v>
      </c>
      <c r="P70" s="3779" t="s">
        <v>475</v>
      </c>
      <c r="Q70" s="3779" t="s">
        <v>475</v>
      </c>
      <c r="R70" s="3779" t="s">
        <v>475</v>
      </c>
      <c r="S70" s="3779" t="s">
        <v>475</v>
      </c>
      <c r="T70" s="3779"/>
      <c r="U70" s="3905"/>
      <c r="V70" s="3779" t="s">
        <v>475</v>
      </c>
      <c r="W70" s="3779" t="s">
        <v>475</v>
      </c>
      <c r="X70" s="3779" t="s">
        <v>475</v>
      </c>
      <c r="Y70" s="3779" t="s">
        <v>475</v>
      </c>
      <c r="Z70" s="3779" t="s">
        <v>475</v>
      </c>
      <c r="AA70" s="3779"/>
      <c r="AB70" s="3779"/>
      <c r="AC70" s="3775" t="s">
        <v>40</v>
      </c>
      <c r="AD70" s="3775" t="s">
        <v>40</v>
      </c>
      <c r="AE70" s="3775" t="s">
        <v>40</v>
      </c>
      <c r="AF70" s="3775" t="s">
        <v>40</v>
      </c>
      <c r="AG70" s="3906" t="s">
        <v>40</v>
      </c>
    </row>
    <row r="71" spans="1:33" ht="18" customHeight="1">
      <c r="B71" s="3904" t="s">
        <v>114</v>
      </c>
      <c r="C71" s="3907" t="s">
        <v>40</v>
      </c>
      <c r="D71" s="3907" t="s">
        <v>40</v>
      </c>
      <c r="E71" s="3907" t="s">
        <v>40</v>
      </c>
      <c r="F71" s="3775"/>
      <c r="G71" s="3775"/>
      <c r="H71" s="484" t="s">
        <v>61</v>
      </c>
      <c r="I71" s="484" t="s">
        <v>61</v>
      </c>
      <c r="J71" s="480" t="s">
        <v>61</v>
      </c>
      <c r="K71" s="480" t="s">
        <v>61</v>
      </c>
      <c r="L71" s="324" t="s">
        <v>373</v>
      </c>
      <c r="M71" s="858" t="s">
        <v>538</v>
      </c>
      <c r="N71" s="3779" t="s">
        <v>46</v>
      </c>
      <c r="O71" s="3801" t="s">
        <v>61</v>
      </c>
      <c r="P71" s="3801" t="s">
        <v>61</v>
      </c>
      <c r="Q71" s="3822" t="s">
        <v>61</v>
      </c>
      <c r="R71" s="3872">
        <v>23</v>
      </c>
      <c r="S71" s="3872">
        <v>23</v>
      </c>
      <c r="T71" s="3788">
        <v>23</v>
      </c>
      <c r="U71" s="3788">
        <v>23</v>
      </c>
      <c r="V71" s="324" t="s">
        <v>418</v>
      </c>
      <c r="W71" s="324" t="s">
        <v>418</v>
      </c>
      <c r="X71" s="3779">
        <v>9</v>
      </c>
      <c r="Y71" s="3873" t="s">
        <v>46</v>
      </c>
      <c r="Z71" s="3908" t="s">
        <v>46</v>
      </c>
      <c r="AA71" s="3872"/>
      <c r="AB71" s="3788"/>
      <c r="AC71" s="3779">
        <v>25</v>
      </c>
      <c r="AD71" s="3779">
        <v>25</v>
      </c>
      <c r="AE71" s="3779">
        <v>25</v>
      </c>
      <c r="AF71" s="3779">
        <v>25</v>
      </c>
      <c r="AG71" s="3909">
        <v>25</v>
      </c>
    </row>
    <row r="72" spans="1:33" ht="18" customHeight="1">
      <c r="B72" s="3910" t="s">
        <v>115</v>
      </c>
      <c r="C72" s="3771">
        <v>9</v>
      </c>
      <c r="D72" s="480" t="s">
        <v>61</v>
      </c>
      <c r="E72" s="480" t="s">
        <v>61</v>
      </c>
      <c r="F72" s="480" t="s">
        <v>61</v>
      </c>
      <c r="G72" s="490" t="s">
        <v>61</v>
      </c>
      <c r="H72" s="3911" t="s">
        <v>46</v>
      </c>
      <c r="I72" s="3911" t="s">
        <v>46</v>
      </c>
      <c r="J72" s="3911" t="s">
        <v>46</v>
      </c>
      <c r="K72" s="3911" t="s">
        <v>46</v>
      </c>
      <c r="L72" s="3912">
        <v>6</v>
      </c>
      <c r="M72" s="3912"/>
      <c r="N72" s="3912"/>
      <c r="O72" s="3775" t="s">
        <v>40</v>
      </c>
      <c r="P72" s="3775" t="s">
        <v>40</v>
      </c>
      <c r="Q72" s="3775" t="s">
        <v>40</v>
      </c>
      <c r="R72" s="3775" t="s">
        <v>40</v>
      </c>
      <c r="S72" s="3775" t="s">
        <v>40</v>
      </c>
      <c r="T72" s="3775"/>
      <c r="U72" s="3775"/>
      <c r="V72" s="116" t="s">
        <v>113</v>
      </c>
      <c r="W72" s="116" t="s">
        <v>113</v>
      </c>
      <c r="X72" s="3857">
        <v>10</v>
      </c>
      <c r="Y72" s="3857">
        <v>10</v>
      </c>
      <c r="Z72" s="3913">
        <v>10</v>
      </c>
      <c r="AA72" s="3914" t="s">
        <v>429</v>
      </c>
      <c r="AB72" s="3914" t="s">
        <v>539</v>
      </c>
      <c r="AC72" s="3911" t="s">
        <v>46</v>
      </c>
      <c r="AD72" s="3911" t="s">
        <v>46</v>
      </c>
      <c r="AE72" s="3911" t="s">
        <v>46</v>
      </c>
      <c r="AF72" s="3911" t="s">
        <v>46</v>
      </c>
      <c r="AG72" s="3915" t="s">
        <v>40</v>
      </c>
    </row>
    <row r="73" spans="1:33" ht="18" customHeight="1">
      <c r="B73" s="3904" t="s">
        <v>117</v>
      </c>
      <c r="C73" s="3780">
        <v>5</v>
      </c>
      <c r="D73" s="3780">
        <v>5</v>
      </c>
      <c r="E73" s="3916">
        <v>5</v>
      </c>
      <c r="F73" s="3788"/>
      <c r="G73" s="3788"/>
      <c r="H73" s="3766">
        <v>10</v>
      </c>
      <c r="I73" s="3766">
        <v>10</v>
      </c>
      <c r="J73" s="3766">
        <v>10</v>
      </c>
      <c r="K73" s="3766">
        <v>10</v>
      </c>
      <c r="L73" s="3766">
        <v>10</v>
      </c>
      <c r="M73" s="3766" t="s">
        <v>53</v>
      </c>
      <c r="N73" s="3917" t="s">
        <v>53</v>
      </c>
      <c r="O73" s="3766" t="s">
        <v>46</v>
      </c>
      <c r="P73" s="3766" t="s">
        <v>46</v>
      </c>
      <c r="Q73" s="3766" t="s">
        <v>46</v>
      </c>
      <c r="R73" s="3766" t="s">
        <v>46</v>
      </c>
      <c r="S73" s="3766" t="s">
        <v>46</v>
      </c>
      <c r="T73" s="328" t="s">
        <v>86</v>
      </c>
      <c r="U73" s="328" t="s">
        <v>86</v>
      </c>
      <c r="V73" s="3774">
        <v>6</v>
      </c>
      <c r="W73" s="3774">
        <v>6</v>
      </c>
      <c r="X73" s="3774">
        <v>6</v>
      </c>
      <c r="Y73" s="3774">
        <v>6</v>
      </c>
      <c r="Z73" s="3774">
        <v>6</v>
      </c>
      <c r="AA73" s="3766"/>
      <c r="AB73" s="111"/>
      <c r="AC73" s="3766">
        <v>4</v>
      </c>
      <c r="AD73" s="3766">
        <v>4</v>
      </c>
      <c r="AE73" s="3766">
        <v>4</v>
      </c>
      <c r="AF73" s="3766">
        <v>4</v>
      </c>
      <c r="AG73" s="3918">
        <v>4</v>
      </c>
    </row>
    <row r="74" spans="1:33" ht="18" customHeight="1">
      <c r="B74" s="3904" t="s">
        <v>119</v>
      </c>
      <c r="C74" s="586" t="s">
        <v>128</v>
      </c>
      <c r="D74" s="503">
        <v>9</v>
      </c>
      <c r="E74" s="503">
        <v>9</v>
      </c>
      <c r="F74" s="586" t="s">
        <v>52</v>
      </c>
      <c r="G74" s="586" t="s">
        <v>53</v>
      </c>
      <c r="H74" s="586" t="s">
        <v>46</v>
      </c>
      <c r="I74" s="586" t="s">
        <v>46</v>
      </c>
      <c r="J74" s="586" t="s">
        <v>46</v>
      </c>
      <c r="K74" s="591" t="s">
        <v>46</v>
      </c>
      <c r="L74" s="591" t="s">
        <v>46</v>
      </c>
      <c r="M74" s="615" t="s">
        <v>91</v>
      </c>
      <c r="N74" s="615" t="s">
        <v>89</v>
      </c>
      <c r="O74" s="3774">
        <v>5</v>
      </c>
      <c r="P74" s="3774">
        <v>5</v>
      </c>
      <c r="Q74" s="3774">
        <v>5</v>
      </c>
      <c r="R74" s="3774">
        <v>5</v>
      </c>
      <c r="S74" s="3774">
        <v>5</v>
      </c>
      <c r="T74" s="3779" t="s">
        <v>104</v>
      </c>
      <c r="U74" s="3779" t="s">
        <v>104</v>
      </c>
      <c r="V74" s="3775" t="s">
        <v>40</v>
      </c>
      <c r="W74" s="3775" t="s">
        <v>40</v>
      </c>
      <c r="X74" s="3775" t="s">
        <v>40</v>
      </c>
      <c r="Y74" s="3775" t="s">
        <v>40</v>
      </c>
      <c r="Z74" s="3775" t="s">
        <v>40</v>
      </c>
      <c r="AA74" s="3775"/>
      <c r="AB74" s="3775"/>
      <c r="AC74" s="3775" t="s">
        <v>40</v>
      </c>
      <c r="AD74" s="3775" t="s">
        <v>40</v>
      </c>
      <c r="AE74" s="3775" t="s">
        <v>40</v>
      </c>
      <c r="AF74" s="3775" t="s">
        <v>40</v>
      </c>
      <c r="AG74" s="3919" t="s">
        <v>40</v>
      </c>
    </row>
    <row r="75" spans="1:33" ht="18" customHeight="1">
      <c r="B75" s="3904" t="s">
        <v>122</v>
      </c>
      <c r="C75" s="3883">
        <v>6</v>
      </c>
      <c r="D75" s="3883">
        <v>6</v>
      </c>
      <c r="E75" s="3883">
        <v>6</v>
      </c>
      <c r="F75" s="3139"/>
      <c r="G75" s="3139"/>
      <c r="H75" s="124" t="s">
        <v>113</v>
      </c>
      <c r="I75" s="124" t="s">
        <v>113</v>
      </c>
      <c r="J75" s="124" t="s">
        <v>113</v>
      </c>
      <c r="K75" s="124" t="s">
        <v>113</v>
      </c>
      <c r="L75" s="3920" t="s">
        <v>46</v>
      </c>
      <c r="M75" s="3771"/>
      <c r="N75" s="3771"/>
      <c r="O75" s="3783" t="s">
        <v>116</v>
      </c>
      <c r="P75" s="3783" t="s">
        <v>116</v>
      </c>
      <c r="Q75" s="3783" t="s">
        <v>116</v>
      </c>
      <c r="R75" s="3783" t="s">
        <v>116</v>
      </c>
      <c r="S75" s="3783" t="s">
        <v>116</v>
      </c>
      <c r="T75" s="3783"/>
      <c r="U75" s="3783"/>
      <c r="V75" s="3783" t="s">
        <v>116</v>
      </c>
      <c r="W75" s="3783" t="s">
        <v>116</v>
      </c>
      <c r="X75" s="3783" t="s">
        <v>116</v>
      </c>
      <c r="Y75" s="3783" t="s">
        <v>116</v>
      </c>
      <c r="Z75" s="3783" t="s">
        <v>116</v>
      </c>
      <c r="AA75" s="3783" t="s">
        <v>0</v>
      </c>
      <c r="AB75" s="3783" t="s">
        <v>0</v>
      </c>
      <c r="AC75" s="3783" t="s">
        <v>116</v>
      </c>
      <c r="AD75" s="3783" t="s">
        <v>116</v>
      </c>
      <c r="AE75" s="3783" t="s">
        <v>116</v>
      </c>
      <c r="AF75" s="3783" t="s">
        <v>116</v>
      </c>
      <c r="AG75" s="3921" t="s">
        <v>116</v>
      </c>
    </row>
    <row r="76" spans="1:33" ht="18" customHeight="1" thickBot="1">
      <c r="B76" s="3910" t="s">
        <v>129</v>
      </c>
      <c r="C76" s="3911" t="s">
        <v>46</v>
      </c>
      <c r="D76" s="3911" t="s">
        <v>46</v>
      </c>
      <c r="E76" s="3911" t="s">
        <v>46</v>
      </c>
      <c r="F76" s="3803"/>
      <c r="G76" s="3803"/>
      <c r="H76" s="3922" t="s">
        <v>116</v>
      </c>
      <c r="I76" s="3922" t="s">
        <v>116</v>
      </c>
      <c r="J76" s="3923" t="s">
        <v>116</v>
      </c>
      <c r="K76" s="3923" t="s">
        <v>116</v>
      </c>
      <c r="L76" s="3924" t="s">
        <v>301</v>
      </c>
      <c r="M76" s="3779"/>
      <c r="N76" s="3779"/>
      <c r="O76" s="3925" t="s">
        <v>130</v>
      </c>
      <c r="P76" s="3925" t="s">
        <v>130</v>
      </c>
      <c r="Q76" s="3925" t="s">
        <v>130</v>
      </c>
      <c r="R76" s="3925" t="s">
        <v>130</v>
      </c>
      <c r="S76" s="3925" t="s">
        <v>130</v>
      </c>
      <c r="T76" s="3873"/>
      <c r="U76" s="3873"/>
      <c r="V76" s="3779" t="s">
        <v>127</v>
      </c>
      <c r="W76" s="3873" t="s">
        <v>127</v>
      </c>
      <c r="X76" s="3873" t="s">
        <v>116</v>
      </c>
      <c r="Y76" s="3779" t="s">
        <v>40</v>
      </c>
      <c r="Z76" s="3926" t="s">
        <v>128</v>
      </c>
      <c r="AA76" s="3926">
        <v>89</v>
      </c>
      <c r="AB76" s="3779"/>
      <c r="AC76" s="3926" t="s">
        <v>40</v>
      </c>
      <c r="AD76" s="3926" t="s">
        <v>40</v>
      </c>
      <c r="AE76" s="3927" t="s">
        <v>40</v>
      </c>
      <c r="AF76" s="3928" t="s">
        <v>40</v>
      </c>
      <c r="AG76" s="3929" t="s">
        <v>40</v>
      </c>
    </row>
    <row r="77" spans="1:33" ht="18" customHeight="1">
      <c r="B77" s="3930" t="s">
        <v>478</v>
      </c>
      <c r="C77" s="321" t="s">
        <v>46</v>
      </c>
      <c r="D77" s="3789">
        <v>9</v>
      </c>
      <c r="E77" s="3789">
        <v>9</v>
      </c>
      <c r="F77" s="3771"/>
      <c r="G77" s="3771"/>
      <c r="H77" s="3089">
        <v>9</v>
      </c>
      <c r="I77" s="3088">
        <v>9</v>
      </c>
      <c r="J77" s="3090">
        <v>9</v>
      </c>
      <c r="K77" s="3089">
        <v>9</v>
      </c>
      <c r="L77" s="3088">
        <v>9</v>
      </c>
      <c r="M77" s="3088" t="s">
        <v>52</v>
      </c>
      <c r="N77" s="3088" t="s">
        <v>53</v>
      </c>
      <c r="O77" s="3931" t="s">
        <v>46</v>
      </c>
      <c r="P77" s="3932" t="s">
        <v>46</v>
      </c>
      <c r="Q77" s="3932" t="s">
        <v>46</v>
      </c>
      <c r="R77" s="3932" t="s">
        <v>46</v>
      </c>
      <c r="S77" s="3932" t="s">
        <v>46</v>
      </c>
      <c r="T77" s="327" t="s">
        <v>86</v>
      </c>
      <c r="U77" s="327" t="s">
        <v>86</v>
      </c>
      <c r="V77" s="3933">
        <v>6</v>
      </c>
      <c r="W77" s="3933">
        <v>6</v>
      </c>
      <c r="X77" s="3933">
        <v>6</v>
      </c>
      <c r="Y77" s="3933">
        <v>6</v>
      </c>
      <c r="Z77" s="3933">
        <v>6</v>
      </c>
      <c r="AA77" s="3771"/>
      <c r="AB77" s="3771"/>
      <c r="AC77" s="2989">
        <v>6</v>
      </c>
      <c r="AD77" s="2989">
        <v>6</v>
      </c>
      <c r="AE77" s="2989">
        <v>6</v>
      </c>
      <c r="AF77" s="2989">
        <v>6</v>
      </c>
      <c r="AG77" s="2989">
        <v>6</v>
      </c>
    </row>
    <row r="78" spans="1:33" ht="18" customHeight="1" thickBot="1">
      <c r="B78" s="3934" t="s">
        <v>103</v>
      </c>
      <c r="C78" s="3771">
        <v>3</v>
      </c>
      <c r="D78" s="3771">
        <v>3</v>
      </c>
      <c r="E78" s="3771" t="s">
        <v>40</v>
      </c>
      <c r="F78" s="3771"/>
      <c r="G78" s="3771"/>
      <c r="H78" s="3771" t="s">
        <v>40</v>
      </c>
      <c r="I78" s="3771">
        <v>3</v>
      </c>
      <c r="J78" s="3771">
        <v>3</v>
      </c>
      <c r="K78" s="3771">
        <v>1</v>
      </c>
      <c r="L78" s="3771">
        <v>1</v>
      </c>
      <c r="M78" s="3771"/>
      <c r="N78" s="3771"/>
      <c r="O78" s="3775" t="s">
        <v>40</v>
      </c>
      <c r="P78" s="3775" t="s">
        <v>40</v>
      </c>
      <c r="Q78" s="3775" t="s">
        <v>40</v>
      </c>
      <c r="R78" s="3775" t="s">
        <v>40</v>
      </c>
      <c r="S78" s="3775" t="s">
        <v>40</v>
      </c>
      <c r="T78" s="3775"/>
      <c r="U78" s="3775"/>
      <c r="V78" s="3783">
        <v>3</v>
      </c>
      <c r="W78" s="3783">
        <v>3</v>
      </c>
      <c r="X78" s="3783">
        <v>3</v>
      </c>
      <c r="Y78" s="3783">
        <v>3</v>
      </c>
      <c r="Z78" s="3783">
        <v>3</v>
      </c>
      <c r="AA78" s="3771"/>
      <c r="AB78" s="3771"/>
      <c r="AC78" s="3771">
        <v>1</v>
      </c>
      <c r="AD78" s="3771">
        <v>1</v>
      </c>
      <c r="AE78" s="3771">
        <v>1</v>
      </c>
      <c r="AF78" s="3771" t="s">
        <v>40</v>
      </c>
      <c r="AG78" s="3935">
        <v>1</v>
      </c>
    </row>
    <row r="79" spans="1:33" ht="18" customHeight="1" thickBot="1">
      <c r="B79" s="3936" t="s">
        <v>140</v>
      </c>
      <c r="C79" s="3790" t="s">
        <v>127</v>
      </c>
      <c r="D79" s="3771" t="s">
        <v>127</v>
      </c>
      <c r="E79" s="3771" t="s">
        <v>127</v>
      </c>
      <c r="F79" s="3771"/>
      <c r="G79" s="3771"/>
      <c r="H79" s="3139" t="s">
        <v>46</v>
      </c>
      <c r="I79" s="3937" t="s">
        <v>116</v>
      </c>
      <c r="J79" s="3139" t="s">
        <v>116</v>
      </c>
      <c r="K79" s="3139" t="s">
        <v>40</v>
      </c>
      <c r="L79" s="3139" t="s">
        <v>40</v>
      </c>
      <c r="M79" s="3139"/>
      <c r="N79" s="3139"/>
      <c r="O79" s="3783" t="s">
        <v>127</v>
      </c>
      <c r="P79" s="3783" t="s">
        <v>127</v>
      </c>
      <c r="Q79" s="3783" t="s">
        <v>127</v>
      </c>
      <c r="R79" s="3783" t="s">
        <v>127</v>
      </c>
      <c r="S79" s="3783" t="s">
        <v>127</v>
      </c>
      <c r="T79" s="3783"/>
      <c r="U79" s="3783"/>
      <c r="V79" s="116">
        <v>10</v>
      </c>
      <c r="W79" s="116">
        <v>10</v>
      </c>
      <c r="X79" s="3911" t="s">
        <v>46</v>
      </c>
      <c r="Y79" s="3911" t="s">
        <v>46</v>
      </c>
      <c r="Z79" s="3938" t="s">
        <v>143</v>
      </c>
      <c r="AA79" s="3939" t="s">
        <v>91</v>
      </c>
      <c r="AB79" s="3853" t="s">
        <v>89</v>
      </c>
      <c r="AC79" s="3940">
        <v>6</v>
      </c>
      <c r="AD79" s="3941">
        <v>6</v>
      </c>
      <c r="AE79" s="3942">
        <v>6</v>
      </c>
      <c r="AF79" s="3942">
        <v>6</v>
      </c>
      <c r="AG79" s="3943">
        <v>6</v>
      </c>
    </row>
    <row r="80" spans="1:33" ht="17.25" customHeight="1" thickBot="1">
      <c r="B80" s="3936" t="s">
        <v>479</v>
      </c>
      <c r="C80" s="3944">
        <v>7</v>
      </c>
      <c r="D80" s="3944">
        <v>7</v>
      </c>
      <c r="E80" s="3944">
        <v>7</v>
      </c>
      <c r="F80" s="3798"/>
      <c r="G80" s="3798"/>
      <c r="H80" s="3812">
        <v>6</v>
      </c>
      <c r="I80" s="3812">
        <v>6</v>
      </c>
      <c r="J80" s="3812">
        <v>6</v>
      </c>
      <c r="K80" s="3812">
        <v>6</v>
      </c>
      <c r="L80" s="3798" t="s">
        <v>40</v>
      </c>
      <c r="M80" s="3139"/>
      <c r="N80" s="3139"/>
      <c r="O80" s="616" t="s">
        <v>46</v>
      </c>
      <c r="P80" s="616" t="s">
        <v>46</v>
      </c>
      <c r="Q80" s="616" t="s">
        <v>46</v>
      </c>
      <c r="R80" s="616" t="s">
        <v>46</v>
      </c>
      <c r="S80" s="616" t="s">
        <v>46</v>
      </c>
      <c r="T80" s="3497" t="s">
        <v>91</v>
      </c>
      <c r="U80" s="3497" t="s">
        <v>89</v>
      </c>
      <c r="V80" s="3497">
        <v>7</v>
      </c>
      <c r="W80" s="3497">
        <v>7</v>
      </c>
      <c r="X80" s="3497">
        <v>7</v>
      </c>
      <c r="Y80" s="3497">
        <v>7</v>
      </c>
      <c r="Z80" s="3497">
        <v>7</v>
      </c>
      <c r="AA80" s="3798"/>
      <c r="AB80" s="3798"/>
      <c r="AC80" s="616" t="s">
        <v>46</v>
      </c>
      <c r="AD80" s="616" t="s">
        <v>46</v>
      </c>
      <c r="AE80" s="616" t="s">
        <v>46</v>
      </c>
      <c r="AF80" s="616" t="s">
        <v>46</v>
      </c>
      <c r="AG80" s="560" t="s">
        <v>46</v>
      </c>
    </row>
    <row r="81" spans="1:33" ht="17.25" customHeight="1" thickBot="1">
      <c r="B81" s="3945" t="s">
        <v>540</v>
      </c>
      <c r="C81" s="3139"/>
      <c r="D81" s="3139"/>
      <c r="E81" s="3139"/>
      <c r="F81" s="3139"/>
      <c r="G81" s="3139"/>
      <c r="H81" s="3139" t="s">
        <v>40</v>
      </c>
      <c r="I81" s="3884">
        <v>69</v>
      </c>
      <c r="J81" s="3884">
        <v>69</v>
      </c>
      <c r="K81" s="3884">
        <v>79</v>
      </c>
      <c r="L81" s="3812">
        <v>79</v>
      </c>
      <c r="M81" s="3860"/>
      <c r="N81" s="3867"/>
      <c r="O81" s="3946" t="s">
        <v>139</v>
      </c>
      <c r="P81" s="3947" t="s">
        <v>118</v>
      </c>
      <c r="Q81" s="3948" t="s">
        <v>113</v>
      </c>
      <c r="R81" s="3949" t="s">
        <v>61</v>
      </c>
      <c r="S81" s="3949" t="s">
        <v>61</v>
      </c>
      <c r="T81" s="3950"/>
      <c r="U81" s="480" t="s">
        <v>61</v>
      </c>
      <c r="V81" s="480" t="s">
        <v>61</v>
      </c>
      <c r="W81" s="480" t="s">
        <v>61</v>
      </c>
      <c r="X81" s="480" t="s">
        <v>46</v>
      </c>
      <c r="Y81" s="480" t="s">
        <v>46</v>
      </c>
      <c r="Z81" s="480" t="s">
        <v>46</v>
      </c>
      <c r="AA81" s="480" t="s">
        <v>61</v>
      </c>
      <c r="AB81" s="480" t="s">
        <v>61</v>
      </c>
      <c r="AC81" s="480" t="s">
        <v>61</v>
      </c>
      <c r="AD81" s="480" t="s">
        <v>46</v>
      </c>
      <c r="AE81" s="490" t="s">
        <v>46</v>
      </c>
      <c r="AF81" s="490" t="s">
        <v>46</v>
      </c>
      <c r="AG81" s="903" t="s">
        <v>46</v>
      </c>
    </row>
    <row r="82" spans="1:33" ht="17.25" customHeight="1" thickBot="1">
      <c r="B82" s="3951" t="s">
        <v>541</v>
      </c>
      <c r="C82" s="3952"/>
      <c r="D82" s="3952"/>
      <c r="E82" s="3952"/>
      <c r="F82" s="3952"/>
      <c r="G82" s="3952"/>
      <c r="H82" s="3952" t="s">
        <v>40</v>
      </c>
      <c r="I82" s="3953">
        <v>99</v>
      </c>
      <c r="J82" s="3953">
        <v>99</v>
      </c>
      <c r="K82" s="3953">
        <v>89</v>
      </c>
      <c r="L82" s="3954">
        <v>89</v>
      </c>
      <c r="M82" s="3955"/>
      <c r="N82" s="3956"/>
      <c r="O82" s="3957">
        <v>4</v>
      </c>
      <c r="P82" s="3957">
        <v>4</v>
      </c>
      <c r="Q82" s="3957">
        <v>4</v>
      </c>
      <c r="R82" s="3957">
        <v>4</v>
      </c>
      <c r="S82" s="3957">
        <v>4</v>
      </c>
      <c r="T82" s="3958"/>
      <c r="U82" s="3959" t="s">
        <v>542</v>
      </c>
      <c r="V82" s="3960">
        <v>26</v>
      </c>
      <c r="W82" s="3960">
        <v>26</v>
      </c>
      <c r="X82" s="3960">
        <v>26</v>
      </c>
      <c r="Y82" s="3960">
        <v>26</v>
      </c>
      <c r="Z82" s="3960">
        <v>26</v>
      </c>
      <c r="AA82" s="3961" t="s">
        <v>0</v>
      </c>
      <c r="AB82" s="3961" t="s">
        <v>0</v>
      </c>
      <c r="AC82" s="403" t="s">
        <v>46</v>
      </c>
      <c r="AD82" s="403" t="s">
        <v>46</v>
      </c>
      <c r="AE82" s="403" t="s">
        <v>116</v>
      </c>
      <c r="AF82" s="403" t="s">
        <v>46</v>
      </c>
      <c r="AG82" s="404" t="s">
        <v>46</v>
      </c>
    </row>
    <row r="83" spans="1:33" ht="12.75" thickBot="1"/>
    <row r="84" spans="1:33" ht="18" customHeight="1" thickBot="1">
      <c r="A84" s="1563"/>
      <c r="B84" s="1517" t="s">
        <v>154</v>
      </c>
      <c r="C84" s="2985">
        <v>1</v>
      </c>
      <c r="D84" s="2985">
        <v>2</v>
      </c>
      <c r="E84" s="2985">
        <v>3</v>
      </c>
      <c r="F84" s="2986">
        <v>4</v>
      </c>
      <c r="G84" s="2986">
        <v>5</v>
      </c>
      <c r="H84" s="2985">
        <v>6</v>
      </c>
      <c r="I84" s="2985">
        <v>7</v>
      </c>
      <c r="J84" s="2985">
        <v>8</v>
      </c>
      <c r="K84" s="2985">
        <v>9</v>
      </c>
      <c r="L84" s="2985">
        <v>10</v>
      </c>
      <c r="M84" s="2986">
        <v>11</v>
      </c>
      <c r="N84" s="2986">
        <v>12</v>
      </c>
      <c r="O84" s="2985">
        <v>13</v>
      </c>
      <c r="P84" s="2985">
        <v>14</v>
      </c>
      <c r="Q84" s="2985">
        <v>15</v>
      </c>
      <c r="R84" s="2985">
        <v>16</v>
      </c>
      <c r="S84" s="2985">
        <v>17</v>
      </c>
      <c r="T84" s="2986">
        <v>18</v>
      </c>
      <c r="U84" s="2986">
        <v>19</v>
      </c>
      <c r="V84" s="2985">
        <v>20</v>
      </c>
      <c r="W84" s="2985">
        <v>21</v>
      </c>
      <c r="X84" s="2985">
        <v>22</v>
      </c>
      <c r="Y84" s="2985">
        <v>23</v>
      </c>
      <c r="Z84" s="2985">
        <v>24</v>
      </c>
      <c r="AA84" s="2986">
        <v>25</v>
      </c>
      <c r="AB84" s="2986">
        <v>26</v>
      </c>
      <c r="AC84" s="2985">
        <v>27</v>
      </c>
      <c r="AD84" s="2985">
        <v>28</v>
      </c>
      <c r="AE84" s="2985">
        <v>29</v>
      </c>
      <c r="AF84" s="2985">
        <v>30</v>
      </c>
      <c r="AG84" s="2985">
        <v>31</v>
      </c>
    </row>
    <row r="85" spans="1:33" ht="18" customHeight="1">
      <c r="A85" s="488"/>
      <c r="B85" s="3625"/>
      <c r="C85" s="3873"/>
      <c r="D85" s="3873"/>
      <c r="E85" s="3873"/>
      <c r="F85" s="3873"/>
      <c r="G85" s="3873"/>
      <c r="H85" s="3873"/>
      <c r="I85" s="3779"/>
      <c r="J85" s="3779"/>
      <c r="K85" s="3873"/>
      <c r="L85" s="3873"/>
      <c r="M85" s="3873"/>
      <c r="N85" s="3873"/>
      <c r="O85" s="3873"/>
      <c r="P85" s="3779"/>
      <c r="Q85" s="3779"/>
      <c r="R85" s="3873"/>
      <c r="S85" s="3873"/>
      <c r="T85" s="3873"/>
      <c r="U85" s="3873"/>
      <c r="V85" s="3873"/>
      <c r="W85" s="3788"/>
      <c r="X85" s="3788"/>
      <c r="Y85" s="3873"/>
      <c r="Z85" s="3788"/>
      <c r="AA85" s="3788"/>
      <c r="AB85" s="3788"/>
      <c r="AC85" s="3784"/>
      <c r="AD85" s="3873"/>
      <c r="AE85" s="3873"/>
      <c r="AF85" s="3873"/>
      <c r="AG85" s="3873"/>
    </row>
    <row r="86" spans="1:33" ht="18" customHeight="1">
      <c r="A86" s="3962"/>
      <c r="B86" s="3625"/>
      <c r="C86" s="3873"/>
      <c r="D86" s="3873"/>
      <c r="E86" s="3873"/>
      <c r="F86" s="3788"/>
      <c r="G86" s="3788"/>
      <c r="H86" s="3779"/>
      <c r="I86" s="3779"/>
      <c r="J86" s="3779"/>
      <c r="K86" s="3786"/>
      <c r="L86" s="3786"/>
      <c r="M86" s="3779"/>
      <c r="N86" s="3779"/>
      <c r="O86" s="3779"/>
      <c r="P86" s="3779"/>
      <c r="Q86" s="3779"/>
      <c r="R86" s="3779"/>
      <c r="S86" s="3779"/>
      <c r="T86" s="3786"/>
      <c r="U86" s="3779"/>
      <c r="V86" s="3788"/>
      <c r="W86" s="3788"/>
      <c r="X86" s="3788"/>
      <c r="Y86" s="3788"/>
      <c r="Z86" s="3788"/>
      <c r="AA86" s="3788"/>
      <c r="AB86" s="3788"/>
      <c r="AC86" s="3788"/>
      <c r="AD86" s="3873"/>
      <c r="AE86" s="3873"/>
      <c r="AF86" s="3873"/>
      <c r="AG86" s="3873"/>
    </row>
    <row r="87" spans="1:33" ht="18" customHeight="1" thickBot="1">
      <c r="A87" s="3963"/>
      <c r="B87" s="3628" t="s">
        <v>0</v>
      </c>
      <c r="C87" s="3964"/>
      <c r="D87" s="3118"/>
      <c r="E87" s="3118"/>
      <c r="F87" s="3965"/>
      <c r="G87" s="3965"/>
      <c r="H87" s="1634"/>
      <c r="I87" s="1634"/>
      <c r="J87" s="1634"/>
      <c r="K87" s="1634"/>
      <c r="L87" s="1634"/>
      <c r="M87" s="1634"/>
      <c r="N87" s="1634"/>
      <c r="O87" s="1634"/>
      <c r="P87" s="1634"/>
      <c r="Q87" s="1634"/>
      <c r="R87" s="1634"/>
      <c r="S87" s="1634"/>
      <c r="T87" s="1634"/>
      <c r="U87" s="1634"/>
      <c r="V87" s="1634"/>
      <c r="W87" s="1634"/>
      <c r="X87" s="1634"/>
      <c r="Y87" s="1634"/>
      <c r="Z87" s="1634"/>
      <c r="AA87" s="1634"/>
      <c r="AB87" s="1634"/>
      <c r="AC87" s="1634"/>
      <c r="AD87" s="1634"/>
      <c r="AE87" s="1634"/>
      <c r="AF87" s="1634"/>
      <c r="AG87" s="1634"/>
    </row>
    <row r="88" spans="1:33" ht="18" customHeight="1" thickBot="1">
      <c r="A88" s="1311"/>
      <c r="B88" s="1481" t="s">
        <v>156</v>
      </c>
      <c r="C88" s="2985">
        <v>1</v>
      </c>
      <c r="D88" s="2985">
        <v>2</v>
      </c>
      <c r="E88" s="2985">
        <v>3</v>
      </c>
      <c r="F88" s="2986">
        <v>4</v>
      </c>
      <c r="G88" s="2986">
        <v>5</v>
      </c>
      <c r="H88" s="2985">
        <v>6</v>
      </c>
      <c r="I88" s="2985">
        <v>7</v>
      </c>
      <c r="J88" s="2985">
        <v>8</v>
      </c>
      <c r="K88" s="2985">
        <v>9</v>
      </c>
      <c r="L88" s="2985">
        <v>10</v>
      </c>
      <c r="M88" s="2986">
        <v>11</v>
      </c>
      <c r="N88" s="2986">
        <v>12</v>
      </c>
      <c r="O88" s="2985">
        <v>13</v>
      </c>
      <c r="P88" s="2985">
        <v>14</v>
      </c>
      <c r="Q88" s="2985">
        <v>15</v>
      </c>
      <c r="R88" s="2985">
        <v>16</v>
      </c>
      <c r="S88" s="2985">
        <v>17</v>
      </c>
      <c r="T88" s="2986">
        <v>18</v>
      </c>
      <c r="U88" s="2986">
        <v>19</v>
      </c>
      <c r="V88" s="2985">
        <v>20</v>
      </c>
      <c r="W88" s="2985">
        <v>21</v>
      </c>
      <c r="X88" s="2985">
        <v>22</v>
      </c>
      <c r="Y88" s="2985">
        <v>23</v>
      </c>
      <c r="Z88" s="2985">
        <v>24</v>
      </c>
      <c r="AA88" s="2986">
        <v>25</v>
      </c>
      <c r="AB88" s="2986">
        <v>26</v>
      </c>
      <c r="AC88" s="2985">
        <v>27</v>
      </c>
      <c r="AD88" s="2985">
        <v>28</v>
      </c>
      <c r="AE88" s="2985">
        <v>29</v>
      </c>
      <c r="AF88" s="2985">
        <v>30</v>
      </c>
      <c r="AG88" s="2985">
        <v>31</v>
      </c>
    </row>
    <row r="89" spans="1:33" ht="18" customHeight="1">
      <c r="A89" s="3966"/>
      <c r="B89" s="3967" t="s">
        <v>157</v>
      </c>
      <c r="C89" s="3968" t="s">
        <v>127</v>
      </c>
      <c r="D89" s="3968" t="s">
        <v>543</v>
      </c>
      <c r="E89" s="3969" t="s">
        <v>40</v>
      </c>
      <c r="F89" s="3873"/>
      <c r="G89" s="3873"/>
      <c r="H89" s="3873" t="s">
        <v>40</v>
      </c>
      <c r="I89" s="3873" t="s">
        <v>40</v>
      </c>
      <c r="J89" s="3873" t="s">
        <v>40</v>
      </c>
      <c r="K89" s="3873" t="s">
        <v>46</v>
      </c>
      <c r="L89" s="3873" t="s">
        <v>46</v>
      </c>
      <c r="M89" s="3873"/>
      <c r="N89" s="3873"/>
      <c r="O89" s="3970">
        <v>10</v>
      </c>
      <c r="P89" s="3970">
        <v>10</v>
      </c>
      <c r="Q89" s="3970">
        <v>10</v>
      </c>
      <c r="R89" s="3970">
        <v>10</v>
      </c>
      <c r="S89" s="3970">
        <v>10</v>
      </c>
      <c r="T89" s="3970" t="s">
        <v>53</v>
      </c>
      <c r="U89" s="3970" t="s">
        <v>53</v>
      </c>
      <c r="V89" s="480" t="s">
        <v>46</v>
      </c>
      <c r="W89" s="480" t="s">
        <v>46</v>
      </c>
      <c r="X89" s="3788" t="s">
        <v>40</v>
      </c>
      <c r="Y89" s="480" t="s">
        <v>46</v>
      </c>
      <c r="Z89" s="480" t="s">
        <v>46</v>
      </c>
      <c r="AA89" s="116" t="s">
        <v>0</v>
      </c>
      <c r="AB89" s="116" t="s">
        <v>0</v>
      </c>
      <c r="AC89" s="3873" t="s">
        <v>40</v>
      </c>
      <c r="AD89" s="3873" t="s">
        <v>40</v>
      </c>
      <c r="AE89" s="3873" t="s">
        <v>40</v>
      </c>
      <c r="AF89" s="3873" t="s">
        <v>40</v>
      </c>
      <c r="AG89" s="3873" t="s">
        <v>40</v>
      </c>
    </row>
    <row r="90" spans="1:33" ht="18" customHeight="1" thickBot="1">
      <c r="A90" s="3971"/>
      <c r="B90" s="325" t="s">
        <v>544</v>
      </c>
      <c r="C90" s="3789" t="s">
        <v>417</v>
      </c>
      <c r="D90" s="3789" t="s">
        <v>159</v>
      </c>
      <c r="E90" s="3789" t="s">
        <v>131</v>
      </c>
      <c r="F90" s="3873" t="s">
        <v>0</v>
      </c>
      <c r="G90" s="3873"/>
      <c r="H90" s="3972">
        <v>11</v>
      </c>
      <c r="I90" s="3972">
        <v>11</v>
      </c>
      <c r="J90" s="3972">
        <v>11</v>
      </c>
      <c r="K90" s="3863" t="s">
        <v>46</v>
      </c>
      <c r="L90" s="3873" t="s">
        <v>40</v>
      </c>
      <c r="M90" s="3863" t="s">
        <v>87</v>
      </c>
      <c r="N90" s="3863" t="s">
        <v>87</v>
      </c>
      <c r="O90" s="3863" t="s">
        <v>46</v>
      </c>
      <c r="P90" s="3863" t="s">
        <v>46</v>
      </c>
      <c r="Q90" s="3863" t="s">
        <v>46</v>
      </c>
      <c r="R90" s="3863" t="s">
        <v>46</v>
      </c>
      <c r="S90" s="3863" t="s">
        <v>46</v>
      </c>
      <c r="T90" s="3863" t="s">
        <v>89</v>
      </c>
      <c r="U90" s="3863" t="s">
        <v>89</v>
      </c>
      <c r="V90" s="3863">
        <v>8</v>
      </c>
      <c r="W90" s="3863">
        <v>8</v>
      </c>
      <c r="X90" s="3863">
        <v>8</v>
      </c>
      <c r="Y90" s="3863">
        <v>8</v>
      </c>
      <c r="Z90" s="3863">
        <v>8</v>
      </c>
      <c r="AA90" s="3863"/>
      <c r="AB90" s="3863"/>
      <c r="AC90" s="3863" t="s">
        <v>46</v>
      </c>
      <c r="AD90" s="3863" t="s">
        <v>46</v>
      </c>
      <c r="AE90" s="3863" t="s">
        <v>46</v>
      </c>
      <c r="AF90" s="3863" t="s">
        <v>46</v>
      </c>
      <c r="AG90" s="3863" t="s">
        <v>46</v>
      </c>
    </row>
    <row r="91" spans="1:33" ht="18" customHeight="1">
      <c r="A91" s="3971"/>
      <c r="B91" s="325" t="s">
        <v>481</v>
      </c>
      <c r="C91" s="3789" t="s">
        <v>145</v>
      </c>
      <c r="D91" s="3789">
        <v>69</v>
      </c>
      <c r="E91" s="3789" t="s">
        <v>159</v>
      </c>
      <c r="F91" s="3873" t="s">
        <v>0</v>
      </c>
      <c r="G91" s="3873"/>
      <c r="H91" s="3789" t="s">
        <v>137</v>
      </c>
      <c r="I91" s="3789" t="s">
        <v>137</v>
      </c>
      <c r="J91" s="3789" t="s">
        <v>137</v>
      </c>
      <c r="K91" s="3789" t="s">
        <v>137</v>
      </c>
      <c r="L91" s="3873" t="s">
        <v>40</v>
      </c>
      <c r="M91" s="3873"/>
      <c r="N91" s="3873"/>
      <c r="O91" s="861">
        <v>6</v>
      </c>
      <c r="P91" s="861">
        <v>6</v>
      </c>
      <c r="Q91" s="861">
        <v>6</v>
      </c>
      <c r="R91" s="862">
        <v>6</v>
      </c>
      <c r="S91" s="862">
        <v>6</v>
      </c>
      <c r="T91" s="504"/>
      <c r="U91" s="504"/>
      <c r="V91" s="508" t="s">
        <v>46</v>
      </c>
      <c r="W91" s="508" t="s">
        <v>46</v>
      </c>
      <c r="X91" s="501" t="s">
        <v>46</v>
      </c>
      <c r="Y91" s="504" t="s">
        <v>46</v>
      </c>
      <c r="Z91" s="504" t="s">
        <v>46</v>
      </c>
      <c r="AA91" s="504"/>
      <c r="AB91" s="504"/>
      <c r="AC91" s="509">
        <v>5</v>
      </c>
      <c r="AD91" s="504">
        <v>5</v>
      </c>
      <c r="AE91" s="504">
        <v>5</v>
      </c>
      <c r="AF91" s="504">
        <v>5</v>
      </c>
      <c r="AG91" s="504" t="s">
        <v>46</v>
      </c>
    </row>
    <row r="92" spans="1:33" ht="18" customHeight="1" thickBot="1">
      <c r="A92" s="3971"/>
      <c r="B92" s="3973"/>
      <c r="C92" s="3873"/>
      <c r="D92" s="3873"/>
      <c r="E92" s="3873"/>
      <c r="F92" s="3873"/>
      <c r="G92" s="3873"/>
      <c r="H92" s="3873"/>
      <c r="I92" s="3779"/>
      <c r="J92" s="3779"/>
      <c r="K92" s="3873"/>
      <c r="L92" s="3873"/>
      <c r="M92" s="3873"/>
      <c r="N92" s="3873"/>
      <c r="O92" s="3873"/>
      <c r="P92" s="3779"/>
      <c r="Q92" s="3779"/>
      <c r="R92" s="3873"/>
      <c r="S92" s="3873"/>
      <c r="T92" s="3873"/>
      <c r="U92" s="3873"/>
      <c r="V92" s="3873"/>
      <c r="W92" s="3788"/>
      <c r="X92" s="3788"/>
      <c r="Y92" s="3873"/>
      <c r="Z92" s="3788"/>
      <c r="AA92" s="3788"/>
      <c r="AB92" s="3788"/>
      <c r="AC92" s="3784"/>
      <c r="AD92" s="3873"/>
      <c r="AE92" s="3873"/>
      <c r="AF92" s="3873"/>
      <c r="AG92" s="3873"/>
    </row>
    <row r="93" spans="1:33" ht="18" customHeight="1" thickBot="1">
      <c r="A93" s="584"/>
      <c r="B93" s="241" t="s">
        <v>38</v>
      </c>
      <c r="C93" s="2985">
        <v>1</v>
      </c>
      <c r="D93" s="2985">
        <v>2</v>
      </c>
      <c r="E93" s="2985">
        <v>3</v>
      </c>
      <c r="F93" s="2986">
        <v>4</v>
      </c>
      <c r="G93" s="2986">
        <v>5</v>
      </c>
      <c r="H93" s="2985">
        <v>6</v>
      </c>
      <c r="I93" s="2985">
        <v>7</v>
      </c>
      <c r="J93" s="2985">
        <v>8</v>
      </c>
      <c r="K93" s="2985">
        <v>9</v>
      </c>
      <c r="L93" s="2985">
        <v>10</v>
      </c>
      <c r="M93" s="2986">
        <v>11</v>
      </c>
      <c r="N93" s="2986">
        <v>12</v>
      </c>
      <c r="O93" s="2985">
        <v>13</v>
      </c>
      <c r="P93" s="2985">
        <v>14</v>
      </c>
      <c r="Q93" s="2985">
        <v>15</v>
      </c>
      <c r="R93" s="2985">
        <v>16</v>
      </c>
      <c r="S93" s="2985">
        <v>17</v>
      </c>
      <c r="T93" s="2986">
        <v>18</v>
      </c>
      <c r="U93" s="2986">
        <v>19</v>
      </c>
      <c r="V93" s="2985">
        <v>20</v>
      </c>
      <c r="W93" s="2985">
        <v>21</v>
      </c>
      <c r="X93" s="2985">
        <v>22</v>
      </c>
      <c r="Y93" s="2985">
        <v>23</v>
      </c>
      <c r="Z93" s="2985">
        <v>24</v>
      </c>
      <c r="AA93" s="2986">
        <v>25</v>
      </c>
      <c r="AB93" s="2986">
        <v>26</v>
      </c>
      <c r="AC93" s="2985">
        <v>27</v>
      </c>
      <c r="AD93" s="2985">
        <v>28</v>
      </c>
      <c r="AE93" s="2985">
        <v>29</v>
      </c>
      <c r="AF93" s="2985">
        <v>30</v>
      </c>
      <c r="AG93" s="2985">
        <v>31</v>
      </c>
    </row>
    <row r="94" spans="1:33" ht="18" customHeight="1">
      <c r="A94" s="3974"/>
      <c r="B94" s="3189" t="s">
        <v>160</v>
      </c>
      <c r="C94" s="3089"/>
      <c r="D94" s="3190"/>
      <c r="E94" s="3089"/>
      <c r="F94" s="3089"/>
      <c r="G94" s="3089"/>
      <c r="H94" s="3089"/>
      <c r="I94" s="3089"/>
      <c r="J94" s="3089"/>
      <c r="K94" s="3089"/>
      <c r="L94" s="3089"/>
      <c r="M94" s="3089"/>
      <c r="N94" s="3089"/>
      <c r="O94" s="3089"/>
      <c r="P94" s="3089"/>
      <c r="Q94" s="3089"/>
      <c r="R94" s="3089"/>
      <c r="S94" s="3089"/>
      <c r="T94" s="3089"/>
      <c r="U94" s="3089"/>
      <c r="V94" s="3089"/>
      <c r="W94" s="3089"/>
      <c r="X94" s="3089"/>
      <c r="Y94" s="3089"/>
      <c r="Z94" s="3089"/>
      <c r="AA94" s="3089"/>
      <c r="AB94" s="3089"/>
      <c r="AC94" s="3089"/>
      <c r="AD94" s="3089"/>
      <c r="AE94" s="3089"/>
      <c r="AF94" s="3089"/>
      <c r="AG94" s="3089"/>
    </row>
    <row r="95" spans="1:33" ht="18" customHeight="1">
      <c r="A95" s="3974"/>
      <c r="B95" s="3773"/>
      <c r="C95" s="3911"/>
      <c r="D95" s="3911"/>
      <c r="E95" s="3911"/>
      <c r="F95" s="3771"/>
      <c r="G95" s="3771"/>
      <c r="H95" s="3911"/>
      <c r="I95" s="3911"/>
      <c r="J95" s="3911"/>
      <c r="K95" s="3911"/>
      <c r="L95" s="3911"/>
      <c r="M95" s="3911"/>
      <c r="N95" s="3911"/>
      <c r="O95" s="3911"/>
      <c r="P95" s="3911"/>
      <c r="Q95" s="3911"/>
      <c r="R95" s="3911"/>
      <c r="S95" s="3911"/>
      <c r="T95" s="3779"/>
      <c r="U95" s="3911"/>
      <c r="V95" s="3911"/>
      <c r="W95" s="3911"/>
      <c r="X95" s="3911"/>
      <c r="Y95" s="3911"/>
      <c r="Z95" s="3911"/>
      <c r="AA95" s="3911"/>
      <c r="AB95" s="3911"/>
      <c r="AC95" s="3911"/>
      <c r="AD95" s="3911"/>
      <c r="AE95" s="3911"/>
      <c r="AF95" s="3911"/>
      <c r="AG95" s="3911"/>
    </row>
    <row r="96" spans="1:33" ht="18" customHeight="1">
      <c r="A96" s="3974"/>
      <c r="B96" s="3773"/>
      <c r="C96" s="3779"/>
      <c r="D96" s="3779"/>
      <c r="E96" s="3779"/>
      <c r="F96" s="3779"/>
      <c r="G96" s="3779"/>
      <c r="H96" s="3779"/>
      <c r="I96" s="3779"/>
      <c r="J96" s="3779"/>
      <c r="K96" s="3779"/>
      <c r="L96" s="3779"/>
      <c r="M96" s="3779"/>
      <c r="N96" s="3779"/>
      <c r="O96" s="3779"/>
      <c r="P96" s="3779"/>
      <c r="Q96" s="3779"/>
      <c r="R96" s="3779"/>
      <c r="S96" s="3779"/>
      <c r="T96" s="3779"/>
      <c r="U96" s="3779"/>
      <c r="V96" s="3779"/>
      <c r="W96" s="3779"/>
      <c r="X96" s="3779"/>
      <c r="Y96" s="3779"/>
      <c r="Z96" s="3779"/>
      <c r="AA96" s="3779"/>
      <c r="AB96" s="3779"/>
      <c r="AC96" s="3779"/>
      <c r="AD96" s="3779"/>
      <c r="AE96" s="3779"/>
      <c r="AF96" s="3779"/>
      <c r="AG96" s="3779"/>
    </row>
    <row r="97" spans="1:34" ht="18" customHeight="1" thickBot="1">
      <c r="A97" s="89"/>
      <c r="B97" s="3792"/>
      <c r="C97" s="3975"/>
      <c r="D97" s="3975"/>
      <c r="E97" s="3975"/>
      <c r="F97" s="3975"/>
      <c r="G97" s="3975"/>
      <c r="H97" s="3975"/>
      <c r="I97" s="3975"/>
      <c r="J97" s="3975"/>
      <c r="K97" s="3975"/>
      <c r="L97" s="3975"/>
      <c r="M97" s="3975"/>
      <c r="N97" s="3975"/>
      <c r="O97" s="3975"/>
      <c r="P97" s="3975"/>
      <c r="Q97" s="3975"/>
      <c r="R97" s="3975"/>
      <c r="S97" s="3975"/>
      <c r="T97" s="3975"/>
      <c r="U97" s="3975"/>
      <c r="V97" s="3975"/>
      <c r="W97" s="3975"/>
      <c r="X97" s="3975"/>
      <c r="Y97" s="3975"/>
      <c r="Z97" s="3975"/>
      <c r="AA97" s="3975"/>
      <c r="AB97" s="3975"/>
      <c r="AC97" s="3975"/>
      <c r="AD97" s="3975"/>
      <c r="AE97" s="3975"/>
      <c r="AF97" s="3975"/>
      <c r="AG97" s="3975"/>
    </row>
    <row r="98" spans="1:34" ht="18" customHeight="1">
      <c r="A98" s="89"/>
      <c r="B98" s="115"/>
      <c r="C98" s="126"/>
      <c r="D98" s="126"/>
      <c r="E98" s="126"/>
      <c r="F98" s="126"/>
      <c r="G98" s="126"/>
      <c r="H98" s="126"/>
      <c r="I98" s="126"/>
      <c r="J98" s="126"/>
      <c r="K98" s="126"/>
      <c r="L98" s="126"/>
      <c r="M98" s="126"/>
      <c r="N98" s="126"/>
      <c r="O98" s="126"/>
      <c r="P98" s="126"/>
      <c r="Q98" s="126"/>
      <c r="R98" s="126"/>
      <c r="S98" s="126"/>
      <c r="T98" s="126"/>
      <c r="U98" s="126"/>
      <c r="V98" s="126"/>
      <c r="W98" s="126"/>
      <c r="X98" s="126"/>
      <c r="Y98" s="126"/>
      <c r="Z98" s="126"/>
      <c r="AA98" s="126"/>
      <c r="AB98" s="126"/>
      <c r="AC98" s="126"/>
      <c r="AD98" s="126"/>
      <c r="AE98" s="126"/>
      <c r="AF98" s="126"/>
      <c r="AG98" s="126"/>
    </row>
    <row r="99" spans="1:34" ht="18" customHeight="1">
      <c r="A99" s="89"/>
      <c r="B99" s="115"/>
      <c r="C99" s="126"/>
      <c r="D99" s="126"/>
      <c r="E99" s="126"/>
      <c r="F99" s="126"/>
      <c r="G99" s="126"/>
      <c r="H99" s="126"/>
      <c r="I99" s="126"/>
      <c r="J99" s="126"/>
      <c r="K99" s="126"/>
      <c r="L99" s="126"/>
      <c r="M99" s="126"/>
      <c r="N99" s="126"/>
      <c r="O99" s="126"/>
      <c r="P99" s="126"/>
      <c r="Q99" s="126"/>
      <c r="R99" s="126"/>
      <c r="S99" s="126"/>
      <c r="T99" s="126"/>
      <c r="U99" s="126"/>
      <c r="V99" s="126"/>
      <c r="W99" s="126"/>
      <c r="X99" s="126"/>
      <c r="Y99" s="126"/>
      <c r="Z99" s="126"/>
      <c r="AA99" s="126"/>
      <c r="AB99" s="126"/>
      <c r="AC99" s="126"/>
      <c r="AD99" s="126"/>
      <c r="AE99" s="126"/>
      <c r="AF99" s="126"/>
      <c r="AG99" s="126"/>
    </row>
    <row r="100" spans="1:34" ht="18" customHeight="1">
      <c r="A100" s="89"/>
      <c r="B100" s="1481" t="s">
        <v>483</v>
      </c>
      <c r="C100" s="3599">
        <v>1</v>
      </c>
      <c r="D100" s="3599">
        <v>2</v>
      </c>
      <c r="E100" s="3599">
        <v>3</v>
      </c>
      <c r="F100" s="3976">
        <v>4</v>
      </c>
      <c r="G100" s="3976">
        <v>5</v>
      </c>
      <c r="H100" s="3977">
        <v>6</v>
      </c>
      <c r="I100" s="3977">
        <v>7</v>
      </c>
      <c r="J100" s="3977">
        <v>8</v>
      </c>
      <c r="K100" s="3977">
        <v>9</v>
      </c>
      <c r="L100" s="3977">
        <v>10</v>
      </c>
      <c r="M100" s="3976">
        <v>11</v>
      </c>
      <c r="N100" s="3976">
        <v>12</v>
      </c>
      <c r="O100" s="3977">
        <v>13</v>
      </c>
      <c r="P100" s="3977">
        <v>14</v>
      </c>
      <c r="Q100" s="3977">
        <v>15</v>
      </c>
      <c r="R100" s="3977">
        <v>16</v>
      </c>
      <c r="S100" s="3977">
        <v>17</v>
      </c>
      <c r="T100" s="3976">
        <v>18</v>
      </c>
      <c r="U100" s="3976">
        <v>19</v>
      </c>
      <c r="V100" s="3977">
        <v>20</v>
      </c>
      <c r="W100" s="3977">
        <v>21</v>
      </c>
      <c r="X100" s="3977">
        <v>22</v>
      </c>
      <c r="Y100" s="3977">
        <v>23</v>
      </c>
      <c r="Z100" s="3977">
        <v>24</v>
      </c>
      <c r="AA100" s="3976">
        <v>25</v>
      </c>
      <c r="AB100" s="3976">
        <v>26</v>
      </c>
      <c r="AC100" s="3977">
        <v>27</v>
      </c>
      <c r="AD100" s="3977">
        <v>28</v>
      </c>
      <c r="AE100" s="3977">
        <v>29</v>
      </c>
      <c r="AF100" s="3978">
        <v>30</v>
      </c>
      <c r="AG100" s="309">
        <v>31</v>
      </c>
    </row>
    <row r="101" spans="1:34" ht="18" customHeight="1">
      <c r="A101" s="89"/>
      <c r="B101" s="308" t="s">
        <v>484</v>
      </c>
      <c r="C101" s="317" t="s">
        <v>492</v>
      </c>
      <c r="D101" s="309" t="s">
        <v>492</v>
      </c>
      <c r="E101" s="309" t="s">
        <v>492</v>
      </c>
      <c r="F101" s="309"/>
      <c r="G101" s="309"/>
      <c r="H101" s="309" t="s">
        <v>492</v>
      </c>
      <c r="I101" s="309" t="s">
        <v>492</v>
      </c>
      <c r="J101" s="309" t="s">
        <v>492</v>
      </c>
      <c r="K101" s="309" t="s">
        <v>492</v>
      </c>
      <c r="L101" s="309" t="s">
        <v>492</v>
      </c>
      <c r="M101" s="309"/>
      <c r="N101" s="309"/>
      <c r="O101" s="309" t="s">
        <v>5</v>
      </c>
      <c r="P101" s="309" t="s">
        <v>5</v>
      </c>
      <c r="Q101" s="309" t="s">
        <v>5</v>
      </c>
      <c r="R101" s="309" t="s">
        <v>5</v>
      </c>
      <c r="S101" s="309" t="s">
        <v>5</v>
      </c>
      <c r="T101" s="309"/>
      <c r="U101" s="309"/>
      <c r="V101" s="309" t="s">
        <v>492</v>
      </c>
      <c r="W101" s="309" t="s">
        <v>492</v>
      </c>
      <c r="X101" s="309" t="s">
        <v>492</v>
      </c>
      <c r="Y101" s="309" t="s">
        <v>492</v>
      </c>
      <c r="Z101" s="309" t="s">
        <v>492</v>
      </c>
      <c r="AA101" s="929"/>
      <c r="AB101" s="929"/>
      <c r="AC101" s="309" t="s">
        <v>492</v>
      </c>
      <c r="AD101" s="309" t="s">
        <v>492</v>
      </c>
      <c r="AE101" s="309" t="s">
        <v>492</v>
      </c>
      <c r="AF101" s="309" t="s">
        <v>492</v>
      </c>
      <c r="AG101" s="309" t="s">
        <v>492</v>
      </c>
    </row>
    <row r="102" spans="1:34" ht="18" customHeight="1">
      <c r="A102" s="89"/>
      <c r="B102" s="338" t="s">
        <v>493</v>
      </c>
      <c r="C102" s="314" t="s">
        <v>545</v>
      </c>
      <c r="D102" s="336" t="s">
        <v>487</v>
      </c>
      <c r="E102" s="309" t="s">
        <v>546</v>
      </c>
      <c r="F102" s="309"/>
      <c r="G102" s="309"/>
      <c r="H102" s="309" t="s">
        <v>487</v>
      </c>
      <c r="I102" s="309" t="s">
        <v>492</v>
      </c>
      <c r="J102" s="309" t="s">
        <v>492</v>
      </c>
      <c r="K102" s="309" t="s">
        <v>492</v>
      </c>
      <c r="L102" s="309" t="s">
        <v>492</v>
      </c>
      <c r="M102" s="314"/>
      <c r="N102" s="314"/>
      <c r="O102" s="309" t="s">
        <v>5</v>
      </c>
      <c r="P102" s="309" t="s">
        <v>5</v>
      </c>
      <c r="Q102" s="309" t="s">
        <v>5</v>
      </c>
      <c r="R102" s="309" t="s">
        <v>5</v>
      </c>
      <c r="S102" s="309" t="s">
        <v>5</v>
      </c>
      <c r="T102" s="314"/>
      <c r="U102" s="314"/>
      <c r="V102" s="309" t="s">
        <v>487</v>
      </c>
      <c r="W102" s="309" t="s">
        <v>492</v>
      </c>
      <c r="X102" s="309" t="s">
        <v>492</v>
      </c>
      <c r="Y102" s="309" t="s">
        <v>492</v>
      </c>
      <c r="Z102" s="309" t="s">
        <v>492</v>
      </c>
      <c r="AA102" s="337"/>
      <c r="AB102" s="337"/>
      <c r="AC102" s="309" t="s">
        <v>492</v>
      </c>
      <c r="AD102" s="309" t="s">
        <v>508</v>
      </c>
      <c r="AE102" s="309" t="s">
        <v>508</v>
      </c>
      <c r="AF102" s="309" t="s">
        <v>508</v>
      </c>
      <c r="AG102" s="309" t="s">
        <v>508</v>
      </c>
    </row>
    <row r="103" spans="1:34" ht="18" customHeight="1">
      <c r="A103" s="114"/>
      <c r="B103" s="115"/>
      <c r="C103" s="126"/>
      <c r="D103" s="126"/>
      <c r="E103" s="126"/>
      <c r="F103" s="126"/>
      <c r="G103" s="126"/>
      <c r="H103" s="126"/>
      <c r="I103" s="126"/>
      <c r="J103" s="126"/>
      <c r="K103" s="126"/>
      <c r="L103" s="126"/>
      <c r="M103" s="126"/>
      <c r="N103" s="126"/>
      <c r="O103" s="126"/>
      <c r="P103" s="126"/>
      <c r="Q103" s="126"/>
      <c r="R103" s="126"/>
      <c r="S103" s="126"/>
      <c r="T103" s="126"/>
      <c r="U103" s="126"/>
      <c r="V103" s="126"/>
      <c r="W103" s="126"/>
      <c r="X103" s="126"/>
      <c r="Y103" s="126"/>
      <c r="Z103" s="126"/>
      <c r="AA103" s="126"/>
      <c r="AB103" s="126"/>
      <c r="AC103" s="126"/>
      <c r="AD103" s="126"/>
      <c r="AE103" s="126"/>
      <c r="AF103" s="126"/>
    </row>
    <row r="104" spans="1:34" ht="18" customHeight="1">
      <c r="A104" s="42" t="s">
        <v>161</v>
      </c>
      <c r="C104" s="110"/>
      <c r="D104" s="110"/>
      <c r="E104" s="110"/>
      <c r="F104" s="110"/>
      <c r="G104" s="110"/>
      <c r="H104" s="110"/>
      <c r="I104" s="110"/>
      <c r="J104" s="110"/>
      <c r="K104" s="110"/>
      <c r="L104" s="110"/>
      <c r="M104" s="110"/>
      <c r="N104" s="110"/>
      <c r="O104" s="110"/>
      <c r="P104" s="110"/>
      <c r="Q104" s="110"/>
      <c r="R104" s="110"/>
      <c r="S104" s="110"/>
      <c r="T104" s="110"/>
      <c r="U104" s="110"/>
      <c r="V104" s="110"/>
      <c r="W104" s="110"/>
      <c r="X104" s="110"/>
      <c r="Y104" s="110"/>
      <c r="Z104" s="110"/>
      <c r="AA104" s="110"/>
      <c r="AB104" s="110"/>
      <c r="AC104" s="110"/>
      <c r="AD104" s="110"/>
      <c r="AE104" s="110"/>
      <c r="AF104" s="110"/>
    </row>
    <row r="105" spans="1:34" ht="18" customHeight="1">
      <c r="B105" s="3767"/>
      <c r="C105" s="3766"/>
      <c r="D105" s="3767" t="s">
        <v>19</v>
      </c>
      <c r="E105" s="3766"/>
      <c r="F105" s="3766"/>
      <c r="G105" s="3767" t="s">
        <v>20</v>
      </c>
      <c r="H105" s="3766"/>
      <c r="I105" s="3766"/>
      <c r="J105" s="3767" t="s">
        <v>21</v>
      </c>
      <c r="K105" s="3766"/>
      <c r="L105" s="3766"/>
      <c r="M105" s="3767" t="s">
        <v>22</v>
      </c>
      <c r="N105" s="3766"/>
      <c r="O105" s="3766"/>
      <c r="P105" s="3767" t="s">
        <v>23</v>
      </c>
      <c r="Q105" s="3766"/>
      <c r="R105" s="3762"/>
      <c r="S105" s="3763" t="s">
        <v>24</v>
      </c>
      <c r="T105" s="3766"/>
      <c r="U105" s="3766"/>
      <c r="V105" s="3767" t="s">
        <v>25</v>
      </c>
      <c r="W105" s="3766"/>
      <c r="X105" s="68"/>
      <c r="Y105" s="68"/>
      <c r="Z105" s="68"/>
      <c r="AA105" s="68"/>
      <c r="AB105" s="68"/>
      <c r="AC105" s="68"/>
      <c r="AD105" s="68"/>
      <c r="AE105" s="68"/>
      <c r="AF105" s="68"/>
    </row>
    <row r="106" spans="1:34" ht="18" customHeight="1">
      <c r="B106" s="3895" t="s">
        <v>162</v>
      </c>
      <c r="C106" s="3979" t="s">
        <v>163</v>
      </c>
      <c r="D106" s="3194"/>
      <c r="E106" s="3194"/>
      <c r="F106" s="3979" t="s">
        <v>163</v>
      </c>
      <c r="G106" s="3194"/>
      <c r="H106" s="3194"/>
      <c r="I106" s="3979" t="s">
        <v>163</v>
      </c>
      <c r="J106" s="3194"/>
      <c r="K106" s="3194"/>
      <c r="L106" s="3979" t="s">
        <v>163</v>
      </c>
      <c r="M106" s="3194"/>
      <c r="N106" s="3194"/>
      <c r="O106" s="3979" t="s">
        <v>163</v>
      </c>
      <c r="P106" s="3194"/>
      <c r="Q106" s="3194"/>
      <c r="R106" s="3896"/>
      <c r="S106" s="3194"/>
      <c r="T106" s="3194"/>
      <c r="U106" s="3896" t="s">
        <v>164</v>
      </c>
      <c r="V106" s="3194"/>
      <c r="W106" s="3196"/>
      <c r="X106" s="68"/>
      <c r="Y106" s="68"/>
      <c r="Z106" s="68"/>
      <c r="AA106" s="68"/>
      <c r="AB106" s="68"/>
      <c r="AC106" s="68"/>
      <c r="AD106" s="68"/>
      <c r="AE106" s="68"/>
      <c r="AF106" s="68"/>
    </row>
    <row r="107" spans="1:34" ht="18" customHeight="1">
      <c r="B107" s="3895" t="s">
        <v>165</v>
      </c>
      <c r="C107" s="3197" t="s">
        <v>166</v>
      </c>
      <c r="D107" s="3198"/>
      <c r="E107" s="3198"/>
      <c r="F107" s="3197" t="s">
        <v>167</v>
      </c>
      <c r="G107" s="3198"/>
      <c r="H107" s="3198"/>
      <c r="I107" s="3197" t="s">
        <v>167</v>
      </c>
      <c r="J107" s="3198"/>
      <c r="K107" s="3198"/>
      <c r="L107" s="3197" t="s">
        <v>167</v>
      </c>
      <c r="M107" s="3198"/>
      <c r="N107" s="3198"/>
      <c r="O107" s="3197" t="s">
        <v>168</v>
      </c>
      <c r="P107" s="3198"/>
      <c r="Q107" s="3198"/>
      <c r="R107" s="242"/>
      <c r="S107" s="46"/>
      <c r="T107" s="3196"/>
      <c r="U107" s="242"/>
      <c r="V107" s="46"/>
      <c r="W107" s="3196"/>
      <c r="X107" s="68"/>
      <c r="Y107" s="68"/>
      <c r="Z107" s="68"/>
      <c r="AA107" s="68"/>
      <c r="AB107" s="68"/>
      <c r="AC107" s="68"/>
      <c r="AD107" s="68"/>
      <c r="AE107" s="68"/>
      <c r="AF107" s="68"/>
    </row>
    <row r="108" spans="1:34" ht="18" customHeight="1">
      <c r="B108" s="3895" t="s">
        <v>169</v>
      </c>
      <c r="C108" s="3902" t="s">
        <v>170</v>
      </c>
      <c r="D108" s="3758"/>
      <c r="E108" s="3758"/>
      <c r="F108" s="3902" t="s">
        <v>171</v>
      </c>
      <c r="G108" s="3076"/>
      <c r="H108" s="3758"/>
      <c r="I108" s="3902" t="s">
        <v>171</v>
      </c>
      <c r="J108" s="3980"/>
      <c r="K108" s="3399"/>
      <c r="L108" s="3625" t="s">
        <v>172</v>
      </c>
      <c r="M108" s="3980"/>
      <c r="N108" s="3626"/>
      <c r="O108" s="3902" t="s">
        <v>172</v>
      </c>
      <c r="P108" s="3758"/>
      <c r="Q108" s="3758"/>
      <c r="R108" s="3625" t="s">
        <v>173</v>
      </c>
      <c r="S108" s="3980"/>
      <c r="T108" s="3399"/>
      <c r="U108" s="3625" t="s">
        <v>173</v>
      </c>
      <c r="V108" s="3980"/>
      <c r="W108" s="3399"/>
      <c r="X108" s="68"/>
      <c r="Y108" s="68"/>
      <c r="Z108" s="68"/>
      <c r="AA108" s="68"/>
      <c r="AB108" s="68"/>
      <c r="AC108" s="68"/>
      <c r="AD108" s="68"/>
      <c r="AE108" s="68"/>
      <c r="AF108" s="68"/>
    </row>
    <row r="109" spans="1:34" ht="18" customHeight="1">
      <c r="B109" s="3895" t="s">
        <v>174</v>
      </c>
      <c r="C109" s="3902" t="s">
        <v>46</v>
      </c>
      <c r="D109" s="3758"/>
      <c r="E109" s="3758"/>
      <c r="F109" s="3902" t="s">
        <v>46</v>
      </c>
      <c r="G109" s="3076"/>
      <c r="H109" s="3758"/>
      <c r="I109" s="3625" t="s">
        <v>46</v>
      </c>
      <c r="J109" s="3980"/>
      <c r="K109" s="3399"/>
      <c r="L109" s="3625" t="s">
        <v>46</v>
      </c>
      <c r="M109" s="3980"/>
      <c r="N109" s="3626"/>
      <c r="O109" s="3902" t="s">
        <v>46</v>
      </c>
      <c r="P109" s="3758"/>
      <c r="Q109" s="3758"/>
      <c r="R109" s="3625"/>
      <c r="S109" s="3980"/>
      <c r="T109" s="3399"/>
      <c r="U109" s="3625"/>
      <c r="V109" s="3980"/>
      <c r="W109" s="3981"/>
      <c r="X109" s="68"/>
      <c r="Y109" s="68"/>
      <c r="Z109" s="68"/>
      <c r="AA109" s="68"/>
      <c r="AB109" s="68"/>
      <c r="AC109" s="68"/>
      <c r="AD109" s="68"/>
      <c r="AE109" s="68"/>
      <c r="AF109" s="68"/>
    </row>
    <row r="110" spans="1:34" ht="18" customHeight="1" thickBot="1">
      <c r="B110" s="243"/>
      <c r="C110" s="244"/>
      <c r="D110" s="111"/>
      <c r="E110" s="111"/>
      <c r="F110" s="244"/>
      <c r="G110" s="115"/>
      <c r="H110" s="111"/>
      <c r="I110" s="115"/>
      <c r="J110" s="111"/>
      <c r="K110" s="111"/>
      <c r="L110" s="115"/>
      <c r="M110" s="111"/>
      <c r="N110" s="32"/>
      <c r="O110" s="244"/>
      <c r="P110" s="111"/>
      <c r="Q110" s="111"/>
      <c r="R110" s="115"/>
      <c r="S110" s="111"/>
      <c r="T110" s="111"/>
      <c r="U110" s="115"/>
      <c r="V110" s="111"/>
      <c r="W110" s="111"/>
      <c r="X110" s="68"/>
      <c r="Y110" s="68"/>
      <c r="Z110" s="68"/>
      <c r="AA110" s="68"/>
      <c r="AB110" s="68"/>
      <c r="AC110" s="68"/>
      <c r="AD110" s="68"/>
      <c r="AE110" s="68"/>
      <c r="AF110" s="68"/>
    </row>
    <row r="111" spans="1:34" ht="18" customHeight="1" thickBot="1">
      <c r="B111" s="3200" t="s">
        <v>38</v>
      </c>
      <c r="C111" s="2985">
        <v>1</v>
      </c>
      <c r="D111" s="2985">
        <v>2</v>
      </c>
      <c r="E111" s="2985">
        <v>3</v>
      </c>
      <c r="F111" s="2986">
        <v>4</v>
      </c>
      <c r="G111" s="2986">
        <v>5</v>
      </c>
      <c r="H111" s="2985">
        <v>6</v>
      </c>
      <c r="I111" s="2985">
        <v>7</v>
      </c>
      <c r="J111" s="2985">
        <v>8</v>
      </c>
      <c r="K111" s="2985">
        <v>9</v>
      </c>
      <c r="L111" s="2985">
        <v>10</v>
      </c>
      <c r="M111" s="2986">
        <v>11</v>
      </c>
      <c r="N111" s="2986">
        <v>12</v>
      </c>
      <c r="O111" s="2985">
        <v>13</v>
      </c>
      <c r="P111" s="2985">
        <v>14</v>
      </c>
      <c r="Q111" s="2985">
        <v>15</v>
      </c>
      <c r="R111" s="2985">
        <v>16</v>
      </c>
      <c r="S111" s="2985">
        <v>17</v>
      </c>
      <c r="T111" s="2986">
        <v>18</v>
      </c>
      <c r="U111" s="2986">
        <v>19</v>
      </c>
      <c r="V111" s="2985">
        <v>20</v>
      </c>
      <c r="W111" s="2985">
        <v>21</v>
      </c>
      <c r="X111" s="2985">
        <v>22</v>
      </c>
      <c r="Y111" s="2985">
        <v>23</v>
      </c>
      <c r="Z111" s="2985">
        <v>24</v>
      </c>
      <c r="AA111" s="2986">
        <v>25</v>
      </c>
      <c r="AB111" s="2986">
        <v>26</v>
      </c>
      <c r="AC111" s="2985">
        <v>27</v>
      </c>
      <c r="AD111" s="2985">
        <v>28</v>
      </c>
      <c r="AE111" s="2985">
        <v>29</v>
      </c>
      <c r="AF111" s="2985">
        <v>30</v>
      </c>
      <c r="AG111" s="2985">
        <v>31</v>
      </c>
    </row>
    <row r="112" spans="1:34" ht="18" customHeight="1">
      <c r="B112" s="3202" t="s">
        <v>175</v>
      </c>
      <c r="C112" s="3775">
        <v>26</v>
      </c>
      <c r="D112" s="3775">
        <v>26</v>
      </c>
      <c r="E112" s="3775">
        <v>26</v>
      </c>
      <c r="F112" s="510"/>
      <c r="G112" s="510"/>
      <c r="H112" s="585" t="s">
        <v>121</v>
      </c>
      <c r="I112" s="585" t="s">
        <v>121</v>
      </c>
      <c r="J112" s="585" t="s">
        <v>121</v>
      </c>
      <c r="K112" s="585" t="s">
        <v>121</v>
      </c>
      <c r="L112" s="585" t="s">
        <v>121</v>
      </c>
      <c r="M112" s="3911" t="s">
        <v>120</v>
      </c>
      <c r="N112" s="3766" t="s">
        <v>120</v>
      </c>
      <c r="O112" s="3766" t="s">
        <v>46</v>
      </c>
      <c r="P112" s="3766" t="s">
        <v>46</v>
      </c>
      <c r="Q112" s="3766" t="s">
        <v>46</v>
      </c>
      <c r="R112" s="3911" t="s">
        <v>46</v>
      </c>
      <c r="S112" s="3911" t="s">
        <v>46</v>
      </c>
      <c r="T112" s="3911"/>
      <c r="U112" s="3911"/>
      <c r="V112" s="3911">
        <v>25</v>
      </c>
      <c r="W112" s="3911">
        <v>25</v>
      </c>
      <c r="X112" s="3911">
        <v>25</v>
      </c>
      <c r="Y112" s="3911">
        <v>25</v>
      </c>
      <c r="Z112" s="3911">
        <v>25</v>
      </c>
      <c r="AA112" s="3911"/>
      <c r="AB112" s="3857">
        <v>26</v>
      </c>
      <c r="AC112" s="3857">
        <v>26</v>
      </c>
      <c r="AD112" s="3857">
        <v>26</v>
      </c>
      <c r="AE112" s="3857">
        <v>26</v>
      </c>
      <c r="AF112" s="3857">
        <v>26</v>
      </c>
      <c r="AG112" s="3857">
        <v>26</v>
      </c>
      <c r="AH112" t="s">
        <v>133</v>
      </c>
    </row>
    <row r="113" spans="1:42" ht="18" customHeight="1">
      <c r="B113" s="3625" t="s">
        <v>176</v>
      </c>
      <c r="C113" s="585" t="s">
        <v>121</v>
      </c>
      <c r="D113" s="585" t="s">
        <v>121</v>
      </c>
      <c r="E113" s="585" t="s">
        <v>121</v>
      </c>
      <c r="F113" s="3911" t="s">
        <v>120</v>
      </c>
      <c r="G113" s="3911" t="s">
        <v>120</v>
      </c>
      <c r="H113" s="3911" t="s">
        <v>46</v>
      </c>
      <c r="I113" s="3911" t="s">
        <v>46</v>
      </c>
      <c r="J113" s="3911" t="s">
        <v>46</v>
      </c>
      <c r="K113" s="3911" t="s">
        <v>46</v>
      </c>
      <c r="L113" s="3911" t="s">
        <v>46</v>
      </c>
      <c r="M113" s="3911"/>
      <c r="N113" s="3911"/>
      <c r="O113" s="3911">
        <v>25</v>
      </c>
      <c r="P113" s="3911">
        <v>25</v>
      </c>
      <c r="Q113" s="3911">
        <v>25</v>
      </c>
      <c r="R113" s="3911">
        <v>25</v>
      </c>
      <c r="S113" s="3911">
        <v>25</v>
      </c>
      <c r="T113" s="3911"/>
      <c r="U113" s="3774">
        <v>26</v>
      </c>
      <c r="V113" s="3774">
        <v>26</v>
      </c>
      <c r="W113" s="3774">
        <v>26</v>
      </c>
      <c r="X113" s="3774">
        <v>26</v>
      </c>
      <c r="Y113" s="3774">
        <v>26</v>
      </c>
      <c r="Z113" s="3774">
        <v>26</v>
      </c>
      <c r="AA113" s="585"/>
      <c r="AB113" s="585"/>
      <c r="AC113" s="585" t="s">
        <v>121</v>
      </c>
      <c r="AD113" s="585" t="s">
        <v>121</v>
      </c>
      <c r="AE113" s="585" t="s">
        <v>121</v>
      </c>
      <c r="AF113" s="585" t="s">
        <v>121</v>
      </c>
      <c r="AG113" s="904" t="s">
        <v>121</v>
      </c>
    </row>
    <row r="114" spans="1:42" ht="18" customHeight="1">
      <c r="B114" s="3628" t="s">
        <v>135</v>
      </c>
      <c r="C114" s="3982" t="s">
        <v>46</v>
      </c>
      <c r="D114" s="3982" t="s">
        <v>46</v>
      </c>
      <c r="E114" s="3982" t="s">
        <v>46</v>
      </c>
      <c r="F114" s="3911"/>
      <c r="G114" s="3911"/>
      <c r="H114" s="3911">
        <v>25</v>
      </c>
      <c r="I114" s="3911">
        <v>25</v>
      </c>
      <c r="J114" s="3911">
        <v>25</v>
      </c>
      <c r="K114" s="3911">
        <v>25</v>
      </c>
      <c r="L114" s="3911">
        <v>25</v>
      </c>
      <c r="M114" s="3911"/>
      <c r="N114" s="3911">
        <v>26</v>
      </c>
      <c r="O114" s="3911">
        <v>26</v>
      </c>
      <c r="P114" s="3911">
        <v>26</v>
      </c>
      <c r="Q114" s="3911">
        <v>26</v>
      </c>
      <c r="R114" s="3911">
        <v>26</v>
      </c>
      <c r="S114" s="3911">
        <v>26</v>
      </c>
      <c r="T114" s="3911"/>
      <c r="U114" s="3911"/>
      <c r="V114" s="3911" t="s">
        <v>121</v>
      </c>
      <c r="W114" s="3911" t="s">
        <v>121</v>
      </c>
      <c r="X114" s="3911" t="s">
        <v>121</v>
      </c>
      <c r="Y114" s="3911" t="s">
        <v>121</v>
      </c>
      <c r="Z114" s="3911" t="s">
        <v>121</v>
      </c>
      <c r="AA114" s="3911" t="s">
        <v>120</v>
      </c>
      <c r="AB114" s="3911" t="s">
        <v>120</v>
      </c>
      <c r="AC114" s="3911" t="s">
        <v>46</v>
      </c>
      <c r="AD114" s="3911" t="s">
        <v>46</v>
      </c>
      <c r="AE114" s="3911" t="s">
        <v>46</v>
      </c>
      <c r="AF114" s="3911" t="s">
        <v>46</v>
      </c>
      <c r="AG114" s="3911" t="s">
        <v>46</v>
      </c>
    </row>
    <row r="115" spans="1:42" ht="18" customHeight="1" thickBot="1">
      <c r="B115" s="2725" t="s">
        <v>498</v>
      </c>
      <c r="C115" s="3911">
        <v>25</v>
      </c>
      <c r="D115" s="3911">
        <v>25</v>
      </c>
      <c r="E115" s="3911">
        <v>25</v>
      </c>
      <c r="F115" s="3911"/>
      <c r="G115" s="3911">
        <v>26</v>
      </c>
      <c r="H115" s="3774">
        <v>26</v>
      </c>
      <c r="I115" s="3774">
        <v>26</v>
      </c>
      <c r="J115" s="3774">
        <v>26</v>
      </c>
      <c r="K115" s="3774">
        <v>26</v>
      </c>
      <c r="L115" s="3911">
        <v>26</v>
      </c>
      <c r="M115" s="3911"/>
      <c r="N115" s="3911"/>
      <c r="O115" s="3911" t="s">
        <v>121</v>
      </c>
      <c r="P115" s="3911" t="s">
        <v>121</v>
      </c>
      <c r="Q115" s="3911" t="s">
        <v>121</v>
      </c>
      <c r="R115" s="3911" t="s">
        <v>121</v>
      </c>
      <c r="S115" s="3911" t="s">
        <v>121</v>
      </c>
      <c r="T115" s="3911" t="s">
        <v>120</v>
      </c>
      <c r="U115" s="3911" t="s">
        <v>120</v>
      </c>
      <c r="V115" s="3911" t="s">
        <v>46</v>
      </c>
      <c r="W115" s="3911" t="s">
        <v>46</v>
      </c>
      <c r="X115" s="3911" t="s">
        <v>46</v>
      </c>
      <c r="Y115" s="3911" t="s">
        <v>46</v>
      </c>
      <c r="Z115" s="3911" t="s">
        <v>46</v>
      </c>
      <c r="AA115" s="3911"/>
      <c r="AB115" s="3911"/>
      <c r="AC115" s="3775">
        <v>25</v>
      </c>
      <c r="AD115" s="3775">
        <v>25</v>
      </c>
      <c r="AE115" s="3775">
        <v>25</v>
      </c>
      <c r="AF115" s="3775">
        <v>25</v>
      </c>
      <c r="AG115" s="3775">
        <v>25</v>
      </c>
      <c r="AH115" t="s">
        <v>133</v>
      </c>
    </row>
    <row r="116" spans="1:42" ht="18" customHeight="1">
      <c r="A116" s="114"/>
      <c r="B116" s="115"/>
      <c r="C116" s="126"/>
      <c r="D116" s="126"/>
      <c r="E116" s="126"/>
      <c r="F116" s="126"/>
      <c r="G116" s="126"/>
      <c r="H116" s="126"/>
      <c r="I116" s="126"/>
      <c r="J116" s="126"/>
      <c r="K116" s="126"/>
      <c r="L116" s="126"/>
      <c r="M116" s="126"/>
      <c r="N116" s="126"/>
      <c r="O116" s="126"/>
      <c r="P116" s="126"/>
      <c r="Q116" s="126"/>
      <c r="R116" s="126"/>
      <c r="S116" s="126"/>
      <c r="T116" s="126"/>
      <c r="U116" s="126"/>
      <c r="V116" s="126"/>
      <c r="W116" s="126"/>
      <c r="X116" s="126"/>
      <c r="Y116" s="126"/>
      <c r="Z116" s="126"/>
      <c r="AA116" s="126"/>
      <c r="AB116" s="126"/>
      <c r="AC116" s="126"/>
      <c r="AD116" s="126"/>
      <c r="AE116" s="126"/>
      <c r="AF116" s="126"/>
    </row>
    <row r="117" spans="1:42" ht="18" customHeight="1">
      <c r="A117" s="114"/>
      <c r="B117" s="115"/>
      <c r="C117" s="126"/>
      <c r="D117" s="126"/>
      <c r="E117" s="126"/>
      <c r="F117" s="126"/>
      <c r="G117" s="126"/>
      <c r="H117" s="126"/>
      <c r="I117" s="126"/>
      <c r="J117" s="126"/>
      <c r="K117" s="126"/>
      <c r="L117" s="126"/>
      <c r="M117" s="126"/>
      <c r="N117" s="126"/>
      <c r="O117" s="126"/>
      <c r="P117" s="126"/>
      <c r="Q117" s="126"/>
      <c r="R117" s="126"/>
      <c r="S117" s="126"/>
      <c r="T117" s="126"/>
      <c r="U117" s="126"/>
      <c r="V117" s="126"/>
      <c r="W117" s="126"/>
      <c r="X117" s="126"/>
      <c r="Y117" s="126"/>
      <c r="Z117" s="126"/>
      <c r="AA117" s="126"/>
      <c r="AB117" s="126"/>
      <c r="AC117" s="126"/>
      <c r="AD117" s="126"/>
      <c r="AE117" s="126"/>
      <c r="AF117" s="126"/>
    </row>
    <row r="118" spans="1:42" ht="18" customHeight="1" thickBot="1">
      <c r="A118" s="133" t="s">
        <v>178</v>
      </c>
      <c r="B118" s="115"/>
      <c r="C118" s="126"/>
      <c r="D118" s="126"/>
      <c r="E118" s="126"/>
      <c r="F118" s="126"/>
      <c r="G118" s="126"/>
      <c r="H118" s="126"/>
      <c r="I118" s="126"/>
      <c r="J118" s="126"/>
      <c r="K118" s="126"/>
      <c r="L118" s="126"/>
      <c r="M118" s="126"/>
      <c r="N118" s="126"/>
      <c r="O118" s="126"/>
      <c r="P118" s="126"/>
      <c r="Q118" s="126"/>
      <c r="R118" s="148"/>
      <c r="S118" s="148"/>
      <c r="T118" s="148"/>
      <c r="U118" s="126"/>
      <c r="V118" s="126"/>
      <c r="W118" s="126"/>
      <c r="X118" s="126"/>
      <c r="Y118" s="126"/>
      <c r="Z118" s="126"/>
      <c r="AA118" s="126"/>
      <c r="AB118" s="126"/>
      <c r="AC118" s="126"/>
      <c r="AD118" s="126"/>
      <c r="AE118" s="126"/>
      <c r="AF118" s="126"/>
    </row>
    <row r="119" spans="1:42" ht="18" customHeight="1" thickBot="1">
      <c r="A119" s="114"/>
      <c r="B119" s="134"/>
      <c r="C119" s="135"/>
      <c r="D119" s="135"/>
      <c r="E119" s="138" t="s">
        <v>179</v>
      </c>
      <c r="F119" s="135"/>
      <c r="G119" s="135"/>
      <c r="H119" s="135"/>
      <c r="I119" s="135"/>
      <c r="J119" s="135"/>
      <c r="K119" s="141" t="s">
        <v>15</v>
      </c>
      <c r="L119" s="139"/>
      <c r="M119" s="139"/>
      <c r="N119" s="139"/>
      <c r="O119" s="139"/>
      <c r="P119" s="139"/>
      <c r="Q119" s="139"/>
      <c r="R119" s="139"/>
      <c r="S119" s="139"/>
      <c r="T119" s="140"/>
      <c r="W119" s="101"/>
      <c r="X119" s="101"/>
      <c r="Y119" s="101"/>
      <c r="Z119" s="101"/>
      <c r="AA119" s="101"/>
      <c r="AB119" s="101"/>
      <c r="AC119" s="101"/>
      <c r="AD119" s="101"/>
      <c r="AE119" s="101"/>
      <c r="AF119" s="101"/>
    </row>
    <row r="120" spans="1:42" ht="18" customHeight="1" thickBot="1">
      <c r="A120" s="114"/>
      <c r="B120" s="134" t="s">
        <v>180</v>
      </c>
      <c r="C120" s="135"/>
      <c r="D120" s="135"/>
      <c r="E120" s="136" t="s">
        <v>181</v>
      </c>
      <c r="F120" s="135"/>
      <c r="G120" s="135"/>
      <c r="H120" s="135"/>
      <c r="I120" s="135"/>
      <c r="J120" s="135"/>
      <c r="K120" s="135" t="s">
        <v>0</v>
      </c>
      <c r="L120" s="135"/>
      <c r="M120" s="144"/>
      <c r="N120" s="144"/>
      <c r="O120" s="144"/>
      <c r="P120" s="144"/>
      <c r="Q120" s="144"/>
      <c r="R120" s="144"/>
      <c r="S120" s="144"/>
      <c r="T120" s="145"/>
      <c r="U120" s="101"/>
      <c r="V120" s="101"/>
      <c r="W120" s="101"/>
      <c r="X120" s="101"/>
      <c r="Y120" s="101"/>
      <c r="Z120" s="101"/>
      <c r="AA120" s="101"/>
      <c r="AB120" s="101"/>
      <c r="AC120" s="101"/>
      <c r="AD120" s="101"/>
      <c r="AE120" s="101"/>
      <c r="AF120" s="101"/>
    </row>
    <row r="122" spans="1:42" ht="18" customHeight="1" thickBot="1">
      <c r="A122" s="114"/>
      <c r="B122" s="3983" t="s">
        <v>38</v>
      </c>
      <c r="C122" s="2985">
        <v>1</v>
      </c>
      <c r="D122" s="2985">
        <v>2</v>
      </c>
      <c r="E122" s="2985">
        <v>3</v>
      </c>
      <c r="F122" s="2986">
        <v>4</v>
      </c>
      <c r="G122" s="2986">
        <v>5</v>
      </c>
      <c r="H122" s="2985">
        <v>6</v>
      </c>
      <c r="I122" s="2985">
        <v>7</v>
      </c>
      <c r="J122" s="2985">
        <v>8</v>
      </c>
      <c r="K122" s="2985">
        <v>9</v>
      </c>
      <c r="L122" s="2985">
        <v>10</v>
      </c>
      <c r="M122" s="2986">
        <v>11</v>
      </c>
      <c r="N122" s="2986">
        <v>12</v>
      </c>
      <c r="O122" s="2985">
        <v>13</v>
      </c>
      <c r="P122" s="2985">
        <v>14</v>
      </c>
      <c r="Q122" s="2985">
        <v>15</v>
      </c>
      <c r="R122" s="2985">
        <v>16</v>
      </c>
      <c r="S122" s="2985">
        <v>17</v>
      </c>
      <c r="T122" s="2986">
        <v>18</v>
      </c>
      <c r="U122" s="2986">
        <v>19</v>
      </c>
      <c r="V122" s="2985">
        <v>20</v>
      </c>
      <c r="W122" s="2985">
        <v>21</v>
      </c>
      <c r="X122" s="2985">
        <v>22</v>
      </c>
      <c r="Y122" s="2985">
        <v>23</v>
      </c>
      <c r="Z122" s="2985">
        <v>24</v>
      </c>
      <c r="AA122" s="2986">
        <v>25</v>
      </c>
      <c r="AB122" s="2986">
        <v>26</v>
      </c>
      <c r="AC122" s="2985">
        <v>27</v>
      </c>
      <c r="AD122" s="2985">
        <v>28</v>
      </c>
      <c r="AE122" s="2985">
        <v>29</v>
      </c>
      <c r="AF122" s="2985">
        <v>30</v>
      </c>
      <c r="AG122" s="2985">
        <v>31</v>
      </c>
    </row>
    <row r="123" spans="1:42" ht="18" customHeight="1" thickBot="1">
      <c r="B123" s="1526" t="s">
        <v>184</v>
      </c>
      <c r="C123" s="2347" t="s">
        <v>46</v>
      </c>
      <c r="D123" s="2347" t="s">
        <v>46</v>
      </c>
      <c r="E123" s="2347" t="s">
        <v>46</v>
      </c>
      <c r="F123" s="2347" t="s">
        <v>46</v>
      </c>
      <c r="G123" s="2347" t="s">
        <v>118</v>
      </c>
      <c r="H123" s="2347" t="s">
        <v>118</v>
      </c>
      <c r="I123" s="2347" t="s">
        <v>118</v>
      </c>
      <c r="J123" s="2347" t="s">
        <v>118</v>
      </c>
      <c r="K123" s="2347" t="s">
        <v>118</v>
      </c>
      <c r="L123" s="2347" t="s">
        <v>118</v>
      </c>
      <c r="M123" s="2347" t="s">
        <v>46</v>
      </c>
      <c r="N123" s="2347" t="s">
        <v>46</v>
      </c>
      <c r="O123" s="2347" t="s">
        <v>46</v>
      </c>
      <c r="P123" s="2347" t="s">
        <v>46</v>
      </c>
      <c r="Q123" s="2347" t="s">
        <v>46</v>
      </c>
      <c r="R123" s="2347" t="s">
        <v>46</v>
      </c>
      <c r="S123" s="2347" t="s">
        <v>118</v>
      </c>
      <c r="T123" s="2347" t="s">
        <v>118</v>
      </c>
      <c r="U123" s="2347" t="s">
        <v>118</v>
      </c>
      <c r="V123" s="2347" t="s">
        <v>118</v>
      </c>
      <c r="W123" s="2347" t="s">
        <v>118</v>
      </c>
      <c r="X123" s="2347" t="s">
        <v>118</v>
      </c>
      <c r="Y123" s="2347" t="s">
        <v>46</v>
      </c>
      <c r="Z123" s="2347" t="s">
        <v>46</v>
      </c>
      <c r="AA123" s="2347" t="s">
        <v>46</v>
      </c>
      <c r="AB123" s="2347" t="s">
        <v>46</v>
      </c>
      <c r="AC123" s="2347" t="s">
        <v>46</v>
      </c>
      <c r="AD123" s="2347" t="s">
        <v>46</v>
      </c>
      <c r="AE123" s="2347" t="s">
        <v>118</v>
      </c>
      <c r="AF123" s="2347" t="s">
        <v>118</v>
      </c>
      <c r="AG123" s="3984" t="s">
        <v>118</v>
      </c>
    </row>
    <row r="124" spans="1:42" ht="18" customHeight="1">
      <c r="B124" s="3985" t="s">
        <v>195</v>
      </c>
      <c r="C124" s="3986" t="s">
        <v>118</v>
      </c>
      <c r="D124" s="3986" t="s">
        <v>118</v>
      </c>
      <c r="E124" s="3986" t="s">
        <v>118</v>
      </c>
      <c r="F124" s="3986" t="s">
        <v>118</v>
      </c>
      <c r="G124" s="3986" t="s">
        <v>46</v>
      </c>
      <c r="H124" s="3986" t="s">
        <v>46</v>
      </c>
      <c r="I124" s="3986" t="s">
        <v>46</v>
      </c>
      <c r="J124" s="3986" t="s">
        <v>46</v>
      </c>
      <c r="K124" s="3986" t="s">
        <v>46</v>
      </c>
      <c r="L124" s="3986" t="s">
        <v>46</v>
      </c>
      <c r="M124" s="3986" t="s">
        <v>118</v>
      </c>
      <c r="N124" s="3986" t="s">
        <v>118</v>
      </c>
      <c r="O124" s="3987" t="s">
        <v>118</v>
      </c>
      <c r="P124" s="3988" t="s">
        <v>118</v>
      </c>
      <c r="Q124" s="3987" t="s">
        <v>118</v>
      </c>
      <c r="R124" s="3987" t="s">
        <v>118</v>
      </c>
      <c r="S124" s="3987" t="s">
        <v>46</v>
      </c>
      <c r="T124" s="3987" t="s">
        <v>46</v>
      </c>
      <c r="U124" s="3987" t="s">
        <v>46</v>
      </c>
      <c r="V124" s="3989" t="s">
        <v>46</v>
      </c>
      <c r="W124" s="3990" t="s">
        <v>46</v>
      </c>
      <c r="X124" s="3989" t="s">
        <v>46</v>
      </c>
      <c r="Y124" s="3989" t="s">
        <v>118</v>
      </c>
      <c r="Z124" s="3991" t="s">
        <v>118</v>
      </c>
      <c r="AA124" s="3989" t="s">
        <v>118</v>
      </c>
      <c r="AB124" s="3989" t="s">
        <v>118</v>
      </c>
      <c r="AC124" s="3991" t="s">
        <v>118</v>
      </c>
      <c r="AD124" s="3991" t="s">
        <v>118</v>
      </c>
      <c r="AE124" s="3991" t="s">
        <v>46</v>
      </c>
      <c r="AF124" s="3992" t="s">
        <v>46</v>
      </c>
      <c r="AG124" s="3993" t="s">
        <v>46</v>
      </c>
      <c r="AH124" s="111"/>
      <c r="AI124" s="111"/>
      <c r="AJ124" s="120"/>
      <c r="AK124" s="295"/>
      <c r="AL124" s="295"/>
      <c r="AM124" s="111"/>
      <c r="AN124" s="111"/>
      <c r="AO124" s="111"/>
      <c r="AP124" s="111"/>
    </row>
    <row r="125" spans="1:42" ht="18" customHeight="1" thickBot="1">
      <c r="B125" s="3994" t="s">
        <v>385</v>
      </c>
      <c r="C125" s="1588" t="s">
        <v>46</v>
      </c>
      <c r="D125" s="1588" t="s">
        <v>46</v>
      </c>
      <c r="E125" s="3118" t="s">
        <v>46</v>
      </c>
      <c r="F125" s="3118" t="s">
        <v>46</v>
      </c>
      <c r="G125" s="3118" t="s">
        <v>118</v>
      </c>
      <c r="H125" s="3118" t="s">
        <v>118</v>
      </c>
      <c r="I125" s="3118" t="s">
        <v>118</v>
      </c>
      <c r="J125" s="3118" t="s">
        <v>118</v>
      </c>
      <c r="K125" s="3118" t="s">
        <v>118</v>
      </c>
      <c r="L125" s="3118" t="s">
        <v>118</v>
      </c>
      <c r="M125" s="3118" t="s">
        <v>46</v>
      </c>
      <c r="N125" s="3118" t="s">
        <v>46</v>
      </c>
      <c r="O125" s="3118" t="s">
        <v>46</v>
      </c>
      <c r="P125" s="3118" t="s">
        <v>46</v>
      </c>
      <c r="Q125" s="3118" t="s">
        <v>46</v>
      </c>
      <c r="R125" s="3118" t="s">
        <v>46</v>
      </c>
      <c r="S125" s="3118" t="s">
        <v>118</v>
      </c>
      <c r="T125" s="3118" t="s">
        <v>118</v>
      </c>
      <c r="U125" s="3118" t="s">
        <v>118</v>
      </c>
      <c r="V125" s="3118" t="s">
        <v>118</v>
      </c>
      <c r="W125" s="3118" t="s">
        <v>118</v>
      </c>
      <c r="X125" s="3118" t="s">
        <v>118</v>
      </c>
      <c r="Y125" s="3118" t="s">
        <v>46</v>
      </c>
      <c r="Z125" s="3118" t="s">
        <v>46</v>
      </c>
      <c r="AA125" s="3118" t="s">
        <v>46</v>
      </c>
      <c r="AB125" s="3118" t="s">
        <v>46</v>
      </c>
      <c r="AC125" s="3118" t="s">
        <v>46</v>
      </c>
      <c r="AD125" s="3118" t="s">
        <v>46</v>
      </c>
      <c r="AE125" s="3118" t="s">
        <v>118</v>
      </c>
      <c r="AF125" s="3995" t="s">
        <v>118</v>
      </c>
      <c r="AG125" s="3995" t="s">
        <v>118</v>
      </c>
    </row>
    <row r="126" spans="1:42" ht="18" customHeight="1">
      <c r="A126" s="3" t="s">
        <v>188</v>
      </c>
    </row>
    <row r="127" spans="1:42" ht="18" customHeight="1" thickBot="1">
      <c r="A127" s="3"/>
    </row>
    <row r="128" spans="1:42" ht="18" customHeight="1" thickBot="1">
      <c r="B128" s="134"/>
      <c r="C128" s="135"/>
      <c r="D128" s="135"/>
      <c r="E128" s="138" t="s">
        <v>179</v>
      </c>
      <c r="F128" s="135"/>
      <c r="G128" s="135"/>
      <c r="H128" s="135"/>
      <c r="I128" s="135"/>
      <c r="J128" s="135"/>
      <c r="K128" s="141" t="s">
        <v>15</v>
      </c>
      <c r="L128" s="139"/>
      <c r="M128" s="139"/>
      <c r="N128" s="139"/>
      <c r="O128" s="139"/>
      <c r="P128" s="139"/>
      <c r="Q128" s="139"/>
      <c r="R128" s="139"/>
      <c r="S128" s="139"/>
      <c r="T128" s="140"/>
    </row>
    <row r="129" spans="1:33" ht="18" customHeight="1" thickBot="1">
      <c r="B129" s="134" t="s">
        <v>180</v>
      </c>
      <c r="C129" s="135"/>
      <c r="D129" s="135"/>
      <c r="E129" s="136" t="s">
        <v>189</v>
      </c>
      <c r="F129" s="135"/>
      <c r="G129" s="135"/>
      <c r="H129" s="135"/>
      <c r="I129" s="135"/>
      <c r="J129" s="135"/>
      <c r="K129" s="135" t="s">
        <v>0</v>
      </c>
      <c r="L129" s="135"/>
      <c r="M129" s="144"/>
      <c r="N129" s="144"/>
      <c r="O129" s="144"/>
      <c r="P129" s="144"/>
      <c r="Q129" s="144"/>
      <c r="R129" s="144"/>
      <c r="S129" s="144"/>
      <c r="T129" s="145"/>
      <c r="U129" s="101"/>
      <c r="V129" s="101"/>
    </row>
    <row r="130" spans="1:33" ht="18" customHeight="1" thickBot="1">
      <c r="T130" s="101"/>
      <c r="U130" s="101"/>
      <c r="V130" s="101"/>
    </row>
    <row r="131" spans="1:33" ht="18" customHeight="1" thickBot="1">
      <c r="B131" s="1482" t="s">
        <v>38</v>
      </c>
      <c r="C131" s="2985">
        <v>1</v>
      </c>
      <c r="D131" s="2985">
        <v>2</v>
      </c>
      <c r="E131" s="2985">
        <v>3</v>
      </c>
      <c r="F131" s="2986">
        <v>4</v>
      </c>
      <c r="G131" s="2986">
        <v>5</v>
      </c>
      <c r="H131" s="2985">
        <v>6</v>
      </c>
      <c r="I131" s="2985">
        <v>7</v>
      </c>
      <c r="J131" s="2985">
        <v>8</v>
      </c>
      <c r="K131" s="2985">
        <v>9</v>
      </c>
      <c r="L131" s="2985">
        <v>10</v>
      </c>
      <c r="M131" s="2986">
        <v>11</v>
      </c>
      <c r="N131" s="2986">
        <v>12</v>
      </c>
      <c r="O131" s="2985">
        <v>13</v>
      </c>
      <c r="P131" s="2985">
        <v>14</v>
      </c>
      <c r="Q131" s="2985">
        <v>15</v>
      </c>
      <c r="R131" s="2985">
        <v>16</v>
      </c>
      <c r="S131" s="2985">
        <v>17</v>
      </c>
      <c r="T131" s="2986">
        <v>18</v>
      </c>
      <c r="U131" s="2986">
        <v>19</v>
      </c>
      <c r="V131" s="2985">
        <v>20</v>
      </c>
      <c r="W131" s="2985">
        <v>21</v>
      </c>
      <c r="X131" s="2985">
        <v>22</v>
      </c>
      <c r="Y131" s="2985">
        <v>23</v>
      </c>
      <c r="Z131" s="2985">
        <v>24</v>
      </c>
      <c r="AA131" s="2986">
        <v>25</v>
      </c>
      <c r="AB131" s="2986">
        <v>26</v>
      </c>
      <c r="AC131" s="2985">
        <v>27</v>
      </c>
      <c r="AD131" s="2985">
        <v>28</v>
      </c>
      <c r="AE131" s="2985">
        <v>29</v>
      </c>
      <c r="AF131" s="2985">
        <v>30</v>
      </c>
      <c r="AG131" s="2985">
        <v>31</v>
      </c>
    </row>
    <row r="132" spans="1:33" ht="18" customHeight="1">
      <c r="B132" s="3640"/>
      <c r="C132" s="480" t="s">
        <v>46</v>
      </c>
      <c r="D132" s="480" t="s">
        <v>61</v>
      </c>
      <c r="E132" s="480" t="s">
        <v>61</v>
      </c>
      <c r="F132" s="480" t="s">
        <v>61</v>
      </c>
      <c r="G132" s="480" t="s">
        <v>46</v>
      </c>
      <c r="H132" s="484" t="s">
        <v>46</v>
      </c>
      <c r="I132" s="484" t="s">
        <v>61</v>
      </c>
      <c r="J132" s="484" t="s">
        <v>61</v>
      </c>
      <c r="K132" s="480" t="s">
        <v>61</v>
      </c>
      <c r="L132" s="480" t="s">
        <v>46</v>
      </c>
      <c r="M132" s="480" t="s">
        <v>46</v>
      </c>
      <c r="N132" s="3822" t="s">
        <v>46</v>
      </c>
      <c r="O132" s="3822" t="s">
        <v>61</v>
      </c>
      <c r="P132" s="3822" t="s">
        <v>61</v>
      </c>
      <c r="Q132" s="3822" t="s">
        <v>61</v>
      </c>
      <c r="R132" s="3799" t="s">
        <v>46</v>
      </c>
      <c r="S132" s="3799" t="s">
        <v>46</v>
      </c>
      <c r="T132" s="3786" t="s">
        <v>46</v>
      </c>
      <c r="U132" s="480" t="s">
        <v>61</v>
      </c>
      <c r="V132" s="480" t="s">
        <v>61</v>
      </c>
      <c r="W132" s="480" t="s">
        <v>61</v>
      </c>
      <c r="X132" s="3822" t="s">
        <v>46</v>
      </c>
      <c r="Y132" s="3822" t="s">
        <v>46</v>
      </c>
      <c r="Z132" s="3822" t="s">
        <v>46</v>
      </c>
      <c r="AA132" s="484" t="s">
        <v>61</v>
      </c>
      <c r="AB132" s="3806" t="s">
        <v>61</v>
      </c>
      <c r="AC132" s="480" t="s">
        <v>61</v>
      </c>
      <c r="AD132" s="3822" t="s">
        <v>46</v>
      </c>
      <c r="AE132" s="3822" t="s">
        <v>46</v>
      </c>
      <c r="AF132" s="3822" t="s">
        <v>46</v>
      </c>
      <c r="AG132" s="3822" t="s">
        <v>46</v>
      </c>
    </row>
    <row r="133" spans="1:33" ht="18" customHeight="1" thickBot="1">
      <c r="B133" s="3640" t="s">
        <v>191</v>
      </c>
      <c r="C133" s="480" t="s">
        <v>61</v>
      </c>
      <c r="D133" s="480" t="s">
        <v>46</v>
      </c>
      <c r="E133" s="480" t="s">
        <v>46</v>
      </c>
      <c r="F133" s="480" t="s">
        <v>46</v>
      </c>
      <c r="G133" s="480" t="s">
        <v>46</v>
      </c>
      <c r="H133" s="480" t="s">
        <v>46</v>
      </c>
      <c r="I133" s="480" t="s">
        <v>46</v>
      </c>
      <c r="J133" s="480" t="s">
        <v>46</v>
      </c>
      <c r="K133" s="480" t="s">
        <v>46</v>
      </c>
      <c r="L133" s="480" t="s">
        <v>61</v>
      </c>
      <c r="M133" s="480" t="s">
        <v>61</v>
      </c>
      <c r="N133" s="480" t="s">
        <v>61</v>
      </c>
      <c r="O133" s="480" t="s">
        <v>46</v>
      </c>
      <c r="P133" s="480" t="s">
        <v>46</v>
      </c>
      <c r="Q133" s="480" t="s">
        <v>46</v>
      </c>
      <c r="R133" s="491" t="s">
        <v>61</v>
      </c>
      <c r="S133" s="491" t="s">
        <v>61</v>
      </c>
      <c r="T133" s="480" t="s">
        <v>61</v>
      </c>
      <c r="U133" s="3799" t="s">
        <v>46</v>
      </c>
      <c r="V133" s="484" t="s">
        <v>46</v>
      </c>
      <c r="W133" s="484" t="s">
        <v>46</v>
      </c>
      <c r="X133" s="484" t="s">
        <v>61</v>
      </c>
      <c r="Y133" s="3806" t="s">
        <v>61</v>
      </c>
      <c r="Z133" s="480" t="s">
        <v>61</v>
      </c>
      <c r="AA133" s="480" t="s">
        <v>46</v>
      </c>
      <c r="AB133" s="480" t="s">
        <v>46</v>
      </c>
      <c r="AC133" s="3822" t="s">
        <v>46</v>
      </c>
      <c r="AD133" s="3822" t="s">
        <v>61</v>
      </c>
      <c r="AE133" s="3822" t="s">
        <v>61</v>
      </c>
      <c r="AF133" s="480" t="s">
        <v>61</v>
      </c>
      <c r="AG133" s="492" t="s">
        <v>61</v>
      </c>
    </row>
    <row r="134" spans="1:33" ht="18" customHeight="1">
      <c r="B134" s="1455" t="s">
        <v>0</v>
      </c>
      <c r="C134" s="1456" t="s">
        <v>0</v>
      </c>
      <c r="D134" s="1456" t="s">
        <v>0</v>
      </c>
      <c r="E134" s="1456" t="s">
        <v>0</v>
      </c>
      <c r="F134" s="1456" t="s">
        <v>0</v>
      </c>
      <c r="G134" s="1456" t="s">
        <v>0</v>
      </c>
      <c r="H134" s="1456" t="s">
        <v>0</v>
      </c>
      <c r="I134" s="1456" t="s">
        <v>0</v>
      </c>
      <c r="J134" s="1456" t="s">
        <v>0</v>
      </c>
      <c r="K134" s="1456" t="s">
        <v>0</v>
      </c>
      <c r="L134" s="1456" t="s">
        <v>0</v>
      </c>
      <c r="M134" s="1456" t="s">
        <v>0</v>
      </c>
      <c r="N134" s="1456" t="s">
        <v>0</v>
      </c>
      <c r="O134" s="1456" t="s">
        <v>0</v>
      </c>
      <c r="P134" s="1456" t="s">
        <v>0</v>
      </c>
      <c r="Q134" s="1456" t="s">
        <v>0</v>
      </c>
      <c r="R134" s="1456" t="s">
        <v>0</v>
      </c>
      <c r="S134" s="1456" t="s">
        <v>0</v>
      </c>
      <c r="T134" s="1456"/>
      <c r="U134" s="1456"/>
      <c r="V134" s="1456" t="s">
        <v>0</v>
      </c>
      <c r="W134" s="1456" t="s">
        <v>0</v>
      </c>
      <c r="X134" s="1456" t="s">
        <v>0</v>
      </c>
      <c r="Y134" s="1456" t="s">
        <v>0</v>
      </c>
      <c r="Z134" s="1456" t="s">
        <v>0</v>
      </c>
      <c r="AA134" s="1456" t="s">
        <v>0</v>
      </c>
      <c r="AB134" s="1456" t="s">
        <v>0</v>
      </c>
      <c r="AC134" s="1456" t="s">
        <v>0</v>
      </c>
      <c r="AD134" s="1456" t="s">
        <v>0</v>
      </c>
      <c r="AE134" s="1456" t="s">
        <v>0</v>
      </c>
      <c r="AF134" s="1456" t="s">
        <v>0</v>
      </c>
    </row>
    <row r="135" spans="1:33" ht="18" customHeight="1" thickBot="1">
      <c r="A135" s="3" t="s">
        <v>192</v>
      </c>
    </row>
    <row r="136" spans="1:33" ht="18" customHeight="1" thickBot="1">
      <c r="B136" s="134"/>
      <c r="C136" s="135"/>
      <c r="D136" s="135"/>
      <c r="E136" s="138" t="s">
        <v>179</v>
      </c>
      <c r="F136" s="135"/>
      <c r="G136" s="135"/>
      <c r="H136" s="135"/>
      <c r="I136" s="135"/>
      <c r="J136" s="135"/>
      <c r="K136" s="141" t="s">
        <v>15</v>
      </c>
      <c r="L136" s="139"/>
      <c r="M136" s="139"/>
      <c r="N136" s="139"/>
      <c r="O136" s="139"/>
      <c r="P136" s="139"/>
      <c r="Q136" s="139"/>
      <c r="R136" s="139"/>
      <c r="S136" s="139"/>
      <c r="T136" s="140"/>
    </row>
    <row r="137" spans="1:33" ht="18" customHeight="1" thickBot="1">
      <c r="B137" s="134" t="s">
        <v>180</v>
      </c>
      <c r="C137" s="135"/>
      <c r="D137" s="135"/>
      <c r="E137" s="136" t="s">
        <v>193</v>
      </c>
      <c r="F137" s="135"/>
      <c r="G137" s="135"/>
      <c r="H137" s="135"/>
      <c r="I137" s="135"/>
      <c r="J137" s="135"/>
      <c r="K137" s="135" t="s">
        <v>0</v>
      </c>
      <c r="L137" s="135"/>
      <c r="M137" s="135"/>
      <c r="N137" s="135"/>
      <c r="O137" s="135"/>
      <c r="P137" s="135"/>
      <c r="Q137" s="135"/>
      <c r="R137" s="147"/>
      <c r="S137" s="147"/>
      <c r="T137" s="147"/>
    </row>
    <row r="138" spans="1:33" ht="18" customHeight="1" thickBot="1">
      <c r="T138" s="101"/>
      <c r="U138" s="101"/>
      <c r="V138" s="101"/>
    </row>
    <row r="139" spans="1:33" ht="18" customHeight="1" thickBot="1">
      <c r="B139" s="1482" t="s">
        <v>38</v>
      </c>
      <c r="C139" s="2985">
        <v>1</v>
      </c>
      <c r="D139" s="2985">
        <v>2</v>
      </c>
      <c r="E139" s="2985">
        <v>3</v>
      </c>
      <c r="F139" s="2986">
        <v>4</v>
      </c>
      <c r="G139" s="2986">
        <v>5</v>
      </c>
      <c r="H139" s="2985">
        <v>6</v>
      </c>
      <c r="I139" s="2985">
        <v>7</v>
      </c>
      <c r="J139" s="2985">
        <v>8</v>
      </c>
      <c r="K139" s="2985">
        <v>9</v>
      </c>
      <c r="L139" s="2985">
        <v>10</v>
      </c>
      <c r="M139" s="2986">
        <v>11</v>
      </c>
      <c r="N139" s="2986">
        <v>12</v>
      </c>
      <c r="O139" s="2985">
        <v>13</v>
      </c>
      <c r="P139" s="2985">
        <v>14</v>
      </c>
      <c r="Q139" s="2985">
        <v>15</v>
      </c>
      <c r="R139" s="2985">
        <v>16</v>
      </c>
      <c r="S139" s="2985">
        <v>17</v>
      </c>
      <c r="T139" s="2986">
        <v>18</v>
      </c>
      <c r="U139" s="2986">
        <v>19</v>
      </c>
      <c r="V139" s="2985">
        <v>20</v>
      </c>
      <c r="W139" s="2985">
        <v>21</v>
      </c>
      <c r="X139" s="2985">
        <v>22</v>
      </c>
      <c r="Y139" s="2985">
        <v>23</v>
      </c>
      <c r="Z139" s="2985">
        <v>24</v>
      </c>
      <c r="AA139" s="2986">
        <v>25</v>
      </c>
      <c r="AB139" s="2986">
        <v>26</v>
      </c>
      <c r="AC139" s="2985">
        <v>27</v>
      </c>
      <c r="AD139" s="2985">
        <v>28</v>
      </c>
      <c r="AE139" s="2985">
        <v>29</v>
      </c>
      <c r="AF139" s="2985">
        <v>30</v>
      </c>
      <c r="AG139" s="2985">
        <v>31</v>
      </c>
    </row>
    <row r="140" spans="1:33" ht="18" customHeight="1">
      <c r="B140" s="1518" t="s">
        <v>194</v>
      </c>
      <c r="C140" s="1505"/>
      <c r="D140" s="3822"/>
      <c r="E140" s="3822"/>
      <c r="F140" s="3996" t="s">
        <v>139</v>
      </c>
      <c r="G140" s="3822" t="s">
        <v>139</v>
      </c>
      <c r="H140" s="3822" t="s">
        <v>139</v>
      </c>
      <c r="I140" s="3822" t="s">
        <v>139</v>
      </c>
      <c r="J140" s="1504"/>
      <c r="K140" s="1504"/>
      <c r="L140" s="1505"/>
      <c r="M140" s="3996" t="s">
        <v>139</v>
      </c>
      <c r="N140" s="3996" t="s">
        <v>139</v>
      </c>
      <c r="O140" s="3805" t="s">
        <v>139</v>
      </c>
      <c r="P140" s="3822" t="s">
        <v>139</v>
      </c>
      <c r="Q140" s="3822" t="s">
        <v>139</v>
      </c>
      <c r="R140" s="1505"/>
      <c r="S140" s="1505"/>
      <c r="T140" s="1505"/>
      <c r="U140" s="3996" t="s">
        <v>139</v>
      </c>
      <c r="V140" s="3996" t="s">
        <v>139</v>
      </c>
      <c r="W140" s="1504"/>
      <c r="X140" s="1504"/>
      <c r="Y140" s="1504"/>
      <c r="Z140" s="3822" t="s">
        <v>139</v>
      </c>
      <c r="AA140" s="3822" t="s">
        <v>139</v>
      </c>
      <c r="AB140" s="3822" t="s">
        <v>139</v>
      </c>
      <c r="AC140" s="1505"/>
      <c r="AD140" s="1505"/>
      <c r="AE140" s="1505"/>
      <c r="AF140" s="3822" t="s">
        <v>139</v>
      </c>
      <c r="AG140" s="3822" t="s">
        <v>139</v>
      </c>
    </row>
    <row r="141" spans="1:33" ht="18" customHeight="1">
      <c r="B141" s="3640" t="s">
        <v>185</v>
      </c>
      <c r="C141" s="3822" t="s">
        <v>139</v>
      </c>
      <c r="D141" s="3822" t="s">
        <v>139</v>
      </c>
      <c r="E141" s="3822" t="s">
        <v>139</v>
      </c>
      <c r="F141" s="3799"/>
      <c r="G141" s="3799"/>
      <c r="H141" s="3799"/>
      <c r="I141" s="3799"/>
      <c r="J141" s="3822" t="s">
        <v>139</v>
      </c>
      <c r="K141" s="3822" t="s">
        <v>139</v>
      </c>
      <c r="L141" s="3822" t="s">
        <v>139</v>
      </c>
      <c r="M141" s="3799"/>
      <c r="N141" s="3822"/>
      <c r="O141" s="3822"/>
      <c r="P141" s="3996" t="s">
        <v>118</v>
      </c>
      <c r="Q141" s="3822"/>
      <c r="R141" s="3822" t="s">
        <v>139</v>
      </c>
      <c r="S141" s="3822" t="s">
        <v>139</v>
      </c>
      <c r="T141" s="3822" t="s">
        <v>139</v>
      </c>
      <c r="U141" s="3799"/>
      <c r="V141" s="3799"/>
      <c r="W141" s="3822" t="s">
        <v>139</v>
      </c>
      <c r="X141" s="3822" t="s">
        <v>139</v>
      </c>
      <c r="Y141" s="3822" t="s">
        <v>139</v>
      </c>
      <c r="Z141" s="3822"/>
      <c r="AA141" s="3822"/>
      <c r="AB141" s="3822"/>
      <c r="AC141" s="3822" t="s">
        <v>139</v>
      </c>
      <c r="AD141" s="3822" t="s">
        <v>139</v>
      </c>
      <c r="AE141" s="3822" t="s">
        <v>139</v>
      </c>
      <c r="AF141" s="3822"/>
      <c r="AG141" s="3822"/>
    </row>
    <row r="142" spans="1:33" ht="18" customHeight="1">
      <c r="B142" s="115"/>
      <c r="C142" s="116"/>
      <c r="D142" s="116"/>
      <c r="E142" s="116"/>
      <c r="G142" s="116"/>
      <c r="H142" s="116"/>
      <c r="I142" s="116"/>
      <c r="J142" s="116"/>
      <c r="K142" s="116"/>
      <c r="L142" s="116"/>
      <c r="M142" s="3822"/>
      <c r="N142" s="3822"/>
      <c r="O142" s="116"/>
      <c r="P142" s="116"/>
      <c r="Q142" s="116"/>
      <c r="R142" s="116"/>
      <c r="S142" s="116"/>
      <c r="T142" s="116"/>
      <c r="U142" s="3822"/>
      <c r="V142" s="3822"/>
      <c r="W142" s="116"/>
      <c r="X142" s="116"/>
      <c r="Y142" s="116"/>
      <c r="Z142" s="116"/>
      <c r="AA142" s="116"/>
      <c r="AB142" s="116"/>
      <c r="AC142" s="116"/>
      <c r="AD142" s="116"/>
      <c r="AE142" s="116"/>
      <c r="AF142" s="116"/>
    </row>
    <row r="143" spans="1:33" ht="18" customHeight="1" thickBot="1">
      <c r="A143" s="3" t="s">
        <v>196</v>
      </c>
    </row>
    <row r="144" spans="1:33" ht="18" customHeight="1" thickBot="1">
      <c r="B144" s="134"/>
      <c r="C144" s="135"/>
      <c r="D144" s="135"/>
      <c r="E144" s="138" t="s">
        <v>179</v>
      </c>
      <c r="F144" s="135"/>
      <c r="G144" s="135"/>
      <c r="H144" s="135"/>
      <c r="I144" s="135"/>
      <c r="J144" s="135"/>
      <c r="K144" s="141" t="s">
        <v>15</v>
      </c>
      <c r="L144" s="139"/>
      <c r="M144" s="139"/>
      <c r="N144" s="139"/>
      <c r="O144" s="139"/>
      <c r="P144" s="139"/>
      <c r="Q144" s="139"/>
      <c r="R144" s="139"/>
      <c r="S144" s="139"/>
      <c r="T144" s="140"/>
    </row>
    <row r="145" spans="1:33" ht="18" customHeight="1" thickBot="1">
      <c r="B145" s="134" t="s">
        <v>180</v>
      </c>
      <c r="C145" s="136" t="s">
        <v>547</v>
      </c>
      <c r="D145" s="135"/>
      <c r="E145" s="135"/>
      <c r="F145" s="135"/>
      <c r="G145" s="135" t="s">
        <v>548</v>
      </c>
      <c r="H145" s="135"/>
      <c r="I145" s="135"/>
      <c r="J145" s="135"/>
      <c r="K145" s="135" t="s">
        <v>549</v>
      </c>
      <c r="L145" s="135"/>
      <c r="M145" s="135"/>
      <c r="N145" s="135"/>
      <c r="O145" s="135" t="s">
        <v>550</v>
      </c>
      <c r="P145" s="135"/>
      <c r="Q145" s="135"/>
      <c r="R145" s="135"/>
      <c r="S145" s="147"/>
      <c r="T145" s="147"/>
    </row>
    <row r="146" spans="1:33" ht="18" customHeight="1" thickBot="1">
      <c r="T146" s="101"/>
      <c r="U146" s="101"/>
      <c r="V146" s="101"/>
    </row>
    <row r="147" spans="1:33" ht="18" customHeight="1" thickBot="1">
      <c r="B147" s="1469" t="s">
        <v>197</v>
      </c>
      <c r="C147" s="2985">
        <v>1</v>
      </c>
      <c r="D147" s="2985">
        <v>2</v>
      </c>
      <c r="E147" s="2985">
        <v>3</v>
      </c>
      <c r="F147" s="2986">
        <v>4</v>
      </c>
      <c r="G147" s="2986">
        <v>5</v>
      </c>
      <c r="H147" s="2985">
        <v>6</v>
      </c>
      <c r="I147" s="2985">
        <v>7</v>
      </c>
      <c r="J147" s="2985">
        <v>8</v>
      </c>
      <c r="K147" s="2985">
        <v>9</v>
      </c>
      <c r="L147" s="2985">
        <v>10</v>
      </c>
      <c r="M147" s="2986">
        <v>11</v>
      </c>
      <c r="N147" s="2986">
        <v>12</v>
      </c>
      <c r="O147" s="2985">
        <v>13</v>
      </c>
      <c r="P147" s="2985">
        <v>14</v>
      </c>
      <c r="Q147" s="2985">
        <v>15</v>
      </c>
      <c r="R147" s="2985">
        <v>16</v>
      </c>
      <c r="S147" s="2985">
        <v>17</v>
      </c>
      <c r="T147" s="2986">
        <v>18</v>
      </c>
      <c r="U147" s="2986">
        <v>19</v>
      </c>
      <c r="V147" s="2985">
        <v>20</v>
      </c>
      <c r="W147" s="2985">
        <v>21</v>
      </c>
      <c r="X147" s="2985">
        <v>22</v>
      </c>
      <c r="Y147" s="2985">
        <v>23</v>
      </c>
      <c r="Z147" s="2985">
        <v>24</v>
      </c>
      <c r="AA147" s="2986">
        <v>25</v>
      </c>
      <c r="AB147" s="2986">
        <v>26</v>
      </c>
      <c r="AC147" s="2985">
        <v>27</v>
      </c>
      <c r="AD147" s="2985">
        <v>28</v>
      </c>
      <c r="AE147" s="2985">
        <v>29</v>
      </c>
      <c r="AF147" s="2985">
        <v>30</v>
      </c>
      <c r="AG147" s="2985">
        <v>31</v>
      </c>
    </row>
    <row r="148" spans="1:33" ht="18" customHeight="1">
      <c r="B148" s="3997" t="s">
        <v>198</v>
      </c>
      <c r="C148" s="3799" t="s">
        <v>113</v>
      </c>
      <c r="D148" s="3799" t="s">
        <v>113</v>
      </c>
      <c r="E148" s="3799" t="s">
        <v>373</v>
      </c>
      <c r="F148" s="3799" t="s">
        <v>373</v>
      </c>
      <c r="G148" s="3822" t="s">
        <v>113</v>
      </c>
      <c r="H148" s="3822" t="s">
        <v>46</v>
      </c>
      <c r="I148" s="3822" t="s">
        <v>46</v>
      </c>
      <c r="J148" s="3998" t="s">
        <v>418</v>
      </c>
      <c r="K148" s="3998" t="s">
        <v>418</v>
      </c>
      <c r="L148" s="3998" t="s">
        <v>551</v>
      </c>
      <c r="M148" s="3799" t="s">
        <v>46</v>
      </c>
      <c r="N148" s="3799" t="s">
        <v>46</v>
      </c>
      <c r="O148" s="3799" t="s">
        <v>418</v>
      </c>
      <c r="P148" s="3799" t="s">
        <v>418</v>
      </c>
      <c r="Q148" s="3799" t="s">
        <v>418</v>
      </c>
      <c r="R148" s="3799" t="s">
        <v>418</v>
      </c>
      <c r="S148" s="3799" t="s">
        <v>429</v>
      </c>
      <c r="T148" s="3799" t="s">
        <v>429</v>
      </c>
      <c r="U148" s="3822" t="s">
        <v>418</v>
      </c>
      <c r="V148" s="3822" t="s">
        <v>46</v>
      </c>
      <c r="W148" s="3822" t="s">
        <v>46</v>
      </c>
      <c r="X148" s="3822" t="s">
        <v>418</v>
      </c>
      <c r="Y148" s="3822" t="s">
        <v>418</v>
      </c>
      <c r="Z148" s="3799" t="s">
        <v>429</v>
      </c>
      <c r="AA148" s="3799" t="s">
        <v>46</v>
      </c>
      <c r="AB148" s="3799" t="s">
        <v>46</v>
      </c>
      <c r="AC148" s="3799" t="s">
        <v>418</v>
      </c>
      <c r="AD148" s="3799" t="s">
        <v>418</v>
      </c>
      <c r="AE148" s="3799" t="s">
        <v>418</v>
      </c>
      <c r="AF148" s="3799" t="s">
        <v>418</v>
      </c>
      <c r="AG148" s="3799" t="s">
        <v>429</v>
      </c>
    </row>
    <row r="149" spans="1:33" ht="18" customHeight="1">
      <c r="B149" s="3999" t="s">
        <v>155</v>
      </c>
      <c r="C149" s="3822" t="s">
        <v>418</v>
      </c>
      <c r="D149" s="3822" t="s">
        <v>418</v>
      </c>
      <c r="E149" s="3822" t="s">
        <v>429</v>
      </c>
      <c r="F149" s="3822" t="s">
        <v>429</v>
      </c>
      <c r="G149" s="3822" t="s">
        <v>418</v>
      </c>
      <c r="H149" s="3799" t="s">
        <v>46</v>
      </c>
      <c r="I149" s="3799" t="s">
        <v>46</v>
      </c>
      <c r="J149" s="3821" t="s">
        <v>46</v>
      </c>
      <c r="K149" s="3821" t="s">
        <v>46</v>
      </c>
      <c r="L149" s="3821" t="s">
        <v>46</v>
      </c>
      <c r="M149" s="3648" t="s">
        <v>46</v>
      </c>
      <c r="N149" s="3799" t="s">
        <v>46</v>
      </c>
      <c r="O149" s="3822" t="s">
        <v>113</v>
      </c>
      <c r="P149" s="3822" t="s">
        <v>113</v>
      </c>
      <c r="Q149" s="3800" t="s">
        <v>113</v>
      </c>
      <c r="R149" s="3822" t="s">
        <v>113</v>
      </c>
      <c r="S149" s="3822" t="s">
        <v>373</v>
      </c>
      <c r="T149" s="3799" t="s">
        <v>373</v>
      </c>
      <c r="U149" s="3799" t="s">
        <v>113</v>
      </c>
      <c r="V149" s="3799" t="s">
        <v>46</v>
      </c>
      <c r="W149" s="3799" t="s">
        <v>46</v>
      </c>
      <c r="X149" s="3799" t="s">
        <v>113</v>
      </c>
      <c r="Y149" s="3799" t="s">
        <v>113</v>
      </c>
      <c r="Z149" s="3799" t="s">
        <v>373</v>
      </c>
      <c r="AA149" s="3648" t="s">
        <v>46</v>
      </c>
      <c r="AB149" s="3799" t="s">
        <v>46</v>
      </c>
      <c r="AC149" s="3822" t="s">
        <v>46</v>
      </c>
      <c r="AD149" s="3822" t="s">
        <v>113</v>
      </c>
      <c r="AE149" s="3822" t="s">
        <v>113</v>
      </c>
      <c r="AF149" s="3822" t="s">
        <v>113</v>
      </c>
      <c r="AG149" s="3822" t="s">
        <v>373</v>
      </c>
    </row>
    <row r="150" spans="1:33" ht="18" customHeight="1">
      <c r="B150" s="157"/>
      <c r="C150" s="124"/>
      <c r="D150" s="124"/>
      <c r="E150" s="124"/>
      <c r="F150" s="124"/>
      <c r="G150" s="124"/>
      <c r="AD150" s="124"/>
      <c r="AE150" s="124"/>
      <c r="AF150" s="124"/>
      <c r="AG150" s="124"/>
    </row>
    <row r="151" spans="1:33" ht="18" customHeight="1">
      <c r="B151" s="157"/>
      <c r="C151" s="124"/>
      <c r="D151" s="124"/>
      <c r="E151" s="124"/>
      <c r="F151" s="124"/>
      <c r="G151" s="124"/>
      <c r="AD151" s="124"/>
      <c r="AE151" s="124"/>
      <c r="AF151" s="124"/>
      <c r="AG151" s="124"/>
    </row>
    <row r="152" spans="1:33" ht="18" customHeight="1" thickBot="1">
      <c r="A152" s="3" t="s">
        <v>464</v>
      </c>
      <c r="R152" t="s">
        <v>465</v>
      </c>
    </row>
    <row r="153" spans="1:33" ht="18" customHeight="1" thickBot="1">
      <c r="B153" s="134"/>
      <c r="C153" s="135"/>
      <c r="D153" s="135"/>
      <c r="E153" s="138" t="s">
        <v>179</v>
      </c>
      <c r="F153" s="135"/>
      <c r="G153" s="135"/>
      <c r="H153" s="135"/>
      <c r="I153" s="135"/>
      <c r="J153" s="135"/>
      <c r="K153" s="141" t="s">
        <v>15</v>
      </c>
      <c r="L153" s="139"/>
      <c r="M153" s="139"/>
      <c r="N153" s="139"/>
      <c r="O153" s="139"/>
      <c r="P153" s="139"/>
      <c r="Q153" s="139"/>
      <c r="R153" s="139"/>
      <c r="S153" s="139"/>
      <c r="T153" s="140"/>
    </row>
    <row r="154" spans="1:33" ht="18" customHeight="1" thickBot="1">
      <c r="B154" s="134" t="s">
        <v>180</v>
      </c>
      <c r="C154" s="135"/>
      <c r="D154" s="135"/>
      <c r="E154" s="136" t="s">
        <v>389</v>
      </c>
      <c r="F154" s="135"/>
      <c r="G154" s="135"/>
      <c r="H154" s="135"/>
      <c r="I154" s="135"/>
      <c r="J154" s="135"/>
      <c r="K154" s="135" t="s">
        <v>0</v>
      </c>
      <c r="L154" s="135"/>
      <c r="M154" s="135"/>
      <c r="N154" s="135"/>
      <c r="O154" s="135"/>
      <c r="P154" s="135"/>
      <c r="Q154" s="135"/>
      <c r="R154" s="147" t="s">
        <v>0</v>
      </c>
      <c r="S154" s="147"/>
      <c r="T154" s="147"/>
    </row>
    <row r="155" spans="1:33" ht="18" customHeight="1" thickBot="1">
      <c r="T155" s="101"/>
      <c r="U155" s="101"/>
      <c r="V155" s="101"/>
    </row>
    <row r="156" spans="1:33" ht="18" customHeight="1" thickBot="1">
      <c r="B156" s="1469" t="s">
        <v>197</v>
      </c>
      <c r="C156" s="2985">
        <v>1</v>
      </c>
      <c r="D156" s="2985">
        <v>2</v>
      </c>
      <c r="E156" s="2985">
        <v>3</v>
      </c>
      <c r="F156" s="2986">
        <v>4</v>
      </c>
      <c r="G156" s="2986">
        <v>5</v>
      </c>
      <c r="H156" s="2985">
        <v>6</v>
      </c>
      <c r="I156" s="2985">
        <v>7</v>
      </c>
      <c r="J156" s="2985">
        <v>8</v>
      </c>
      <c r="K156" s="2985">
        <v>9</v>
      </c>
      <c r="L156" s="2985">
        <v>10</v>
      </c>
      <c r="M156" s="2986">
        <v>11</v>
      </c>
      <c r="N156" s="2986">
        <v>12</v>
      </c>
      <c r="O156" s="2985">
        <v>13</v>
      </c>
      <c r="P156" s="2985">
        <v>14</v>
      </c>
      <c r="Q156" s="2985">
        <v>15</v>
      </c>
      <c r="R156" s="2985">
        <v>16</v>
      </c>
      <c r="S156" s="2985">
        <v>17</v>
      </c>
      <c r="T156" s="2986">
        <v>18</v>
      </c>
      <c r="U156" s="2986">
        <v>19</v>
      </c>
      <c r="V156" s="2985">
        <v>20</v>
      </c>
      <c r="W156" s="2985">
        <v>21</v>
      </c>
      <c r="X156" s="2985">
        <v>22</v>
      </c>
      <c r="Y156" s="2985">
        <v>23</v>
      </c>
      <c r="Z156" s="2985">
        <v>24</v>
      </c>
      <c r="AA156" s="4000">
        <v>25</v>
      </c>
      <c r="AB156" s="4000">
        <v>26</v>
      </c>
      <c r="AC156" s="4001">
        <v>27</v>
      </c>
      <c r="AD156" s="4001">
        <v>28</v>
      </c>
      <c r="AE156" s="2985">
        <v>29</v>
      </c>
      <c r="AF156" s="2985">
        <v>30</v>
      </c>
      <c r="AG156" s="2985">
        <v>31</v>
      </c>
    </row>
    <row r="157" spans="1:33" ht="18" customHeight="1">
      <c r="B157" s="3625"/>
      <c r="C157" s="3991"/>
      <c r="D157" s="3991"/>
      <c r="E157" s="3799"/>
      <c r="V157" s="3799"/>
      <c r="W157" s="3799"/>
      <c r="X157" s="3799"/>
      <c r="Y157" s="3799"/>
      <c r="Z157" s="3799"/>
      <c r="AA157" s="482"/>
      <c r="AB157" s="482"/>
      <c r="AC157" s="482"/>
      <c r="AD157" s="484"/>
      <c r="AE157" s="3799"/>
      <c r="AF157" s="3799"/>
      <c r="AG157" s="3799" t="s">
        <v>61</v>
      </c>
    </row>
    <row r="158" spans="1:33" ht="18" customHeight="1">
      <c r="B158" s="4002" t="s">
        <v>466</v>
      </c>
      <c r="C158" s="3813"/>
      <c r="D158" s="3813"/>
      <c r="E158" s="3822"/>
      <c r="F158" s="3822"/>
      <c r="G158" s="3799"/>
      <c r="H158" s="3799"/>
      <c r="I158" s="3799"/>
      <c r="J158" s="3799"/>
      <c r="K158" s="3799"/>
      <c r="L158" s="3799"/>
      <c r="M158" s="3799"/>
      <c r="N158" s="3799"/>
      <c r="O158" s="3799"/>
      <c r="P158" s="3799"/>
      <c r="Q158" s="3799"/>
      <c r="R158" s="3799"/>
      <c r="S158" s="3822"/>
      <c r="T158" s="3822"/>
      <c r="U158" s="3822"/>
      <c r="V158" s="3822"/>
      <c r="W158" s="3822"/>
      <c r="X158" s="3822"/>
      <c r="Y158" s="3799"/>
      <c r="Z158" s="3799"/>
      <c r="AA158" s="3799"/>
      <c r="AB158" s="3799"/>
      <c r="AC158" s="3799"/>
      <c r="AD158" s="3799"/>
      <c r="AE158" s="3799"/>
      <c r="AF158" s="3799"/>
      <c r="AG158" s="3799"/>
    </row>
    <row r="159" spans="1:33" ht="18" customHeight="1">
      <c r="B159" s="115"/>
      <c r="C159" s="116"/>
      <c r="D159" s="116"/>
      <c r="E159" s="116"/>
      <c r="F159" s="116"/>
      <c r="G159" s="116"/>
      <c r="H159" s="116"/>
      <c r="I159" s="116"/>
      <c r="J159" s="116"/>
      <c r="K159" s="116"/>
      <c r="L159" s="116"/>
      <c r="M159" s="116"/>
      <c r="N159" s="116"/>
      <c r="O159" s="116"/>
      <c r="P159" s="116"/>
      <c r="Q159" s="116"/>
      <c r="R159" s="116"/>
      <c r="S159" s="116"/>
      <c r="T159" s="116"/>
      <c r="U159" s="116"/>
      <c r="V159" s="116"/>
      <c r="W159" s="116"/>
      <c r="X159" s="116"/>
      <c r="Y159" s="116"/>
      <c r="Z159" s="116"/>
      <c r="AA159" s="116"/>
      <c r="AB159" s="116"/>
      <c r="AC159" s="116"/>
      <c r="AD159" s="116"/>
      <c r="AE159" s="116"/>
      <c r="AF159" s="116"/>
    </row>
    <row r="160" spans="1:33" ht="18" customHeight="1" thickBot="1">
      <c r="A160" s="117"/>
      <c r="B160" s="111"/>
      <c r="C160" s="118"/>
      <c r="D160" s="118"/>
      <c r="E160" s="118"/>
      <c r="F160" s="118"/>
      <c r="G160" s="118"/>
      <c r="H160" s="118"/>
      <c r="I160" s="118"/>
      <c r="J160" s="118"/>
      <c r="K160" s="118"/>
      <c r="L160" s="118"/>
      <c r="M160" s="118"/>
      <c r="N160" s="118"/>
      <c r="O160" s="118"/>
      <c r="P160" s="118"/>
      <c r="Q160" s="118"/>
      <c r="R160" s="118"/>
      <c r="S160" s="118"/>
      <c r="T160" s="118"/>
      <c r="U160" s="118"/>
      <c r="V160" s="118"/>
      <c r="W160" s="118"/>
      <c r="X160" s="118"/>
      <c r="Y160" s="118"/>
      <c r="Z160" s="118"/>
      <c r="AA160" s="118"/>
      <c r="AB160" s="118"/>
      <c r="AC160" s="118"/>
      <c r="AD160" s="118"/>
      <c r="AE160" s="118"/>
      <c r="AF160" s="118"/>
      <c r="AG160" s="105"/>
    </row>
    <row r="161" spans="1:33" ht="18" customHeight="1">
      <c r="A161" s="48"/>
      <c r="B161" s="2764" t="s">
        <v>201</v>
      </c>
      <c r="C161" s="2765"/>
      <c r="D161" s="2766" t="s">
        <v>19</v>
      </c>
      <c r="E161" s="2767"/>
      <c r="F161" s="2765"/>
      <c r="G161" s="2768" t="s">
        <v>20</v>
      </c>
      <c r="H161" s="2769"/>
      <c r="I161" s="2770"/>
      <c r="J161" s="2768" t="s">
        <v>21</v>
      </c>
      <c r="K161" s="2771"/>
      <c r="L161" s="2770"/>
      <c r="M161" s="2772" t="s">
        <v>22</v>
      </c>
      <c r="N161" s="2771"/>
      <c r="O161" s="2770"/>
      <c r="P161" s="2768" t="s">
        <v>23</v>
      </c>
      <c r="Q161" s="2773"/>
      <c r="R161" s="2770"/>
      <c r="S161" s="2768" t="s">
        <v>24</v>
      </c>
      <c r="T161" s="2774"/>
      <c r="U161" s="2770"/>
      <c r="V161" s="2768" t="s">
        <v>25</v>
      </c>
      <c r="W161" s="2773"/>
      <c r="X161" s="2775" t="s">
        <v>202</v>
      </c>
      <c r="Y161" s="2776"/>
      <c r="Z161" s="2776"/>
      <c r="AA161" s="2777"/>
      <c r="AB161" s="2778" t="s">
        <v>108</v>
      </c>
      <c r="AC161" s="2779"/>
      <c r="AD161" s="2779"/>
      <c r="AE161" s="2780"/>
      <c r="AF161" s="2780"/>
      <c r="AG161" s="105"/>
    </row>
    <row r="162" spans="1:33" ht="18" customHeight="1">
      <c r="A162" s="48"/>
      <c r="B162" s="4003" t="s">
        <v>203</v>
      </c>
      <c r="C162" s="4004" t="s">
        <v>204</v>
      </c>
      <c r="D162" s="3233"/>
      <c r="E162" s="3655"/>
      <c r="F162" s="4004" t="s">
        <v>204</v>
      </c>
      <c r="G162" s="3233"/>
      <c r="H162" s="3655"/>
      <c r="I162" s="4004" t="s">
        <v>204</v>
      </c>
      <c r="J162" s="3233"/>
      <c r="K162" s="3655"/>
      <c r="L162" s="4004" t="s">
        <v>204</v>
      </c>
      <c r="M162" s="3233"/>
      <c r="N162" s="3655"/>
      <c r="O162" s="4004" t="s">
        <v>205</v>
      </c>
      <c r="P162" s="3233"/>
      <c r="Q162" s="3655"/>
      <c r="R162" s="4004"/>
      <c r="S162" s="3233"/>
      <c r="T162" s="3655"/>
      <c r="U162" s="4004"/>
      <c r="V162" s="3233"/>
      <c r="W162" s="3655"/>
      <c r="X162" s="4004"/>
      <c r="Y162" s="3235"/>
      <c r="Z162" s="3235"/>
      <c r="AA162" s="3235"/>
      <c r="AB162" s="3757"/>
      <c r="AC162" s="3235"/>
      <c r="AD162" s="3235"/>
      <c r="AE162" s="3235"/>
      <c r="AF162" s="3235"/>
      <c r="AG162" s="105"/>
    </row>
    <row r="163" spans="1:33" ht="18" customHeight="1" thickBot="1">
      <c r="A163" s="48"/>
      <c r="B163" s="4"/>
      <c r="C163" s="48"/>
      <c r="D163" s="48"/>
      <c r="E163" s="48"/>
      <c r="F163" s="48"/>
      <c r="G163" s="48"/>
      <c r="H163" s="48"/>
      <c r="I163" s="48"/>
      <c r="J163" s="48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V163" s="48"/>
      <c r="W163" s="48"/>
      <c r="X163" s="48"/>
      <c r="Y163" s="48"/>
      <c r="Z163" s="48"/>
      <c r="AA163" s="48"/>
      <c r="AB163" s="48"/>
      <c r="AC163" s="48"/>
      <c r="AD163" s="48"/>
      <c r="AE163" s="48"/>
      <c r="AF163" s="48"/>
      <c r="AG163" s="105"/>
    </row>
    <row r="164" spans="1:33" ht="18" customHeight="1" thickBot="1">
      <c r="A164" s="3236" t="s">
        <v>37</v>
      </c>
      <c r="B164" s="3086" t="s">
        <v>38</v>
      </c>
      <c r="C164" s="2985">
        <v>1</v>
      </c>
      <c r="D164" s="2985">
        <v>2</v>
      </c>
      <c r="E164" s="2985">
        <v>3</v>
      </c>
      <c r="F164" s="2986">
        <v>4</v>
      </c>
      <c r="G164" s="2986">
        <v>5</v>
      </c>
      <c r="H164" s="2985">
        <v>6</v>
      </c>
      <c r="I164" s="2985">
        <v>7</v>
      </c>
      <c r="J164" s="2985">
        <v>8</v>
      </c>
      <c r="K164" s="2985">
        <v>9</v>
      </c>
      <c r="L164" s="2985">
        <v>10</v>
      </c>
      <c r="M164" s="2986">
        <v>11</v>
      </c>
      <c r="N164" s="2986">
        <v>12</v>
      </c>
      <c r="O164" s="2985">
        <v>13</v>
      </c>
      <c r="P164" s="2985">
        <v>14</v>
      </c>
      <c r="Q164" s="2985">
        <v>15</v>
      </c>
      <c r="R164" s="2985">
        <v>16</v>
      </c>
      <c r="S164" s="2985">
        <v>17</v>
      </c>
      <c r="T164" s="2986">
        <v>18</v>
      </c>
      <c r="U164" s="2986">
        <v>19</v>
      </c>
      <c r="V164" s="2985">
        <v>20</v>
      </c>
      <c r="W164" s="2985">
        <v>21</v>
      </c>
      <c r="X164" s="2985">
        <v>22</v>
      </c>
      <c r="Y164" s="2985">
        <v>23</v>
      </c>
      <c r="Z164" s="2985">
        <v>24</v>
      </c>
      <c r="AA164" s="2986">
        <v>25</v>
      </c>
      <c r="AB164" s="2986">
        <v>26</v>
      </c>
      <c r="AC164" s="2985">
        <v>27</v>
      </c>
      <c r="AD164" s="2985">
        <v>28</v>
      </c>
      <c r="AE164" s="2985">
        <v>29</v>
      </c>
      <c r="AF164" s="2985">
        <v>30</v>
      </c>
      <c r="AG164" s="2985">
        <v>31</v>
      </c>
    </row>
    <row r="165" spans="1:33" ht="18" customHeight="1">
      <c r="A165" s="2785">
        <v>8520</v>
      </c>
      <c r="B165" s="2786" t="s">
        <v>206</v>
      </c>
      <c r="C165" s="3089" t="s">
        <v>207</v>
      </c>
      <c r="D165" s="3089" t="s">
        <v>207</v>
      </c>
      <c r="E165" s="3089" t="s">
        <v>207</v>
      </c>
      <c r="F165" s="3089"/>
      <c r="G165" s="3089"/>
      <c r="H165" s="3089" t="s">
        <v>207</v>
      </c>
      <c r="I165" s="3089" t="s">
        <v>207</v>
      </c>
      <c r="J165" s="3089" t="s">
        <v>207</v>
      </c>
      <c r="K165" s="3089" t="s">
        <v>207</v>
      </c>
      <c r="L165" s="3089" t="s">
        <v>207</v>
      </c>
      <c r="M165" s="3089"/>
      <c r="N165" s="3089"/>
      <c r="O165" s="3089" t="s">
        <v>207</v>
      </c>
      <c r="P165" s="3089" t="s">
        <v>207</v>
      </c>
      <c r="Q165" s="3089" t="s">
        <v>207</v>
      </c>
      <c r="R165" s="3089" t="s">
        <v>207</v>
      </c>
      <c r="S165" s="3089" t="s">
        <v>207</v>
      </c>
      <c r="T165" s="3089"/>
      <c r="U165" s="3089"/>
      <c r="V165" s="3089" t="s">
        <v>207</v>
      </c>
      <c r="W165" s="3089" t="s">
        <v>207</v>
      </c>
      <c r="X165" s="3089" t="s">
        <v>207</v>
      </c>
      <c r="Y165" s="3089" t="s">
        <v>207</v>
      </c>
      <c r="Z165" s="3089" t="s">
        <v>207</v>
      </c>
      <c r="AA165" s="3089"/>
      <c r="AB165" s="3089"/>
      <c r="AC165" s="3497" t="s">
        <v>207</v>
      </c>
      <c r="AD165" s="3497" t="s">
        <v>207</v>
      </c>
      <c r="AE165" s="3497" t="s">
        <v>207</v>
      </c>
      <c r="AF165" s="3497" t="s">
        <v>207</v>
      </c>
      <c r="AG165" s="3497" t="s">
        <v>207</v>
      </c>
    </row>
    <row r="166" spans="1:33" ht="18" customHeight="1">
      <c r="A166" s="122"/>
      <c r="B166" s="121"/>
      <c r="C166" s="116"/>
      <c r="D166" s="116"/>
      <c r="E166" s="116"/>
      <c r="F166" s="116"/>
      <c r="G166" s="116"/>
      <c r="H166" s="116"/>
      <c r="I166" s="116"/>
      <c r="J166" s="116"/>
      <c r="K166" s="116"/>
      <c r="L166" s="116"/>
      <c r="M166" s="116"/>
      <c r="N166" s="116"/>
      <c r="O166" s="116"/>
      <c r="P166" s="116"/>
      <c r="Q166" s="116"/>
      <c r="R166" s="116"/>
      <c r="S166" s="116"/>
      <c r="T166" s="116"/>
      <c r="U166" s="116"/>
      <c r="V166" s="116"/>
      <c r="W166" s="116"/>
      <c r="X166" s="116"/>
      <c r="Y166" s="116"/>
      <c r="Z166" s="116"/>
      <c r="AA166" s="116"/>
      <c r="AB166" s="116"/>
      <c r="AC166" s="116"/>
      <c r="AD166" s="116"/>
      <c r="AE166" s="116"/>
      <c r="AF166" s="116"/>
      <c r="AG166" s="105"/>
    </row>
    <row r="167" spans="1:33" ht="18" customHeight="1">
      <c r="AG167" s="65"/>
    </row>
    <row r="168" spans="1:33" ht="18" customHeight="1" thickBot="1">
      <c r="A168" s="100" t="s">
        <v>208</v>
      </c>
      <c r="B168" s="101"/>
      <c r="C168" s="101"/>
      <c r="D168" s="102"/>
      <c r="E168" s="102"/>
      <c r="F168" s="102"/>
      <c r="G168" s="63"/>
      <c r="H168" s="102"/>
      <c r="I168" s="102"/>
      <c r="J168" s="102"/>
      <c r="K168" s="102"/>
      <c r="L168" s="102"/>
      <c r="M168" s="102"/>
      <c r="N168" s="102"/>
      <c r="O168" s="102"/>
      <c r="P168" s="102"/>
      <c r="Q168" s="102"/>
      <c r="R168" s="102"/>
      <c r="S168" s="102"/>
      <c r="T168" s="102"/>
      <c r="U168" s="102"/>
      <c r="V168" s="102"/>
      <c r="W168" s="102"/>
      <c r="X168" s="102"/>
      <c r="Y168" s="102"/>
      <c r="Z168" s="102"/>
      <c r="AA168" s="102"/>
      <c r="AB168" s="102"/>
      <c r="AC168" s="102"/>
      <c r="AD168" s="102"/>
      <c r="AE168" s="102"/>
      <c r="AF168" s="102"/>
      <c r="AG168" s="101"/>
    </row>
    <row r="169" spans="1:33" ht="18" customHeight="1">
      <c r="A169" s="100"/>
      <c r="B169" s="2764" t="s">
        <v>209</v>
      </c>
      <c r="C169" s="2787"/>
      <c r="D169" s="2788" t="s">
        <v>19</v>
      </c>
      <c r="E169" s="2789"/>
      <c r="F169" s="2790"/>
      <c r="G169" s="2787"/>
      <c r="H169" s="2788" t="s">
        <v>20</v>
      </c>
      <c r="I169" s="2789"/>
      <c r="J169" s="2790"/>
      <c r="K169" s="2787"/>
      <c r="L169" s="2788" t="s">
        <v>21</v>
      </c>
      <c r="M169" s="2789"/>
      <c r="N169" s="2790"/>
      <c r="O169" s="2787"/>
      <c r="P169" s="2788" t="s">
        <v>22</v>
      </c>
      <c r="Q169" s="2789"/>
      <c r="R169" s="2790"/>
      <c r="S169" s="2787"/>
      <c r="T169" s="2788" t="s">
        <v>23</v>
      </c>
      <c r="U169" s="2789"/>
      <c r="V169" s="2790"/>
      <c r="W169" s="2787"/>
      <c r="X169" s="2788" t="s">
        <v>24</v>
      </c>
      <c r="Y169" s="2789"/>
      <c r="Z169" s="2790"/>
      <c r="AA169" s="2787"/>
      <c r="AB169" s="2788" t="s">
        <v>25</v>
      </c>
      <c r="AC169" s="2789"/>
      <c r="AD169" s="2789"/>
      <c r="AE169" s="2791" t="s">
        <v>108</v>
      </c>
      <c r="AF169" s="2789"/>
      <c r="AG169" s="2792"/>
    </row>
    <row r="170" spans="1:33" ht="18" customHeight="1">
      <c r="A170" s="100"/>
      <c r="B170" s="4005"/>
      <c r="C170" s="4006">
        <v>69</v>
      </c>
      <c r="D170" s="3239" t="s">
        <v>211</v>
      </c>
      <c r="E170" s="3239"/>
      <c r="F170" s="4007"/>
      <c r="G170" s="4006">
        <v>69</v>
      </c>
      <c r="H170" s="3239" t="s">
        <v>211</v>
      </c>
      <c r="I170" s="3239"/>
      <c r="J170" s="4007"/>
      <c r="K170" s="4006">
        <v>69</v>
      </c>
      <c r="L170" s="3239" t="s">
        <v>211</v>
      </c>
      <c r="M170" s="3239"/>
      <c r="N170" s="4007"/>
      <c r="O170" s="4006">
        <v>69</v>
      </c>
      <c r="P170" s="3239" t="s">
        <v>211</v>
      </c>
      <c r="Q170" s="3239"/>
      <c r="R170" s="4007"/>
      <c r="S170" s="4006">
        <v>69</v>
      </c>
      <c r="T170" s="3239" t="s">
        <v>211</v>
      </c>
      <c r="U170" s="3239"/>
      <c r="V170" s="4007"/>
      <c r="W170" s="4006"/>
      <c r="X170" s="3241"/>
      <c r="Y170" s="3241"/>
      <c r="Z170" s="4008"/>
      <c r="AA170" s="4006"/>
      <c r="AB170" s="3239"/>
      <c r="AC170" s="3239"/>
      <c r="AD170" s="3194"/>
      <c r="AE170" s="4009">
        <v>35</v>
      </c>
      <c r="AF170" s="3239"/>
      <c r="AG170" s="4010"/>
    </row>
    <row r="171" spans="1:33" ht="18" customHeight="1">
      <c r="A171" s="100"/>
      <c r="B171" s="4005" t="s">
        <v>212</v>
      </c>
      <c r="C171" s="4006">
        <v>79</v>
      </c>
      <c r="D171" s="3239" t="s">
        <v>213</v>
      </c>
      <c r="E171" s="3239"/>
      <c r="F171" s="4007"/>
      <c r="G171" s="4006">
        <v>79</v>
      </c>
      <c r="H171" s="3239" t="s">
        <v>213</v>
      </c>
      <c r="I171" s="3239"/>
      <c r="J171" s="4007"/>
      <c r="K171" s="4006">
        <v>79</v>
      </c>
      <c r="L171" s="3239" t="s">
        <v>213</v>
      </c>
      <c r="M171" s="3239"/>
      <c r="N171" s="4007"/>
      <c r="O171" s="4006">
        <v>79</v>
      </c>
      <c r="P171" s="3239" t="s">
        <v>213</v>
      </c>
      <c r="Q171" s="3239"/>
      <c r="R171" s="4007"/>
      <c r="S171" s="4006">
        <v>79</v>
      </c>
      <c r="T171" s="3239" t="s">
        <v>213</v>
      </c>
      <c r="U171" s="3239"/>
      <c r="V171" s="4007"/>
      <c r="W171" s="4006"/>
      <c r="X171" s="3239"/>
      <c r="Y171" s="3239"/>
      <c r="Z171" s="4007"/>
      <c r="AA171" s="3239"/>
      <c r="AB171" s="3239"/>
      <c r="AC171" s="3239"/>
      <c r="AD171" s="3194"/>
      <c r="AE171" s="4009">
        <v>40</v>
      </c>
      <c r="AF171" s="3239"/>
      <c r="AG171" s="4010"/>
    </row>
    <row r="172" spans="1:33" ht="18" customHeight="1">
      <c r="A172" s="100"/>
      <c r="B172" s="4005" t="s">
        <v>214</v>
      </c>
      <c r="C172" s="4006">
        <v>89</v>
      </c>
      <c r="D172" s="3239" t="s">
        <v>215</v>
      </c>
      <c r="E172" s="3239"/>
      <c r="F172" s="4007"/>
      <c r="G172" s="4006">
        <v>89</v>
      </c>
      <c r="H172" s="3239" t="s">
        <v>215</v>
      </c>
      <c r="I172" s="3239"/>
      <c r="J172" s="4007"/>
      <c r="K172" s="4006">
        <v>89</v>
      </c>
      <c r="L172" s="3239" t="s">
        <v>215</v>
      </c>
      <c r="M172" s="3239"/>
      <c r="N172" s="4007"/>
      <c r="O172" s="4006">
        <v>89</v>
      </c>
      <c r="P172" s="3239" t="s">
        <v>215</v>
      </c>
      <c r="Q172" s="3239"/>
      <c r="R172" s="4007"/>
      <c r="S172" s="4006">
        <v>89</v>
      </c>
      <c r="T172" s="3239" t="s">
        <v>216</v>
      </c>
      <c r="U172" s="3239"/>
      <c r="V172" s="4007"/>
      <c r="W172" s="3245"/>
      <c r="X172" s="3246" t="s">
        <v>217</v>
      </c>
      <c r="Y172" s="3246"/>
      <c r="Z172" s="3196"/>
      <c r="AA172" s="3245"/>
      <c r="AB172" s="3246"/>
      <c r="AC172" s="3246"/>
      <c r="AD172" s="3198"/>
      <c r="AE172" s="4009">
        <v>44</v>
      </c>
      <c r="AF172" s="3239"/>
      <c r="AG172" s="4010"/>
    </row>
    <row r="173" spans="1:33" ht="18" customHeight="1">
      <c r="A173" s="100"/>
      <c r="B173" s="19" t="s">
        <v>218</v>
      </c>
      <c r="C173" s="3245">
        <v>99</v>
      </c>
      <c r="D173" s="3246" t="s">
        <v>219</v>
      </c>
      <c r="E173" s="3246"/>
      <c r="F173" s="3196"/>
      <c r="G173" s="3245">
        <v>99</v>
      </c>
      <c r="H173" s="3246" t="s">
        <v>219</v>
      </c>
      <c r="I173" s="3246"/>
      <c r="J173" s="3196"/>
      <c r="K173" s="3245">
        <v>99</v>
      </c>
      <c r="L173" s="3246" t="s">
        <v>219</v>
      </c>
      <c r="M173" s="3246"/>
      <c r="N173" s="3196"/>
      <c r="O173" s="3245">
        <v>99</v>
      </c>
      <c r="P173" s="3246" t="s">
        <v>219</v>
      </c>
      <c r="Q173" s="3246"/>
      <c r="R173" s="3196"/>
      <c r="S173" s="3245">
        <v>99</v>
      </c>
      <c r="T173" s="3246" t="s">
        <v>220</v>
      </c>
      <c r="U173" s="3246"/>
      <c r="V173" s="3198"/>
      <c r="W173" s="3197"/>
      <c r="X173" s="3198"/>
      <c r="Y173" s="3246"/>
      <c r="Z173" s="3196"/>
      <c r="AA173" s="3197"/>
      <c r="AB173" s="3198"/>
      <c r="AC173" s="3246"/>
      <c r="AD173" s="3196"/>
      <c r="AE173" s="3247">
        <v>28</v>
      </c>
      <c r="AF173" s="3246"/>
      <c r="AG173" s="3248"/>
    </row>
    <row r="174" spans="1:33" ht="18" customHeight="1" thickBot="1">
      <c r="A174" s="100"/>
      <c r="B174" s="4011" t="s">
        <v>221</v>
      </c>
      <c r="C174" s="4012" t="s">
        <v>159</v>
      </c>
      <c r="D174" s="4013" t="s">
        <v>222</v>
      </c>
      <c r="E174" s="4014"/>
      <c r="F174" s="3846"/>
      <c r="G174" s="4012" t="s">
        <v>159</v>
      </c>
      <c r="H174" s="4013" t="s">
        <v>222</v>
      </c>
      <c r="I174" s="3844"/>
      <c r="J174" s="4014"/>
      <c r="K174" s="4012" t="s">
        <v>159</v>
      </c>
      <c r="L174" s="4013" t="s">
        <v>222</v>
      </c>
      <c r="M174" s="4014"/>
      <c r="N174" s="4015"/>
      <c r="O174" s="4012" t="s">
        <v>159</v>
      </c>
      <c r="P174" s="4013" t="s">
        <v>222</v>
      </c>
      <c r="Q174" s="4014"/>
      <c r="R174" s="4013"/>
      <c r="S174" s="4012" t="s">
        <v>159</v>
      </c>
      <c r="T174" s="3848" t="s">
        <v>223</v>
      </c>
      <c r="U174" s="4013"/>
      <c r="V174" s="4015"/>
      <c r="W174" s="4014"/>
      <c r="X174" s="4013"/>
      <c r="Y174" s="4013"/>
      <c r="Z174" s="4013"/>
      <c r="AA174" s="4016"/>
      <c r="AB174" s="4017"/>
      <c r="AC174" s="4013"/>
      <c r="AD174" s="4018"/>
      <c r="AE174" s="4013"/>
      <c r="AF174" s="4013"/>
      <c r="AG174" s="4019"/>
    </row>
    <row r="175" spans="1:33" ht="18" customHeight="1" thickBot="1">
      <c r="A175" s="66"/>
      <c r="B175" s="100"/>
      <c r="C175" s="102"/>
      <c r="D175" s="102"/>
      <c r="E175" s="102"/>
      <c r="F175" s="102"/>
      <c r="G175" s="102"/>
      <c r="H175" s="102"/>
      <c r="I175" s="102"/>
      <c r="J175" s="102"/>
      <c r="K175" s="102"/>
      <c r="L175" s="102"/>
      <c r="M175" s="102"/>
      <c r="N175" s="102"/>
      <c r="O175" s="102"/>
      <c r="P175" s="102"/>
      <c r="Q175" s="102"/>
      <c r="R175" s="102"/>
      <c r="S175" s="102"/>
      <c r="T175" s="102"/>
      <c r="U175" s="102"/>
      <c r="V175" s="102"/>
      <c r="W175" s="102"/>
      <c r="X175" s="102"/>
      <c r="Y175" s="102"/>
      <c r="Z175" s="102"/>
      <c r="AA175" s="102"/>
      <c r="AB175" s="102"/>
      <c r="AC175" s="102"/>
      <c r="AD175" s="102"/>
      <c r="AE175" s="102"/>
      <c r="AF175" s="102"/>
      <c r="AG175" s="101"/>
    </row>
    <row r="176" spans="1:33" ht="18" customHeight="1" thickBot="1">
      <c r="A176" s="3236"/>
      <c r="B176" s="3086" t="s">
        <v>38</v>
      </c>
      <c r="C176" s="2985">
        <v>1</v>
      </c>
      <c r="D176" s="2985">
        <v>2</v>
      </c>
      <c r="E176" s="2985">
        <v>3</v>
      </c>
      <c r="F176" s="2986">
        <v>4</v>
      </c>
      <c r="G176" s="2986">
        <v>5</v>
      </c>
      <c r="H176" s="2985">
        <v>6</v>
      </c>
      <c r="I176" s="2985">
        <v>7</v>
      </c>
      <c r="J176" s="2985">
        <v>8</v>
      </c>
      <c r="K176" s="2985">
        <v>9</v>
      </c>
      <c r="L176" s="2985">
        <v>10</v>
      </c>
      <c r="M176" s="2986">
        <v>11</v>
      </c>
      <c r="N176" s="2986">
        <v>12</v>
      </c>
      <c r="O176" s="2985">
        <v>13</v>
      </c>
      <c r="P176" s="2985">
        <v>14</v>
      </c>
      <c r="Q176" s="2985">
        <v>15</v>
      </c>
      <c r="R176" s="2985">
        <v>16</v>
      </c>
      <c r="S176" s="2985">
        <v>17</v>
      </c>
      <c r="T176" s="2986">
        <v>18</v>
      </c>
      <c r="U176" s="2986">
        <v>19</v>
      </c>
      <c r="V176" s="2985">
        <v>20</v>
      </c>
      <c r="W176" s="2985">
        <v>21</v>
      </c>
      <c r="X176" s="2985">
        <v>22</v>
      </c>
      <c r="Y176" s="2985">
        <v>23</v>
      </c>
      <c r="Z176" s="2985">
        <v>24</v>
      </c>
      <c r="AA176" s="2986">
        <v>25</v>
      </c>
      <c r="AB176" s="2986">
        <v>26</v>
      </c>
      <c r="AC176" s="2985">
        <v>27</v>
      </c>
      <c r="AD176" s="2985">
        <v>28</v>
      </c>
      <c r="AE176" s="2985">
        <v>29</v>
      </c>
      <c r="AF176" s="2985">
        <v>30</v>
      </c>
      <c r="AG176" s="2985">
        <v>31</v>
      </c>
    </row>
    <row r="177" spans="1:38" ht="18" customHeight="1">
      <c r="A177" s="2814">
        <v>1</v>
      </c>
      <c r="B177" s="2815" t="s">
        <v>224</v>
      </c>
      <c r="C177" s="3261">
        <v>89</v>
      </c>
      <c r="D177" s="2816">
        <v>89</v>
      </c>
      <c r="E177" s="3292">
        <v>89</v>
      </c>
      <c r="F177" s="3089">
        <v>89</v>
      </c>
      <c r="G177" s="3090"/>
      <c r="H177" s="3088">
        <v>99</v>
      </c>
      <c r="I177" s="3292">
        <v>99</v>
      </c>
      <c r="J177" s="3292">
        <v>99</v>
      </c>
      <c r="K177" s="3088">
        <v>99</v>
      </c>
      <c r="L177" s="3090" t="s">
        <v>46</v>
      </c>
      <c r="M177" s="3089"/>
      <c r="N177" s="3090"/>
      <c r="O177" s="3088" t="s">
        <v>159</v>
      </c>
      <c r="P177" s="3088" t="s">
        <v>159</v>
      </c>
      <c r="Q177" s="3088" t="s">
        <v>159</v>
      </c>
      <c r="R177" s="3088" t="s">
        <v>159</v>
      </c>
      <c r="S177" s="3089" t="s">
        <v>159</v>
      </c>
      <c r="T177" s="3089"/>
      <c r="U177" s="3088"/>
      <c r="V177" s="3088">
        <v>69</v>
      </c>
      <c r="W177" s="3088">
        <v>69</v>
      </c>
      <c r="X177" s="3088">
        <v>69</v>
      </c>
      <c r="Y177" s="3088">
        <v>69</v>
      </c>
      <c r="Z177" s="3088">
        <v>69</v>
      </c>
      <c r="AA177" s="3090"/>
      <c r="AB177" s="3088"/>
      <c r="AC177" s="3088">
        <v>79</v>
      </c>
      <c r="AD177" s="3088">
        <v>79</v>
      </c>
      <c r="AE177" s="3088">
        <v>79</v>
      </c>
      <c r="AF177" s="3090">
        <v>79</v>
      </c>
      <c r="AG177" s="3090">
        <v>79</v>
      </c>
    </row>
    <row r="178" spans="1:38" ht="18" customHeight="1">
      <c r="A178" s="4020">
        <v>2</v>
      </c>
      <c r="B178" s="4021" t="s">
        <v>225</v>
      </c>
      <c r="C178" s="3774">
        <v>99</v>
      </c>
      <c r="D178" s="3766">
        <v>99</v>
      </c>
      <c r="E178" s="3771" t="s">
        <v>46</v>
      </c>
      <c r="F178" s="3771"/>
      <c r="G178" s="3771"/>
      <c r="H178" s="3873" t="s">
        <v>159</v>
      </c>
      <c r="I178" s="3787" t="s">
        <v>159</v>
      </c>
      <c r="J178" s="3873" t="s">
        <v>159</v>
      </c>
      <c r="K178" s="3873" t="s">
        <v>159</v>
      </c>
      <c r="L178" s="3779" t="s">
        <v>159</v>
      </c>
      <c r="M178" s="3779"/>
      <c r="N178" s="3873"/>
      <c r="O178" s="3775">
        <v>69</v>
      </c>
      <c r="P178" s="3775">
        <v>69</v>
      </c>
      <c r="Q178" s="3775">
        <v>69</v>
      </c>
      <c r="R178" s="3775">
        <v>69</v>
      </c>
      <c r="S178" s="3775">
        <v>69</v>
      </c>
      <c r="T178" s="3775"/>
      <c r="U178" s="3775"/>
      <c r="V178" s="3873">
        <v>79</v>
      </c>
      <c r="W178" s="3873">
        <v>79</v>
      </c>
      <c r="X178" s="3873">
        <v>79</v>
      </c>
      <c r="Y178" s="3873">
        <v>79</v>
      </c>
      <c r="Z178" s="3873">
        <v>79</v>
      </c>
      <c r="AA178" s="3779"/>
      <c r="AB178" s="3787"/>
      <c r="AC178" s="3788">
        <v>89</v>
      </c>
      <c r="AD178" s="3788">
        <v>89</v>
      </c>
      <c r="AE178" s="3788">
        <v>89</v>
      </c>
      <c r="AF178" s="3788">
        <v>89</v>
      </c>
      <c r="AG178" s="3788">
        <v>89</v>
      </c>
      <c r="AH178" t="s">
        <v>133</v>
      </c>
      <c r="AL178" t="s">
        <v>552</v>
      </c>
    </row>
    <row r="179" spans="1:38" ht="18" customHeight="1">
      <c r="A179" s="4020">
        <v>3</v>
      </c>
      <c r="B179" s="4022" t="s">
        <v>124</v>
      </c>
      <c r="C179" s="4023" t="s">
        <v>159</v>
      </c>
      <c r="D179" s="3774" t="s">
        <v>159</v>
      </c>
      <c r="E179" s="3774" t="s">
        <v>159</v>
      </c>
      <c r="F179" s="4023"/>
      <c r="G179" s="4024"/>
      <c r="H179" s="3786">
        <v>69</v>
      </c>
      <c r="I179" s="3774">
        <v>69</v>
      </c>
      <c r="J179" s="3774">
        <v>69</v>
      </c>
      <c r="K179" s="4023">
        <v>69</v>
      </c>
      <c r="L179" s="4023">
        <v>69</v>
      </c>
      <c r="M179" s="4023"/>
      <c r="N179" s="3873"/>
      <c r="O179" s="3775">
        <v>79</v>
      </c>
      <c r="P179" s="3775">
        <v>79</v>
      </c>
      <c r="Q179" s="3775">
        <v>79</v>
      </c>
      <c r="R179" s="3775">
        <v>79</v>
      </c>
      <c r="S179" s="3775">
        <v>79</v>
      </c>
      <c r="T179" s="3775"/>
      <c r="U179" s="3775"/>
      <c r="V179" s="3775">
        <v>89</v>
      </c>
      <c r="W179" s="3775">
        <v>89</v>
      </c>
      <c r="X179" s="3775">
        <v>89</v>
      </c>
      <c r="Y179" s="3775">
        <v>89</v>
      </c>
      <c r="Z179" s="3775">
        <v>89</v>
      </c>
      <c r="AA179" s="3775">
        <v>89</v>
      </c>
      <c r="AB179" s="3775"/>
      <c r="AC179" s="4023">
        <v>99</v>
      </c>
      <c r="AD179" s="4023">
        <v>99</v>
      </c>
      <c r="AE179" s="4023">
        <v>99</v>
      </c>
      <c r="AF179" s="4023">
        <v>99</v>
      </c>
      <c r="AG179" s="4023" t="s">
        <v>46</v>
      </c>
      <c r="AH179" t="s">
        <v>133</v>
      </c>
    </row>
    <row r="180" spans="1:38" ht="18" customHeight="1" thickBot="1">
      <c r="A180" s="4020">
        <v>4</v>
      </c>
      <c r="B180" s="4021" t="s">
        <v>226</v>
      </c>
      <c r="C180" s="3779">
        <v>69</v>
      </c>
      <c r="D180" s="3774">
        <v>69</v>
      </c>
      <c r="E180" s="3779">
        <v>69</v>
      </c>
      <c r="F180" s="3779"/>
      <c r="G180" s="3779"/>
      <c r="H180" s="3779">
        <v>79</v>
      </c>
      <c r="I180" s="3774">
        <v>79</v>
      </c>
      <c r="J180" s="3779">
        <v>79</v>
      </c>
      <c r="K180" s="3774">
        <v>79</v>
      </c>
      <c r="L180" s="3774">
        <v>79</v>
      </c>
      <c r="M180" s="3779"/>
      <c r="N180" s="3873"/>
      <c r="O180" s="3779">
        <v>89</v>
      </c>
      <c r="P180" s="3779">
        <v>89</v>
      </c>
      <c r="Q180" s="3911">
        <v>89</v>
      </c>
      <c r="R180" s="3911">
        <v>89</v>
      </c>
      <c r="S180" s="3779">
        <v>89</v>
      </c>
      <c r="T180" s="3779">
        <v>89</v>
      </c>
      <c r="U180" s="3779"/>
      <c r="V180" s="3779">
        <v>99</v>
      </c>
      <c r="W180" s="3779">
        <v>99</v>
      </c>
      <c r="X180" s="3779">
        <v>99</v>
      </c>
      <c r="Y180" s="3911">
        <v>99</v>
      </c>
      <c r="Z180" s="3911" t="s">
        <v>46</v>
      </c>
      <c r="AA180" s="3779"/>
      <c r="AB180" s="3779"/>
      <c r="AC180" s="3779" t="s">
        <v>159</v>
      </c>
      <c r="AD180" s="3779" t="s">
        <v>159</v>
      </c>
      <c r="AE180" s="3779" t="s">
        <v>159</v>
      </c>
      <c r="AF180" s="3779" t="s">
        <v>64</v>
      </c>
      <c r="AG180" s="3779" t="s">
        <v>64</v>
      </c>
    </row>
    <row r="181" spans="1:38" ht="18" customHeight="1" thickBot="1">
      <c r="A181" s="4025">
        <v>5</v>
      </c>
      <c r="B181" s="3870" t="s">
        <v>227</v>
      </c>
      <c r="C181" s="4026">
        <v>79</v>
      </c>
      <c r="D181" s="4027">
        <v>79</v>
      </c>
      <c r="E181" s="3875">
        <v>79</v>
      </c>
      <c r="F181" s="3863"/>
      <c r="G181" s="3863"/>
      <c r="H181" s="3860">
        <v>89</v>
      </c>
      <c r="I181" s="3860">
        <v>89</v>
      </c>
      <c r="J181" s="3860">
        <v>89</v>
      </c>
      <c r="K181" s="4026">
        <v>89</v>
      </c>
      <c r="L181" s="4026">
        <v>89</v>
      </c>
      <c r="M181" s="3875">
        <v>89</v>
      </c>
      <c r="N181" s="3860"/>
      <c r="O181" s="4028">
        <v>99</v>
      </c>
      <c r="P181" s="3975">
        <v>99</v>
      </c>
      <c r="Q181" s="3975">
        <v>99</v>
      </c>
      <c r="R181" s="3975">
        <v>99</v>
      </c>
      <c r="S181" s="3875" t="s">
        <v>46</v>
      </c>
      <c r="T181" s="4029"/>
      <c r="U181" s="3975"/>
      <c r="V181" s="4030" t="s">
        <v>159</v>
      </c>
      <c r="W181" s="3089" t="s">
        <v>159</v>
      </c>
      <c r="X181" s="4030" t="s">
        <v>159</v>
      </c>
      <c r="Y181" s="4030" t="s">
        <v>159</v>
      </c>
      <c r="Z181" s="4030" t="s">
        <v>159</v>
      </c>
      <c r="AA181" s="4030"/>
      <c r="AB181" s="4030"/>
      <c r="AC181" s="3875">
        <v>69</v>
      </c>
      <c r="AD181" s="3875">
        <v>69</v>
      </c>
      <c r="AE181" s="3875">
        <v>69</v>
      </c>
      <c r="AF181" s="3875">
        <v>69</v>
      </c>
      <c r="AG181" s="3875">
        <v>69</v>
      </c>
      <c r="AH181" t="s">
        <v>133</v>
      </c>
    </row>
    <row r="182" spans="1:38" ht="18" customHeight="1">
      <c r="A182" s="117"/>
      <c r="B182" s="125"/>
      <c r="C182" s="126"/>
      <c r="D182" s="126"/>
      <c r="E182" s="126"/>
      <c r="F182" s="116"/>
      <c r="G182" s="124"/>
      <c r="H182" s="124"/>
      <c r="I182" s="124"/>
      <c r="J182" s="124"/>
      <c r="K182" s="124"/>
      <c r="L182" s="116"/>
      <c r="M182" s="116"/>
      <c r="N182" s="126"/>
      <c r="O182" s="126"/>
      <c r="P182" s="126"/>
      <c r="Q182" s="126"/>
      <c r="R182" s="126"/>
      <c r="S182" s="116"/>
      <c r="T182" s="127"/>
      <c r="U182" s="126"/>
      <c r="V182" s="126"/>
      <c r="W182" s="126"/>
      <c r="X182" s="126"/>
      <c r="Y182" s="126"/>
      <c r="Z182" s="128"/>
      <c r="AA182" s="128"/>
      <c r="AB182" s="126"/>
      <c r="AC182" s="126"/>
      <c r="AD182" s="126"/>
      <c r="AE182" s="126"/>
      <c r="AF182" s="126"/>
      <c r="AG182" s="204"/>
    </row>
    <row r="183" spans="1:38" ht="18" customHeight="1">
      <c r="A183" s="67"/>
      <c r="B183" s="68"/>
      <c r="C183" s="64"/>
      <c r="D183" s="64"/>
      <c r="E183" s="64"/>
      <c r="F183" s="64"/>
      <c r="G183" s="64"/>
      <c r="H183" s="64"/>
      <c r="I183" s="64"/>
      <c r="J183" s="64"/>
      <c r="K183" s="64"/>
      <c r="L183" s="64"/>
      <c r="M183" s="64"/>
      <c r="N183" s="64"/>
      <c r="O183" s="64"/>
      <c r="P183" s="64"/>
      <c r="Q183" s="64"/>
      <c r="R183" s="64"/>
      <c r="S183" s="64"/>
      <c r="T183" s="64"/>
      <c r="U183" s="64"/>
      <c r="V183" s="64"/>
      <c r="W183" s="64"/>
      <c r="X183" s="64"/>
      <c r="Y183" s="64"/>
      <c r="Z183" s="64"/>
      <c r="AA183" s="64"/>
      <c r="AB183" s="64"/>
      <c r="AC183" s="64"/>
      <c r="AD183" s="64"/>
      <c r="AE183" s="64"/>
      <c r="AF183" s="64"/>
      <c r="AG183" s="65"/>
    </row>
    <row r="184" spans="1:38" ht="18" customHeight="1" thickBot="1">
      <c r="A184" s="100" t="s">
        <v>228</v>
      </c>
      <c r="B184" s="101"/>
      <c r="C184" s="101"/>
      <c r="D184" s="102"/>
      <c r="E184" s="102"/>
      <c r="F184" s="102"/>
      <c r="G184" s="63"/>
      <c r="H184" s="102"/>
      <c r="I184" s="102"/>
      <c r="J184" s="102"/>
      <c r="K184" s="102"/>
      <c r="L184" s="102"/>
      <c r="M184" s="102"/>
      <c r="N184" s="102"/>
      <c r="O184" s="102"/>
      <c r="P184" s="102"/>
      <c r="Q184" s="102"/>
      <c r="R184" s="102"/>
      <c r="S184" s="102"/>
      <c r="T184" s="102"/>
      <c r="U184" s="102"/>
      <c r="V184" s="102"/>
      <c r="W184" s="102"/>
      <c r="X184" s="102"/>
      <c r="Y184" s="102"/>
      <c r="Z184" s="102"/>
      <c r="AA184" s="102"/>
      <c r="AB184" s="102"/>
      <c r="AC184" s="102"/>
      <c r="AD184" s="102"/>
      <c r="AE184" s="102"/>
      <c r="AF184" s="102"/>
      <c r="AG184" s="101"/>
    </row>
    <row r="185" spans="1:38" ht="18" customHeight="1">
      <c r="A185" s="100"/>
      <c r="B185" s="2764" t="s">
        <v>209</v>
      </c>
      <c r="C185" s="2787"/>
      <c r="D185" s="2788" t="s">
        <v>19</v>
      </c>
      <c r="E185" s="2789"/>
      <c r="F185" s="2790"/>
      <c r="G185" s="2787"/>
      <c r="H185" s="2788" t="s">
        <v>20</v>
      </c>
      <c r="I185" s="2789"/>
      <c r="J185" s="2790"/>
      <c r="K185" s="2787"/>
      <c r="L185" s="2788" t="s">
        <v>21</v>
      </c>
      <c r="M185" s="2789"/>
      <c r="N185" s="2790"/>
      <c r="O185" s="2787"/>
      <c r="P185" s="2788" t="s">
        <v>22</v>
      </c>
      <c r="Q185" s="2789"/>
      <c r="R185" s="2790"/>
      <c r="S185" s="2787"/>
      <c r="T185" s="2788" t="s">
        <v>23</v>
      </c>
      <c r="U185" s="2789"/>
      <c r="V185" s="2790"/>
      <c r="W185" s="2787"/>
      <c r="X185" s="2788" t="s">
        <v>24</v>
      </c>
      <c r="Y185" s="2789"/>
      <c r="Z185" s="2790"/>
      <c r="AA185" s="2787"/>
      <c r="AB185" s="2788" t="s">
        <v>25</v>
      </c>
      <c r="AC185" s="2789"/>
      <c r="AD185" s="2789"/>
      <c r="AE185" s="2791" t="s">
        <v>108</v>
      </c>
      <c r="AF185" s="2789"/>
      <c r="AG185" s="2792"/>
    </row>
    <row r="186" spans="1:38" ht="18" customHeight="1">
      <c r="A186" s="100"/>
      <c r="B186" s="4005" t="s">
        <v>229</v>
      </c>
      <c r="C186" s="3896" t="s">
        <v>230</v>
      </c>
      <c r="D186" s="3239"/>
      <c r="E186" s="3239"/>
      <c r="F186" s="4007"/>
      <c r="G186" s="3896" t="s">
        <v>230</v>
      </c>
      <c r="H186" s="3239"/>
      <c r="I186" s="3239"/>
      <c r="J186" s="4007"/>
      <c r="K186" s="3896" t="s">
        <v>230</v>
      </c>
      <c r="L186" s="3239"/>
      <c r="M186" s="3239"/>
      <c r="N186" s="4007"/>
      <c r="O186" s="3896" t="s">
        <v>231</v>
      </c>
      <c r="P186" s="3239"/>
      <c r="Q186" s="3239"/>
      <c r="R186" s="4007"/>
      <c r="S186" s="3896" t="s">
        <v>232</v>
      </c>
      <c r="T186" s="3239"/>
      <c r="U186" s="3239"/>
      <c r="V186" s="4007"/>
      <c r="W186" s="3896" t="s">
        <v>233</v>
      </c>
      <c r="X186" s="3241"/>
      <c r="Y186" s="3241"/>
      <c r="Z186" s="4008"/>
      <c r="AA186" s="3896" t="s">
        <v>233</v>
      </c>
      <c r="AB186" s="3239"/>
      <c r="AC186" s="3239"/>
      <c r="AD186" s="3194"/>
      <c r="AE186" s="4009">
        <v>68</v>
      </c>
      <c r="AF186" s="530"/>
      <c r="AG186" s="465"/>
    </row>
    <row r="187" spans="1:38" ht="18" customHeight="1">
      <c r="A187" s="100"/>
      <c r="B187" s="4005"/>
      <c r="C187" s="3896" t="s">
        <v>220</v>
      </c>
      <c r="D187" s="3239"/>
      <c r="E187" s="3239"/>
      <c r="F187" s="4007"/>
      <c r="G187" s="3896" t="s">
        <v>220</v>
      </c>
      <c r="H187" s="3239"/>
      <c r="I187" s="3239"/>
      <c r="J187" s="4007"/>
      <c r="K187" s="3896" t="s">
        <v>220</v>
      </c>
      <c r="L187" s="3239"/>
      <c r="M187" s="3239"/>
      <c r="N187" s="4007"/>
      <c r="O187" s="3896" t="s">
        <v>220</v>
      </c>
      <c r="P187" s="3239"/>
      <c r="Q187" s="3239"/>
      <c r="R187" s="4007"/>
      <c r="S187" s="3896" t="s">
        <v>220</v>
      </c>
      <c r="T187" s="3239"/>
      <c r="U187" s="3239"/>
      <c r="V187" s="4007"/>
      <c r="W187" s="3896" t="s">
        <v>220</v>
      </c>
      <c r="X187" s="3239"/>
      <c r="Y187" s="3239"/>
      <c r="Z187" s="4007"/>
      <c r="AA187" s="3239" t="s">
        <v>220</v>
      </c>
      <c r="AB187" s="3239"/>
      <c r="AC187" s="3239"/>
      <c r="AD187" s="3194"/>
      <c r="AE187" s="4009">
        <v>0</v>
      </c>
      <c r="AF187" s="530"/>
      <c r="AG187" s="465"/>
    </row>
    <row r="188" spans="1:38" ht="18" customHeight="1">
      <c r="A188" s="100"/>
      <c r="B188" s="4005" t="s">
        <v>234</v>
      </c>
      <c r="C188" s="3896" t="s">
        <v>231</v>
      </c>
      <c r="D188" s="3239"/>
      <c r="E188" s="3239"/>
      <c r="F188" s="4007"/>
      <c r="G188" s="3896" t="s">
        <v>231</v>
      </c>
      <c r="H188" s="3239"/>
      <c r="I188" s="3239"/>
      <c r="J188" s="4007"/>
      <c r="K188" s="3896" t="s">
        <v>231</v>
      </c>
      <c r="L188" s="3239"/>
      <c r="M188" s="3239"/>
      <c r="N188" s="4007"/>
      <c r="O188" s="3896" t="s">
        <v>230</v>
      </c>
      <c r="P188" s="3239"/>
      <c r="Q188" s="3239"/>
      <c r="R188" s="4007"/>
      <c r="S188" s="3896" t="s">
        <v>230</v>
      </c>
      <c r="T188" s="3239"/>
      <c r="U188" s="3239"/>
      <c r="V188" s="4007"/>
      <c r="W188" s="3896" t="s">
        <v>232</v>
      </c>
      <c r="X188" s="3241"/>
      <c r="Y188" s="3241"/>
      <c r="Z188" s="4008"/>
      <c r="AA188" s="3896" t="s">
        <v>232</v>
      </c>
      <c r="AB188" s="3239"/>
      <c r="AC188" s="3239"/>
      <c r="AD188" s="3194"/>
      <c r="AE188" s="4009">
        <v>68</v>
      </c>
      <c r="AF188" s="3239"/>
      <c r="AG188" s="4010"/>
    </row>
    <row r="189" spans="1:38" ht="18" customHeight="1">
      <c r="A189" s="100"/>
      <c r="B189" s="4005"/>
      <c r="C189" s="3896" t="s">
        <v>220</v>
      </c>
      <c r="D189" s="3239"/>
      <c r="E189" s="3239"/>
      <c r="F189" s="4007"/>
      <c r="G189" s="3896" t="s">
        <v>220</v>
      </c>
      <c r="H189" s="3239"/>
      <c r="I189" s="3239"/>
      <c r="J189" s="4007"/>
      <c r="K189" s="3896" t="s">
        <v>220</v>
      </c>
      <c r="L189" s="3239"/>
      <c r="M189" s="3239"/>
      <c r="N189" s="4007"/>
      <c r="O189" s="3896" t="s">
        <v>220</v>
      </c>
      <c r="P189" s="3239"/>
      <c r="Q189" s="3239"/>
      <c r="R189" s="4007"/>
      <c r="S189" s="3896" t="s">
        <v>220</v>
      </c>
      <c r="T189" s="3239"/>
      <c r="U189" s="3239"/>
      <c r="V189" s="4007"/>
      <c r="W189" s="3896" t="s">
        <v>220</v>
      </c>
      <c r="X189" s="3239"/>
      <c r="Y189" s="3239"/>
      <c r="Z189" s="4007"/>
      <c r="AA189" s="3239" t="s">
        <v>220</v>
      </c>
      <c r="AB189" s="3239"/>
      <c r="AC189" s="3239"/>
      <c r="AD189" s="3194"/>
      <c r="AE189" s="4009">
        <v>0</v>
      </c>
      <c r="AF189" s="3239"/>
      <c r="AG189" s="4010"/>
    </row>
    <row r="190" spans="1:38" ht="18" customHeight="1">
      <c r="A190" s="100"/>
      <c r="B190" s="4005" t="s">
        <v>235</v>
      </c>
      <c r="C190" s="3896" t="s">
        <v>230</v>
      </c>
      <c r="D190" s="3239"/>
      <c r="E190" s="3239"/>
      <c r="F190" s="4007"/>
      <c r="G190" s="3896" t="s">
        <v>230</v>
      </c>
      <c r="H190" s="3239"/>
      <c r="I190" s="3239"/>
      <c r="J190" s="4007"/>
      <c r="K190" s="3896" t="s">
        <v>230</v>
      </c>
      <c r="L190" s="3239"/>
      <c r="M190" s="3239"/>
      <c r="N190" s="4007"/>
      <c r="O190" s="3896" t="s">
        <v>230</v>
      </c>
      <c r="P190" s="3239"/>
      <c r="Q190" s="3239"/>
      <c r="R190" s="4007"/>
      <c r="S190" s="3896" t="s">
        <v>230</v>
      </c>
      <c r="T190" s="3239"/>
      <c r="U190" s="3239"/>
      <c r="V190" s="4007"/>
      <c r="W190" s="3896" t="s">
        <v>236</v>
      </c>
      <c r="X190" s="3246"/>
      <c r="Y190" s="3246"/>
      <c r="Z190" s="3196"/>
      <c r="AA190" s="3896" t="s">
        <v>236</v>
      </c>
      <c r="AB190" s="3246"/>
      <c r="AC190" s="3246"/>
      <c r="AD190" s="3198"/>
      <c r="AE190" s="4009">
        <v>68</v>
      </c>
      <c r="AF190" s="3239"/>
      <c r="AG190" s="4010"/>
    </row>
    <row r="191" spans="1:38" ht="18" customHeight="1" thickBot="1">
      <c r="A191" s="100"/>
      <c r="B191" s="4005"/>
      <c r="C191" s="4031" t="s">
        <v>220</v>
      </c>
      <c r="D191" s="4032"/>
      <c r="E191" s="4032"/>
      <c r="F191" s="4033"/>
      <c r="G191" s="4031" t="s">
        <v>220</v>
      </c>
      <c r="H191" s="4032"/>
      <c r="I191" s="4032"/>
      <c r="J191" s="4033"/>
      <c r="K191" s="4031" t="s">
        <v>220</v>
      </c>
      <c r="L191" s="4032"/>
      <c r="M191" s="4032"/>
      <c r="N191" s="4033"/>
      <c r="O191" s="4031" t="s">
        <v>220</v>
      </c>
      <c r="P191" s="4032"/>
      <c r="Q191" s="4032"/>
      <c r="R191" s="4033"/>
      <c r="S191" s="4031" t="s">
        <v>220</v>
      </c>
      <c r="T191" s="4032"/>
      <c r="U191" s="4032"/>
      <c r="V191" s="4034"/>
      <c r="W191" s="4031" t="s">
        <v>220</v>
      </c>
      <c r="X191" s="4034"/>
      <c r="Y191" s="4032"/>
      <c r="Z191" s="4033"/>
      <c r="AA191" s="4031" t="s">
        <v>220</v>
      </c>
      <c r="AB191" s="4034"/>
      <c r="AC191" s="4032"/>
      <c r="AD191" s="4033"/>
      <c r="AE191" s="4035" t="s">
        <v>438</v>
      </c>
      <c r="AF191" s="4032"/>
      <c r="AG191" s="4019"/>
    </row>
    <row r="192" spans="1:38" ht="18" customHeight="1" thickBot="1">
      <c r="A192" s="66"/>
      <c r="B192" s="100"/>
      <c r="C192" s="102"/>
      <c r="D192" s="102"/>
      <c r="E192" s="102"/>
      <c r="F192" s="102"/>
      <c r="G192" s="102"/>
      <c r="H192" s="102"/>
      <c r="I192" s="102"/>
      <c r="J192" s="102"/>
      <c r="K192" s="102"/>
      <c r="L192" s="102"/>
      <c r="M192" s="102"/>
      <c r="N192" s="102"/>
      <c r="O192" s="102"/>
      <c r="P192" s="102"/>
      <c r="Q192" s="102"/>
      <c r="R192" s="102"/>
      <c r="S192" s="102"/>
      <c r="T192" s="102"/>
      <c r="U192" s="102"/>
      <c r="V192" s="102"/>
      <c r="W192" s="102"/>
      <c r="X192" s="102"/>
      <c r="Y192" s="102"/>
      <c r="Z192" s="102"/>
      <c r="AA192" s="102"/>
      <c r="AB192" s="102"/>
      <c r="AC192" s="102"/>
      <c r="AD192" s="102"/>
      <c r="AE192" s="102"/>
      <c r="AF192" s="102"/>
      <c r="AG192" s="101"/>
    </row>
    <row r="193" spans="1:34" ht="18" customHeight="1" thickBot="1">
      <c r="A193" s="3236"/>
      <c r="B193" s="3086" t="s">
        <v>228</v>
      </c>
      <c r="C193" s="2985">
        <v>1</v>
      </c>
      <c r="D193" s="2985">
        <v>2</v>
      </c>
      <c r="E193" s="2985">
        <v>3</v>
      </c>
      <c r="F193" s="2986">
        <v>4</v>
      </c>
      <c r="G193" s="2986">
        <v>5</v>
      </c>
      <c r="H193" s="2985">
        <v>6</v>
      </c>
      <c r="I193" s="2985">
        <v>7</v>
      </c>
      <c r="J193" s="2985">
        <v>8</v>
      </c>
      <c r="K193" s="2985">
        <v>9</v>
      </c>
      <c r="L193" s="2985">
        <v>10</v>
      </c>
      <c r="M193" s="2986">
        <v>11</v>
      </c>
      <c r="N193" s="2986">
        <v>12</v>
      </c>
      <c r="O193" s="2985">
        <v>13</v>
      </c>
      <c r="P193" s="2985">
        <v>14</v>
      </c>
      <c r="Q193" s="2985">
        <v>15</v>
      </c>
      <c r="R193" s="2985">
        <v>16</v>
      </c>
      <c r="S193" s="2985">
        <v>17</v>
      </c>
      <c r="T193" s="2986">
        <v>18</v>
      </c>
      <c r="U193" s="2986">
        <v>19</v>
      </c>
      <c r="V193" s="2985">
        <v>20</v>
      </c>
      <c r="W193" s="2985">
        <v>21</v>
      </c>
      <c r="X193" s="2985">
        <v>22</v>
      </c>
      <c r="Y193" s="2985">
        <v>23</v>
      </c>
      <c r="Z193" s="2985">
        <v>24</v>
      </c>
      <c r="AA193" s="2986">
        <v>25</v>
      </c>
      <c r="AB193" s="2986">
        <v>26</v>
      </c>
      <c r="AC193" s="2985">
        <v>27</v>
      </c>
      <c r="AD193" s="2985">
        <v>28</v>
      </c>
      <c r="AE193" s="2985">
        <v>29</v>
      </c>
      <c r="AF193" s="2985">
        <v>30</v>
      </c>
      <c r="AG193" s="2985">
        <v>31</v>
      </c>
    </row>
    <row r="194" spans="1:34" ht="18" customHeight="1">
      <c r="A194" s="2828">
        <v>1</v>
      </c>
      <c r="B194" s="4036" t="s">
        <v>237</v>
      </c>
      <c r="C194" s="2829" t="s">
        <v>46</v>
      </c>
      <c r="D194" s="2830" t="s">
        <v>46</v>
      </c>
      <c r="E194" s="2830" t="s">
        <v>46</v>
      </c>
      <c r="F194" s="2830"/>
      <c r="G194" s="2830"/>
      <c r="H194" s="2829">
        <v>22</v>
      </c>
      <c r="I194" s="2829">
        <v>22</v>
      </c>
      <c r="J194" s="2829">
        <v>22</v>
      </c>
      <c r="K194" s="2831">
        <v>22</v>
      </c>
      <c r="L194" s="2831">
        <v>22</v>
      </c>
      <c r="M194" s="2831">
        <v>22</v>
      </c>
      <c r="N194" s="2830">
        <v>22</v>
      </c>
      <c r="O194" s="2830" t="s">
        <v>46</v>
      </c>
      <c r="P194" s="2830" t="s">
        <v>46</v>
      </c>
      <c r="Q194" s="2830" t="s">
        <v>46</v>
      </c>
      <c r="R194" s="2830" t="s">
        <v>46</v>
      </c>
      <c r="S194" s="4037" t="s">
        <v>46</v>
      </c>
      <c r="T194" s="2830"/>
      <c r="U194" s="2830"/>
      <c r="V194" s="2829">
        <v>23</v>
      </c>
      <c r="W194" s="2829">
        <v>23</v>
      </c>
      <c r="X194" s="2829">
        <v>23</v>
      </c>
      <c r="Y194" s="2829">
        <v>23</v>
      </c>
      <c r="Z194" s="2829">
        <v>23</v>
      </c>
      <c r="AA194" s="2829">
        <v>23</v>
      </c>
      <c r="AB194" s="2829">
        <v>23</v>
      </c>
      <c r="AC194" s="2832" t="s">
        <v>46</v>
      </c>
      <c r="AD194" s="2832" t="s">
        <v>46</v>
      </c>
      <c r="AE194" s="2832" t="s">
        <v>46</v>
      </c>
      <c r="AF194" s="2829" t="s">
        <v>46</v>
      </c>
      <c r="AG194" s="2829" t="s">
        <v>46</v>
      </c>
    </row>
    <row r="195" spans="1:34" ht="18" customHeight="1">
      <c r="A195" s="4038">
        <v>2</v>
      </c>
      <c r="B195" s="4036" t="s">
        <v>238</v>
      </c>
      <c r="C195" s="3799" t="s">
        <v>46</v>
      </c>
      <c r="D195" s="3799" t="s">
        <v>46</v>
      </c>
      <c r="E195" s="3822" t="s">
        <v>46</v>
      </c>
      <c r="F195" s="3802"/>
      <c r="G195" s="3802"/>
      <c r="H195" s="3802">
        <v>23</v>
      </c>
      <c r="I195" s="4039">
        <v>23</v>
      </c>
      <c r="J195" s="4039" t="s">
        <v>241</v>
      </c>
      <c r="K195" s="3798">
        <v>23</v>
      </c>
      <c r="L195" s="3798">
        <v>23</v>
      </c>
      <c r="M195" s="3798">
        <v>23</v>
      </c>
      <c r="N195" s="3806">
        <v>23</v>
      </c>
      <c r="O195" s="3806" t="s">
        <v>46</v>
      </c>
      <c r="P195" s="3806" t="s">
        <v>46</v>
      </c>
      <c r="Q195" s="3806" t="s">
        <v>46</v>
      </c>
      <c r="R195" s="3799" t="s">
        <v>46</v>
      </c>
      <c r="S195" s="3822" t="s">
        <v>46</v>
      </c>
      <c r="T195" s="3802"/>
      <c r="U195" s="3802"/>
      <c r="V195" s="3802">
        <v>21</v>
      </c>
      <c r="W195" s="3802">
        <v>21</v>
      </c>
      <c r="X195" s="3802">
        <v>21</v>
      </c>
      <c r="Y195" s="3799">
        <v>21</v>
      </c>
      <c r="Z195" s="3799">
        <v>21</v>
      </c>
      <c r="AA195" s="3799">
        <v>21</v>
      </c>
      <c r="AB195" s="3799">
        <v>21</v>
      </c>
      <c r="AC195" s="3802" t="s">
        <v>46</v>
      </c>
      <c r="AD195" s="3802" t="s">
        <v>46</v>
      </c>
      <c r="AE195" s="3802" t="s">
        <v>46</v>
      </c>
      <c r="AF195" s="3802" t="s">
        <v>46</v>
      </c>
      <c r="AG195" s="3802" t="s">
        <v>46</v>
      </c>
    </row>
    <row r="196" spans="1:34" ht="18" customHeight="1">
      <c r="A196" s="4038">
        <v>3</v>
      </c>
      <c r="B196" s="4036" t="s">
        <v>239</v>
      </c>
      <c r="C196" s="3799" t="s">
        <v>46</v>
      </c>
      <c r="D196" s="3806" t="s">
        <v>46</v>
      </c>
      <c r="E196" s="3806" t="s">
        <v>46</v>
      </c>
      <c r="F196" s="3806"/>
      <c r="G196" s="3806"/>
      <c r="H196" s="3806">
        <v>21</v>
      </c>
      <c r="I196" s="3799">
        <v>21</v>
      </c>
      <c r="J196" s="3799">
        <v>21</v>
      </c>
      <c r="K196" s="3798">
        <v>21</v>
      </c>
      <c r="L196" s="3798">
        <v>21</v>
      </c>
      <c r="M196" s="3798">
        <v>21</v>
      </c>
      <c r="N196" s="3806">
        <v>21</v>
      </c>
      <c r="O196" s="3806" t="s">
        <v>46</v>
      </c>
      <c r="P196" s="3806" t="s">
        <v>46</v>
      </c>
      <c r="Q196" s="3806" t="s">
        <v>46</v>
      </c>
      <c r="R196" s="3799" t="s">
        <v>46</v>
      </c>
      <c r="S196" s="3822" t="s">
        <v>46</v>
      </c>
      <c r="T196" s="3799"/>
      <c r="U196" s="3799"/>
      <c r="V196" s="3799">
        <v>22</v>
      </c>
      <c r="W196" s="3799">
        <v>22</v>
      </c>
      <c r="X196" s="3799">
        <v>22</v>
      </c>
      <c r="Y196" s="3799">
        <v>22</v>
      </c>
      <c r="Z196" s="3799">
        <v>22</v>
      </c>
      <c r="AA196" s="3799">
        <v>22</v>
      </c>
      <c r="AB196" s="3799">
        <v>22</v>
      </c>
      <c r="AC196" s="3802" t="s">
        <v>46</v>
      </c>
      <c r="AD196" s="3802" t="s">
        <v>46</v>
      </c>
      <c r="AE196" s="3802" t="s">
        <v>46</v>
      </c>
      <c r="AF196" s="3799" t="s">
        <v>46</v>
      </c>
      <c r="AG196" s="3799" t="s">
        <v>46</v>
      </c>
    </row>
    <row r="197" spans="1:34" ht="18" customHeight="1">
      <c r="A197" s="4038">
        <v>4</v>
      </c>
      <c r="B197" s="485" t="s">
        <v>240</v>
      </c>
      <c r="C197" s="3648">
        <v>21</v>
      </c>
      <c r="D197" s="4040">
        <v>21</v>
      </c>
      <c r="E197" s="4040">
        <v>21</v>
      </c>
      <c r="F197" s="3798">
        <v>21</v>
      </c>
      <c r="G197" s="3806">
        <v>21</v>
      </c>
      <c r="H197" s="4041" t="s">
        <v>46</v>
      </c>
      <c r="I197" s="4041" t="s">
        <v>46</v>
      </c>
      <c r="J197" s="4041" t="s">
        <v>46</v>
      </c>
      <c r="K197" s="4041" t="s">
        <v>46</v>
      </c>
      <c r="L197" s="4041" t="s">
        <v>46</v>
      </c>
      <c r="M197" s="3806"/>
      <c r="N197" s="3806"/>
      <c r="O197" s="4041">
        <v>22</v>
      </c>
      <c r="P197" s="3648">
        <v>22</v>
      </c>
      <c r="Q197" s="3648">
        <v>22</v>
      </c>
      <c r="R197" s="4042">
        <v>22</v>
      </c>
      <c r="S197" s="4042">
        <v>22</v>
      </c>
      <c r="T197" s="3799">
        <v>22</v>
      </c>
      <c r="U197" s="3802">
        <v>22</v>
      </c>
      <c r="V197" s="4043" t="s">
        <v>46</v>
      </c>
      <c r="W197" s="3996" t="s">
        <v>46</v>
      </c>
      <c r="X197" s="3648" t="s">
        <v>46</v>
      </c>
      <c r="Y197" s="4041" t="s">
        <v>46</v>
      </c>
      <c r="Z197" s="4041" t="s">
        <v>46</v>
      </c>
      <c r="AA197" s="3806"/>
      <c r="AB197" s="3806"/>
      <c r="AC197" s="3648">
        <v>23</v>
      </c>
      <c r="AD197" s="3648">
        <v>23</v>
      </c>
      <c r="AE197" s="3648">
        <v>23</v>
      </c>
      <c r="AF197" s="3648">
        <v>23</v>
      </c>
      <c r="AG197" s="3648">
        <v>23</v>
      </c>
    </row>
    <row r="198" spans="1:34" ht="18" customHeight="1">
      <c r="A198" s="4038">
        <v>5</v>
      </c>
      <c r="B198" s="3277" t="s">
        <v>242</v>
      </c>
      <c r="C198" s="3806">
        <v>22</v>
      </c>
      <c r="D198" s="4044">
        <v>22</v>
      </c>
      <c r="E198" s="4044">
        <v>22</v>
      </c>
      <c r="F198" s="4044">
        <v>22</v>
      </c>
      <c r="G198" s="4044">
        <v>22</v>
      </c>
      <c r="H198" s="3925" t="s">
        <v>46</v>
      </c>
      <c r="I198" s="3810" t="s">
        <v>46</v>
      </c>
      <c r="J198" s="3810" t="s">
        <v>46</v>
      </c>
      <c r="K198" s="3799" t="s">
        <v>46</v>
      </c>
      <c r="L198" s="3822" t="s">
        <v>46</v>
      </c>
      <c r="M198" s="3648"/>
      <c r="N198" s="3648"/>
      <c r="O198" s="4045">
        <v>23</v>
      </c>
      <c r="P198" s="4045">
        <v>23</v>
      </c>
      <c r="Q198" s="4045">
        <v>23</v>
      </c>
      <c r="R198" s="4045">
        <v>23</v>
      </c>
      <c r="S198" s="4045">
        <v>23</v>
      </c>
      <c r="T198" s="4045">
        <v>23</v>
      </c>
      <c r="U198" s="4045">
        <v>23</v>
      </c>
      <c r="V198" s="3802" t="s">
        <v>46</v>
      </c>
      <c r="W198" s="3822" t="s">
        <v>46</v>
      </c>
      <c r="X198" s="3799" t="s">
        <v>46</v>
      </c>
      <c r="Y198" s="3799" t="s">
        <v>46</v>
      </c>
      <c r="Z198" s="3822" t="s">
        <v>46</v>
      </c>
      <c r="AA198" s="332"/>
      <c r="AB198" s="332"/>
      <c r="AC198" s="4046">
        <v>21</v>
      </c>
      <c r="AD198" s="4043">
        <v>21</v>
      </c>
      <c r="AE198" s="4043">
        <v>21</v>
      </c>
      <c r="AF198" s="3648">
        <v>21</v>
      </c>
      <c r="AG198" s="3648">
        <v>21</v>
      </c>
      <c r="AH198" t="s">
        <v>133</v>
      </c>
    </row>
    <row r="199" spans="1:34" ht="18" customHeight="1" thickBot="1">
      <c r="A199" s="2055">
        <v>6</v>
      </c>
      <c r="B199" s="4047" t="s">
        <v>243</v>
      </c>
      <c r="C199" s="3118">
        <v>23</v>
      </c>
      <c r="D199" s="1634">
        <v>23</v>
      </c>
      <c r="E199" s="1634">
        <v>23</v>
      </c>
      <c r="F199" s="1634">
        <v>23</v>
      </c>
      <c r="G199" s="1635">
        <v>23</v>
      </c>
      <c r="H199" s="1635" t="s">
        <v>46</v>
      </c>
      <c r="I199" s="1635" t="s">
        <v>46</v>
      </c>
      <c r="J199" s="1635" t="s">
        <v>46</v>
      </c>
      <c r="K199" s="1635" t="s">
        <v>46</v>
      </c>
      <c r="L199" s="1635" t="s">
        <v>46</v>
      </c>
      <c r="M199" s="1635"/>
      <c r="N199" s="3118"/>
      <c r="O199" s="3118">
        <v>21</v>
      </c>
      <c r="P199" s="3118">
        <v>21</v>
      </c>
      <c r="Q199" s="3118">
        <v>21</v>
      </c>
      <c r="R199" s="1636">
        <v>21</v>
      </c>
      <c r="S199" s="1636">
        <v>21</v>
      </c>
      <c r="T199" s="4048">
        <v>21</v>
      </c>
      <c r="U199" s="4049">
        <v>21</v>
      </c>
      <c r="V199" s="1587" t="s">
        <v>46</v>
      </c>
      <c r="W199" s="1588" t="s">
        <v>46</v>
      </c>
      <c r="X199" s="3118" t="s">
        <v>46</v>
      </c>
      <c r="Y199" s="3118" t="s">
        <v>46</v>
      </c>
      <c r="Z199" s="1588" t="s">
        <v>46</v>
      </c>
      <c r="AA199" s="3118"/>
      <c r="AB199" s="3118"/>
      <c r="AC199" s="3118">
        <v>22</v>
      </c>
      <c r="AD199" s="3118">
        <v>22</v>
      </c>
      <c r="AE199" s="3118">
        <v>22</v>
      </c>
      <c r="AF199" s="4050">
        <v>22</v>
      </c>
      <c r="AG199" s="3118">
        <v>22</v>
      </c>
    </row>
    <row r="202" spans="1:34" ht="18" customHeight="1" thickBot="1">
      <c r="A202" s="96" t="s">
        <v>244</v>
      </c>
      <c r="D202" s="48"/>
      <c r="E202" s="48"/>
      <c r="F202" s="48"/>
      <c r="G202" s="63"/>
      <c r="H202" s="48"/>
      <c r="I202" s="48"/>
      <c r="J202" s="48"/>
      <c r="K202" s="48"/>
      <c r="L202" s="48"/>
      <c r="M202" s="48"/>
      <c r="N202" s="48"/>
      <c r="O202" s="48"/>
      <c r="P202" s="48"/>
      <c r="Q202" s="48"/>
      <c r="R202" s="48"/>
      <c r="S202" s="48"/>
      <c r="T202" s="48"/>
      <c r="U202" s="48"/>
      <c r="V202" s="48"/>
      <c r="W202" s="48"/>
      <c r="X202" s="48"/>
      <c r="Y202" s="48"/>
      <c r="Z202" s="48"/>
      <c r="AA202" s="48"/>
      <c r="AB202" s="48"/>
      <c r="AC202" s="48"/>
      <c r="AD202" s="48"/>
      <c r="AE202" s="48"/>
      <c r="AF202" s="48"/>
    </row>
    <row r="203" spans="1:34" ht="18" customHeight="1">
      <c r="A203" s="1"/>
      <c r="B203" s="2764" t="s">
        <v>209</v>
      </c>
      <c r="C203" s="2765"/>
      <c r="D203" s="2788" t="s">
        <v>19</v>
      </c>
      <c r="E203" s="3064"/>
      <c r="F203" s="2769"/>
      <c r="G203" s="2765"/>
      <c r="H203" s="2788" t="s">
        <v>20</v>
      </c>
      <c r="I203" s="3064"/>
      <c r="J203" s="2769"/>
      <c r="K203" s="2765"/>
      <c r="L203" s="2788" t="s">
        <v>21</v>
      </c>
      <c r="M203" s="3064"/>
      <c r="N203" s="2769"/>
      <c r="O203" s="2765"/>
      <c r="P203" s="2788" t="s">
        <v>22</v>
      </c>
      <c r="Q203" s="3064"/>
      <c r="R203" s="2769"/>
      <c r="S203" s="2765"/>
      <c r="T203" s="2788" t="s">
        <v>23</v>
      </c>
      <c r="U203" s="3064"/>
      <c r="V203" s="2769"/>
      <c r="W203" s="2765"/>
      <c r="X203" s="2788" t="s">
        <v>24</v>
      </c>
      <c r="Y203" s="3064"/>
      <c r="Z203" s="2769"/>
      <c r="AA203" s="2765"/>
      <c r="AB203" s="2788" t="s">
        <v>25</v>
      </c>
      <c r="AC203" s="3064"/>
      <c r="AD203" s="3064"/>
      <c r="AE203" s="2791" t="s">
        <v>108</v>
      </c>
      <c r="AF203" s="3064"/>
      <c r="AG203" s="2841"/>
    </row>
    <row r="204" spans="1:34" ht="18" customHeight="1">
      <c r="A204" s="1"/>
      <c r="B204" s="4005" t="s">
        <v>210</v>
      </c>
      <c r="C204" s="3896" t="s">
        <v>211</v>
      </c>
      <c r="D204" s="3758"/>
      <c r="E204" s="3758"/>
      <c r="F204" s="4007"/>
      <c r="G204" s="3896" t="s">
        <v>211</v>
      </c>
      <c r="H204" s="3758"/>
      <c r="I204" s="3758"/>
      <c r="J204" s="4007"/>
      <c r="K204" s="3896" t="s">
        <v>211</v>
      </c>
      <c r="L204" s="3758"/>
      <c r="M204" s="3758"/>
      <c r="N204" s="4007"/>
      <c r="O204" s="3896" t="s">
        <v>245</v>
      </c>
      <c r="P204" s="3758"/>
      <c r="Q204" s="3758"/>
      <c r="R204" s="4007"/>
      <c r="S204" s="3896" t="s">
        <v>220</v>
      </c>
      <c r="T204" s="3758"/>
      <c r="U204" s="3758"/>
      <c r="V204" s="4007"/>
      <c r="W204" s="4051"/>
      <c r="X204" s="3701"/>
      <c r="Y204" s="3701"/>
      <c r="Z204" s="4008"/>
      <c r="AA204" s="4006"/>
      <c r="AB204" s="3758"/>
      <c r="AC204" s="3758"/>
      <c r="AD204" s="3194"/>
      <c r="AE204" s="4009">
        <v>27</v>
      </c>
      <c r="AF204" s="3758"/>
      <c r="AG204" s="4052"/>
    </row>
    <row r="205" spans="1:34" ht="18" customHeight="1">
      <c r="A205" s="1"/>
      <c r="B205" s="4005" t="s">
        <v>212</v>
      </c>
      <c r="C205" s="3896" t="s">
        <v>246</v>
      </c>
      <c r="D205" s="3758"/>
      <c r="E205" s="3758"/>
      <c r="F205" s="4007"/>
      <c r="G205" s="3896" t="s">
        <v>246</v>
      </c>
      <c r="H205" s="3758"/>
      <c r="I205" s="3758"/>
      <c r="J205" s="4007"/>
      <c r="K205" s="3896" t="s">
        <v>246</v>
      </c>
      <c r="L205" s="3758"/>
      <c r="M205" s="3758"/>
      <c r="N205" s="4007"/>
      <c r="O205" s="3896" t="s">
        <v>246</v>
      </c>
      <c r="P205" s="3758"/>
      <c r="Q205" s="3758"/>
      <c r="R205" s="4007"/>
      <c r="S205" s="3896" t="s">
        <v>211</v>
      </c>
      <c r="T205" s="3758"/>
      <c r="U205" s="3758"/>
      <c r="V205" s="4007"/>
      <c r="W205" s="3896"/>
      <c r="X205" s="3758"/>
      <c r="Y205" s="3758"/>
      <c r="Z205" s="4007"/>
      <c r="AA205" s="3758"/>
      <c r="AB205" s="3758"/>
      <c r="AC205" s="3758"/>
      <c r="AD205" s="3194"/>
      <c r="AE205" s="4009">
        <v>39</v>
      </c>
      <c r="AF205" s="3758"/>
      <c r="AG205" s="4052"/>
    </row>
    <row r="206" spans="1:34" ht="18" customHeight="1">
      <c r="A206" s="1"/>
      <c r="B206" s="4005" t="s">
        <v>214</v>
      </c>
      <c r="C206" s="3896" t="s">
        <v>246</v>
      </c>
      <c r="D206" s="3758"/>
      <c r="E206" s="3758"/>
      <c r="F206" s="4007"/>
      <c r="G206" s="3896" t="s">
        <v>246</v>
      </c>
      <c r="H206" s="3758"/>
      <c r="I206" s="3758"/>
      <c r="J206" s="4007"/>
      <c r="K206" s="3896" t="s">
        <v>246</v>
      </c>
      <c r="L206" s="3758"/>
      <c r="M206" s="3758"/>
      <c r="N206" s="4007"/>
      <c r="O206" s="3896" t="s">
        <v>246</v>
      </c>
      <c r="P206" s="3758"/>
      <c r="Q206" s="3758"/>
      <c r="R206" s="4007"/>
      <c r="S206" s="3896" t="s">
        <v>246</v>
      </c>
      <c r="T206" s="3758"/>
      <c r="U206" s="3758"/>
      <c r="V206" s="4007"/>
      <c r="W206" s="3197" t="s">
        <v>217</v>
      </c>
      <c r="X206" s="3066"/>
      <c r="Y206" s="3066"/>
      <c r="Z206" s="3196"/>
      <c r="AA206" s="3245"/>
      <c r="AB206" s="3066"/>
      <c r="AC206" s="3066"/>
      <c r="AD206" s="3198"/>
      <c r="AE206" s="4009">
        <v>45</v>
      </c>
      <c r="AF206" s="3758"/>
      <c r="AG206" s="4052"/>
    </row>
    <row r="207" spans="1:34" ht="18" customHeight="1" thickBot="1">
      <c r="A207" s="1"/>
      <c r="B207" s="1484" t="s">
        <v>218</v>
      </c>
      <c r="C207" s="4031"/>
      <c r="D207" s="3844"/>
      <c r="E207" s="3844"/>
      <c r="F207" s="4033"/>
      <c r="G207" s="4031"/>
      <c r="H207" s="3844"/>
      <c r="I207" s="3844"/>
      <c r="J207" s="4033"/>
      <c r="K207" s="4031"/>
      <c r="L207" s="3844"/>
      <c r="M207" s="3844"/>
      <c r="N207" s="4033"/>
      <c r="O207" s="4031"/>
      <c r="P207" s="3844"/>
      <c r="Q207" s="3844"/>
      <c r="R207" s="4033"/>
      <c r="S207" s="4031"/>
      <c r="T207" s="3844"/>
      <c r="U207" s="3844"/>
      <c r="V207" s="4034"/>
      <c r="W207" s="4031"/>
      <c r="X207" s="4034"/>
      <c r="Y207" s="3844"/>
      <c r="Z207" s="4033"/>
      <c r="AA207" s="4031"/>
      <c r="AB207" s="4034"/>
      <c r="AC207" s="3844"/>
      <c r="AD207" s="4033"/>
      <c r="AE207" s="4053"/>
      <c r="AF207" s="3844"/>
      <c r="AG207" s="4054"/>
    </row>
    <row r="208" spans="1:34" ht="18" customHeight="1" thickBot="1">
      <c r="A208" s="66"/>
      <c r="B208" s="1"/>
      <c r="C208" s="48"/>
      <c r="D208" s="48"/>
      <c r="E208" s="48"/>
      <c r="F208" s="48"/>
      <c r="G208" s="48"/>
      <c r="H208" s="48"/>
      <c r="I208" s="48"/>
      <c r="J208" s="48"/>
      <c r="K208" s="48"/>
      <c r="L208" s="48"/>
      <c r="M208" s="48"/>
      <c r="N208" s="48"/>
      <c r="O208" s="48"/>
      <c r="P208" s="48"/>
      <c r="Q208" s="48"/>
      <c r="R208" s="48"/>
      <c r="S208" s="48"/>
      <c r="T208" s="48"/>
      <c r="U208" s="48"/>
      <c r="V208" s="48"/>
      <c r="W208" s="48"/>
      <c r="X208" s="48"/>
      <c r="Y208" s="48"/>
      <c r="Z208" s="48"/>
      <c r="AA208" s="48"/>
      <c r="AB208" s="48"/>
      <c r="AC208" s="48"/>
      <c r="AD208" s="48"/>
      <c r="AE208" s="48"/>
      <c r="AF208" s="48"/>
    </row>
    <row r="209" spans="1:33" ht="18" customHeight="1" thickBot="1">
      <c r="A209" s="3236"/>
      <c r="B209" s="3086" t="s">
        <v>38</v>
      </c>
      <c r="C209" s="2985">
        <v>1</v>
      </c>
      <c r="D209" s="2985">
        <v>2</v>
      </c>
      <c r="E209" s="2985">
        <v>3</v>
      </c>
      <c r="F209" s="2986">
        <v>4</v>
      </c>
      <c r="G209" s="2986">
        <v>5</v>
      </c>
      <c r="H209" s="2985">
        <v>6</v>
      </c>
      <c r="I209" s="2985">
        <v>7</v>
      </c>
      <c r="J209" s="2985">
        <v>8</v>
      </c>
      <c r="K209" s="2985">
        <v>9</v>
      </c>
      <c r="L209" s="2985">
        <v>10</v>
      </c>
      <c r="M209" s="2986">
        <v>11</v>
      </c>
      <c r="N209" s="2986">
        <v>12</v>
      </c>
      <c r="O209" s="2985">
        <v>13</v>
      </c>
      <c r="P209" s="2985">
        <v>14</v>
      </c>
      <c r="Q209" s="2985">
        <v>15</v>
      </c>
      <c r="R209" s="2985">
        <v>16</v>
      </c>
      <c r="S209" s="2985">
        <v>17</v>
      </c>
      <c r="T209" s="2986">
        <v>18</v>
      </c>
      <c r="U209" s="2986">
        <v>19</v>
      </c>
      <c r="V209" s="2985">
        <v>20</v>
      </c>
      <c r="W209" s="2985">
        <v>21</v>
      </c>
      <c r="X209" s="2985">
        <v>22</v>
      </c>
      <c r="Y209" s="2985">
        <v>23</v>
      </c>
      <c r="Z209" s="2985">
        <v>24</v>
      </c>
      <c r="AA209" s="2986">
        <v>25</v>
      </c>
      <c r="AB209" s="2986">
        <v>26</v>
      </c>
      <c r="AC209" s="2985">
        <v>27</v>
      </c>
      <c r="AD209" s="2985">
        <v>28</v>
      </c>
      <c r="AE209" s="2985">
        <v>29</v>
      </c>
      <c r="AF209" s="2985">
        <v>30</v>
      </c>
      <c r="AG209" s="2985">
        <v>31</v>
      </c>
    </row>
    <row r="210" spans="1:33" ht="18" customHeight="1">
      <c r="A210" s="2814">
        <v>1</v>
      </c>
      <c r="B210" s="2847" t="s">
        <v>247</v>
      </c>
      <c r="C210" s="3089" t="s">
        <v>40</v>
      </c>
      <c r="D210" s="3089" t="s">
        <v>40</v>
      </c>
      <c r="E210" s="3089" t="s">
        <v>40</v>
      </c>
      <c r="F210" s="3089"/>
      <c r="G210" s="3089"/>
      <c r="H210" s="3089" t="s">
        <v>40</v>
      </c>
      <c r="I210" s="2848" t="s">
        <v>40</v>
      </c>
      <c r="J210" s="3089" t="s">
        <v>40</v>
      </c>
      <c r="K210" s="3089" t="s">
        <v>40</v>
      </c>
      <c r="L210" s="3089" t="s">
        <v>40</v>
      </c>
      <c r="M210" s="3089" t="s">
        <v>248</v>
      </c>
      <c r="N210" s="3089"/>
      <c r="O210" s="3089" t="s">
        <v>40</v>
      </c>
      <c r="P210" s="3089" t="s">
        <v>40</v>
      </c>
      <c r="Q210" s="3089" t="s">
        <v>40</v>
      </c>
      <c r="R210" s="3089" t="s">
        <v>40</v>
      </c>
      <c r="S210" s="3089" t="s">
        <v>40</v>
      </c>
      <c r="T210" s="2848"/>
      <c r="U210" s="3089"/>
      <c r="V210" s="3089" t="s">
        <v>40</v>
      </c>
      <c r="W210" s="3089" t="s">
        <v>40</v>
      </c>
      <c r="X210" s="3089" t="s">
        <v>40</v>
      </c>
      <c r="Y210" s="3089" t="s">
        <v>40</v>
      </c>
      <c r="Z210" s="3089" t="s">
        <v>40</v>
      </c>
      <c r="AA210" s="3089"/>
      <c r="AB210" s="3089"/>
      <c r="AC210" s="3089" t="s">
        <v>40</v>
      </c>
      <c r="AD210" s="2848" t="s">
        <v>40</v>
      </c>
      <c r="AE210" s="3089" t="s">
        <v>40</v>
      </c>
      <c r="AF210" s="3089" t="s">
        <v>40</v>
      </c>
      <c r="AG210" s="3089" t="s">
        <v>40</v>
      </c>
    </row>
    <row r="211" spans="1:33" ht="18" customHeight="1">
      <c r="A211" s="4020">
        <v>2</v>
      </c>
      <c r="B211" s="4055" t="s">
        <v>249</v>
      </c>
      <c r="C211" s="3779" t="s">
        <v>248</v>
      </c>
      <c r="D211" s="3779" t="s">
        <v>248</v>
      </c>
      <c r="E211" s="3779" t="s">
        <v>248</v>
      </c>
      <c r="F211" s="3779" t="s">
        <v>248</v>
      </c>
      <c r="G211" s="3779"/>
      <c r="H211" s="3779" t="s">
        <v>251</v>
      </c>
      <c r="I211" s="3779" t="s">
        <v>251</v>
      </c>
      <c r="J211" s="3779" t="s">
        <v>251</v>
      </c>
      <c r="K211" s="3779" t="s">
        <v>251</v>
      </c>
      <c r="L211" s="3779" t="s">
        <v>46</v>
      </c>
      <c r="M211" s="3779"/>
      <c r="N211" s="3779"/>
      <c r="O211" s="3775" t="s">
        <v>250</v>
      </c>
      <c r="P211" s="3775" t="s">
        <v>250</v>
      </c>
      <c r="Q211" s="3775" t="s">
        <v>250</v>
      </c>
      <c r="R211" s="3775" t="s">
        <v>250</v>
      </c>
      <c r="S211" s="3775" t="s">
        <v>250</v>
      </c>
      <c r="T211" s="3775"/>
      <c r="U211" s="3775"/>
      <c r="V211" s="3779" t="s">
        <v>248</v>
      </c>
      <c r="W211" s="3779" t="s">
        <v>248</v>
      </c>
      <c r="X211" s="3779" t="s">
        <v>248</v>
      </c>
      <c r="Y211" s="3779" t="s">
        <v>248</v>
      </c>
      <c r="Z211" s="3779" t="s">
        <v>248</v>
      </c>
      <c r="AA211" s="3779" t="s">
        <v>248</v>
      </c>
      <c r="AB211" s="3779"/>
      <c r="AC211" s="3779" t="s">
        <v>251</v>
      </c>
      <c r="AD211" s="3779" t="s">
        <v>251</v>
      </c>
      <c r="AE211" s="3779" t="s">
        <v>251</v>
      </c>
      <c r="AF211" s="3779" t="s">
        <v>251</v>
      </c>
      <c r="AG211" s="3779" t="s">
        <v>251</v>
      </c>
    </row>
    <row r="212" spans="1:33" ht="18" customHeight="1">
      <c r="A212" s="4020">
        <v>3</v>
      </c>
      <c r="B212" s="4056" t="s">
        <v>512</v>
      </c>
      <c r="C212" s="3779" t="s">
        <v>251</v>
      </c>
      <c r="D212" s="3779" t="s">
        <v>251</v>
      </c>
      <c r="E212" s="3779" t="s">
        <v>46</v>
      </c>
      <c r="F212" s="3788"/>
      <c r="G212" s="3788"/>
      <c r="H212" s="3779" t="s">
        <v>250</v>
      </c>
      <c r="I212" s="3779" t="s">
        <v>250</v>
      </c>
      <c r="J212" s="3779" t="s">
        <v>250</v>
      </c>
      <c r="K212" s="3779" t="s">
        <v>250</v>
      </c>
      <c r="L212" s="3779" t="s">
        <v>250</v>
      </c>
      <c r="M212" s="3788"/>
      <c r="N212" s="3779"/>
      <c r="O212" s="3779" t="s">
        <v>248</v>
      </c>
      <c r="P212" s="3788" t="s">
        <v>248</v>
      </c>
      <c r="Q212" s="3788" t="s">
        <v>248</v>
      </c>
      <c r="R212" s="3779" t="s">
        <v>248</v>
      </c>
      <c r="S212" s="3779" t="s">
        <v>248</v>
      </c>
      <c r="T212" s="3779" t="s">
        <v>248</v>
      </c>
      <c r="U212" s="3779"/>
      <c r="V212" s="3779" t="s">
        <v>251</v>
      </c>
      <c r="W212" s="3779" t="s">
        <v>251</v>
      </c>
      <c r="X212" s="3779" t="s">
        <v>251</v>
      </c>
      <c r="Y212" s="3779" t="s">
        <v>251</v>
      </c>
      <c r="Z212" s="3779" t="s">
        <v>46</v>
      </c>
      <c r="AA212" s="3788"/>
      <c r="AB212" s="3788"/>
      <c r="AC212" s="3779" t="s">
        <v>250</v>
      </c>
      <c r="AD212" s="3779" t="s">
        <v>250</v>
      </c>
      <c r="AE212" s="3779" t="s">
        <v>250</v>
      </c>
      <c r="AF212" s="3779" t="s">
        <v>250</v>
      </c>
      <c r="AG212" s="3779" t="s">
        <v>250</v>
      </c>
    </row>
    <row r="213" spans="1:33" ht="18" customHeight="1">
      <c r="A213" s="4020">
        <v>4</v>
      </c>
      <c r="B213" s="4056" t="s">
        <v>253</v>
      </c>
      <c r="C213" s="3779"/>
      <c r="D213" s="3779"/>
      <c r="E213" s="3779"/>
      <c r="F213" s="3771"/>
      <c r="G213" s="3779"/>
      <c r="H213" s="3779"/>
      <c r="I213" s="3779"/>
      <c r="J213" s="3779"/>
      <c r="K213" s="3779"/>
      <c r="L213" s="3779"/>
      <c r="M213" s="3779"/>
      <c r="N213" s="3779"/>
      <c r="O213" s="3779"/>
      <c r="P213" s="3779"/>
      <c r="Q213" s="3779"/>
      <c r="R213" s="3779"/>
      <c r="S213" s="3779"/>
      <c r="T213" s="3779"/>
      <c r="U213" s="3779"/>
      <c r="V213" s="3779"/>
      <c r="W213" s="3779"/>
      <c r="X213" s="3779"/>
      <c r="Y213" s="3779"/>
      <c r="Z213" s="3779"/>
      <c r="AA213" s="3771"/>
      <c r="AB213" s="3779"/>
      <c r="AC213" s="3779"/>
      <c r="AD213" s="3779"/>
      <c r="AE213" s="3779"/>
      <c r="AF213" s="3779"/>
      <c r="AG213" s="3779"/>
    </row>
    <row r="214" spans="1:33" ht="18" customHeight="1">
      <c r="A214" s="4020">
        <v>5</v>
      </c>
      <c r="B214" s="4056"/>
      <c r="C214" s="3873"/>
      <c r="D214" s="3873"/>
      <c r="E214" s="3873"/>
      <c r="F214" s="3873"/>
      <c r="G214" s="3788"/>
      <c r="H214" s="3788"/>
      <c r="I214" s="3873"/>
      <c r="J214" s="3873"/>
      <c r="K214" s="3873"/>
      <c r="L214" s="3873"/>
      <c r="M214" s="3873"/>
      <c r="N214" s="3873"/>
      <c r="O214" s="3873"/>
      <c r="P214" s="3779"/>
      <c r="Q214" s="3779"/>
      <c r="R214" s="3788"/>
      <c r="S214" s="3788"/>
      <c r="T214" s="3873"/>
      <c r="U214" s="3873"/>
      <c r="V214" s="3873"/>
      <c r="W214" s="3873"/>
      <c r="X214" s="3873"/>
      <c r="Y214" s="3873"/>
      <c r="Z214" s="3873"/>
      <c r="AA214" s="3873"/>
      <c r="AB214" s="3788"/>
      <c r="AC214" s="3788"/>
      <c r="AD214" s="3873"/>
      <c r="AE214" s="3873"/>
      <c r="AF214" s="3873"/>
      <c r="AG214" s="3873"/>
    </row>
    <row r="215" spans="1:33" ht="18" customHeight="1">
      <c r="A215" s="4020">
        <v>6</v>
      </c>
      <c r="B215" s="3773"/>
      <c r="C215" s="3873"/>
      <c r="D215" s="3873"/>
      <c r="E215" s="3873"/>
      <c r="F215" s="3873"/>
      <c r="G215" s="3788"/>
      <c r="H215" s="3788"/>
      <c r="I215" s="3873"/>
      <c r="J215" s="3873"/>
      <c r="K215" s="3873"/>
      <c r="L215" s="3873"/>
      <c r="M215" s="3873"/>
      <c r="N215" s="3873"/>
      <c r="O215" s="3873"/>
      <c r="P215" s="3779"/>
      <c r="Q215" s="3779"/>
      <c r="R215" s="3788"/>
      <c r="S215" s="3788"/>
      <c r="T215" s="3873"/>
      <c r="U215" s="3873"/>
      <c r="V215" s="3873"/>
      <c r="W215" s="3873"/>
      <c r="X215" s="3873"/>
      <c r="Y215" s="3873"/>
      <c r="Z215" s="3873"/>
      <c r="AA215" s="3873"/>
      <c r="AB215" s="3788"/>
      <c r="AC215" s="3788"/>
      <c r="AD215" s="3873"/>
      <c r="AE215" s="3873"/>
      <c r="AF215" s="3873"/>
      <c r="AG215" s="3873"/>
    </row>
    <row r="219" spans="1:33" ht="18" customHeight="1" thickBot="1">
      <c r="A219" s="90" t="s">
        <v>254</v>
      </c>
      <c r="B219" s="48"/>
      <c r="C219" s="64"/>
      <c r="D219" s="48"/>
      <c r="E219" s="48"/>
      <c r="F219" s="64"/>
      <c r="G219" s="48"/>
      <c r="H219" s="48"/>
      <c r="I219" s="64"/>
      <c r="J219" s="64"/>
      <c r="K219" s="48"/>
      <c r="L219" s="64"/>
      <c r="M219" s="48"/>
      <c r="N219" s="48"/>
      <c r="O219" s="64"/>
      <c r="P219" s="48"/>
      <c r="Q219" s="64"/>
      <c r="R219" s="64"/>
      <c r="S219" s="48"/>
      <c r="T219" s="48"/>
      <c r="U219" s="64"/>
      <c r="V219" s="48"/>
      <c r="W219" s="64"/>
      <c r="X219" s="64"/>
      <c r="Y219" s="48"/>
      <c r="Z219" s="48"/>
      <c r="AA219" s="48"/>
      <c r="AB219" s="48"/>
      <c r="AC219" s="48"/>
      <c r="AD219" s="48"/>
      <c r="AE219" s="64"/>
    </row>
    <row r="220" spans="1:33" ht="18" customHeight="1">
      <c r="A220" s="67"/>
      <c r="B220" s="2851" t="s">
        <v>255</v>
      </c>
      <c r="C220" s="2852"/>
      <c r="D220" s="2853" t="s">
        <v>19</v>
      </c>
      <c r="E220" s="3224"/>
      <c r="F220" s="2854"/>
      <c r="G220" s="2855"/>
      <c r="H220" s="2853" t="s">
        <v>20</v>
      </c>
      <c r="I220" s="3224"/>
      <c r="J220" s="2854"/>
      <c r="K220" s="2855"/>
      <c r="L220" s="2853" t="s">
        <v>21</v>
      </c>
      <c r="M220" s="3224"/>
      <c r="N220" s="2854"/>
      <c r="O220" s="2855"/>
      <c r="P220" s="2853" t="s">
        <v>22</v>
      </c>
      <c r="Q220" s="3224"/>
      <c r="R220" s="2854"/>
      <c r="S220" s="2855"/>
      <c r="T220" s="2853" t="s">
        <v>23</v>
      </c>
      <c r="U220" s="3224"/>
      <c r="V220" s="2854"/>
      <c r="W220" s="2855"/>
      <c r="X220" s="2853" t="s">
        <v>24</v>
      </c>
      <c r="Y220" s="3224"/>
      <c r="Z220" s="2854"/>
      <c r="AA220" s="2855"/>
      <c r="AB220" s="2853" t="s">
        <v>25</v>
      </c>
      <c r="AC220" s="3224"/>
      <c r="AD220" s="3224"/>
      <c r="AE220" s="2856" t="s">
        <v>108</v>
      </c>
    </row>
    <row r="221" spans="1:33" ht="18" customHeight="1">
      <c r="A221" s="67"/>
      <c r="B221" s="4057" t="s">
        <v>256</v>
      </c>
      <c r="C221" s="4058" t="s">
        <v>152</v>
      </c>
      <c r="D221" s="4059" t="s">
        <v>258</v>
      </c>
      <c r="E221" s="4060"/>
      <c r="F221" s="4061"/>
      <c r="G221" s="4062"/>
      <c r="H221" s="4063" t="s">
        <v>258</v>
      </c>
      <c r="I221" s="4064"/>
      <c r="J221" s="4061"/>
      <c r="K221" s="4062"/>
      <c r="L221" s="4063" t="s">
        <v>258</v>
      </c>
      <c r="M221" s="4064"/>
      <c r="N221" s="4061"/>
      <c r="O221" s="4062"/>
      <c r="P221" s="4063" t="s">
        <v>259</v>
      </c>
      <c r="Q221" s="4064"/>
      <c r="R221" s="4061"/>
      <c r="S221" s="4062"/>
      <c r="T221" s="4063" t="s">
        <v>260</v>
      </c>
      <c r="U221" s="4064"/>
      <c r="V221" s="4061"/>
      <c r="W221" s="4065"/>
      <c r="X221" s="3980"/>
      <c r="Y221" s="3980"/>
      <c r="Z221" s="4066"/>
      <c r="AA221" s="4065"/>
      <c r="AB221" s="3980"/>
      <c r="AC221" s="3980"/>
      <c r="AD221" s="3980"/>
      <c r="AE221" s="4065"/>
    </row>
    <row r="222" spans="1:33" ht="18" customHeight="1">
      <c r="A222" s="67"/>
      <c r="B222" s="4057" t="s">
        <v>261</v>
      </c>
      <c r="C222" s="4058" t="s">
        <v>130</v>
      </c>
      <c r="D222" s="4059" t="s">
        <v>258</v>
      </c>
      <c r="E222" s="4060"/>
      <c r="F222" s="4061"/>
      <c r="G222" s="4062"/>
      <c r="H222" s="4063" t="s">
        <v>258</v>
      </c>
      <c r="I222" s="4064"/>
      <c r="J222" s="4061"/>
      <c r="K222" s="4062"/>
      <c r="L222" s="4063" t="s">
        <v>262</v>
      </c>
      <c r="M222" s="4064"/>
      <c r="N222" s="4061"/>
      <c r="O222" s="4062"/>
      <c r="P222" s="4063" t="s">
        <v>263</v>
      </c>
      <c r="Q222" s="4064"/>
      <c r="R222" s="4061"/>
      <c r="S222" s="4062"/>
      <c r="T222" s="4063" t="s">
        <v>264</v>
      </c>
      <c r="U222" s="4064"/>
      <c r="V222" s="4061"/>
      <c r="W222" s="4065"/>
      <c r="X222" s="3980"/>
      <c r="Y222" s="3980"/>
      <c r="Z222" s="4066"/>
      <c r="AA222" s="4065"/>
      <c r="AB222" s="3980"/>
      <c r="AC222" s="3980"/>
      <c r="AD222" s="3980"/>
      <c r="AE222" s="4065"/>
    </row>
    <row r="223" spans="1:33" ht="18" customHeight="1">
      <c r="A223" s="67"/>
      <c r="B223" s="4057" t="s">
        <v>265</v>
      </c>
      <c r="C223" s="4058" t="s">
        <v>153</v>
      </c>
      <c r="D223" s="4059" t="s">
        <v>266</v>
      </c>
      <c r="E223" s="4060"/>
      <c r="F223" s="4061"/>
      <c r="G223" s="4062"/>
      <c r="H223" s="4059" t="s">
        <v>266</v>
      </c>
      <c r="I223" s="4064"/>
      <c r="J223" s="4061"/>
      <c r="K223" s="4062"/>
      <c r="L223" s="4059" t="s">
        <v>266</v>
      </c>
      <c r="M223" s="4064"/>
      <c r="N223" s="4061"/>
      <c r="O223" s="4062"/>
      <c r="P223" s="4063" t="s">
        <v>267</v>
      </c>
      <c r="Q223" s="4064"/>
      <c r="R223" s="4061"/>
      <c r="S223" s="4062"/>
      <c r="T223" s="4063" t="s">
        <v>264</v>
      </c>
      <c r="U223" s="4064"/>
      <c r="V223" s="4061"/>
      <c r="W223" s="4065"/>
      <c r="X223" s="3980"/>
      <c r="Y223" s="3980"/>
      <c r="Z223" s="4066"/>
      <c r="AA223" s="4065"/>
      <c r="AB223" s="3980"/>
      <c r="AC223" s="3980"/>
      <c r="AD223" s="3980"/>
      <c r="AE223" s="4065"/>
    </row>
    <row r="224" spans="1:33" ht="18" customHeight="1">
      <c r="A224" s="67"/>
      <c r="B224" s="4057" t="s">
        <v>268</v>
      </c>
      <c r="C224" s="4058" t="s">
        <v>132</v>
      </c>
      <c r="D224" s="4059" t="s">
        <v>269</v>
      </c>
      <c r="E224" s="4060"/>
      <c r="F224" s="4061"/>
      <c r="G224" s="4062"/>
      <c r="H224" s="4063" t="s">
        <v>258</v>
      </c>
      <c r="I224" s="4064"/>
      <c r="J224" s="4061"/>
      <c r="K224" s="4062"/>
      <c r="L224" s="4063" t="s">
        <v>258</v>
      </c>
      <c r="M224" s="4064"/>
      <c r="N224" s="4061"/>
      <c r="O224" s="4062"/>
      <c r="P224" s="4063" t="s">
        <v>270</v>
      </c>
      <c r="Q224" s="4064"/>
      <c r="R224" s="4061"/>
      <c r="S224" s="4062"/>
      <c r="T224" s="4063" t="s">
        <v>271</v>
      </c>
      <c r="U224" s="4064"/>
      <c r="V224" s="4061"/>
      <c r="W224" s="4065"/>
      <c r="X224" s="3980"/>
      <c r="Y224" s="3980"/>
      <c r="Z224" s="4066"/>
      <c r="AA224" s="4065"/>
      <c r="AB224" s="3980"/>
      <c r="AC224" s="3980"/>
      <c r="AD224" s="3980"/>
      <c r="AE224" s="4065"/>
    </row>
    <row r="225" spans="1:33" ht="18" customHeight="1">
      <c r="A225" s="67"/>
      <c r="B225" s="3993" t="s">
        <v>272</v>
      </c>
      <c r="C225" s="4058" t="s">
        <v>128</v>
      </c>
      <c r="D225" s="4059" t="s">
        <v>273</v>
      </c>
      <c r="E225" s="4060"/>
      <c r="F225" s="4067"/>
      <c r="G225" s="4068"/>
      <c r="H225" s="4059" t="s">
        <v>273</v>
      </c>
      <c r="I225" s="4069"/>
      <c r="J225" s="4067"/>
      <c r="K225" s="4068"/>
      <c r="L225" s="4059" t="s">
        <v>273</v>
      </c>
      <c r="M225" s="4069"/>
      <c r="N225" s="4067"/>
      <c r="O225" s="4068"/>
      <c r="P225" s="4063" t="s">
        <v>274</v>
      </c>
      <c r="Q225" s="4069"/>
      <c r="R225" s="4067"/>
      <c r="S225" s="4068"/>
      <c r="T225" s="4063" t="s">
        <v>264</v>
      </c>
      <c r="U225" s="4069"/>
      <c r="V225" s="3399"/>
      <c r="W225" s="4070"/>
      <c r="X225" s="4071"/>
      <c r="Y225" s="4071"/>
      <c r="Z225" s="3981"/>
      <c r="AA225" s="4070"/>
      <c r="AB225" s="4071"/>
      <c r="AC225" s="4071"/>
      <c r="AD225" s="4071"/>
      <c r="AE225" s="4070"/>
    </row>
    <row r="226" spans="1:33" ht="18" customHeight="1">
      <c r="A226" s="67"/>
      <c r="B226" s="4057" t="s">
        <v>275</v>
      </c>
      <c r="C226" s="4058" t="s">
        <v>127</v>
      </c>
      <c r="D226" s="4059" t="s">
        <v>276</v>
      </c>
      <c r="E226" s="4060"/>
      <c r="F226" s="4061"/>
      <c r="G226" s="4062"/>
      <c r="H226" s="4059" t="s">
        <v>276</v>
      </c>
      <c r="I226" s="4064"/>
      <c r="J226" s="4061"/>
      <c r="K226" s="4062"/>
      <c r="L226" s="4059" t="s">
        <v>276</v>
      </c>
      <c r="M226" s="4064"/>
      <c r="N226" s="4061"/>
      <c r="O226" s="4062"/>
      <c r="P226" s="4063" t="s">
        <v>277</v>
      </c>
      <c r="Q226" s="4064"/>
      <c r="R226" s="4061"/>
      <c r="S226" s="4062"/>
      <c r="T226" s="4063" t="s">
        <v>264</v>
      </c>
      <c r="U226" s="4064"/>
      <c r="V226" s="4061"/>
      <c r="W226" s="4065"/>
      <c r="X226" s="3980"/>
      <c r="Y226" s="3980"/>
      <c r="Z226" s="3400"/>
      <c r="AA226" s="4065"/>
      <c r="AB226" s="3980"/>
      <c r="AC226" s="3980"/>
      <c r="AD226" s="3980"/>
      <c r="AE226" s="4065"/>
    </row>
    <row r="227" spans="1:33" ht="18" customHeight="1">
      <c r="A227" s="67"/>
      <c r="B227" s="4057" t="s">
        <v>446</v>
      </c>
      <c r="C227" s="4058" t="s">
        <v>403</v>
      </c>
      <c r="D227" s="4059" t="s">
        <v>279</v>
      </c>
      <c r="E227" s="4060"/>
      <c r="F227" s="4061"/>
      <c r="G227" s="4062"/>
      <c r="H227" s="4063" t="s">
        <v>279</v>
      </c>
      <c r="I227" s="4064"/>
      <c r="J227" s="4061"/>
      <c r="K227" s="4062"/>
      <c r="L227" s="4063" t="s">
        <v>279</v>
      </c>
      <c r="M227" s="4064"/>
      <c r="N227" s="4064"/>
      <c r="O227" s="4062"/>
      <c r="P227" s="4063" t="s">
        <v>279</v>
      </c>
      <c r="Q227" s="4064"/>
      <c r="R227" s="4064"/>
      <c r="S227" s="4062"/>
      <c r="T227" s="4063" t="s">
        <v>264</v>
      </c>
      <c r="U227" s="4064"/>
      <c r="V227" s="4061"/>
      <c r="W227" s="4057"/>
      <c r="X227" s="3980"/>
      <c r="Y227" s="3980"/>
      <c r="Z227" s="3400"/>
      <c r="AA227" s="4065"/>
      <c r="AB227" s="3980"/>
      <c r="AC227" s="3980"/>
      <c r="AD227" s="3980"/>
      <c r="AE227" s="4065"/>
    </row>
    <row r="228" spans="1:33" ht="18" customHeight="1">
      <c r="A228" s="67"/>
      <c r="B228" s="4057" t="s">
        <v>278</v>
      </c>
      <c r="C228" s="4058" t="s">
        <v>116</v>
      </c>
      <c r="D228" s="4059" t="s">
        <v>279</v>
      </c>
      <c r="E228" s="4060"/>
      <c r="F228" s="4061"/>
      <c r="G228" s="4062"/>
      <c r="H228" s="4063" t="s">
        <v>279</v>
      </c>
      <c r="I228" s="4064"/>
      <c r="J228" s="4061"/>
      <c r="K228" s="4062"/>
      <c r="L228" s="4063" t="s">
        <v>279</v>
      </c>
      <c r="M228" s="4064"/>
      <c r="N228" s="4064"/>
      <c r="O228" s="4062"/>
      <c r="P228" s="4063" t="s">
        <v>279</v>
      </c>
      <c r="Q228" s="4064"/>
      <c r="R228" s="4064"/>
      <c r="S228" s="4062"/>
      <c r="T228" s="4063" t="s">
        <v>264</v>
      </c>
      <c r="U228" s="4064"/>
      <c r="V228" s="4061"/>
      <c r="W228" s="4057"/>
      <c r="X228" s="3980"/>
      <c r="Y228" s="3980"/>
      <c r="Z228" s="4066"/>
      <c r="AA228" s="4072"/>
      <c r="AB228" s="3980"/>
      <c r="AC228" s="3980"/>
      <c r="AD228" s="3980"/>
      <c r="AE228" s="4065"/>
    </row>
    <row r="229" spans="1:33" ht="18" customHeight="1">
      <c r="A229" s="67"/>
      <c r="B229" s="3396" t="s">
        <v>280</v>
      </c>
      <c r="C229" s="4058" t="s">
        <v>123</v>
      </c>
      <c r="D229" s="4059" t="s">
        <v>448</v>
      </c>
      <c r="E229" s="4060"/>
      <c r="F229" s="4061"/>
      <c r="G229" s="4062"/>
      <c r="H229" s="4059" t="s">
        <v>448</v>
      </c>
      <c r="I229" s="4059"/>
      <c r="J229" s="4061"/>
      <c r="K229" s="4062"/>
      <c r="L229" s="4059" t="s">
        <v>448</v>
      </c>
      <c r="M229" s="4059"/>
      <c r="N229" s="4064"/>
      <c r="O229" s="4062"/>
      <c r="P229" s="4063" t="s">
        <v>449</v>
      </c>
      <c r="Q229" s="4064"/>
      <c r="R229" s="4064"/>
      <c r="S229" s="4062"/>
      <c r="T229" s="4063" t="s">
        <v>450</v>
      </c>
      <c r="U229" s="4064"/>
      <c r="V229" s="4061"/>
      <c r="AA229" s="110"/>
      <c r="AE229" s="110"/>
    </row>
    <row r="230" spans="1:33" ht="18" customHeight="1" thickBot="1">
      <c r="A230" s="67"/>
      <c r="B230" t="s">
        <v>284</v>
      </c>
      <c r="C230" s="110"/>
      <c r="F230" s="110"/>
      <c r="I230" s="110"/>
      <c r="J230" s="110"/>
      <c r="L230" s="110"/>
      <c r="O230" s="110"/>
      <c r="Q230" s="110"/>
      <c r="R230" s="110"/>
      <c r="U230" s="110"/>
      <c r="W230" s="110"/>
      <c r="X230" s="110"/>
      <c r="AE230" s="110"/>
    </row>
    <row r="231" spans="1:33" ht="18" customHeight="1">
      <c r="A231" s="67"/>
      <c r="B231" s="2851" t="s">
        <v>255</v>
      </c>
      <c r="C231" s="2874"/>
      <c r="D231" s="2853" t="s">
        <v>19</v>
      </c>
      <c r="E231" s="3224"/>
      <c r="F231" s="2854"/>
      <c r="G231" s="2855"/>
      <c r="H231" s="2853" t="s">
        <v>20</v>
      </c>
      <c r="I231" s="3224"/>
      <c r="J231" s="2854"/>
      <c r="K231" s="2855"/>
      <c r="L231" s="2853" t="s">
        <v>21</v>
      </c>
      <c r="M231" s="3224"/>
      <c r="N231" s="2854"/>
      <c r="O231" s="2855"/>
      <c r="P231" s="2853" t="s">
        <v>22</v>
      </c>
      <c r="Q231" s="3224"/>
      <c r="R231" s="2854"/>
      <c r="S231" s="2855"/>
      <c r="T231" s="2853" t="s">
        <v>23</v>
      </c>
      <c r="U231" s="3224"/>
      <c r="V231" s="2854"/>
      <c r="W231" s="2855"/>
      <c r="X231" s="2853" t="s">
        <v>24</v>
      </c>
      <c r="Y231" s="3224"/>
      <c r="Z231" s="2854"/>
      <c r="AA231" s="2855"/>
      <c r="AB231" s="2853" t="s">
        <v>25</v>
      </c>
      <c r="AC231" s="3224"/>
      <c r="AD231" s="3224"/>
      <c r="AE231" s="2856" t="s">
        <v>108</v>
      </c>
    </row>
    <row r="232" spans="1:33" ht="18" customHeight="1">
      <c r="A232" s="67"/>
      <c r="B232" s="4057" t="s">
        <v>514</v>
      </c>
      <c r="C232" s="4058" t="s">
        <v>515</v>
      </c>
      <c r="D232" s="4059" t="s">
        <v>276</v>
      </c>
      <c r="E232" s="4060"/>
      <c r="F232" s="4061"/>
      <c r="G232" s="4062"/>
      <c r="H232" s="4059" t="s">
        <v>516</v>
      </c>
      <c r="I232" s="4060"/>
      <c r="J232" s="4061"/>
      <c r="K232" s="4062"/>
      <c r="L232" s="4059" t="s">
        <v>517</v>
      </c>
      <c r="M232" s="4060"/>
      <c r="N232" s="4061"/>
      <c r="O232" s="4062"/>
      <c r="P232" s="4063" t="s">
        <v>518</v>
      </c>
      <c r="Q232" s="4064"/>
      <c r="R232" s="4061"/>
      <c r="S232" s="4062"/>
      <c r="T232" s="4059" t="s">
        <v>519</v>
      </c>
      <c r="U232" s="4060"/>
      <c r="V232" s="4061"/>
      <c r="W232" s="111"/>
      <c r="X232" s="499"/>
      <c r="Y232" s="111"/>
      <c r="Z232" s="111"/>
      <c r="AA232" s="111"/>
      <c r="AB232" s="499"/>
      <c r="AC232" s="111"/>
      <c r="AD232" s="111"/>
      <c r="AE232" s="499"/>
    </row>
    <row r="233" spans="1:33" ht="18" customHeight="1">
      <c r="A233" s="67"/>
      <c r="B233" s="4057" t="s">
        <v>256</v>
      </c>
      <c r="C233" s="4058" t="s">
        <v>152</v>
      </c>
      <c r="D233" s="4059" t="s">
        <v>285</v>
      </c>
      <c r="E233" s="4060"/>
      <c r="F233" s="4061"/>
      <c r="G233" s="4062"/>
      <c r="H233" s="4059" t="s">
        <v>285</v>
      </c>
      <c r="I233" s="4064"/>
      <c r="J233" s="4061"/>
      <c r="K233" s="4062"/>
      <c r="L233" s="4059" t="s">
        <v>285</v>
      </c>
      <c r="M233" s="4064"/>
      <c r="N233" s="4061"/>
      <c r="O233" s="4062"/>
      <c r="P233" s="4063" t="s">
        <v>286</v>
      </c>
      <c r="Q233" s="4064"/>
      <c r="R233" s="4061"/>
      <c r="S233" s="4062"/>
      <c r="T233" s="4063" t="s">
        <v>287</v>
      </c>
      <c r="U233" s="4064"/>
      <c r="V233" s="4061"/>
      <c r="W233" s="4073"/>
      <c r="X233" s="3400"/>
      <c r="Y233" s="3400"/>
      <c r="Z233" s="3399"/>
      <c r="AA233" s="4073"/>
      <c r="AB233" s="3400"/>
      <c r="AC233" s="3400"/>
      <c r="AD233" s="3400"/>
      <c r="AE233" s="4073"/>
    </row>
    <row r="234" spans="1:33" ht="18" customHeight="1">
      <c r="A234" s="67"/>
      <c r="B234" s="4057" t="s">
        <v>261</v>
      </c>
      <c r="C234" s="4058" t="s">
        <v>130</v>
      </c>
      <c r="D234" s="4059" t="s">
        <v>285</v>
      </c>
      <c r="E234" s="4060"/>
      <c r="F234" s="4061"/>
      <c r="G234" s="4062"/>
      <c r="H234" s="4059" t="s">
        <v>285</v>
      </c>
      <c r="I234" s="4064"/>
      <c r="J234" s="4061"/>
      <c r="K234" s="4062"/>
      <c r="L234" s="4063" t="s">
        <v>262</v>
      </c>
      <c r="M234" s="4064"/>
      <c r="N234" s="4061"/>
      <c r="O234" s="4062"/>
      <c r="P234" s="4063" t="s">
        <v>288</v>
      </c>
      <c r="Q234" s="4064"/>
      <c r="R234" s="4061"/>
      <c r="S234" s="4062"/>
      <c r="T234" s="4063" t="s">
        <v>289</v>
      </c>
      <c r="U234" s="4064"/>
      <c r="V234" s="4061"/>
      <c r="W234" s="4073"/>
      <c r="X234" s="3400"/>
      <c r="Y234" s="3400"/>
      <c r="Z234" s="3399"/>
      <c r="AA234" s="4073"/>
      <c r="AB234" s="3400"/>
      <c r="AC234" s="3400"/>
      <c r="AD234" s="3400"/>
      <c r="AE234" s="4073"/>
      <c r="AF234" s="3400"/>
      <c r="AG234" s="4074"/>
    </row>
    <row r="235" spans="1:33" ht="18" customHeight="1">
      <c r="A235" s="67"/>
      <c r="B235" s="4057" t="s">
        <v>265</v>
      </c>
      <c r="C235" s="4058" t="s">
        <v>153</v>
      </c>
      <c r="D235" s="4059" t="s">
        <v>285</v>
      </c>
      <c r="E235" s="4060"/>
      <c r="F235" s="4061"/>
      <c r="G235" s="4062"/>
      <c r="H235" s="4059" t="s">
        <v>285</v>
      </c>
      <c r="I235" s="4064"/>
      <c r="J235" s="4061"/>
      <c r="K235" s="4062"/>
      <c r="L235" s="4059" t="s">
        <v>285</v>
      </c>
      <c r="M235" s="4064"/>
      <c r="N235" s="4061"/>
      <c r="O235" s="4062"/>
      <c r="P235" s="4063" t="s">
        <v>290</v>
      </c>
      <c r="Q235" s="4064"/>
      <c r="R235" s="4061"/>
      <c r="S235" s="4062"/>
      <c r="T235" s="4063" t="s">
        <v>289</v>
      </c>
      <c r="U235" s="4064"/>
      <c r="V235" s="4061"/>
      <c r="W235" s="4073"/>
      <c r="X235" s="3400"/>
      <c r="Y235" s="3400"/>
      <c r="Z235" s="3399"/>
      <c r="AA235" s="4073"/>
      <c r="AB235" s="3400"/>
      <c r="AC235" s="3400"/>
      <c r="AD235" s="3400"/>
      <c r="AE235" s="4073"/>
      <c r="AF235" s="3400"/>
      <c r="AG235" s="4074"/>
    </row>
    <row r="236" spans="1:33" ht="18" customHeight="1">
      <c r="A236" s="67"/>
      <c r="B236" s="4057" t="s">
        <v>268</v>
      </c>
      <c r="C236" s="4058" t="s">
        <v>132</v>
      </c>
      <c r="D236" s="4059" t="s">
        <v>291</v>
      </c>
      <c r="E236" s="4060"/>
      <c r="F236" s="4061"/>
      <c r="G236" s="4062"/>
      <c r="H236" s="4059" t="s">
        <v>291</v>
      </c>
      <c r="I236" s="4064"/>
      <c r="J236" s="4061"/>
      <c r="K236" s="4062"/>
      <c r="L236" s="4059" t="s">
        <v>273</v>
      </c>
      <c r="M236" s="4064"/>
      <c r="N236" s="4061"/>
      <c r="O236" s="4062"/>
      <c r="P236" s="4063" t="s">
        <v>292</v>
      </c>
      <c r="Q236" s="4064"/>
      <c r="R236" s="4061"/>
      <c r="S236" s="4062"/>
      <c r="T236" s="4063" t="s">
        <v>287</v>
      </c>
      <c r="U236" s="4064"/>
      <c r="V236" s="4061"/>
      <c r="W236" s="4073"/>
      <c r="X236" s="3400"/>
      <c r="Y236" s="3400"/>
      <c r="Z236" s="3399"/>
      <c r="AA236" s="4073"/>
      <c r="AB236" s="3400"/>
      <c r="AC236" s="3400"/>
      <c r="AD236" s="3400"/>
      <c r="AE236" s="4073"/>
      <c r="AF236" s="3400"/>
      <c r="AG236" s="4074"/>
    </row>
    <row r="237" spans="1:33" ht="18" customHeight="1">
      <c r="A237" s="67"/>
      <c r="B237" s="3993" t="s">
        <v>272</v>
      </c>
      <c r="C237" s="4058" t="s">
        <v>128</v>
      </c>
      <c r="D237" s="4059" t="s">
        <v>285</v>
      </c>
      <c r="E237" s="4060"/>
      <c r="F237" s="4061"/>
      <c r="G237" s="4062"/>
      <c r="H237" s="4059" t="s">
        <v>285</v>
      </c>
      <c r="I237" s="4064"/>
      <c r="J237" s="4061"/>
      <c r="K237" s="4062"/>
      <c r="L237" s="4059" t="s">
        <v>285</v>
      </c>
      <c r="M237" s="4064"/>
      <c r="N237" s="4061"/>
      <c r="O237" s="4062"/>
      <c r="P237" s="4063" t="s">
        <v>290</v>
      </c>
      <c r="Q237" s="4064"/>
      <c r="R237" s="4061"/>
      <c r="S237" s="4062"/>
      <c r="T237" s="4063" t="s">
        <v>289</v>
      </c>
      <c r="U237" s="4064"/>
      <c r="V237" s="4061"/>
      <c r="W237" s="4070"/>
      <c r="X237" s="4071"/>
      <c r="Y237" s="4071"/>
      <c r="Z237" s="3981"/>
      <c r="AA237" s="4070"/>
      <c r="AB237" s="4071"/>
      <c r="AC237" s="4071"/>
      <c r="AD237" s="4071"/>
      <c r="AE237" s="4070"/>
      <c r="AF237" s="4071"/>
      <c r="AG237" s="4075"/>
    </row>
    <row r="238" spans="1:33" ht="18" customHeight="1">
      <c r="A238" s="67"/>
      <c r="B238" s="4057" t="s">
        <v>275</v>
      </c>
      <c r="C238" s="4058" t="s">
        <v>127</v>
      </c>
      <c r="D238" s="4059" t="s">
        <v>285</v>
      </c>
      <c r="E238" s="4060"/>
      <c r="F238" s="4061"/>
      <c r="G238" s="4062"/>
      <c r="H238" s="4059" t="s">
        <v>285</v>
      </c>
      <c r="I238" s="4064"/>
      <c r="J238" s="4061"/>
      <c r="K238" s="4062"/>
      <c r="L238" s="4059" t="s">
        <v>285</v>
      </c>
      <c r="M238" s="4064"/>
      <c r="N238" s="4061"/>
      <c r="O238" s="4062"/>
      <c r="P238" s="4063" t="s">
        <v>286</v>
      </c>
      <c r="Q238" s="4064"/>
      <c r="R238" s="4061"/>
      <c r="S238" s="4062"/>
      <c r="T238" s="4063" t="s">
        <v>287</v>
      </c>
      <c r="U238" s="4064"/>
      <c r="V238" s="4061"/>
      <c r="W238" s="4073"/>
      <c r="X238" s="3400"/>
      <c r="Y238" s="3400"/>
      <c r="Z238" s="3400"/>
      <c r="AA238" s="4073"/>
      <c r="AB238" s="3400"/>
      <c r="AC238" s="3400"/>
      <c r="AD238" s="3400"/>
      <c r="AE238" s="4073"/>
      <c r="AF238" s="3400"/>
      <c r="AG238" s="4074"/>
    </row>
    <row r="239" spans="1:33" ht="18" customHeight="1">
      <c r="A239" s="67"/>
      <c r="B239" s="4057" t="s">
        <v>278</v>
      </c>
      <c r="C239" s="4058" t="s">
        <v>116</v>
      </c>
      <c r="D239" s="4059" t="s">
        <v>279</v>
      </c>
      <c r="E239" s="4060"/>
      <c r="F239" s="4061"/>
      <c r="G239" s="4062"/>
      <c r="H239" s="4063" t="s">
        <v>279</v>
      </c>
      <c r="I239" s="4064"/>
      <c r="J239" s="4061"/>
      <c r="K239" s="4062"/>
      <c r="L239" s="4063" t="s">
        <v>279</v>
      </c>
      <c r="M239" s="4064"/>
      <c r="N239" s="4064"/>
      <c r="O239" s="4062"/>
      <c r="P239" s="4063" t="s">
        <v>279</v>
      </c>
      <c r="Q239" s="4064"/>
      <c r="R239" s="4064"/>
      <c r="S239" s="4062"/>
      <c r="T239" s="4063" t="s">
        <v>264</v>
      </c>
      <c r="U239" s="4064"/>
      <c r="V239" s="4061"/>
      <c r="W239" s="4057"/>
      <c r="X239" s="3400"/>
      <c r="Y239" s="3400"/>
      <c r="Z239" s="3399"/>
      <c r="AA239" s="4072"/>
      <c r="AB239" s="3400"/>
      <c r="AC239" s="3400"/>
      <c r="AD239" s="3400"/>
      <c r="AE239" s="4073"/>
      <c r="AF239" s="3400"/>
      <c r="AG239" s="4074"/>
    </row>
    <row r="240" spans="1:33" ht="18" customHeight="1">
      <c r="A240" s="67"/>
      <c r="B240" s="3396" t="s">
        <v>280</v>
      </c>
      <c r="C240" s="4058" t="s">
        <v>123</v>
      </c>
      <c r="D240" s="4059" t="s">
        <v>448</v>
      </c>
      <c r="E240" s="4060"/>
      <c r="F240" s="4061"/>
      <c r="G240" s="4062"/>
      <c r="H240" s="4059" t="s">
        <v>448</v>
      </c>
      <c r="I240" s="4059"/>
      <c r="J240" s="4061"/>
      <c r="K240" s="4062"/>
      <c r="L240" s="4059" t="s">
        <v>448</v>
      </c>
      <c r="M240" s="4059"/>
      <c r="N240" s="4064"/>
      <c r="O240" s="4062"/>
      <c r="P240" s="4063" t="s">
        <v>449</v>
      </c>
      <c r="Q240" s="4064"/>
      <c r="R240" s="4064"/>
      <c r="S240" s="4062"/>
      <c r="T240" s="4063" t="s">
        <v>450</v>
      </c>
      <c r="U240" s="4064"/>
      <c r="V240" s="4061"/>
      <c r="W240" s="3396"/>
      <c r="X240" s="3980"/>
      <c r="Y240" s="3980"/>
      <c r="Z240" s="3399"/>
      <c r="AA240" s="4072"/>
      <c r="AB240" s="3980"/>
      <c r="AC240" s="3980"/>
      <c r="AD240" s="3980"/>
      <c r="AE240" s="4073"/>
      <c r="AF240" s="3980"/>
      <c r="AG240" s="4074"/>
    </row>
    <row r="241" spans="1:34" ht="18" customHeight="1" thickBot="1">
      <c r="A241" s="67"/>
      <c r="B241" s="119"/>
      <c r="C241" s="120"/>
      <c r="D241" s="121"/>
      <c r="E241" s="122"/>
      <c r="F241" s="122"/>
      <c r="G241" s="123"/>
      <c r="H241" s="121"/>
      <c r="I241" s="122"/>
      <c r="J241" s="122"/>
      <c r="K241" s="123"/>
      <c r="L241" s="121"/>
      <c r="M241" s="122"/>
      <c r="N241" s="122"/>
      <c r="O241" s="123"/>
      <c r="P241" s="115"/>
      <c r="Q241" s="122"/>
      <c r="R241" s="122"/>
      <c r="S241" s="123"/>
      <c r="T241" s="115"/>
      <c r="U241" s="122"/>
      <c r="V241" s="122"/>
      <c r="W241" s="122"/>
      <c r="X241" s="122"/>
      <c r="Y241" s="122"/>
      <c r="Z241" s="122"/>
      <c r="AA241" s="123"/>
      <c r="AB241" s="122"/>
      <c r="AC241" s="122"/>
      <c r="AD241" s="122"/>
      <c r="AE241" s="123"/>
      <c r="AF241" s="122"/>
      <c r="AG241" s="112"/>
    </row>
    <row r="242" spans="1:34" ht="18" customHeight="1" thickBot="1">
      <c r="A242" s="89"/>
      <c r="B242" s="4076" t="s">
        <v>38</v>
      </c>
      <c r="C242" s="2985">
        <v>1</v>
      </c>
      <c r="D242" s="2985">
        <v>2</v>
      </c>
      <c r="E242" s="2985">
        <v>3</v>
      </c>
      <c r="F242" s="2986">
        <v>4</v>
      </c>
      <c r="G242" s="2986">
        <v>5</v>
      </c>
      <c r="H242" s="2985">
        <v>6</v>
      </c>
      <c r="I242" s="2985">
        <v>7</v>
      </c>
      <c r="J242" s="2985">
        <v>8</v>
      </c>
      <c r="K242" s="2985">
        <v>9</v>
      </c>
      <c r="L242" s="2985">
        <v>10</v>
      </c>
      <c r="M242" s="2986">
        <v>11</v>
      </c>
      <c r="N242" s="2986">
        <v>12</v>
      </c>
      <c r="O242" s="2985">
        <v>13</v>
      </c>
      <c r="P242" s="2985">
        <v>14</v>
      </c>
      <c r="Q242" s="2985">
        <v>15</v>
      </c>
      <c r="R242" s="2985">
        <v>16</v>
      </c>
      <c r="S242" s="2985">
        <v>17</v>
      </c>
      <c r="T242" s="2986">
        <v>18</v>
      </c>
      <c r="U242" s="2986">
        <v>19</v>
      </c>
      <c r="V242" s="2985">
        <v>20</v>
      </c>
      <c r="W242" s="2985">
        <v>21</v>
      </c>
      <c r="X242" s="2985">
        <v>22</v>
      </c>
      <c r="Y242" s="2985">
        <v>23</v>
      </c>
      <c r="Z242" s="2985">
        <v>24</v>
      </c>
      <c r="AA242" s="2986">
        <v>25</v>
      </c>
      <c r="AB242" s="2986">
        <v>26</v>
      </c>
      <c r="AC242" s="2985">
        <v>27</v>
      </c>
      <c r="AD242" s="2985">
        <v>28</v>
      </c>
      <c r="AE242" s="2985">
        <v>29</v>
      </c>
      <c r="AF242" s="2985">
        <v>30</v>
      </c>
      <c r="AG242" s="2985">
        <v>31</v>
      </c>
    </row>
    <row r="243" spans="1:34" ht="18" customHeight="1">
      <c r="A243" s="67"/>
      <c r="B243" s="4077" t="s">
        <v>293</v>
      </c>
      <c r="C243" s="3822" t="s">
        <v>152</v>
      </c>
      <c r="D243" s="3822" t="s">
        <v>152</v>
      </c>
      <c r="E243" s="3822" t="s">
        <v>152</v>
      </c>
      <c r="F243" s="3822"/>
      <c r="G243" s="3822"/>
      <c r="H243" s="3822" t="s">
        <v>152</v>
      </c>
      <c r="I243" s="3822" t="s">
        <v>152</v>
      </c>
      <c r="J243" s="3822" t="s">
        <v>152</v>
      </c>
      <c r="K243" s="3822" t="s">
        <v>152</v>
      </c>
      <c r="L243" s="3821" t="s">
        <v>152</v>
      </c>
      <c r="M243" s="3822"/>
      <c r="N243" s="3822"/>
      <c r="O243" s="3822" t="s">
        <v>152</v>
      </c>
      <c r="P243" s="3822" t="s">
        <v>152</v>
      </c>
      <c r="Q243" s="3822" t="s">
        <v>152</v>
      </c>
      <c r="R243" s="3822" t="s">
        <v>152</v>
      </c>
      <c r="S243" s="3822" t="s">
        <v>152</v>
      </c>
      <c r="T243" s="3822"/>
      <c r="U243" s="3822"/>
      <c r="V243" s="3822" t="s">
        <v>152</v>
      </c>
      <c r="W243" s="3822" t="s">
        <v>152</v>
      </c>
      <c r="X243" s="3822" t="s">
        <v>152</v>
      </c>
      <c r="Y243" s="3822" t="s">
        <v>152</v>
      </c>
      <c r="Z243" s="3822" t="s">
        <v>152</v>
      </c>
      <c r="AA243" s="3822"/>
      <c r="AB243" s="3822"/>
      <c r="AC243" s="3822" t="s">
        <v>152</v>
      </c>
      <c r="AD243" s="3822" t="s">
        <v>152</v>
      </c>
      <c r="AE243" s="3822" t="s">
        <v>152</v>
      </c>
      <c r="AF243" s="3822" t="s">
        <v>152</v>
      </c>
      <c r="AG243" s="3822" t="s">
        <v>152</v>
      </c>
    </row>
    <row r="244" spans="1:34" ht="18" customHeight="1">
      <c r="A244" s="67"/>
      <c r="B244" s="4077" t="s">
        <v>294</v>
      </c>
      <c r="C244" s="3798" t="s">
        <v>130</v>
      </c>
      <c r="D244" s="3798" t="s">
        <v>130</v>
      </c>
      <c r="E244" s="3798" t="s">
        <v>130</v>
      </c>
      <c r="F244" s="3798"/>
      <c r="G244" s="3798"/>
      <c r="H244" s="3798" t="s">
        <v>130</v>
      </c>
      <c r="I244" s="3803" t="s">
        <v>130</v>
      </c>
      <c r="J244" s="3803" t="s">
        <v>130</v>
      </c>
      <c r="K244" s="3803" t="s">
        <v>130</v>
      </c>
      <c r="L244" s="3803" t="s">
        <v>130</v>
      </c>
      <c r="M244" s="3803"/>
      <c r="N244" s="3803"/>
      <c r="O244" s="4045" t="s">
        <v>130</v>
      </c>
      <c r="P244" s="4045" t="s">
        <v>130</v>
      </c>
      <c r="Q244" s="4045" t="s">
        <v>130</v>
      </c>
      <c r="R244" s="4045" t="s">
        <v>130</v>
      </c>
      <c r="S244" s="4045" t="s">
        <v>130</v>
      </c>
      <c r="T244" s="4045"/>
      <c r="U244" s="4045"/>
      <c r="V244" s="3798" t="s">
        <v>130</v>
      </c>
      <c r="W244" s="3798" t="s">
        <v>130</v>
      </c>
      <c r="X244" s="3798" t="s">
        <v>130</v>
      </c>
      <c r="Y244" s="3798" t="s">
        <v>130</v>
      </c>
      <c r="Z244" s="3798" t="s">
        <v>130</v>
      </c>
      <c r="AA244" s="3798"/>
      <c r="AB244" s="3798"/>
      <c r="AC244" s="3798" t="s">
        <v>130</v>
      </c>
      <c r="AD244" s="3798" t="s">
        <v>130</v>
      </c>
      <c r="AE244" s="3798" t="s">
        <v>130</v>
      </c>
      <c r="AF244" s="3798" t="s">
        <v>130</v>
      </c>
      <c r="AG244" s="3798" t="s">
        <v>130</v>
      </c>
      <c r="AH244" s="298" t="s">
        <v>133</v>
      </c>
    </row>
    <row r="245" spans="1:34" ht="18" customHeight="1">
      <c r="A245" s="67"/>
      <c r="B245" s="4078" t="s">
        <v>295</v>
      </c>
      <c r="C245" s="3822" t="s">
        <v>153</v>
      </c>
      <c r="D245" s="3822" t="s">
        <v>153</v>
      </c>
      <c r="E245" s="3822" t="s">
        <v>153</v>
      </c>
      <c r="F245" s="3822"/>
      <c r="G245" s="3822"/>
      <c r="H245" s="3925" t="s">
        <v>153</v>
      </c>
      <c r="I245" s="3925" t="s">
        <v>153</v>
      </c>
      <c r="J245" s="3925" t="s">
        <v>153</v>
      </c>
      <c r="K245" s="3925" t="s">
        <v>153</v>
      </c>
      <c r="L245" s="3925" t="s">
        <v>153</v>
      </c>
      <c r="M245" s="3925"/>
      <c r="N245" s="3925"/>
      <c r="O245" s="3925" t="s">
        <v>153</v>
      </c>
      <c r="P245" s="3925" t="s">
        <v>153</v>
      </c>
      <c r="Q245" s="3925" t="s">
        <v>153</v>
      </c>
      <c r="R245" s="3925" t="s">
        <v>153</v>
      </c>
      <c r="S245" s="3925" t="s">
        <v>153</v>
      </c>
      <c r="T245" s="3822"/>
      <c r="U245" s="3822"/>
      <c r="V245" s="3822" t="s">
        <v>153</v>
      </c>
      <c r="W245" s="3822" t="s">
        <v>153</v>
      </c>
      <c r="X245" s="3822" t="s">
        <v>153</v>
      </c>
      <c r="Y245" s="3822" t="s">
        <v>153</v>
      </c>
      <c r="Z245" s="4079" t="s">
        <v>153</v>
      </c>
      <c r="AA245" s="3822"/>
      <c r="AB245" s="3822"/>
      <c r="AC245" s="3822" t="s">
        <v>153</v>
      </c>
      <c r="AD245" s="3822" t="s">
        <v>153</v>
      </c>
      <c r="AE245" s="4080" t="s">
        <v>153</v>
      </c>
      <c r="AF245" s="4080" t="s">
        <v>459</v>
      </c>
      <c r="AG245" s="3822" t="s">
        <v>153</v>
      </c>
    </row>
    <row r="246" spans="1:34" ht="18" customHeight="1">
      <c r="A246" s="67"/>
      <c r="B246" s="4077"/>
      <c r="C246" s="3822"/>
      <c r="D246" s="3822"/>
      <c r="E246" s="3822"/>
      <c r="F246" s="3822"/>
      <c r="G246" s="3822"/>
      <c r="H246" s="3822"/>
      <c r="I246" s="3822"/>
      <c r="J246" s="3822"/>
      <c r="K246" s="3822"/>
      <c r="L246" s="3822"/>
      <c r="M246" s="3822"/>
      <c r="N246" s="3822"/>
      <c r="O246" s="3822"/>
      <c r="P246" s="3822"/>
      <c r="Q246" s="3822"/>
      <c r="R246" s="3822"/>
      <c r="S246" s="3822"/>
      <c r="T246" s="3822"/>
      <c r="U246" s="3822"/>
      <c r="V246" s="3822"/>
      <c r="W246" s="3822"/>
      <c r="X246" s="3822"/>
      <c r="Y246" s="3822"/>
      <c r="Z246" s="3822"/>
      <c r="AA246" s="3822"/>
      <c r="AB246" s="3822"/>
      <c r="AC246" s="3822"/>
      <c r="AD246" s="3822"/>
      <c r="AE246" s="3822"/>
      <c r="AF246" s="3822"/>
      <c r="AG246" s="3822"/>
    </row>
    <row r="247" spans="1:34" ht="18" customHeight="1">
      <c r="A247" s="67"/>
      <c r="B247" s="3406" t="s">
        <v>553</v>
      </c>
      <c r="C247" s="4081" t="s">
        <v>128</v>
      </c>
      <c r="D247" s="3822" t="s">
        <v>128</v>
      </c>
      <c r="E247" s="3822" t="s">
        <v>128</v>
      </c>
      <c r="F247" s="3822"/>
      <c r="G247" s="3822"/>
      <c r="H247" s="3822" t="s">
        <v>128</v>
      </c>
      <c r="I247" s="3822" t="s">
        <v>128</v>
      </c>
      <c r="J247" s="3822" t="s">
        <v>128</v>
      </c>
      <c r="K247" s="3822" t="s">
        <v>128</v>
      </c>
      <c r="L247" s="3822" t="s">
        <v>128</v>
      </c>
      <c r="M247" s="3822"/>
      <c r="N247" s="3822"/>
      <c r="O247" s="3822" t="s">
        <v>128</v>
      </c>
      <c r="P247" s="3822" t="s">
        <v>128</v>
      </c>
      <c r="Q247" s="3822" t="s">
        <v>128</v>
      </c>
      <c r="R247" s="3822" t="s">
        <v>128</v>
      </c>
      <c r="S247" s="3822" t="s">
        <v>128</v>
      </c>
      <c r="T247" s="3822"/>
      <c r="U247" s="3822"/>
      <c r="V247" s="3822" t="s">
        <v>128</v>
      </c>
      <c r="W247" s="3822" t="s">
        <v>128</v>
      </c>
      <c r="X247" s="3822" t="s">
        <v>128</v>
      </c>
      <c r="Y247" s="4082" t="s">
        <v>128</v>
      </c>
      <c r="Z247" s="4083" t="s">
        <v>128</v>
      </c>
      <c r="AA247" s="3822"/>
      <c r="AB247" s="3822"/>
      <c r="AC247" s="3822" t="s">
        <v>128</v>
      </c>
      <c r="AD247" s="3822" t="s">
        <v>128</v>
      </c>
      <c r="AE247" s="3822" t="s">
        <v>128</v>
      </c>
      <c r="AF247" s="3822" t="s">
        <v>128</v>
      </c>
      <c r="AG247" s="3822" t="s">
        <v>128</v>
      </c>
      <c r="AH247" s="301" t="s">
        <v>133</v>
      </c>
    </row>
    <row r="248" spans="1:34" ht="18" customHeight="1">
      <c r="A248" s="67"/>
      <c r="B248" s="4084" t="s">
        <v>298</v>
      </c>
      <c r="C248" s="4085" t="s">
        <v>127</v>
      </c>
      <c r="D248" s="4085" t="s">
        <v>127</v>
      </c>
      <c r="E248" s="4086" t="s">
        <v>127</v>
      </c>
      <c r="F248" s="3822"/>
      <c r="G248" s="3822" t="s">
        <v>0</v>
      </c>
      <c r="H248" s="4045" t="s">
        <v>127</v>
      </c>
      <c r="I248" s="4045" t="s">
        <v>127</v>
      </c>
      <c r="J248" s="4045" t="s">
        <v>127</v>
      </c>
      <c r="K248" s="4045" t="s">
        <v>127</v>
      </c>
      <c r="L248" s="4045" t="s">
        <v>127</v>
      </c>
      <c r="M248" s="4045"/>
      <c r="N248" s="4045"/>
      <c r="O248" s="4045" t="s">
        <v>127</v>
      </c>
      <c r="P248" s="4045" t="s">
        <v>127</v>
      </c>
      <c r="Q248" s="4045" t="s">
        <v>127</v>
      </c>
      <c r="R248" s="4045" t="s">
        <v>127</v>
      </c>
      <c r="S248" s="4045" t="s">
        <v>127</v>
      </c>
      <c r="T248" s="3822"/>
      <c r="U248" s="3822"/>
      <c r="V248" s="4087" t="s">
        <v>127</v>
      </c>
      <c r="W248" s="4087" t="s">
        <v>127</v>
      </c>
      <c r="X248" s="3822" t="s">
        <v>127</v>
      </c>
      <c r="Y248" s="3822" t="s">
        <v>127</v>
      </c>
      <c r="Z248" s="3822" t="s">
        <v>127</v>
      </c>
      <c r="AA248" s="3822"/>
      <c r="AB248" s="3822"/>
      <c r="AC248" s="3822" t="s">
        <v>127</v>
      </c>
      <c r="AD248" s="3822" t="s">
        <v>127</v>
      </c>
      <c r="AE248" s="3822" t="s">
        <v>127</v>
      </c>
      <c r="AF248" s="3822" t="s">
        <v>127</v>
      </c>
      <c r="AG248" s="3822" t="s">
        <v>127</v>
      </c>
    </row>
    <row r="249" spans="1:34" ht="18" customHeight="1">
      <c r="A249" s="67"/>
      <c r="B249" s="4088" t="s">
        <v>299</v>
      </c>
      <c r="C249" s="4079" t="s">
        <v>123</v>
      </c>
      <c r="D249" s="3822" t="s">
        <v>123</v>
      </c>
      <c r="E249" s="3822" t="s">
        <v>123</v>
      </c>
      <c r="F249" s="3822"/>
      <c r="G249" s="3822"/>
      <c r="H249" s="3822" t="s">
        <v>123</v>
      </c>
      <c r="I249" s="3822" t="s">
        <v>123</v>
      </c>
      <c r="J249" s="3822" t="s">
        <v>123</v>
      </c>
      <c r="K249" s="3822" t="s">
        <v>123</v>
      </c>
      <c r="L249" s="3822" t="s">
        <v>123</v>
      </c>
      <c r="M249" s="3822"/>
      <c r="N249" s="3822"/>
      <c r="O249" s="3822" t="s">
        <v>123</v>
      </c>
      <c r="P249" s="3822" t="s">
        <v>123</v>
      </c>
      <c r="Q249" s="3822" t="s">
        <v>123</v>
      </c>
      <c r="R249" s="3822" t="s">
        <v>123</v>
      </c>
      <c r="S249" s="3822" t="s">
        <v>123</v>
      </c>
      <c r="T249" s="3822"/>
      <c r="U249" s="3822"/>
      <c r="V249" s="3822" t="s">
        <v>123</v>
      </c>
      <c r="W249" s="3822" t="s">
        <v>123</v>
      </c>
      <c r="X249" s="3822" t="s">
        <v>123</v>
      </c>
      <c r="Y249" s="3822" t="s">
        <v>123</v>
      </c>
      <c r="Z249" s="3822" t="s">
        <v>123</v>
      </c>
      <c r="AA249" s="3822"/>
      <c r="AB249" s="3822"/>
      <c r="AC249" s="3822" t="s">
        <v>123</v>
      </c>
      <c r="AD249" s="3822" t="s">
        <v>123</v>
      </c>
      <c r="AE249" s="3822" t="s">
        <v>123</v>
      </c>
      <c r="AF249" s="3822" t="s">
        <v>123</v>
      </c>
      <c r="AG249" s="3822" t="s">
        <v>123</v>
      </c>
    </row>
    <row r="250" spans="1:34" ht="18" customHeight="1">
      <c r="A250" s="67"/>
      <c r="B250" s="4088" t="s">
        <v>300</v>
      </c>
      <c r="C250" s="3804" t="s">
        <v>116</v>
      </c>
      <c r="D250" s="3822" t="s">
        <v>116</v>
      </c>
      <c r="E250" s="3822" t="s">
        <v>116</v>
      </c>
      <c r="F250" s="3822"/>
      <c r="G250" s="3822"/>
      <c r="H250" s="3822" t="s">
        <v>116</v>
      </c>
      <c r="I250" s="3774" t="s">
        <v>116</v>
      </c>
      <c r="J250" s="3822" t="s">
        <v>116</v>
      </c>
      <c r="K250" s="3822" t="s">
        <v>116</v>
      </c>
      <c r="L250" s="3822" t="s">
        <v>116</v>
      </c>
      <c r="M250" s="3822"/>
      <c r="N250" s="3822"/>
      <c r="O250" s="3822" t="s">
        <v>116</v>
      </c>
      <c r="P250" s="3822" t="s">
        <v>116</v>
      </c>
      <c r="Q250" s="3998" t="s">
        <v>116</v>
      </c>
      <c r="R250" s="3998" t="s">
        <v>301</v>
      </c>
      <c r="S250" s="4089" t="s">
        <v>116</v>
      </c>
      <c r="T250" s="3822"/>
      <c r="U250" s="3822"/>
      <c r="V250" s="3822" t="s">
        <v>116</v>
      </c>
      <c r="W250" s="3822" t="s">
        <v>116</v>
      </c>
      <c r="X250" s="4090" t="s">
        <v>116</v>
      </c>
      <c r="Y250" s="3822" t="s">
        <v>116</v>
      </c>
      <c r="Z250" s="3822" t="s">
        <v>116</v>
      </c>
      <c r="AA250" s="3822"/>
      <c r="AB250" s="3822"/>
      <c r="AC250" s="3822" t="s">
        <v>116</v>
      </c>
      <c r="AD250" s="3822" t="s">
        <v>116</v>
      </c>
      <c r="AE250" s="3822" t="s">
        <v>116</v>
      </c>
      <c r="AF250" s="3822" t="s">
        <v>116</v>
      </c>
      <c r="AG250" s="3822" t="s">
        <v>116</v>
      </c>
    </row>
    <row r="251" spans="1:34" ht="18" customHeight="1">
      <c r="A251" s="89"/>
      <c r="B251" s="125"/>
      <c r="C251" s="124"/>
      <c r="D251" s="124"/>
      <c r="E251" s="124"/>
      <c r="F251" s="124"/>
      <c r="G251" s="124"/>
      <c r="H251" s="124"/>
      <c r="I251" s="124"/>
      <c r="J251" s="124"/>
      <c r="K251" s="124"/>
      <c r="L251" s="124"/>
      <c r="M251" s="124"/>
      <c r="N251" s="124"/>
      <c r="O251" s="124"/>
      <c r="P251" s="124"/>
      <c r="Q251" s="124"/>
      <c r="R251" s="124"/>
      <c r="S251" s="124"/>
      <c r="T251" s="124"/>
      <c r="U251" s="124"/>
      <c r="V251" s="124"/>
      <c r="W251" s="124"/>
      <c r="X251" s="124"/>
      <c r="Y251" s="124"/>
      <c r="Z251" s="124"/>
      <c r="AA251" s="124"/>
      <c r="AB251" s="124"/>
      <c r="AC251" s="124"/>
      <c r="AD251" s="124"/>
      <c r="AE251" s="124"/>
      <c r="AF251" s="124"/>
    </row>
    <row r="252" spans="1:34" ht="18" customHeight="1">
      <c r="C252" s="18"/>
      <c r="D252" s="18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8"/>
      <c r="V252" s="18"/>
      <c r="W252" s="18"/>
      <c r="X252" s="18"/>
      <c r="Y252" s="18"/>
      <c r="Z252" s="18"/>
      <c r="AA252" s="18"/>
      <c r="AB252" s="18"/>
      <c r="AC252" s="18"/>
      <c r="AD252" s="18"/>
      <c r="AE252" s="18"/>
      <c r="AF252" s="18"/>
    </row>
    <row r="253" spans="1:34" ht="18" customHeight="1" thickBot="1">
      <c r="A253" s="1" t="s">
        <v>302</v>
      </c>
      <c r="B253" s="37"/>
    </row>
    <row r="254" spans="1:34" ht="18" customHeight="1">
      <c r="A254" s="1"/>
      <c r="B254" s="4091" t="s">
        <v>303</v>
      </c>
      <c r="C254" s="2882" t="s">
        <v>19</v>
      </c>
      <c r="D254" s="2883"/>
      <c r="E254" s="2883"/>
      <c r="F254" s="2883"/>
      <c r="G254" s="2882" t="s">
        <v>20</v>
      </c>
      <c r="H254" s="2883"/>
      <c r="I254" s="2883"/>
      <c r="J254" s="2883"/>
      <c r="K254" s="2882" t="s">
        <v>21</v>
      </c>
      <c r="L254" s="2883"/>
      <c r="M254" s="2883"/>
      <c r="N254" s="2883"/>
      <c r="O254" s="2882" t="s">
        <v>22</v>
      </c>
      <c r="P254" s="2883"/>
      <c r="Q254" s="2883"/>
      <c r="R254" s="2883"/>
      <c r="S254" s="2882" t="s">
        <v>23</v>
      </c>
      <c r="T254" s="2883"/>
      <c r="U254" s="2883"/>
      <c r="V254" s="2883"/>
      <c r="W254" s="2882" t="s">
        <v>24</v>
      </c>
      <c r="X254" s="3064"/>
      <c r="Y254" s="2883"/>
      <c r="Z254" s="2884"/>
      <c r="AA254" s="2882" t="s">
        <v>25</v>
      </c>
      <c r="AB254" s="3064"/>
      <c r="AC254" s="2883"/>
      <c r="AD254" s="2884"/>
      <c r="AE254" s="2885" t="s">
        <v>108</v>
      </c>
      <c r="AF254" s="2883"/>
      <c r="AG254" s="2841"/>
    </row>
    <row r="255" spans="1:34" ht="18" customHeight="1">
      <c r="A255" s="1"/>
      <c r="B255" s="4092">
        <v>3701</v>
      </c>
      <c r="C255" s="68" t="s">
        <v>304</v>
      </c>
      <c r="D255" s="68"/>
      <c r="E255" s="68"/>
      <c r="F255" s="68"/>
      <c r="G255" s="279" t="s">
        <v>305</v>
      </c>
      <c r="H255" s="68"/>
      <c r="I255" s="68"/>
      <c r="J255" s="68"/>
      <c r="K255" s="279" t="s">
        <v>305</v>
      </c>
      <c r="L255" s="68"/>
      <c r="M255" s="68"/>
      <c r="N255" s="68"/>
      <c r="O255" s="279" t="s">
        <v>305</v>
      </c>
      <c r="P255" s="68"/>
      <c r="Q255" s="68"/>
      <c r="R255" s="68"/>
      <c r="S255" s="279" t="s">
        <v>306</v>
      </c>
      <c r="T255" s="68"/>
      <c r="U255" s="68"/>
      <c r="V255" s="68"/>
      <c r="W255" s="3902"/>
      <c r="X255" s="3709"/>
      <c r="Y255" s="3076"/>
      <c r="Z255" s="4093"/>
      <c r="AA255" s="3902"/>
      <c r="AB255" s="3709"/>
      <c r="AC255" s="3076"/>
      <c r="AD255" s="4093"/>
      <c r="AE255" s="4006"/>
      <c r="AF255" s="3076"/>
      <c r="AG255" s="4052"/>
    </row>
    <row r="256" spans="1:34" ht="18" customHeight="1">
      <c r="B256" s="4091">
        <v>3700</v>
      </c>
      <c r="C256" s="3076" t="s">
        <v>204</v>
      </c>
      <c r="D256" s="3076"/>
      <c r="E256" s="3076"/>
      <c r="F256" s="3076"/>
      <c r="G256" s="4094" t="s">
        <v>204</v>
      </c>
      <c r="H256" s="3076"/>
      <c r="I256" s="3076"/>
      <c r="J256" s="3076"/>
      <c r="K256" s="4094" t="s">
        <v>204</v>
      </c>
      <c r="L256" s="3076"/>
      <c r="M256" s="3076"/>
      <c r="N256" s="3076"/>
      <c r="O256" s="4094" t="s">
        <v>204</v>
      </c>
      <c r="P256" s="3076"/>
      <c r="Q256" s="3076"/>
      <c r="R256" s="3076"/>
      <c r="S256" s="4094" t="s">
        <v>205</v>
      </c>
      <c r="T256" s="3076"/>
      <c r="U256" s="3076"/>
      <c r="V256" s="3076"/>
      <c r="W256" s="3902"/>
      <c r="X256" s="3076"/>
      <c r="Y256" s="3076"/>
      <c r="Z256" s="4007"/>
      <c r="AA256" s="4006"/>
      <c r="AB256" s="3076"/>
      <c r="AC256" s="3076"/>
      <c r="AD256" s="3194"/>
      <c r="AE256" s="4095"/>
      <c r="AF256" s="3076"/>
      <c r="AG256" s="4052"/>
    </row>
    <row r="257" spans="1:33" ht="18" customHeight="1">
      <c r="A257" s="1"/>
      <c r="B257" s="4091">
        <v>8514</v>
      </c>
      <c r="C257" s="3076" t="s">
        <v>305</v>
      </c>
      <c r="D257" s="3076"/>
      <c r="E257" s="3076"/>
      <c r="F257" s="3076"/>
      <c r="G257" s="4094" t="s">
        <v>305</v>
      </c>
      <c r="H257" s="3076"/>
      <c r="I257" s="3076"/>
      <c r="J257" s="3076"/>
      <c r="K257" s="4094" t="s">
        <v>305</v>
      </c>
      <c r="L257" s="3076"/>
      <c r="M257" s="3076"/>
      <c r="N257" s="3076"/>
      <c r="O257" s="4094" t="s">
        <v>305</v>
      </c>
      <c r="P257" s="3076"/>
      <c r="Q257" s="3076"/>
      <c r="R257" s="3076"/>
      <c r="S257" s="4094" t="s">
        <v>307</v>
      </c>
      <c r="T257" s="3076"/>
      <c r="U257" s="3076"/>
      <c r="V257" s="3076"/>
      <c r="W257" s="3902"/>
      <c r="X257" s="3076"/>
      <c r="Y257" s="3076"/>
      <c r="Z257" s="4007"/>
      <c r="AA257" s="3896"/>
      <c r="AB257" s="3076"/>
      <c r="AC257" s="3076"/>
      <c r="AD257" s="3194"/>
      <c r="AE257" s="3896"/>
      <c r="AF257" s="3076"/>
      <c r="AG257" s="4052"/>
    </row>
    <row r="258" spans="1:33" ht="18" customHeight="1">
      <c r="A258" s="1"/>
      <c r="B258" s="4091">
        <v>8500</v>
      </c>
      <c r="C258" s="531" t="s">
        <v>308</v>
      </c>
      <c r="D258" s="531"/>
      <c r="E258" s="531"/>
      <c r="F258" s="531"/>
      <c r="G258" s="534" t="s">
        <v>308</v>
      </c>
      <c r="H258" s="531"/>
      <c r="I258" s="531"/>
      <c r="J258" s="531"/>
      <c r="K258" s="534" t="s">
        <v>308</v>
      </c>
      <c r="L258" s="531"/>
      <c r="M258" s="531"/>
      <c r="N258" s="531"/>
      <c r="O258" s="534" t="s">
        <v>308</v>
      </c>
      <c r="P258" s="531"/>
      <c r="Q258" s="531"/>
      <c r="R258" s="531"/>
      <c r="S258" s="534" t="s">
        <v>309</v>
      </c>
      <c r="T258" s="531"/>
      <c r="U258" s="531"/>
      <c r="V258" s="531"/>
      <c r="W258" s="3902"/>
      <c r="X258" s="531"/>
      <c r="Y258" s="531"/>
      <c r="Z258" s="535"/>
      <c r="AA258" s="536"/>
      <c r="AB258" s="531"/>
      <c r="AC258" s="531"/>
      <c r="AD258" s="535"/>
      <c r="AE258" s="536"/>
      <c r="AF258" s="531"/>
      <c r="AG258" s="466"/>
    </row>
    <row r="259" spans="1:33" ht="18" customHeight="1">
      <c r="A259" s="1"/>
      <c r="B259" s="4091">
        <v>8514</v>
      </c>
      <c r="C259" s="537" t="s">
        <v>305</v>
      </c>
      <c r="D259" s="537"/>
      <c r="E259" s="537"/>
      <c r="F259" s="537"/>
      <c r="G259" s="538" t="s">
        <v>305</v>
      </c>
      <c r="H259" s="537"/>
      <c r="I259" s="537"/>
      <c r="J259" s="537"/>
      <c r="K259" s="538" t="s">
        <v>305</v>
      </c>
      <c r="L259" s="537"/>
      <c r="M259" s="537"/>
      <c r="N259" s="537"/>
      <c r="O259" s="538" t="s">
        <v>305</v>
      </c>
      <c r="P259" s="537"/>
      <c r="Q259" s="537"/>
      <c r="R259" s="537"/>
      <c r="S259" s="538" t="s">
        <v>307</v>
      </c>
      <c r="T259" s="537"/>
      <c r="U259" s="537"/>
      <c r="V259" s="537"/>
      <c r="W259" s="4096"/>
      <c r="X259" s="539"/>
      <c r="Y259" s="531"/>
      <c r="Z259" s="540"/>
      <c r="AA259" s="541"/>
      <c r="AB259" s="539"/>
      <c r="AC259" s="531"/>
      <c r="AD259" s="531"/>
      <c r="AE259" s="542"/>
      <c r="AF259" s="531"/>
      <c r="AG259" s="466"/>
    </row>
    <row r="260" spans="1:33" ht="18" customHeight="1" thickBot="1">
      <c r="A260" s="1"/>
      <c r="B260" s="4097" t="s">
        <v>310</v>
      </c>
      <c r="C260" s="3848" t="s">
        <v>10</v>
      </c>
      <c r="D260" s="3848"/>
      <c r="E260" s="3848"/>
      <c r="F260" s="3848"/>
      <c r="G260" s="4098" t="s">
        <v>10</v>
      </c>
      <c r="H260" s="3848"/>
      <c r="I260" s="3848"/>
      <c r="J260" s="3848"/>
      <c r="K260" s="4099" t="s">
        <v>10</v>
      </c>
      <c r="L260" s="3848"/>
      <c r="M260" s="3848"/>
      <c r="N260" s="3848"/>
      <c r="O260" s="4098" t="s">
        <v>10</v>
      </c>
      <c r="P260" s="3848"/>
      <c r="Q260" s="3848"/>
      <c r="R260" s="3848"/>
      <c r="S260" s="4098" t="s">
        <v>10</v>
      </c>
      <c r="T260" s="3848"/>
      <c r="U260" s="3848"/>
      <c r="V260" s="3848"/>
      <c r="W260" s="4099"/>
      <c r="X260" s="3848"/>
      <c r="Y260" s="3848"/>
      <c r="Z260" s="4033"/>
      <c r="AA260" s="4012"/>
      <c r="AB260" s="3848"/>
      <c r="AC260" s="3848"/>
      <c r="AD260" s="4034"/>
      <c r="AE260" s="4100"/>
      <c r="AF260" s="3848"/>
      <c r="AG260" s="4054"/>
    </row>
    <row r="261" spans="1:33" ht="18" customHeight="1">
      <c r="A261" s="1"/>
      <c r="B261" s="5"/>
      <c r="C261" s="42"/>
      <c r="D261" s="68"/>
      <c r="E261" s="68"/>
      <c r="F261" s="46"/>
      <c r="G261" s="42"/>
      <c r="H261" s="68"/>
      <c r="I261" s="68"/>
      <c r="J261" s="46"/>
      <c r="K261" s="42"/>
      <c r="L261" s="68"/>
      <c r="M261" s="68"/>
      <c r="N261" s="46"/>
      <c r="O261" s="42"/>
      <c r="P261" s="68"/>
      <c r="Q261" s="68"/>
      <c r="R261" s="46"/>
      <c r="S261" s="42"/>
      <c r="T261" s="68"/>
      <c r="U261" s="68"/>
      <c r="V261" s="46"/>
      <c r="W261" s="46"/>
      <c r="Z261" s="46"/>
      <c r="AA261" s="46"/>
      <c r="AD261" s="46"/>
      <c r="AE261" s="46"/>
    </row>
    <row r="262" spans="1:33" ht="18" customHeight="1" thickBot="1">
      <c r="A262" s="1" t="s">
        <v>311</v>
      </c>
      <c r="B262" s="5"/>
      <c r="C262" s="42"/>
      <c r="D262" s="68"/>
      <c r="E262" s="68"/>
      <c r="F262" s="46"/>
      <c r="G262" s="42"/>
      <c r="H262" s="68"/>
      <c r="I262" s="68"/>
      <c r="J262" s="46"/>
      <c r="K262" s="42"/>
      <c r="L262" s="68"/>
      <c r="M262" s="68"/>
      <c r="N262" s="46"/>
      <c r="O262" s="42"/>
      <c r="P262" s="68"/>
      <c r="Q262" s="68"/>
      <c r="R262" s="46"/>
      <c r="S262" s="42"/>
      <c r="T262" s="68"/>
      <c r="U262" s="68"/>
      <c r="V262" s="46"/>
      <c r="W262" s="46"/>
      <c r="Z262" s="46"/>
      <c r="AA262" s="46"/>
      <c r="AD262" s="46"/>
      <c r="AE262" s="46"/>
    </row>
    <row r="263" spans="1:33" ht="18" customHeight="1" thickBot="1">
      <c r="A263" s="3236"/>
      <c r="B263" s="3086" t="s">
        <v>38</v>
      </c>
      <c r="C263" s="2985">
        <v>1</v>
      </c>
      <c r="D263" s="2985">
        <v>2</v>
      </c>
      <c r="E263" s="2985">
        <v>3</v>
      </c>
      <c r="F263" s="2986">
        <v>4</v>
      </c>
      <c r="G263" s="2986">
        <v>5</v>
      </c>
      <c r="H263" s="2985">
        <v>6</v>
      </c>
      <c r="I263" s="2985">
        <v>7</v>
      </c>
      <c r="J263" s="2985">
        <v>8</v>
      </c>
      <c r="K263" s="2985">
        <v>9</v>
      </c>
      <c r="L263" s="2985">
        <v>10</v>
      </c>
      <c r="M263" s="2986">
        <v>11</v>
      </c>
      <c r="N263" s="2986">
        <v>12</v>
      </c>
      <c r="O263" s="2985">
        <v>13</v>
      </c>
      <c r="P263" s="2985">
        <v>14</v>
      </c>
      <c r="Q263" s="2985">
        <v>15</v>
      </c>
      <c r="R263" s="2985">
        <v>16</v>
      </c>
      <c r="S263" s="2985">
        <v>17</v>
      </c>
      <c r="T263" s="2986">
        <v>18</v>
      </c>
      <c r="U263" s="2986">
        <v>19</v>
      </c>
      <c r="V263" s="2985">
        <v>20</v>
      </c>
      <c r="W263" s="2985">
        <v>21</v>
      </c>
      <c r="X263" s="2985">
        <v>22</v>
      </c>
      <c r="Y263" s="2985">
        <v>23</v>
      </c>
      <c r="Z263" s="2985">
        <v>24</v>
      </c>
      <c r="AA263" s="2986">
        <v>25</v>
      </c>
      <c r="AB263" s="2986">
        <v>26</v>
      </c>
      <c r="AC263" s="2985">
        <v>27</v>
      </c>
      <c r="AD263" s="2985">
        <v>28</v>
      </c>
      <c r="AE263" s="2985">
        <v>29</v>
      </c>
      <c r="AF263" s="2985">
        <v>30</v>
      </c>
      <c r="AG263" s="2985">
        <v>31</v>
      </c>
    </row>
    <row r="264" spans="1:33" ht="18" customHeight="1">
      <c r="A264" s="2896"/>
      <c r="B264" s="2897"/>
      <c r="C264" s="3873" t="s">
        <v>40</v>
      </c>
      <c r="D264" s="3873" t="s">
        <v>40</v>
      </c>
      <c r="E264" s="3873" t="s">
        <v>40</v>
      </c>
      <c r="F264" s="3873"/>
      <c r="G264" s="3788"/>
      <c r="H264" s="3788" t="s">
        <v>40</v>
      </c>
      <c r="I264" s="3873" t="s">
        <v>40</v>
      </c>
      <c r="J264" s="3873" t="s">
        <v>40</v>
      </c>
      <c r="K264" s="3873" t="s">
        <v>40</v>
      </c>
      <c r="L264" s="3873" t="s">
        <v>40</v>
      </c>
      <c r="M264" s="3873"/>
      <c r="N264" s="3873"/>
      <c r="O264" s="3873" t="s">
        <v>40</v>
      </c>
      <c r="P264" s="3779" t="s">
        <v>40</v>
      </c>
      <c r="Q264" s="3779" t="s">
        <v>40</v>
      </c>
      <c r="R264" s="3788" t="s">
        <v>40</v>
      </c>
      <c r="S264" s="3788" t="s">
        <v>40</v>
      </c>
      <c r="T264" s="3873"/>
      <c r="U264" s="3873"/>
      <c r="V264" s="3873" t="s">
        <v>40</v>
      </c>
      <c r="W264" s="3873" t="s">
        <v>40</v>
      </c>
      <c r="X264" s="3873" t="s">
        <v>40</v>
      </c>
      <c r="Y264" s="3873" t="s">
        <v>40</v>
      </c>
      <c r="Z264" s="3873" t="s">
        <v>40</v>
      </c>
      <c r="AA264" s="3873"/>
      <c r="AB264" s="3788"/>
      <c r="AC264" s="3788" t="s">
        <v>40</v>
      </c>
      <c r="AD264" s="3873" t="s">
        <v>40</v>
      </c>
      <c r="AE264" s="3873" t="s">
        <v>40</v>
      </c>
      <c r="AF264" s="3873" t="s">
        <v>40</v>
      </c>
      <c r="AG264" s="3873" t="s">
        <v>40</v>
      </c>
    </row>
    <row r="265" spans="1:33" ht="18" customHeight="1">
      <c r="A265" s="4101"/>
      <c r="B265" s="4102" t="s">
        <v>312</v>
      </c>
      <c r="C265" s="3798"/>
      <c r="D265" s="3798"/>
      <c r="E265" s="3798"/>
      <c r="F265" s="3798"/>
      <c r="G265" s="3799"/>
      <c r="H265" s="3799"/>
      <c r="I265" s="3799"/>
      <c r="J265" s="3798"/>
      <c r="K265" s="3798"/>
      <c r="L265" s="3798"/>
      <c r="M265" s="3798"/>
      <c r="N265" s="3799"/>
      <c r="O265" s="3799"/>
      <c r="P265" s="3799"/>
      <c r="Q265" s="3798"/>
      <c r="R265" s="3798"/>
      <c r="S265" s="3798"/>
      <c r="T265" s="3798"/>
      <c r="U265" s="3799"/>
      <c r="V265" s="3799"/>
      <c r="W265" s="3799"/>
      <c r="X265" s="3798"/>
      <c r="Y265" s="3798"/>
      <c r="Z265" s="3798"/>
      <c r="AA265" s="3798"/>
      <c r="AB265" s="3799"/>
      <c r="AC265" s="3799"/>
      <c r="AD265" s="3799"/>
      <c r="AE265" s="3798"/>
      <c r="AF265" s="3798"/>
      <c r="AG265" s="3798"/>
    </row>
    <row r="266" spans="1:33" ht="18" customHeight="1">
      <c r="A266" s="4103">
        <v>8514</v>
      </c>
      <c r="B266" s="4104" t="s">
        <v>313</v>
      </c>
      <c r="C266" s="3873" t="s">
        <v>40</v>
      </c>
      <c r="D266" s="3873" t="s">
        <v>40</v>
      </c>
      <c r="E266" s="3873" t="s">
        <v>40</v>
      </c>
      <c r="F266" s="3873"/>
      <c r="G266" s="3788"/>
      <c r="H266" s="3788" t="s">
        <v>40</v>
      </c>
      <c r="I266" s="3873" t="s">
        <v>40</v>
      </c>
      <c r="J266" s="3873" t="s">
        <v>40</v>
      </c>
      <c r="K266" s="3873" t="s">
        <v>40</v>
      </c>
      <c r="L266" s="3873" t="s">
        <v>40</v>
      </c>
      <c r="M266" s="3873"/>
      <c r="N266" s="3873"/>
      <c r="O266" s="3873" t="s">
        <v>40</v>
      </c>
      <c r="P266" s="3779" t="s">
        <v>40</v>
      </c>
      <c r="Q266" s="3779" t="s">
        <v>40</v>
      </c>
      <c r="R266" s="3788" t="s">
        <v>40</v>
      </c>
      <c r="S266" s="3788" t="s">
        <v>40</v>
      </c>
      <c r="T266" s="3873"/>
      <c r="U266" s="3873"/>
      <c r="V266" s="3873" t="s">
        <v>40</v>
      </c>
      <c r="W266" s="3873" t="s">
        <v>40</v>
      </c>
      <c r="X266" s="3873" t="s">
        <v>40</v>
      </c>
      <c r="Y266" s="3873" t="s">
        <v>40</v>
      </c>
      <c r="Z266" s="3873" t="s">
        <v>40</v>
      </c>
      <c r="AA266" s="3873"/>
      <c r="AB266" s="3788"/>
      <c r="AC266" s="3788" t="s">
        <v>40</v>
      </c>
      <c r="AD266" s="3873" t="s">
        <v>40</v>
      </c>
      <c r="AE266" s="3873" t="s">
        <v>40</v>
      </c>
      <c r="AF266" s="3873" t="s">
        <v>40</v>
      </c>
      <c r="AG266" s="3873" t="s">
        <v>40</v>
      </c>
    </row>
    <row r="267" spans="1:33" ht="18" customHeight="1">
      <c r="A267" s="4103">
        <v>3701</v>
      </c>
      <c r="B267" s="4105" t="s">
        <v>314</v>
      </c>
      <c r="C267" s="4106"/>
      <c r="D267" s="4106"/>
      <c r="E267" s="4106"/>
      <c r="F267" s="4106"/>
      <c r="G267" s="4107"/>
      <c r="H267" s="4107"/>
      <c r="I267" s="4107"/>
      <c r="J267" s="4106"/>
      <c r="K267" s="4106"/>
      <c r="L267" s="4106"/>
      <c r="M267" s="4106"/>
      <c r="N267" s="4107"/>
      <c r="O267" s="4107"/>
      <c r="P267" s="4107"/>
      <c r="Q267" s="4106"/>
      <c r="R267" s="4106"/>
      <c r="S267" s="4106"/>
      <c r="T267" s="4106"/>
      <c r="U267" s="4107"/>
      <c r="V267" s="4107"/>
      <c r="W267" s="4107"/>
      <c r="X267" s="4106"/>
      <c r="Y267" s="4106"/>
      <c r="Z267" s="4106"/>
      <c r="AA267" s="4106"/>
      <c r="AB267" s="4107"/>
      <c r="AC267" s="4107"/>
      <c r="AD267" s="4107"/>
      <c r="AE267" s="4106"/>
      <c r="AF267" s="4106"/>
      <c r="AG267" s="4106"/>
    </row>
    <row r="268" spans="1:33" ht="18" customHeight="1">
      <c r="A268" s="4103">
        <v>3701</v>
      </c>
      <c r="B268" s="4078" t="s">
        <v>315</v>
      </c>
      <c r="C268" s="3873" t="s">
        <v>40</v>
      </c>
      <c r="D268" s="3873" t="s">
        <v>40</v>
      </c>
      <c r="E268" s="3873" t="s">
        <v>40</v>
      </c>
      <c r="F268" s="3873"/>
      <c r="G268" s="3788"/>
      <c r="H268" s="3788" t="s">
        <v>40</v>
      </c>
      <c r="I268" s="3873" t="s">
        <v>40</v>
      </c>
      <c r="J268" s="3873" t="s">
        <v>40</v>
      </c>
      <c r="K268" s="3873" t="s">
        <v>40</v>
      </c>
      <c r="L268" s="3873" t="s">
        <v>40</v>
      </c>
      <c r="M268" s="3873"/>
      <c r="N268" s="3873"/>
      <c r="O268" s="3873" t="s">
        <v>40</v>
      </c>
      <c r="P268" s="3779" t="s">
        <v>40</v>
      </c>
      <c r="Q268" s="3779" t="s">
        <v>40</v>
      </c>
      <c r="R268" s="3788" t="s">
        <v>40</v>
      </c>
      <c r="S268" s="3788" t="s">
        <v>40</v>
      </c>
      <c r="T268" s="3873"/>
      <c r="U268" s="3873"/>
      <c r="V268" s="3873" t="s">
        <v>40</v>
      </c>
      <c r="W268" s="3873" t="s">
        <v>40</v>
      </c>
      <c r="X268" s="3873" t="s">
        <v>40</v>
      </c>
      <c r="Y268" s="3873" t="s">
        <v>40</v>
      </c>
      <c r="Z268" s="3873" t="s">
        <v>40</v>
      </c>
      <c r="AA268" s="3873"/>
      <c r="AB268" s="3788"/>
      <c r="AC268" s="3788" t="s">
        <v>40</v>
      </c>
      <c r="AD268" s="3873" t="s">
        <v>40</v>
      </c>
      <c r="AE268" s="3873" t="s">
        <v>40</v>
      </c>
      <c r="AF268" s="3873" t="s">
        <v>40</v>
      </c>
      <c r="AG268" s="3873" t="s">
        <v>40</v>
      </c>
    </row>
    <row r="269" spans="1:33" ht="18" customHeight="1">
      <c r="A269" s="4103">
        <v>3701</v>
      </c>
      <c r="B269" s="4078" t="s">
        <v>316</v>
      </c>
      <c r="C269" s="3873" t="s">
        <v>40</v>
      </c>
      <c r="D269" s="3873" t="s">
        <v>40</v>
      </c>
      <c r="E269" s="3873" t="s">
        <v>40</v>
      </c>
      <c r="F269" s="3873"/>
      <c r="G269" s="3788"/>
      <c r="H269" s="3788" t="s">
        <v>40</v>
      </c>
      <c r="I269" s="3873" t="s">
        <v>40</v>
      </c>
      <c r="J269" s="3873" t="s">
        <v>40</v>
      </c>
      <c r="K269" s="3873" t="s">
        <v>40</v>
      </c>
      <c r="L269" s="3873" t="s">
        <v>40</v>
      </c>
      <c r="M269" s="3873"/>
      <c r="N269" s="3873"/>
      <c r="O269" s="3873" t="s">
        <v>40</v>
      </c>
      <c r="P269" s="3779" t="s">
        <v>40</v>
      </c>
      <c r="Q269" s="3779" t="s">
        <v>40</v>
      </c>
      <c r="R269" s="3788" t="s">
        <v>40</v>
      </c>
      <c r="S269" s="3788" t="s">
        <v>40</v>
      </c>
      <c r="T269" s="3873"/>
      <c r="U269" s="3873"/>
      <c r="V269" s="3777" t="s">
        <v>40</v>
      </c>
      <c r="W269" s="3777" t="s">
        <v>40</v>
      </c>
      <c r="X269" s="3777" t="s">
        <v>40</v>
      </c>
      <c r="Y269" s="3777" t="s">
        <v>40</v>
      </c>
      <c r="Z269" s="3777" t="s">
        <v>40</v>
      </c>
      <c r="AA269" s="3777"/>
      <c r="AB269" s="3777"/>
      <c r="AC269" s="3777" t="s">
        <v>40</v>
      </c>
      <c r="AD269" s="3777" t="s">
        <v>325</v>
      </c>
      <c r="AE269" s="3766" t="s">
        <v>40</v>
      </c>
      <c r="AF269" s="3873" t="s">
        <v>40</v>
      </c>
      <c r="AG269" s="3873" t="s">
        <v>40</v>
      </c>
    </row>
    <row r="270" spans="1:33" ht="18" customHeight="1">
      <c r="A270" s="4103">
        <v>3701</v>
      </c>
      <c r="B270" s="4078" t="s">
        <v>317</v>
      </c>
      <c r="C270" s="3873" t="s">
        <v>40</v>
      </c>
      <c r="D270" s="3873" t="s">
        <v>40</v>
      </c>
      <c r="E270" s="3873" t="s">
        <v>40</v>
      </c>
      <c r="F270" s="3873"/>
      <c r="G270" s="3788"/>
      <c r="H270" s="3788" t="s">
        <v>40</v>
      </c>
      <c r="I270" s="3873" t="s">
        <v>40</v>
      </c>
      <c r="J270" s="3873" t="s">
        <v>40</v>
      </c>
      <c r="K270" s="3873" t="s">
        <v>40</v>
      </c>
      <c r="L270" s="3873" t="s">
        <v>40</v>
      </c>
      <c r="M270" s="3873"/>
      <c r="N270" s="3873"/>
      <c r="O270" s="3775" t="s">
        <v>40</v>
      </c>
      <c r="P270" s="3775" t="s">
        <v>40</v>
      </c>
      <c r="Q270" s="3775" t="s">
        <v>40</v>
      </c>
      <c r="R270" s="3775" t="s">
        <v>40</v>
      </c>
      <c r="S270" s="3775" t="s">
        <v>40</v>
      </c>
      <c r="T270" s="3873"/>
      <c r="U270" s="3873"/>
      <c r="V270" s="3873" t="s">
        <v>40</v>
      </c>
      <c r="W270" s="3873" t="s">
        <v>40</v>
      </c>
      <c r="X270" s="3873" t="s">
        <v>40</v>
      </c>
      <c r="Y270" s="3873" t="s">
        <v>40</v>
      </c>
      <c r="Z270" s="3873" t="s">
        <v>40</v>
      </c>
      <c r="AA270" s="3873"/>
      <c r="AB270" s="3788"/>
      <c r="AC270" s="3788" t="s">
        <v>40</v>
      </c>
      <c r="AD270" s="3873" t="s">
        <v>40</v>
      </c>
      <c r="AE270" s="3873" t="s">
        <v>40</v>
      </c>
      <c r="AF270" s="3873" t="s">
        <v>40</v>
      </c>
      <c r="AG270" s="3873" t="s">
        <v>40</v>
      </c>
    </row>
    <row r="271" spans="1:33" ht="18" customHeight="1">
      <c r="A271" s="4103">
        <v>3701</v>
      </c>
      <c r="B271" s="4105" t="s">
        <v>318</v>
      </c>
      <c r="C271" s="4106"/>
      <c r="D271" s="4106"/>
      <c r="E271" s="4106"/>
      <c r="F271" s="4106"/>
      <c r="G271" s="4107"/>
      <c r="H271" s="4107"/>
      <c r="I271" s="4107"/>
      <c r="J271" s="4106"/>
      <c r="K271" s="4106"/>
      <c r="L271" s="4106"/>
      <c r="M271" s="4106"/>
      <c r="N271" s="4107"/>
      <c r="O271" s="4107"/>
      <c r="P271" s="4107"/>
      <c r="Q271" s="4106"/>
      <c r="R271" s="4106"/>
      <c r="S271" s="4106"/>
      <c r="T271" s="4106"/>
      <c r="U271" s="4107"/>
      <c r="V271" s="4107"/>
      <c r="W271" s="4107"/>
      <c r="X271" s="4106"/>
      <c r="Y271" s="4106"/>
      <c r="Z271" s="4106"/>
      <c r="AA271" s="4106"/>
      <c r="AB271" s="4107"/>
      <c r="AC271" s="4107"/>
      <c r="AD271" s="4107"/>
      <c r="AE271" s="4106"/>
      <c r="AF271" s="4106"/>
      <c r="AG271" s="4106"/>
    </row>
    <row r="272" spans="1:33" ht="18" customHeight="1">
      <c r="A272" s="4103">
        <v>3701</v>
      </c>
      <c r="B272" s="4078" t="s">
        <v>319</v>
      </c>
      <c r="C272" s="3873" t="s">
        <v>40</v>
      </c>
      <c r="D272" s="3873" t="s">
        <v>40</v>
      </c>
      <c r="E272" s="3873" t="s">
        <v>40</v>
      </c>
      <c r="F272" s="3873"/>
      <c r="G272" s="3788"/>
      <c r="H272" s="3788" t="s">
        <v>40</v>
      </c>
      <c r="I272" s="3873" t="s">
        <v>40</v>
      </c>
      <c r="J272" s="3873" t="s">
        <v>40</v>
      </c>
      <c r="K272" s="3873" t="s">
        <v>40</v>
      </c>
      <c r="L272" s="3873" t="s">
        <v>40</v>
      </c>
      <c r="M272" s="3873"/>
      <c r="N272" s="3873"/>
      <c r="O272" s="3873" t="s">
        <v>40</v>
      </c>
      <c r="P272" s="3779" t="s">
        <v>40</v>
      </c>
      <c r="Q272" s="3779" t="s">
        <v>40</v>
      </c>
      <c r="R272" s="3788" t="s">
        <v>40</v>
      </c>
      <c r="S272" s="3788" t="s">
        <v>40</v>
      </c>
      <c r="T272" s="3873"/>
      <c r="U272" s="3873"/>
      <c r="V272" s="3873" t="s">
        <v>40</v>
      </c>
      <c r="W272" s="3873" t="s">
        <v>40</v>
      </c>
      <c r="X272" s="3873" t="s">
        <v>40</v>
      </c>
      <c r="Y272" s="3873" t="s">
        <v>40</v>
      </c>
      <c r="Z272" s="3873" t="s">
        <v>40</v>
      </c>
      <c r="AA272" s="3873"/>
      <c r="AB272" s="3788"/>
      <c r="AC272" s="3788" t="s">
        <v>40</v>
      </c>
      <c r="AD272" s="3873" t="s">
        <v>40</v>
      </c>
      <c r="AE272" s="3873" t="s">
        <v>40</v>
      </c>
      <c r="AF272" s="3873" t="s">
        <v>40</v>
      </c>
      <c r="AG272" s="3873" t="s">
        <v>40</v>
      </c>
    </row>
    <row r="273" spans="1:33" ht="18" customHeight="1">
      <c r="A273" s="4103">
        <v>3701</v>
      </c>
      <c r="B273" s="4078" t="s">
        <v>320</v>
      </c>
      <c r="C273" s="3779" t="s">
        <v>40</v>
      </c>
      <c r="D273" s="3779" t="s">
        <v>40</v>
      </c>
      <c r="E273" s="3779" t="s">
        <v>40</v>
      </c>
      <c r="F273" s="3787"/>
      <c r="G273" s="3779"/>
      <c r="H273" s="3779" t="s">
        <v>40</v>
      </c>
      <c r="I273" s="3779" t="s">
        <v>40</v>
      </c>
      <c r="J273" s="3779" t="s">
        <v>40</v>
      </c>
      <c r="K273" s="3779" t="s">
        <v>40</v>
      </c>
      <c r="L273" s="3779" t="s">
        <v>40</v>
      </c>
      <c r="M273" s="3779"/>
      <c r="N273" s="3873"/>
      <c r="O273" s="3775" t="s">
        <v>40</v>
      </c>
      <c r="P273" s="3775" t="s">
        <v>40</v>
      </c>
      <c r="Q273" s="3771" t="s">
        <v>40</v>
      </c>
      <c r="R273" s="3771" t="s">
        <v>40</v>
      </c>
      <c r="S273" s="3771" t="s">
        <v>40</v>
      </c>
      <c r="T273" s="3779"/>
      <c r="U273" s="3779"/>
      <c r="V273" s="3787" t="s">
        <v>40</v>
      </c>
      <c r="W273" s="3779" t="s">
        <v>40</v>
      </c>
      <c r="X273" s="3779" t="s">
        <v>40</v>
      </c>
      <c r="Y273" s="3779" t="s">
        <v>40</v>
      </c>
      <c r="Z273" s="3779" t="s">
        <v>40</v>
      </c>
      <c r="AA273" s="3787"/>
      <c r="AB273" s="3779"/>
      <c r="AC273" s="3779" t="s">
        <v>40</v>
      </c>
      <c r="AD273" s="3779" t="s">
        <v>40</v>
      </c>
      <c r="AE273" s="3779" t="s">
        <v>40</v>
      </c>
      <c r="AF273" s="3779" t="s">
        <v>40</v>
      </c>
      <c r="AG273" s="3779" t="s">
        <v>40</v>
      </c>
    </row>
    <row r="274" spans="1:33" ht="18" customHeight="1">
      <c r="A274" s="4108">
        <v>3701</v>
      </c>
      <c r="B274" s="4078" t="s">
        <v>321</v>
      </c>
      <c r="C274" s="3779" t="s">
        <v>40</v>
      </c>
      <c r="D274" s="3779" t="s">
        <v>40</v>
      </c>
      <c r="E274" s="3779" t="s">
        <v>40</v>
      </c>
      <c r="F274" s="3787"/>
      <c r="G274" s="3779"/>
      <c r="H274" s="3779" t="s">
        <v>40</v>
      </c>
      <c r="I274" s="3779" t="s">
        <v>40</v>
      </c>
      <c r="J274" s="3779" t="s">
        <v>40</v>
      </c>
      <c r="K274" s="3779" t="s">
        <v>40</v>
      </c>
      <c r="L274" s="3779" t="s">
        <v>40</v>
      </c>
      <c r="M274" s="3779"/>
      <c r="N274" s="3873"/>
      <c r="O274" s="4109" t="s">
        <v>40</v>
      </c>
      <c r="P274" s="4109" t="s">
        <v>40</v>
      </c>
      <c r="Q274" s="4109" t="s">
        <v>40</v>
      </c>
      <c r="R274" s="4110" t="s">
        <v>40</v>
      </c>
      <c r="S274" s="4110" t="s">
        <v>40</v>
      </c>
      <c r="T274" s="4111"/>
      <c r="U274" s="4111"/>
      <c r="V274" s="4110" t="s">
        <v>40</v>
      </c>
      <c r="W274" s="4110" t="s">
        <v>40</v>
      </c>
      <c r="X274" s="4110" t="s">
        <v>40</v>
      </c>
      <c r="Y274" s="4111" t="s">
        <v>40</v>
      </c>
      <c r="Z274" s="3779" t="s">
        <v>40</v>
      </c>
      <c r="AA274" s="3787"/>
      <c r="AB274" s="3779"/>
      <c r="AC274" s="3779" t="s">
        <v>40</v>
      </c>
      <c r="AD274" s="3779" t="s">
        <v>40</v>
      </c>
      <c r="AE274" s="3779" t="s">
        <v>40</v>
      </c>
      <c r="AF274" s="3779" t="s">
        <v>40</v>
      </c>
      <c r="AG274" s="3779" t="s">
        <v>40</v>
      </c>
    </row>
    <row r="275" spans="1:33" ht="18" customHeight="1">
      <c r="A275" s="4103">
        <v>3701</v>
      </c>
      <c r="B275" s="4078" t="s">
        <v>322</v>
      </c>
      <c r="C275" s="3779" t="s">
        <v>40</v>
      </c>
      <c r="D275" s="3779" t="s">
        <v>40</v>
      </c>
      <c r="E275" s="3779" t="s">
        <v>40</v>
      </c>
      <c r="F275" s="3787"/>
      <c r="G275" s="3779"/>
      <c r="H275" s="3779" t="s">
        <v>40</v>
      </c>
      <c r="I275" s="3779" t="s">
        <v>40</v>
      </c>
      <c r="J275" s="3779" t="s">
        <v>40</v>
      </c>
      <c r="K275" s="3779" t="s">
        <v>40</v>
      </c>
      <c r="L275" s="3779" t="s">
        <v>40</v>
      </c>
      <c r="M275" s="3779"/>
      <c r="N275" s="3873"/>
      <c r="O275" s="3779" t="s">
        <v>40</v>
      </c>
      <c r="P275" s="3771" t="s">
        <v>40</v>
      </c>
      <c r="Q275" s="3775" t="s">
        <v>40</v>
      </c>
      <c r="R275" s="3775" t="s">
        <v>40</v>
      </c>
      <c r="S275" s="3775" t="s">
        <v>40</v>
      </c>
      <c r="T275" s="3779"/>
      <c r="U275" s="3779"/>
      <c r="V275" s="3787" t="s">
        <v>40</v>
      </c>
      <c r="W275" s="3779" t="s">
        <v>40</v>
      </c>
      <c r="X275" s="3779" t="s">
        <v>40</v>
      </c>
      <c r="Y275" s="3779" t="s">
        <v>40</v>
      </c>
      <c r="Z275" s="3779" t="s">
        <v>40</v>
      </c>
      <c r="AA275" s="3787"/>
      <c r="AB275" s="3779"/>
      <c r="AC275" s="3779" t="s">
        <v>40</v>
      </c>
      <c r="AD275" s="3779" t="s">
        <v>40</v>
      </c>
      <c r="AE275" s="3779" t="s">
        <v>40</v>
      </c>
      <c r="AF275" s="3779" t="s">
        <v>40</v>
      </c>
      <c r="AG275" s="3779" t="s">
        <v>40</v>
      </c>
    </row>
    <row r="276" spans="1:33" ht="18" customHeight="1">
      <c r="A276" s="4103">
        <v>3701</v>
      </c>
      <c r="B276" s="4078" t="s">
        <v>323</v>
      </c>
      <c r="C276" s="3779" t="s">
        <v>40</v>
      </c>
      <c r="D276" s="3779" t="s">
        <v>40</v>
      </c>
      <c r="E276" s="3779" t="s">
        <v>40</v>
      </c>
      <c r="F276" s="3787"/>
      <c r="G276" s="3779"/>
      <c r="H276" s="3779" t="s">
        <v>40</v>
      </c>
      <c r="I276" s="3779" t="s">
        <v>40</v>
      </c>
      <c r="J276" s="3779" t="s">
        <v>40</v>
      </c>
      <c r="K276" s="3779" t="s">
        <v>40</v>
      </c>
      <c r="L276" s="3779" t="s">
        <v>40</v>
      </c>
      <c r="M276" s="3779"/>
      <c r="N276" s="3873"/>
      <c r="O276" s="3775" t="s">
        <v>40</v>
      </c>
      <c r="P276" s="3775" t="s">
        <v>40</v>
      </c>
      <c r="Q276" s="3775" t="s">
        <v>40</v>
      </c>
      <c r="R276" s="3775" t="s">
        <v>40</v>
      </c>
      <c r="S276" s="3775" t="s">
        <v>40</v>
      </c>
      <c r="T276" s="3779"/>
      <c r="U276" s="3779"/>
      <c r="V276" s="3787" t="s">
        <v>40</v>
      </c>
      <c r="W276" s="3779" t="s">
        <v>40</v>
      </c>
      <c r="X276" s="3779" t="s">
        <v>40</v>
      </c>
      <c r="Y276" s="3779" t="s">
        <v>40</v>
      </c>
      <c r="Z276" s="3779" t="s">
        <v>40</v>
      </c>
      <c r="AA276" s="3787"/>
      <c r="AB276" s="3779"/>
      <c r="AC276" s="3779" t="s">
        <v>40</v>
      </c>
      <c r="AD276" s="3779" t="s">
        <v>40</v>
      </c>
      <c r="AE276" s="3779" t="s">
        <v>40</v>
      </c>
      <c r="AF276" s="3779" t="s">
        <v>40</v>
      </c>
      <c r="AG276" s="3779" t="s">
        <v>40</v>
      </c>
    </row>
    <row r="277" spans="1:33" ht="18" customHeight="1">
      <c r="A277" s="4103"/>
      <c r="B277" s="4078" t="s">
        <v>324</v>
      </c>
      <c r="C277" s="3779" t="s">
        <v>40</v>
      </c>
      <c r="D277" s="3779" t="s">
        <v>40</v>
      </c>
      <c r="E277" s="3779" t="s">
        <v>40</v>
      </c>
      <c r="F277" s="3787"/>
      <c r="G277" s="3779"/>
      <c r="H277" s="3779" t="s">
        <v>40</v>
      </c>
      <c r="I277" s="3779" t="s">
        <v>40</v>
      </c>
      <c r="J277" s="3779" t="s">
        <v>40</v>
      </c>
      <c r="K277" s="3779" t="s">
        <v>40</v>
      </c>
      <c r="L277" s="3779" t="s">
        <v>40</v>
      </c>
      <c r="M277" s="3779"/>
      <c r="N277" s="3873"/>
      <c r="O277" s="3783" t="s">
        <v>40</v>
      </c>
      <c r="P277" s="3783" t="s">
        <v>40</v>
      </c>
      <c r="Q277" s="3783" t="s">
        <v>40</v>
      </c>
      <c r="R277" s="3783" t="s">
        <v>40</v>
      </c>
      <c r="S277" s="3783" t="s">
        <v>40</v>
      </c>
      <c r="T277" s="3779"/>
      <c r="U277" s="3779"/>
      <c r="V277" s="3787" t="s">
        <v>40</v>
      </c>
      <c r="W277" s="3779" t="s">
        <v>40</v>
      </c>
      <c r="X277" s="3779" t="s">
        <v>40</v>
      </c>
      <c r="Y277" s="3779" t="s">
        <v>40</v>
      </c>
      <c r="Z277" s="3779" t="s">
        <v>40</v>
      </c>
      <c r="AA277" s="3787"/>
      <c r="AB277" s="3779"/>
      <c r="AC277" s="3779" t="s">
        <v>40</v>
      </c>
      <c r="AD277" s="3779" t="s">
        <v>40</v>
      </c>
      <c r="AE277" s="3779" t="s">
        <v>40</v>
      </c>
      <c r="AF277" s="3779" t="s">
        <v>40</v>
      </c>
      <c r="AG277" s="3779" t="s">
        <v>40</v>
      </c>
    </row>
    <row r="278" spans="1:33" ht="18" customHeight="1">
      <c r="A278" s="4103"/>
      <c r="B278" s="4078"/>
      <c r="C278" s="3779" t="s">
        <v>40</v>
      </c>
      <c r="D278" s="3779" t="s">
        <v>40</v>
      </c>
      <c r="E278" s="3779" t="s">
        <v>40</v>
      </c>
      <c r="F278" s="3787"/>
      <c r="G278" s="3779"/>
      <c r="H278" s="3779" t="s">
        <v>40</v>
      </c>
      <c r="I278" s="3779" t="s">
        <v>40</v>
      </c>
      <c r="J278" s="3779" t="s">
        <v>40</v>
      </c>
      <c r="K278" s="3779" t="s">
        <v>40</v>
      </c>
      <c r="L278" s="3779" t="s">
        <v>40</v>
      </c>
      <c r="M278" s="3779"/>
      <c r="N278" s="3873"/>
      <c r="O278" s="3779" t="s">
        <v>40</v>
      </c>
      <c r="P278" s="3771" t="s">
        <v>40</v>
      </c>
      <c r="Q278" s="3771" t="s">
        <v>40</v>
      </c>
      <c r="R278" s="3771" t="s">
        <v>40</v>
      </c>
      <c r="S278" s="3771" t="s">
        <v>40</v>
      </c>
      <c r="T278" s="3779"/>
      <c r="U278" s="3779"/>
      <c r="V278" s="3787" t="s">
        <v>40</v>
      </c>
      <c r="W278" s="3779" t="s">
        <v>40</v>
      </c>
      <c r="X278" s="3779" t="s">
        <v>40</v>
      </c>
      <c r="Y278" s="3779" t="s">
        <v>40</v>
      </c>
      <c r="Z278" s="3779" t="s">
        <v>40</v>
      </c>
      <c r="AA278" s="3787"/>
      <c r="AB278" s="3779"/>
      <c r="AC278" s="3779" t="s">
        <v>40</v>
      </c>
      <c r="AD278" s="3779" t="s">
        <v>40</v>
      </c>
      <c r="AE278" s="3779" t="s">
        <v>40</v>
      </c>
      <c r="AF278" s="3779" t="s">
        <v>40</v>
      </c>
      <c r="AG278" s="3779" t="s">
        <v>40</v>
      </c>
    </row>
    <row r="279" spans="1:33" ht="18" customHeight="1">
      <c r="A279" s="4103"/>
      <c r="B279" s="4078" t="s">
        <v>326</v>
      </c>
      <c r="C279" s="3779" t="s">
        <v>40</v>
      </c>
      <c r="D279" s="3779" t="s">
        <v>40</v>
      </c>
      <c r="E279" s="3779" t="s">
        <v>40</v>
      </c>
      <c r="F279" s="3787"/>
      <c r="G279" s="3779"/>
      <c r="H279" s="3779" t="s">
        <v>40</v>
      </c>
      <c r="I279" s="3779" t="s">
        <v>40</v>
      </c>
      <c r="J279" s="3779" t="s">
        <v>40</v>
      </c>
      <c r="K279" s="3779" t="s">
        <v>40</v>
      </c>
      <c r="L279" s="3779" t="s">
        <v>40</v>
      </c>
      <c r="M279" s="3779"/>
      <c r="N279" s="3873"/>
      <c r="O279" s="3779" t="s">
        <v>40</v>
      </c>
      <c r="P279" s="3771" t="s">
        <v>40</v>
      </c>
      <c r="Q279" s="3771" t="s">
        <v>40</v>
      </c>
      <c r="R279" s="3771" t="s">
        <v>40</v>
      </c>
      <c r="S279" s="3771" t="s">
        <v>40</v>
      </c>
      <c r="T279" s="3779"/>
      <c r="U279" s="3779"/>
      <c r="V279" s="3787" t="s">
        <v>40</v>
      </c>
      <c r="W279" s="3779" t="s">
        <v>40</v>
      </c>
      <c r="X279" s="3779" t="s">
        <v>40</v>
      </c>
      <c r="Y279" s="3788" t="s">
        <v>40</v>
      </c>
      <c r="Z279" s="3779" t="s">
        <v>40</v>
      </c>
      <c r="AA279" s="3787"/>
      <c r="AB279" s="3779"/>
      <c r="AC279" s="3788" t="s">
        <v>40</v>
      </c>
      <c r="AD279" s="3779" t="s">
        <v>40</v>
      </c>
      <c r="AE279" s="3779" t="s">
        <v>40</v>
      </c>
      <c r="AF279" s="3788" t="s">
        <v>40</v>
      </c>
      <c r="AG279" s="3788" t="s">
        <v>40</v>
      </c>
    </row>
    <row r="280" spans="1:33" ht="18" customHeight="1">
      <c r="A280" s="4103"/>
      <c r="B280" s="4105" t="s">
        <v>327</v>
      </c>
      <c r="C280" s="4106"/>
      <c r="D280" s="4106"/>
      <c r="E280" s="4106"/>
      <c r="F280" s="4106"/>
      <c r="G280" s="4107"/>
      <c r="H280" s="4107"/>
      <c r="I280" s="4107"/>
      <c r="J280" s="4106"/>
      <c r="K280" s="4106"/>
      <c r="L280" s="4106"/>
      <c r="M280" s="4106"/>
      <c r="N280" s="4107"/>
      <c r="O280" s="4107"/>
      <c r="P280" s="4107"/>
      <c r="Q280" s="4106"/>
      <c r="R280" s="4106"/>
      <c r="S280" s="4106"/>
      <c r="T280" s="4106"/>
      <c r="U280" s="4107"/>
      <c r="V280" s="4107"/>
      <c r="W280" s="4107"/>
      <c r="X280" s="4106"/>
      <c r="Y280" s="4106"/>
      <c r="Z280" s="4106"/>
      <c r="AA280" s="4106"/>
      <c r="AB280" s="4107"/>
      <c r="AC280" s="4107"/>
      <c r="AD280" s="4107"/>
      <c r="AE280" s="4106"/>
      <c r="AF280" s="4106"/>
      <c r="AG280" s="4106"/>
    </row>
    <row r="281" spans="1:33" ht="18" customHeight="1">
      <c r="A281" s="4103"/>
      <c r="B281" s="4078" t="s">
        <v>328</v>
      </c>
      <c r="C281" s="3779" t="s">
        <v>40</v>
      </c>
      <c r="D281" s="3779" t="s">
        <v>40</v>
      </c>
      <c r="E281" s="3779" t="s">
        <v>40</v>
      </c>
      <c r="F281" s="3787"/>
      <c r="G281" s="3779"/>
      <c r="H281" s="3779" t="s">
        <v>40</v>
      </c>
      <c r="I281" s="3779" t="s">
        <v>40</v>
      </c>
      <c r="J281" s="3779" t="s">
        <v>40</v>
      </c>
      <c r="K281" s="3779" t="s">
        <v>40</v>
      </c>
      <c r="L281" s="3779" t="s">
        <v>40</v>
      </c>
      <c r="M281" s="3779"/>
      <c r="N281" s="3873"/>
      <c r="O281" s="3779" t="s">
        <v>40</v>
      </c>
      <c r="P281" s="3771" t="s">
        <v>40</v>
      </c>
      <c r="Q281" s="3771" t="s">
        <v>40</v>
      </c>
      <c r="R281" s="4112" t="s">
        <v>40</v>
      </c>
      <c r="S281" s="3771" t="s">
        <v>40</v>
      </c>
      <c r="T281" s="3779"/>
      <c r="U281" s="3779"/>
      <c r="V281" s="3787" t="s">
        <v>40</v>
      </c>
      <c r="W281" s="3779" t="s">
        <v>40</v>
      </c>
      <c r="X281" s="3779" t="s">
        <v>40</v>
      </c>
      <c r="Y281" s="3779" t="s">
        <v>40</v>
      </c>
      <c r="Z281" s="3779" t="s">
        <v>40</v>
      </c>
      <c r="AA281" s="3787"/>
      <c r="AB281" s="3779"/>
      <c r="AC281" s="3779" t="s">
        <v>40</v>
      </c>
      <c r="AD281" s="3779" t="s">
        <v>40</v>
      </c>
      <c r="AE281" s="3779" t="s">
        <v>40</v>
      </c>
      <c r="AF281" s="3779" t="s">
        <v>40</v>
      </c>
      <c r="AG281" s="3779" t="s">
        <v>40</v>
      </c>
    </row>
    <row r="282" spans="1:33" ht="18" customHeight="1">
      <c r="A282" s="4103"/>
      <c r="B282" s="4078" t="s">
        <v>329</v>
      </c>
      <c r="C282" s="3779" t="s">
        <v>40</v>
      </c>
      <c r="D282" s="3779" t="s">
        <v>40</v>
      </c>
      <c r="E282" s="3779" t="s">
        <v>40</v>
      </c>
      <c r="F282" s="3787"/>
      <c r="G282" s="3779"/>
      <c r="H282" s="3779" t="s">
        <v>40</v>
      </c>
      <c r="I282" s="3779" t="s">
        <v>40</v>
      </c>
      <c r="J282" s="3779" t="s">
        <v>40</v>
      </c>
      <c r="K282" s="3779" t="s">
        <v>40</v>
      </c>
      <c r="L282" s="3779" t="s">
        <v>40</v>
      </c>
      <c r="M282" s="3779"/>
      <c r="N282" s="3873"/>
      <c r="O282" s="3775" t="s">
        <v>40</v>
      </c>
      <c r="P282" s="3775" t="s">
        <v>40</v>
      </c>
      <c r="Q282" s="3775" t="s">
        <v>40</v>
      </c>
      <c r="R282" s="3771" t="s">
        <v>40</v>
      </c>
      <c r="S282" s="3771" t="s">
        <v>40</v>
      </c>
      <c r="T282" s="3779"/>
      <c r="U282" s="3779"/>
      <c r="V282" s="3787" t="s">
        <v>40</v>
      </c>
      <c r="W282" s="3779" t="s">
        <v>40</v>
      </c>
      <c r="X282" s="3779" t="s">
        <v>40</v>
      </c>
      <c r="Y282" s="3779" t="s">
        <v>40</v>
      </c>
      <c r="Z282" s="3779" t="s">
        <v>40</v>
      </c>
      <c r="AA282" s="3787"/>
      <c r="AB282" s="3779"/>
      <c r="AC282" s="3779" t="s">
        <v>40</v>
      </c>
      <c r="AD282" s="3779" t="s">
        <v>40</v>
      </c>
      <c r="AE282" s="3779" t="s">
        <v>40</v>
      </c>
      <c r="AF282" s="3779" t="s">
        <v>40</v>
      </c>
      <c r="AG282" s="3779" t="s">
        <v>40</v>
      </c>
    </row>
    <row r="283" spans="1:33" ht="18" customHeight="1"/>
    <row r="284" spans="1:33" ht="18" customHeight="1"/>
    <row r="285" spans="1:33" ht="18" customHeight="1" thickBot="1">
      <c r="A285" s="96" t="s">
        <v>331</v>
      </c>
    </row>
    <row r="286" spans="1:33" ht="18" customHeight="1">
      <c r="B286" s="2908" t="s">
        <v>303</v>
      </c>
      <c r="C286" s="2765"/>
      <c r="D286" s="2788" t="s">
        <v>19</v>
      </c>
      <c r="E286" s="3064"/>
      <c r="F286" s="2769"/>
      <c r="G286" s="2765"/>
      <c r="H286" s="2788" t="s">
        <v>20</v>
      </c>
      <c r="I286" s="3064"/>
      <c r="J286" s="2769"/>
      <c r="K286" s="2765"/>
      <c r="L286" s="2788" t="s">
        <v>21</v>
      </c>
      <c r="M286" s="3064"/>
      <c r="N286" s="2769"/>
      <c r="O286" s="2765"/>
      <c r="P286" s="2788" t="s">
        <v>22</v>
      </c>
      <c r="Q286" s="3064"/>
      <c r="R286" s="2769"/>
      <c r="S286" s="2765"/>
      <c r="T286" s="2788" t="s">
        <v>23</v>
      </c>
      <c r="U286" s="3064"/>
      <c r="V286" s="2769"/>
      <c r="W286" s="2765"/>
      <c r="X286" s="2788" t="s">
        <v>24</v>
      </c>
      <c r="Y286" s="3064"/>
      <c r="Z286" s="2769"/>
      <c r="AA286" s="2765"/>
      <c r="AB286" s="2788" t="s">
        <v>25</v>
      </c>
      <c r="AC286" s="3064"/>
      <c r="AD286" s="3064"/>
      <c r="AE286" s="2791"/>
      <c r="AF286" s="3064"/>
      <c r="AG286" s="3064"/>
    </row>
    <row r="287" spans="1:33" ht="18" customHeight="1">
      <c r="B287" s="4113" t="s">
        <v>210</v>
      </c>
      <c r="C287" s="543" t="s">
        <v>332</v>
      </c>
      <c r="D287" s="539"/>
      <c r="E287" s="544"/>
      <c r="F287" s="545"/>
      <c r="G287" s="543" t="s">
        <v>332</v>
      </c>
      <c r="H287" s="539"/>
      <c r="I287" s="544"/>
      <c r="J287" s="545"/>
      <c r="K287" s="543" t="s">
        <v>332</v>
      </c>
      <c r="L287" s="539"/>
      <c r="M287" s="544"/>
      <c r="N287" s="545"/>
      <c r="O287" s="543" t="s">
        <v>332</v>
      </c>
      <c r="P287" s="546"/>
      <c r="Q287" s="544"/>
      <c r="R287" s="545"/>
      <c r="S287" s="547" t="s">
        <v>333</v>
      </c>
      <c r="T287" s="539"/>
      <c r="U287" s="544"/>
      <c r="V287" s="545"/>
      <c r="W287" s="541"/>
      <c r="X287" s="539"/>
      <c r="Y287" s="531"/>
      <c r="Z287" s="540"/>
      <c r="AA287" s="541"/>
      <c r="AB287" s="539"/>
      <c r="AC287" s="531"/>
      <c r="AD287" s="531"/>
      <c r="AE287" s="542"/>
      <c r="AF287" s="531"/>
      <c r="AG287" s="516"/>
    </row>
    <row r="288" spans="1:33" ht="18" customHeight="1">
      <c r="A288" s="68"/>
      <c r="B288" s="4113" t="s">
        <v>212</v>
      </c>
      <c r="C288" s="543" t="s">
        <v>334</v>
      </c>
      <c r="D288" s="539"/>
      <c r="E288" s="544"/>
      <c r="F288" s="545"/>
      <c r="G288" s="543" t="s">
        <v>334</v>
      </c>
      <c r="H288" s="539"/>
      <c r="I288" s="544"/>
      <c r="J288" s="545"/>
      <c r="K288" s="543" t="s">
        <v>334</v>
      </c>
      <c r="L288" s="539"/>
      <c r="M288" s="544"/>
      <c r="N288" s="545"/>
      <c r="O288" s="543" t="s">
        <v>334</v>
      </c>
      <c r="P288" s="539"/>
      <c r="Q288" s="544"/>
      <c r="R288" s="545"/>
      <c r="S288" s="543" t="s">
        <v>335</v>
      </c>
      <c r="T288" s="539"/>
      <c r="U288" s="544"/>
      <c r="V288" s="545"/>
      <c r="W288" s="541"/>
      <c r="X288" s="539"/>
      <c r="Y288" s="531"/>
      <c r="Z288" s="540"/>
      <c r="AA288" s="541"/>
      <c r="AB288" s="539"/>
      <c r="AC288" s="531"/>
      <c r="AD288" s="531"/>
      <c r="AE288" s="542"/>
      <c r="AF288" s="531"/>
      <c r="AG288" s="516"/>
    </row>
    <row r="289" spans="1:33" ht="18" customHeight="1" thickBot="1">
      <c r="B289" s="4114" t="s">
        <v>336</v>
      </c>
      <c r="C289" s="4051" t="s">
        <v>334</v>
      </c>
      <c r="D289" s="3718"/>
      <c r="E289" s="544"/>
      <c r="F289" s="545"/>
      <c r="G289" s="4051" t="s">
        <v>334</v>
      </c>
      <c r="H289" s="3718"/>
      <c r="I289" s="544"/>
      <c r="J289" s="545"/>
      <c r="K289" s="4051" t="s">
        <v>334</v>
      </c>
      <c r="L289" s="3718"/>
      <c r="M289" s="544"/>
      <c r="N289" s="545"/>
      <c r="O289" s="4051" t="s">
        <v>334</v>
      </c>
      <c r="P289" s="3718"/>
      <c r="Q289" s="544"/>
      <c r="R289" s="545"/>
      <c r="S289" s="4051" t="s">
        <v>335</v>
      </c>
      <c r="T289" s="539"/>
      <c r="U289" s="544"/>
      <c r="V289" s="545"/>
      <c r="W289" s="541"/>
      <c r="X289" s="539"/>
      <c r="Y289" s="531"/>
      <c r="Z289" s="540"/>
      <c r="AA289" s="541"/>
      <c r="AB289" s="539"/>
      <c r="AC289" s="531"/>
      <c r="AD289" s="531"/>
      <c r="AE289" s="542"/>
      <c r="AF289" s="531"/>
      <c r="AG289" s="516"/>
    </row>
    <row r="290" spans="1:33" ht="18" customHeight="1">
      <c r="B290" s="37"/>
      <c r="C290" s="42"/>
      <c r="D290" s="5"/>
      <c r="G290" s="42"/>
      <c r="H290" s="5"/>
      <c r="K290" s="42"/>
      <c r="L290" s="5"/>
      <c r="O290" s="42"/>
      <c r="P290" s="5"/>
      <c r="S290" s="42"/>
      <c r="T290" s="42"/>
      <c r="X290" s="42"/>
      <c r="AB290" s="42"/>
      <c r="AE290" s="42"/>
    </row>
    <row r="291" spans="1:33" ht="18" customHeight="1" thickBot="1">
      <c r="A291" s="588" t="s">
        <v>337</v>
      </c>
    </row>
    <row r="292" spans="1:33" ht="18" customHeight="1" thickBot="1">
      <c r="A292" s="3236"/>
      <c r="B292" s="3086" t="s">
        <v>38</v>
      </c>
      <c r="C292" s="2985">
        <v>1</v>
      </c>
      <c r="D292" s="2985">
        <v>2</v>
      </c>
      <c r="E292" s="2985">
        <v>3</v>
      </c>
      <c r="F292" s="2986">
        <v>4</v>
      </c>
      <c r="G292" s="2986">
        <v>5</v>
      </c>
      <c r="H292" s="2985">
        <v>6</v>
      </c>
      <c r="I292" s="2985">
        <v>7</v>
      </c>
      <c r="J292" s="2985">
        <v>8</v>
      </c>
      <c r="K292" s="2985">
        <v>9</v>
      </c>
      <c r="L292" s="2985">
        <v>10</v>
      </c>
      <c r="M292" s="2986">
        <v>11</v>
      </c>
      <c r="N292" s="2986">
        <v>12</v>
      </c>
      <c r="O292" s="2985">
        <v>13</v>
      </c>
      <c r="P292" s="2985">
        <v>14</v>
      </c>
      <c r="Q292" s="2985">
        <v>15</v>
      </c>
      <c r="R292" s="2985">
        <v>16</v>
      </c>
      <c r="S292" s="2985">
        <v>17</v>
      </c>
      <c r="T292" s="2986">
        <v>18</v>
      </c>
      <c r="U292" s="2986">
        <v>19</v>
      </c>
      <c r="V292" s="2985">
        <v>20</v>
      </c>
      <c r="W292" s="2985">
        <v>21</v>
      </c>
      <c r="X292" s="2985">
        <v>22</v>
      </c>
      <c r="Y292" s="2985">
        <v>23</v>
      </c>
      <c r="Z292" s="2985">
        <v>24</v>
      </c>
      <c r="AA292" s="2986">
        <v>25</v>
      </c>
      <c r="AB292" s="2986">
        <v>26</v>
      </c>
      <c r="AC292" s="2985">
        <v>27</v>
      </c>
      <c r="AD292" s="2985">
        <v>28</v>
      </c>
      <c r="AE292" s="2985">
        <v>29</v>
      </c>
      <c r="AF292" s="2985">
        <v>30</v>
      </c>
      <c r="AG292" s="2985">
        <v>31</v>
      </c>
    </row>
    <row r="293" spans="1:33" ht="18" customHeight="1">
      <c r="A293" s="2912">
        <v>3702</v>
      </c>
      <c r="B293" s="2913" t="s">
        <v>338</v>
      </c>
      <c r="C293" s="3779" t="s">
        <v>40</v>
      </c>
      <c r="D293" s="3779" t="s">
        <v>40</v>
      </c>
      <c r="E293" s="3779" t="s">
        <v>40</v>
      </c>
      <c r="F293" s="3787"/>
      <c r="G293" s="3779"/>
      <c r="H293" s="3779" t="s">
        <v>40</v>
      </c>
      <c r="I293" s="3779" t="s">
        <v>40</v>
      </c>
      <c r="J293" s="3779" t="s">
        <v>40</v>
      </c>
      <c r="K293" s="3779" t="s">
        <v>40</v>
      </c>
      <c r="L293" s="3779" t="s">
        <v>40</v>
      </c>
      <c r="M293" s="3779"/>
      <c r="N293" s="3873"/>
      <c r="O293" s="3779" t="s">
        <v>40</v>
      </c>
      <c r="P293" s="3771" t="s">
        <v>40</v>
      </c>
      <c r="Q293" s="3771" t="s">
        <v>40</v>
      </c>
      <c r="R293" s="3771" t="s">
        <v>40</v>
      </c>
      <c r="S293" s="3771" t="s">
        <v>40</v>
      </c>
      <c r="T293" s="3779"/>
      <c r="U293" s="3779"/>
      <c r="V293" s="3787" t="s">
        <v>40</v>
      </c>
      <c r="W293" s="3779" t="s">
        <v>40</v>
      </c>
      <c r="X293" s="3779" t="s">
        <v>40</v>
      </c>
      <c r="Y293" s="3779" t="s">
        <v>40</v>
      </c>
      <c r="Z293" s="3779" t="s">
        <v>40</v>
      </c>
      <c r="AA293" s="3787"/>
      <c r="AB293" s="3779"/>
      <c r="AC293" s="3779" t="s">
        <v>40</v>
      </c>
      <c r="AD293" s="3779" t="s">
        <v>40</v>
      </c>
      <c r="AE293" s="3779" t="s">
        <v>40</v>
      </c>
      <c r="AF293" s="3779" t="s">
        <v>40</v>
      </c>
      <c r="AG293" s="3779" t="s">
        <v>40</v>
      </c>
    </row>
    <row r="294" spans="1:33" ht="18" customHeight="1">
      <c r="A294" s="4115"/>
      <c r="B294" s="4116"/>
      <c r="C294" s="3779"/>
      <c r="D294" s="3779"/>
      <c r="E294" s="3779"/>
      <c r="F294" s="3779"/>
      <c r="G294" s="3779"/>
      <c r="H294" s="3779"/>
      <c r="I294" s="3779"/>
      <c r="J294" s="3779"/>
      <c r="K294" s="3779"/>
      <c r="L294" s="3779"/>
      <c r="M294" s="3779"/>
      <c r="N294" s="3779"/>
      <c r="O294" s="3779"/>
      <c r="P294" s="3779"/>
      <c r="Q294" s="3779"/>
      <c r="R294" s="3779"/>
      <c r="S294" s="3779"/>
      <c r="T294" s="3779"/>
      <c r="U294" s="3779"/>
      <c r="V294" s="3779"/>
      <c r="W294" s="3779"/>
      <c r="X294" s="3779"/>
      <c r="Y294" s="3779"/>
      <c r="Z294" s="3779"/>
      <c r="AA294" s="3779"/>
      <c r="AB294" s="3779"/>
      <c r="AC294" s="3779"/>
      <c r="AD294" s="3779"/>
      <c r="AE294" s="3779"/>
      <c r="AF294" s="3779"/>
      <c r="AG294" s="3779"/>
    </row>
    <row r="295" spans="1:33" ht="18" customHeight="1">
      <c r="A295" s="4117"/>
      <c r="B295" s="4118" t="s">
        <v>339</v>
      </c>
      <c r="C295" s="4119"/>
      <c r="D295" s="4119"/>
      <c r="E295" s="4119"/>
      <c r="F295" s="4119"/>
      <c r="G295" s="4119"/>
      <c r="H295" s="4119"/>
      <c r="I295" s="4119"/>
      <c r="J295" s="4119"/>
      <c r="K295" s="4119"/>
      <c r="L295" s="4119"/>
      <c r="M295" s="4119"/>
      <c r="N295" s="4119"/>
      <c r="O295" s="4119"/>
      <c r="P295" s="4119"/>
      <c r="Q295" s="4119"/>
      <c r="R295" s="4119"/>
      <c r="S295" s="4119"/>
      <c r="T295" s="4119"/>
      <c r="U295" s="4119"/>
      <c r="V295" s="4119"/>
      <c r="W295" s="4119"/>
      <c r="X295" s="4119"/>
      <c r="Y295" s="4119"/>
      <c r="Z295" s="4119"/>
      <c r="AA295" s="4119"/>
      <c r="AB295" s="4119"/>
      <c r="AC295" s="4119"/>
      <c r="AD295" s="4119"/>
      <c r="AE295" s="4119"/>
      <c r="AF295" s="4119"/>
      <c r="AG295" s="4119"/>
    </row>
    <row r="296" spans="1:33" ht="18" customHeight="1">
      <c r="A296" s="4120">
        <v>3702</v>
      </c>
      <c r="B296" s="3773" t="s">
        <v>340</v>
      </c>
      <c r="C296" s="3873" t="s">
        <v>341</v>
      </c>
      <c r="D296" s="3788" t="s">
        <v>341</v>
      </c>
      <c r="E296" s="3788" t="s">
        <v>341</v>
      </c>
      <c r="F296" s="3873"/>
      <c r="G296" s="3873"/>
      <c r="H296" s="3873" t="s">
        <v>342</v>
      </c>
      <c r="I296" s="3873" t="s">
        <v>342</v>
      </c>
      <c r="J296" s="3873" t="s">
        <v>342</v>
      </c>
      <c r="K296" s="3873" t="s">
        <v>342</v>
      </c>
      <c r="L296" s="3920" t="s">
        <v>342</v>
      </c>
      <c r="M296" s="3873"/>
      <c r="N296" s="3873"/>
      <c r="O296" s="3873" t="s">
        <v>341</v>
      </c>
      <c r="P296" s="3873" t="s">
        <v>341</v>
      </c>
      <c r="Q296" s="3873" t="s">
        <v>341</v>
      </c>
      <c r="R296" s="3788" t="s">
        <v>341</v>
      </c>
      <c r="S296" s="3788" t="s">
        <v>341</v>
      </c>
      <c r="T296" s="3873"/>
      <c r="U296" s="3873"/>
      <c r="V296" s="3873" t="s">
        <v>342</v>
      </c>
      <c r="W296" s="3873" t="s">
        <v>342</v>
      </c>
      <c r="X296" s="3873" t="s">
        <v>342</v>
      </c>
      <c r="Y296" s="3873" t="s">
        <v>342</v>
      </c>
      <c r="Z296" s="3873" t="s">
        <v>342</v>
      </c>
      <c r="AA296" s="3873"/>
      <c r="AB296" s="3873"/>
      <c r="AC296" s="3873" t="s">
        <v>341</v>
      </c>
      <c r="AD296" s="3873" t="s">
        <v>341</v>
      </c>
      <c r="AE296" s="3873" t="s">
        <v>341</v>
      </c>
      <c r="AF296" s="3788" t="s">
        <v>341</v>
      </c>
      <c r="AG296" s="3788" t="s">
        <v>341</v>
      </c>
    </row>
    <row r="297" spans="1:33" ht="18" customHeight="1">
      <c r="A297" s="4120"/>
      <c r="B297" s="3773" t="s">
        <v>343</v>
      </c>
      <c r="C297" s="3873" t="s">
        <v>342</v>
      </c>
      <c r="D297" s="3873" t="s">
        <v>342</v>
      </c>
      <c r="E297" s="3873" t="s">
        <v>342</v>
      </c>
      <c r="F297" s="3873"/>
      <c r="G297" s="3873"/>
      <c r="H297" s="4121" t="s">
        <v>341</v>
      </c>
      <c r="I297" s="4121" t="s">
        <v>341</v>
      </c>
      <c r="J297" s="3928" t="s">
        <v>341</v>
      </c>
      <c r="K297" s="3788" t="s">
        <v>341</v>
      </c>
      <c r="L297" s="3788" t="s">
        <v>341</v>
      </c>
      <c r="M297" s="3873"/>
      <c r="N297" s="3873"/>
      <c r="O297" s="3873" t="s">
        <v>342</v>
      </c>
      <c r="P297" s="3873" t="s">
        <v>342</v>
      </c>
      <c r="Q297" s="3873" t="s">
        <v>342</v>
      </c>
      <c r="R297" s="3873" t="s">
        <v>342</v>
      </c>
      <c r="S297" s="3873" t="s">
        <v>342</v>
      </c>
      <c r="T297" s="3873"/>
      <c r="U297" s="3873"/>
      <c r="V297" s="3873" t="s">
        <v>341</v>
      </c>
      <c r="W297" s="3873" t="s">
        <v>341</v>
      </c>
      <c r="X297" s="3873" t="s">
        <v>341</v>
      </c>
      <c r="Y297" s="3788" t="s">
        <v>341</v>
      </c>
      <c r="Z297" s="3788" t="s">
        <v>341</v>
      </c>
      <c r="AA297" s="3873"/>
      <c r="AB297" s="3873"/>
      <c r="AC297" s="3873" t="s">
        <v>342</v>
      </c>
      <c r="AD297" s="3873" t="s">
        <v>342</v>
      </c>
      <c r="AE297" s="3873" t="s">
        <v>342</v>
      </c>
      <c r="AF297" s="3873" t="s">
        <v>342</v>
      </c>
      <c r="AG297" s="3873" t="s">
        <v>342</v>
      </c>
    </row>
    <row r="298" spans="1:33" ht="18" customHeight="1" thickBot="1">
      <c r="A298" s="4122"/>
      <c r="B298" s="3792"/>
      <c r="C298" s="3863" t="s">
        <v>346</v>
      </c>
      <c r="D298" s="3863" t="s">
        <v>346</v>
      </c>
      <c r="E298" s="3863" t="s">
        <v>346</v>
      </c>
      <c r="F298" s="3860"/>
      <c r="G298" s="3860"/>
      <c r="H298" s="3860" t="s">
        <v>346</v>
      </c>
      <c r="I298" s="3860" t="s">
        <v>346</v>
      </c>
      <c r="J298" s="3863" t="s">
        <v>346</v>
      </c>
      <c r="K298" s="3863" t="s">
        <v>346</v>
      </c>
      <c r="L298" s="3863" t="s">
        <v>346</v>
      </c>
      <c r="M298" s="3860"/>
      <c r="N298" s="3860"/>
      <c r="O298" s="3860" t="s">
        <v>346</v>
      </c>
      <c r="P298" s="3860" t="s">
        <v>346</v>
      </c>
      <c r="Q298" s="3863" t="s">
        <v>346</v>
      </c>
      <c r="R298" s="3863" t="s">
        <v>346</v>
      </c>
      <c r="S298" s="3863" t="s">
        <v>346</v>
      </c>
      <c r="T298" s="3860"/>
      <c r="U298" s="3860"/>
      <c r="V298" s="3860" t="s">
        <v>346</v>
      </c>
      <c r="W298" s="3860" t="s">
        <v>346</v>
      </c>
      <c r="X298" s="3863" t="s">
        <v>346</v>
      </c>
      <c r="Y298" s="3863" t="s">
        <v>346</v>
      </c>
      <c r="Z298" s="3863" t="s">
        <v>346</v>
      </c>
      <c r="AA298" s="3860"/>
      <c r="AB298" s="3860"/>
      <c r="AC298" s="3860" t="s">
        <v>346</v>
      </c>
      <c r="AD298" s="3860" t="s">
        <v>346</v>
      </c>
      <c r="AE298" s="3863" t="s">
        <v>346</v>
      </c>
      <c r="AF298" s="3863" t="s">
        <v>346</v>
      </c>
      <c r="AG298" s="3863" t="s">
        <v>346</v>
      </c>
    </row>
    <row r="299" spans="1:33" ht="18" customHeight="1">
      <c r="C299" s="108"/>
      <c r="D299" s="108"/>
      <c r="E299" s="108"/>
      <c r="F299" s="108"/>
      <c r="G299" s="108"/>
      <c r="H299" s="108"/>
      <c r="I299" s="108"/>
      <c r="J299" s="108"/>
      <c r="K299" s="108"/>
      <c r="L299" s="108"/>
      <c r="M299" s="108"/>
      <c r="N299" s="108"/>
      <c r="O299" s="108"/>
      <c r="P299" s="108"/>
      <c r="Q299" s="108"/>
      <c r="R299" s="108"/>
      <c r="S299" s="108"/>
      <c r="T299" s="108"/>
      <c r="U299" s="108"/>
      <c r="V299" s="108"/>
      <c r="W299" s="108"/>
      <c r="X299" s="108"/>
      <c r="Y299" s="108"/>
      <c r="Z299" s="108"/>
      <c r="AA299" s="108"/>
      <c r="AB299" s="108"/>
      <c r="AC299" s="108"/>
      <c r="AD299" s="108"/>
      <c r="AE299" s="108"/>
      <c r="AF299" s="108"/>
    </row>
    <row r="300" spans="1:33" ht="18" customHeight="1"/>
    <row r="301" spans="1:33" ht="18" customHeight="1" thickBot="1">
      <c r="A301" s="96" t="s">
        <v>348</v>
      </c>
    </row>
    <row r="302" spans="1:33" ht="18" customHeight="1">
      <c r="A302" s="1"/>
      <c r="B302" s="2908" t="s">
        <v>303</v>
      </c>
      <c r="C302" s="2765"/>
      <c r="D302" s="2788" t="s">
        <v>19</v>
      </c>
      <c r="E302" s="3064"/>
      <c r="F302" s="2769"/>
      <c r="G302" s="2765"/>
      <c r="H302" s="2788" t="s">
        <v>20</v>
      </c>
      <c r="I302" s="3064"/>
      <c r="J302" s="2769"/>
      <c r="K302" s="2765"/>
      <c r="L302" s="2788" t="s">
        <v>21</v>
      </c>
      <c r="M302" s="3064"/>
      <c r="N302" s="2769"/>
      <c r="O302" s="2765"/>
      <c r="P302" s="2788" t="s">
        <v>22</v>
      </c>
      <c r="Q302" s="3064"/>
      <c r="R302" s="2769"/>
      <c r="S302" s="2765"/>
      <c r="T302" s="2788" t="s">
        <v>23</v>
      </c>
      <c r="U302" s="3064"/>
      <c r="V302" s="2769"/>
      <c r="W302" s="2765"/>
      <c r="X302" s="2788" t="s">
        <v>24</v>
      </c>
      <c r="Y302" s="3064"/>
      <c r="Z302" s="2769"/>
      <c r="AA302" s="2765"/>
      <c r="AB302" s="2788" t="s">
        <v>25</v>
      </c>
      <c r="AC302" s="3064"/>
      <c r="AD302" s="3064"/>
      <c r="AE302" s="2791" t="s">
        <v>108</v>
      </c>
      <c r="AF302" s="3064"/>
      <c r="AG302" s="2841"/>
    </row>
    <row r="303" spans="1:33" ht="18" customHeight="1">
      <c r="A303" s="1"/>
      <c r="B303" s="548"/>
      <c r="C303" s="549"/>
      <c r="D303" s="539"/>
      <c r="E303" s="516"/>
      <c r="F303" s="518"/>
      <c r="G303" s="549"/>
      <c r="H303" s="539"/>
      <c r="I303" s="516"/>
      <c r="J303" s="518"/>
      <c r="K303" s="549"/>
      <c r="L303" s="539"/>
      <c r="M303" s="516"/>
      <c r="N303" s="518"/>
      <c r="O303" s="549"/>
      <c r="P303" s="539"/>
      <c r="Q303" s="516"/>
      <c r="R303" s="518"/>
      <c r="S303" s="549"/>
      <c r="T303" s="539"/>
      <c r="U303" s="516"/>
      <c r="V303" s="518"/>
      <c r="W303" s="549"/>
      <c r="X303" s="539"/>
      <c r="Y303" s="516"/>
      <c r="Z303" s="518"/>
      <c r="AA303" s="549"/>
      <c r="AB303" s="539"/>
      <c r="AC303" s="516"/>
      <c r="AD303" s="516"/>
      <c r="AE303" s="542"/>
      <c r="AF303" s="516"/>
      <c r="AG303" s="466"/>
    </row>
    <row r="304" spans="1:33" ht="18" customHeight="1">
      <c r="A304" s="68"/>
      <c r="B304" s="4113"/>
      <c r="C304" s="3896"/>
      <c r="D304" s="3758"/>
      <c r="E304" s="3758"/>
      <c r="F304" s="4007"/>
      <c r="G304" s="3896"/>
      <c r="H304" s="3758"/>
      <c r="I304" s="3758"/>
      <c r="J304" s="4007"/>
      <c r="K304" s="3896"/>
      <c r="L304" s="3758"/>
      <c r="M304" s="3758"/>
      <c r="N304" s="4007"/>
      <c r="O304" s="3896"/>
      <c r="P304" s="3758"/>
      <c r="Q304" s="3758"/>
      <c r="R304" s="4007"/>
      <c r="S304" s="3896"/>
      <c r="T304" s="3758"/>
      <c r="U304" s="3758"/>
      <c r="V304" s="4007"/>
      <c r="W304" s="3896"/>
      <c r="X304" s="3758"/>
      <c r="Y304" s="3758"/>
      <c r="Z304" s="4007"/>
      <c r="AA304" s="4006"/>
      <c r="AB304" s="3758"/>
      <c r="AC304" s="3758"/>
      <c r="AD304" s="3194"/>
      <c r="AE304" s="4123"/>
      <c r="AF304" s="3758"/>
      <c r="AG304" s="4052"/>
    </row>
    <row r="305" spans="1:33" ht="18" customHeight="1" thickBot="1">
      <c r="A305" s="1"/>
      <c r="B305" s="4011"/>
      <c r="C305" s="4012"/>
      <c r="D305" s="3844"/>
      <c r="E305" s="3844"/>
      <c r="F305" s="4033"/>
      <c r="G305" s="4012"/>
      <c r="H305" s="3844"/>
      <c r="I305" s="3844"/>
      <c r="J305" s="4033"/>
      <c r="K305" s="4012"/>
      <c r="L305" s="3844"/>
      <c r="M305" s="3844"/>
      <c r="N305" s="4033"/>
      <c r="O305" s="4012"/>
      <c r="P305" s="3844"/>
      <c r="Q305" s="3844"/>
      <c r="R305" s="4033"/>
      <c r="S305" s="4012"/>
      <c r="T305" s="3844"/>
      <c r="U305" s="3844"/>
      <c r="V305" s="4033"/>
      <c r="W305" s="4031"/>
      <c r="X305" s="3844"/>
      <c r="Y305" s="3844"/>
      <c r="Z305" s="4033"/>
      <c r="AA305" s="4031"/>
      <c r="AB305" s="3844"/>
      <c r="AC305" s="3844"/>
      <c r="AD305" s="4034"/>
      <c r="AE305" s="4031"/>
      <c r="AF305" s="3844"/>
      <c r="AG305" s="4054"/>
    </row>
    <row r="306" spans="1:33" ht="18" customHeight="1">
      <c r="A306" s="1"/>
      <c r="B306" s="5"/>
      <c r="C306" s="42"/>
      <c r="F306" s="46"/>
      <c r="G306" s="42"/>
      <c r="J306" s="46"/>
      <c r="K306" s="42"/>
      <c r="N306" s="46"/>
      <c r="O306" s="42"/>
      <c r="R306" s="46"/>
      <c r="S306" s="42"/>
      <c r="V306" s="46"/>
      <c r="W306" s="46"/>
      <c r="Z306" s="46"/>
      <c r="AA306" s="46"/>
      <c r="AD306" s="46"/>
      <c r="AE306" s="46"/>
    </row>
    <row r="307" spans="1:33" ht="18" customHeight="1" thickBot="1">
      <c r="A307" s="96" t="s">
        <v>349</v>
      </c>
      <c r="B307" s="5"/>
      <c r="C307" s="42"/>
      <c r="F307" s="46"/>
      <c r="G307" s="42"/>
      <c r="J307" s="46"/>
      <c r="K307" s="42"/>
      <c r="N307" s="46"/>
      <c r="O307" s="42"/>
      <c r="R307" s="46"/>
      <c r="S307" s="42"/>
      <c r="V307" s="46"/>
      <c r="W307" s="46"/>
      <c r="Z307" s="46"/>
      <c r="AA307" s="46"/>
      <c r="AD307" s="46"/>
      <c r="AE307" s="46"/>
      <c r="AG307" s="111"/>
    </row>
    <row r="308" spans="1:33" ht="18" customHeight="1" thickBot="1">
      <c r="A308" s="3236" t="s">
        <v>37</v>
      </c>
      <c r="B308" s="3086" t="s">
        <v>38</v>
      </c>
      <c r="C308" s="2985">
        <v>1</v>
      </c>
      <c r="D308" s="2985">
        <v>2</v>
      </c>
      <c r="E308" s="2985">
        <v>3</v>
      </c>
      <c r="F308" s="2986">
        <v>4</v>
      </c>
      <c r="G308" s="2986">
        <v>5</v>
      </c>
      <c r="H308" s="2985">
        <v>6</v>
      </c>
      <c r="I308" s="2985">
        <v>7</v>
      </c>
      <c r="J308" s="2985">
        <v>8</v>
      </c>
      <c r="K308" s="2985">
        <v>9</v>
      </c>
      <c r="L308" s="2985">
        <v>10</v>
      </c>
      <c r="M308" s="2986">
        <v>11</v>
      </c>
      <c r="N308" s="2986">
        <v>12</v>
      </c>
      <c r="O308" s="2985">
        <v>13</v>
      </c>
      <c r="P308" s="2985">
        <v>14</v>
      </c>
      <c r="Q308" s="2985">
        <v>15</v>
      </c>
      <c r="R308" s="2985">
        <v>16</v>
      </c>
      <c r="S308" s="2985">
        <v>17</v>
      </c>
      <c r="T308" s="2986">
        <v>18</v>
      </c>
      <c r="U308" s="2986">
        <v>19</v>
      </c>
      <c r="V308" s="2985">
        <v>20</v>
      </c>
      <c r="W308" s="2985">
        <v>21</v>
      </c>
      <c r="X308" s="2985">
        <v>22</v>
      </c>
      <c r="Y308" s="2985">
        <v>23</v>
      </c>
      <c r="Z308" s="2985">
        <v>24</v>
      </c>
      <c r="AA308" s="2986">
        <v>25</v>
      </c>
      <c r="AB308" s="2986">
        <v>26</v>
      </c>
      <c r="AC308" s="2985">
        <v>27</v>
      </c>
      <c r="AD308" s="2985">
        <v>28</v>
      </c>
      <c r="AE308" s="2985">
        <v>29</v>
      </c>
      <c r="AF308" s="2985">
        <v>30</v>
      </c>
      <c r="AG308" s="2985">
        <v>31</v>
      </c>
    </row>
    <row r="309" spans="1:33" ht="18" customHeight="1">
      <c r="A309" s="2924"/>
      <c r="B309" s="2925"/>
      <c r="C309" s="3779" t="s">
        <v>40</v>
      </c>
      <c r="D309" s="3779" t="s">
        <v>40</v>
      </c>
      <c r="E309" s="3779" t="s">
        <v>40</v>
      </c>
      <c r="F309" s="3787"/>
      <c r="G309" s="3779"/>
      <c r="H309" s="3779" t="s">
        <v>40</v>
      </c>
      <c r="I309" s="3779" t="s">
        <v>40</v>
      </c>
      <c r="J309" s="3779" t="s">
        <v>40</v>
      </c>
      <c r="K309" s="3779" t="s">
        <v>40</v>
      </c>
      <c r="L309" s="3779" t="s">
        <v>40</v>
      </c>
      <c r="M309" s="3779"/>
      <c r="N309" s="3873"/>
      <c r="O309" s="3779" t="s">
        <v>40</v>
      </c>
      <c r="P309" s="3771" t="s">
        <v>40</v>
      </c>
      <c r="Q309" s="3771" t="s">
        <v>40</v>
      </c>
      <c r="R309" s="3771" t="s">
        <v>40</v>
      </c>
      <c r="S309" s="3771" t="s">
        <v>40</v>
      </c>
      <c r="T309" s="3779"/>
      <c r="U309" s="3779"/>
      <c r="V309" s="3787" t="s">
        <v>40</v>
      </c>
      <c r="W309" s="3779" t="s">
        <v>40</v>
      </c>
      <c r="X309" s="3779" t="s">
        <v>40</v>
      </c>
      <c r="Y309" s="3779" t="s">
        <v>40</v>
      </c>
      <c r="Z309" s="3779" t="s">
        <v>40</v>
      </c>
      <c r="AA309" s="3787"/>
      <c r="AB309" s="3779"/>
      <c r="AC309" s="3779" t="s">
        <v>40</v>
      </c>
      <c r="AD309" s="3779" t="s">
        <v>40</v>
      </c>
      <c r="AE309" s="3779" t="s">
        <v>40</v>
      </c>
      <c r="AF309" s="3779" t="s">
        <v>40</v>
      </c>
      <c r="AG309" s="3779" t="s">
        <v>40</v>
      </c>
    </row>
    <row r="310" spans="1:33" ht="18" customHeight="1">
      <c r="A310" s="4124"/>
      <c r="B310" s="4036" t="s">
        <v>350</v>
      </c>
      <c r="C310" s="3779" t="s">
        <v>40</v>
      </c>
      <c r="D310" s="3779" t="s">
        <v>40</v>
      </c>
      <c r="E310" s="3779" t="s">
        <v>40</v>
      </c>
      <c r="F310" s="3787"/>
      <c r="G310" s="3779"/>
      <c r="H310" s="3779" t="s">
        <v>40</v>
      </c>
      <c r="I310" s="3779" t="s">
        <v>40</v>
      </c>
      <c r="J310" s="3779" t="s">
        <v>40</v>
      </c>
      <c r="K310" s="3779" t="s">
        <v>40</v>
      </c>
      <c r="L310" s="3779" t="s">
        <v>40</v>
      </c>
      <c r="M310" s="3779"/>
      <c r="N310" s="3873"/>
      <c r="O310" s="3779" t="s">
        <v>40</v>
      </c>
      <c r="P310" s="3771" t="s">
        <v>40</v>
      </c>
      <c r="Q310" s="3771" t="s">
        <v>40</v>
      </c>
      <c r="R310" s="3771" t="s">
        <v>40</v>
      </c>
      <c r="S310" s="3771" t="s">
        <v>40</v>
      </c>
      <c r="T310" s="3779"/>
      <c r="U310" s="3779"/>
      <c r="V310" s="3787" t="s">
        <v>40</v>
      </c>
      <c r="W310" s="3779" t="s">
        <v>40</v>
      </c>
      <c r="X310" s="3779" t="s">
        <v>40</v>
      </c>
      <c r="Y310" s="3779" t="s">
        <v>40</v>
      </c>
      <c r="Z310" s="3779" t="s">
        <v>40</v>
      </c>
      <c r="AA310" s="3787"/>
      <c r="AB310" s="3779"/>
      <c r="AC310" s="3779" t="s">
        <v>40</v>
      </c>
      <c r="AD310" s="3779" t="s">
        <v>40</v>
      </c>
      <c r="AE310" s="3779" t="s">
        <v>40</v>
      </c>
      <c r="AF310" s="3779" t="s">
        <v>40</v>
      </c>
      <c r="AG310" s="3779" t="s">
        <v>40</v>
      </c>
    </row>
    <row r="311" spans="1:33" ht="18" customHeight="1">
      <c r="A311" s="4103"/>
      <c r="B311" s="4036" t="s">
        <v>351</v>
      </c>
      <c r="C311" s="3779" t="s">
        <v>40</v>
      </c>
      <c r="D311" s="3779" t="s">
        <v>40</v>
      </c>
      <c r="E311" s="3779" t="s">
        <v>40</v>
      </c>
      <c r="F311" s="3787"/>
      <c r="G311" s="3779"/>
      <c r="H311" s="3779" t="s">
        <v>40</v>
      </c>
      <c r="I311" s="3779" t="s">
        <v>40</v>
      </c>
      <c r="J311" s="3779" t="s">
        <v>40</v>
      </c>
      <c r="K311" s="3779" t="s">
        <v>40</v>
      </c>
      <c r="L311" s="3779" t="s">
        <v>40</v>
      </c>
      <c r="M311" s="3779"/>
      <c r="N311" s="3873"/>
      <c r="O311" s="3779" t="s">
        <v>40</v>
      </c>
      <c r="P311" s="3771" t="s">
        <v>40</v>
      </c>
      <c r="Q311" s="3771" t="s">
        <v>40</v>
      </c>
      <c r="R311" s="3771" t="s">
        <v>40</v>
      </c>
      <c r="S311" s="3771" t="s">
        <v>40</v>
      </c>
      <c r="T311" s="3779"/>
      <c r="U311" s="3779"/>
      <c r="V311" s="3787" t="s">
        <v>40</v>
      </c>
      <c r="W311" s="3779" t="s">
        <v>40</v>
      </c>
      <c r="X311" s="3779" t="s">
        <v>40</v>
      </c>
      <c r="Y311" s="3779" t="s">
        <v>40</v>
      </c>
      <c r="Z311" s="3779" t="s">
        <v>40</v>
      </c>
      <c r="AA311" s="3787"/>
      <c r="AB311" s="3779"/>
      <c r="AC311" s="3779" t="s">
        <v>40</v>
      </c>
      <c r="AD311" s="3779" t="s">
        <v>40</v>
      </c>
      <c r="AE311" s="3779" t="s">
        <v>40</v>
      </c>
      <c r="AF311" s="3779" t="s">
        <v>40</v>
      </c>
      <c r="AG311" s="3779" t="s">
        <v>40</v>
      </c>
    </row>
    <row r="312" spans="1:33" ht="18" customHeight="1">
      <c r="A312" s="4103"/>
      <c r="B312" s="4036" t="s">
        <v>352</v>
      </c>
      <c r="C312" s="3779" t="s">
        <v>40</v>
      </c>
      <c r="D312" s="3779" t="s">
        <v>40</v>
      </c>
      <c r="E312" s="3779" t="s">
        <v>40</v>
      </c>
      <c r="F312" s="3787"/>
      <c r="G312" s="3779"/>
      <c r="H312" s="3779" t="s">
        <v>40</v>
      </c>
      <c r="I312" s="3779" t="s">
        <v>40</v>
      </c>
      <c r="J312" s="3779" t="s">
        <v>40</v>
      </c>
      <c r="K312" s="3779" t="s">
        <v>40</v>
      </c>
      <c r="L312" s="3779" t="s">
        <v>40</v>
      </c>
      <c r="M312" s="3779"/>
      <c r="N312" s="3873"/>
      <c r="O312" s="3779" t="s">
        <v>40</v>
      </c>
      <c r="P312" s="3771" t="s">
        <v>40</v>
      </c>
      <c r="Q312" s="3771" t="s">
        <v>40</v>
      </c>
      <c r="R312" s="3771" t="s">
        <v>40</v>
      </c>
      <c r="S312" s="3771" t="s">
        <v>40</v>
      </c>
      <c r="T312" s="3779"/>
      <c r="U312" s="3779"/>
      <c r="V312" s="3787" t="s">
        <v>40</v>
      </c>
      <c r="W312" s="3779" t="s">
        <v>40</v>
      </c>
      <c r="X312" s="3779" t="s">
        <v>40</v>
      </c>
      <c r="Y312" s="3779" t="s">
        <v>40</v>
      </c>
      <c r="Z312" s="3779" t="s">
        <v>40</v>
      </c>
      <c r="AA312" s="3787"/>
      <c r="AB312" s="3779"/>
      <c r="AC312" s="3779" t="s">
        <v>40</v>
      </c>
      <c r="AD312" s="3779" t="s">
        <v>40</v>
      </c>
      <c r="AE312" s="3779" t="s">
        <v>40</v>
      </c>
      <c r="AF312" s="3779" t="s">
        <v>40</v>
      </c>
      <c r="AG312" s="3779" t="s">
        <v>40</v>
      </c>
    </row>
    <row r="313" spans="1:33" ht="18" customHeight="1">
      <c r="A313" s="4103"/>
      <c r="B313" s="4036" t="s">
        <v>353</v>
      </c>
      <c r="C313" s="3779" t="s">
        <v>40</v>
      </c>
      <c r="D313" s="3779" t="s">
        <v>40</v>
      </c>
      <c r="E313" s="3779" t="s">
        <v>40</v>
      </c>
      <c r="F313" s="3787"/>
      <c r="G313" s="3779"/>
      <c r="H313" s="3779" t="s">
        <v>40</v>
      </c>
      <c r="I313" s="3779" t="s">
        <v>40</v>
      </c>
      <c r="J313" s="3779" t="s">
        <v>40</v>
      </c>
      <c r="K313" s="3779" t="s">
        <v>40</v>
      </c>
      <c r="L313" s="3779" t="s">
        <v>40</v>
      </c>
      <c r="M313" s="3779"/>
      <c r="N313" s="3873"/>
      <c r="O313" s="3779" t="s">
        <v>40</v>
      </c>
      <c r="P313" s="3771" t="s">
        <v>40</v>
      </c>
      <c r="Q313" s="3771" t="s">
        <v>40</v>
      </c>
      <c r="R313" s="3771" t="s">
        <v>40</v>
      </c>
      <c r="S313" s="3771" t="s">
        <v>40</v>
      </c>
      <c r="T313" s="3779"/>
      <c r="U313" s="3779"/>
      <c r="V313" s="3787" t="s">
        <v>40</v>
      </c>
      <c r="W313" s="3779" t="s">
        <v>40</v>
      </c>
      <c r="X313" s="3779" t="s">
        <v>40</v>
      </c>
      <c r="Y313" s="3779" t="s">
        <v>40</v>
      </c>
      <c r="Z313" s="3779" t="s">
        <v>40</v>
      </c>
      <c r="AA313" s="3787"/>
      <c r="AB313" s="3779"/>
      <c r="AC313" s="3779" t="s">
        <v>40</v>
      </c>
      <c r="AD313" s="3779" t="s">
        <v>40</v>
      </c>
      <c r="AE313" s="3779" t="s">
        <v>40</v>
      </c>
      <c r="AF313" s="3779" t="s">
        <v>40</v>
      </c>
      <c r="AG313" s="3779" t="s">
        <v>40</v>
      </c>
    </row>
    <row r="314" spans="1:33" ht="18" customHeight="1">
      <c r="A314" s="4103"/>
      <c r="B314" s="4036" t="s">
        <v>354</v>
      </c>
      <c r="C314" s="3779" t="s">
        <v>40</v>
      </c>
      <c r="D314" s="3779" t="s">
        <v>40</v>
      </c>
      <c r="E314" s="3779" t="s">
        <v>40</v>
      </c>
      <c r="F314" s="3787"/>
      <c r="G314" s="3779"/>
      <c r="H314" s="3779" t="s">
        <v>40</v>
      </c>
      <c r="I314" s="3779" t="s">
        <v>40</v>
      </c>
      <c r="J314" s="3779" t="s">
        <v>40</v>
      </c>
      <c r="K314" s="3779" t="s">
        <v>40</v>
      </c>
      <c r="L314" s="3779" t="s">
        <v>40</v>
      </c>
      <c r="M314" s="3779"/>
      <c r="N314" s="3873"/>
      <c r="O314" s="3779" t="s">
        <v>40</v>
      </c>
      <c r="P314" s="3771" t="s">
        <v>40</v>
      </c>
      <c r="Q314" s="3771" t="s">
        <v>40</v>
      </c>
      <c r="R314" s="3771" t="s">
        <v>40</v>
      </c>
      <c r="S314" s="3771" t="s">
        <v>40</v>
      </c>
      <c r="T314" s="3779"/>
      <c r="U314" s="3779"/>
      <c r="V314" s="3787" t="s">
        <v>40</v>
      </c>
      <c r="W314" s="3779" t="s">
        <v>40</v>
      </c>
      <c r="X314" s="3779" t="s">
        <v>40</v>
      </c>
      <c r="Y314" s="3779" t="s">
        <v>40</v>
      </c>
      <c r="Z314" s="3779" t="s">
        <v>40</v>
      </c>
      <c r="AA314" s="3787"/>
      <c r="AB314" s="3779"/>
      <c r="AC314" s="3779" t="s">
        <v>40</v>
      </c>
      <c r="AD314" s="3779" t="s">
        <v>40</v>
      </c>
      <c r="AE314" s="3779" t="s">
        <v>40</v>
      </c>
      <c r="AF314" s="3779" t="s">
        <v>40</v>
      </c>
      <c r="AG314" s="3779" t="s">
        <v>40</v>
      </c>
    </row>
    <row r="315" spans="1:33" ht="18" customHeight="1">
      <c r="A315" s="4103"/>
      <c r="B315" s="4036" t="s">
        <v>355</v>
      </c>
      <c r="C315" s="3779" t="s">
        <v>40</v>
      </c>
      <c r="D315" s="3779" t="s">
        <v>40</v>
      </c>
      <c r="E315" s="3779" t="s">
        <v>40</v>
      </c>
      <c r="F315" s="3787"/>
      <c r="G315" s="3779"/>
      <c r="H315" s="3779" t="s">
        <v>40</v>
      </c>
      <c r="I315" s="3779" t="s">
        <v>40</v>
      </c>
      <c r="J315" s="3779" t="s">
        <v>40</v>
      </c>
      <c r="K315" s="3779" t="s">
        <v>40</v>
      </c>
      <c r="L315" s="3779" t="s">
        <v>40</v>
      </c>
      <c r="M315" s="3779"/>
      <c r="N315" s="3873"/>
      <c r="O315" s="3779" t="s">
        <v>40</v>
      </c>
      <c r="P315" s="3771" t="s">
        <v>40</v>
      </c>
      <c r="Q315" s="3771" t="s">
        <v>40</v>
      </c>
      <c r="R315" s="3771" t="s">
        <v>40</v>
      </c>
      <c r="S315" s="3771" t="s">
        <v>40</v>
      </c>
      <c r="T315" s="3779"/>
      <c r="U315" s="3779"/>
      <c r="V315" s="3787" t="s">
        <v>40</v>
      </c>
      <c r="W315" s="3779" t="s">
        <v>40</v>
      </c>
      <c r="X315" s="3779" t="s">
        <v>40</v>
      </c>
      <c r="Y315" s="3779" t="s">
        <v>40</v>
      </c>
      <c r="Z315" s="3779" t="s">
        <v>40</v>
      </c>
      <c r="AA315" s="3787"/>
      <c r="AB315" s="3779"/>
      <c r="AC315" s="3779" t="s">
        <v>40</v>
      </c>
      <c r="AD315" s="3779" t="s">
        <v>40</v>
      </c>
      <c r="AE315" s="3779" t="s">
        <v>40</v>
      </c>
      <c r="AF315" s="3779" t="s">
        <v>40</v>
      </c>
      <c r="AG315" s="3779" t="s">
        <v>40</v>
      </c>
    </row>
    <row r="316" spans="1:33" ht="18" customHeight="1">
      <c r="A316" s="4103"/>
      <c r="B316" s="4036" t="s">
        <v>237</v>
      </c>
      <c r="C316" s="3779" t="s">
        <v>40</v>
      </c>
      <c r="D316" s="3779" t="s">
        <v>40</v>
      </c>
      <c r="E316" s="3779" t="s">
        <v>40</v>
      </c>
      <c r="F316" s="3787"/>
      <c r="G316" s="3779"/>
      <c r="H316" s="3779" t="s">
        <v>40</v>
      </c>
      <c r="I316" s="3779" t="s">
        <v>40</v>
      </c>
      <c r="J316" s="3779" t="s">
        <v>40</v>
      </c>
      <c r="K316" s="3779" t="s">
        <v>40</v>
      </c>
      <c r="L316" s="3779" t="s">
        <v>40</v>
      </c>
      <c r="M316" s="3779"/>
      <c r="N316" s="3873"/>
      <c r="O316" s="3779" t="s">
        <v>40</v>
      </c>
      <c r="P316" s="3771" t="s">
        <v>40</v>
      </c>
      <c r="Q316" s="3771" t="s">
        <v>40</v>
      </c>
      <c r="R316" s="3771" t="s">
        <v>40</v>
      </c>
      <c r="S316" s="3771" t="s">
        <v>40</v>
      </c>
      <c r="T316" s="3779"/>
      <c r="U316" s="3779"/>
      <c r="V316" s="3787" t="s">
        <v>40</v>
      </c>
      <c r="W316" s="3779" t="s">
        <v>40</v>
      </c>
      <c r="X316" s="3779" t="s">
        <v>40</v>
      </c>
      <c r="Y316" s="3779" t="s">
        <v>40</v>
      </c>
      <c r="Z316" s="3779" t="s">
        <v>40</v>
      </c>
      <c r="AA316" s="3787"/>
      <c r="AB316" s="3779"/>
      <c r="AC316" s="3779" t="s">
        <v>40</v>
      </c>
      <c r="AD316" s="3779" t="s">
        <v>40</v>
      </c>
      <c r="AE316" s="3779" t="s">
        <v>40</v>
      </c>
      <c r="AF316" s="3779" t="s">
        <v>40</v>
      </c>
      <c r="AG316" s="3779" t="s">
        <v>40</v>
      </c>
    </row>
    <row r="317" spans="1:33" ht="18" customHeight="1">
      <c r="A317" s="4103"/>
      <c r="B317" s="4036" t="s">
        <v>356</v>
      </c>
      <c r="C317" s="3779" t="s">
        <v>40</v>
      </c>
      <c r="D317" s="3779" t="s">
        <v>40</v>
      </c>
      <c r="E317" s="3779" t="s">
        <v>40</v>
      </c>
      <c r="F317" s="3787"/>
      <c r="G317" s="3779"/>
      <c r="H317" s="3779" t="s">
        <v>40</v>
      </c>
      <c r="I317" s="3779" t="s">
        <v>40</v>
      </c>
      <c r="J317" s="3779" t="s">
        <v>40</v>
      </c>
      <c r="K317" s="3779" t="s">
        <v>40</v>
      </c>
      <c r="L317" s="3779" t="s">
        <v>40</v>
      </c>
      <c r="M317" s="3779"/>
      <c r="N317" s="3873"/>
      <c r="O317" s="3779" t="s">
        <v>40</v>
      </c>
      <c r="P317" s="3771" t="s">
        <v>40</v>
      </c>
      <c r="Q317" s="3771" t="s">
        <v>40</v>
      </c>
      <c r="R317" s="3771" t="s">
        <v>40</v>
      </c>
      <c r="S317" s="3771" t="s">
        <v>40</v>
      </c>
      <c r="T317" s="3779"/>
      <c r="U317" s="3779"/>
      <c r="V317" s="3787" t="s">
        <v>40</v>
      </c>
      <c r="W317" s="3779" t="s">
        <v>40</v>
      </c>
      <c r="X317" s="3779" t="s">
        <v>40</v>
      </c>
      <c r="Y317" s="3779" t="s">
        <v>40</v>
      </c>
      <c r="Z317" s="3779" t="s">
        <v>40</v>
      </c>
      <c r="AA317" s="3787"/>
      <c r="AB317" s="3779"/>
      <c r="AC317" s="3779" t="s">
        <v>40</v>
      </c>
      <c r="AD317" s="3779" t="s">
        <v>40</v>
      </c>
      <c r="AE317" s="3779" t="s">
        <v>40</v>
      </c>
      <c r="AF317" s="3779" t="s">
        <v>40</v>
      </c>
      <c r="AG317" s="3779" t="s">
        <v>40</v>
      </c>
    </row>
    <row r="318" spans="1:33" ht="18" customHeight="1">
      <c r="A318" s="4103"/>
      <c r="B318" s="4036" t="s">
        <v>357</v>
      </c>
      <c r="C318" s="3779" t="s">
        <v>40</v>
      </c>
      <c r="D318" s="3779" t="s">
        <v>40</v>
      </c>
      <c r="E318" s="3779" t="s">
        <v>40</v>
      </c>
      <c r="F318" s="3787"/>
      <c r="G318" s="3779"/>
      <c r="H318" s="3779" t="s">
        <v>40</v>
      </c>
      <c r="I318" s="3779" t="s">
        <v>40</v>
      </c>
      <c r="J318" s="3779" t="s">
        <v>40</v>
      </c>
      <c r="K318" s="3779" t="s">
        <v>40</v>
      </c>
      <c r="L318" s="3779" t="s">
        <v>40</v>
      </c>
      <c r="M318" s="3779"/>
      <c r="N318" s="3873"/>
      <c r="O318" s="3779" t="s">
        <v>40</v>
      </c>
      <c r="P318" s="3771" t="s">
        <v>40</v>
      </c>
      <c r="Q318" s="3771" t="s">
        <v>40</v>
      </c>
      <c r="R318" s="3771" t="s">
        <v>40</v>
      </c>
      <c r="S318" s="3771" t="s">
        <v>40</v>
      </c>
      <c r="T318" s="3779"/>
      <c r="U318" s="3779"/>
      <c r="V318" s="3787" t="s">
        <v>40</v>
      </c>
      <c r="W318" s="3779" t="s">
        <v>40</v>
      </c>
      <c r="X318" s="3779" t="s">
        <v>40</v>
      </c>
      <c r="Y318" s="3779" t="s">
        <v>40</v>
      </c>
      <c r="Z318" s="3779" t="s">
        <v>40</v>
      </c>
      <c r="AA318" s="3787"/>
      <c r="AB318" s="3779"/>
      <c r="AC318" s="3779" t="s">
        <v>40</v>
      </c>
      <c r="AD318" s="3779" t="s">
        <v>40</v>
      </c>
      <c r="AE318" s="3779" t="s">
        <v>40</v>
      </c>
      <c r="AF318" s="3779" t="s">
        <v>40</v>
      </c>
      <c r="AG318" s="3779" t="s">
        <v>40</v>
      </c>
    </row>
    <row r="319" spans="1:33" ht="18" customHeight="1">
      <c r="A319" s="4125"/>
      <c r="B319" s="3628" t="s">
        <v>358</v>
      </c>
      <c r="C319" s="3779" t="s">
        <v>40</v>
      </c>
      <c r="D319" s="3779" t="s">
        <v>40</v>
      </c>
      <c r="E319" s="3779" t="s">
        <v>40</v>
      </c>
      <c r="F319" s="3787"/>
      <c r="G319" s="3779"/>
      <c r="H319" s="3779" t="s">
        <v>40</v>
      </c>
      <c r="I319" s="3779" t="s">
        <v>40</v>
      </c>
      <c r="J319" s="3779" t="s">
        <v>40</v>
      </c>
      <c r="K319" s="3779" t="s">
        <v>40</v>
      </c>
      <c r="L319" s="3779" t="s">
        <v>40</v>
      </c>
      <c r="M319" s="3779"/>
      <c r="N319" s="3873"/>
      <c r="O319" s="3779" t="s">
        <v>40</v>
      </c>
      <c r="P319" s="3771" t="s">
        <v>40</v>
      </c>
      <c r="Q319" s="3771" t="s">
        <v>40</v>
      </c>
      <c r="R319" s="3771" t="s">
        <v>40</v>
      </c>
      <c r="S319" s="3771" t="s">
        <v>40</v>
      </c>
      <c r="T319" s="3779"/>
      <c r="U319" s="3779"/>
      <c r="V319" s="3787" t="s">
        <v>40</v>
      </c>
      <c r="W319" s="3779" t="s">
        <v>40</v>
      </c>
      <c r="X319" s="3779" t="s">
        <v>40</v>
      </c>
      <c r="Y319" s="3779" t="s">
        <v>40</v>
      </c>
      <c r="Z319" s="3779" t="s">
        <v>40</v>
      </c>
      <c r="AA319" s="3787"/>
      <c r="AB319" s="3779"/>
      <c r="AC319" s="3779" t="s">
        <v>40</v>
      </c>
      <c r="AD319" s="3779" t="s">
        <v>40</v>
      </c>
      <c r="AE319" s="3779" t="s">
        <v>40</v>
      </c>
      <c r="AF319" s="3779" t="s">
        <v>40</v>
      </c>
      <c r="AG319" s="3779" t="s">
        <v>40</v>
      </c>
    </row>
  </sheetData>
  <sheetProtection algorithmName="SHA-512" hashValue="lCiOlohTfDegEW9agPJy8bmi6C1lhpnX41e03lXs7zrXccfHAHV9lSiu4U8Iv4G2TlVYRFAsqawBJy4sddOUzA==" saltValue="Ng9m6VKA5rFgOlzwgGmQmA==" spinCount="100000" sheet="1" objects="1" scenarios="1"/>
  <mergeCells count="3">
    <mergeCell ref="T39:Z39"/>
    <mergeCell ref="C4:F4"/>
    <mergeCell ref="AB4:AE4"/>
  </mergeCells>
  <phoneticPr fontId="10" type="noConversion"/>
  <pageMargins left="0.7" right="0.7" top="0.75" bottom="0.75" header="0.3" footer="0.3"/>
  <pageSetup paperSize="9" scale="10" orientation="landscape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C3150-8F6C-465D-A4D3-2FCDDCBCB217}">
  <sheetPr codeName="Ark36">
    <pageSetUpPr fitToPage="1"/>
  </sheetPr>
  <dimension ref="A1:AH315"/>
  <sheetViews>
    <sheetView topLeftCell="B13" zoomScaleNormal="100" workbookViewId="0">
      <pane xSplit="1" topLeftCell="C1" activePane="topRight" state="frozen"/>
      <selection pane="topRight" activeCell="R104" sqref="R104"/>
      <selection activeCell="B1" sqref="B1"/>
    </sheetView>
  </sheetViews>
  <sheetFormatPr defaultRowHeight="12"/>
  <cols>
    <col min="1" max="1" width="0" hidden="1" customWidth="1"/>
    <col min="2" max="2" width="31.28515625" customWidth="1"/>
    <col min="3" max="32" width="4.5703125" customWidth="1"/>
    <col min="33" max="33" width="4.28515625" customWidth="1"/>
  </cols>
  <sheetData>
    <row r="1" spans="1:32" ht="15">
      <c r="B1" s="4126" t="s">
        <v>554</v>
      </c>
      <c r="C1" s="2986">
        <v>1</v>
      </c>
      <c r="D1" s="2986">
        <v>2</v>
      </c>
      <c r="E1" s="2985">
        <v>3</v>
      </c>
      <c r="F1" s="2985">
        <v>4</v>
      </c>
      <c r="G1" s="2985">
        <v>5</v>
      </c>
      <c r="H1" s="2985">
        <v>6</v>
      </c>
      <c r="I1" s="2985">
        <v>7</v>
      </c>
      <c r="J1" s="2986">
        <v>8</v>
      </c>
      <c r="K1" s="2986">
        <v>9</v>
      </c>
      <c r="L1" s="2985">
        <v>10</v>
      </c>
      <c r="M1" s="2985">
        <v>11</v>
      </c>
      <c r="N1" s="2985">
        <v>12</v>
      </c>
      <c r="O1" s="2985">
        <v>13</v>
      </c>
      <c r="P1" s="2985">
        <v>14</v>
      </c>
      <c r="Q1" s="2986">
        <v>15</v>
      </c>
      <c r="R1" s="2986">
        <v>16</v>
      </c>
      <c r="S1" s="2985">
        <v>17</v>
      </c>
      <c r="T1" s="2985">
        <v>18</v>
      </c>
      <c r="U1" s="2985">
        <v>19</v>
      </c>
      <c r="V1" s="2985">
        <v>20</v>
      </c>
      <c r="W1" s="2985">
        <v>21</v>
      </c>
      <c r="X1" s="2986">
        <v>22</v>
      </c>
      <c r="Y1" s="2986">
        <v>23</v>
      </c>
      <c r="Z1" s="2985">
        <v>24</v>
      </c>
      <c r="AA1" s="2985">
        <v>25</v>
      </c>
      <c r="AB1" s="2985">
        <v>26</v>
      </c>
      <c r="AC1" s="2985" t="s">
        <v>555</v>
      </c>
      <c r="AD1" s="2985">
        <v>28</v>
      </c>
      <c r="AE1" s="2986">
        <v>29</v>
      </c>
      <c r="AF1" s="2986">
        <v>30</v>
      </c>
    </row>
    <row r="2" spans="1:32" ht="18" customHeight="1">
      <c r="A2" t="s">
        <v>0</v>
      </c>
      <c r="B2" s="1" t="s">
        <v>1</v>
      </c>
    </row>
    <row r="3" spans="1:32" ht="18" customHeight="1">
      <c r="B3" s="4127" t="s">
        <v>2</v>
      </c>
      <c r="C3" s="4128" t="s">
        <v>3</v>
      </c>
      <c r="D3" s="3730"/>
      <c r="E3" s="4129" t="s">
        <v>4</v>
      </c>
      <c r="F3" s="3732"/>
      <c r="G3" s="3733"/>
      <c r="H3" s="4130"/>
      <c r="I3" s="3733"/>
      <c r="J3" s="3733"/>
      <c r="K3" s="4131"/>
      <c r="L3" s="4132" t="s">
        <v>5</v>
      </c>
      <c r="M3" s="3736"/>
      <c r="N3" s="3737"/>
      <c r="O3" s="4133" t="s">
        <v>6</v>
      </c>
      <c r="P3" s="3739"/>
      <c r="Q3" s="3740"/>
      <c r="R3" s="4134"/>
      <c r="S3" s="4135" t="s">
        <v>7</v>
      </c>
      <c r="T3" s="3743"/>
      <c r="U3" s="3744"/>
      <c r="V3" s="3743"/>
      <c r="W3" s="4136" t="s">
        <v>8</v>
      </c>
      <c r="X3" s="3746"/>
      <c r="Y3" s="4137"/>
      <c r="Z3" s="98" t="s">
        <v>9</v>
      </c>
      <c r="AA3" s="3748"/>
      <c r="AB3" s="3749"/>
      <c r="AC3" s="3750"/>
      <c r="AD3" s="3751" t="s">
        <v>10</v>
      </c>
      <c r="AE3" s="3752"/>
      <c r="AF3" s="3752"/>
    </row>
    <row r="4" spans="1:32" ht="18" customHeight="1">
      <c r="A4" s="1"/>
      <c r="B4" s="4138" t="s">
        <v>11</v>
      </c>
      <c r="C4" s="4139" t="s">
        <v>12</v>
      </c>
      <c r="D4" s="3755"/>
      <c r="E4" s="3755"/>
      <c r="F4" s="4140"/>
      <c r="G4" s="518"/>
      <c r="H4" s="519" t="s">
        <v>10</v>
      </c>
      <c r="I4" s="520"/>
      <c r="J4" s="520"/>
      <c r="K4" s="521"/>
      <c r="L4" s="4141" t="s">
        <v>13</v>
      </c>
      <c r="M4" s="3758"/>
      <c r="N4" s="3759"/>
      <c r="O4" s="520"/>
      <c r="P4" s="520"/>
      <c r="Q4" s="520"/>
      <c r="R4" s="520"/>
      <c r="S4" s="516"/>
      <c r="T4" s="505" t="s">
        <v>14</v>
      </c>
      <c r="U4" s="522"/>
      <c r="V4" s="923"/>
      <c r="W4" s="524"/>
      <c r="X4" s="551"/>
      <c r="Y4" s="4142" t="s">
        <v>15</v>
      </c>
      <c r="Z4" s="3761"/>
      <c r="AA4" s="3761"/>
      <c r="AB4" s="4143" t="s">
        <v>16</v>
      </c>
      <c r="AC4" s="4144"/>
      <c r="AD4" s="4144"/>
      <c r="AE4" s="4144"/>
    </row>
    <row r="5" spans="1:32" ht="18" customHeight="1">
      <c r="A5" s="96" t="s">
        <v>17</v>
      </c>
      <c r="B5" s="22"/>
      <c r="C5" s="4"/>
      <c r="D5" s="48"/>
      <c r="E5" s="48"/>
      <c r="F5" s="48"/>
      <c r="G5" s="48"/>
      <c r="H5" s="4"/>
      <c r="I5" s="48"/>
      <c r="J5" s="48"/>
      <c r="K5" s="6"/>
      <c r="L5" s="48"/>
      <c r="M5" s="6"/>
      <c r="N5" s="6"/>
      <c r="O5" s="48"/>
      <c r="P5" s="48"/>
      <c r="Q5" s="48"/>
      <c r="R5" s="48"/>
      <c r="T5" s="6"/>
      <c r="U5" s="4"/>
      <c r="W5" s="48"/>
      <c r="X5" s="48"/>
      <c r="Y5" s="4"/>
      <c r="Z5" s="48"/>
      <c r="AB5" s="48"/>
      <c r="AC5" s="48"/>
      <c r="AD5" s="48"/>
      <c r="AE5" s="48"/>
      <c r="AF5" s="48"/>
    </row>
    <row r="6" spans="1:32" ht="18" customHeight="1">
      <c r="A6" s="96" t="s">
        <v>18</v>
      </c>
      <c r="B6" s="1"/>
      <c r="C6" s="3762"/>
      <c r="D6" s="3763" t="s">
        <v>19</v>
      </c>
      <c r="E6" s="3764"/>
      <c r="F6" s="3762"/>
      <c r="G6" s="3763" t="s">
        <v>20</v>
      </c>
      <c r="H6" s="3762"/>
      <c r="I6" s="3762"/>
      <c r="J6" s="3763" t="s">
        <v>21</v>
      </c>
      <c r="K6" s="3764"/>
      <c r="L6" s="3762"/>
      <c r="M6" s="3763" t="s">
        <v>22</v>
      </c>
      <c r="N6" s="3764"/>
      <c r="O6" s="3762"/>
      <c r="P6" s="3763" t="s">
        <v>23</v>
      </c>
      <c r="Q6" s="3764"/>
      <c r="R6" s="3762"/>
      <c r="S6" s="3763" t="s">
        <v>24</v>
      </c>
      <c r="T6" s="4145"/>
      <c r="U6" s="3969"/>
      <c r="V6" s="4146" t="s">
        <v>25</v>
      </c>
      <c r="W6" s="4145"/>
    </row>
    <row r="7" spans="1:32" ht="18" customHeight="1">
      <c r="A7" s="4147"/>
      <c r="B7" s="4057" t="s">
        <v>26</v>
      </c>
      <c r="C7" s="4148" t="s">
        <v>27</v>
      </c>
      <c r="D7" s="4149"/>
      <c r="E7" s="4150"/>
      <c r="F7" s="4148" t="s">
        <v>27</v>
      </c>
      <c r="G7" s="3980"/>
      <c r="H7" s="3980"/>
      <c r="I7" s="4148" t="s">
        <v>27</v>
      </c>
      <c r="J7" s="3980"/>
      <c r="K7" s="4150"/>
      <c r="L7" s="4148" t="s">
        <v>27</v>
      </c>
      <c r="M7" s="3980"/>
      <c r="N7" s="4150"/>
      <c r="O7" s="4148" t="s">
        <v>28</v>
      </c>
      <c r="P7" s="3980"/>
      <c r="Q7" s="4150"/>
      <c r="R7" s="3980"/>
      <c r="S7" s="3980"/>
      <c r="T7" s="3980"/>
      <c r="U7" s="4057"/>
      <c r="V7" s="3980"/>
      <c r="W7" s="4150"/>
      <c r="X7" s="3980"/>
      <c r="Y7" s="3980"/>
      <c r="Z7" s="3980"/>
      <c r="AA7" s="3980"/>
      <c r="AB7" s="4151"/>
      <c r="AC7" s="4150"/>
      <c r="AD7" s="111"/>
      <c r="AE7" s="111"/>
      <c r="AF7" s="111"/>
    </row>
    <row r="8" spans="1:32" ht="18" customHeight="1">
      <c r="A8" s="4057"/>
      <c r="B8" s="4057" t="s">
        <v>29</v>
      </c>
      <c r="C8" s="3985" t="s">
        <v>30</v>
      </c>
      <c r="D8" s="4152"/>
      <c r="E8" s="3967"/>
      <c r="F8" s="3985" t="s">
        <v>30</v>
      </c>
      <c r="G8" s="4152"/>
      <c r="H8" s="4152"/>
      <c r="I8" s="3985" t="s">
        <v>30</v>
      </c>
      <c r="J8" s="4152"/>
      <c r="K8" s="3967"/>
      <c r="L8" s="3985" t="s">
        <v>30</v>
      </c>
      <c r="M8" s="4152"/>
      <c r="N8" s="4152"/>
      <c r="O8" s="3985" t="s">
        <v>30</v>
      </c>
      <c r="P8" s="4152"/>
      <c r="Q8" s="3967"/>
      <c r="R8" s="1491" t="s">
        <v>31</v>
      </c>
      <c r="S8" s="1492"/>
      <c r="T8" s="1492"/>
      <c r="U8" s="4153" t="s">
        <v>31</v>
      </c>
      <c r="V8" s="1492"/>
      <c r="W8" s="1493"/>
      <c r="X8" s="3980"/>
      <c r="Y8" s="3980"/>
      <c r="Z8" s="3980"/>
      <c r="AA8" s="3980"/>
      <c r="AB8" s="4154"/>
      <c r="AC8" s="4150"/>
      <c r="AD8" s="111"/>
      <c r="AE8" s="111"/>
      <c r="AF8" s="111"/>
    </row>
    <row r="9" spans="1:32" ht="18" customHeight="1">
      <c r="A9" s="4057"/>
      <c r="B9" s="4057" t="s">
        <v>32</v>
      </c>
      <c r="C9" s="4148" t="s">
        <v>33</v>
      </c>
      <c r="D9" s="4152"/>
      <c r="E9" s="3967"/>
      <c r="F9" s="4148" t="s">
        <v>33</v>
      </c>
      <c r="G9" s="3980"/>
      <c r="H9" s="3980"/>
      <c r="I9" s="4148" t="s">
        <v>33</v>
      </c>
      <c r="J9" s="3980"/>
      <c r="K9" s="4150"/>
      <c r="L9" s="4148" t="s">
        <v>33</v>
      </c>
      <c r="M9" s="3980"/>
      <c r="N9" s="4150"/>
      <c r="O9" s="4148" t="s">
        <v>33</v>
      </c>
      <c r="P9" s="3980"/>
      <c r="Q9" s="4150"/>
      <c r="R9" s="4155" t="s">
        <v>34</v>
      </c>
      <c r="S9" s="3980"/>
      <c r="T9" s="3980"/>
      <c r="U9" s="4148" t="s">
        <v>35</v>
      </c>
      <c r="V9" s="3980"/>
      <c r="W9" s="4150"/>
      <c r="X9" s="3980"/>
      <c r="Y9" s="3980"/>
      <c r="Z9" s="3980"/>
      <c r="AA9" s="3980"/>
      <c r="AB9" s="4154"/>
      <c r="AC9" s="4150"/>
      <c r="AD9" s="111"/>
      <c r="AE9" s="111"/>
      <c r="AF9" s="111"/>
    </row>
    <row r="10" spans="1:32" ht="18" customHeight="1">
      <c r="A10" s="96" t="s">
        <v>10</v>
      </c>
    </row>
    <row r="11" spans="1:32" ht="18" customHeight="1">
      <c r="A11" s="96" t="s">
        <v>10</v>
      </c>
    </row>
    <row r="12" spans="1:32" ht="18" customHeight="1"/>
    <row r="13" spans="1:32" ht="18" customHeight="1">
      <c r="B13" s="60" t="s">
        <v>36</v>
      </c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 t="s">
        <v>0</v>
      </c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</row>
    <row r="14" spans="1:32" ht="18" customHeight="1">
      <c r="A14" s="2983" t="s">
        <v>37</v>
      </c>
      <c r="B14" s="2984" t="s">
        <v>38</v>
      </c>
      <c r="C14" s="2986">
        <v>1</v>
      </c>
      <c r="D14" s="2986">
        <v>2</v>
      </c>
      <c r="E14" s="2985">
        <v>3</v>
      </c>
      <c r="F14" s="2985">
        <v>4</v>
      </c>
      <c r="G14" s="2985">
        <v>5</v>
      </c>
      <c r="H14" s="2985">
        <v>6</v>
      </c>
      <c r="I14" s="2985">
        <v>7</v>
      </c>
      <c r="J14" s="2986">
        <v>8</v>
      </c>
      <c r="K14" s="2986">
        <v>9</v>
      </c>
      <c r="L14" s="2985">
        <v>10</v>
      </c>
      <c r="M14" s="2985">
        <v>11</v>
      </c>
      <c r="N14" s="2985">
        <v>12</v>
      </c>
      <c r="O14" s="2985">
        <v>13</v>
      </c>
      <c r="P14" s="2985">
        <v>14</v>
      </c>
      <c r="Q14" s="2986">
        <v>15</v>
      </c>
      <c r="R14" s="2986">
        <v>16</v>
      </c>
      <c r="S14" s="2985">
        <v>17</v>
      </c>
      <c r="T14" s="2985">
        <v>18</v>
      </c>
      <c r="U14" s="2985">
        <v>19</v>
      </c>
      <c r="V14" s="2985">
        <v>20</v>
      </c>
      <c r="W14" s="2985">
        <v>21</v>
      </c>
      <c r="X14" s="2986">
        <v>22</v>
      </c>
      <c r="Y14" s="2986">
        <v>23</v>
      </c>
      <c r="Z14" s="2985">
        <v>24</v>
      </c>
      <c r="AA14" s="2985">
        <v>25</v>
      </c>
      <c r="AB14" s="2985">
        <v>26</v>
      </c>
      <c r="AC14" s="2985">
        <v>27</v>
      </c>
      <c r="AD14" s="2985">
        <v>28</v>
      </c>
      <c r="AE14" s="2986">
        <v>29</v>
      </c>
      <c r="AF14" s="2986">
        <v>30</v>
      </c>
    </row>
    <row r="15" spans="1:32" ht="18" customHeight="1">
      <c r="A15" s="2987">
        <v>8500</v>
      </c>
      <c r="B15" s="2988" t="s">
        <v>39</v>
      </c>
      <c r="C15" s="2848"/>
      <c r="D15" s="2989"/>
      <c r="E15" s="2990" t="s">
        <v>40</v>
      </c>
      <c r="F15" s="2990" t="s">
        <v>40</v>
      </c>
      <c r="G15" s="2990" t="s">
        <v>40</v>
      </c>
      <c r="H15" s="2990" t="s">
        <v>40</v>
      </c>
      <c r="I15" s="2990" t="s">
        <v>40</v>
      </c>
      <c r="J15" s="2848"/>
      <c r="K15" s="2989"/>
      <c r="L15" s="2990" t="s">
        <v>40</v>
      </c>
      <c r="M15" s="2990" t="s">
        <v>40</v>
      </c>
      <c r="N15" s="2990" t="s">
        <v>40</v>
      </c>
      <c r="O15" s="2990" t="s">
        <v>40</v>
      </c>
      <c r="P15" s="2990" t="s">
        <v>40</v>
      </c>
      <c r="Q15" s="2848"/>
      <c r="R15" s="2989"/>
      <c r="S15" s="2990" t="s">
        <v>40</v>
      </c>
      <c r="T15" s="2990" t="s">
        <v>40</v>
      </c>
      <c r="U15" s="2990" t="s">
        <v>40</v>
      </c>
      <c r="V15" s="2990" t="s">
        <v>40</v>
      </c>
      <c r="W15" s="4156" t="s">
        <v>40</v>
      </c>
      <c r="X15" s="2848"/>
      <c r="Y15" s="2989"/>
      <c r="Z15" s="2990" t="s">
        <v>40</v>
      </c>
      <c r="AA15" s="2990" t="s">
        <v>40</v>
      </c>
      <c r="AB15" s="2990" t="s">
        <v>40</v>
      </c>
      <c r="AC15" s="2990" t="s">
        <v>40</v>
      </c>
      <c r="AD15" s="2990" t="s">
        <v>40</v>
      </c>
      <c r="AE15" s="2848"/>
      <c r="AF15" s="2989"/>
    </row>
    <row r="16" spans="1:32" ht="18" customHeight="1">
      <c r="A16" s="4157">
        <v>8546</v>
      </c>
      <c r="B16" s="4158" t="s">
        <v>41</v>
      </c>
      <c r="C16" s="4159"/>
      <c r="D16" s="4160"/>
      <c r="E16" s="4161" t="s">
        <v>40</v>
      </c>
      <c r="F16" s="4161" t="s">
        <v>40</v>
      </c>
      <c r="G16" s="4161" t="s">
        <v>40</v>
      </c>
      <c r="H16" s="4161" t="s">
        <v>40</v>
      </c>
      <c r="I16" s="4161" t="s">
        <v>40</v>
      </c>
      <c r="J16" s="4159"/>
      <c r="K16" s="4160"/>
      <c r="L16" s="4161" t="s">
        <v>40</v>
      </c>
      <c r="M16" s="4161" t="s">
        <v>40</v>
      </c>
      <c r="N16" s="4161" t="s">
        <v>40</v>
      </c>
      <c r="O16" s="4161" t="s">
        <v>40</v>
      </c>
      <c r="P16" s="4161" t="s">
        <v>40</v>
      </c>
      <c r="Q16" s="4159"/>
      <c r="R16" s="4160"/>
      <c r="S16" s="4161" t="s">
        <v>40</v>
      </c>
      <c r="T16" s="4161" t="s">
        <v>40</v>
      </c>
      <c r="U16" s="4161" t="s">
        <v>40</v>
      </c>
      <c r="V16" s="4161" t="s">
        <v>40</v>
      </c>
      <c r="W16" s="4161" t="s">
        <v>40</v>
      </c>
      <c r="X16" s="4159"/>
      <c r="Y16" s="4160"/>
      <c r="Z16" s="4161" t="s">
        <v>40</v>
      </c>
      <c r="AA16" s="4161" t="s">
        <v>40</v>
      </c>
      <c r="AB16" s="4161" t="s">
        <v>40</v>
      </c>
      <c r="AC16" s="4161" t="s">
        <v>40</v>
      </c>
      <c r="AD16" s="4161" t="s">
        <v>40</v>
      </c>
      <c r="AE16" s="4159"/>
      <c r="AF16" s="3920" t="s">
        <v>49</v>
      </c>
    </row>
    <row r="17" spans="1:34" ht="18" customHeight="1">
      <c r="A17" s="3010" t="s">
        <v>44</v>
      </c>
      <c r="B17" s="4162"/>
      <c r="C17" s="506"/>
      <c r="D17" s="506"/>
      <c r="E17" s="506"/>
      <c r="F17" s="506"/>
      <c r="G17" s="506"/>
      <c r="H17" s="506"/>
      <c r="I17" s="506"/>
      <c r="J17" s="506"/>
      <c r="K17" s="506"/>
      <c r="L17" s="506"/>
      <c r="M17" s="506"/>
      <c r="N17" s="506"/>
      <c r="O17" s="506"/>
      <c r="P17" s="506"/>
      <c r="Q17" s="506"/>
      <c r="R17" s="506"/>
      <c r="S17" s="506"/>
      <c r="T17" s="506"/>
      <c r="U17" s="506"/>
      <c r="V17" s="506"/>
      <c r="W17" s="506"/>
      <c r="X17" s="506"/>
      <c r="Y17" s="506"/>
      <c r="Z17" s="506"/>
      <c r="AA17" s="506"/>
      <c r="AB17" s="506"/>
      <c r="AC17" s="506"/>
      <c r="AD17" s="506"/>
      <c r="AE17" s="506"/>
      <c r="AF17" s="506"/>
    </row>
    <row r="18" spans="1:34" ht="18" customHeight="1">
      <c r="A18" s="3012">
        <v>8546</v>
      </c>
      <c r="B18" s="507" t="s">
        <v>45</v>
      </c>
      <c r="C18" s="4163"/>
      <c r="D18" s="4163"/>
      <c r="E18" s="4163" t="s">
        <v>43</v>
      </c>
      <c r="F18" s="4163" t="s">
        <v>43</v>
      </c>
      <c r="G18" s="4163" t="s">
        <v>43</v>
      </c>
      <c r="H18" s="4164" t="s">
        <v>43</v>
      </c>
      <c r="I18" s="4163" t="s">
        <v>43</v>
      </c>
      <c r="J18" s="4163"/>
      <c r="K18" s="4163"/>
      <c r="L18" s="4163" t="s">
        <v>46</v>
      </c>
      <c r="M18" s="4163" t="s">
        <v>46</v>
      </c>
      <c r="N18" s="4163" t="s">
        <v>46</v>
      </c>
      <c r="O18" s="4163" t="s">
        <v>46</v>
      </c>
      <c r="P18" s="4163" t="s">
        <v>46</v>
      </c>
      <c r="Q18" s="4165" t="s">
        <v>49</v>
      </c>
      <c r="R18" s="4165" t="s">
        <v>49</v>
      </c>
      <c r="S18" s="4166" t="s">
        <v>50</v>
      </c>
      <c r="T18" s="4166" t="s">
        <v>50</v>
      </c>
      <c r="U18" s="4166" t="s">
        <v>50</v>
      </c>
      <c r="V18" s="4166" t="s">
        <v>50</v>
      </c>
      <c r="W18" s="4166" t="s">
        <v>50</v>
      </c>
      <c r="X18" s="4166" t="s">
        <v>0</v>
      </c>
      <c r="Y18" s="4166"/>
      <c r="Z18" s="4166" t="s">
        <v>46</v>
      </c>
      <c r="AA18" s="4166" t="s">
        <v>46</v>
      </c>
      <c r="AB18" s="4166" t="s">
        <v>46</v>
      </c>
      <c r="AC18" s="4166" t="s">
        <v>46</v>
      </c>
      <c r="AD18" s="4166" t="s">
        <v>46</v>
      </c>
      <c r="AE18" s="4166" t="s">
        <v>47</v>
      </c>
      <c r="AF18" s="4166" t="s">
        <v>47</v>
      </c>
    </row>
    <row r="19" spans="1:34" ht="18" customHeight="1">
      <c r="A19" s="4157">
        <v>8500</v>
      </c>
      <c r="B19" s="4167" t="s">
        <v>51</v>
      </c>
      <c r="C19" s="4168"/>
      <c r="D19" s="4168"/>
      <c r="E19" s="4168" t="s">
        <v>46</v>
      </c>
      <c r="F19" s="4168" t="s">
        <v>46</v>
      </c>
      <c r="G19" s="4168" t="s">
        <v>46</v>
      </c>
      <c r="H19" s="4168" t="s">
        <v>46</v>
      </c>
      <c r="I19" s="4168" t="s">
        <v>46</v>
      </c>
      <c r="J19" s="4168" t="s">
        <v>49</v>
      </c>
      <c r="K19" s="4169" t="s">
        <v>49</v>
      </c>
      <c r="L19" s="4170" t="s">
        <v>50</v>
      </c>
      <c r="M19" s="4168" t="s">
        <v>50</v>
      </c>
      <c r="N19" s="4110" t="s">
        <v>50</v>
      </c>
      <c r="O19" s="4171" t="s">
        <v>50</v>
      </c>
      <c r="P19" s="4171" t="s">
        <v>50</v>
      </c>
      <c r="Q19" s="4168"/>
      <c r="R19" s="4168"/>
      <c r="S19" s="4168" t="s">
        <v>46</v>
      </c>
      <c r="T19" s="4168" t="s">
        <v>46</v>
      </c>
      <c r="U19" s="4168" t="s">
        <v>46</v>
      </c>
      <c r="V19" s="4168" t="s">
        <v>46</v>
      </c>
      <c r="W19" s="4168" t="s">
        <v>46</v>
      </c>
      <c r="X19" s="3969" t="s">
        <v>47</v>
      </c>
      <c r="Y19" s="3969" t="s">
        <v>47</v>
      </c>
      <c r="Z19" s="4168" t="s">
        <v>26</v>
      </c>
      <c r="AA19" s="4168" t="s">
        <v>26</v>
      </c>
      <c r="AB19" s="4168" t="s">
        <v>26</v>
      </c>
      <c r="AC19" s="4168" t="s">
        <v>26</v>
      </c>
      <c r="AD19" s="4168" t="s">
        <v>26</v>
      </c>
      <c r="AE19" s="4168"/>
      <c r="AF19" s="3969"/>
    </row>
    <row r="20" spans="1:34" ht="18" customHeight="1">
      <c r="A20" s="4157">
        <v>8500</v>
      </c>
      <c r="B20" s="4167" t="s">
        <v>54</v>
      </c>
      <c r="C20" s="4172" t="s">
        <v>49</v>
      </c>
      <c r="D20" s="4173" t="s">
        <v>49</v>
      </c>
      <c r="E20" s="4173" t="s">
        <v>50</v>
      </c>
      <c r="F20" s="4174" t="s">
        <v>50</v>
      </c>
      <c r="G20" s="4174" t="s">
        <v>50</v>
      </c>
      <c r="H20" s="4174" t="s">
        <v>50</v>
      </c>
      <c r="I20" s="4175" t="s">
        <v>50</v>
      </c>
      <c r="J20" s="4174"/>
      <c r="K20" s="4175"/>
      <c r="L20" s="4170" t="s">
        <v>46</v>
      </c>
      <c r="M20" s="4174" t="s">
        <v>46</v>
      </c>
      <c r="N20" s="4175" t="s">
        <v>46</v>
      </c>
      <c r="O20" s="4175" t="s">
        <v>46</v>
      </c>
      <c r="P20" s="4175" t="s">
        <v>46</v>
      </c>
      <c r="Q20" s="4176" t="s">
        <v>47</v>
      </c>
      <c r="R20" s="4176" t="s">
        <v>471</v>
      </c>
      <c r="S20" s="4175" t="s">
        <v>26</v>
      </c>
      <c r="T20" s="4175" t="s">
        <v>26</v>
      </c>
      <c r="U20" s="4168" t="s">
        <v>26</v>
      </c>
      <c r="V20" s="4168" t="s">
        <v>26</v>
      </c>
      <c r="W20" s="4174" t="s">
        <v>26</v>
      </c>
      <c r="X20" s="4174"/>
      <c r="Y20" s="4174"/>
      <c r="Z20" s="4175" t="s">
        <v>43</v>
      </c>
      <c r="AA20" s="4175" t="s">
        <v>43</v>
      </c>
      <c r="AB20" s="4175" t="s">
        <v>43</v>
      </c>
      <c r="AC20" s="4175" t="s">
        <v>43</v>
      </c>
      <c r="AD20" s="4177" t="s">
        <v>43</v>
      </c>
      <c r="AE20" s="4172"/>
      <c r="AF20" s="4173"/>
    </row>
    <row r="21" spans="1:34" ht="18" customHeight="1">
      <c r="A21" s="4157">
        <v>8546</v>
      </c>
      <c r="B21" s="4158" t="s">
        <v>56</v>
      </c>
      <c r="C21" s="4175"/>
      <c r="D21" s="4175"/>
      <c r="E21" s="4175" t="s">
        <v>46</v>
      </c>
      <c r="F21" s="4175" t="s">
        <v>46</v>
      </c>
      <c r="G21" s="4175" t="s">
        <v>46</v>
      </c>
      <c r="H21" s="4178" t="s">
        <v>46</v>
      </c>
      <c r="I21" s="4175" t="s">
        <v>46</v>
      </c>
      <c r="J21" s="4179" t="s">
        <v>47</v>
      </c>
      <c r="K21" s="4160" t="s">
        <v>47</v>
      </c>
      <c r="L21" s="4170" t="s">
        <v>26</v>
      </c>
      <c r="M21" s="4180" t="s">
        <v>26</v>
      </c>
      <c r="N21" s="4160" t="s">
        <v>26</v>
      </c>
      <c r="O21" s="4175" t="s">
        <v>26</v>
      </c>
      <c r="P21" s="4160" t="s">
        <v>26</v>
      </c>
      <c r="Q21" s="4181" t="s">
        <v>47</v>
      </c>
      <c r="R21" s="4174"/>
      <c r="S21" s="4175" t="s">
        <v>43</v>
      </c>
      <c r="T21" s="4174" t="s">
        <v>43</v>
      </c>
      <c r="U21" s="4174" t="s">
        <v>43</v>
      </c>
      <c r="V21" s="4175" t="s">
        <v>43</v>
      </c>
      <c r="W21" s="4174" t="s">
        <v>43</v>
      </c>
      <c r="X21" s="4174"/>
      <c r="Y21" s="4174"/>
      <c r="Z21" s="4174" t="s">
        <v>46</v>
      </c>
      <c r="AA21" s="4174" t="s">
        <v>46</v>
      </c>
      <c r="AB21" s="4168" t="s">
        <v>46</v>
      </c>
      <c r="AC21" s="4168" t="s">
        <v>46</v>
      </c>
      <c r="AD21" s="4175" t="s">
        <v>46</v>
      </c>
      <c r="AE21" s="4176" t="s">
        <v>49</v>
      </c>
      <c r="AF21" s="4176" t="s">
        <v>49</v>
      </c>
    </row>
    <row r="22" spans="1:34" ht="18" customHeight="1">
      <c r="B22" s="4158" t="s">
        <v>472</v>
      </c>
      <c r="C22" s="4175" t="s">
        <v>47</v>
      </c>
      <c r="D22" s="4175" t="s">
        <v>47</v>
      </c>
      <c r="E22" s="4175" t="s">
        <v>26</v>
      </c>
      <c r="F22" s="4175" t="s">
        <v>26</v>
      </c>
      <c r="G22" s="4168" t="s">
        <v>26</v>
      </c>
      <c r="H22" s="4168" t="s">
        <v>26</v>
      </c>
      <c r="I22" s="4174" t="s">
        <v>26</v>
      </c>
      <c r="J22" s="3969"/>
      <c r="K22" s="3969"/>
      <c r="L22" s="4170" t="s">
        <v>43</v>
      </c>
      <c r="M22" s="4175" t="s">
        <v>43</v>
      </c>
      <c r="N22" s="4175" t="s">
        <v>43</v>
      </c>
      <c r="O22" s="4175" t="s">
        <v>43</v>
      </c>
      <c r="P22" s="4175" t="s">
        <v>43</v>
      </c>
      <c r="Q22" s="3969"/>
      <c r="R22" s="4182" t="s">
        <v>47</v>
      </c>
      <c r="S22" s="4175" t="s">
        <v>46</v>
      </c>
      <c r="T22" s="4161" t="s">
        <v>46</v>
      </c>
      <c r="U22" s="4161" t="s">
        <v>46</v>
      </c>
      <c r="V22" s="4161" t="s">
        <v>46</v>
      </c>
      <c r="W22" s="4161" t="s">
        <v>46</v>
      </c>
      <c r="X22" s="4161" t="s">
        <v>49</v>
      </c>
      <c r="Y22" s="4161" t="s">
        <v>49</v>
      </c>
      <c r="Z22" s="4161" t="s">
        <v>50</v>
      </c>
      <c r="AA22" s="4175" t="s">
        <v>50</v>
      </c>
      <c r="AB22" s="4175" t="s">
        <v>50</v>
      </c>
      <c r="AC22" s="4175" t="s">
        <v>50</v>
      </c>
      <c r="AD22" s="4175" t="s">
        <v>50</v>
      </c>
      <c r="AE22" s="3969"/>
      <c r="AF22" s="3969"/>
    </row>
    <row r="23" spans="1:34" ht="18" customHeight="1">
      <c r="A23" s="3791"/>
      <c r="B23" s="4183" t="s">
        <v>97</v>
      </c>
      <c r="C23" s="4171"/>
      <c r="D23" s="4171"/>
      <c r="E23" s="4171" t="s">
        <v>43</v>
      </c>
      <c r="F23" s="4171" t="s">
        <v>43</v>
      </c>
      <c r="G23" s="4171" t="s">
        <v>43</v>
      </c>
      <c r="H23" s="3927" t="s">
        <v>43</v>
      </c>
      <c r="I23" s="4171" t="s">
        <v>43</v>
      </c>
      <c r="J23" s="4171"/>
      <c r="K23" s="4171"/>
      <c r="L23" s="4170" t="s">
        <v>46</v>
      </c>
      <c r="M23" s="4180" t="s">
        <v>46</v>
      </c>
      <c r="N23" s="4175" t="s">
        <v>46</v>
      </c>
      <c r="O23" s="4175" t="s">
        <v>46</v>
      </c>
      <c r="P23" s="4175" t="s">
        <v>46</v>
      </c>
      <c r="Q23" s="4111" t="s">
        <v>49</v>
      </c>
      <c r="R23" s="4111" t="s">
        <v>49</v>
      </c>
      <c r="S23" s="4160" t="s">
        <v>50</v>
      </c>
      <c r="T23" s="4160" t="s">
        <v>50</v>
      </c>
      <c r="U23" s="4160" t="s">
        <v>50</v>
      </c>
      <c r="V23" s="4160" t="s">
        <v>50</v>
      </c>
      <c r="W23" s="4160" t="s">
        <v>50</v>
      </c>
      <c r="X23" s="4168"/>
      <c r="Y23" s="4160"/>
      <c r="Z23" s="4160" t="s">
        <v>46</v>
      </c>
      <c r="AA23" s="4160" t="s">
        <v>46</v>
      </c>
      <c r="AB23" s="4160" t="s">
        <v>46</v>
      </c>
      <c r="AC23" s="4160" t="s">
        <v>46</v>
      </c>
      <c r="AD23" s="4160" t="s">
        <v>46</v>
      </c>
      <c r="AE23" s="4184" t="s">
        <v>47</v>
      </c>
      <c r="AF23" s="4184" t="s">
        <v>47</v>
      </c>
    </row>
    <row r="24" spans="1:34" ht="18" customHeight="1">
      <c r="A24" s="4185" t="s">
        <v>58</v>
      </c>
      <c r="B24" s="4186"/>
      <c r="C24" s="4187"/>
      <c r="D24" s="4187"/>
      <c r="E24" s="4187"/>
      <c r="F24" s="4187"/>
      <c r="G24" s="4187"/>
      <c r="H24" s="4187"/>
      <c r="I24" s="4187"/>
      <c r="J24" s="4187"/>
      <c r="K24" s="4187"/>
      <c r="L24" s="4187"/>
      <c r="M24" s="4187"/>
      <c r="N24" s="4187"/>
      <c r="O24" s="4187"/>
      <c r="P24" s="4187"/>
      <c r="Q24" s="4187"/>
      <c r="R24" s="4187"/>
      <c r="S24" s="4187"/>
      <c r="T24" s="4187"/>
      <c r="U24" s="4187"/>
      <c r="V24" s="4187"/>
      <c r="W24" s="4187"/>
      <c r="X24" s="4187"/>
      <c r="Y24" s="4187"/>
      <c r="Z24" s="4187"/>
      <c r="AA24" s="4187"/>
      <c r="AB24" s="4187"/>
      <c r="AC24" s="4187"/>
      <c r="AD24" s="4187"/>
      <c r="AE24" s="4187"/>
      <c r="AF24" s="4187"/>
    </row>
    <row r="25" spans="1:34" ht="18" customHeight="1">
      <c r="A25" s="880">
        <v>8500</v>
      </c>
      <c r="B25" s="881" t="s">
        <v>59</v>
      </c>
      <c r="C25" s="882"/>
      <c r="D25" s="882"/>
      <c r="E25" s="882" t="s">
        <v>40</v>
      </c>
      <c r="F25" s="882" t="s">
        <v>40</v>
      </c>
      <c r="G25" s="882" t="s">
        <v>40</v>
      </c>
      <c r="H25" s="882" t="s">
        <v>40</v>
      </c>
      <c r="I25" s="882" t="s">
        <v>40</v>
      </c>
      <c r="J25" s="883" t="s">
        <v>0</v>
      </c>
      <c r="K25" s="882"/>
      <c r="L25" s="883" t="s">
        <v>26</v>
      </c>
      <c r="M25" s="882" t="s">
        <v>40</v>
      </c>
      <c r="N25" s="882" t="s">
        <v>40</v>
      </c>
      <c r="O25" s="882" t="s">
        <v>40</v>
      </c>
      <c r="P25" s="882" t="s">
        <v>40</v>
      </c>
      <c r="Q25" s="882"/>
      <c r="R25" s="882"/>
      <c r="S25" s="882" t="s">
        <v>40</v>
      </c>
      <c r="T25" s="882" t="s">
        <v>40</v>
      </c>
      <c r="U25" s="882" t="s">
        <v>40</v>
      </c>
      <c r="V25" s="882" t="s">
        <v>40</v>
      </c>
      <c r="W25" s="882" t="s">
        <v>40</v>
      </c>
      <c r="X25" s="882"/>
      <c r="Y25" s="882"/>
      <c r="Z25" s="882" t="s">
        <v>40</v>
      </c>
      <c r="AA25" s="882" t="s">
        <v>40</v>
      </c>
      <c r="AB25" s="882" t="s">
        <v>40</v>
      </c>
      <c r="AC25" s="882" t="s">
        <v>40</v>
      </c>
      <c r="AD25" s="882" t="s">
        <v>40</v>
      </c>
      <c r="AE25" s="882"/>
      <c r="AF25" s="884"/>
    </row>
    <row r="26" spans="1:34" ht="18" customHeight="1">
      <c r="A26" s="4188">
        <v>8500</v>
      </c>
      <c r="B26" s="4158" t="s">
        <v>364</v>
      </c>
      <c r="C26" s="307" t="s">
        <v>61</v>
      </c>
      <c r="D26" s="4189"/>
      <c r="E26" s="339" t="s">
        <v>43</v>
      </c>
      <c r="F26" s="339" t="s">
        <v>43</v>
      </c>
      <c r="G26" s="339" t="s">
        <v>43</v>
      </c>
      <c r="H26" s="339" t="s">
        <v>43</v>
      </c>
      <c r="I26" s="339" t="s">
        <v>43</v>
      </c>
      <c r="J26" s="4190"/>
      <c r="K26" s="4191"/>
      <c r="L26" s="4169">
        <v>23</v>
      </c>
      <c r="M26" s="4192">
        <v>23</v>
      </c>
      <c r="N26" s="4192" t="s">
        <v>40</v>
      </c>
      <c r="O26" s="4192" t="s">
        <v>40</v>
      </c>
      <c r="P26" s="4192" t="s">
        <v>40</v>
      </c>
      <c r="Q26" s="4192">
        <v>23</v>
      </c>
      <c r="R26" s="4192">
        <v>23</v>
      </c>
      <c r="S26" s="4175" t="s">
        <v>46</v>
      </c>
      <c r="T26" s="4175" t="s">
        <v>46</v>
      </c>
      <c r="U26" s="4175" t="s">
        <v>46</v>
      </c>
      <c r="V26" s="4175" t="s">
        <v>46</v>
      </c>
      <c r="W26" s="4175" t="s">
        <v>46</v>
      </c>
      <c r="X26" s="4175"/>
      <c r="Y26" s="4175"/>
      <c r="Z26" s="4193" t="s">
        <v>40</v>
      </c>
      <c r="AA26" s="4194" t="s">
        <v>40</v>
      </c>
      <c r="AB26" s="4179" t="s">
        <v>40</v>
      </c>
      <c r="AC26" s="3927" t="s">
        <v>40</v>
      </c>
      <c r="AD26" s="4160" t="s">
        <v>46</v>
      </c>
      <c r="AE26" s="4182" t="s">
        <v>47</v>
      </c>
      <c r="AF26" s="4195" t="s">
        <v>47</v>
      </c>
    </row>
    <row r="27" spans="1:34" ht="18" customHeight="1">
      <c r="A27" s="4188"/>
      <c r="B27" s="3189" t="s">
        <v>522</v>
      </c>
      <c r="C27" s="4160"/>
      <c r="D27" s="4160"/>
      <c r="E27" s="501" t="s">
        <v>40</v>
      </c>
      <c r="F27" s="501" t="s">
        <v>40</v>
      </c>
      <c r="G27" s="581" t="s">
        <v>40</v>
      </c>
      <c r="H27" s="581" t="s">
        <v>40</v>
      </c>
      <c r="I27" s="581" t="s">
        <v>40</v>
      </c>
      <c r="J27" s="4160"/>
      <c r="K27" s="4160"/>
      <c r="L27" s="4169" t="s">
        <v>40</v>
      </c>
      <c r="M27" s="4168" t="s">
        <v>40</v>
      </c>
      <c r="N27" s="4160" t="s">
        <v>40</v>
      </c>
      <c r="O27" s="4168" t="s">
        <v>40</v>
      </c>
      <c r="P27" s="4174" t="s">
        <v>40</v>
      </c>
      <c r="Q27" s="4174"/>
      <c r="R27" s="4174"/>
      <c r="S27" s="4168" t="s">
        <v>40</v>
      </c>
      <c r="T27" s="4168" t="s">
        <v>40</v>
      </c>
      <c r="U27" s="4168" t="s">
        <v>40</v>
      </c>
      <c r="V27" s="4160" t="s">
        <v>40</v>
      </c>
      <c r="W27" s="4160" t="s">
        <v>40</v>
      </c>
      <c r="X27" s="4160"/>
      <c r="Y27" s="4160"/>
      <c r="Z27" s="4168" t="s">
        <v>413</v>
      </c>
      <c r="AA27" s="4168" t="s">
        <v>40</v>
      </c>
      <c r="AB27" s="4173" t="s">
        <v>40</v>
      </c>
      <c r="AC27" s="4173" t="s">
        <v>40</v>
      </c>
      <c r="AD27" s="4173" t="s">
        <v>40</v>
      </c>
      <c r="AE27" s="4160"/>
      <c r="AF27" s="4196"/>
    </row>
    <row r="28" spans="1:34" ht="18" customHeight="1">
      <c r="A28" s="4188"/>
      <c r="B28" s="4158" t="s">
        <v>88</v>
      </c>
      <c r="C28" s="4197" t="s">
        <v>104</v>
      </c>
      <c r="D28" s="4198" t="s">
        <v>104</v>
      </c>
      <c r="E28" s="4199" t="s">
        <v>556</v>
      </c>
      <c r="F28" s="4199" t="s">
        <v>556</v>
      </c>
      <c r="G28" s="4199" t="s">
        <v>556</v>
      </c>
      <c r="H28" s="4199" t="s">
        <v>556</v>
      </c>
      <c r="I28" s="4199" t="s">
        <v>556</v>
      </c>
      <c r="J28" s="4197" t="s">
        <v>53</v>
      </c>
      <c r="K28" s="4160"/>
      <c r="L28" s="4200" t="s">
        <v>46</v>
      </c>
      <c r="M28" s="4175" t="s">
        <v>46</v>
      </c>
      <c r="N28" s="4175" t="s">
        <v>46</v>
      </c>
      <c r="O28" s="4175" t="s">
        <v>46</v>
      </c>
      <c r="P28" s="4175" t="s">
        <v>46</v>
      </c>
      <c r="Q28" s="4197"/>
      <c r="R28" s="4198"/>
      <c r="S28" s="4198" t="s">
        <v>40</v>
      </c>
      <c r="T28" s="4198" t="s">
        <v>40</v>
      </c>
      <c r="U28" s="4029" t="s">
        <v>40</v>
      </c>
      <c r="V28" s="4201">
        <v>6</v>
      </c>
      <c r="W28" s="4197">
        <v>6</v>
      </c>
      <c r="X28" s="4197"/>
      <c r="Y28" s="4198"/>
      <c r="Z28" s="4198" t="s">
        <v>40</v>
      </c>
      <c r="AA28" s="4197">
        <v>21</v>
      </c>
      <c r="AB28" s="4029">
        <v>21</v>
      </c>
      <c r="AC28" s="4197" t="s">
        <v>46</v>
      </c>
      <c r="AD28" s="4197" t="s">
        <v>43</v>
      </c>
      <c r="AE28" s="4197" t="s">
        <v>557</v>
      </c>
      <c r="AF28" s="4202"/>
      <c r="AH28" s="108"/>
    </row>
    <row r="29" spans="1:34" ht="18" customHeight="1">
      <c r="A29" s="4203"/>
      <c r="B29" s="3985" t="s">
        <v>297</v>
      </c>
      <c r="C29" s="4160"/>
      <c r="D29" s="4160"/>
      <c r="E29" s="4173" t="s">
        <v>40</v>
      </c>
      <c r="F29" s="4173" t="s">
        <v>40</v>
      </c>
      <c r="G29" s="4173" t="s">
        <v>40</v>
      </c>
      <c r="H29" s="4160" t="s">
        <v>40</v>
      </c>
      <c r="I29" s="4160" t="s">
        <v>40</v>
      </c>
      <c r="J29" s="4160"/>
      <c r="K29" s="4160"/>
      <c r="L29" s="4168" t="s">
        <v>40</v>
      </c>
      <c r="M29" s="4168" t="s">
        <v>40</v>
      </c>
      <c r="N29" s="4160" t="s">
        <v>116</v>
      </c>
      <c r="O29" s="4160" t="s">
        <v>40</v>
      </c>
      <c r="P29" s="4174">
        <v>79</v>
      </c>
      <c r="Q29" s="4174"/>
      <c r="R29" s="4174"/>
      <c r="S29" s="116" t="s">
        <v>159</v>
      </c>
      <c r="T29" s="4168" t="s">
        <v>159</v>
      </c>
      <c r="U29" s="116" t="s">
        <v>159</v>
      </c>
      <c r="V29" s="324" t="s">
        <v>159</v>
      </c>
      <c r="W29" s="4160" t="s">
        <v>128</v>
      </c>
      <c r="X29" s="4160"/>
      <c r="Y29" s="4160"/>
      <c r="Z29" s="4168" t="s">
        <v>40</v>
      </c>
      <c r="AA29" s="4168" t="s">
        <v>40</v>
      </c>
      <c r="AB29" s="4173" t="s">
        <v>116</v>
      </c>
      <c r="AC29" s="4173" t="s">
        <v>40</v>
      </c>
      <c r="AD29" s="4173" t="s">
        <v>40</v>
      </c>
      <c r="AE29" s="4160"/>
      <c r="AF29" s="4204"/>
    </row>
    <row r="30" spans="1:34" ht="18" customHeight="1">
      <c r="A30" s="4205"/>
      <c r="B30" s="4206" t="s">
        <v>65</v>
      </c>
      <c r="C30" s="4207"/>
      <c r="D30" s="4208"/>
      <c r="E30" s="4208" t="s">
        <v>40</v>
      </c>
      <c r="F30" s="4208" t="s">
        <v>40</v>
      </c>
      <c r="G30" s="4209" t="s">
        <v>40</v>
      </c>
      <c r="H30" s="4207" t="s">
        <v>40</v>
      </c>
      <c r="I30" s="4207" t="s">
        <v>40</v>
      </c>
      <c r="J30" s="4207"/>
      <c r="K30" s="4210"/>
      <c r="L30" s="4208" t="s">
        <v>40</v>
      </c>
      <c r="M30" s="4207" t="s">
        <v>40</v>
      </c>
      <c r="N30" s="4209" t="s">
        <v>40</v>
      </c>
      <c r="O30" s="4207" t="s">
        <v>40</v>
      </c>
      <c r="P30" s="4207" t="s">
        <v>40</v>
      </c>
      <c r="Q30" s="4207"/>
      <c r="R30" s="4208"/>
      <c r="S30" s="4208" t="s">
        <v>40</v>
      </c>
      <c r="T30" s="4207" t="s">
        <v>40</v>
      </c>
      <c r="U30" s="4209" t="s">
        <v>40</v>
      </c>
      <c r="V30" s="4211" t="s">
        <v>40</v>
      </c>
      <c r="W30" s="4207" t="s">
        <v>40</v>
      </c>
      <c r="X30" s="4207"/>
      <c r="Y30" s="4208"/>
      <c r="Z30" s="4208" t="s">
        <v>40</v>
      </c>
      <c r="AA30" s="4207" t="s">
        <v>40</v>
      </c>
      <c r="AB30" s="4209" t="s">
        <v>40</v>
      </c>
      <c r="AC30" s="4207" t="s">
        <v>40</v>
      </c>
      <c r="AD30" s="4207" t="s">
        <v>40</v>
      </c>
      <c r="AE30" s="4207"/>
      <c r="AF30" s="4212"/>
    </row>
    <row r="31" spans="1:34" ht="18" customHeight="1">
      <c r="A31" s="153"/>
      <c r="B31" s="116"/>
      <c r="C31" s="124" t="s">
        <v>0</v>
      </c>
      <c r="D31" s="129" t="s">
        <v>0</v>
      </c>
      <c r="E31" s="129"/>
      <c r="F31" s="129"/>
      <c r="G31" s="129"/>
      <c r="H31" s="173"/>
      <c r="I31" s="129"/>
      <c r="J31" s="116"/>
      <c r="K31" s="116" t="s">
        <v>0</v>
      </c>
      <c r="L31" s="312" t="s">
        <v>0</v>
      </c>
      <c r="M31" s="312" t="s">
        <v>0</v>
      </c>
      <c r="N31" s="312" t="s">
        <v>0</v>
      </c>
      <c r="O31" s="312" t="s">
        <v>0</v>
      </c>
      <c r="P31" s="312" t="s">
        <v>0</v>
      </c>
      <c r="Q31" s="312"/>
      <c r="R31" s="312" t="s">
        <v>0</v>
      </c>
      <c r="S31" s="111"/>
      <c r="T31" s="111"/>
      <c r="U31" s="111"/>
      <c r="V31" s="111"/>
      <c r="W31" s="111"/>
      <c r="X31" s="116"/>
      <c r="Y31" s="124"/>
      <c r="AB31" s="939"/>
      <c r="AE31" s="126"/>
      <c r="AF31" s="126"/>
      <c r="AG31" s="111"/>
    </row>
    <row r="32" spans="1:34">
      <c r="E32" s="129" t="s">
        <v>0</v>
      </c>
      <c r="F32" s="129"/>
      <c r="G32" s="173"/>
      <c r="H32" s="173"/>
      <c r="I32" s="173" t="s">
        <v>0</v>
      </c>
      <c r="J32" s="173" t="s">
        <v>0</v>
      </c>
      <c r="K32" s="173" t="s">
        <v>0</v>
      </c>
      <c r="L32" s="111"/>
      <c r="M32" s="111"/>
      <c r="N32" s="111"/>
      <c r="O32" s="111"/>
      <c r="P32" s="111"/>
      <c r="Q32" s="111"/>
      <c r="R32" s="111"/>
      <c r="S32" s="111"/>
      <c r="T32" s="111"/>
      <c r="U32" s="127"/>
      <c r="V32" s="111"/>
      <c r="W32" s="111"/>
      <c r="X32" s="111"/>
      <c r="Y32" s="111"/>
      <c r="Z32" s="129" t="s">
        <v>0</v>
      </c>
      <c r="AA32" s="129" t="s">
        <v>0</v>
      </c>
      <c r="AB32" s="111" t="s">
        <v>0</v>
      </c>
      <c r="AC32" s="111"/>
      <c r="AD32" s="116"/>
      <c r="AE32" s="116"/>
      <c r="AF32" s="116" t="s">
        <v>0</v>
      </c>
      <c r="AG32" s="111"/>
    </row>
    <row r="33" spans="1:34">
      <c r="I33" s="111"/>
      <c r="J33" s="111"/>
      <c r="K33" s="111"/>
      <c r="L33" s="111"/>
      <c r="M33" s="111"/>
      <c r="N33" s="111" t="s">
        <v>0</v>
      </c>
      <c r="O33" s="111"/>
      <c r="P33" s="111"/>
      <c r="Q33" s="111"/>
      <c r="R33" s="111"/>
      <c r="S33" s="116"/>
      <c r="T33" s="111"/>
      <c r="U33" s="116"/>
      <c r="V33" s="116"/>
      <c r="W33" s="116"/>
      <c r="X33" s="111"/>
      <c r="Y33" s="111"/>
      <c r="Z33" s="111" t="s">
        <v>250</v>
      </c>
      <c r="AA33" s="111"/>
      <c r="AB33" s="111"/>
      <c r="AC33" s="111"/>
      <c r="AD33" s="111"/>
      <c r="AE33" s="111"/>
      <c r="AF33" s="111"/>
      <c r="AG33" s="111"/>
    </row>
    <row r="34" spans="1:34">
      <c r="E34" s="885"/>
      <c r="F34" s="885"/>
      <c r="G34" s="885"/>
      <c r="H34" s="922"/>
      <c r="I34" s="885"/>
      <c r="J34" s="885"/>
      <c r="K34" s="885"/>
      <c r="L34" s="111"/>
      <c r="M34" s="111"/>
      <c r="N34" s="111"/>
      <c r="O34" s="111"/>
      <c r="P34" s="111"/>
      <c r="Q34" s="885"/>
      <c r="R34" s="885"/>
      <c r="S34" s="885"/>
      <c r="T34" s="885"/>
      <c r="U34" s="885"/>
      <c r="V34" s="885"/>
      <c r="W34" s="885"/>
      <c r="X34" s="111"/>
      <c r="Y34" s="111"/>
      <c r="Z34" s="111" t="s">
        <v>0</v>
      </c>
      <c r="AA34" s="111" t="s">
        <v>0</v>
      </c>
      <c r="AB34" s="885"/>
      <c r="AC34" s="111" t="s">
        <v>0</v>
      </c>
      <c r="AD34" s="111" t="s">
        <v>0</v>
      </c>
      <c r="AE34" s="111" t="s">
        <v>0</v>
      </c>
      <c r="AF34" s="885"/>
      <c r="AG34" s="111"/>
    </row>
    <row r="35" spans="1:34">
      <c r="C35" s="111"/>
      <c r="D35" s="111"/>
      <c r="E35" s="193"/>
      <c r="F35" s="193"/>
      <c r="G35" s="193"/>
      <c r="H35" s="921"/>
      <c r="I35" s="193"/>
      <c r="J35" s="111"/>
      <c r="U35" t="s">
        <v>0</v>
      </c>
      <c r="W35">
        <v>3</v>
      </c>
    </row>
    <row r="37" spans="1:34" ht="18.75" customHeight="1" thickBot="1">
      <c r="A37" s="96" t="s">
        <v>66</v>
      </c>
      <c r="D37" s="48"/>
      <c r="E37" s="48"/>
      <c r="F37" s="48"/>
      <c r="G37" s="48"/>
      <c r="I37" s="48"/>
      <c r="J37" s="48"/>
      <c r="K37" s="48"/>
      <c r="L37" s="48"/>
      <c r="M37" s="48"/>
      <c r="N37" s="48"/>
      <c r="O37" s="48" t="s">
        <v>0</v>
      </c>
      <c r="P37" s="48"/>
      <c r="Q37" s="48" t="s">
        <v>67</v>
      </c>
      <c r="R37" s="48" t="s">
        <v>0</v>
      </c>
      <c r="S37" s="48" t="s">
        <v>68</v>
      </c>
      <c r="AA37" s="48"/>
      <c r="AB37" s="48"/>
      <c r="AC37" s="48"/>
      <c r="AD37" s="48"/>
      <c r="AE37" s="48"/>
      <c r="AF37" s="48"/>
    </row>
    <row r="38" spans="1:34" ht="27" customHeight="1">
      <c r="A38" s="3056" t="s">
        <v>69</v>
      </c>
      <c r="B38" s="3057"/>
      <c r="C38" s="3057"/>
      <c r="D38" s="3058" t="s">
        <v>70</v>
      </c>
      <c r="E38" s="3059"/>
      <c r="F38" s="3059"/>
      <c r="G38" s="3059"/>
      <c r="H38" s="3059"/>
      <c r="I38" s="3059"/>
      <c r="J38" s="3059"/>
      <c r="K38" s="3059"/>
      <c r="L38" s="3059"/>
      <c r="M38" s="3060" t="s">
        <v>71</v>
      </c>
      <c r="N38" s="3059"/>
      <c r="O38" s="3059"/>
      <c r="P38" s="3059"/>
      <c r="Q38" s="3059"/>
      <c r="R38" s="3059"/>
      <c r="S38" s="3061"/>
      <c r="T38" s="3467" t="s">
        <v>558</v>
      </c>
      <c r="U38" s="3467"/>
      <c r="V38" s="3467"/>
      <c r="W38" s="3467"/>
      <c r="X38" s="3467"/>
      <c r="Y38" s="3467"/>
      <c r="Z38" s="3467"/>
      <c r="AA38" s="3063" t="s">
        <v>73</v>
      </c>
      <c r="AB38" s="3064"/>
      <c r="AC38" s="3064"/>
      <c r="AD38" s="3064"/>
      <c r="AE38" s="3064"/>
      <c r="AF38" s="3064"/>
    </row>
    <row r="39" spans="1:34" ht="18" customHeight="1">
      <c r="A39" s="3065" t="s">
        <v>74</v>
      </c>
      <c r="B39" s="4213"/>
      <c r="C39" s="4213"/>
      <c r="D39" s="4214" t="s">
        <v>75</v>
      </c>
      <c r="E39" s="4215"/>
      <c r="F39" s="3758"/>
      <c r="G39" s="3758"/>
      <c r="H39" s="3758"/>
      <c r="I39" s="3758"/>
      <c r="J39" s="3758"/>
      <c r="K39" s="3758"/>
      <c r="L39" s="4216"/>
      <c r="M39" s="4217" t="s">
        <v>76</v>
      </c>
      <c r="N39" s="4213"/>
      <c r="O39" s="4218"/>
      <c r="P39" s="4213"/>
      <c r="Q39" s="4213"/>
      <c r="R39" s="4213"/>
      <c r="S39" s="4219"/>
      <c r="T39" s="4214" t="s">
        <v>77</v>
      </c>
      <c r="U39" s="3758"/>
      <c r="V39" s="4215"/>
      <c r="W39" s="3758"/>
      <c r="X39" s="3758"/>
      <c r="Y39" s="3758"/>
      <c r="Z39" s="4216"/>
      <c r="AA39" s="97" t="s">
        <v>78</v>
      </c>
      <c r="AD39" s="59"/>
    </row>
    <row r="40" spans="1:34" ht="18" customHeight="1">
      <c r="A40" s="4220" t="s">
        <v>79</v>
      </c>
      <c r="B40" s="3758"/>
      <c r="C40" s="3758"/>
      <c r="D40" s="4221"/>
      <c r="E40" s="3758"/>
      <c r="F40" s="3758"/>
      <c r="G40" s="4216"/>
      <c r="H40" s="4222" t="s">
        <v>80</v>
      </c>
      <c r="I40" s="3758"/>
      <c r="J40" s="3758"/>
      <c r="K40" s="3758"/>
      <c r="L40" s="3758"/>
      <c r="M40" s="4223"/>
      <c r="N40" s="3758"/>
      <c r="O40" s="3758"/>
      <c r="P40" s="3758"/>
      <c r="Q40" s="3758"/>
      <c r="R40" s="3758"/>
      <c r="S40" s="3758"/>
      <c r="T40" s="4221"/>
      <c r="U40" s="96" t="s">
        <v>81</v>
      </c>
      <c r="AA40" s="4218"/>
      <c r="AB40" s="4213"/>
      <c r="AC40" s="4213"/>
      <c r="AD40" s="4213"/>
      <c r="AE40" s="4213"/>
      <c r="AF40" s="4213"/>
    </row>
    <row r="41" spans="1:34" ht="18" customHeight="1">
      <c r="A41" s="4224" t="s">
        <v>82</v>
      </c>
      <c r="B41" s="4225"/>
      <c r="C41" s="4225"/>
      <c r="D41" s="4226"/>
      <c r="E41" s="4225"/>
      <c r="F41" s="4225"/>
      <c r="G41" s="4227"/>
      <c r="H41" s="4228" t="s">
        <v>83</v>
      </c>
      <c r="I41" s="4227"/>
      <c r="J41" s="4225"/>
      <c r="K41" s="4225"/>
      <c r="L41" s="4225"/>
      <c r="M41" s="4229"/>
      <c r="N41" s="4225"/>
      <c r="O41" s="4225"/>
      <c r="P41" s="4225"/>
      <c r="Q41" s="4230"/>
      <c r="R41" s="4230"/>
      <c r="S41" s="4230"/>
      <c r="T41" s="4226"/>
      <c r="U41" s="4231" t="s">
        <v>84</v>
      </c>
      <c r="V41" s="4225"/>
      <c r="W41" s="4225"/>
      <c r="X41" s="4225"/>
      <c r="Y41" s="4225"/>
      <c r="Z41" s="4225"/>
      <c r="AA41" s="4225"/>
      <c r="AB41" s="4225"/>
      <c r="AC41" s="4225"/>
      <c r="AD41" s="4225"/>
      <c r="AE41" s="4225"/>
      <c r="AF41" s="4225"/>
    </row>
    <row r="42" spans="1:34" ht="18" customHeight="1">
      <c r="B42" s="62" t="s">
        <v>36</v>
      </c>
      <c r="C42" s="48"/>
      <c r="D42" s="48"/>
      <c r="E42" s="48"/>
      <c r="F42" s="48"/>
      <c r="G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300" t="s">
        <v>559</v>
      </c>
      <c r="T42" s="299"/>
      <c r="U42" s="299"/>
      <c r="V42" s="299"/>
      <c r="W42" s="299"/>
      <c r="X42" s="48"/>
      <c r="Y42" s="48"/>
      <c r="Z42" s="48"/>
      <c r="AA42" s="48"/>
      <c r="AB42" s="48"/>
      <c r="AC42" s="48"/>
      <c r="AD42" s="48"/>
      <c r="AE42" s="48"/>
      <c r="AF42" s="48"/>
    </row>
    <row r="43" spans="1:34" ht="18" customHeight="1">
      <c r="A43" s="4232" t="s">
        <v>37</v>
      </c>
      <c r="B43" s="4233" t="s">
        <v>38</v>
      </c>
      <c r="C43" s="2986">
        <v>1</v>
      </c>
      <c r="D43" s="2986">
        <v>2</v>
      </c>
      <c r="E43" s="2985">
        <v>3</v>
      </c>
      <c r="F43" s="2985">
        <v>4</v>
      </c>
      <c r="G43" s="2985">
        <v>5</v>
      </c>
      <c r="H43" s="2985">
        <v>6</v>
      </c>
      <c r="I43" s="2985">
        <v>7</v>
      </c>
      <c r="J43" s="2986">
        <v>8</v>
      </c>
      <c r="K43" s="2986">
        <v>9</v>
      </c>
      <c r="L43" s="2985">
        <v>10</v>
      </c>
      <c r="M43" s="2985">
        <v>11</v>
      </c>
      <c r="N43" s="2985">
        <v>12</v>
      </c>
      <c r="O43" s="2985">
        <v>13</v>
      </c>
      <c r="P43" s="2985">
        <v>14</v>
      </c>
      <c r="Q43" s="2986">
        <v>15</v>
      </c>
      <c r="R43" s="2986">
        <v>16</v>
      </c>
      <c r="S43" s="2985">
        <v>17</v>
      </c>
      <c r="T43" s="2985">
        <v>18</v>
      </c>
      <c r="U43" s="2985">
        <v>19</v>
      </c>
      <c r="V43" s="2985">
        <v>20</v>
      </c>
      <c r="W43" s="2985">
        <v>21</v>
      </c>
      <c r="X43" s="2986">
        <v>22</v>
      </c>
      <c r="Y43" s="2986">
        <v>23</v>
      </c>
      <c r="Z43" s="2985">
        <v>24</v>
      </c>
      <c r="AA43" s="2985">
        <v>25</v>
      </c>
      <c r="AB43" s="2985">
        <v>26</v>
      </c>
      <c r="AC43" s="2985">
        <v>27</v>
      </c>
      <c r="AD43" s="2985">
        <v>28</v>
      </c>
      <c r="AE43" s="2986">
        <v>29</v>
      </c>
      <c r="AF43" s="2986">
        <v>30</v>
      </c>
    </row>
    <row r="44" spans="1:34" ht="18" customHeight="1">
      <c r="A44" s="3087">
        <v>1</v>
      </c>
      <c r="B44" s="3985" t="s">
        <v>85</v>
      </c>
      <c r="C44" s="3291"/>
      <c r="D44" s="3291"/>
      <c r="E44" s="3088" t="s">
        <v>46</v>
      </c>
      <c r="F44" s="3088" t="s">
        <v>46</v>
      </c>
      <c r="G44" s="3088" t="s">
        <v>46</v>
      </c>
      <c r="H44" s="3088" t="s">
        <v>46</v>
      </c>
      <c r="I44" s="3088" t="s">
        <v>46</v>
      </c>
      <c r="J44" s="2989"/>
      <c r="K44" s="3088"/>
      <c r="L44" s="3088">
        <v>5</v>
      </c>
      <c r="M44" s="3088">
        <v>5</v>
      </c>
      <c r="N44" s="3088">
        <v>5</v>
      </c>
      <c r="O44" s="3089">
        <v>5</v>
      </c>
      <c r="P44" s="3088">
        <v>5</v>
      </c>
      <c r="Q44" s="3090"/>
      <c r="R44" s="3089"/>
      <c r="S44" s="3088">
        <v>10</v>
      </c>
      <c r="T44" s="4173">
        <v>10</v>
      </c>
      <c r="U44" s="3088">
        <v>10</v>
      </c>
      <c r="V44" s="3088">
        <v>10</v>
      </c>
      <c r="W44" s="3088">
        <v>10</v>
      </c>
      <c r="X44" s="3090" t="s">
        <v>53</v>
      </c>
      <c r="Y44" s="3090" t="s">
        <v>53</v>
      </c>
      <c r="Z44" s="3088" t="s">
        <v>46</v>
      </c>
      <c r="AA44" s="3088" t="s">
        <v>46</v>
      </c>
      <c r="AB44" s="3090" t="s">
        <v>46</v>
      </c>
      <c r="AC44" s="3090" t="s">
        <v>46</v>
      </c>
      <c r="AD44" s="3090" t="s">
        <v>46</v>
      </c>
      <c r="AE44" s="3088" t="s">
        <v>86</v>
      </c>
      <c r="AF44" s="4234" t="s">
        <v>86</v>
      </c>
    </row>
    <row r="45" spans="1:34" ht="18" customHeight="1">
      <c r="A45" s="4235">
        <v>6</v>
      </c>
      <c r="B45" s="4236" t="s">
        <v>560</v>
      </c>
      <c r="C45" s="4173"/>
      <c r="D45" s="4173"/>
      <c r="E45" s="4173">
        <v>4</v>
      </c>
      <c r="F45" s="4173">
        <v>4</v>
      </c>
      <c r="G45" s="4173">
        <v>4</v>
      </c>
      <c r="H45" s="4173">
        <v>4</v>
      </c>
      <c r="I45" s="4173">
        <v>4</v>
      </c>
      <c r="J45" s="4173"/>
      <c r="K45" s="4173"/>
      <c r="L45" s="4173">
        <v>3</v>
      </c>
      <c r="M45" s="4173">
        <v>3</v>
      </c>
      <c r="N45" s="4173">
        <v>3</v>
      </c>
      <c r="O45" s="4173">
        <v>3</v>
      </c>
      <c r="P45" s="4173">
        <v>3</v>
      </c>
      <c r="Q45" s="4173"/>
      <c r="R45" s="4173"/>
      <c r="S45" s="4173">
        <v>11</v>
      </c>
      <c r="T45" s="4173">
        <v>11</v>
      </c>
      <c r="U45" s="4173">
        <v>11</v>
      </c>
      <c r="V45" s="4173">
        <v>11</v>
      </c>
      <c r="W45" s="4173">
        <v>11</v>
      </c>
      <c r="X45" s="4173" t="s">
        <v>87</v>
      </c>
      <c r="Y45" s="4173" t="s">
        <v>87</v>
      </c>
      <c r="Z45" s="4173" t="s">
        <v>46</v>
      </c>
      <c r="AA45" s="4173" t="s">
        <v>46</v>
      </c>
      <c r="AB45" s="4173" t="s">
        <v>46</v>
      </c>
      <c r="AC45" s="4173" t="s">
        <v>46</v>
      </c>
      <c r="AD45" s="4173" t="s">
        <v>46</v>
      </c>
      <c r="AE45" s="4237" t="s">
        <v>89</v>
      </c>
      <c r="AF45" s="4237" t="s">
        <v>89</v>
      </c>
    </row>
    <row r="46" spans="1:34" ht="18" customHeight="1">
      <c r="A46" s="4238">
        <v>11</v>
      </c>
      <c r="B46" s="4183" t="s">
        <v>90</v>
      </c>
      <c r="C46" s="4239"/>
      <c r="D46" s="4239"/>
      <c r="E46" s="4239" t="s">
        <v>46</v>
      </c>
      <c r="F46" s="4239" t="s">
        <v>46</v>
      </c>
      <c r="G46" s="4239" t="s">
        <v>46</v>
      </c>
      <c r="H46" s="4240" t="s">
        <v>46</v>
      </c>
      <c r="I46" s="4239" t="s">
        <v>46</v>
      </c>
      <c r="J46" s="4239"/>
      <c r="K46" s="4239"/>
      <c r="L46" s="4239">
        <v>1</v>
      </c>
      <c r="M46" s="4239">
        <v>1</v>
      </c>
      <c r="N46" s="4239">
        <v>1</v>
      </c>
      <c r="O46" s="4239">
        <v>1</v>
      </c>
      <c r="P46" s="4239">
        <v>1</v>
      </c>
      <c r="Q46" s="4239"/>
      <c r="R46" s="4239"/>
      <c r="S46" s="4239">
        <v>9</v>
      </c>
      <c r="T46" s="4239">
        <v>9</v>
      </c>
      <c r="U46" s="4239">
        <v>9</v>
      </c>
      <c r="V46" s="4239">
        <v>9</v>
      </c>
      <c r="W46" s="4239">
        <v>9</v>
      </c>
      <c r="X46" s="4239" t="s">
        <v>52</v>
      </c>
      <c r="Y46" s="4239" t="s">
        <v>52</v>
      </c>
      <c r="Z46" s="4239" t="s">
        <v>46</v>
      </c>
      <c r="AA46" s="4239" t="s">
        <v>46</v>
      </c>
      <c r="AB46" s="4239" t="s">
        <v>46</v>
      </c>
      <c r="AC46" s="4239" t="s">
        <v>46</v>
      </c>
      <c r="AD46" s="4239" t="s">
        <v>46</v>
      </c>
      <c r="AE46" s="4199" t="s">
        <v>91</v>
      </c>
      <c r="AF46" s="4241" t="s">
        <v>89</v>
      </c>
      <c r="AH46" s="108" t="s">
        <v>133</v>
      </c>
    </row>
    <row r="47" spans="1:34" ht="18" customHeight="1">
      <c r="A47" s="3087">
        <v>2</v>
      </c>
      <c r="B47" s="3035" t="s">
        <v>92</v>
      </c>
      <c r="C47" s="2989"/>
      <c r="D47" s="2990"/>
      <c r="E47" s="2990">
        <v>5</v>
      </c>
      <c r="F47" s="4242">
        <v>5</v>
      </c>
      <c r="G47" s="3292">
        <v>5</v>
      </c>
      <c r="H47" s="4243">
        <v>5</v>
      </c>
      <c r="I47" s="3292">
        <v>5</v>
      </c>
      <c r="J47" s="3089"/>
      <c r="K47" s="3089"/>
      <c r="L47" s="3088">
        <v>10</v>
      </c>
      <c r="M47" s="3088">
        <v>10</v>
      </c>
      <c r="N47" s="3088">
        <v>10</v>
      </c>
      <c r="O47" s="3090">
        <v>10</v>
      </c>
      <c r="P47" s="3088">
        <v>10</v>
      </c>
      <c r="Q47" s="3090" t="s">
        <v>53</v>
      </c>
      <c r="R47" s="3090" t="s">
        <v>53</v>
      </c>
      <c r="S47" s="3089" t="s">
        <v>46</v>
      </c>
      <c r="T47" s="3090" t="s">
        <v>46</v>
      </c>
      <c r="U47" s="3090" t="s">
        <v>46</v>
      </c>
      <c r="V47" s="3090" t="s">
        <v>46</v>
      </c>
      <c r="W47" s="3090" t="s">
        <v>46</v>
      </c>
      <c r="X47" s="3090" t="s">
        <v>86</v>
      </c>
      <c r="Y47" s="3088" t="s">
        <v>86</v>
      </c>
      <c r="Z47" s="3088">
        <v>7</v>
      </c>
      <c r="AA47" s="3088">
        <v>7</v>
      </c>
      <c r="AB47" s="3088">
        <v>7</v>
      </c>
      <c r="AC47" s="3090">
        <v>7</v>
      </c>
      <c r="AD47" s="3090">
        <v>7</v>
      </c>
      <c r="AE47" s="3088"/>
      <c r="AF47" s="3088"/>
    </row>
    <row r="48" spans="1:34" ht="18" customHeight="1">
      <c r="A48" s="4235">
        <v>7</v>
      </c>
      <c r="B48" s="4158" t="s">
        <v>561</v>
      </c>
      <c r="C48" s="4163"/>
      <c r="D48" s="4163"/>
      <c r="E48" s="4163">
        <v>3</v>
      </c>
      <c r="F48" s="4163">
        <v>3</v>
      </c>
      <c r="G48" s="4163">
        <v>3</v>
      </c>
      <c r="H48" s="4164">
        <v>3</v>
      </c>
      <c r="I48" s="4163">
        <v>3</v>
      </c>
      <c r="J48" s="4163"/>
      <c r="K48" s="4163"/>
      <c r="L48" s="4244">
        <v>11</v>
      </c>
      <c r="M48" s="4244">
        <v>11</v>
      </c>
      <c r="N48" s="4244">
        <v>11</v>
      </c>
      <c r="O48" s="4244">
        <v>11</v>
      </c>
      <c r="P48" s="4244">
        <v>11</v>
      </c>
      <c r="Q48" s="4244" t="s">
        <v>87</v>
      </c>
      <c r="R48" s="4244" t="s">
        <v>87</v>
      </c>
      <c r="S48" s="4245" t="s">
        <v>46</v>
      </c>
      <c r="T48" s="4245" t="s">
        <v>46</v>
      </c>
      <c r="U48" s="4245" t="s">
        <v>46</v>
      </c>
      <c r="V48" s="4245" t="s">
        <v>46</v>
      </c>
      <c r="W48" s="4245" t="s">
        <v>46</v>
      </c>
      <c r="X48" s="4245" t="s">
        <v>89</v>
      </c>
      <c r="Y48" s="4245" t="s">
        <v>89</v>
      </c>
      <c r="Z48" s="4245">
        <v>8</v>
      </c>
      <c r="AA48" s="4245">
        <v>8</v>
      </c>
      <c r="AB48" s="4245">
        <v>8</v>
      </c>
      <c r="AC48" s="4245">
        <v>8</v>
      </c>
      <c r="AD48" s="4245">
        <v>8</v>
      </c>
      <c r="AE48" s="4245"/>
      <c r="AF48" s="4245"/>
      <c r="AH48" t="s">
        <v>133</v>
      </c>
    </row>
    <row r="49" spans="1:32" ht="18" customHeight="1">
      <c r="A49" s="4238">
        <v>12</v>
      </c>
      <c r="B49" s="4246" t="s">
        <v>94</v>
      </c>
      <c r="C49" s="4247"/>
      <c r="D49" s="4247"/>
      <c r="E49" s="4248">
        <v>1</v>
      </c>
      <c r="F49" s="4247">
        <v>1</v>
      </c>
      <c r="G49" s="4247">
        <v>1</v>
      </c>
      <c r="H49" s="4247">
        <v>1</v>
      </c>
      <c r="I49" s="4247">
        <v>1</v>
      </c>
      <c r="J49" s="4247"/>
      <c r="K49" s="4247"/>
      <c r="L49" s="4249">
        <v>9</v>
      </c>
      <c r="M49" s="4249">
        <v>9</v>
      </c>
      <c r="N49" s="4249">
        <v>9</v>
      </c>
      <c r="O49" s="4249">
        <v>9</v>
      </c>
      <c r="P49" s="4249">
        <v>9</v>
      </c>
      <c r="Q49" s="4249" t="s">
        <v>52</v>
      </c>
      <c r="R49" s="4249" t="s">
        <v>52</v>
      </c>
      <c r="S49" s="4247" t="s">
        <v>46</v>
      </c>
      <c r="T49" s="4250" t="s">
        <v>46</v>
      </c>
      <c r="U49" s="4247" t="s">
        <v>46</v>
      </c>
      <c r="V49" s="4247" t="s">
        <v>46</v>
      </c>
      <c r="W49" s="4247" t="s">
        <v>46</v>
      </c>
      <c r="X49" s="4247" t="s">
        <v>91</v>
      </c>
      <c r="Y49" s="4247" t="s">
        <v>89</v>
      </c>
      <c r="Z49" s="4247">
        <v>6</v>
      </c>
      <c r="AA49" s="4247">
        <v>6</v>
      </c>
      <c r="AB49" s="4247">
        <v>6</v>
      </c>
      <c r="AC49" s="4247">
        <v>6</v>
      </c>
      <c r="AD49" s="4251">
        <v>6</v>
      </c>
      <c r="AE49" s="4247"/>
      <c r="AF49" s="4247"/>
    </row>
    <row r="50" spans="1:32" ht="18" customHeight="1">
      <c r="A50" s="3087">
        <v>3</v>
      </c>
      <c r="B50" s="3104" t="s">
        <v>95</v>
      </c>
      <c r="C50" s="583"/>
      <c r="D50" s="583"/>
      <c r="E50" s="583">
        <v>10</v>
      </c>
      <c r="F50" s="583">
        <v>10</v>
      </c>
      <c r="G50" s="583">
        <v>10</v>
      </c>
      <c r="H50" s="920">
        <v>10</v>
      </c>
      <c r="I50" s="583">
        <v>10</v>
      </c>
      <c r="J50" s="583" t="s">
        <v>53</v>
      </c>
      <c r="K50" s="583" t="s">
        <v>53</v>
      </c>
      <c r="L50" s="583" t="s">
        <v>46</v>
      </c>
      <c r="M50" s="583" t="s">
        <v>46</v>
      </c>
      <c r="N50" s="583" t="s">
        <v>46</v>
      </c>
      <c r="O50" s="583" t="s">
        <v>46</v>
      </c>
      <c r="P50" s="583" t="s">
        <v>46</v>
      </c>
      <c r="Q50" s="583" t="s">
        <v>86</v>
      </c>
      <c r="R50" s="583" t="s">
        <v>86</v>
      </c>
      <c r="S50" s="583">
        <v>7</v>
      </c>
      <c r="T50" s="583">
        <v>7</v>
      </c>
      <c r="U50" s="583">
        <v>7</v>
      </c>
      <c r="V50" s="583">
        <v>7</v>
      </c>
      <c r="W50" s="583">
        <v>7</v>
      </c>
      <c r="X50" s="583"/>
      <c r="Y50" s="583"/>
      <c r="Z50" s="504">
        <v>4</v>
      </c>
      <c r="AA50" s="504">
        <v>4</v>
      </c>
      <c r="AB50" s="504">
        <v>4</v>
      </c>
      <c r="AC50" s="509">
        <v>4</v>
      </c>
      <c r="AD50" s="504">
        <v>4</v>
      </c>
      <c r="AE50" s="504"/>
      <c r="AF50" s="504"/>
    </row>
    <row r="51" spans="1:32" ht="18" customHeight="1">
      <c r="A51" s="4235">
        <v>8</v>
      </c>
      <c r="B51" s="4158" t="s">
        <v>96</v>
      </c>
      <c r="C51" s="4160"/>
      <c r="D51" s="4160"/>
      <c r="E51" s="4160">
        <v>11</v>
      </c>
      <c r="F51" s="4160">
        <v>11</v>
      </c>
      <c r="G51" s="4160">
        <v>11</v>
      </c>
      <c r="H51" s="4160">
        <v>11</v>
      </c>
      <c r="I51" s="4160">
        <v>11</v>
      </c>
      <c r="J51" s="4160" t="s">
        <v>87</v>
      </c>
      <c r="K51" s="4160" t="s">
        <v>87</v>
      </c>
      <c r="L51" s="4160" t="s">
        <v>46</v>
      </c>
      <c r="M51" s="4160" t="s">
        <v>46</v>
      </c>
      <c r="N51" s="4160" t="s">
        <v>46</v>
      </c>
      <c r="O51" s="4160" t="s">
        <v>46</v>
      </c>
      <c r="P51" s="4160" t="s">
        <v>46</v>
      </c>
      <c r="Q51" s="4160" t="s">
        <v>89</v>
      </c>
      <c r="R51" s="4160" t="s">
        <v>89</v>
      </c>
      <c r="S51" s="4160">
        <v>8</v>
      </c>
      <c r="T51" s="4160">
        <v>8</v>
      </c>
      <c r="U51" s="4160">
        <v>8</v>
      </c>
      <c r="V51" s="4160">
        <v>8</v>
      </c>
      <c r="W51" s="4160">
        <v>8</v>
      </c>
      <c r="X51" s="4160"/>
      <c r="Y51" s="4252"/>
      <c r="Z51" s="4252" t="s">
        <v>46</v>
      </c>
      <c r="AA51" s="4252" t="s">
        <v>46</v>
      </c>
      <c r="AB51" s="4252" t="s">
        <v>46</v>
      </c>
      <c r="AC51" s="4252" t="s">
        <v>46</v>
      </c>
      <c r="AD51" s="4174" t="s">
        <v>46</v>
      </c>
      <c r="AE51" s="4174"/>
      <c r="AF51" s="4253"/>
    </row>
    <row r="52" spans="1:32" ht="18" customHeight="1">
      <c r="A52" s="4238">
        <v>13</v>
      </c>
      <c r="B52" s="4236" t="s">
        <v>147</v>
      </c>
      <c r="C52" s="4254"/>
      <c r="D52" s="4254"/>
      <c r="E52" s="4254">
        <v>9</v>
      </c>
      <c r="F52" s="4254">
        <v>9</v>
      </c>
      <c r="G52" s="4254">
        <v>9</v>
      </c>
      <c r="H52" s="4247">
        <v>9</v>
      </c>
      <c r="I52" s="4254">
        <v>9</v>
      </c>
      <c r="J52" s="4254" t="s">
        <v>52</v>
      </c>
      <c r="K52" s="4254" t="s">
        <v>52</v>
      </c>
      <c r="L52" s="4255" t="s">
        <v>46</v>
      </c>
      <c r="M52" s="4199" t="s">
        <v>46</v>
      </c>
      <c r="N52" s="4255" t="s">
        <v>46</v>
      </c>
      <c r="O52" s="4255" t="s">
        <v>46</v>
      </c>
      <c r="P52" s="4255" t="s">
        <v>46</v>
      </c>
      <c r="Q52" s="4256" t="s">
        <v>91</v>
      </c>
      <c r="R52" s="4257" t="s">
        <v>89</v>
      </c>
      <c r="S52" s="4257">
        <v>6</v>
      </c>
      <c r="T52" s="4257" t="s">
        <v>562</v>
      </c>
      <c r="U52" s="4199">
        <v>6</v>
      </c>
      <c r="V52" s="4256">
        <v>6</v>
      </c>
      <c r="W52" s="4256">
        <v>6</v>
      </c>
      <c r="X52" s="4199"/>
      <c r="Y52" s="4198"/>
      <c r="Z52" s="4199" t="s">
        <v>46</v>
      </c>
      <c r="AA52" s="4199" t="s">
        <v>46</v>
      </c>
      <c r="AB52" s="4199" t="s">
        <v>46</v>
      </c>
      <c r="AC52" s="4199" t="s">
        <v>46</v>
      </c>
      <c r="AD52" s="4199" t="s">
        <v>46</v>
      </c>
      <c r="AE52" s="4247"/>
      <c r="AF52" s="4199"/>
    </row>
    <row r="53" spans="1:32" ht="18" customHeight="1">
      <c r="A53" s="3087">
        <v>4</v>
      </c>
      <c r="B53" s="3035" t="s">
        <v>99</v>
      </c>
      <c r="C53" s="501" t="s">
        <v>53</v>
      </c>
      <c r="D53" s="508" t="s">
        <v>53</v>
      </c>
      <c r="E53" s="504" t="s">
        <v>46</v>
      </c>
      <c r="F53" s="504" t="s">
        <v>46</v>
      </c>
      <c r="G53" s="504" t="s">
        <v>46</v>
      </c>
      <c r="H53" s="504" t="s">
        <v>46</v>
      </c>
      <c r="I53" s="504" t="s">
        <v>46</v>
      </c>
      <c r="J53" s="508" t="s">
        <v>86</v>
      </c>
      <c r="K53" s="508" t="s">
        <v>86</v>
      </c>
      <c r="L53" s="617">
        <v>7</v>
      </c>
      <c r="M53" s="617">
        <v>7</v>
      </c>
      <c r="N53" s="617">
        <v>7</v>
      </c>
      <c r="O53" s="617">
        <v>7</v>
      </c>
      <c r="P53" s="617">
        <v>7</v>
      </c>
      <c r="Q53" s="508"/>
      <c r="R53" s="504"/>
      <c r="S53" s="863">
        <v>4</v>
      </c>
      <c r="T53" s="617">
        <v>4</v>
      </c>
      <c r="U53" s="502">
        <v>4</v>
      </c>
      <c r="V53" s="502">
        <v>4</v>
      </c>
      <c r="W53" s="502">
        <v>4</v>
      </c>
      <c r="X53" s="501"/>
      <c r="Y53" s="504"/>
      <c r="Z53" s="614">
        <v>3</v>
      </c>
      <c r="AA53" s="614">
        <v>3</v>
      </c>
      <c r="AB53" s="614">
        <v>3</v>
      </c>
      <c r="AC53" s="618">
        <v>3</v>
      </c>
      <c r="AD53" s="614">
        <v>3</v>
      </c>
      <c r="AE53" s="504"/>
      <c r="AF53" s="504"/>
    </row>
    <row r="54" spans="1:32" ht="18" customHeight="1">
      <c r="A54" s="4235">
        <v>9</v>
      </c>
      <c r="B54" s="4158" t="s">
        <v>101</v>
      </c>
      <c r="C54" s="4160" t="s">
        <v>87</v>
      </c>
      <c r="D54" s="4160" t="s">
        <v>87</v>
      </c>
      <c r="E54" s="4160" t="s">
        <v>46</v>
      </c>
      <c r="F54" s="4160" t="s">
        <v>46</v>
      </c>
      <c r="G54" s="4160" t="s">
        <v>46</v>
      </c>
      <c r="H54" s="4160" t="s">
        <v>46</v>
      </c>
      <c r="I54" s="4161" t="s">
        <v>46</v>
      </c>
      <c r="J54" s="4160" t="s">
        <v>89</v>
      </c>
      <c r="K54" s="4160" t="s">
        <v>89</v>
      </c>
      <c r="L54" s="4160">
        <v>8</v>
      </c>
      <c r="M54" s="4160">
        <v>8</v>
      </c>
      <c r="N54" s="4174">
        <v>8</v>
      </c>
      <c r="O54" s="4160">
        <v>8</v>
      </c>
      <c r="P54" s="4160">
        <v>8</v>
      </c>
      <c r="Q54" s="4160"/>
      <c r="R54" s="4160"/>
      <c r="S54" s="4160" t="s">
        <v>46</v>
      </c>
      <c r="T54" s="4160" t="s">
        <v>46</v>
      </c>
      <c r="U54" s="4160" t="s">
        <v>46</v>
      </c>
      <c r="V54" s="4252" t="s">
        <v>46</v>
      </c>
      <c r="W54" s="4252" t="s">
        <v>46</v>
      </c>
      <c r="X54" s="4168"/>
      <c r="Y54" s="4252"/>
      <c r="Z54" s="4252">
        <v>1</v>
      </c>
      <c r="AA54" s="4252">
        <v>1</v>
      </c>
      <c r="AB54" s="4252">
        <v>1</v>
      </c>
      <c r="AC54" s="4252">
        <v>1</v>
      </c>
      <c r="AD54" s="4174">
        <v>1</v>
      </c>
      <c r="AE54" s="4174"/>
      <c r="AF54" s="4253"/>
    </row>
    <row r="55" spans="1:32" ht="18" customHeight="1">
      <c r="A55" s="4238">
        <v>14</v>
      </c>
      <c r="B55" s="4183" t="s">
        <v>102</v>
      </c>
      <c r="C55" s="4198" t="s">
        <v>52</v>
      </c>
      <c r="D55" s="4198" t="s">
        <v>52</v>
      </c>
      <c r="E55" s="4199" t="s">
        <v>46</v>
      </c>
      <c r="F55" s="4199" t="s">
        <v>46</v>
      </c>
      <c r="G55" s="4199" t="s">
        <v>46</v>
      </c>
      <c r="H55" s="4199" t="s">
        <v>46</v>
      </c>
      <c r="I55" s="4199" t="s">
        <v>46</v>
      </c>
      <c r="J55" s="4198" t="s">
        <v>91</v>
      </c>
      <c r="K55" s="4199" t="s">
        <v>89</v>
      </c>
      <c r="L55" s="4255">
        <v>6</v>
      </c>
      <c r="M55" s="4199">
        <v>6</v>
      </c>
      <c r="N55" s="4255">
        <v>6</v>
      </c>
      <c r="O55" s="4255">
        <v>6</v>
      </c>
      <c r="P55" s="4255">
        <v>6</v>
      </c>
      <c r="Q55" s="4199"/>
      <c r="R55" s="4199"/>
      <c r="S55" s="4247" t="s">
        <v>46</v>
      </c>
      <c r="T55" s="4247" t="s">
        <v>46</v>
      </c>
      <c r="U55" s="4247" t="s">
        <v>46</v>
      </c>
      <c r="V55" s="4247" t="s">
        <v>46</v>
      </c>
      <c r="W55" s="4247" t="s">
        <v>46</v>
      </c>
      <c r="X55" s="4247"/>
      <c r="Y55" s="4247"/>
      <c r="Z55" s="4258">
        <v>5</v>
      </c>
      <c r="AA55" s="4258">
        <v>5</v>
      </c>
      <c r="AB55" s="4258">
        <v>5</v>
      </c>
      <c r="AC55" s="4258">
        <v>5</v>
      </c>
      <c r="AD55" s="4258">
        <v>5</v>
      </c>
      <c r="AE55" s="4258"/>
      <c r="AF55" s="4258"/>
    </row>
    <row r="56" spans="1:32" ht="18" customHeight="1">
      <c r="A56" s="3087">
        <v>5</v>
      </c>
      <c r="B56" s="4259" t="s">
        <v>190</v>
      </c>
      <c r="C56" s="3089" t="s">
        <v>86</v>
      </c>
      <c r="D56" s="2989" t="s">
        <v>86</v>
      </c>
      <c r="E56" s="2989">
        <v>7</v>
      </c>
      <c r="F56" s="2989">
        <v>7</v>
      </c>
      <c r="G56" s="2989">
        <v>7</v>
      </c>
      <c r="H56" s="2989">
        <v>7</v>
      </c>
      <c r="I56" s="2989">
        <v>7</v>
      </c>
      <c r="J56" s="3940"/>
      <c r="K56" s="3940"/>
      <c r="L56" s="4260">
        <v>4</v>
      </c>
      <c r="M56" s="4260">
        <v>4</v>
      </c>
      <c r="N56" s="4261">
        <v>4</v>
      </c>
      <c r="O56" s="4262">
        <v>4</v>
      </c>
      <c r="P56" s="4260">
        <v>4</v>
      </c>
      <c r="Q56" s="4260"/>
      <c r="R56" s="4262"/>
      <c r="S56" s="4260">
        <v>3</v>
      </c>
      <c r="T56" s="4260">
        <v>3</v>
      </c>
      <c r="U56" s="4263">
        <v>3</v>
      </c>
      <c r="V56" s="4263">
        <v>3</v>
      </c>
      <c r="W56" s="4260">
        <v>3</v>
      </c>
      <c r="X56" s="3090"/>
      <c r="Y56" s="3112"/>
      <c r="Z56" s="3090">
        <v>11</v>
      </c>
      <c r="AA56" s="3090">
        <v>11</v>
      </c>
      <c r="AB56" s="3090">
        <v>11</v>
      </c>
      <c r="AC56" s="3090">
        <v>11</v>
      </c>
      <c r="AD56" s="3088">
        <v>11</v>
      </c>
      <c r="AE56" s="3088" t="s">
        <v>87</v>
      </c>
      <c r="AF56" s="3089" t="s">
        <v>87</v>
      </c>
    </row>
    <row r="57" spans="1:32" ht="18" customHeight="1">
      <c r="A57" s="4235">
        <v>10</v>
      </c>
      <c r="B57" s="4158" t="s">
        <v>105</v>
      </c>
      <c r="C57" s="4174" t="s">
        <v>89</v>
      </c>
      <c r="D57" s="4174" t="s">
        <v>89</v>
      </c>
      <c r="E57" s="4174">
        <v>8</v>
      </c>
      <c r="F57" s="4174">
        <v>8</v>
      </c>
      <c r="G57" s="4174">
        <v>8</v>
      </c>
      <c r="H57" s="4174">
        <v>8</v>
      </c>
      <c r="I57" s="4161">
        <v>8</v>
      </c>
      <c r="J57" s="4161"/>
      <c r="K57" s="4161"/>
      <c r="L57" s="4161" t="s">
        <v>46</v>
      </c>
      <c r="M57" s="4161" t="s">
        <v>46</v>
      </c>
      <c r="N57" s="4161" t="s">
        <v>46</v>
      </c>
      <c r="O57" s="4174" t="s">
        <v>46</v>
      </c>
      <c r="P57" s="4174" t="s">
        <v>46</v>
      </c>
      <c r="Q57" s="4174"/>
      <c r="R57" s="4174"/>
      <c r="S57" s="4174">
        <v>1</v>
      </c>
      <c r="T57" s="4161">
        <v>1</v>
      </c>
      <c r="U57" s="4161">
        <v>1</v>
      </c>
      <c r="V57" s="4160">
        <v>1</v>
      </c>
      <c r="W57" s="4264">
        <v>1</v>
      </c>
      <c r="X57" s="4160"/>
      <c r="Y57" s="4160"/>
      <c r="Z57" s="4171">
        <v>9</v>
      </c>
      <c r="AA57" s="4171">
        <v>9</v>
      </c>
      <c r="AB57" s="4171">
        <v>9</v>
      </c>
      <c r="AC57" s="4171">
        <v>9</v>
      </c>
      <c r="AD57" s="4171">
        <v>9</v>
      </c>
      <c r="AE57" s="4171" t="s">
        <v>52</v>
      </c>
      <c r="AF57" s="4171" t="s">
        <v>52</v>
      </c>
    </row>
    <row r="58" spans="1:32" ht="18" customHeight="1">
      <c r="A58" s="4238">
        <v>15</v>
      </c>
      <c r="B58" s="3999" t="s">
        <v>134</v>
      </c>
      <c r="C58" s="4256" t="s">
        <v>91</v>
      </c>
      <c r="D58" s="4256" t="s">
        <v>89</v>
      </c>
      <c r="E58" s="4256">
        <v>6</v>
      </c>
      <c r="F58" s="4265">
        <v>6</v>
      </c>
      <c r="G58" s="4265">
        <v>6</v>
      </c>
      <c r="H58" s="4265">
        <v>6</v>
      </c>
      <c r="I58" s="4265">
        <v>6</v>
      </c>
      <c r="J58" s="4265"/>
      <c r="K58" s="4266"/>
      <c r="L58" s="4256" t="s">
        <v>46</v>
      </c>
      <c r="M58" s="4256" t="s">
        <v>46</v>
      </c>
      <c r="N58" s="4256" t="s">
        <v>46</v>
      </c>
      <c r="O58" s="4267" t="s">
        <v>46</v>
      </c>
      <c r="P58" s="4267" t="s">
        <v>46</v>
      </c>
      <c r="Q58" s="4267"/>
      <c r="R58" s="4267"/>
      <c r="S58" s="4268">
        <v>5</v>
      </c>
      <c r="T58" s="4199">
        <v>6</v>
      </c>
      <c r="U58" s="4269">
        <v>5</v>
      </c>
      <c r="V58" s="4270">
        <v>5</v>
      </c>
      <c r="W58" s="4270">
        <v>5</v>
      </c>
      <c r="X58" s="4199"/>
      <c r="Y58" s="4198"/>
      <c r="Z58" s="4199">
        <v>10</v>
      </c>
      <c r="AA58" s="4199">
        <v>10</v>
      </c>
      <c r="AB58" s="4199">
        <v>10</v>
      </c>
      <c r="AC58" s="4199">
        <v>10</v>
      </c>
      <c r="AD58" s="4199">
        <v>10</v>
      </c>
      <c r="AE58" s="4198" t="s">
        <v>53</v>
      </c>
      <c r="AF58" s="4198" t="s">
        <v>53</v>
      </c>
    </row>
    <row r="59" spans="1:32" ht="18" customHeight="1">
      <c r="A59" s="61"/>
      <c r="B59" s="108"/>
      <c r="C59" s="4253"/>
      <c r="D59" s="4174"/>
      <c r="E59" s="4160"/>
      <c r="F59" s="4160"/>
      <c r="G59" s="108"/>
      <c r="H59" s="108"/>
      <c r="I59" s="108"/>
      <c r="J59" s="108"/>
      <c r="K59" s="108"/>
      <c r="L59" s="4160"/>
      <c r="M59" s="4160"/>
      <c r="N59" s="108"/>
      <c r="O59" s="108"/>
      <c r="P59" s="4160"/>
      <c r="Q59" s="4160"/>
      <c r="R59" s="4160"/>
      <c r="S59" s="108"/>
      <c r="T59" s="108"/>
      <c r="U59" s="4253"/>
      <c r="V59" s="4253"/>
      <c r="W59" s="4160"/>
      <c r="X59" s="4160"/>
      <c r="Y59" s="4252"/>
      <c r="Z59" s="4252"/>
      <c r="AA59" s="4252"/>
      <c r="AB59" s="4252"/>
      <c r="AC59" s="4252"/>
      <c r="AD59" s="4252"/>
      <c r="AE59" s="4252"/>
      <c r="AF59" s="4252"/>
    </row>
    <row r="60" spans="1:32" ht="18" customHeight="1">
      <c r="A60" s="67"/>
      <c r="B60" s="42" t="s">
        <v>107</v>
      </c>
      <c r="D60" s="64"/>
      <c r="E60" s="64"/>
      <c r="F60" s="64"/>
      <c r="G60" s="64"/>
      <c r="H60" s="110"/>
      <c r="I60" s="64"/>
      <c r="J60" s="64"/>
      <c r="K60" s="64"/>
      <c r="L60" s="64"/>
      <c r="M60" s="64"/>
      <c r="N60" s="64"/>
      <c r="O60" s="64"/>
      <c r="P60" s="64"/>
      <c r="Q60" s="64"/>
      <c r="R60" s="64"/>
      <c r="S60" s="64"/>
      <c r="T60" s="64"/>
      <c r="U60" s="64"/>
      <c r="V60" s="64"/>
      <c r="W60" s="64"/>
      <c r="X60" s="64"/>
      <c r="Y60" s="64"/>
      <c r="Z60" s="64"/>
      <c r="AA60" s="64"/>
      <c r="AB60" s="64"/>
      <c r="AC60" s="64"/>
      <c r="AD60" s="64"/>
      <c r="AE60" s="64"/>
      <c r="AF60" s="64"/>
    </row>
    <row r="61" spans="1:32" ht="15.75" thickBot="1">
      <c r="S61" s="300" t="s">
        <v>559</v>
      </c>
      <c r="T61" s="299"/>
      <c r="U61" s="299"/>
      <c r="V61" s="299"/>
      <c r="W61" s="299"/>
    </row>
    <row r="62" spans="1:32" ht="18" customHeight="1">
      <c r="B62" s="4271" t="s">
        <v>38</v>
      </c>
      <c r="C62" s="2986">
        <v>1</v>
      </c>
      <c r="D62" s="2986">
        <v>2</v>
      </c>
      <c r="E62" s="2985">
        <v>3</v>
      </c>
      <c r="F62" s="2985">
        <v>4</v>
      </c>
      <c r="G62" s="2985">
        <v>5</v>
      </c>
      <c r="H62" s="2985">
        <v>6</v>
      </c>
      <c r="I62" s="2985">
        <v>7</v>
      </c>
      <c r="J62" s="2986">
        <v>8</v>
      </c>
      <c r="K62" s="2986">
        <v>9</v>
      </c>
      <c r="L62" s="2985">
        <v>10</v>
      </c>
      <c r="M62" s="2985">
        <v>11</v>
      </c>
      <c r="N62" s="2985">
        <v>12</v>
      </c>
      <c r="O62" s="2985">
        <v>13</v>
      </c>
      <c r="P62" s="2985">
        <v>14</v>
      </c>
      <c r="Q62" s="2986">
        <v>15</v>
      </c>
      <c r="R62" s="2986">
        <v>16</v>
      </c>
      <c r="S62" s="2985">
        <v>17</v>
      </c>
      <c r="T62" s="2985">
        <v>18</v>
      </c>
      <c r="U62" s="2985">
        <v>19</v>
      </c>
      <c r="V62" s="2985">
        <v>20</v>
      </c>
      <c r="W62" s="2985">
        <v>21</v>
      </c>
      <c r="X62" s="2986">
        <v>22</v>
      </c>
      <c r="Y62" s="2986">
        <v>23</v>
      </c>
      <c r="Z62" s="2985">
        <v>24</v>
      </c>
      <c r="AA62" s="2985">
        <v>25</v>
      </c>
      <c r="AB62" s="2985">
        <v>26</v>
      </c>
      <c r="AC62" s="2985">
        <v>27</v>
      </c>
      <c r="AD62" s="2985">
        <v>28</v>
      </c>
      <c r="AE62" s="2986">
        <v>29</v>
      </c>
      <c r="AF62" s="2986">
        <v>30</v>
      </c>
    </row>
    <row r="63" spans="1:32" ht="18" customHeight="1">
      <c r="B63" s="4022" t="s">
        <v>112</v>
      </c>
      <c r="C63" s="4171"/>
      <c r="D63" s="4171"/>
      <c r="E63" s="4171" t="s">
        <v>40</v>
      </c>
      <c r="F63" s="4171" t="s">
        <v>40</v>
      </c>
      <c r="G63" s="4171" t="s">
        <v>40</v>
      </c>
      <c r="H63" s="3927" t="s">
        <v>40</v>
      </c>
      <c r="I63" s="3927" t="s">
        <v>40</v>
      </c>
      <c r="J63" s="4272"/>
      <c r="K63" s="4273"/>
      <c r="L63" s="4168" t="s">
        <v>475</v>
      </c>
      <c r="M63" s="4274" t="s">
        <v>475</v>
      </c>
      <c r="N63" s="4168" t="s">
        <v>40</v>
      </c>
      <c r="O63" s="4168" t="s">
        <v>475</v>
      </c>
      <c r="P63" s="4275" t="s">
        <v>475</v>
      </c>
      <c r="Q63" s="4174"/>
      <c r="R63" s="4174"/>
      <c r="S63" s="4168" t="s">
        <v>475</v>
      </c>
      <c r="T63" s="4168" t="s">
        <v>40</v>
      </c>
      <c r="U63" s="4168" t="s">
        <v>475</v>
      </c>
      <c r="V63" s="4168" t="s">
        <v>475</v>
      </c>
      <c r="W63" s="4168" t="s">
        <v>475</v>
      </c>
      <c r="X63" s="4160"/>
      <c r="Y63" s="4160"/>
      <c r="Z63" s="4168" t="s">
        <v>475</v>
      </c>
      <c r="AA63" s="4168" t="s">
        <v>475</v>
      </c>
      <c r="AB63" s="4168" t="s">
        <v>475</v>
      </c>
      <c r="AC63" s="4168" t="s">
        <v>475</v>
      </c>
      <c r="AD63" s="4168" t="s">
        <v>475</v>
      </c>
      <c r="AE63" s="4264"/>
      <c r="AF63" s="4160"/>
    </row>
    <row r="64" spans="1:32" ht="18" customHeight="1">
      <c r="B64" s="4022" t="s">
        <v>114</v>
      </c>
      <c r="C64" s="4264"/>
      <c r="D64" s="4264"/>
      <c r="E64" s="4168" t="s">
        <v>418</v>
      </c>
      <c r="F64" s="4168" t="s">
        <v>418</v>
      </c>
      <c r="G64" s="4168" t="s">
        <v>46</v>
      </c>
      <c r="H64" s="4168" t="s">
        <v>46</v>
      </c>
      <c r="I64" s="4275"/>
      <c r="J64" s="1586" t="s">
        <v>61</v>
      </c>
      <c r="K64" s="1586" t="s">
        <v>61</v>
      </c>
      <c r="L64" s="4276" t="s">
        <v>46</v>
      </c>
      <c r="M64" s="4276" t="s">
        <v>46</v>
      </c>
      <c r="N64" s="4276" t="s">
        <v>46</v>
      </c>
      <c r="O64" s="926" t="s">
        <v>61</v>
      </c>
      <c r="P64" s="926" t="s">
        <v>61</v>
      </c>
      <c r="Q64" s="4174"/>
      <c r="R64" s="4277"/>
      <c r="S64" s="4278">
        <v>5</v>
      </c>
      <c r="T64" s="4279">
        <v>5</v>
      </c>
      <c r="U64" s="4278">
        <v>5</v>
      </c>
      <c r="V64" s="4278">
        <v>5</v>
      </c>
      <c r="W64" s="4278">
        <v>5</v>
      </c>
      <c r="X64" s="4160"/>
      <c r="Y64" s="4160">
        <v>26</v>
      </c>
      <c r="Z64" s="4160">
        <v>26</v>
      </c>
      <c r="AA64" s="4160">
        <v>26</v>
      </c>
      <c r="AB64" s="4264">
        <v>26</v>
      </c>
      <c r="AC64" s="4160">
        <v>26</v>
      </c>
      <c r="AD64" s="4264">
        <v>26</v>
      </c>
      <c r="AE64" s="4160" t="s">
        <v>0</v>
      </c>
      <c r="AF64" s="4160"/>
    </row>
    <row r="65" spans="2:32" ht="18" customHeight="1">
      <c r="B65" s="4022" t="s">
        <v>115</v>
      </c>
      <c r="C65" s="4160"/>
      <c r="D65" s="4160"/>
      <c r="E65" s="4168" t="s">
        <v>46</v>
      </c>
      <c r="F65" s="3995" t="s">
        <v>118</v>
      </c>
      <c r="G65" s="3995" t="s">
        <v>118</v>
      </c>
      <c r="H65" s="3995" t="s">
        <v>118</v>
      </c>
      <c r="I65" s="4280" t="s">
        <v>118</v>
      </c>
      <c r="J65" s="3995" t="s">
        <v>118</v>
      </c>
      <c r="K65" s="3995" t="s">
        <v>118</v>
      </c>
      <c r="L65" s="4163" t="s">
        <v>46</v>
      </c>
      <c r="M65" s="4163" t="s">
        <v>143</v>
      </c>
      <c r="N65" s="3969" t="s">
        <v>46</v>
      </c>
      <c r="O65" s="4160" t="s">
        <v>40</v>
      </c>
      <c r="P65" s="4160" t="s">
        <v>40</v>
      </c>
      <c r="Q65" s="4174"/>
      <c r="R65" s="4174"/>
      <c r="S65" s="4281" t="s">
        <v>418</v>
      </c>
      <c r="T65" s="4281" t="s">
        <v>418</v>
      </c>
      <c r="U65" s="4252" t="s">
        <v>46</v>
      </c>
      <c r="V65" s="4252" t="s">
        <v>46</v>
      </c>
      <c r="W65" s="4252" t="s">
        <v>46</v>
      </c>
      <c r="X65" s="4160"/>
      <c r="Y65" s="4160"/>
      <c r="Z65" s="4282">
        <v>21</v>
      </c>
      <c r="AA65" s="4283">
        <v>21</v>
      </c>
      <c r="AB65" s="4283">
        <v>21</v>
      </c>
      <c r="AC65" s="4283">
        <v>21</v>
      </c>
      <c r="AD65" s="4283">
        <v>21</v>
      </c>
      <c r="AE65" s="4284">
        <v>21</v>
      </c>
      <c r="AF65" s="4284">
        <v>21</v>
      </c>
    </row>
    <row r="66" spans="2:32" ht="18" customHeight="1">
      <c r="B66" s="4022" t="s">
        <v>117</v>
      </c>
      <c r="C66" s="4160"/>
      <c r="D66" s="4160"/>
      <c r="E66" s="3925" t="s">
        <v>46</v>
      </c>
      <c r="F66" s="3925" t="s">
        <v>113</v>
      </c>
      <c r="G66" s="3925" t="s">
        <v>113</v>
      </c>
      <c r="H66" s="4192" t="s">
        <v>113</v>
      </c>
      <c r="I66" s="3925" t="s">
        <v>373</v>
      </c>
      <c r="J66" s="4175"/>
      <c r="K66" s="4180"/>
      <c r="L66" s="4175">
        <v>11</v>
      </c>
      <c r="M66" s="4175">
        <v>11</v>
      </c>
      <c r="N66" s="4285" t="s">
        <v>40</v>
      </c>
      <c r="O66" s="4175" t="s">
        <v>40</v>
      </c>
      <c r="P66" s="4175" t="s">
        <v>40</v>
      </c>
      <c r="Q66" s="4175" t="s">
        <v>87</v>
      </c>
      <c r="R66" s="4175" t="s">
        <v>87</v>
      </c>
      <c r="S66" s="4252" t="s">
        <v>46</v>
      </c>
      <c r="T66" s="4252" t="s">
        <v>46</v>
      </c>
      <c r="U66" s="4252" t="s">
        <v>46</v>
      </c>
      <c r="V66" s="4161" t="s">
        <v>46</v>
      </c>
      <c r="W66" s="4168" t="s">
        <v>46</v>
      </c>
      <c r="X66" s="4168" t="s">
        <v>0</v>
      </c>
      <c r="Y66" s="4168" t="s">
        <v>0</v>
      </c>
      <c r="Z66" s="4278">
        <v>5</v>
      </c>
      <c r="AA66" s="4278">
        <v>5</v>
      </c>
      <c r="AB66" s="4278">
        <v>5</v>
      </c>
      <c r="AC66" s="4278">
        <v>5</v>
      </c>
      <c r="AD66" s="4278">
        <v>5</v>
      </c>
      <c r="AE66" s="4160"/>
      <c r="AF66" s="108" t="s">
        <v>0</v>
      </c>
    </row>
    <row r="67" spans="2:32" ht="18" customHeight="1">
      <c r="B67" s="4022" t="s">
        <v>119</v>
      </c>
      <c r="C67" s="4171"/>
      <c r="D67" s="4171"/>
      <c r="E67" s="4286" t="s">
        <v>40</v>
      </c>
      <c r="F67" s="4286" t="s">
        <v>40</v>
      </c>
      <c r="G67" s="4286" t="s">
        <v>40</v>
      </c>
      <c r="H67" s="4287" t="s">
        <v>40</v>
      </c>
      <c r="I67" s="4286" t="s">
        <v>40</v>
      </c>
      <c r="J67" s="4286"/>
      <c r="K67" s="4286"/>
      <c r="L67" s="4168">
        <v>4</v>
      </c>
      <c r="M67" s="4168">
        <v>4</v>
      </c>
      <c r="N67" s="4168">
        <v>4</v>
      </c>
      <c r="O67" s="4168">
        <v>4</v>
      </c>
      <c r="P67" s="4168">
        <v>4</v>
      </c>
      <c r="Q67" s="4160" t="s">
        <v>0</v>
      </c>
      <c r="R67" s="4288" t="s">
        <v>0</v>
      </c>
      <c r="S67" s="4289" t="s">
        <v>40</v>
      </c>
      <c r="T67" s="4289" t="s">
        <v>40</v>
      </c>
      <c r="U67" s="4168" t="s">
        <v>40</v>
      </c>
      <c r="V67" s="4168">
        <v>25</v>
      </c>
      <c r="W67" s="4168">
        <v>25</v>
      </c>
      <c r="X67" s="4290" t="s">
        <v>139</v>
      </c>
      <c r="Y67" s="4290" t="s">
        <v>139</v>
      </c>
      <c r="Z67" s="4168">
        <v>21</v>
      </c>
      <c r="AA67" s="4168" t="s">
        <v>46</v>
      </c>
      <c r="AB67" s="4173" t="s">
        <v>46</v>
      </c>
      <c r="AC67" s="4173" t="s">
        <v>40</v>
      </c>
      <c r="AD67" s="4173" t="s">
        <v>40</v>
      </c>
      <c r="AE67" s="4160"/>
      <c r="AF67" s="4160"/>
    </row>
    <row r="68" spans="2:32" ht="18" customHeight="1">
      <c r="B68" s="4022" t="s">
        <v>122</v>
      </c>
      <c r="C68" s="4160"/>
      <c r="D68" s="4264"/>
      <c r="E68" s="4168" t="s">
        <v>116</v>
      </c>
      <c r="F68" s="4168" t="s">
        <v>116</v>
      </c>
      <c r="G68" s="4168" t="s">
        <v>116</v>
      </c>
      <c r="H68" s="4168" t="s">
        <v>116</v>
      </c>
      <c r="I68" s="4168" t="s">
        <v>116</v>
      </c>
      <c r="J68" s="4281" t="s">
        <v>0</v>
      </c>
      <c r="K68" s="4290" t="s">
        <v>0</v>
      </c>
      <c r="L68" s="4168" t="s">
        <v>116</v>
      </c>
      <c r="M68" s="4168" t="s">
        <v>116</v>
      </c>
      <c r="N68" s="4168" t="s">
        <v>116</v>
      </c>
      <c r="O68" s="4168" t="s">
        <v>116</v>
      </c>
      <c r="P68" s="4168" t="s">
        <v>116</v>
      </c>
      <c r="Q68" s="4291" t="s">
        <v>0</v>
      </c>
      <c r="R68" s="933"/>
      <c r="S68" s="875" t="s">
        <v>116</v>
      </c>
      <c r="T68" s="4292" t="s">
        <v>116</v>
      </c>
      <c r="U68" s="4168" t="s">
        <v>116</v>
      </c>
      <c r="V68" s="4168" t="s">
        <v>116</v>
      </c>
      <c r="W68" s="4168" t="s">
        <v>116</v>
      </c>
      <c r="X68" s="4293"/>
      <c r="Y68" s="4293"/>
      <c r="Z68" s="4168" t="s">
        <v>116</v>
      </c>
      <c r="AA68" s="4168" t="s">
        <v>116</v>
      </c>
      <c r="AB68" s="4168" t="s">
        <v>116</v>
      </c>
      <c r="AC68" s="4168" t="s">
        <v>116</v>
      </c>
      <c r="AD68" s="4168" t="s">
        <v>116</v>
      </c>
      <c r="AE68" s="4294" t="s">
        <v>0</v>
      </c>
      <c r="AF68" s="4294" t="s">
        <v>0</v>
      </c>
    </row>
    <row r="69" spans="2:32" ht="18" customHeight="1">
      <c r="B69" s="4022" t="s">
        <v>129</v>
      </c>
      <c r="C69" s="4160"/>
      <c r="D69" s="4160"/>
      <c r="E69" s="4168">
        <v>6</v>
      </c>
      <c r="F69" s="4168">
        <v>6</v>
      </c>
      <c r="G69" s="4160">
        <v>6</v>
      </c>
      <c r="H69" s="4160">
        <v>6</v>
      </c>
      <c r="I69" s="4160">
        <v>6</v>
      </c>
      <c r="J69" s="4160" t="s">
        <v>429</v>
      </c>
      <c r="K69" s="4160"/>
      <c r="L69" s="4168" t="s">
        <v>46</v>
      </c>
      <c r="M69" s="4168" t="s">
        <v>130</v>
      </c>
      <c r="N69" s="4160" t="s">
        <v>130</v>
      </c>
      <c r="O69" s="4160" t="s">
        <v>130</v>
      </c>
      <c r="P69" s="4295" t="s">
        <v>152</v>
      </c>
      <c r="Q69" s="4174"/>
      <c r="R69" s="508"/>
      <c r="S69" s="501">
        <v>3</v>
      </c>
      <c r="T69" s="4168">
        <v>3</v>
      </c>
      <c r="U69" s="4168">
        <v>3</v>
      </c>
      <c r="V69" s="4160">
        <v>3</v>
      </c>
      <c r="W69" s="4163">
        <v>3</v>
      </c>
      <c r="X69" s="4163"/>
      <c r="Y69" s="4163" t="s">
        <v>376</v>
      </c>
      <c r="Z69" s="4168" t="s">
        <v>152</v>
      </c>
      <c r="AA69" s="4168" t="s">
        <v>152</v>
      </c>
      <c r="AB69" s="4168" t="s">
        <v>152</v>
      </c>
      <c r="AC69" s="4168" t="s">
        <v>152</v>
      </c>
      <c r="AD69" s="4168" t="s">
        <v>152</v>
      </c>
      <c r="AE69" s="4160"/>
      <c r="AF69" s="4160"/>
    </row>
    <row r="70" spans="2:32" ht="18" customHeight="1">
      <c r="B70" s="4158" t="s">
        <v>103</v>
      </c>
      <c r="C70" s="4288"/>
      <c r="D70" s="4288"/>
      <c r="E70" s="4296">
        <v>89</v>
      </c>
      <c r="F70" s="4296">
        <v>89</v>
      </c>
      <c r="G70" s="4296">
        <v>89</v>
      </c>
      <c r="H70" s="4296">
        <v>89</v>
      </c>
      <c r="I70" s="4296">
        <v>89</v>
      </c>
      <c r="J70" s="4288"/>
      <c r="K70" s="4288"/>
      <c r="L70" s="4168" t="s">
        <v>40</v>
      </c>
      <c r="M70" s="4168">
        <v>4</v>
      </c>
      <c r="N70" s="4168" t="s">
        <v>40</v>
      </c>
      <c r="O70" s="4168" t="s">
        <v>40</v>
      </c>
      <c r="P70" s="4296" t="s">
        <v>40</v>
      </c>
      <c r="Q70" s="4297"/>
      <c r="R70" s="4297"/>
      <c r="S70" s="4298" t="s">
        <v>40</v>
      </c>
      <c r="T70" s="4298" t="s">
        <v>40</v>
      </c>
      <c r="U70" s="4298" t="s">
        <v>40</v>
      </c>
      <c r="V70" s="4299" t="s">
        <v>40</v>
      </c>
      <c r="W70" s="4299" t="s">
        <v>40</v>
      </c>
      <c r="X70" s="4299"/>
      <c r="Y70" s="4299"/>
      <c r="Z70" s="4298" t="s">
        <v>40</v>
      </c>
      <c r="AA70" s="4298" t="s">
        <v>40</v>
      </c>
      <c r="AB70" s="4300" t="s">
        <v>40</v>
      </c>
      <c r="AC70" s="4300" t="s">
        <v>40</v>
      </c>
      <c r="AD70" s="4300" t="s">
        <v>40</v>
      </c>
      <c r="AE70" s="3927"/>
      <c r="AF70" s="3927"/>
    </row>
    <row r="71" spans="2:32" ht="18" customHeight="1">
      <c r="B71" s="4036" t="s">
        <v>140</v>
      </c>
      <c r="C71" s="3925"/>
      <c r="D71" s="3925"/>
      <c r="E71" s="3925" t="s">
        <v>116</v>
      </c>
      <c r="F71" s="3925">
        <v>3</v>
      </c>
      <c r="G71" s="3925">
        <v>3</v>
      </c>
      <c r="H71" s="4192">
        <v>3</v>
      </c>
      <c r="I71" s="3925" t="s">
        <v>116</v>
      </c>
      <c r="J71" s="3925"/>
      <c r="K71" s="3925"/>
      <c r="L71" s="4168" t="s">
        <v>128</v>
      </c>
      <c r="M71" s="4168" t="s">
        <v>128</v>
      </c>
      <c r="N71" s="4168" t="s">
        <v>128</v>
      </c>
      <c r="O71" s="4168" t="s">
        <v>128</v>
      </c>
      <c r="P71" s="4168" t="s">
        <v>128</v>
      </c>
      <c r="Q71" s="3925"/>
      <c r="R71" s="3925"/>
      <c r="S71" s="4168" t="s">
        <v>40</v>
      </c>
      <c r="T71" s="4168" t="s">
        <v>40</v>
      </c>
      <c r="U71" s="4168" t="s">
        <v>40</v>
      </c>
      <c r="V71" s="4168" t="s">
        <v>46</v>
      </c>
      <c r="W71" s="4168" t="s">
        <v>46</v>
      </c>
      <c r="X71" s="4281"/>
      <c r="Y71" s="4290"/>
      <c r="Z71" s="327">
        <v>23</v>
      </c>
      <c r="AA71" s="905">
        <v>23</v>
      </c>
      <c r="AB71" s="906">
        <v>23</v>
      </c>
      <c r="AC71" s="3925">
        <v>21</v>
      </c>
      <c r="AD71" s="3925">
        <v>21</v>
      </c>
      <c r="AE71" s="4301">
        <v>23</v>
      </c>
      <c r="AF71" s="4160">
        <v>23</v>
      </c>
    </row>
    <row r="72" spans="2:32" ht="18" customHeight="1">
      <c r="B72" s="4302" t="s">
        <v>478</v>
      </c>
      <c r="C72" s="4199" t="s">
        <v>91</v>
      </c>
      <c r="D72" s="4199" t="s">
        <v>89</v>
      </c>
      <c r="E72" s="4168" t="s">
        <v>46</v>
      </c>
      <c r="F72" s="4168" t="s">
        <v>46</v>
      </c>
      <c r="G72" s="4303">
        <v>5</v>
      </c>
      <c r="H72" s="4303">
        <v>5</v>
      </c>
      <c r="I72" s="4303">
        <v>5</v>
      </c>
      <c r="J72" s="3925"/>
      <c r="K72" s="4276"/>
      <c r="L72" s="4304">
        <v>26</v>
      </c>
      <c r="M72" s="4304">
        <v>26</v>
      </c>
      <c r="N72" s="4304">
        <v>26</v>
      </c>
      <c r="O72" s="4304">
        <v>26</v>
      </c>
      <c r="P72" s="4304">
        <v>26</v>
      </c>
      <c r="Q72" s="3925"/>
      <c r="R72" s="3925"/>
      <c r="S72" s="4192" t="s">
        <v>46</v>
      </c>
      <c r="T72" s="4303" t="s">
        <v>113</v>
      </c>
      <c r="U72" s="343" t="s">
        <v>113</v>
      </c>
      <c r="V72" s="936" t="s">
        <v>113</v>
      </c>
      <c r="W72" s="936" t="s">
        <v>373</v>
      </c>
      <c r="X72" s="320" t="s">
        <v>373</v>
      </c>
      <c r="Y72" s="320"/>
      <c r="Z72" s="4305">
        <v>5</v>
      </c>
      <c r="AA72" s="4305">
        <v>5</v>
      </c>
      <c r="AB72" s="4305">
        <v>5</v>
      </c>
      <c r="AC72" s="4305">
        <v>5</v>
      </c>
      <c r="AD72" s="4305">
        <v>5</v>
      </c>
      <c r="AE72" s="4301"/>
      <c r="AF72" s="4160"/>
    </row>
    <row r="73" spans="2:32" ht="18" customHeight="1">
      <c r="B73" s="4036" t="s">
        <v>479</v>
      </c>
      <c r="C73" s="4160"/>
      <c r="D73" s="4160"/>
      <c r="E73" s="4168">
        <v>3</v>
      </c>
      <c r="F73" s="4168" t="s">
        <v>46</v>
      </c>
      <c r="G73" s="4168" t="s">
        <v>46</v>
      </c>
      <c r="H73" s="4306">
        <v>10</v>
      </c>
      <c r="I73" s="4306" t="s">
        <v>563</v>
      </c>
      <c r="J73" s="4160"/>
      <c r="K73" s="4160"/>
      <c r="L73" s="4269">
        <v>9</v>
      </c>
      <c r="M73" s="4269">
        <v>9</v>
      </c>
      <c r="N73" s="4269">
        <v>9</v>
      </c>
      <c r="O73" s="4269">
        <v>9</v>
      </c>
      <c r="P73" s="4269">
        <v>9</v>
      </c>
      <c r="Q73" s="4269" t="s">
        <v>52</v>
      </c>
      <c r="R73" s="4269" t="s">
        <v>53</v>
      </c>
      <c r="S73" s="4168" t="s">
        <v>46</v>
      </c>
      <c r="T73" s="4168" t="s">
        <v>46</v>
      </c>
      <c r="U73" s="4168" t="s">
        <v>46</v>
      </c>
      <c r="V73" s="4168" t="s">
        <v>46</v>
      </c>
      <c r="W73" s="4168" t="s">
        <v>159</v>
      </c>
      <c r="X73" s="4160"/>
      <c r="Y73" s="4160"/>
      <c r="Z73" s="4254">
        <v>9</v>
      </c>
      <c r="AA73" s="4254">
        <v>9</v>
      </c>
      <c r="AB73" s="4254">
        <v>9</v>
      </c>
      <c r="AC73" s="4254">
        <v>9</v>
      </c>
      <c r="AD73" s="4254">
        <v>9</v>
      </c>
      <c r="AE73" s="4254" t="s">
        <v>52</v>
      </c>
      <c r="AF73" s="4254" t="s">
        <v>52</v>
      </c>
    </row>
    <row r="74" spans="2:32" ht="18" customHeight="1">
      <c r="B74" s="4307" t="s">
        <v>564</v>
      </c>
      <c r="C74" s="4160"/>
      <c r="D74" s="4160"/>
      <c r="E74" s="4168"/>
      <c r="F74" s="4308">
        <v>99</v>
      </c>
      <c r="G74" s="4308">
        <v>79</v>
      </c>
      <c r="H74" s="4168" t="s">
        <v>40</v>
      </c>
      <c r="I74" s="4168">
        <v>3</v>
      </c>
      <c r="J74" s="4160"/>
      <c r="K74" s="4160"/>
      <c r="L74" s="4168">
        <v>21</v>
      </c>
      <c r="M74" s="4168">
        <v>21</v>
      </c>
      <c r="N74" s="4168" t="s">
        <v>46</v>
      </c>
      <c r="O74" s="4168" t="s">
        <v>40</v>
      </c>
      <c r="P74" s="4168" t="s">
        <v>130</v>
      </c>
      <c r="Q74" s="4174"/>
      <c r="R74" s="4174"/>
      <c r="S74" s="4308">
        <v>23</v>
      </c>
      <c r="T74" s="4308">
        <v>23</v>
      </c>
      <c r="U74" s="4308">
        <v>23</v>
      </c>
      <c r="V74" s="4308">
        <v>23</v>
      </c>
      <c r="W74" s="4308">
        <v>23</v>
      </c>
      <c r="X74" s="4308">
        <v>23</v>
      </c>
      <c r="Y74" s="4308">
        <v>23</v>
      </c>
      <c r="Z74" s="480" t="s">
        <v>46</v>
      </c>
      <c r="AA74" s="480" t="s">
        <v>46</v>
      </c>
      <c r="AB74" s="480" t="s">
        <v>46</v>
      </c>
      <c r="AC74" s="480" t="s">
        <v>46</v>
      </c>
      <c r="AD74" s="480" t="s">
        <v>123</v>
      </c>
      <c r="AE74" s="4160">
        <v>89</v>
      </c>
      <c r="AF74" s="4160"/>
    </row>
    <row r="75" spans="2:32" ht="18" customHeight="1">
      <c r="B75" s="4309" t="s">
        <v>565</v>
      </c>
      <c r="C75" s="4310"/>
      <c r="D75" s="4310"/>
      <c r="E75" s="4168"/>
      <c r="F75" s="4308">
        <v>79</v>
      </c>
      <c r="G75" s="4311">
        <v>99</v>
      </c>
      <c r="H75" s="4168" t="s">
        <v>46</v>
      </c>
      <c r="I75" s="4308" t="s">
        <v>373</v>
      </c>
      <c r="J75" s="4168" t="s">
        <v>373</v>
      </c>
      <c r="K75" s="4168">
        <v>23</v>
      </c>
      <c r="L75" s="3925" t="s">
        <v>46</v>
      </c>
      <c r="M75" s="3925" t="s">
        <v>46</v>
      </c>
      <c r="N75" s="3925" t="s">
        <v>46</v>
      </c>
      <c r="O75" s="3925" t="s">
        <v>46</v>
      </c>
      <c r="P75" s="4305" t="s">
        <v>139</v>
      </c>
      <c r="Q75" s="4174" t="s">
        <v>139</v>
      </c>
      <c r="R75" s="4174"/>
      <c r="S75" s="4281" t="s">
        <v>113</v>
      </c>
      <c r="T75" s="4281" t="s">
        <v>113</v>
      </c>
      <c r="U75" s="4168" t="s">
        <v>46</v>
      </c>
      <c r="V75" s="4168" t="s">
        <v>104</v>
      </c>
      <c r="W75" s="4168" t="s">
        <v>46</v>
      </c>
      <c r="X75" s="4160"/>
      <c r="Y75" s="4160" t="s">
        <v>113</v>
      </c>
      <c r="Z75" s="3969" t="s">
        <v>418</v>
      </c>
      <c r="AA75" s="3969" t="s">
        <v>418</v>
      </c>
      <c r="AB75" s="3969" t="s">
        <v>418</v>
      </c>
      <c r="AC75" s="4308">
        <v>23</v>
      </c>
      <c r="AD75" s="4308">
        <v>23</v>
      </c>
      <c r="AE75" s="950"/>
      <c r="AF75" s="950"/>
    </row>
    <row r="76" spans="2:32" ht="18" customHeight="1">
      <c r="B76" s="4309" t="s">
        <v>540</v>
      </c>
      <c r="C76" s="484"/>
      <c r="D76" s="484" t="s">
        <v>61</v>
      </c>
      <c r="E76" s="484" t="s">
        <v>61</v>
      </c>
      <c r="F76" s="484" t="s">
        <v>0</v>
      </c>
      <c r="G76" s="3991" t="s">
        <v>46</v>
      </c>
      <c r="H76" s="3991" t="s">
        <v>46</v>
      </c>
      <c r="I76" s="3991" t="s">
        <v>46</v>
      </c>
      <c r="J76" s="3991" t="s">
        <v>46</v>
      </c>
      <c r="K76" s="3991" t="s">
        <v>46</v>
      </c>
      <c r="L76" s="4290" t="s">
        <v>61</v>
      </c>
      <c r="M76" s="4290" t="s">
        <v>61</v>
      </c>
      <c r="N76" s="4290" t="s">
        <v>61</v>
      </c>
      <c r="O76" s="480" t="s">
        <v>46</v>
      </c>
      <c r="P76" s="480" t="s">
        <v>46</v>
      </c>
      <c r="Q76" s="480" t="s">
        <v>46</v>
      </c>
      <c r="R76" s="480" t="s">
        <v>46</v>
      </c>
      <c r="S76" s="480" t="s">
        <v>46</v>
      </c>
      <c r="T76" s="480" t="s">
        <v>46</v>
      </c>
      <c r="U76" s="490" t="s">
        <v>46</v>
      </c>
      <c r="V76" s="480" t="s">
        <v>46</v>
      </c>
      <c r="W76" s="480" t="s">
        <v>61</v>
      </c>
      <c r="X76" s="480" t="s">
        <v>61</v>
      </c>
      <c r="Y76" s="480" t="s">
        <v>61</v>
      </c>
      <c r="Z76" s="480" t="s">
        <v>46</v>
      </c>
      <c r="AA76" s="480" t="s">
        <v>46</v>
      </c>
      <c r="AB76" s="480" t="s">
        <v>46</v>
      </c>
      <c r="AC76" s="4281" t="s">
        <v>61</v>
      </c>
      <c r="AD76" s="4281" t="s">
        <v>61</v>
      </c>
      <c r="AE76" s="4281" t="s">
        <v>61</v>
      </c>
      <c r="AF76" s="484"/>
    </row>
    <row r="77" spans="2:32" ht="18" customHeight="1">
      <c r="B77" s="4236" t="s">
        <v>541</v>
      </c>
      <c r="C77" s="4301"/>
      <c r="D77" s="4160">
        <v>26</v>
      </c>
      <c r="E77" s="4160">
        <v>26</v>
      </c>
      <c r="F77" s="4160">
        <v>26</v>
      </c>
      <c r="G77" s="4160">
        <v>26</v>
      </c>
      <c r="H77" s="4160">
        <v>26</v>
      </c>
      <c r="I77" s="4160">
        <v>26</v>
      </c>
      <c r="J77" s="4160" t="s">
        <v>104</v>
      </c>
      <c r="K77" s="4160"/>
      <c r="L77" s="3969">
        <v>26</v>
      </c>
      <c r="M77" s="3969">
        <v>26</v>
      </c>
      <c r="N77" s="3969">
        <v>26</v>
      </c>
      <c r="O77" s="3969">
        <v>26</v>
      </c>
      <c r="P77" s="3969">
        <v>26</v>
      </c>
      <c r="Q77" s="4174"/>
      <c r="R77" s="4174"/>
      <c r="S77" s="4168" t="s">
        <v>413</v>
      </c>
      <c r="T77" s="4168">
        <v>4</v>
      </c>
      <c r="U77" s="3969">
        <v>4</v>
      </c>
      <c r="V77" s="4312">
        <v>4</v>
      </c>
      <c r="W77" s="4312">
        <v>4</v>
      </c>
      <c r="X77" s="4160"/>
      <c r="Y77" s="4160"/>
      <c r="Z77" s="4306" t="s">
        <v>525</v>
      </c>
      <c r="AA77" s="4168">
        <v>3</v>
      </c>
      <c r="AB77" s="4173">
        <v>3</v>
      </c>
      <c r="AC77" s="4313">
        <v>3</v>
      </c>
      <c r="AD77" s="4314">
        <v>3</v>
      </c>
      <c r="AE77" s="4280" t="s">
        <v>133</v>
      </c>
      <c r="AF77" s="4160"/>
    </row>
    <row r="78" spans="2:32" ht="18" customHeight="1">
      <c r="B78" s="4315" t="s">
        <v>566</v>
      </c>
      <c r="C78" s="4160"/>
      <c r="D78" s="4160"/>
      <c r="E78" s="4174"/>
      <c r="F78" s="4174"/>
      <c r="G78" s="4174"/>
      <c r="H78" s="4174"/>
      <c r="I78" s="4174"/>
      <c r="J78" s="4174"/>
      <c r="K78" s="4174"/>
      <c r="L78" s="4174"/>
      <c r="M78" s="4174"/>
      <c r="N78" s="4174"/>
      <c r="O78" s="4174"/>
      <c r="P78" s="4174"/>
      <c r="Q78" s="4174"/>
      <c r="R78" s="4174"/>
      <c r="S78" s="4168" t="s">
        <v>40</v>
      </c>
      <c r="T78" s="4168" t="s">
        <v>40</v>
      </c>
      <c r="U78" s="4316">
        <v>99</v>
      </c>
      <c r="V78" s="935" t="s">
        <v>113</v>
      </c>
      <c r="W78" s="935" t="s">
        <v>373</v>
      </c>
      <c r="X78" s="4160"/>
      <c r="Y78" s="4160"/>
      <c r="Z78" s="4316" t="s">
        <v>61</v>
      </c>
      <c r="AA78" s="4316" t="s">
        <v>61</v>
      </c>
      <c r="AB78" s="4173" t="s">
        <v>46</v>
      </c>
      <c r="AC78" s="4173" t="s">
        <v>46</v>
      </c>
      <c r="AD78" s="4173" t="s">
        <v>46</v>
      </c>
      <c r="AE78" s="4160"/>
      <c r="AF78" s="4160" t="s">
        <v>61</v>
      </c>
    </row>
    <row r="79" spans="2:32" ht="18" customHeight="1">
      <c r="B79" s="1490" t="s">
        <v>154</v>
      </c>
      <c r="C79" s="2986">
        <v>1</v>
      </c>
      <c r="D79" s="2986">
        <v>2</v>
      </c>
      <c r="E79" s="2985">
        <v>3</v>
      </c>
      <c r="F79" s="2985">
        <v>4</v>
      </c>
      <c r="G79" s="2985">
        <v>5</v>
      </c>
      <c r="H79" s="2985">
        <v>6</v>
      </c>
      <c r="I79" s="2985">
        <v>7</v>
      </c>
      <c r="J79" s="2986">
        <v>8</v>
      </c>
      <c r="K79" s="2986">
        <v>9</v>
      </c>
      <c r="L79" s="2985">
        <v>10</v>
      </c>
      <c r="M79" s="2985">
        <v>11</v>
      </c>
      <c r="N79" s="2985">
        <v>12</v>
      </c>
      <c r="O79" s="2985">
        <v>13</v>
      </c>
      <c r="P79" s="2985">
        <v>14</v>
      </c>
      <c r="Q79" s="2986">
        <v>15</v>
      </c>
      <c r="R79" s="2986">
        <v>16</v>
      </c>
      <c r="S79" s="2985">
        <v>17</v>
      </c>
      <c r="T79" s="2985">
        <v>18</v>
      </c>
      <c r="U79" s="2985">
        <v>19</v>
      </c>
      <c r="V79" s="2985">
        <v>20</v>
      </c>
      <c r="W79" s="2985">
        <v>21</v>
      </c>
      <c r="X79" s="2986">
        <v>22</v>
      </c>
      <c r="Y79" s="2986">
        <v>23</v>
      </c>
      <c r="Z79" s="2985">
        <v>24</v>
      </c>
      <c r="AA79" s="2985">
        <v>25</v>
      </c>
      <c r="AB79" s="2985">
        <v>26</v>
      </c>
      <c r="AC79" s="2985">
        <v>27</v>
      </c>
      <c r="AD79" s="2985">
        <v>28</v>
      </c>
      <c r="AE79" s="2986">
        <v>29</v>
      </c>
      <c r="AF79" s="2986">
        <v>30</v>
      </c>
    </row>
    <row r="80" spans="2:32" ht="18" customHeight="1">
      <c r="B80" s="4236" t="s">
        <v>0</v>
      </c>
      <c r="C80" s="4317"/>
      <c r="D80" s="1586"/>
      <c r="E80" s="1586"/>
      <c r="F80" s="4318"/>
      <c r="G80" s="4318"/>
      <c r="H80" s="4319"/>
      <c r="I80" s="4320"/>
      <c r="J80" s="4320"/>
      <c r="K80" s="4320"/>
      <c r="L80" s="4320"/>
      <c r="M80" s="4320"/>
      <c r="N80" s="4320"/>
      <c r="O80" s="4320"/>
      <c r="P80" s="4320"/>
      <c r="Q80" s="4320"/>
      <c r="R80" s="4320"/>
      <c r="S80" s="4320"/>
      <c r="T80" s="4320"/>
      <c r="U80" s="4320"/>
      <c r="V80" s="4320"/>
      <c r="W80" s="4320"/>
      <c r="X80" s="4320"/>
      <c r="Y80" s="4320"/>
      <c r="Z80" s="4320"/>
      <c r="AA80" s="4320"/>
      <c r="AB80" s="4320"/>
      <c r="AC80" s="4320"/>
      <c r="AD80" s="4320"/>
      <c r="AE80" s="4321"/>
      <c r="AF80" s="4321"/>
    </row>
    <row r="81" spans="1:33" ht="18" customHeight="1">
      <c r="B81" s="1481" t="s">
        <v>156</v>
      </c>
      <c r="C81" s="2986">
        <v>1</v>
      </c>
      <c r="D81" s="2986">
        <v>2</v>
      </c>
      <c r="E81" s="2985">
        <v>3</v>
      </c>
      <c r="F81" s="2985">
        <v>4</v>
      </c>
      <c r="G81" s="2985">
        <v>5</v>
      </c>
      <c r="H81" s="2985">
        <v>6</v>
      </c>
      <c r="I81" s="2985">
        <v>7</v>
      </c>
      <c r="J81" s="2986">
        <v>8</v>
      </c>
      <c r="K81" s="2986">
        <v>9</v>
      </c>
      <c r="L81" s="2985">
        <v>10</v>
      </c>
      <c r="M81" s="2985">
        <v>11</v>
      </c>
      <c r="N81" s="2985">
        <v>12</v>
      </c>
      <c r="O81" s="2985">
        <v>13</v>
      </c>
      <c r="P81" s="2985">
        <v>14</v>
      </c>
      <c r="Q81" s="2986">
        <v>15</v>
      </c>
      <c r="R81" s="2986">
        <v>16</v>
      </c>
      <c r="S81" s="2985">
        <v>17</v>
      </c>
      <c r="T81" s="2985">
        <v>18</v>
      </c>
      <c r="U81" s="2985">
        <v>19</v>
      </c>
      <c r="V81" s="2985">
        <v>20</v>
      </c>
      <c r="W81" s="2985">
        <v>21</v>
      </c>
      <c r="X81" s="2986">
        <v>22</v>
      </c>
      <c r="Y81" s="2986">
        <v>23</v>
      </c>
      <c r="Z81" s="2985">
        <v>24</v>
      </c>
      <c r="AA81" s="2985">
        <v>25</v>
      </c>
      <c r="AB81" s="2985">
        <v>26</v>
      </c>
      <c r="AC81" s="2985">
        <v>27</v>
      </c>
      <c r="AD81" s="2985">
        <v>28</v>
      </c>
      <c r="AE81" s="2986">
        <v>29</v>
      </c>
      <c r="AF81" s="2986">
        <v>30</v>
      </c>
    </row>
    <row r="82" spans="1:33" ht="18" customHeight="1">
      <c r="B82" s="3967" t="s">
        <v>157</v>
      </c>
      <c r="C82" s="4160"/>
      <c r="D82" s="4160"/>
      <c r="E82" s="4252" t="s">
        <v>40</v>
      </c>
      <c r="F82" s="4252" t="s">
        <v>40</v>
      </c>
      <c r="G82" s="4252" t="s">
        <v>40</v>
      </c>
      <c r="H82" s="4252" t="s">
        <v>40</v>
      </c>
      <c r="I82" s="4252" t="s">
        <v>40</v>
      </c>
      <c r="J82" s="4160" t="s">
        <v>0</v>
      </c>
      <c r="K82" s="4160" t="s">
        <v>0</v>
      </c>
      <c r="L82" s="4252" t="s">
        <v>40</v>
      </c>
      <c r="M82" s="4252" t="s">
        <v>40</v>
      </c>
      <c r="N82" s="4252" t="s">
        <v>40</v>
      </c>
      <c r="O82" s="4252" t="s">
        <v>40</v>
      </c>
      <c r="P82" s="4252" t="s">
        <v>40</v>
      </c>
      <c r="Q82" s="3925" t="s">
        <v>0</v>
      </c>
      <c r="R82" s="3925" t="s">
        <v>0</v>
      </c>
      <c r="S82" s="4252" t="s">
        <v>40</v>
      </c>
      <c r="T82" s="4252" t="s">
        <v>40</v>
      </c>
      <c r="U82" s="4252" t="s">
        <v>40</v>
      </c>
      <c r="V82" s="4252" t="s">
        <v>40</v>
      </c>
      <c r="W82" s="4252" t="s">
        <v>40</v>
      </c>
      <c r="X82" s="4160"/>
      <c r="Y82" s="4322" t="s">
        <v>0</v>
      </c>
      <c r="Z82" s="4252" t="s">
        <v>40</v>
      </c>
      <c r="AA82" s="4252" t="s">
        <v>40</v>
      </c>
      <c r="AB82" s="4252" t="s">
        <v>40</v>
      </c>
      <c r="AC82" s="4252" t="s">
        <v>40</v>
      </c>
      <c r="AD82" s="4252" t="s">
        <v>40</v>
      </c>
      <c r="AE82" s="4160"/>
      <c r="AF82" s="4160"/>
    </row>
    <row r="83" spans="1:33" ht="18" customHeight="1">
      <c r="A83" t="s">
        <v>0</v>
      </c>
      <c r="B83" s="325" t="s">
        <v>544</v>
      </c>
      <c r="C83" s="4247"/>
      <c r="D83" s="4247"/>
      <c r="E83" s="4247">
        <v>1</v>
      </c>
      <c r="F83" s="4247">
        <v>1</v>
      </c>
      <c r="G83" s="4247">
        <v>1</v>
      </c>
      <c r="H83" s="4247">
        <v>1</v>
      </c>
      <c r="I83" s="4247">
        <v>1</v>
      </c>
      <c r="J83" s="4247"/>
      <c r="K83" s="4247"/>
      <c r="L83" s="4247">
        <v>9</v>
      </c>
      <c r="M83" s="4247">
        <v>9</v>
      </c>
      <c r="N83" s="4247">
        <v>9</v>
      </c>
      <c r="O83" s="4247">
        <v>9</v>
      </c>
      <c r="P83" s="4247">
        <v>9</v>
      </c>
      <c r="Q83" s="4247" t="s">
        <v>52</v>
      </c>
      <c r="R83" s="4247" t="s">
        <v>53</v>
      </c>
      <c r="S83" s="4247" t="s">
        <v>46</v>
      </c>
      <c r="T83" s="4247" t="s">
        <v>46</v>
      </c>
      <c r="U83" s="4247" t="s">
        <v>46</v>
      </c>
      <c r="V83" s="4247" t="s">
        <v>46</v>
      </c>
      <c r="W83" s="4247" t="s">
        <v>46</v>
      </c>
      <c r="X83" s="4245" t="s">
        <v>89</v>
      </c>
      <c r="Y83" s="4245" t="s">
        <v>89</v>
      </c>
      <c r="Z83" s="4245">
        <v>6</v>
      </c>
      <c r="AA83" s="4245">
        <v>6</v>
      </c>
      <c r="AB83" s="4245">
        <v>6</v>
      </c>
      <c r="AC83" s="4245">
        <v>6</v>
      </c>
      <c r="AD83" s="4245">
        <v>6</v>
      </c>
      <c r="AE83" s="4160"/>
      <c r="AF83" s="4160"/>
    </row>
    <row r="84" spans="1:33" ht="18" customHeight="1">
      <c r="B84" s="325" t="s">
        <v>481</v>
      </c>
      <c r="C84" s="501"/>
      <c r="D84" s="508"/>
      <c r="E84" s="504" t="s">
        <v>458</v>
      </c>
      <c r="F84" s="504">
        <v>10</v>
      </c>
      <c r="G84" s="504">
        <v>10</v>
      </c>
      <c r="H84" s="608">
        <v>10</v>
      </c>
      <c r="I84" s="608">
        <v>10</v>
      </c>
      <c r="J84" s="859" t="s">
        <v>53</v>
      </c>
      <c r="K84" s="859" t="s">
        <v>53</v>
      </c>
      <c r="L84" s="859" t="s">
        <v>46</v>
      </c>
      <c r="M84" s="859" t="s">
        <v>46</v>
      </c>
      <c r="N84" s="859" t="s">
        <v>46</v>
      </c>
      <c r="O84" s="859" t="s">
        <v>143</v>
      </c>
      <c r="P84" s="508" t="s">
        <v>46</v>
      </c>
      <c r="Q84" s="508" t="s">
        <v>86</v>
      </c>
      <c r="R84" s="504" t="s">
        <v>86</v>
      </c>
      <c r="S84" s="504">
        <v>7</v>
      </c>
      <c r="T84" s="504">
        <v>7</v>
      </c>
      <c r="U84" s="504">
        <v>7</v>
      </c>
      <c r="V84" s="508">
        <v>7</v>
      </c>
      <c r="W84" s="508">
        <v>7</v>
      </c>
      <c r="X84" s="501"/>
      <c r="Y84" s="504"/>
      <c r="Z84" s="504">
        <v>4</v>
      </c>
      <c r="AA84" s="504">
        <v>4</v>
      </c>
      <c r="AB84" s="504">
        <v>4</v>
      </c>
      <c r="AC84" s="509">
        <v>4</v>
      </c>
      <c r="AD84" s="504">
        <v>4</v>
      </c>
      <c r="AE84" s="504"/>
      <c r="AF84" s="504"/>
    </row>
    <row r="86" spans="1:33">
      <c r="B86" s="241" t="s">
        <v>38</v>
      </c>
      <c r="C86" s="2986">
        <v>1</v>
      </c>
      <c r="D86" s="2986">
        <v>2</v>
      </c>
      <c r="E86" s="2985">
        <v>3</v>
      </c>
      <c r="F86" s="2985">
        <v>4</v>
      </c>
      <c r="G86" s="2985">
        <v>5</v>
      </c>
      <c r="H86" s="2985">
        <v>6</v>
      </c>
      <c r="I86" s="2985">
        <v>7</v>
      </c>
      <c r="J86" s="2986">
        <v>8</v>
      </c>
      <c r="K86" s="2986">
        <v>9</v>
      </c>
      <c r="L86" s="2985">
        <v>10</v>
      </c>
      <c r="M86" s="2985">
        <v>11</v>
      </c>
      <c r="N86" s="2985">
        <v>12</v>
      </c>
      <c r="O86" s="2985">
        <v>13</v>
      </c>
      <c r="P86" s="2985">
        <v>14</v>
      </c>
      <c r="Q86" s="2986">
        <v>15</v>
      </c>
      <c r="R86" s="2986">
        <v>16</v>
      </c>
      <c r="S86" s="2985">
        <v>17</v>
      </c>
      <c r="T86" s="2985">
        <v>18</v>
      </c>
      <c r="U86" s="2985">
        <v>19</v>
      </c>
      <c r="V86" s="2985">
        <v>20</v>
      </c>
      <c r="W86" s="2985">
        <v>21</v>
      </c>
      <c r="X86" s="2986">
        <v>22</v>
      </c>
      <c r="Y86" s="2986">
        <v>23</v>
      </c>
      <c r="Z86" s="2985">
        <v>24</v>
      </c>
      <c r="AA86" s="2985">
        <v>25</v>
      </c>
      <c r="AB86" s="2985">
        <v>26</v>
      </c>
      <c r="AC86" s="2985">
        <v>27</v>
      </c>
      <c r="AD86" s="2985">
        <v>28</v>
      </c>
      <c r="AE86" s="2986">
        <v>29</v>
      </c>
      <c r="AF86" s="2986">
        <v>30</v>
      </c>
    </row>
    <row r="87" spans="1:33">
      <c r="B87" s="3189" t="s">
        <v>160</v>
      </c>
      <c r="C87" s="3089"/>
      <c r="D87" s="3190"/>
      <c r="E87" s="3089"/>
      <c r="F87" s="3089"/>
      <c r="G87" s="3089"/>
      <c r="H87" s="3089"/>
      <c r="I87" s="3089"/>
      <c r="J87" s="3089"/>
      <c r="K87" s="3089"/>
      <c r="L87" s="3089"/>
      <c r="M87" s="3089"/>
      <c r="N87" s="3089"/>
      <c r="O87" s="3089"/>
      <c r="P87" s="3089"/>
      <c r="Q87" s="3089"/>
      <c r="R87" s="3089"/>
      <c r="S87" s="3089"/>
      <c r="T87" s="3089"/>
      <c r="U87" s="3089"/>
      <c r="V87" s="3089"/>
      <c r="W87" s="3089"/>
      <c r="X87" s="3089"/>
      <c r="Y87" s="3089"/>
      <c r="Z87" s="3089"/>
      <c r="AA87" s="3089"/>
      <c r="AB87" s="3089"/>
      <c r="AC87" s="3089"/>
      <c r="AD87" s="3089"/>
      <c r="AE87" s="3089"/>
      <c r="AF87" s="3089"/>
    </row>
    <row r="88" spans="1:33">
      <c r="B88" s="115"/>
      <c r="C88" s="116"/>
      <c r="D88" s="889"/>
      <c r="E88" s="116"/>
      <c r="F88" s="116"/>
      <c r="G88" s="116"/>
      <c r="H88" s="108"/>
      <c r="I88" s="116"/>
      <c r="J88" s="116"/>
      <c r="K88" s="116"/>
      <c r="L88" s="116"/>
      <c r="M88" s="116"/>
      <c r="N88" s="116"/>
      <c r="O88" s="116"/>
      <c r="P88" s="116"/>
      <c r="Q88" s="116"/>
      <c r="R88" s="116"/>
      <c r="S88" s="116"/>
      <c r="T88" s="116"/>
      <c r="U88" s="116"/>
      <c r="V88" s="116"/>
      <c r="W88" s="116"/>
      <c r="X88" s="116"/>
      <c r="Y88" s="116"/>
      <c r="Z88" s="116"/>
      <c r="AA88" s="116"/>
      <c r="AB88" s="116"/>
      <c r="AC88" s="116"/>
      <c r="AD88" s="116"/>
      <c r="AE88" s="116"/>
      <c r="AF88" s="116"/>
    </row>
    <row r="89" spans="1:33">
      <c r="B89" s="115"/>
      <c r="C89" s="116"/>
      <c r="D89" s="889"/>
      <c r="E89" s="116"/>
      <c r="F89" s="116"/>
      <c r="G89" s="116"/>
      <c r="H89" s="108"/>
      <c r="I89" s="116"/>
      <c r="J89" s="116"/>
      <c r="K89" s="116"/>
      <c r="L89" s="116"/>
      <c r="M89" s="116"/>
      <c r="N89" s="116"/>
      <c r="O89" s="116"/>
      <c r="P89" s="116"/>
      <c r="Q89" s="116"/>
      <c r="R89" s="116"/>
      <c r="S89" s="116"/>
      <c r="T89" s="116"/>
      <c r="U89" s="116"/>
      <c r="V89" s="116"/>
      <c r="W89" s="116"/>
      <c r="X89" s="116"/>
      <c r="Y89" s="116"/>
      <c r="Z89" s="116"/>
      <c r="AA89" s="116"/>
      <c r="AB89" s="116"/>
      <c r="AC89" s="116"/>
      <c r="AD89" s="116"/>
      <c r="AE89" s="116"/>
      <c r="AF89" s="116"/>
    </row>
    <row r="90" spans="1:33" ht="15.75">
      <c r="B90" s="886" t="s">
        <v>483</v>
      </c>
      <c r="C90" s="890">
        <v>1</v>
      </c>
      <c r="D90" s="890">
        <v>2</v>
      </c>
      <c r="E90" s="415">
        <v>3</v>
      </c>
      <c r="F90" s="415">
        <v>4</v>
      </c>
      <c r="G90" s="415">
        <v>5</v>
      </c>
      <c r="H90" s="415">
        <v>6</v>
      </c>
      <c r="I90" s="415">
        <v>7</v>
      </c>
      <c r="J90" s="890">
        <v>8</v>
      </c>
      <c r="K90" s="890">
        <v>9</v>
      </c>
      <c r="L90" s="415">
        <v>10</v>
      </c>
      <c r="M90" s="415">
        <v>11</v>
      </c>
      <c r="N90" s="415">
        <v>12</v>
      </c>
      <c r="O90" s="415">
        <v>13</v>
      </c>
      <c r="P90" s="415">
        <v>14</v>
      </c>
      <c r="Q90" s="890">
        <v>15</v>
      </c>
      <c r="R90" s="890">
        <v>16</v>
      </c>
      <c r="S90" s="415">
        <v>17</v>
      </c>
      <c r="T90" s="415">
        <v>18</v>
      </c>
      <c r="U90" s="415">
        <v>19</v>
      </c>
      <c r="V90" s="415">
        <v>20</v>
      </c>
      <c r="W90" s="415">
        <v>21</v>
      </c>
      <c r="X90" s="890">
        <v>22</v>
      </c>
      <c r="Y90" s="890">
        <v>23</v>
      </c>
      <c r="Z90" s="415">
        <v>24</v>
      </c>
      <c r="AA90" s="415">
        <v>25</v>
      </c>
      <c r="AB90" s="415">
        <v>26</v>
      </c>
      <c r="AC90" s="415">
        <v>27</v>
      </c>
      <c r="AD90" s="415">
        <v>28</v>
      </c>
      <c r="AE90" s="890">
        <v>29</v>
      </c>
      <c r="AF90" s="891">
        <v>30</v>
      </c>
      <c r="AG90" s="126"/>
    </row>
    <row r="91" spans="1:33">
      <c r="B91" s="364" t="s">
        <v>484</v>
      </c>
      <c r="C91" s="317"/>
      <c r="D91" s="309"/>
      <c r="E91" s="309" t="s">
        <v>492</v>
      </c>
      <c r="F91" s="309" t="s">
        <v>492</v>
      </c>
      <c r="G91" s="309" t="s">
        <v>492</v>
      </c>
      <c r="H91" s="309" t="s">
        <v>492</v>
      </c>
      <c r="I91" s="309" t="s">
        <v>492</v>
      </c>
      <c r="J91" s="309"/>
      <c r="K91" s="309"/>
      <c r="L91" s="309"/>
      <c r="M91" s="309"/>
      <c r="N91" s="309"/>
      <c r="O91" s="309"/>
      <c r="P91" s="309"/>
      <c r="Q91" s="309"/>
      <c r="R91" s="309"/>
      <c r="S91" s="309"/>
      <c r="T91" s="309"/>
      <c r="U91" s="309"/>
      <c r="V91" s="309"/>
      <c r="W91" s="309"/>
      <c r="X91" s="309"/>
      <c r="Y91" s="309"/>
      <c r="Z91" s="309"/>
      <c r="AA91" s="929"/>
      <c r="AB91" s="929"/>
      <c r="AC91" s="309"/>
      <c r="AD91" s="309"/>
      <c r="AE91" s="309"/>
      <c r="AF91" s="892"/>
      <c r="AG91" s="126"/>
    </row>
    <row r="92" spans="1:33" ht="15">
      <c r="B92" s="893" t="s">
        <v>493</v>
      </c>
      <c r="C92" s="894"/>
      <c r="D92" s="895"/>
      <c r="E92" s="896"/>
      <c r="F92" s="896" t="s">
        <v>492</v>
      </c>
      <c r="G92" s="896" t="s">
        <v>492</v>
      </c>
      <c r="H92" s="896" t="s">
        <v>492</v>
      </c>
      <c r="I92" s="896" t="s">
        <v>492</v>
      </c>
      <c r="J92" s="896"/>
      <c r="K92" s="896"/>
      <c r="L92" s="896" t="s">
        <v>567</v>
      </c>
      <c r="M92" s="894" t="s">
        <v>488</v>
      </c>
      <c r="N92" s="894" t="s">
        <v>568</v>
      </c>
      <c r="O92" s="896" t="s">
        <v>569</v>
      </c>
      <c r="P92" s="896"/>
      <c r="Q92" s="896"/>
      <c r="R92" s="896"/>
      <c r="S92" s="896" t="s">
        <v>570</v>
      </c>
      <c r="T92" s="894" t="s">
        <v>570</v>
      </c>
      <c r="U92" s="894" t="s">
        <v>488</v>
      </c>
      <c r="V92" s="896" t="s">
        <v>568</v>
      </c>
      <c r="W92" s="934" t="s">
        <v>568</v>
      </c>
      <c r="X92" s="896"/>
      <c r="Y92" s="896"/>
      <c r="Z92" s="896" t="s">
        <v>488</v>
      </c>
      <c r="AA92" s="897" t="s">
        <v>571</v>
      </c>
      <c r="AB92" s="897" t="s">
        <v>485</v>
      </c>
      <c r="AC92" s="896" t="s">
        <v>572</v>
      </c>
      <c r="AD92" s="896" t="s">
        <v>485</v>
      </c>
      <c r="AE92" s="896"/>
      <c r="AF92" s="898"/>
      <c r="AG92" s="126"/>
    </row>
    <row r="93" spans="1:33">
      <c r="B93" s="115"/>
      <c r="C93" s="116"/>
      <c r="D93" s="889"/>
      <c r="E93" s="116"/>
      <c r="F93" s="116"/>
      <c r="G93" s="116"/>
      <c r="H93" s="108"/>
      <c r="I93" s="116"/>
      <c r="J93" s="116"/>
      <c r="K93" s="116"/>
      <c r="L93" s="116"/>
      <c r="M93" s="116"/>
      <c r="N93" s="116"/>
      <c r="O93" s="116"/>
      <c r="P93" s="116"/>
      <c r="Q93" s="116"/>
      <c r="R93" s="116"/>
      <c r="S93" s="116"/>
      <c r="T93" s="116"/>
      <c r="U93" s="116" t="s">
        <v>0</v>
      </c>
      <c r="V93" s="116"/>
      <c r="W93" s="116"/>
      <c r="X93" s="116"/>
      <c r="Y93" s="116"/>
      <c r="Z93" s="116"/>
      <c r="AA93" s="116"/>
      <c r="AB93" s="116"/>
      <c r="AC93" s="116"/>
      <c r="AD93" s="116"/>
      <c r="AE93" s="116"/>
      <c r="AF93" s="116"/>
    </row>
    <row r="95" spans="1:33" ht="18" customHeight="1">
      <c r="A95" s="42" t="s">
        <v>161</v>
      </c>
      <c r="C95" s="110"/>
      <c r="D95" s="110"/>
      <c r="E95" s="110"/>
      <c r="F95" s="110"/>
      <c r="G95" s="110"/>
      <c r="H95" s="110"/>
      <c r="I95" s="110"/>
      <c r="J95" s="110"/>
      <c r="K95" s="110"/>
      <c r="L95" s="110"/>
      <c r="M95" s="110"/>
      <c r="N95" s="110"/>
      <c r="O95" s="110"/>
      <c r="P95" s="110"/>
      <c r="Q95" s="110"/>
      <c r="R95" s="110"/>
      <c r="S95" s="110"/>
      <c r="T95" s="110"/>
      <c r="U95" s="110"/>
      <c r="V95" s="110"/>
      <c r="W95" s="110"/>
      <c r="X95" s="110"/>
      <c r="Y95" s="110"/>
      <c r="Z95" s="110"/>
      <c r="AA95" s="110"/>
      <c r="AB95" s="110"/>
      <c r="AC95" s="110"/>
      <c r="AD95" s="110"/>
      <c r="AE95" s="110"/>
      <c r="AF95" s="110"/>
    </row>
    <row r="96" spans="1:33" ht="18" customHeight="1">
      <c r="B96" s="4146"/>
      <c r="C96" s="3969"/>
      <c r="D96" s="4146" t="s">
        <v>19</v>
      </c>
      <c r="E96" s="3969"/>
      <c r="F96" s="3969"/>
      <c r="G96" s="4146" t="s">
        <v>20</v>
      </c>
      <c r="H96" s="3969"/>
      <c r="I96" s="3969"/>
      <c r="J96" s="4146" t="s">
        <v>21</v>
      </c>
      <c r="K96" s="3969"/>
      <c r="L96" s="3969"/>
      <c r="M96" s="4146" t="s">
        <v>22</v>
      </c>
      <c r="N96" s="3969"/>
      <c r="O96" s="3969"/>
      <c r="P96" s="4146" t="s">
        <v>23</v>
      </c>
      <c r="Q96" s="3969"/>
      <c r="R96" s="3762"/>
      <c r="S96" s="3763" t="s">
        <v>24</v>
      </c>
      <c r="T96" s="3969"/>
      <c r="U96" s="3969"/>
      <c r="V96" s="4146" t="s">
        <v>25</v>
      </c>
      <c r="W96" s="3969"/>
      <c r="X96" s="68"/>
      <c r="Y96" s="68"/>
      <c r="Z96" s="68"/>
      <c r="AA96" s="68"/>
      <c r="AB96" s="68"/>
      <c r="AC96" s="68"/>
      <c r="AD96" s="68"/>
      <c r="AE96" s="68"/>
      <c r="AF96" s="68"/>
    </row>
    <row r="97" spans="1:32" ht="18" customHeight="1">
      <c r="B97" s="4323" t="s">
        <v>162</v>
      </c>
      <c r="C97" s="4324" t="s">
        <v>163</v>
      </c>
      <c r="D97" s="4325"/>
      <c r="E97" s="4325"/>
      <c r="F97" s="4324" t="s">
        <v>163</v>
      </c>
      <c r="G97" s="4325"/>
      <c r="H97" s="4325"/>
      <c r="I97" s="4324" t="s">
        <v>163</v>
      </c>
      <c r="J97" s="4325"/>
      <c r="K97" s="4325"/>
      <c r="L97" s="4324" t="s">
        <v>163</v>
      </c>
      <c r="M97" s="4325"/>
      <c r="N97" s="4325"/>
      <c r="O97" s="4324" t="s">
        <v>163</v>
      </c>
      <c r="P97" s="4325"/>
      <c r="Q97" s="4325"/>
      <c r="R97" s="4326"/>
      <c r="S97" s="4325"/>
      <c r="T97" s="4325"/>
      <c r="U97" s="4326" t="s">
        <v>164</v>
      </c>
      <c r="V97" s="4325"/>
      <c r="W97" s="4327"/>
      <c r="X97" s="68"/>
      <c r="Y97" s="68"/>
      <c r="Z97" s="68"/>
      <c r="AA97" s="68"/>
      <c r="AB97" s="68"/>
      <c r="AC97" s="68"/>
      <c r="AD97" s="68"/>
      <c r="AE97" s="68"/>
      <c r="AF97" s="68"/>
    </row>
    <row r="98" spans="1:32" ht="18" customHeight="1">
      <c r="B98" s="4323" t="s">
        <v>165</v>
      </c>
      <c r="C98" s="4328" t="s">
        <v>166</v>
      </c>
      <c r="D98" s="4329"/>
      <c r="E98" s="4329"/>
      <c r="F98" s="4328" t="s">
        <v>167</v>
      </c>
      <c r="G98" s="4329"/>
      <c r="H98" s="4329"/>
      <c r="I98" s="4328" t="s">
        <v>167</v>
      </c>
      <c r="J98" s="4329"/>
      <c r="K98" s="4329"/>
      <c r="L98" s="4328" t="s">
        <v>167</v>
      </c>
      <c r="M98" s="4329"/>
      <c r="N98" s="4329"/>
      <c r="O98" s="4328" t="s">
        <v>168</v>
      </c>
      <c r="P98" s="4329"/>
      <c r="Q98" s="4329"/>
      <c r="R98" s="242"/>
      <c r="S98" s="46"/>
      <c r="T98" s="4327"/>
      <c r="U98" s="242"/>
      <c r="V98" s="46"/>
      <c r="W98" s="4327"/>
      <c r="X98" s="68"/>
      <c r="Y98" s="68"/>
      <c r="Z98" s="68"/>
      <c r="AA98" s="68"/>
      <c r="AB98" s="68"/>
      <c r="AC98" s="68"/>
      <c r="AD98" s="68"/>
      <c r="AE98" s="68"/>
      <c r="AF98" s="68"/>
    </row>
    <row r="99" spans="1:32" ht="18" customHeight="1">
      <c r="B99" s="4323" t="s">
        <v>169</v>
      </c>
      <c r="C99" s="4330" t="s">
        <v>170</v>
      </c>
      <c r="D99" s="3758"/>
      <c r="E99" s="3758"/>
      <c r="F99" s="4330" t="s">
        <v>171</v>
      </c>
      <c r="G99" s="4223"/>
      <c r="H99" s="3758"/>
      <c r="I99" s="4330" t="s">
        <v>171</v>
      </c>
      <c r="J99" s="3980"/>
      <c r="K99" s="4150"/>
      <c r="L99" s="4315" t="s">
        <v>172</v>
      </c>
      <c r="M99" s="3980"/>
      <c r="N99" s="4331"/>
      <c r="O99" s="4330" t="s">
        <v>172</v>
      </c>
      <c r="P99" s="3758"/>
      <c r="Q99" s="3758"/>
      <c r="R99" s="4315" t="s">
        <v>173</v>
      </c>
      <c r="S99" s="3980"/>
      <c r="T99" s="4150"/>
      <c r="U99" s="4315" t="s">
        <v>173</v>
      </c>
      <c r="V99" s="3980"/>
      <c r="W99" s="4150"/>
      <c r="X99" s="68"/>
      <c r="Y99" s="68"/>
      <c r="Z99" s="68"/>
      <c r="AA99" s="68"/>
      <c r="AB99" s="68"/>
      <c r="AC99" s="68"/>
      <c r="AD99" s="68"/>
      <c r="AE99" s="68"/>
      <c r="AF99" s="68"/>
    </row>
    <row r="100" spans="1:32" ht="18" customHeight="1">
      <c r="B100" s="4323" t="s">
        <v>174</v>
      </c>
      <c r="C100" s="4330" t="s">
        <v>46</v>
      </c>
      <c r="D100" s="3758"/>
      <c r="E100" s="3758"/>
      <c r="F100" s="4330" t="s">
        <v>46</v>
      </c>
      <c r="G100" s="4223"/>
      <c r="H100" s="3758"/>
      <c r="I100" s="4315" t="s">
        <v>46</v>
      </c>
      <c r="J100" s="3980"/>
      <c r="K100" s="4150"/>
      <c r="L100" s="4315" t="s">
        <v>46</v>
      </c>
      <c r="M100" s="3980"/>
      <c r="N100" s="4331"/>
      <c r="O100" s="4330" t="s">
        <v>46</v>
      </c>
      <c r="P100" s="3758"/>
      <c r="Q100" s="3758"/>
      <c r="R100" s="4315"/>
      <c r="S100" s="3980"/>
      <c r="T100" s="4150"/>
      <c r="U100" s="4315"/>
      <c r="V100" s="3980"/>
      <c r="W100" s="3981"/>
      <c r="X100" s="68"/>
      <c r="Y100" s="68"/>
      <c r="Z100" s="68"/>
      <c r="AA100" s="68"/>
      <c r="AB100" s="68"/>
      <c r="AC100" s="68"/>
      <c r="AD100" s="68"/>
      <c r="AE100" s="68"/>
      <c r="AF100" s="68"/>
    </row>
    <row r="101" spans="1:32" ht="18" customHeight="1">
      <c r="B101" s="243"/>
      <c r="C101" s="244"/>
      <c r="D101" s="111"/>
      <c r="E101" s="111"/>
      <c r="F101" s="244"/>
      <c r="G101" s="115"/>
      <c r="I101" s="115"/>
      <c r="J101" s="111"/>
      <c r="K101" s="111"/>
      <c r="L101" s="115"/>
      <c r="M101" s="111"/>
      <c r="N101" s="32"/>
      <c r="O101" s="244"/>
      <c r="P101" s="111"/>
      <c r="Q101" s="111"/>
      <c r="R101" s="115"/>
      <c r="S101" s="300" t="s">
        <v>559</v>
      </c>
      <c r="T101" s="299"/>
      <c r="U101" s="299"/>
      <c r="V101" s="299"/>
      <c r="W101" s="299"/>
      <c r="X101" s="68"/>
      <c r="Y101" s="68"/>
      <c r="Z101" s="68"/>
      <c r="AA101" s="68"/>
      <c r="AB101" s="68"/>
      <c r="AC101" s="68"/>
      <c r="AD101" s="68"/>
      <c r="AE101" s="68"/>
      <c r="AF101" s="68"/>
    </row>
    <row r="102" spans="1:32" ht="18" customHeight="1">
      <c r="B102" s="3200" t="s">
        <v>38</v>
      </c>
      <c r="C102" s="2986">
        <v>1</v>
      </c>
      <c r="D102" s="2986">
        <v>2</v>
      </c>
      <c r="E102" s="2985">
        <v>3</v>
      </c>
      <c r="F102" s="2985">
        <v>4</v>
      </c>
      <c r="G102" s="2985">
        <v>5</v>
      </c>
      <c r="H102" s="2985">
        <v>6</v>
      </c>
      <c r="I102" s="2985">
        <v>7</v>
      </c>
      <c r="J102" s="2986">
        <v>8</v>
      </c>
      <c r="K102" s="2986">
        <v>9</v>
      </c>
      <c r="L102" s="2985">
        <v>10</v>
      </c>
      <c r="M102" s="2985">
        <v>11</v>
      </c>
      <c r="N102" s="2985">
        <v>12</v>
      </c>
      <c r="O102" s="2985">
        <v>13</v>
      </c>
      <c r="P102" s="2985">
        <v>14</v>
      </c>
      <c r="Q102" s="2986">
        <v>15</v>
      </c>
      <c r="R102" s="2986">
        <v>16</v>
      </c>
      <c r="S102" s="2985">
        <v>17</v>
      </c>
      <c r="T102" s="2985">
        <v>18</v>
      </c>
      <c r="U102" s="2985">
        <v>19</v>
      </c>
      <c r="V102" s="2985">
        <v>20</v>
      </c>
      <c r="W102" s="2985">
        <v>21</v>
      </c>
      <c r="X102" s="2986">
        <v>22</v>
      </c>
      <c r="Y102" s="2986">
        <v>23</v>
      </c>
      <c r="Z102" s="2985">
        <v>24</v>
      </c>
      <c r="AA102" s="2985">
        <v>25</v>
      </c>
      <c r="AB102" s="2985">
        <v>26</v>
      </c>
      <c r="AC102" s="2985">
        <v>27</v>
      </c>
      <c r="AD102" s="2985">
        <v>28</v>
      </c>
      <c r="AE102" s="2986">
        <v>29</v>
      </c>
      <c r="AF102" s="2986">
        <v>30</v>
      </c>
    </row>
    <row r="103" spans="1:32" ht="18" customHeight="1">
      <c r="B103" s="3202" t="s">
        <v>175</v>
      </c>
      <c r="C103" s="585"/>
      <c r="D103" s="585"/>
      <c r="E103" s="585" t="s">
        <v>121</v>
      </c>
      <c r="F103" s="585" t="s">
        <v>121</v>
      </c>
      <c r="G103" s="585" t="s">
        <v>121</v>
      </c>
      <c r="H103" s="585" t="s">
        <v>121</v>
      </c>
      <c r="I103" s="585" t="s">
        <v>121</v>
      </c>
      <c r="J103" s="4322" t="s">
        <v>120</v>
      </c>
      <c r="K103" s="3969" t="s">
        <v>120</v>
      </c>
      <c r="L103" s="3969" t="s">
        <v>46</v>
      </c>
      <c r="M103" s="3969" t="s">
        <v>46</v>
      </c>
      <c r="N103" s="3969" t="s">
        <v>46</v>
      </c>
      <c r="O103" s="4322" t="s">
        <v>46</v>
      </c>
      <c r="P103" s="4322" t="s">
        <v>46</v>
      </c>
      <c r="Q103" s="4322"/>
      <c r="R103" s="4322"/>
      <c r="S103" s="4322">
        <v>25</v>
      </c>
      <c r="T103" s="4322">
        <v>25</v>
      </c>
      <c r="U103" s="4322">
        <v>25</v>
      </c>
      <c r="V103" s="4332">
        <v>25</v>
      </c>
      <c r="W103" s="4332">
        <v>25</v>
      </c>
      <c r="X103" s="4332"/>
      <c r="Y103" s="4332">
        <v>26</v>
      </c>
      <c r="Z103" s="4171">
        <v>26</v>
      </c>
      <c r="AA103" s="4171">
        <v>26</v>
      </c>
      <c r="AB103" s="4171">
        <v>26</v>
      </c>
      <c r="AC103" s="4171">
        <v>26</v>
      </c>
      <c r="AD103" s="4171">
        <v>26</v>
      </c>
      <c r="AE103" s="510"/>
      <c r="AF103" s="510"/>
    </row>
    <row r="104" spans="1:32" ht="18" customHeight="1">
      <c r="B104" s="4315" t="s">
        <v>176</v>
      </c>
      <c r="C104" s="4333" t="s">
        <v>120</v>
      </c>
      <c r="D104" s="4333" t="s">
        <v>120</v>
      </c>
      <c r="E104" s="4322" t="s">
        <v>46</v>
      </c>
      <c r="F104" s="4322" t="s">
        <v>46</v>
      </c>
      <c r="G104" s="4322" t="s">
        <v>46</v>
      </c>
      <c r="H104" s="4322" t="s">
        <v>46</v>
      </c>
      <c r="I104" s="4322" t="s">
        <v>46</v>
      </c>
      <c r="J104" s="4322"/>
      <c r="K104" s="4322"/>
      <c r="L104" s="4322">
        <v>25</v>
      </c>
      <c r="M104" s="4322">
        <v>25</v>
      </c>
      <c r="N104" s="4322">
        <v>25</v>
      </c>
      <c r="O104" s="4322">
        <v>25</v>
      </c>
      <c r="P104" s="4322">
        <v>25</v>
      </c>
      <c r="Q104" s="4322"/>
      <c r="R104" s="4322">
        <v>26</v>
      </c>
      <c r="S104" s="4322">
        <v>26</v>
      </c>
      <c r="T104" s="4322">
        <v>26</v>
      </c>
      <c r="U104" s="4322">
        <v>26</v>
      </c>
      <c r="V104" s="4322">
        <v>26</v>
      </c>
      <c r="W104" s="4322">
        <v>26</v>
      </c>
      <c r="X104" s="585"/>
      <c r="Y104" s="585"/>
      <c r="Z104" s="585" t="s">
        <v>121</v>
      </c>
      <c r="AA104" s="585" t="s">
        <v>121</v>
      </c>
      <c r="AB104" s="585" t="s">
        <v>121</v>
      </c>
      <c r="AC104" s="585" t="s">
        <v>121</v>
      </c>
      <c r="AD104" s="585" t="s">
        <v>121</v>
      </c>
      <c r="AE104" s="4322" t="s">
        <v>120</v>
      </c>
      <c r="AF104" s="4322" t="s">
        <v>120</v>
      </c>
    </row>
    <row r="105" spans="1:32" ht="18" customHeight="1">
      <c r="B105" s="4036" t="s">
        <v>135</v>
      </c>
      <c r="C105" s="4322"/>
      <c r="D105" s="4322"/>
      <c r="E105" s="4322">
        <v>25</v>
      </c>
      <c r="F105" s="4322">
        <v>25</v>
      </c>
      <c r="G105" s="4322">
        <v>25</v>
      </c>
      <c r="H105" s="4322">
        <v>25</v>
      </c>
      <c r="I105" s="4322">
        <v>25</v>
      </c>
      <c r="J105" s="4322"/>
      <c r="K105" s="4171">
        <v>26</v>
      </c>
      <c r="L105" s="4171">
        <v>26</v>
      </c>
      <c r="M105" s="4171">
        <v>26</v>
      </c>
      <c r="N105" s="4171">
        <v>26</v>
      </c>
      <c r="O105" s="4334">
        <v>26</v>
      </c>
      <c r="P105" s="4334">
        <v>26</v>
      </c>
      <c r="Q105" s="4322"/>
      <c r="R105" s="4322"/>
      <c r="S105" s="4322" t="s">
        <v>121</v>
      </c>
      <c r="T105" s="4322" t="s">
        <v>121</v>
      </c>
      <c r="U105" s="4322" t="s">
        <v>121</v>
      </c>
      <c r="V105" s="4322" t="s">
        <v>121</v>
      </c>
      <c r="W105" s="4322" t="s">
        <v>121</v>
      </c>
      <c r="X105" s="4322" t="s">
        <v>120</v>
      </c>
      <c r="Y105" s="4322" t="s">
        <v>120</v>
      </c>
      <c r="Z105" s="4322" t="s">
        <v>46</v>
      </c>
      <c r="AA105" s="4322" t="s">
        <v>46</v>
      </c>
      <c r="AB105" s="4322" t="s">
        <v>46</v>
      </c>
      <c r="AC105" s="4322" t="s">
        <v>46</v>
      </c>
      <c r="AD105" s="4322" t="s">
        <v>46</v>
      </c>
      <c r="AE105" s="4322"/>
      <c r="AF105" s="4322"/>
    </row>
    <row r="106" spans="1:32" ht="18" customHeight="1">
      <c r="B106" s="4036" t="s">
        <v>146</v>
      </c>
      <c r="C106" s="4322"/>
      <c r="D106" s="4171">
        <v>26</v>
      </c>
      <c r="E106" s="4171">
        <v>26</v>
      </c>
      <c r="F106" s="4171">
        <v>26</v>
      </c>
      <c r="G106" s="4171">
        <v>26</v>
      </c>
      <c r="H106" s="3927">
        <v>26</v>
      </c>
      <c r="I106" s="4171">
        <v>26</v>
      </c>
      <c r="J106" s="4322"/>
      <c r="K106" s="4294"/>
      <c r="L106" s="4322" t="s">
        <v>121</v>
      </c>
      <c r="M106" s="4322" t="s">
        <v>121</v>
      </c>
      <c r="N106" s="4322" t="s">
        <v>121</v>
      </c>
      <c r="O106" s="4322" t="s">
        <v>121</v>
      </c>
      <c r="P106" s="4322" t="s">
        <v>121</v>
      </c>
      <c r="Q106" s="4322" t="s">
        <v>120</v>
      </c>
      <c r="R106" s="4322" t="s">
        <v>120</v>
      </c>
      <c r="S106" s="4322" t="s">
        <v>46</v>
      </c>
      <c r="T106" s="4322" t="s">
        <v>46</v>
      </c>
      <c r="U106" s="4322" t="s">
        <v>46</v>
      </c>
      <c r="V106" s="4322" t="s">
        <v>46</v>
      </c>
      <c r="W106" s="4322" t="s">
        <v>46</v>
      </c>
      <c r="X106" s="4322"/>
      <c r="Y106" s="4322"/>
      <c r="Z106" s="4322">
        <v>25</v>
      </c>
      <c r="AA106" s="4322">
        <v>25</v>
      </c>
      <c r="AB106" s="4322">
        <v>25</v>
      </c>
      <c r="AC106" s="4322">
        <v>25</v>
      </c>
      <c r="AD106" s="4322">
        <v>25</v>
      </c>
      <c r="AE106" s="4322"/>
      <c r="AF106" s="4322">
        <v>26</v>
      </c>
    </row>
    <row r="109" spans="1:32" ht="18" customHeight="1">
      <c r="A109" s="133" t="s">
        <v>178</v>
      </c>
      <c r="B109" s="115"/>
      <c r="C109" s="126"/>
      <c r="D109" s="126"/>
      <c r="E109" s="126"/>
      <c r="F109" s="126"/>
      <c r="G109" s="126"/>
      <c r="H109" s="176"/>
      <c r="I109" s="126"/>
      <c r="J109" s="126"/>
      <c r="K109" s="126"/>
      <c r="L109" s="126"/>
      <c r="M109" s="126"/>
      <c r="N109" s="126"/>
      <c r="O109" s="126"/>
      <c r="P109" s="126"/>
      <c r="Q109" s="126"/>
      <c r="R109" s="148"/>
      <c r="S109" s="148"/>
      <c r="T109" s="148"/>
      <c r="U109" s="126"/>
      <c r="V109" s="126"/>
      <c r="W109" s="126"/>
      <c r="X109" s="126"/>
      <c r="Y109" s="126"/>
      <c r="Z109" s="126"/>
      <c r="AA109" s="126"/>
      <c r="AB109" s="126"/>
      <c r="AC109" s="126"/>
      <c r="AD109" s="126"/>
      <c r="AE109" s="126"/>
      <c r="AF109" s="126"/>
    </row>
    <row r="110" spans="1:32" ht="18" customHeight="1">
      <c r="A110" s="114"/>
      <c r="B110" s="134"/>
      <c r="C110" s="135"/>
      <c r="D110" s="135"/>
      <c r="E110" s="138"/>
      <c r="F110" s="135"/>
      <c r="G110" s="135"/>
      <c r="H110" s="135"/>
      <c r="I110" s="135"/>
      <c r="J110" s="135"/>
      <c r="K110" s="141" t="s">
        <v>15</v>
      </c>
      <c r="L110" s="139"/>
      <c r="M110" s="135"/>
      <c r="N110" s="135"/>
      <c r="O110" s="135"/>
      <c r="P110" s="135"/>
      <c r="Q110" s="135"/>
      <c r="R110" s="135"/>
      <c r="S110" s="135"/>
      <c r="T110" s="137"/>
      <c r="W110" s="101"/>
      <c r="X110" s="101"/>
      <c r="Y110" s="101"/>
      <c r="Z110" s="101"/>
      <c r="AA110" s="101"/>
      <c r="AB110" s="101"/>
      <c r="AC110" s="101"/>
      <c r="AD110" s="101"/>
      <c r="AE110" s="101"/>
      <c r="AF110" s="101"/>
    </row>
    <row r="111" spans="1:32" ht="18" customHeight="1">
      <c r="A111" s="114"/>
      <c r="B111" s="134" t="s">
        <v>180</v>
      </c>
      <c r="C111" s="135"/>
      <c r="D111" s="135"/>
      <c r="E111" s="136" t="s">
        <v>181</v>
      </c>
      <c r="F111" s="135"/>
      <c r="G111" s="135"/>
      <c r="H111" s="135"/>
      <c r="I111" s="135"/>
      <c r="J111" s="135"/>
      <c r="K111" s="135" t="s">
        <v>0</v>
      </c>
      <c r="L111" s="135"/>
      <c r="M111" s="144"/>
      <c r="N111" s="144"/>
      <c r="O111" s="144"/>
      <c r="P111" s="144"/>
      <c r="Q111" s="144"/>
      <c r="R111" s="144"/>
      <c r="S111" s="144"/>
      <c r="T111" s="145"/>
      <c r="U111" s="101"/>
      <c r="V111" s="101"/>
      <c r="W111" s="101"/>
      <c r="X111" s="101"/>
      <c r="Y111" s="101"/>
      <c r="Z111" s="101"/>
      <c r="AA111" s="101"/>
      <c r="AB111" s="101"/>
      <c r="AC111" s="101"/>
      <c r="AD111" s="101"/>
      <c r="AE111" s="101"/>
      <c r="AF111" s="101"/>
    </row>
    <row r="112" spans="1:32" ht="18" customHeight="1">
      <c r="A112" s="114"/>
      <c r="B112" s="142"/>
      <c r="C112" s="157"/>
      <c r="D112" s="157"/>
      <c r="E112" s="157"/>
      <c r="F112" s="157"/>
      <c r="G112" s="157"/>
      <c r="H112" s="101"/>
      <c r="I112" s="157"/>
      <c r="J112" s="157"/>
      <c r="K112" s="157"/>
      <c r="L112" s="131"/>
      <c r="M112" s="131"/>
      <c r="N112" s="131"/>
      <c r="O112" s="131"/>
      <c r="P112" s="131"/>
      <c r="Q112" s="131"/>
      <c r="R112" s="131"/>
      <c r="S112" s="300" t="s">
        <v>559</v>
      </c>
      <c r="T112" s="299"/>
      <c r="U112" s="299"/>
      <c r="V112" s="299"/>
      <c r="W112" s="299"/>
      <c r="X112" s="101"/>
      <c r="Y112" s="101"/>
      <c r="Z112" s="101"/>
      <c r="AA112" s="101"/>
      <c r="AB112" s="101"/>
      <c r="AC112" s="101"/>
      <c r="AD112" s="101"/>
      <c r="AE112" s="101"/>
      <c r="AF112" s="101"/>
    </row>
    <row r="113" spans="1:32" ht="18" customHeight="1">
      <c r="A113" s="114"/>
      <c r="B113" s="3983" t="s">
        <v>38</v>
      </c>
      <c r="C113" s="2986">
        <v>1</v>
      </c>
      <c r="D113" s="2986">
        <v>2</v>
      </c>
      <c r="E113" s="2985">
        <v>3</v>
      </c>
      <c r="F113" s="2985">
        <v>4</v>
      </c>
      <c r="G113" s="2985">
        <v>5</v>
      </c>
      <c r="H113" s="2985">
        <v>6</v>
      </c>
      <c r="I113" s="2985">
        <v>7</v>
      </c>
      <c r="J113" s="2986">
        <v>8</v>
      </c>
      <c r="K113" s="2986">
        <v>9</v>
      </c>
      <c r="L113" s="2985">
        <v>10</v>
      </c>
      <c r="M113" s="2985">
        <v>11</v>
      </c>
      <c r="N113" s="2985">
        <v>12</v>
      </c>
      <c r="O113" s="2985">
        <v>13</v>
      </c>
      <c r="P113" s="2985">
        <v>14</v>
      </c>
      <c r="Q113" s="2986">
        <v>15</v>
      </c>
      <c r="R113" s="2986">
        <v>16</v>
      </c>
      <c r="S113" s="2985">
        <v>17</v>
      </c>
      <c r="T113" s="2985">
        <v>18</v>
      </c>
      <c r="U113" s="2985">
        <v>19</v>
      </c>
      <c r="V113" s="2985">
        <v>20</v>
      </c>
      <c r="W113" s="2985">
        <v>21</v>
      </c>
      <c r="X113" s="2986">
        <v>22</v>
      </c>
      <c r="Y113" s="2986">
        <v>23</v>
      </c>
      <c r="Z113" s="2985">
        <v>24</v>
      </c>
      <c r="AA113" s="2985">
        <v>25</v>
      </c>
      <c r="AB113" s="2985">
        <v>26</v>
      </c>
      <c r="AC113" s="2985">
        <v>27</v>
      </c>
      <c r="AD113" s="2985">
        <v>28</v>
      </c>
      <c r="AE113" s="2986">
        <v>29</v>
      </c>
      <c r="AF113" s="2986">
        <v>30</v>
      </c>
    </row>
    <row r="114" spans="1:32" ht="18" customHeight="1">
      <c r="B114" s="1526" t="s">
        <v>573</v>
      </c>
      <c r="C114" s="4335" t="s">
        <v>118</v>
      </c>
      <c r="D114" s="4335" t="s">
        <v>118</v>
      </c>
      <c r="E114" s="4336" t="s">
        <v>118</v>
      </c>
      <c r="F114" s="4336" t="s">
        <v>46</v>
      </c>
      <c r="G114" s="4336" t="s">
        <v>46</v>
      </c>
      <c r="H114" s="4336" t="s">
        <v>46</v>
      </c>
      <c r="I114" s="1586" t="s">
        <v>46</v>
      </c>
      <c r="J114" s="1586" t="s">
        <v>46</v>
      </c>
      <c r="K114" s="1586" t="s">
        <v>46</v>
      </c>
      <c r="L114" s="1586" t="s">
        <v>46</v>
      </c>
      <c r="M114" s="1586" t="s">
        <v>46</v>
      </c>
      <c r="N114" s="1586" t="s">
        <v>46</v>
      </c>
      <c r="O114" s="1586" t="s">
        <v>46</v>
      </c>
      <c r="P114" s="1586" t="s">
        <v>46</v>
      </c>
      <c r="Q114" s="1586" t="s">
        <v>46</v>
      </c>
      <c r="R114" s="4112" t="s">
        <v>118</v>
      </c>
      <c r="S114" s="4112" t="s">
        <v>118</v>
      </c>
      <c r="T114" s="4112" t="s">
        <v>118</v>
      </c>
      <c r="U114" s="4112" t="s">
        <v>118</v>
      </c>
      <c r="V114" s="4112" t="s">
        <v>118</v>
      </c>
      <c r="W114" s="4112" t="s">
        <v>118</v>
      </c>
      <c r="X114" s="3986" t="s">
        <v>46</v>
      </c>
      <c r="Y114" s="4337" t="s">
        <v>46</v>
      </c>
      <c r="Z114" s="4337" t="s">
        <v>46</v>
      </c>
      <c r="AA114" s="4337" t="s">
        <v>46</v>
      </c>
      <c r="AB114" s="4337" t="s">
        <v>46</v>
      </c>
      <c r="AC114" s="4337" t="s">
        <v>46</v>
      </c>
      <c r="AD114" s="4338" t="s">
        <v>118</v>
      </c>
      <c r="AE114" s="4338" t="s">
        <v>118</v>
      </c>
      <c r="AF114" s="4338" t="s">
        <v>118</v>
      </c>
    </row>
    <row r="115" spans="1:32" ht="18" customHeight="1">
      <c r="B115" s="3985" t="s">
        <v>195</v>
      </c>
      <c r="C115" s="3986" t="s">
        <v>46</v>
      </c>
      <c r="D115" s="3986" t="s">
        <v>46</v>
      </c>
      <c r="E115" s="3986" t="s">
        <v>46</v>
      </c>
      <c r="F115" s="3986" t="s">
        <v>46</v>
      </c>
      <c r="G115" s="3986" t="s">
        <v>46</v>
      </c>
      <c r="H115" s="3986" t="s">
        <v>46</v>
      </c>
      <c r="I115" s="3986" t="s">
        <v>46</v>
      </c>
      <c r="J115" s="3986" t="s">
        <v>46</v>
      </c>
      <c r="K115" s="3986" t="s">
        <v>46</v>
      </c>
      <c r="L115" s="3986" t="s">
        <v>118</v>
      </c>
      <c r="M115" s="3986" t="s">
        <v>118</v>
      </c>
      <c r="N115" s="3986" t="s">
        <v>118</v>
      </c>
      <c r="O115" s="3986" t="s">
        <v>118</v>
      </c>
      <c r="P115" s="3986" t="s">
        <v>118</v>
      </c>
      <c r="Q115" s="3986" t="s">
        <v>118</v>
      </c>
      <c r="R115" s="4339" t="s">
        <v>46</v>
      </c>
      <c r="S115" s="3986" t="s">
        <v>46</v>
      </c>
      <c r="T115" s="3986" t="s">
        <v>46</v>
      </c>
      <c r="U115" s="3986" t="s">
        <v>46</v>
      </c>
      <c r="V115" s="3986" t="s">
        <v>46</v>
      </c>
      <c r="W115" s="3986" t="s">
        <v>46</v>
      </c>
      <c r="X115" s="4338" t="s">
        <v>118</v>
      </c>
      <c r="Y115" s="4338" t="s">
        <v>118</v>
      </c>
      <c r="Z115" s="4338" t="s">
        <v>118</v>
      </c>
      <c r="AA115" s="4340" t="s">
        <v>118</v>
      </c>
      <c r="AB115" s="4338" t="s">
        <v>118</v>
      </c>
      <c r="AC115" s="4338" t="s">
        <v>118</v>
      </c>
      <c r="AD115" s="4338" t="s">
        <v>46</v>
      </c>
      <c r="AE115" s="4338" t="s">
        <v>46</v>
      </c>
      <c r="AF115" s="4338" t="s">
        <v>46</v>
      </c>
    </row>
    <row r="116" spans="1:32" ht="18" customHeight="1">
      <c r="B116" s="3994" t="s">
        <v>385</v>
      </c>
      <c r="C116" s="4341" t="s">
        <v>118</v>
      </c>
      <c r="D116" s="4341" t="s">
        <v>186</v>
      </c>
      <c r="E116" s="3887" t="s">
        <v>118</v>
      </c>
      <c r="F116" s="4048" t="s">
        <v>46</v>
      </c>
      <c r="G116" s="4048" t="s">
        <v>46</v>
      </c>
      <c r="H116" s="4048" t="s">
        <v>46</v>
      </c>
      <c r="I116" s="1586" t="s">
        <v>46</v>
      </c>
      <c r="J116" s="1586" t="s">
        <v>46</v>
      </c>
      <c r="K116" s="1586" t="s">
        <v>46</v>
      </c>
      <c r="L116" s="1586" t="s">
        <v>46</v>
      </c>
      <c r="M116" s="1586" t="s">
        <v>46</v>
      </c>
      <c r="N116" s="1586" t="s">
        <v>46</v>
      </c>
      <c r="O116" s="1586" t="s">
        <v>46</v>
      </c>
      <c r="P116" s="1586" t="s">
        <v>46</v>
      </c>
      <c r="Q116" s="1586" t="s">
        <v>46</v>
      </c>
      <c r="R116" s="1586" t="s">
        <v>118</v>
      </c>
      <c r="S116" s="1586" t="s">
        <v>118</v>
      </c>
      <c r="T116" s="1586" t="s">
        <v>118</v>
      </c>
      <c r="U116" s="1586" t="s">
        <v>118</v>
      </c>
      <c r="V116" s="1586" t="s">
        <v>118</v>
      </c>
      <c r="W116" s="1586" t="s">
        <v>118</v>
      </c>
      <c r="X116" s="3986" t="s">
        <v>46</v>
      </c>
      <c r="Y116" s="4337" t="s">
        <v>46</v>
      </c>
      <c r="Z116" s="4337" t="s">
        <v>46</v>
      </c>
      <c r="AA116" s="4337" t="s">
        <v>46</v>
      </c>
      <c r="AB116" s="4337" t="s">
        <v>46</v>
      </c>
      <c r="AC116" s="4337" t="s">
        <v>46</v>
      </c>
      <c r="AD116" s="4338" t="s">
        <v>46</v>
      </c>
      <c r="AE116" s="4338" t="s">
        <v>0</v>
      </c>
      <c r="AF116" s="4338" t="s">
        <v>139</v>
      </c>
    </row>
    <row r="117" spans="1:32" ht="18" customHeight="1">
      <c r="B117" s="142"/>
      <c r="C117" s="124"/>
      <c r="D117" s="124"/>
      <c r="E117" s="116"/>
      <c r="F117" s="116"/>
      <c r="G117" s="116"/>
      <c r="H117" s="108"/>
      <c r="I117" s="116"/>
      <c r="J117" s="116"/>
      <c r="K117" s="116"/>
      <c r="L117" s="116"/>
      <c r="M117" s="116"/>
      <c r="N117" s="116"/>
      <c r="O117" s="116"/>
      <c r="P117" s="116"/>
      <c r="Q117" s="116"/>
      <c r="R117" s="116"/>
      <c r="S117" s="116"/>
      <c r="T117" s="116"/>
      <c r="U117" s="116"/>
      <c r="V117" s="116"/>
      <c r="W117" s="116"/>
      <c r="X117" s="116"/>
      <c r="Y117" s="116"/>
      <c r="Z117" s="116"/>
      <c r="AA117" s="116"/>
      <c r="AB117" s="116"/>
      <c r="AC117" s="116"/>
      <c r="AD117" s="116"/>
      <c r="AE117" s="116"/>
      <c r="AF117" s="116"/>
    </row>
    <row r="118" spans="1:32" ht="18" customHeight="1">
      <c r="A118" s="3" t="s">
        <v>188</v>
      </c>
    </row>
    <row r="119" spans="1:32" ht="18" customHeight="1">
      <c r="B119" s="134"/>
      <c r="C119" s="135"/>
      <c r="D119" s="135"/>
      <c r="E119" s="138"/>
      <c r="F119" s="135"/>
      <c r="G119" s="135"/>
      <c r="H119" s="135"/>
      <c r="I119" s="135"/>
      <c r="J119" s="135"/>
      <c r="K119" s="141" t="s">
        <v>15</v>
      </c>
      <c r="L119" s="139"/>
      <c r="M119" s="135"/>
      <c r="N119" s="135"/>
      <c r="O119" s="135"/>
      <c r="P119" s="135"/>
      <c r="Q119" s="135"/>
      <c r="R119" s="135"/>
      <c r="S119" s="135"/>
      <c r="T119" s="137"/>
    </row>
    <row r="120" spans="1:32" ht="18" customHeight="1">
      <c r="B120" s="134" t="s">
        <v>180</v>
      </c>
      <c r="C120" s="135"/>
      <c r="D120" s="135"/>
      <c r="E120" s="136" t="s">
        <v>189</v>
      </c>
      <c r="F120" s="135"/>
      <c r="G120" s="135"/>
      <c r="H120" s="135"/>
      <c r="I120" s="135"/>
      <c r="J120" s="135"/>
      <c r="K120" s="135" t="s">
        <v>0</v>
      </c>
      <c r="L120" s="135"/>
      <c r="M120" s="144"/>
      <c r="N120" s="144"/>
      <c r="O120" s="144"/>
      <c r="P120" s="144"/>
      <c r="Q120" s="144"/>
      <c r="R120" s="144"/>
      <c r="S120" s="144"/>
      <c r="T120" s="145"/>
      <c r="U120" s="101"/>
      <c r="V120" s="101"/>
    </row>
    <row r="121" spans="1:32" ht="18" customHeight="1">
      <c r="S121" s="300" t="s">
        <v>559</v>
      </c>
      <c r="T121" s="299"/>
      <c r="U121" s="299"/>
      <c r="V121" s="299"/>
      <c r="W121" s="299"/>
    </row>
    <row r="122" spans="1:32" ht="18" customHeight="1">
      <c r="B122" s="1482" t="s">
        <v>38</v>
      </c>
      <c r="C122" s="2986">
        <v>1</v>
      </c>
      <c r="D122" s="2986">
        <v>2</v>
      </c>
      <c r="E122" s="2985">
        <v>3</v>
      </c>
      <c r="F122" s="2985">
        <v>4</v>
      </c>
      <c r="G122" s="2985">
        <v>5</v>
      </c>
      <c r="H122" s="2985">
        <v>6</v>
      </c>
      <c r="I122" s="2985">
        <v>7</v>
      </c>
      <c r="J122" s="2986">
        <v>8</v>
      </c>
      <c r="K122" s="2986">
        <v>9</v>
      </c>
      <c r="L122" s="2985">
        <v>10</v>
      </c>
      <c r="M122" s="2985">
        <v>11</v>
      </c>
      <c r="N122" s="2985">
        <v>12</v>
      </c>
      <c r="O122" s="2985">
        <v>13</v>
      </c>
      <c r="P122" s="2985">
        <v>14</v>
      </c>
      <c r="Q122" s="2986">
        <v>15</v>
      </c>
      <c r="R122" s="2986">
        <v>16</v>
      </c>
      <c r="S122" s="2985">
        <v>17</v>
      </c>
      <c r="T122" s="2985">
        <v>18</v>
      </c>
      <c r="U122" s="2985">
        <v>19</v>
      </c>
      <c r="V122" s="2985">
        <v>20</v>
      </c>
      <c r="W122" s="2985">
        <v>21</v>
      </c>
      <c r="X122" s="2986">
        <v>22</v>
      </c>
      <c r="Y122" s="2986">
        <v>23</v>
      </c>
      <c r="Z122" s="2985">
        <v>24</v>
      </c>
      <c r="AA122" s="2985">
        <v>25</v>
      </c>
      <c r="AB122" s="2985">
        <v>26</v>
      </c>
      <c r="AC122" s="2985">
        <v>27</v>
      </c>
      <c r="AD122" s="2985">
        <v>28</v>
      </c>
      <c r="AE122" s="2986">
        <v>29</v>
      </c>
      <c r="AF122" s="2986">
        <v>30</v>
      </c>
    </row>
    <row r="123" spans="1:32" ht="18" customHeight="1">
      <c r="B123" s="4036" t="s">
        <v>0</v>
      </c>
      <c r="C123" s="484"/>
      <c r="D123" s="484" t="s">
        <v>61</v>
      </c>
      <c r="E123" s="484" t="s">
        <v>61</v>
      </c>
      <c r="F123" s="484" t="s">
        <v>61</v>
      </c>
      <c r="G123" s="3991" t="s">
        <v>46</v>
      </c>
      <c r="H123" s="3991" t="s">
        <v>46</v>
      </c>
      <c r="I123" s="3991" t="s">
        <v>46</v>
      </c>
      <c r="J123" s="3991" t="s">
        <v>46</v>
      </c>
      <c r="K123" s="3991" t="s">
        <v>46</v>
      </c>
      <c r="L123" s="4290" t="s">
        <v>61</v>
      </c>
      <c r="M123" s="4290" t="s">
        <v>61</v>
      </c>
      <c r="N123" s="4290" t="s">
        <v>61</v>
      </c>
      <c r="O123" s="480" t="s">
        <v>46</v>
      </c>
      <c r="P123" s="480" t="s">
        <v>46</v>
      </c>
      <c r="Q123" s="480" t="s">
        <v>46</v>
      </c>
      <c r="R123" s="480" t="s">
        <v>46</v>
      </c>
      <c r="S123" s="480" t="s">
        <v>46</v>
      </c>
      <c r="T123" s="480" t="s">
        <v>46</v>
      </c>
      <c r="U123" s="480" t="s">
        <v>46</v>
      </c>
      <c r="V123" s="480" t="s">
        <v>46</v>
      </c>
      <c r="W123" s="480" t="s">
        <v>61</v>
      </c>
      <c r="X123" s="480" t="s">
        <v>61</v>
      </c>
      <c r="Y123" s="480" t="s">
        <v>61</v>
      </c>
      <c r="Z123" s="480" t="s">
        <v>46</v>
      </c>
      <c r="AA123" s="480" t="s">
        <v>46</v>
      </c>
      <c r="AB123" s="480" t="s">
        <v>46</v>
      </c>
      <c r="AC123" s="4281" t="s">
        <v>61</v>
      </c>
      <c r="AD123" s="4281" t="s">
        <v>61</v>
      </c>
      <c r="AE123" s="4281" t="s">
        <v>61</v>
      </c>
      <c r="AF123" s="484"/>
    </row>
    <row r="124" spans="1:32" ht="18" customHeight="1">
      <c r="B124" s="4259" t="s">
        <v>191</v>
      </c>
      <c r="C124" s="4281" t="s">
        <v>46</v>
      </c>
      <c r="D124" s="4281" t="s">
        <v>46</v>
      </c>
      <c r="E124" s="4281" t="s">
        <v>46</v>
      </c>
      <c r="F124" s="4310" t="s">
        <v>46</v>
      </c>
      <c r="G124" s="484" t="s">
        <v>61</v>
      </c>
      <c r="H124" s="484" t="s">
        <v>61</v>
      </c>
      <c r="I124" s="484" t="s">
        <v>61</v>
      </c>
      <c r="J124" s="3991" t="s">
        <v>46</v>
      </c>
      <c r="K124" s="3991" t="s">
        <v>46</v>
      </c>
      <c r="L124" s="3991" t="s">
        <v>46</v>
      </c>
      <c r="M124" s="3991" t="s">
        <v>46</v>
      </c>
      <c r="N124" s="3991" t="s">
        <v>46</v>
      </c>
      <c r="O124" s="4342" t="s">
        <v>61</v>
      </c>
      <c r="P124" s="4342" t="s">
        <v>61</v>
      </c>
      <c r="Q124" s="4342" t="s">
        <v>61</v>
      </c>
      <c r="R124" s="4281" t="s">
        <v>46</v>
      </c>
      <c r="S124" s="4281" t="s">
        <v>46</v>
      </c>
      <c r="T124" s="4281" t="s">
        <v>61</v>
      </c>
      <c r="U124" s="4281" t="s">
        <v>61</v>
      </c>
      <c r="V124" s="4281" t="s">
        <v>61</v>
      </c>
      <c r="W124" s="4310" t="s">
        <v>46</v>
      </c>
      <c r="X124" s="4310" t="s">
        <v>46</v>
      </c>
      <c r="Y124" s="4310" t="s">
        <v>46</v>
      </c>
      <c r="Z124" s="4343" t="s">
        <v>61</v>
      </c>
      <c r="AA124" s="4344" t="s">
        <v>61</v>
      </c>
      <c r="AB124" s="4290" t="s">
        <v>61</v>
      </c>
      <c r="AC124" s="480" t="s">
        <v>46</v>
      </c>
      <c r="AD124" s="480" t="s">
        <v>46</v>
      </c>
      <c r="AE124" s="480" t="s">
        <v>46</v>
      </c>
      <c r="AF124" s="4345" t="s">
        <v>61</v>
      </c>
    </row>
    <row r="125" spans="1:32" ht="18" customHeight="1">
      <c r="B125" s="4259" t="s">
        <v>0</v>
      </c>
      <c r="C125" s="3991"/>
      <c r="D125" s="3991"/>
      <c r="E125" s="3991"/>
      <c r="F125" s="3991"/>
      <c r="G125" s="3991"/>
      <c r="H125" s="3991"/>
      <c r="I125" s="3991"/>
      <c r="J125" s="3991"/>
      <c r="K125" s="3991"/>
      <c r="L125" s="3991"/>
      <c r="M125" s="3991"/>
      <c r="N125" s="3991"/>
      <c r="O125" s="3991"/>
      <c r="P125" s="3991"/>
      <c r="Q125" s="3991"/>
      <c r="R125" s="3991"/>
      <c r="S125" s="3991"/>
      <c r="T125" s="3991"/>
      <c r="U125" s="3991"/>
      <c r="V125" s="3991"/>
      <c r="W125" s="3991"/>
      <c r="X125" s="3991"/>
      <c r="Y125" s="3991"/>
      <c r="Z125" s="3991"/>
      <c r="AA125" s="3991"/>
      <c r="AB125" s="3991"/>
      <c r="AC125" s="3991"/>
      <c r="AD125" s="3991"/>
      <c r="AE125" s="3991"/>
      <c r="AF125" s="3991"/>
    </row>
    <row r="126" spans="1:32" ht="18" customHeight="1">
      <c r="B126" s="1455" t="s">
        <v>0</v>
      </c>
      <c r="C126" s="1456" t="s">
        <v>0</v>
      </c>
      <c r="D126" s="1456" t="s">
        <v>0</v>
      </c>
      <c r="E126" s="1456" t="s">
        <v>0</v>
      </c>
      <c r="F126" s="1456" t="s">
        <v>0</v>
      </c>
      <c r="G126" s="1456" t="s">
        <v>0</v>
      </c>
      <c r="H126" s="1456" t="s">
        <v>0</v>
      </c>
      <c r="I126" s="1456" t="s">
        <v>0</v>
      </c>
      <c r="J126" s="1456" t="s">
        <v>0</v>
      </c>
      <c r="K126" s="1456" t="s">
        <v>0</v>
      </c>
      <c r="L126" s="1456" t="s">
        <v>0</v>
      </c>
      <c r="M126" s="1456" t="s">
        <v>0</v>
      </c>
      <c r="N126" s="1456" t="s">
        <v>0</v>
      </c>
      <c r="O126" s="1456" t="s">
        <v>0</v>
      </c>
      <c r="P126" s="1456" t="s">
        <v>0</v>
      </c>
      <c r="Q126" s="1456" t="s">
        <v>0</v>
      </c>
      <c r="R126" s="1456" t="s">
        <v>0</v>
      </c>
      <c r="S126" s="1456" t="s">
        <v>0</v>
      </c>
      <c r="T126" s="1456" t="s">
        <v>0</v>
      </c>
      <c r="U126" s="1456" t="s">
        <v>0</v>
      </c>
      <c r="V126" s="1456" t="s">
        <v>0</v>
      </c>
      <c r="W126" s="1456" t="s">
        <v>0</v>
      </c>
      <c r="X126" s="1456" t="s">
        <v>0</v>
      </c>
      <c r="Y126" s="1456" t="s">
        <v>0</v>
      </c>
      <c r="Z126" s="1456" t="s">
        <v>0</v>
      </c>
      <c r="AA126" s="1456" t="s">
        <v>0</v>
      </c>
      <c r="AB126" s="1456" t="s">
        <v>0</v>
      </c>
      <c r="AC126" s="1456" t="s">
        <v>0</v>
      </c>
      <c r="AD126" s="1456" t="s">
        <v>0</v>
      </c>
      <c r="AE126" s="1456" t="s">
        <v>0</v>
      </c>
      <c r="AF126" s="1456" t="s">
        <v>0</v>
      </c>
    </row>
    <row r="127" spans="1:32" ht="18" customHeight="1">
      <c r="A127" s="3" t="s">
        <v>192</v>
      </c>
    </row>
    <row r="128" spans="1:32" ht="18" customHeight="1">
      <c r="B128" s="134"/>
      <c r="C128" s="135"/>
      <c r="D128" s="135"/>
      <c r="E128" s="138"/>
      <c r="F128" s="135"/>
      <c r="G128" s="135"/>
      <c r="H128" s="135"/>
      <c r="I128" s="135"/>
      <c r="J128" s="135"/>
      <c r="K128" s="141" t="s">
        <v>15</v>
      </c>
      <c r="L128" s="139"/>
      <c r="M128" s="139"/>
      <c r="N128" s="139"/>
      <c r="O128" s="139"/>
      <c r="P128" s="139"/>
      <c r="Q128" s="139"/>
      <c r="R128" s="139"/>
      <c r="S128" s="139"/>
      <c r="T128" s="140"/>
    </row>
    <row r="129" spans="1:32" ht="18" customHeight="1">
      <c r="B129" s="134" t="s">
        <v>180</v>
      </c>
      <c r="C129" s="135"/>
      <c r="D129" s="135"/>
      <c r="E129" s="136" t="s">
        <v>193</v>
      </c>
      <c r="F129" s="135"/>
      <c r="G129" s="135"/>
      <c r="H129" s="135"/>
      <c r="I129" s="135"/>
      <c r="J129" s="135"/>
      <c r="K129" s="135"/>
      <c r="L129" s="135"/>
      <c r="M129" s="135"/>
      <c r="N129" s="135"/>
      <c r="O129" s="135"/>
      <c r="P129" s="135"/>
      <c r="Q129" s="135"/>
      <c r="R129" s="147"/>
      <c r="S129" s="147"/>
      <c r="T129" s="147"/>
    </row>
    <row r="130" spans="1:32" ht="18" customHeight="1">
      <c r="S130" s="300" t="s">
        <v>559</v>
      </c>
      <c r="T130" s="299"/>
      <c r="U130" s="299"/>
      <c r="V130" s="299"/>
      <c r="W130" s="299"/>
    </row>
    <row r="131" spans="1:32" ht="18" customHeight="1">
      <c r="B131" s="1482" t="s">
        <v>38</v>
      </c>
      <c r="C131" s="2986">
        <v>1</v>
      </c>
      <c r="D131" s="2986">
        <v>2</v>
      </c>
      <c r="E131" s="2985">
        <v>3</v>
      </c>
      <c r="F131" s="2985">
        <v>4</v>
      </c>
      <c r="G131" s="2985">
        <v>5</v>
      </c>
      <c r="H131" s="2985">
        <v>6</v>
      </c>
      <c r="I131" s="2985">
        <v>7</v>
      </c>
      <c r="J131" s="2986">
        <v>8</v>
      </c>
      <c r="K131" s="2986">
        <v>9</v>
      </c>
      <c r="L131" s="2985">
        <v>10</v>
      </c>
      <c r="M131" s="2985">
        <v>11</v>
      </c>
      <c r="N131" s="2985">
        <v>12</v>
      </c>
      <c r="O131" s="2985">
        <v>13</v>
      </c>
      <c r="P131" s="2985">
        <v>14</v>
      </c>
      <c r="Q131" s="2986">
        <v>15</v>
      </c>
      <c r="R131" s="2986">
        <v>16</v>
      </c>
      <c r="S131" s="2985">
        <v>17</v>
      </c>
      <c r="T131" s="2985">
        <v>18</v>
      </c>
      <c r="U131" s="2985">
        <v>19</v>
      </c>
      <c r="V131" s="2985">
        <v>20</v>
      </c>
      <c r="W131" s="2985">
        <v>21</v>
      </c>
      <c r="X131" s="2986">
        <v>22</v>
      </c>
      <c r="Y131" s="2986">
        <v>23</v>
      </c>
      <c r="Z131" s="2985">
        <v>24</v>
      </c>
      <c r="AA131" s="2985">
        <v>25</v>
      </c>
      <c r="AB131" s="2985">
        <v>26</v>
      </c>
      <c r="AC131" s="2985">
        <v>27</v>
      </c>
      <c r="AD131" s="2985">
        <v>28</v>
      </c>
      <c r="AE131" s="2986">
        <v>29</v>
      </c>
      <c r="AF131" s="2986">
        <v>30</v>
      </c>
    </row>
    <row r="132" spans="1:32" ht="18" customHeight="1">
      <c r="B132" s="1518" t="s">
        <v>462</v>
      </c>
      <c r="C132" s="4290" t="s">
        <v>139</v>
      </c>
      <c r="D132" s="3996" t="s">
        <v>139</v>
      </c>
      <c r="E132" s="3996" t="s">
        <v>139</v>
      </c>
      <c r="F132" s="3996" t="s">
        <v>139</v>
      </c>
      <c r="G132" s="4290" t="s">
        <v>139</v>
      </c>
      <c r="H132" s="4290" t="s">
        <v>139</v>
      </c>
      <c r="I132" s="4290" t="s">
        <v>139</v>
      </c>
      <c r="J132" s="1566"/>
      <c r="K132" s="1505"/>
      <c r="L132" s="1505"/>
      <c r="M132" s="4290" t="s">
        <v>139</v>
      </c>
      <c r="N132" s="4290" t="s">
        <v>139</v>
      </c>
      <c r="O132" s="4346" t="s">
        <v>139</v>
      </c>
      <c r="P132" s="4343" t="s">
        <v>139</v>
      </c>
      <c r="Q132" s="1505"/>
      <c r="R132" s="1567"/>
      <c r="S132" s="1568"/>
      <c r="T132" s="1504"/>
      <c r="U132" s="4290" t="s">
        <v>139</v>
      </c>
      <c r="V132" s="4290" t="s">
        <v>139</v>
      </c>
      <c r="W132" s="4290" t="s">
        <v>139</v>
      </c>
      <c r="X132" s="1505"/>
      <c r="Y132" s="1505"/>
      <c r="Z132" s="3996" t="s">
        <v>139</v>
      </c>
      <c r="AA132" s="3996" t="s">
        <v>139</v>
      </c>
      <c r="AB132" s="1505"/>
      <c r="AC132" s="4290" t="s">
        <v>139</v>
      </c>
      <c r="AD132" s="4290" t="s">
        <v>139</v>
      </c>
      <c r="AE132" s="4290" t="s">
        <v>139</v>
      </c>
      <c r="AF132" s="1504"/>
    </row>
    <row r="133" spans="1:32" ht="18" customHeight="1">
      <c r="B133" s="4259" t="s">
        <v>185</v>
      </c>
      <c r="C133" s="3991"/>
      <c r="D133" s="4347" t="s">
        <v>139</v>
      </c>
      <c r="E133" s="4347" t="s">
        <v>139</v>
      </c>
      <c r="F133" s="4347" t="s">
        <v>139</v>
      </c>
      <c r="G133" s="3991"/>
      <c r="H133" s="3991"/>
      <c r="I133" s="4348"/>
      <c r="J133" s="3989" t="s">
        <v>139</v>
      </c>
      <c r="K133" s="3989" t="s">
        <v>139</v>
      </c>
      <c r="L133" s="3989" t="s">
        <v>139</v>
      </c>
      <c r="M133" s="3989"/>
      <c r="N133" s="3989"/>
      <c r="O133" s="4349"/>
      <c r="P133" s="4348"/>
      <c r="Q133" s="4348"/>
      <c r="R133" s="3989" t="s">
        <v>139</v>
      </c>
      <c r="S133" s="3989" t="s">
        <v>139</v>
      </c>
      <c r="T133" s="3989" t="s">
        <v>139</v>
      </c>
      <c r="U133" s="3991"/>
      <c r="V133" s="3991"/>
      <c r="W133" s="3991"/>
      <c r="X133" s="3991"/>
      <c r="Y133" s="3989"/>
      <c r="Z133" s="4347" t="s">
        <v>139</v>
      </c>
      <c r="AA133" s="4347" t="s">
        <v>139</v>
      </c>
      <c r="AB133" s="3989" t="s">
        <v>139</v>
      </c>
      <c r="AC133" s="3989"/>
      <c r="AD133" s="3991"/>
      <c r="AE133" s="3991"/>
      <c r="AF133" s="4281"/>
    </row>
    <row r="134" spans="1:32" ht="18" customHeight="1">
      <c r="C134" s="320"/>
      <c r="D134" s="320"/>
      <c r="E134" s="320"/>
      <c r="F134" s="320"/>
      <c r="G134" s="320"/>
      <c r="H134" s="320"/>
      <c r="I134" s="320"/>
      <c r="J134" s="320"/>
      <c r="K134" s="320"/>
      <c r="L134" s="320"/>
      <c r="M134" s="320"/>
      <c r="N134" s="320"/>
      <c r="O134" s="320"/>
      <c r="P134" s="320"/>
      <c r="Q134" s="320"/>
      <c r="R134" s="320"/>
      <c r="S134" s="320"/>
      <c r="T134" s="320"/>
      <c r="U134" s="320"/>
      <c r="V134" s="320"/>
      <c r="W134" s="320"/>
      <c r="X134" s="320"/>
      <c r="Y134" s="320"/>
      <c r="Z134" s="320"/>
      <c r="AA134" s="320"/>
      <c r="AB134" s="320"/>
      <c r="AC134" s="320"/>
      <c r="AD134" s="320"/>
      <c r="AE134" s="320"/>
      <c r="AF134" s="4350"/>
    </row>
    <row r="135" spans="1:32" ht="18" customHeight="1">
      <c r="C135" s="116"/>
      <c r="D135" s="116"/>
      <c r="E135" s="116"/>
      <c r="F135" s="116"/>
      <c r="G135" s="116"/>
      <c r="H135" s="108"/>
      <c r="I135" s="116"/>
      <c r="J135" s="116"/>
      <c r="K135" s="116"/>
      <c r="L135" s="116"/>
      <c r="M135" s="116"/>
      <c r="N135" s="116"/>
      <c r="O135" s="116"/>
      <c r="P135" s="116"/>
      <c r="Q135" s="116"/>
      <c r="R135" s="116"/>
      <c r="S135" s="116"/>
      <c r="T135" s="116"/>
      <c r="U135" s="116"/>
      <c r="V135" s="116"/>
      <c r="W135" s="116"/>
      <c r="X135" s="116"/>
      <c r="Y135" s="116"/>
      <c r="Z135" s="116"/>
      <c r="AA135" s="116"/>
      <c r="AB135" s="116"/>
      <c r="AC135" s="116"/>
      <c r="AD135" s="116"/>
      <c r="AE135" s="116"/>
      <c r="AF135" s="116"/>
    </row>
    <row r="136" spans="1:32" ht="18" customHeight="1">
      <c r="A136" s="3" t="s">
        <v>196</v>
      </c>
      <c r="C136" s="116"/>
      <c r="D136" s="116"/>
      <c r="E136" s="116"/>
      <c r="F136" s="116"/>
      <c r="G136" s="116"/>
      <c r="H136" s="108"/>
      <c r="I136" s="116"/>
      <c r="J136" s="124"/>
      <c r="K136" s="116"/>
      <c r="L136" s="116"/>
      <c r="M136" s="116"/>
      <c r="N136" s="116"/>
      <c r="O136" s="116"/>
      <c r="P136" s="116"/>
      <c r="Q136" s="124" t="s">
        <v>0</v>
      </c>
      <c r="R136" s="116"/>
      <c r="S136" s="116"/>
      <c r="T136" s="116"/>
      <c r="U136" s="116"/>
      <c r="V136" s="116"/>
      <c r="W136" s="116"/>
      <c r="X136" s="124" t="s">
        <v>0</v>
      </c>
      <c r="Y136" s="124" t="s">
        <v>0</v>
      </c>
      <c r="Z136" s="116"/>
      <c r="AA136" s="116"/>
      <c r="AB136" s="116"/>
      <c r="AC136" s="116"/>
      <c r="AD136" s="116"/>
      <c r="AE136" s="116"/>
      <c r="AF136" s="116" t="s">
        <v>0</v>
      </c>
    </row>
    <row r="137" spans="1:32" ht="18" customHeight="1">
      <c r="B137" s="134"/>
      <c r="C137" s="135"/>
      <c r="D137" s="135"/>
      <c r="E137" s="138" t="s">
        <v>179</v>
      </c>
      <c r="F137" s="135"/>
      <c r="G137" s="135"/>
      <c r="H137" s="135"/>
      <c r="I137" s="135"/>
      <c r="J137" s="135"/>
      <c r="K137" s="141" t="s">
        <v>15</v>
      </c>
      <c r="L137" s="139"/>
      <c r="M137" s="139"/>
      <c r="N137" s="139"/>
      <c r="O137" s="139"/>
      <c r="P137" s="139"/>
      <c r="Q137" s="139"/>
      <c r="R137" s="139"/>
      <c r="S137" s="139"/>
      <c r="T137" s="140"/>
      <c r="U137" s="116"/>
      <c r="V137" s="116"/>
      <c r="W137" s="116"/>
      <c r="X137" s="124"/>
      <c r="Y137" s="124"/>
      <c r="Z137" s="116"/>
      <c r="AA137" s="116"/>
      <c r="AB137" s="116"/>
      <c r="AC137" s="116"/>
      <c r="AD137" s="116"/>
      <c r="AE137" s="116"/>
      <c r="AF137" s="116"/>
    </row>
    <row r="138" spans="1:32" ht="18" customHeight="1">
      <c r="B138" s="878" t="s">
        <v>180</v>
      </c>
      <c r="C138" s="879" t="s">
        <v>547</v>
      </c>
      <c r="D138" s="877"/>
      <c r="E138" s="877"/>
      <c r="F138" s="877"/>
      <c r="G138" s="877" t="s">
        <v>548</v>
      </c>
      <c r="H138" s="877"/>
      <c r="I138" s="877"/>
      <c r="J138" s="877"/>
      <c r="K138" s="877" t="s">
        <v>549</v>
      </c>
      <c r="L138" s="877"/>
      <c r="M138" s="877"/>
      <c r="N138" s="877"/>
      <c r="O138" s="877" t="s">
        <v>550</v>
      </c>
      <c r="P138" s="877"/>
      <c r="Q138" s="877"/>
      <c r="R138" s="877"/>
      <c r="S138" s="147"/>
      <c r="T138" s="147"/>
      <c r="U138" s="116"/>
      <c r="V138" s="116"/>
      <c r="W138" s="116"/>
      <c r="X138" s="124"/>
      <c r="Y138" s="124"/>
      <c r="Z138" s="116"/>
      <c r="AA138" s="116"/>
      <c r="AB138" s="116"/>
      <c r="AC138" s="116"/>
      <c r="AD138" s="116"/>
      <c r="AE138" s="116"/>
      <c r="AF138" s="116"/>
    </row>
    <row r="139" spans="1:32" ht="18" customHeight="1">
      <c r="B139" s="115"/>
      <c r="C139" s="116"/>
      <c r="D139" s="116"/>
      <c r="E139" s="116"/>
      <c r="F139" s="116"/>
      <c r="G139" s="116"/>
      <c r="H139" s="108"/>
      <c r="I139" s="116"/>
      <c r="J139" s="124"/>
      <c r="K139" s="116"/>
      <c r="L139" s="116"/>
      <c r="M139" s="116"/>
      <c r="N139" s="116"/>
      <c r="O139" s="116"/>
      <c r="P139" s="116"/>
      <c r="Q139" s="124"/>
      <c r="R139" s="116"/>
      <c r="S139" s="116"/>
      <c r="T139" s="116"/>
      <c r="U139" s="116"/>
      <c r="V139" s="116"/>
      <c r="W139" s="116"/>
      <c r="X139" s="124"/>
      <c r="Y139" s="124"/>
      <c r="Z139" s="116"/>
      <c r="AA139" s="116"/>
      <c r="AB139" s="116"/>
      <c r="AC139" s="116"/>
      <c r="AD139" s="116"/>
      <c r="AE139" s="116"/>
      <c r="AF139" s="116"/>
    </row>
    <row r="140" spans="1:32" ht="15">
      <c r="S140" s="300" t="s">
        <v>559</v>
      </c>
      <c r="T140" s="299"/>
      <c r="U140" s="299"/>
      <c r="V140" s="299"/>
      <c r="W140" s="299"/>
    </row>
    <row r="141" spans="1:32" ht="18" customHeight="1">
      <c r="B141" s="1469" t="s">
        <v>197</v>
      </c>
      <c r="C141" s="2986">
        <v>1</v>
      </c>
      <c r="D141" s="2986">
        <v>2</v>
      </c>
      <c r="E141" s="2985">
        <v>3</v>
      </c>
      <c r="F141" s="2985">
        <v>4</v>
      </c>
      <c r="G141" s="2985">
        <v>5</v>
      </c>
      <c r="H141" s="2985">
        <v>6</v>
      </c>
      <c r="I141" s="2985">
        <v>7</v>
      </c>
      <c r="J141" s="2986">
        <v>8</v>
      </c>
      <c r="K141" s="2986">
        <v>9</v>
      </c>
      <c r="L141" s="2985">
        <v>10</v>
      </c>
      <c r="M141" s="2985">
        <v>11</v>
      </c>
      <c r="N141" s="2985">
        <v>12</v>
      </c>
      <c r="O141" s="2985">
        <v>13</v>
      </c>
      <c r="P141" s="2985">
        <v>14</v>
      </c>
      <c r="Q141" s="2986">
        <v>15</v>
      </c>
      <c r="R141" s="2986">
        <v>16</v>
      </c>
      <c r="S141" s="2985">
        <v>17</v>
      </c>
      <c r="T141" s="2985">
        <v>18</v>
      </c>
      <c r="U141" s="2985">
        <v>19</v>
      </c>
      <c r="V141" s="2985">
        <v>20</v>
      </c>
      <c r="W141" s="2985">
        <v>21</v>
      </c>
      <c r="X141" s="2986">
        <v>22</v>
      </c>
      <c r="Y141" s="2986">
        <v>23</v>
      </c>
      <c r="Z141" s="2985">
        <v>24</v>
      </c>
      <c r="AA141" s="2985">
        <v>25</v>
      </c>
      <c r="AB141" s="2985">
        <v>26</v>
      </c>
      <c r="AC141" s="2985">
        <v>27</v>
      </c>
      <c r="AD141" s="2985">
        <v>28</v>
      </c>
      <c r="AE141" s="2986">
        <v>29</v>
      </c>
      <c r="AF141" s="2986">
        <v>30</v>
      </c>
    </row>
    <row r="142" spans="1:32" ht="18" customHeight="1">
      <c r="B142" s="4022" t="s">
        <v>198</v>
      </c>
      <c r="C142" s="4281" t="s">
        <v>429</v>
      </c>
      <c r="D142" s="4290" t="s">
        <v>418</v>
      </c>
      <c r="E142" s="4290" t="s">
        <v>46</v>
      </c>
      <c r="F142" s="4290" t="s">
        <v>46</v>
      </c>
      <c r="G142" s="4290" t="s">
        <v>418</v>
      </c>
      <c r="H142" s="4290" t="s">
        <v>418</v>
      </c>
      <c r="I142" s="4290" t="s">
        <v>429</v>
      </c>
      <c r="J142" s="4281" t="s">
        <v>46</v>
      </c>
      <c r="K142" s="4281" t="s">
        <v>46</v>
      </c>
      <c r="L142" s="4281" t="s">
        <v>418</v>
      </c>
      <c r="M142" s="4281" t="s">
        <v>418</v>
      </c>
      <c r="N142" s="4281" t="s">
        <v>418</v>
      </c>
      <c r="O142" s="4351" t="s">
        <v>418</v>
      </c>
      <c r="P142" s="4281" t="s">
        <v>429</v>
      </c>
      <c r="Q142" s="4281" t="s">
        <v>429</v>
      </c>
      <c r="R142" s="4290" t="s">
        <v>418</v>
      </c>
      <c r="S142" s="4083" t="s">
        <v>46</v>
      </c>
      <c r="T142" s="4083" t="s">
        <v>46</v>
      </c>
      <c r="U142" s="4083" t="s">
        <v>46</v>
      </c>
      <c r="V142" s="4083" t="s">
        <v>46</v>
      </c>
      <c r="W142" s="4083" t="s">
        <v>46</v>
      </c>
      <c r="X142" s="4083" t="s">
        <v>46</v>
      </c>
      <c r="Y142" s="4083" t="s">
        <v>46</v>
      </c>
      <c r="Z142" s="4281" t="s">
        <v>113</v>
      </c>
      <c r="AA142" s="4281" t="s">
        <v>113</v>
      </c>
      <c r="AB142" s="4281" t="s">
        <v>113</v>
      </c>
      <c r="AC142" s="4352" t="s">
        <v>113</v>
      </c>
      <c r="AD142" s="4281" t="s">
        <v>373</v>
      </c>
      <c r="AE142" s="4281" t="s">
        <v>373</v>
      </c>
      <c r="AF142" s="4290" t="s">
        <v>113</v>
      </c>
    </row>
    <row r="143" spans="1:32" ht="18" customHeight="1">
      <c r="B143" s="4315" t="s">
        <v>155</v>
      </c>
      <c r="C143" s="4281" t="s">
        <v>373</v>
      </c>
      <c r="D143" s="4281" t="s">
        <v>113</v>
      </c>
      <c r="E143" s="4281" t="s">
        <v>113</v>
      </c>
      <c r="F143" s="4281" t="s">
        <v>46</v>
      </c>
      <c r="G143" s="4281" t="s">
        <v>46</v>
      </c>
      <c r="H143" s="4281" t="s">
        <v>46</v>
      </c>
      <c r="I143" s="4281" t="s">
        <v>46</v>
      </c>
      <c r="J143" s="4281" t="s">
        <v>46</v>
      </c>
      <c r="K143" s="4281" t="s">
        <v>46</v>
      </c>
      <c r="L143" s="4079" t="s">
        <v>113</v>
      </c>
      <c r="M143" s="4079" t="s">
        <v>113</v>
      </c>
      <c r="N143" s="4079" t="s">
        <v>113</v>
      </c>
      <c r="O143" s="4340" t="s">
        <v>113</v>
      </c>
      <c r="P143" s="4290" t="s">
        <v>373</v>
      </c>
      <c r="Q143" s="4281" t="s">
        <v>373</v>
      </c>
      <c r="R143" s="4281" t="s">
        <v>113</v>
      </c>
      <c r="S143" s="4281" t="s">
        <v>46</v>
      </c>
      <c r="T143" s="4281" t="s">
        <v>46</v>
      </c>
      <c r="U143" s="4281" t="s">
        <v>418</v>
      </c>
      <c r="V143" s="4281" t="s">
        <v>418</v>
      </c>
      <c r="W143" s="4281" t="s">
        <v>429</v>
      </c>
      <c r="X143" s="324" t="s">
        <v>0</v>
      </c>
      <c r="Y143" s="335" t="s">
        <v>0</v>
      </c>
      <c r="Z143" s="4079" t="s">
        <v>418</v>
      </c>
      <c r="AA143" s="4079" t="s">
        <v>418</v>
      </c>
      <c r="AB143" s="4079" t="s">
        <v>418</v>
      </c>
      <c r="AC143" s="4290" t="s">
        <v>418</v>
      </c>
      <c r="AD143" s="3998" t="s">
        <v>429</v>
      </c>
      <c r="AE143" s="3998" t="s">
        <v>429</v>
      </c>
      <c r="AF143" s="3998" t="s">
        <v>418</v>
      </c>
    </row>
    <row r="144" spans="1:32" ht="18" customHeight="1">
      <c r="B144" s="4353" t="s">
        <v>0</v>
      </c>
      <c r="C144" s="4281" t="s">
        <v>0</v>
      </c>
      <c r="D144" s="4281" t="s">
        <v>0</v>
      </c>
      <c r="E144" s="4281" t="s">
        <v>0</v>
      </c>
      <c r="F144" s="4281" t="s">
        <v>0</v>
      </c>
      <c r="G144" s="4281" t="s">
        <v>0</v>
      </c>
      <c r="H144" s="4281" t="s">
        <v>0</v>
      </c>
      <c r="I144" s="4281" t="s">
        <v>0</v>
      </c>
      <c r="J144" s="4281" t="s">
        <v>0</v>
      </c>
      <c r="K144" s="4281" t="s">
        <v>0</v>
      </c>
      <c r="L144" s="4281" t="s">
        <v>0</v>
      </c>
      <c r="M144" s="4281" t="s">
        <v>0</v>
      </c>
      <c r="N144" s="4281" t="s">
        <v>0</v>
      </c>
      <c r="O144" s="4281" t="s">
        <v>0</v>
      </c>
      <c r="P144" s="4281" t="s">
        <v>0</v>
      </c>
      <c r="Q144" s="4281" t="s">
        <v>0</v>
      </c>
      <c r="R144" s="4281" t="s">
        <v>0</v>
      </c>
      <c r="S144" s="4281" t="s">
        <v>0</v>
      </c>
      <c r="T144" s="4281" t="s">
        <v>0</v>
      </c>
      <c r="U144" s="4281" t="s">
        <v>0</v>
      </c>
      <c r="V144" s="4281" t="s">
        <v>0</v>
      </c>
      <c r="W144" s="4281" t="s">
        <v>0</v>
      </c>
      <c r="X144" s="4281" t="s">
        <v>0</v>
      </c>
      <c r="Y144" s="4281" t="s">
        <v>0</v>
      </c>
      <c r="Z144" s="4281" t="s">
        <v>0</v>
      </c>
      <c r="AA144" s="4281" t="s">
        <v>0</v>
      </c>
      <c r="AB144" s="4281" t="s">
        <v>0</v>
      </c>
      <c r="AC144" s="4281" t="s">
        <v>0</v>
      </c>
      <c r="AD144" s="4281" t="s">
        <v>0</v>
      </c>
      <c r="AE144" s="4281" t="s">
        <v>0</v>
      </c>
      <c r="AF144" s="4281" t="s">
        <v>0</v>
      </c>
    </row>
    <row r="145" spans="1:33" ht="18" customHeight="1">
      <c r="A145" s="323"/>
      <c r="B145" s="116"/>
      <c r="C145" s="116"/>
      <c r="D145" s="116"/>
      <c r="E145" s="116"/>
      <c r="F145" s="116"/>
      <c r="G145" s="116"/>
      <c r="H145" s="108"/>
      <c r="I145" s="116"/>
      <c r="J145" s="116"/>
      <c r="K145" s="116"/>
      <c r="L145" s="116"/>
      <c r="M145" s="116"/>
      <c r="N145" s="116"/>
      <c r="O145" s="116"/>
      <c r="P145" s="116"/>
      <c r="Q145" s="116"/>
      <c r="R145" s="116"/>
      <c r="S145" s="116"/>
      <c r="T145" s="116"/>
      <c r="U145" s="116"/>
      <c r="V145" s="116"/>
      <c r="W145" s="116"/>
      <c r="X145" s="116"/>
      <c r="Y145" s="116"/>
      <c r="Z145" s="116"/>
      <c r="AA145" s="116"/>
      <c r="AB145" s="116"/>
      <c r="AC145" s="116"/>
      <c r="AD145" s="116"/>
      <c r="AE145" s="116"/>
      <c r="AF145" s="116"/>
    </row>
    <row r="146" spans="1:33" ht="18" customHeight="1">
      <c r="A146" s="323" t="s">
        <v>503</v>
      </c>
      <c r="B146" s="116"/>
      <c r="C146" s="2986">
        <v>1</v>
      </c>
      <c r="D146" s="2986">
        <v>2</v>
      </c>
      <c r="E146" s="2985">
        <v>3</v>
      </c>
      <c r="F146" s="2985">
        <v>4</v>
      </c>
      <c r="G146" s="2985">
        <v>5</v>
      </c>
      <c r="H146" s="2985">
        <v>6</v>
      </c>
      <c r="I146" s="2985">
        <v>7</v>
      </c>
      <c r="J146" s="2986">
        <v>8</v>
      </c>
      <c r="K146" s="2986">
        <v>9</v>
      </c>
      <c r="L146" s="2985">
        <v>10</v>
      </c>
      <c r="M146" s="2985">
        <v>11</v>
      </c>
      <c r="N146" s="2985">
        <v>12</v>
      </c>
      <c r="O146" s="2985">
        <v>13</v>
      </c>
      <c r="P146" s="2985">
        <v>14</v>
      </c>
      <c r="Q146" s="2986">
        <v>15</v>
      </c>
      <c r="R146" s="2986">
        <v>16</v>
      </c>
      <c r="S146" s="2985">
        <v>17</v>
      </c>
      <c r="T146" s="2985">
        <v>18</v>
      </c>
      <c r="U146" s="2985">
        <v>19</v>
      </c>
      <c r="V146" s="2985">
        <v>20</v>
      </c>
      <c r="W146" s="2985">
        <v>21</v>
      </c>
      <c r="X146" s="2986">
        <v>22</v>
      </c>
      <c r="Y146" s="2986">
        <v>23</v>
      </c>
      <c r="Z146" s="2985">
        <v>24</v>
      </c>
      <c r="AA146" s="2985">
        <v>25</v>
      </c>
      <c r="AB146" s="2985">
        <v>26</v>
      </c>
      <c r="AC146" s="2985">
        <v>27</v>
      </c>
      <c r="AD146" s="2985">
        <v>28</v>
      </c>
      <c r="AE146" s="2986">
        <v>29</v>
      </c>
      <c r="AF146" s="2986">
        <v>30</v>
      </c>
    </row>
    <row r="147" spans="1:33" ht="18" customHeight="1">
      <c r="B147" s="157"/>
      <c r="C147" s="116"/>
      <c r="D147" s="116"/>
      <c r="E147" s="116"/>
      <c r="F147" s="116"/>
      <c r="G147" s="116"/>
      <c r="H147" s="108"/>
      <c r="I147" s="116"/>
      <c r="J147" s="116"/>
      <c r="K147" s="116"/>
      <c r="L147" s="116"/>
      <c r="M147" s="116"/>
      <c r="N147" s="116"/>
      <c r="O147" s="116"/>
      <c r="P147" s="116"/>
      <c r="Q147" s="116"/>
      <c r="R147" s="116"/>
      <c r="S147" s="116"/>
      <c r="T147" s="116"/>
      <c r="U147" s="116"/>
      <c r="V147" s="116"/>
      <c r="W147" s="116"/>
      <c r="X147" s="116"/>
      <c r="Y147" s="116"/>
      <c r="Z147" s="116"/>
      <c r="AA147" s="116"/>
      <c r="AB147" s="116"/>
      <c r="AC147" s="116"/>
      <c r="AD147" s="116"/>
      <c r="AE147" s="116"/>
      <c r="AF147" s="116"/>
    </row>
    <row r="148" spans="1:33" ht="18" customHeight="1">
      <c r="A148" s="3" t="s">
        <v>464</v>
      </c>
      <c r="R148" t="s">
        <v>465</v>
      </c>
    </row>
    <row r="149" spans="1:33" ht="18" customHeight="1">
      <c r="B149" s="134"/>
      <c r="C149" s="135"/>
      <c r="D149" s="135"/>
      <c r="E149" s="138" t="s">
        <v>179</v>
      </c>
      <c r="F149" s="135"/>
      <c r="G149" s="135"/>
      <c r="H149" s="135"/>
      <c r="I149" s="135"/>
      <c r="J149" s="135"/>
      <c r="K149" s="141" t="s">
        <v>15</v>
      </c>
      <c r="L149" s="139"/>
      <c r="M149" s="139"/>
      <c r="N149" s="139"/>
      <c r="O149" s="139"/>
      <c r="P149" s="139"/>
      <c r="Q149" s="139"/>
      <c r="R149" s="139"/>
      <c r="S149" s="139"/>
      <c r="T149" s="140"/>
    </row>
    <row r="150" spans="1:33" ht="18" customHeight="1">
      <c r="B150" s="134" t="s">
        <v>180</v>
      </c>
      <c r="C150" s="135"/>
      <c r="D150" s="135"/>
      <c r="E150" s="136" t="s">
        <v>389</v>
      </c>
      <c r="F150" s="135"/>
      <c r="G150" s="135"/>
      <c r="H150" s="135"/>
      <c r="I150" s="135"/>
      <c r="J150" s="135"/>
      <c r="K150" s="135" t="s">
        <v>0</v>
      </c>
      <c r="L150" s="135"/>
      <c r="M150" s="135"/>
      <c r="N150" s="135"/>
      <c r="O150" s="135"/>
      <c r="P150" s="135"/>
      <c r="Q150" s="135"/>
      <c r="R150" s="147" t="s">
        <v>0</v>
      </c>
      <c r="S150" s="147"/>
      <c r="T150" s="147"/>
    </row>
    <row r="151" spans="1:33" ht="18" customHeight="1">
      <c r="T151" s="101"/>
      <c r="U151" s="101"/>
      <c r="V151" s="101"/>
    </row>
    <row r="152" spans="1:33" ht="18" customHeight="1">
      <c r="B152" s="1469" t="s">
        <v>197</v>
      </c>
      <c r="C152" s="2985">
        <v>1</v>
      </c>
      <c r="D152" s="2986">
        <v>2</v>
      </c>
      <c r="E152" s="2986">
        <v>3</v>
      </c>
      <c r="F152" s="2985">
        <v>4</v>
      </c>
      <c r="G152" s="2985">
        <v>5</v>
      </c>
      <c r="H152" s="2985">
        <v>6</v>
      </c>
      <c r="I152" s="2985">
        <v>7</v>
      </c>
      <c r="J152" s="2985">
        <v>8</v>
      </c>
      <c r="K152" s="2986">
        <v>9</v>
      </c>
      <c r="L152" s="2986">
        <v>10</v>
      </c>
      <c r="M152" s="2985">
        <v>11</v>
      </c>
      <c r="N152" s="2985">
        <v>12</v>
      </c>
      <c r="O152" s="2985">
        <v>13</v>
      </c>
      <c r="P152" s="2985">
        <v>14</v>
      </c>
      <c r="Q152" s="2985">
        <v>15</v>
      </c>
      <c r="R152" s="2986">
        <v>16</v>
      </c>
      <c r="S152" s="2986">
        <v>17</v>
      </c>
      <c r="T152" s="2985">
        <v>18</v>
      </c>
      <c r="U152" s="2985">
        <v>19</v>
      </c>
      <c r="V152" s="2985">
        <v>20</v>
      </c>
      <c r="W152" s="2985">
        <v>21</v>
      </c>
      <c r="X152" s="2985">
        <v>22</v>
      </c>
      <c r="Y152" s="2986">
        <v>23</v>
      </c>
      <c r="Z152" s="2986">
        <v>24</v>
      </c>
      <c r="AA152" s="2985">
        <v>25</v>
      </c>
      <c r="AB152" s="2985">
        <v>26</v>
      </c>
      <c r="AC152" s="2985">
        <v>27</v>
      </c>
      <c r="AD152" s="2985">
        <v>28</v>
      </c>
      <c r="AE152" s="2985">
        <v>29</v>
      </c>
      <c r="AF152" s="2986">
        <v>30</v>
      </c>
      <c r="AG152" s="2986">
        <v>31</v>
      </c>
    </row>
    <row r="153" spans="1:33" ht="18" customHeight="1">
      <c r="B153" s="4315" t="s">
        <v>0</v>
      </c>
      <c r="C153" s="3991"/>
      <c r="D153" s="3991"/>
      <c r="E153" s="4281"/>
      <c r="F153" s="4290"/>
      <c r="G153" s="4290"/>
      <c r="H153" s="4290"/>
      <c r="I153" s="4290"/>
      <c r="J153" s="4290"/>
      <c r="K153" s="4290"/>
      <c r="L153" s="4290"/>
      <c r="M153" s="4290"/>
      <c r="N153" s="4290"/>
      <c r="O153" s="4290"/>
      <c r="P153" s="4290"/>
      <c r="Q153" s="4290"/>
      <c r="R153" s="4290"/>
      <c r="S153" s="4290"/>
      <c r="T153" s="4281"/>
      <c r="U153" s="4281"/>
      <c r="V153" s="4281"/>
      <c r="W153" s="4281"/>
      <c r="X153" s="4281"/>
      <c r="Y153" s="4281"/>
      <c r="Z153" s="4281"/>
      <c r="AA153" s="4290"/>
      <c r="AB153" s="4290"/>
      <c r="AC153" s="4290"/>
      <c r="AD153" s="4290"/>
      <c r="AE153" s="4281"/>
      <c r="AF153" s="4281"/>
      <c r="AG153" s="4281"/>
    </row>
    <row r="154" spans="1:33" ht="18" customHeight="1">
      <c r="B154" s="4002" t="s">
        <v>466</v>
      </c>
      <c r="C154" s="4354"/>
      <c r="D154" s="4354"/>
      <c r="E154" s="4290"/>
      <c r="F154" s="4290"/>
      <c r="G154" s="4281"/>
      <c r="H154" s="4281"/>
      <c r="I154" s="4281"/>
      <c r="J154" s="4281"/>
      <c r="K154" s="4281"/>
      <c r="L154" s="4281"/>
      <c r="M154" s="4281"/>
      <c r="N154" s="4281"/>
      <c r="O154" s="4281"/>
      <c r="P154" s="4281"/>
      <c r="Q154" s="4281"/>
      <c r="R154" s="4281"/>
      <c r="S154" s="4290"/>
      <c r="T154" s="4290"/>
      <c r="U154" s="4290"/>
      <c r="V154" s="4290"/>
      <c r="W154" s="4290"/>
      <c r="X154" s="4290"/>
      <c r="Y154" s="4281"/>
      <c r="Z154" s="4281"/>
      <c r="AA154" s="4281"/>
      <c r="AB154" s="4281"/>
      <c r="AC154" s="4281"/>
      <c r="AD154" s="4281"/>
      <c r="AE154" s="4281"/>
      <c r="AF154" s="4281"/>
      <c r="AG154" s="4281"/>
    </row>
    <row r="155" spans="1:33" ht="18" customHeight="1">
      <c r="B155" s="157"/>
      <c r="C155" s="186"/>
      <c r="D155" s="186"/>
      <c r="E155" s="124"/>
      <c r="F155" s="124"/>
      <c r="G155" s="116"/>
      <c r="H155" s="108"/>
      <c r="I155" s="116"/>
      <c r="J155" s="116"/>
      <c r="K155" s="116"/>
      <c r="L155" s="116"/>
      <c r="M155" s="116"/>
      <c r="N155" s="116"/>
      <c r="O155" s="116"/>
      <c r="P155" s="116"/>
      <c r="Q155" s="116"/>
      <c r="R155" s="116"/>
      <c r="S155" s="124"/>
      <c r="T155" s="124"/>
      <c r="U155" s="124"/>
      <c r="V155" s="124"/>
      <c r="W155" s="124"/>
      <c r="X155" s="124"/>
      <c r="Y155" s="116"/>
      <c r="Z155" s="116"/>
      <c r="AA155" s="116"/>
      <c r="AB155" s="116"/>
      <c r="AC155" s="116"/>
      <c r="AD155" s="116"/>
      <c r="AE155" s="116"/>
      <c r="AF155" s="116"/>
      <c r="AG155" s="116"/>
    </row>
    <row r="156" spans="1:33" ht="18" customHeight="1">
      <c r="B156" s="157"/>
      <c r="C156" s="186"/>
      <c r="D156" s="186"/>
      <c r="E156" s="124"/>
      <c r="F156" s="124"/>
      <c r="G156" s="116"/>
      <c r="H156" s="108"/>
      <c r="I156" s="116"/>
      <c r="J156" s="116"/>
      <c r="K156" s="116"/>
      <c r="L156" s="116"/>
      <c r="M156" s="116"/>
      <c r="N156" s="116"/>
      <c r="O156" s="116"/>
      <c r="P156" s="116"/>
      <c r="Q156" s="116"/>
      <c r="R156" s="116"/>
      <c r="S156" s="124"/>
      <c r="T156" s="124"/>
      <c r="U156" s="124"/>
      <c r="V156" s="124"/>
      <c r="W156" s="124"/>
      <c r="X156" s="124"/>
      <c r="Y156" s="116"/>
      <c r="Z156" s="116"/>
      <c r="AA156" s="116"/>
      <c r="AB156" s="116"/>
      <c r="AC156" s="116"/>
      <c r="AD156" s="116"/>
      <c r="AE156" s="116"/>
      <c r="AF156" s="116"/>
      <c r="AG156" s="116"/>
    </row>
    <row r="157" spans="1:33" ht="18" customHeight="1">
      <c r="A157" s="48"/>
      <c r="B157" s="4003" t="s">
        <v>203</v>
      </c>
      <c r="C157" s="4004" t="s">
        <v>204</v>
      </c>
      <c r="D157" s="3233"/>
      <c r="E157" s="4355"/>
      <c r="F157" s="4004" t="s">
        <v>204</v>
      </c>
      <c r="G157" s="3233"/>
      <c r="H157" s="4216"/>
      <c r="I157" s="4004" t="s">
        <v>204</v>
      </c>
      <c r="J157" s="3233"/>
      <c r="K157" s="4355"/>
      <c r="L157" s="4004" t="s">
        <v>204</v>
      </c>
      <c r="M157" s="3233"/>
      <c r="N157" s="4355"/>
      <c r="O157" s="4004" t="s">
        <v>205</v>
      </c>
      <c r="P157" s="3233"/>
      <c r="Q157" s="4355"/>
      <c r="R157" s="4004"/>
      <c r="S157" s="3233"/>
      <c r="T157" s="4355"/>
      <c r="U157" s="4004"/>
      <c r="V157" s="3233"/>
      <c r="W157" s="4355"/>
      <c r="X157" s="4004"/>
      <c r="Y157" s="3235"/>
      <c r="Z157" s="3235"/>
      <c r="AA157" s="3235"/>
      <c r="AB157" s="4141"/>
      <c r="AC157" s="3235"/>
      <c r="AD157" s="3235"/>
      <c r="AE157" s="3235"/>
      <c r="AF157" s="3235"/>
      <c r="AG157" s="105"/>
    </row>
    <row r="158" spans="1:33" ht="15">
      <c r="S158" s="300" t="s">
        <v>559</v>
      </c>
      <c r="T158" s="299"/>
      <c r="U158" s="299"/>
      <c r="V158" s="299"/>
      <c r="W158" s="299"/>
    </row>
    <row r="159" spans="1:33" ht="18" customHeight="1">
      <c r="A159" s="4356" t="s">
        <v>37</v>
      </c>
      <c r="B159" s="4233" t="s">
        <v>38</v>
      </c>
      <c r="C159" s="2986">
        <v>1</v>
      </c>
      <c r="D159" s="2986">
        <v>2</v>
      </c>
      <c r="E159" s="2985">
        <v>3</v>
      </c>
      <c r="F159" s="2985">
        <v>4</v>
      </c>
      <c r="G159" s="2985">
        <v>5</v>
      </c>
      <c r="H159" s="2985">
        <v>6</v>
      </c>
      <c r="I159" s="2985">
        <v>7</v>
      </c>
      <c r="J159" s="2986">
        <v>8</v>
      </c>
      <c r="K159" s="2986">
        <v>9</v>
      </c>
      <c r="L159" s="2985">
        <v>10</v>
      </c>
      <c r="M159" s="2985">
        <v>11</v>
      </c>
      <c r="N159" s="2985">
        <v>12</v>
      </c>
      <c r="O159" s="2985">
        <v>13</v>
      </c>
      <c r="P159" s="2985">
        <v>14</v>
      </c>
      <c r="Q159" s="2986">
        <v>15</v>
      </c>
      <c r="R159" s="2986">
        <v>16</v>
      </c>
      <c r="S159" s="2985">
        <v>17</v>
      </c>
      <c r="T159" s="2985">
        <v>18</v>
      </c>
      <c r="U159" s="2985">
        <v>19</v>
      </c>
      <c r="V159" s="2985">
        <v>20</v>
      </c>
      <c r="W159" s="2985">
        <v>21</v>
      </c>
      <c r="X159" s="2986">
        <v>22</v>
      </c>
      <c r="Y159" s="2986">
        <v>23</v>
      </c>
      <c r="Z159" s="2985">
        <v>24</v>
      </c>
      <c r="AA159" s="2985">
        <v>25</v>
      </c>
      <c r="AB159" s="2985">
        <v>26</v>
      </c>
      <c r="AC159" s="2985">
        <v>27</v>
      </c>
      <c r="AD159" s="2985">
        <v>28</v>
      </c>
      <c r="AE159" s="2986">
        <v>29</v>
      </c>
      <c r="AF159" s="2986">
        <v>30</v>
      </c>
    </row>
    <row r="160" spans="1:33" ht="18" customHeight="1">
      <c r="A160" s="2785">
        <v>8520</v>
      </c>
      <c r="B160" s="2786" t="s">
        <v>206</v>
      </c>
      <c r="C160" s="3497"/>
      <c r="D160" s="3497"/>
      <c r="E160" s="3291" t="s">
        <v>207</v>
      </c>
      <c r="F160" s="3291" t="s">
        <v>207</v>
      </c>
      <c r="G160" s="3291" t="s">
        <v>207</v>
      </c>
      <c r="H160" s="3927" t="s">
        <v>370</v>
      </c>
      <c r="I160" s="3291" t="s">
        <v>207</v>
      </c>
      <c r="J160" s="3291"/>
      <c r="K160" s="3291"/>
      <c r="L160" s="3089" t="s">
        <v>207</v>
      </c>
      <c r="M160" s="3089" t="s">
        <v>207</v>
      </c>
      <c r="N160" s="3089" t="s">
        <v>207</v>
      </c>
      <c r="O160" s="4252" t="s">
        <v>370</v>
      </c>
      <c r="P160" s="3089" t="s">
        <v>207</v>
      </c>
      <c r="Q160" s="3089"/>
      <c r="R160" s="3089"/>
      <c r="S160" s="3089" t="s">
        <v>207</v>
      </c>
      <c r="T160" s="3089" t="s">
        <v>207</v>
      </c>
      <c r="U160" s="3089" t="s">
        <v>207</v>
      </c>
      <c r="V160" s="4252" t="s">
        <v>370</v>
      </c>
      <c r="W160" s="3089" t="s">
        <v>207</v>
      </c>
      <c r="X160" s="3089"/>
      <c r="Y160" s="3089"/>
      <c r="Z160" s="3089" t="s">
        <v>207</v>
      </c>
      <c r="AA160" s="3089" t="s">
        <v>207</v>
      </c>
      <c r="AB160" s="3089" t="s">
        <v>207</v>
      </c>
      <c r="AC160" s="4252" t="s">
        <v>370</v>
      </c>
      <c r="AD160" s="3089" t="s">
        <v>207</v>
      </c>
      <c r="AE160" s="3089"/>
      <c r="AF160" s="3089"/>
    </row>
    <row r="161" spans="1:32" ht="18" customHeight="1">
      <c r="A161" s="122"/>
      <c r="B161" s="121"/>
      <c r="C161" s="116"/>
      <c r="D161" s="116"/>
      <c r="E161" s="116"/>
      <c r="F161" s="116"/>
      <c r="G161" s="116"/>
      <c r="H161" s="108"/>
      <c r="I161" s="116"/>
      <c r="J161" s="116"/>
      <c r="K161" s="116"/>
      <c r="L161" s="116"/>
      <c r="M161" s="116"/>
      <c r="N161" s="116"/>
      <c r="O161" s="116"/>
      <c r="P161" s="116"/>
      <c r="Q161" s="116"/>
      <c r="R161" s="116"/>
      <c r="S161" s="116"/>
      <c r="T161" s="116"/>
      <c r="U161" s="116"/>
      <c r="V161" s="116"/>
      <c r="W161" s="116"/>
      <c r="X161" s="116"/>
      <c r="Y161" s="116"/>
      <c r="Z161" s="116"/>
      <c r="AA161" s="116"/>
      <c r="AB161" s="116"/>
      <c r="AC161" s="116"/>
      <c r="AD161" s="116"/>
      <c r="AE161" s="116"/>
      <c r="AF161" s="116"/>
    </row>
    <row r="162" spans="1:32" ht="18" customHeight="1"/>
    <row r="163" spans="1:32" ht="18" customHeight="1">
      <c r="A163" s="100" t="s">
        <v>208</v>
      </c>
      <c r="B163" s="101"/>
      <c r="C163" s="101"/>
      <c r="D163" s="102"/>
      <c r="E163" s="102"/>
      <c r="F163" s="102"/>
      <c r="G163" s="63"/>
      <c r="H163" s="101"/>
      <c r="I163" s="102"/>
      <c r="J163" s="102"/>
      <c r="K163" s="102"/>
      <c r="L163" s="102"/>
      <c r="M163" s="102"/>
      <c r="N163" s="102"/>
      <c r="O163" s="102"/>
      <c r="P163" s="102"/>
      <c r="Q163" s="102"/>
      <c r="R163" s="102"/>
      <c r="S163" s="102"/>
      <c r="T163" s="102"/>
      <c r="U163" s="102"/>
      <c r="V163" s="102"/>
      <c r="W163" s="102"/>
      <c r="X163" s="102"/>
      <c r="Y163" s="102"/>
      <c r="Z163" s="102"/>
      <c r="AA163" s="102"/>
      <c r="AB163" s="102"/>
      <c r="AC163" s="102"/>
      <c r="AD163" s="102"/>
      <c r="AE163" s="102"/>
      <c r="AF163" s="102"/>
    </row>
    <row r="164" spans="1:32" ht="18" customHeight="1">
      <c r="A164" s="100"/>
      <c r="B164" s="2764"/>
      <c r="C164" s="2787"/>
      <c r="D164" s="2788" t="s">
        <v>19</v>
      </c>
      <c r="E164" s="2789"/>
      <c r="F164" s="2790"/>
      <c r="G164" s="2787"/>
      <c r="H164" s="2788" t="s">
        <v>20</v>
      </c>
      <c r="I164" s="2789"/>
      <c r="J164" s="2790"/>
      <c r="K164" s="2787"/>
      <c r="L164" s="2788" t="s">
        <v>21</v>
      </c>
      <c r="M164" s="2789"/>
      <c r="N164" s="2790"/>
      <c r="O164" s="2787"/>
      <c r="P164" s="2788" t="s">
        <v>22</v>
      </c>
      <c r="Q164" s="2789"/>
      <c r="R164" s="2790"/>
      <c r="S164" s="2787"/>
      <c r="T164" s="2788" t="s">
        <v>23</v>
      </c>
      <c r="U164" s="2789"/>
      <c r="V164" s="2790"/>
      <c r="W164" s="2787"/>
      <c r="X164" s="2788" t="s">
        <v>24</v>
      </c>
      <c r="Y164" s="2789"/>
      <c r="Z164" s="2790"/>
      <c r="AA164" s="2787"/>
      <c r="AB164" s="2788" t="s">
        <v>25</v>
      </c>
      <c r="AC164" s="2789"/>
      <c r="AD164" s="2789"/>
      <c r="AE164" s="2791" t="s">
        <v>108</v>
      </c>
      <c r="AF164" s="2789"/>
    </row>
    <row r="165" spans="1:32" ht="18" customHeight="1">
      <c r="A165" s="100"/>
      <c r="B165" s="4005" t="s">
        <v>210</v>
      </c>
      <c r="C165" s="4006">
        <v>69</v>
      </c>
      <c r="D165" s="3239" t="s">
        <v>211</v>
      </c>
      <c r="E165" s="3239"/>
      <c r="F165" s="4007"/>
      <c r="G165" s="4006">
        <v>69</v>
      </c>
      <c r="H165" s="3239" t="s">
        <v>211</v>
      </c>
      <c r="I165" s="3239"/>
      <c r="J165" s="4007"/>
      <c r="K165" s="4006">
        <v>69</v>
      </c>
      <c r="L165" s="3239" t="s">
        <v>211</v>
      </c>
      <c r="M165" s="3239"/>
      <c r="N165" s="4007"/>
      <c r="O165" s="4006">
        <v>69</v>
      </c>
      <c r="P165" s="3239" t="s">
        <v>211</v>
      </c>
      <c r="Q165" s="3239"/>
      <c r="R165" s="4007"/>
      <c r="S165" s="4006">
        <v>69</v>
      </c>
      <c r="T165" s="3239" t="s">
        <v>211</v>
      </c>
      <c r="U165" s="3239"/>
      <c r="V165" s="4007"/>
      <c r="W165" s="4006"/>
      <c r="X165" s="3241"/>
      <c r="Y165" s="3241"/>
      <c r="Z165" s="4008"/>
      <c r="AA165" s="4006"/>
      <c r="AB165" s="3239"/>
      <c r="AC165" s="3239"/>
      <c r="AD165" s="4325"/>
      <c r="AE165" s="4009">
        <v>35</v>
      </c>
      <c r="AF165" s="3239"/>
    </row>
    <row r="166" spans="1:32" ht="18" customHeight="1">
      <c r="A166" s="100"/>
      <c r="B166" s="4005" t="s">
        <v>212</v>
      </c>
      <c r="C166" s="4006">
        <v>79</v>
      </c>
      <c r="D166" s="3239" t="s">
        <v>213</v>
      </c>
      <c r="E166" s="3239"/>
      <c r="F166" s="4007"/>
      <c r="G166" s="4006">
        <v>79</v>
      </c>
      <c r="H166" s="3239" t="s">
        <v>213</v>
      </c>
      <c r="I166" s="3239"/>
      <c r="J166" s="4007"/>
      <c r="K166" s="4006">
        <v>79</v>
      </c>
      <c r="L166" s="3239" t="s">
        <v>213</v>
      </c>
      <c r="M166" s="3239"/>
      <c r="N166" s="4007"/>
      <c r="O166" s="4006">
        <v>79</v>
      </c>
      <c r="P166" s="3239" t="s">
        <v>213</v>
      </c>
      <c r="Q166" s="3239"/>
      <c r="R166" s="4007"/>
      <c r="S166" s="4006">
        <v>79</v>
      </c>
      <c r="T166" s="3239" t="s">
        <v>213</v>
      </c>
      <c r="U166" s="3239"/>
      <c r="V166" s="4007"/>
      <c r="W166" s="4006"/>
      <c r="X166" s="3239"/>
      <c r="Y166" s="3239"/>
      <c r="Z166" s="4007"/>
      <c r="AA166" s="3239"/>
      <c r="AB166" s="3239"/>
      <c r="AC166" s="3239"/>
      <c r="AD166" s="4325"/>
      <c r="AE166" s="4009">
        <v>40</v>
      </c>
      <c r="AF166" s="3239"/>
    </row>
    <row r="167" spans="1:32" ht="18" customHeight="1">
      <c r="A167" s="100"/>
      <c r="B167" s="4005" t="s">
        <v>214</v>
      </c>
      <c r="C167" s="4006">
        <v>89</v>
      </c>
      <c r="D167" s="3239" t="s">
        <v>215</v>
      </c>
      <c r="E167" s="3239"/>
      <c r="F167" s="4007"/>
      <c r="G167" s="4006">
        <v>89</v>
      </c>
      <c r="H167" s="3239" t="s">
        <v>215</v>
      </c>
      <c r="I167" s="3239"/>
      <c r="J167" s="4007"/>
      <c r="K167" s="4006">
        <v>89</v>
      </c>
      <c r="L167" s="3239" t="s">
        <v>215</v>
      </c>
      <c r="M167" s="3239"/>
      <c r="N167" s="4007"/>
      <c r="O167" s="4006">
        <v>89</v>
      </c>
      <c r="P167" s="3239" t="s">
        <v>215</v>
      </c>
      <c r="Q167" s="3239"/>
      <c r="R167" s="4007"/>
      <c r="S167" s="4006">
        <v>89</v>
      </c>
      <c r="T167" s="3239" t="s">
        <v>216</v>
      </c>
      <c r="U167" s="3239"/>
      <c r="V167" s="4007"/>
      <c r="W167" s="4357"/>
      <c r="X167" s="4358" t="s">
        <v>217</v>
      </c>
      <c r="Y167" s="4358"/>
      <c r="Z167" s="4327"/>
      <c r="AA167" s="4357"/>
      <c r="AB167" s="4358"/>
      <c r="AC167" s="4358"/>
      <c r="AD167" s="4329"/>
      <c r="AE167" s="4009">
        <v>44</v>
      </c>
      <c r="AF167" s="3239"/>
    </row>
    <row r="168" spans="1:32" ht="18" customHeight="1">
      <c r="A168" s="100"/>
      <c r="B168" s="19" t="s">
        <v>218</v>
      </c>
      <c r="C168" s="4357">
        <v>99</v>
      </c>
      <c r="D168" s="4358" t="s">
        <v>219</v>
      </c>
      <c r="E168" s="4358"/>
      <c r="F168" s="4327"/>
      <c r="G168" s="4357">
        <v>99</v>
      </c>
      <c r="H168" s="4358" t="s">
        <v>219</v>
      </c>
      <c r="I168" s="4358"/>
      <c r="J168" s="4327"/>
      <c r="K168" s="4357">
        <v>99</v>
      </c>
      <c r="L168" s="4358" t="s">
        <v>219</v>
      </c>
      <c r="M168" s="4358"/>
      <c r="N168" s="4327"/>
      <c r="O168" s="4357">
        <v>99</v>
      </c>
      <c r="P168" s="4358" t="s">
        <v>219</v>
      </c>
      <c r="Q168" s="4358"/>
      <c r="R168" s="4327"/>
      <c r="S168" s="4357">
        <v>99</v>
      </c>
      <c r="T168" s="4358" t="s">
        <v>220</v>
      </c>
      <c r="U168" s="4358"/>
      <c r="V168" s="4329"/>
      <c r="W168" s="4328"/>
      <c r="X168" s="4329"/>
      <c r="Y168" s="4358"/>
      <c r="Z168" s="4327"/>
      <c r="AA168" s="4328"/>
      <c r="AB168" s="4329"/>
      <c r="AC168" s="4358"/>
      <c r="AD168" s="4327"/>
      <c r="AE168" s="4359">
        <v>28</v>
      </c>
      <c r="AF168" s="4358"/>
    </row>
    <row r="169" spans="1:32" ht="18" customHeight="1">
      <c r="A169" s="100"/>
      <c r="B169" s="4011" t="s">
        <v>221</v>
      </c>
      <c r="C169" s="4012" t="s">
        <v>159</v>
      </c>
      <c r="D169" s="4013" t="s">
        <v>222</v>
      </c>
      <c r="E169" s="4014"/>
      <c r="F169" s="4227"/>
      <c r="G169" s="4012" t="s">
        <v>159</v>
      </c>
      <c r="H169" s="4229" t="s">
        <v>222</v>
      </c>
      <c r="I169" s="4225"/>
      <c r="J169" s="4014"/>
      <c r="K169" s="4012" t="s">
        <v>159</v>
      </c>
      <c r="L169" s="4013" t="s">
        <v>222</v>
      </c>
      <c r="M169" s="4014"/>
      <c r="N169" s="4015"/>
      <c r="O169" s="4012" t="s">
        <v>159</v>
      </c>
      <c r="P169" s="4013" t="s">
        <v>222</v>
      </c>
      <c r="Q169" s="4014"/>
      <c r="R169" s="4013"/>
      <c r="S169" s="4012" t="s">
        <v>159</v>
      </c>
      <c r="T169" s="4229" t="s">
        <v>223</v>
      </c>
      <c r="U169" s="4013"/>
      <c r="V169" s="4015"/>
      <c r="W169" s="4014"/>
      <c r="X169" s="4013"/>
      <c r="Y169" s="4013"/>
      <c r="Z169" s="4013"/>
      <c r="AA169" s="4016"/>
      <c r="AB169" s="4017"/>
      <c r="AC169" s="4013"/>
      <c r="AD169" s="4018"/>
      <c r="AE169" s="4013"/>
      <c r="AF169" s="4013"/>
    </row>
    <row r="170" spans="1:32" ht="18" customHeight="1">
      <c r="A170" s="66"/>
      <c r="B170" s="100"/>
      <c r="C170" s="102"/>
      <c r="D170" s="102"/>
      <c r="E170" s="102"/>
      <c r="F170" s="102"/>
      <c r="G170" s="102"/>
      <c r="H170" s="101"/>
      <c r="I170" s="102"/>
      <c r="J170" s="102"/>
      <c r="K170" s="102"/>
      <c r="L170" s="102"/>
      <c r="M170" s="102"/>
      <c r="N170" s="102"/>
      <c r="O170" s="102"/>
      <c r="P170" s="102"/>
      <c r="Q170" s="102"/>
      <c r="R170" s="102"/>
      <c r="S170" s="300" t="s">
        <v>559</v>
      </c>
      <c r="T170" s="299"/>
      <c r="U170" s="299"/>
      <c r="V170" s="299"/>
      <c r="W170" s="299"/>
      <c r="X170" s="102"/>
      <c r="Y170" s="102"/>
      <c r="Z170" s="102"/>
      <c r="AA170" s="102"/>
      <c r="AB170" s="102"/>
      <c r="AC170" s="102"/>
      <c r="AD170" s="102"/>
      <c r="AE170" s="102"/>
      <c r="AF170" s="102"/>
    </row>
    <row r="171" spans="1:32" ht="18" customHeight="1">
      <c r="A171" s="4356"/>
      <c r="B171" s="4233" t="s">
        <v>38</v>
      </c>
      <c r="C171" s="2986">
        <v>1</v>
      </c>
      <c r="D171" s="2986">
        <v>2</v>
      </c>
      <c r="E171" s="2985">
        <v>3</v>
      </c>
      <c r="F171" s="2985">
        <v>4</v>
      </c>
      <c r="G171" s="2985">
        <v>5</v>
      </c>
      <c r="H171" s="2985">
        <v>6</v>
      </c>
      <c r="I171" s="2985">
        <v>7</v>
      </c>
      <c r="J171" s="2986">
        <v>8</v>
      </c>
      <c r="K171" s="2986">
        <v>9</v>
      </c>
      <c r="L171" s="2985">
        <v>10</v>
      </c>
      <c r="M171" s="2985">
        <v>11</v>
      </c>
      <c r="N171" s="2985">
        <v>12</v>
      </c>
      <c r="O171" s="2985">
        <v>13</v>
      </c>
      <c r="P171" s="2985">
        <v>14</v>
      </c>
      <c r="Q171" s="2986">
        <v>15</v>
      </c>
      <c r="R171" s="2986">
        <v>16</v>
      </c>
      <c r="S171" s="2985">
        <v>17</v>
      </c>
      <c r="T171" s="2985">
        <v>18</v>
      </c>
      <c r="U171" s="2985">
        <v>19</v>
      </c>
      <c r="V171" s="2985">
        <v>20</v>
      </c>
      <c r="W171" s="2985">
        <v>21</v>
      </c>
      <c r="X171" s="2986">
        <v>22</v>
      </c>
      <c r="Y171" s="2986">
        <v>23</v>
      </c>
      <c r="Z171" s="2985">
        <v>24</v>
      </c>
      <c r="AA171" s="2985">
        <v>25</v>
      </c>
      <c r="AB171" s="2985">
        <v>26</v>
      </c>
      <c r="AC171" s="2985">
        <v>27</v>
      </c>
      <c r="AD171" s="2985">
        <v>28</v>
      </c>
      <c r="AE171" s="2986">
        <v>29</v>
      </c>
      <c r="AF171" s="2986">
        <v>30</v>
      </c>
    </row>
    <row r="172" spans="1:32" ht="18" customHeight="1">
      <c r="A172" s="2814">
        <v>1</v>
      </c>
      <c r="B172" s="2815" t="s">
        <v>224</v>
      </c>
      <c r="C172" s="3088"/>
      <c r="D172" s="2816"/>
      <c r="E172" s="3089">
        <v>89</v>
      </c>
      <c r="F172" s="3089">
        <v>89</v>
      </c>
      <c r="G172" s="3089">
        <v>89</v>
      </c>
      <c r="H172" s="3258">
        <v>89</v>
      </c>
      <c r="I172" s="3258">
        <v>89</v>
      </c>
      <c r="J172" s="3259">
        <v>89</v>
      </c>
      <c r="K172" s="3088"/>
      <c r="L172" s="3259" t="s">
        <v>574</v>
      </c>
      <c r="M172" s="3089">
        <v>99</v>
      </c>
      <c r="N172" s="3090">
        <v>99</v>
      </c>
      <c r="O172" s="3088">
        <v>99</v>
      </c>
      <c r="P172" s="3088" t="s">
        <v>46</v>
      </c>
      <c r="Q172" s="3088"/>
      <c r="R172" s="3088"/>
      <c r="S172" s="3291" t="s">
        <v>159</v>
      </c>
      <c r="T172" s="3291" t="s">
        <v>159</v>
      </c>
      <c r="U172" s="3291" t="s">
        <v>159</v>
      </c>
      <c r="V172" s="3291" t="s">
        <v>159</v>
      </c>
      <c r="W172" s="3291" t="s">
        <v>159</v>
      </c>
      <c r="X172" s="3291"/>
      <c r="Y172" s="3291"/>
      <c r="Z172" s="3088">
        <v>69</v>
      </c>
      <c r="AA172" s="3090">
        <v>69</v>
      </c>
      <c r="AB172" s="3088">
        <v>69</v>
      </c>
      <c r="AC172" s="3088">
        <v>69</v>
      </c>
      <c r="AD172" s="3088">
        <v>69</v>
      </c>
      <c r="AE172" s="3088"/>
      <c r="AF172" s="3090"/>
    </row>
    <row r="173" spans="1:32" ht="18" customHeight="1">
      <c r="A173" s="4020">
        <v>2</v>
      </c>
      <c r="B173" s="4021" t="s">
        <v>225</v>
      </c>
      <c r="C173" s="4161">
        <v>89</v>
      </c>
      <c r="D173" s="4168"/>
      <c r="E173" s="4278">
        <v>99</v>
      </c>
      <c r="F173" s="4278">
        <v>99</v>
      </c>
      <c r="G173" s="4161">
        <v>99</v>
      </c>
      <c r="H173" s="4252">
        <v>99</v>
      </c>
      <c r="I173" s="4181" t="s">
        <v>46</v>
      </c>
      <c r="J173" s="4252"/>
      <c r="K173" s="4252"/>
      <c r="L173" s="4168" t="s">
        <v>159</v>
      </c>
      <c r="M173" s="4168" t="s">
        <v>159</v>
      </c>
      <c r="N173" s="4252" t="s">
        <v>159</v>
      </c>
      <c r="O173" s="4160" t="s">
        <v>159</v>
      </c>
      <c r="P173" s="4252" t="s">
        <v>159</v>
      </c>
      <c r="Q173" s="4252"/>
      <c r="R173" s="4174"/>
      <c r="S173" s="4252">
        <v>69</v>
      </c>
      <c r="T173" s="4275">
        <v>69</v>
      </c>
      <c r="U173" s="4286">
        <v>69</v>
      </c>
      <c r="V173" s="4252">
        <v>69</v>
      </c>
      <c r="W173" s="4252">
        <v>69</v>
      </c>
      <c r="X173" s="4252"/>
      <c r="Y173" s="4252"/>
      <c r="Z173" s="4252">
        <v>79</v>
      </c>
      <c r="AA173" s="4168">
        <v>79</v>
      </c>
      <c r="AB173" s="4174">
        <v>79</v>
      </c>
      <c r="AC173" s="4160">
        <v>79</v>
      </c>
      <c r="AD173" s="4160">
        <v>79</v>
      </c>
      <c r="AE173" s="4160"/>
      <c r="AF173" s="4312"/>
    </row>
    <row r="174" spans="1:32" ht="18" customHeight="1">
      <c r="A174" s="4020">
        <v>3</v>
      </c>
      <c r="B174" s="4022" t="s">
        <v>124</v>
      </c>
      <c r="C174" s="4023"/>
      <c r="D174" s="4168"/>
      <c r="E174" s="4161" t="s">
        <v>159</v>
      </c>
      <c r="F174" s="4023" t="s">
        <v>159</v>
      </c>
      <c r="G174" s="4024" t="s">
        <v>159</v>
      </c>
      <c r="H174" s="4173" t="s">
        <v>159</v>
      </c>
      <c r="I174" s="4174" t="s">
        <v>159</v>
      </c>
      <c r="J174" s="4023"/>
      <c r="K174" s="4023"/>
      <c r="L174" s="4023">
        <v>69</v>
      </c>
      <c r="M174" s="4023">
        <v>69</v>
      </c>
      <c r="N174" s="4252">
        <v>69</v>
      </c>
      <c r="O174" s="4160">
        <v>69</v>
      </c>
      <c r="P174" s="4322">
        <v>69</v>
      </c>
      <c r="Q174" s="4160"/>
      <c r="R174" s="4160"/>
      <c r="S174" s="4160">
        <v>79</v>
      </c>
      <c r="T174" s="4160">
        <v>79</v>
      </c>
      <c r="U174" s="4264">
        <v>79</v>
      </c>
      <c r="V174" s="4160">
        <v>79</v>
      </c>
      <c r="W174" s="4160">
        <v>79</v>
      </c>
      <c r="X174" s="4160"/>
      <c r="Y174" s="4023"/>
      <c r="Z174" s="4023">
        <v>89</v>
      </c>
      <c r="AA174" s="4023">
        <v>89</v>
      </c>
      <c r="AB174" s="4023">
        <v>89</v>
      </c>
      <c r="AC174" s="4023">
        <v>89</v>
      </c>
      <c r="AD174" s="4023">
        <v>89</v>
      </c>
      <c r="AE174" s="4360">
        <v>89</v>
      </c>
      <c r="AF174" s="4361"/>
    </row>
    <row r="175" spans="1:32" ht="18" customHeight="1">
      <c r="A175" s="4020">
        <v>4</v>
      </c>
      <c r="B175" s="4021" t="s">
        <v>226</v>
      </c>
      <c r="C175" s="4168"/>
      <c r="D175" s="4168"/>
      <c r="E175" s="4168">
        <v>69</v>
      </c>
      <c r="F175" s="4168">
        <v>69</v>
      </c>
      <c r="G175" s="4168">
        <v>69</v>
      </c>
      <c r="H175" s="4168">
        <v>69</v>
      </c>
      <c r="I175" s="4174">
        <v>69</v>
      </c>
      <c r="J175" s="4168"/>
      <c r="K175" s="4168"/>
      <c r="L175" s="4168">
        <v>79</v>
      </c>
      <c r="M175" s="4168">
        <v>79</v>
      </c>
      <c r="N175" s="4252">
        <v>79</v>
      </c>
      <c r="O175" s="4168">
        <v>79</v>
      </c>
      <c r="P175" s="4362">
        <v>79</v>
      </c>
      <c r="Q175" s="4322"/>
      <c r="R175" s="4322"/>
      <c r="S175" s="4168">
        <v>89</v>
      </c>
      <c r="T175" s="4168">
        <v>89</v>
      </c>
      <c r="U175" s="4275">
        <v>89</v>
      </c>
      <c r="V175" s="4168">
        <v>89</v>
      </c>
      <c r="W175" s="4168">
        <v>89</v>
      </c>
      <c r="X175" s="4168">
        <v>89</v>
      </c>
      <c r="Y175" s="4322"/>
      <c r="Z175" s="4322">
        <v>99</v>
      </c>
      <c r="AA175" s="4168">
        <v>99</v>
      </c>
      <c r="AB175" s="4168">
        <v>99</v>
      </c>
      <c r="AC175" s="4168">
        <v>99</v>
      </c>
      <c r="AD175" s="4168" t="s">
        <v>46</v>
      </c>
      <c r="AE175" s="4168"/>
      <c r="AF175" s="4168"/>
    </row>
    <row r="176" spans="1:32" ht="18" customHeight="1">
      <c r="A176" s="4025">
        <v>5</v>
      </c>
      <c r="B176" s="4246" t="s">
        <v>227</v>
      </c>
      <c r="C176" s="4240"/>
      <c r="D176" s="4240"/>
      <c r="E176" s="4249">
        <v>79</v>
      </c>
      <c r="F176" s="4249">
        <v>79</v>
      </c>
      <c r="G176" s="4247">
        <v>79</v>
      </c>
      <c r="H176" s="4199">
        <v>79</v>
      </c>
      <c r="I176" s="4199">
        <v>79</v>
      </c>
      <c r="J176" s="4363"/>
      <c r="K176" s="4199"/>
      <c r="L176" s="4198">
        <v>89</v>
      </c>
      <c r="M176" s="4198">
        <v>89</v>
      </c>
      <c r="N176" s="4199">
        <v>89</v>
      </c>
      <c r="O176" s="4240">
        <v>89</v>
      </c>
      <c r="P176" s="4240">
        <v>89</v>
      </c>
      <c r="Q176" s="4240">
        <v>89</v>
      </c>
      <c r="R176" s="4240"/>
      <c r="S176" s="4198">
        <v>99</v>
      </c>
      <c r="T176" s="4029">
        <v>99</v>
      </c>
      <c r="U176" s="4249">
        <v>99</v>
      </c>
      <c r="V176" s="4240">
        <v>99</v>
      </c>
      <c r="W176" s="4240" t="s">
        <v>46</v>
      </c>
      <c r="X176" s="4240"/>
      <c r="Y176" s="4240"/>
      <c r="Z176" s="4240" t="s">
        <v>159</v>
      </c>
      <c r="AA176" s="4247" t="s">
        <v>159</v>
      </c>
      <c r="AB176" s="4240" t="s">
        <v>159</v>
      </c>
      <c r="AC176" s="4198" t="s">
        <v>159</v>
      </c>
      <c r="AD176" s="4198" t="s">
        <v>159</v>
      </c>
      <c r="AE176" s="4198"/>
      <c r="AF176" s="4027"/>
    </row>
    <row r="177" spans="1:32" ht="18" customHeight="1">
      <c r="A177" s="117"/>
      <c r="B177" s="125"/>
      <c r="C177" s="126"/>
      <c r="D177" s="126"/>
      <c r="E177" s="126"/>
      <c r="F177" s="116"/>
      <c r="G177" s="124"/>
      <c r="H177" s="99"/>
      <c r="I177" s="124"/>
      <c r="J177" s="124"/>
      <c r="K177" s="124"/>
      <c r="L177" s="116"/>
      <c r="M177" s="116"/>
      <c r="N177" s="126"/>
      <c r="O177" s="126"/>
      <c r="P177" s="126"/>
      <c r="Q177" s="126"/>
      <c r="R177" s="126"/>
      <c r="S177" s="116"/>
      <c r="T177" s="127"/>
      <c r="U177" s="126"/>
      <c r="V177" s="126"/>
      <c r="W177" s="126"/>
      <c r="X177" s="126"/>
      <c r="Y177" s="126"/>
      <c r="Z177" s="128"/>
      <c r="AA177" s="128"/>
      <c r="AB177" s="126"/>
      <c r="AC177" s="126"/>
      <c r="AD177" s="126"/>
      <c r="AE177" s="126"/>
      <c r="AF177" s="126"/>
    </row>
    <row r="178" spans="1:32" ht="18" customHeight="1">
      <c r="A178" s="67"/>
      <c r="B178" s="68"/>
      <c r="C178" s="64"/>
      <c r="D178" s="64"/>
      <c r="E178" s="64"/>
      <c r="F178" s="64"/>
      <c r="G178" s="64"/>
      <c r="H178" s="110"/>
      <c r="I178" s="64"/>
      <c r="J178" s="64"/>
      <c r="K178" s="64"/>
      <c r="L178" s="64"/>
      <c r="M178" s="64"/>
      <c r="N178" s="64"/>
      <c r="O178" s="64"/>
      <c r="P178" s="64"/>
      <c r="Q178" s="64"/>
      <c r="R178" s="64"/>
      <c r="S178" s="64"/>
      <c r="T178" s="64"/>
      <c r="U178" s="64"/>
      <c r="V178" s="64"/>
      <c r="W178" s="64"/>
      <c r="X178" s="64"/>
      <c r="Y178" s="64"/>
      <c r="Z178" s="64"/>
      <c r="AA178" s="64"/>
      <c r="AB178" s="64"/>
      <c r="AC178" s="64"/>
      <c r="AD178" s="64"/>
      <c r="AE178" s="64"/>
      <c r="AF178" s="64"/>
    </row>
    <row r="179" spans="1:32" ht="18" customHeight="1">
      <c r="A179" s="100" t="s">
        <v>228</v>
      </c>
      <c r="B179" s="101"/>
      <c r="C179" s="101"/>
      <c r="D179" s="102"/>
      <c r="E179" s="102"/>
      <c r="F179" s="102"/>
      <c r="G179" s="63"/>
      <c r="H179" s="101"/>
      <c r="I179" s="102"/>
      <c r="J179" s="102"/>
      <c r="K179" s="102"/>
      <c r="L179" s="102"/>
      <c r="M179" s="102"/>
      <c r="N179" s="102"/>
      <c r="O179" s="102"/>
      <c r="P179" s="102"/>
      <c r="Q179" s="102"/>
      <c r="R179" s="102"/>
      <c r="S179" s="102"/>
      <c r="T179" s="102"/>
      <c r="U179" s="102"/>
      <c r="V179" s="102"/>
      <c r="W179" s="102"/>
      <c r="X179" s="102"/>
      <c r="Y179" s="102"/>
      <c r="Z179" s="102"/>
      <c r="AA179" s="102"/>
      <c r="AB179" s="102"/>
      <c r="AC179" s="102"/>
      <c r="AD179" s="102"/>
      <c r="AE179" s="102"/>
      <c r="AF179" s="102"/>
    </row>
    <row r="180" spans="1:32" ht="18" customHeight="1">
      <c r="A180" s="100"/>
      <c r="B180" s="2764" t="s">
        <v>209</v>
      </c>
      <c r="C180" s="2787"/>
      <c r="D180" s="2788" t="s">
        <v>19</v>
      </c>
      <c r="E180" s="2789"/>
      <c r="F180" s="2790"/>
      <c r="G180" s="2787"/>
      <c r="H180" s="2788" t="s">
        <v>20</v>
      </c>
      <c r="I180" s="2789"/>
      <c r="J180" s="2790"/>
      <c r="K180" s="2787"/>
      <c r="L180" s="2788" t="s">
        <v>21</v>
      </c>
      <c r="M180" s="2789"/>
      <c r="N180" s="2790"/>
      <c r="O180" s="2787"/>
      <c r="P180" s="2788" t="s">
        <v>22</v>
      </c>
      <c r="Q180" s="2789"/>
      <c r="R180" s="2790"/>
      <c r="S180" s="2787"/>
      <c r="T180" s="2788" t="s">
        <v>23</v>
      </c>
      <c r="U180" s="2789"/>
      <c r="V180" s="2790"/>
      <c r="W180" s="2787"/>
      <c r="X180" s="2788" t="s">
        <v>24</v>
      </c>
      <c r="Y180" s="2789"/>
      <c r="Z180" s="2790"/>
      <c r="AA180" s="2787"/>
      <c r="AB180" s="2788" t="s">
        <v>25</v>
      </c>
      <c r="AC180" s="2789"/>
      <c r="AD180" s="2789"/>
      <c r="AE180" s="2791" t="s">
        <v>108</v>
      </c>
      <c r="AF180" s="2789"/>
    </row>
    <row r="181" spans="1:32" ht="18" customHeight="1">
      <c r="A181" s="100"/>
      <c r="B181" s="4005" t="s">
        <v>229</v>
      </c>
      <c r="C181" s="4326" t="s">
        <v>230</v>
      </c>
      <c r="D181" s="3239"/>
      <c r="E181" s="3239"/>
      <c r="F181" s="4007"/>
      <c r="G181" s="4326" t="s">
        <v>230</v>
      </c>
      <c r="H181" s="3239"/>
      <c r="I181" s="3239"/>
      <c r="J181" s="4007"/>
      <c r="K181" s="4326" t="s">
        <v>230</v>
      </c>
      <c r="L181" s="3239"/>
      <c r="M181" s="3239"/>
      <c r="N181" s="4007"/>
      <c r="O181" s="4326" t="s">
        <v>231</v>
      </c>
      <c r="P181" s="3239"/>
      <c r="Q181" s="3239"/>
      <c r="R181" s="4007"/>
      <c r="S181" s="4326" t="s">
        <v>232</v>
      </c>
      <c r="T181" s="3239"/>
      <c r="U181" s="3239"/>
      <c r="V181" s="4007"/>
      <c r="W181" s="4326" t="s">
        <v>233</v>
      </c>
      <c r="X181" s="3241"/>
      <c r="Y181" s="3241"/>
      <c r="Z181" s="4008"/>
      <c r="AA181" s="4326" t="s">
        <v>233</v>
      </c>
      <c r="AB181" s="3239"/>
      <c r="AC181" s="3239"/>
      <c r="AD181" s="4325"/>
      <c r="AE181" s="4009">
        <v>68</v>
      </c>
      <c r="AF181" s="530"/>
    </row>
    <row r="182" spans="1:32" ht="18" customHeight="1">
      <c r="A182" s="100"/>
      <c r="B182" s="4005"/>
      <c r="C182" s="4326" t="s">
        <v>220</v>
      </c>
      <c r="D182" s="3239"/>
      <c r="E182" s="3239"/>
      <c r="F182" s="4007"/>
      <c r="G182" s="4326" t="s">
        <v>220</v>
      </c>
      <c r="H182" s="3239"/>
      <c r="I182" s="3239"/>
      <c r="J182" s="4007"/>
      <c r="K182" s="4326" t="s">
        <v>220</v>
      </c>
      <c r="L182" s="3239"/>
      <c r="M182" s="3239"/>
      <c r="N182" s="4007"/>
      <c r="O182" s="4326" t="s">
        <v>220</v>
      </c>
      <c r="P182" s="3239"/>
      <c r="Q182" s="3239"/>
      <c r="R182" s="4007"/>
      <c r="S182" s="4326" t="s">
        <v>220</v>
      </c>
      <c r="T182" s="3239"/>
      <c r="U182" s="3239"/>
      <c r="V182" s="4007"/>
      <c r="W182" s="4326" t="s">
        <v>220</v>
      </c>
      <c r="X182" s="3239"/>
      <c r="Y182" s="3239"/>
      <c r="Z182" s="4007"/>
      <c r="AA182" s="3239" t="s">
        <v>220</v>
      </c>
      <c r="AB182" s="3239"/>
      <c r="AC182" s="3239"/>
      <c r="AD182" s="4325"/>
      <c r="AE182" s="4009">
        <v>0</v>
      </c>
      <c r="AF182" s="530"/>
    </row>
    <row r="183" spans="1:32" ht="18" customHeight="1">
      <c r="A183" s="100"/>
      <c r="B183" s="4005" t="s">
        <v>234</v>
      </c>
      <c r="C183" s="4326" t="s">
        <v>231</v>
      </c>
      <c r="D183" s="3239"/>
      <c r="E183" s="3239"/>
      <c r="F183" s="4007"/>
      <c r="G183" s="4326" t="s">
        <v>231</v>
      </c>
      <c r="H183" s="3239"/>
      <c r="I183" s="3239"/>
      <c r="J183" s="4007"/>
      <c r="K183" s="4326" t="s">
        <v>231</v>
      </c>
      <c r="L183" s="3239"/>
      <c r="M183" s="3239"/>
      <c r="N183" s="4007"/>
      <c r="O183" s="4326" t="s">
        <v>230</v>
      </c>
      <c r="P183" s="3239"/>
      <c r="Q183" s="3239"/>
      <c r="R183" s="4007"/>
      <c r="S183" s="4326" t="s">
        <v>230</v>
      </c>
      <c r="T183" s="3239"/>
      <c r="U183" s="3239"/>
      <c r="V183" s="4007"/>
      <c r="W183" s="4326" t="s">
        <v>232</v>
      </c>
      <c r="X183" s="3241"/>
      <c r="Y183" s="3241"/>
      <c r="Z183" s="4008"/>
      <c r="AA183" s="4326" t="s">
        <v>232</v>
      </c>
      <c r="AB183" s="3239"/>
      <c r="AC183" s="3239"/>
      <c r="AD183" s="4325"/>
      <c r="AE183" s="4009">
        <v>68</v>
      </c>
      <c r="AF183" s="3239"/>
    </row>
    <row r="184" spans="1:32" ht="18" customHeight="1">
      <c r="A184" s="100"/>
      <c r="B184" s="4005"/>
      <c r="C184" s="4326" t="s">
        <v>220</v>
      </c>
      <c r="D184" s="3239"/>
      <c r="E184" s="3239"/>
      <c r="F184" s="4007"/>
      <c r="G184" s="4326" t="s">
        <v>220</v>
      </c>
      <c r="H184" s="3239"/>
      <c r="I184" s="3239"/>
      <c r="J184" s="4007"/>
      <c r="K184" s="4326" t="s">
        <v>220</v>
      </c>
      <c r="L184" s="3239"/>
      <c r="M184" s="3239"/>
      <c r="N184" s="4007"/>
      <c r="O184" s="4326" t="s">
        <v>220</v>
      </c>
      <c r="P184" s="3239"/>
      <c r="Q184" s="3239"/>
      <c r="R184" s="4007"/>
      <c r="S184" s="4326" t="s">
        <v>220</v>
      </c>
      <c r="T184" s="3239"/>
      <c r="U184" s="3239"/>
      <c r="V184" s="4007"/>
      <c r="W184" s="4326" t="s">
        <v>220</v>
      </c>
      <c r="X184" s="3239"/>
      <c r="Y184" s="3239"/>
      <c r="Z184" s="4007"/>
      <c r="AA184" s="3239" t="s">
        <v>220</v>
      </c>
      <c r="AB184" s="3239"/>
      <c r="AC184" s="3239"/>
      <c r="AD184" s="4325"/>
      <c r="AE184" s="4009">
        <v>0</v>
      </c>
      <c r="AF184" s="3239"/>
    </row>
    <row r="185" spans="1:32" ht="18" customHeight="1">
      <c r="A185" s="100"/>
      <c r="B185" s="4005" t="s">
        <v>235</v>
      </c>
      <c r="C185" s="4326" t="s">
        <v>230</v>
      </c>
      <c r="D185" s="3239"/>
      <c r="E185" s="3239"/>
      <c r="F185" s="4007"/>
      <c r="G185" s="4326" t="s">
        <v>230</v>
      </c>
      <c r="H185" s="3239"/>
      <c r="I185" s="3239"/>
      <c r="J185" s="4007"/>
      <c r="K185" s="4326" t="s">
        <v>230</v>
      </c>
      <c r="L185" s="3239"/>
      <c r="M185" s="3239"/>
      <c r="N185" s="4007"/>
      <c r="O185" s="4326" t="s">
        <v>230</v>
      </c>
      <c r="P185" s="3239"/>
      <c r="Q185" s="3239"/>
      <c r="R185" s="4007"/>
      <c r="S185" s="4326" t="s">
        <v>230</v>
      </c>
      <c r="T185" s="3239"/>
      <c r="U185" s="3239"/>
      <c r="V185" s="4007"/>
      <c r="W185" s="4326" t="s">
        <v>236</v>
      </c>
      <c r="X185" s="4358"/>
      <c r="Y185" s="4358"/>
      <c r="Z185" s="4327"/>
      <c r="AA185" s="4326" t="s">
        <v>236</v>
      </c>
      <c r="AB185" s="4358"/>
      <c r="AC185" s="4358"/>
      <c r="AD185" s="4329"/>
      <c r="AE185" s="4009">
        <v>68</v>
      </c>
      <c r="AF185" s="3239"/>
    </row>
    <row r="186" spans="1:32" ht="18" customHeight="1">
      <c r="A186" s="100"/>
      <c r="B186" s="4005"/>
      <c r="C186" s="4031" t="s">
        <v>220</v>
      </c>
      <c r="D186" s="4032"/>
      <c r="E186" s="4032"/>
      <c r="F186" s="4033"/>
      <c r="G186" s="4031" t="s">
        <v>220</v>
      </c>
      <c r="H186" s="4032"/>
      <c r="I186" s="4032"/>
      <c r="J186" s="4033"/>
      <c r="K186" s="4031" t="s">
        <v>220</v>
      </c>
      <c r="L186" s="4032"/>
      <c r="M186" s="4032"/>
      <c r="N186" s="4033"/>
      <c r="O186" s="4031" t="s">
        <v>220</v>
      </c>
      <c r="P186" s="4032"/>
      <c r="Q186" s="4032"/>
      <c r="R186" s="4033"/>
      <c r="S186" s="4031" t="s">
        <v>220</v>
      </c>
      <c r="T186" s="4032"/>
      <c r="U186" s="4032"/>
      <c r="V186" s="4034"/>
      <c r="W186" s="4031" t="s">
        <v>220</v>
      </c>
      <c r="X186" s="4034"/>
      <c r="Y186" s="4032"/>
      <c r="Z186" s="4033"/>
      <c r="AA186" s="4031" t="s">
        <v>220</v>
      </c>
      <c r="AB186" s="4034"/>
      <c r="AC186" s="4032"/>
      <c r="AD186" s="4033"/>
      <c r="AE186" s="4035" t="s">
        <v>438</v>
      </c>
      <c r="AF186" s="4032"/>
    </row>
    <row r="187" spans="1:32" ht="18" customHeight="1">
      <c r="A187" s="66"/>
      <c r="B187" s="100"/>
      <c r="C187" s="102"/>
      <c r="D187" s="102"/>
      <c r="E187" s="102"/>
      <c r="F187" s="102"/>
      <c r="G187" s="102"/>
      <c r="H187" s="101"/>
      <c r="I187" s="102"/>
      <c r="J187" s="102"/>
      <c r="K187" s="102"/>
      <c r="L187" s="102"/>
      <c r="M187" s="102"/>
      <c r="N187" s="102"/>
      <c r="O187" s="102"/>
      <c r="P187" s="102"/>
      <c r="Q187" s="102"/>
      <c r="R187" s="102"/>
      <c r="S187" s="300" t="s">
        <v>559</v>
      </c>
      <c r="T187" s="299"/>
      <c r="U187" s="299"/>
      <c r="V187" s="299"/>
      <c r="W187" s="299"/>
      <c r="X187" s="102"/>
      <c r="Y187" s="102"/>
      <c r="Z187" s="102"/>
      <c r="AA187" s="102"/>
      <c r="AB187" s="102"/>
      <c r="AC187" s="102"/>
      <c r="AD187" s="102"/>
      <c r="AE187" s="102"/>
      <c r="AF187" s="102"/>
    </row>
    <row r="188" spans="1:32" ht="18" customHeight="1">
      <c r="A188" s="4356"/>
      <c r="B188" s="4233" t="s">
        <v>38</v>
      </c>
      <c r="C188" s="2986">
        <v>1</v>
      </c>
      <c r="D188" s="2986">
        <v>2</v>
      </c>
      <c r="E188" s="2985">
        <v>3</v>
      </c>
      <c r="F188" s="2985">
        <v>4</v>
      </c>
      <c r="G188" s="2985">
        <v>5</v>
      </c>
      <c r="H188" s="2985">
        <v>6</v>
      </c>
      <c r="I188" s="2985">
        <v>7</v>
      </c>
      <c r="J188" s="2986">
        <v>8</v>
      </c>
      <c r="K188" s="2986">
        <v>9</v>
      </c>
      <c r="L188" s="2985">
        <v>10</v>
      </c>
      <c r="M188" s="2985">
        <v>11</v>
      </c>
      <c r="N188" s="2985">
        <v>12</v>
      </c>
      <c r="O188" s="2985">
        <v>13</v>
      </c>
      <c r="P188" s="2985">
        <v>14</v>
      </c>
      <c r="Q188" s="2986">
        <v>15</v>
      </c>
      <c r="R188" s="2986">
        <v>16</v>
      </c>
      <c r="S188" s="2985">
        <v>17</v>
      </c>
      <c r="T188" s="2985">
        <v>18</v>
      </c>
      <c r="U188" s="2985">
        <v>19</v>
      </c>
      <c r="V188" s="2985">
        <v>20</v>
      </c>
      <c r="W188" s="2985">
        <v>21</v>
      </c>
      <c r="X188" s="2986">
        <v>22</v>
      </c>
      <c r="Y188" s="2986">
        <v>23</v>
      </c>
      <c r="Z188" s="2985">
        <v>24</v>
      </c>
      <c r="AA188" s="2985">
        <v>25</v>
      </c>
      <c r="AB188" s="2985">
        <v>26</v>
      </c>
      <c r="AC188" s="2985">
        <v>27</v>
      </c>
      <c r="AD188" s="2985">
        <v>28</v>
      </c>
      <c r="AE188" s="2986">
        <v>29</v>
      </c>
      <c r="AF188" s="2986">
        <v>30</v>
      </c>
    </row>
    <row r="189" spans="1:32" ht="18" customHeight="1">
      <c r="A189" s="2828">
        <v>1</v>
      </c>
      <c r="B189" s="4036" t="s">
        <v>237</v>
      </c>
      <c r="C189" s="2829"/>
      <c r="D189" s="2830"/>
      <c r="E189" s="2830">
        <v>21</v>
      </c>
      <c r="F189" s="2830">
        <v>21</v>
      </c>
      <c r="G189" s="2830">
        <v>21</v>
      </c>
      <c r="H189" s="2829">
        <v>21</v>
      </c>
      <c r="I189" s="2829">
        <v>21</v>
      </c>
      <c r="J189" s="2829">
        <v>21</v>
      </c>
      <c r="K189" s="2831">
        <v>21</v>
      </c>
      <c r="L189" s="2831" t="s">
        <v>46</v>
      </c>
      <c r="M189" s="2831" t="s">
        <v>46</v>
      </c>
      <c r="N189" s="2830" t="s">
        <v>46</v>
      </c>
      <c r="O189" s="2830" t="s">
        <v>46</v>
      </c>
      <c r="P189" s="2830" t="s">
        <v>46</v>
      </c>
      <c r="Q189" s="2830"/>
      <c r="R189" s="2830"/>
      <c r="S189" s="4364">
        <v>22</v>
      </c>
      <c r="T189" s="4364">
        <v>22</v>
      </c>
      <c r="U189" s="4364">
        <v>22</v>
      </c>
      <c r="V189" s="4364">
        <v>22</v>
      </c>
      <c r="W189" s="4364">
        <v>22</v>
      </c>
      <c r="X189" s="4364">
        <v>22</v>
      </c>
      <c r="Y189" s="4364">
        <v>22</v>
      </c>
      <c r="Z189" s="2829" t="s">
        <v>46</v>
      </c>
      <c r="AA189" s="2829" t="s">
        <v>46</v>
      </c>
      <c r="AB189" s="2829" t="s">
        <v>46</v>
      </c>
      <c r="AC189" s="2832" t="s">
        <v>46</v>
      </c>
      <c r="AD189" s="2832" t="s">
        <v>46</v>
      </c>
      <c r="AE189" s="4365">
        <v>21</v>
      </c>
      <c r="AF189" s="3683">
        <v>21</v>
      </c>
    </row>
    <row r="190" spans="1:32" ht="18" customHeight="1">
      <c r="A190" s="4038">
        <v>2</v>
      </c>
      <c r="B190" s="4036" t="s">
        <v>238</v>
      </c>
      <c r="C190" s="4281"/>
      <c r="D190" s="4281"/>
      <c r="E190" s="4290">
        <v>22</v>
      </c>
      <c r="F190" s="4366">
        <v>22</v>
      </c>
      <c r="G190" s="4366">
        <v>22</v>
      </c>
      <c r="H190" s="4366">
        <v>22</v>
      </c>
      <c r="I190" s="4366">
        <v>22</v>
      </c>
      <c r="J190" s="4366">
        <v>22</v>
      </c>
      <c r="K190" s="4367">
        <v>22</v>
      </c>
      <c r="L190" s="4040" t="s">
        <v>46</v>
      </c>
      <c r="M190" s="4367" t="s">
        <v>46</v>
      </c>
      <c r="N190" s="4310" t="s">
        <v>46</v>
      </c>
      <c r="O190" s="4310" t="s">
        <v>46</v>
      </c>
      <c r="P190" s="4310" t="s">
        <v>46</v>
      </c>
      <c r="Q190" s="4310"/>
      <c r="R190" s="4281"/>
      <c r="S190" s="4045">
        <v>23</v>
      </c>
      <c r="T190" s="4045">
        <v>23</v>
      </c>
      <c r="U190" s="4045">
        <v>23</v>
      </c>
      <c r="V190" s="4045">
        <v>23</v>
      </c>
      <c r="W190" s="4045">
        <v>23</v>
      </c>
      <c r="X190" s="4045">
        <v>23</v>
      </c>
      <c r="Y190" s="4045">
        <v>23</v>
      </c>
      <c r="Z190" s="4281" t="s">
        <v>46</v>
      </c>
      <c r="AA190" s="4281" t="s">
        <v>46</v>
      </c>
      <c r="AB190" s="4281" t="s">
        <v>46</v>
      </c>
      <c r="AC190" s="4366" t="s">
        <v>46</v>
      </c>
      <c r="AD190" s="4366" t="s">
        <v>46</v>
      </c>
      <c r="AE190" s="4366"/>
      <c r="AF190" s="4366"/>
    </row>
    <row r="191" spans="1:32" ht="18" customHeight="1">
      <c r="A191" s="4038">
        <v>3</v>
      </c>
      <c r="B191" s="4036" t="s">
        <v>239</v>
      </c>
      <c r="C191" s="4281"/>
      <c r="D191" s="4310"/>
      <c r="E191" s="4045">
        <v>23</v>
      </c>
      <c r="F191" s="4045">
        <v>23</v>
      </c>
      <c r="G191" s="4045">
        <v>23</v>
      </c>
      <c r="H191" s="4368">
        <v>23</v>
      </c>
      <c r="I191" s="4045">
        <v>23</v>
      </c>
      <c r="J191" s="4045">
        <v>23</v>
      </c>
      <c r="K191" s="4045">
        <v>23</v>
      </c>
      <c r="L191" s="4367" t="s">
        <v>46</v>
      </c>
      <c r="M191" s="4367" t="s">
        <v>46</v>
      </c>
      <c r="N191" s="4310" t="s">
        <v>46</v>
      </c>
      <c r="O191" s="4310" t="s">
        <v>46</v>
      </c>
      <c r="P191" s="4310" t="s">
        <v>46</v>
      </c>
      <c r="Q191" s="4310"/>
      <c r="R191" s="4281"/>
      <c r="S191" s="4364">
        <v>21</v>
      </c>
      <c r="T191" s="4343">
        <v>21</v>
      </c>
      <c r="U191" s="4343">
        <v>21</v>
      </c>
      <c r="V191" s="4343">
        <v>21</v>
      </c>
      <c r="W191" s="4343">
        <v>21</v>
      </c>
      <c r="X191" s="4343">
        <v>21</v>
      </c>
      <c r="Y191" s="4343">
        <v>21</v>
      </c>
      <c r="Z191" s="3925" t="s">
        <v>46</v>
      </c>
      <c r="AA191" s="3925" t="s">
        <v>46</v>
      </c>
      <c r="AB191" s="3925" t="s">
        <v>46</v>
      </c>
      <c r="AC191" s="3925" t="s">
        <v>46</v>
      </c>
      <c r="AD191" s="3925" t="s">
        <v>46</v>
      </c>
      <c r="AE191" s="3925"/>
      <c r="AF191" s="3925"/>
    </row>
    <row r="192" spans="1:32" ht="18" customHeight="1">
      <c r="A192" s="4038">
        <v>4</v>
      </c>
      <c r="B192" s="485" t="s">
        <v>240</v>
      </c>
      <c r="C192" s="4281">
        <v>23</v>
      </c>
      <c r="D192" s="4367">
        <v>23</v>
      </c>
      <c r="E192" s="4040" t="s">
        <v>46</v>
      </c>
      <c r="F192" s="4040" t="s">
        <v>46</v>
      </c>
      <c r="G192" s="4041" t="s">
        <v>46</v>
      </c>
      <c r="H192" s="4041" t="s">
        <v>46</v>
      </c>
      <c r="I192" s="4041" t="s">
        <v>46</v>
      </c>
      <c r="J192" s="4310"/>
      <c r="K192" s="4310"/>
      <c r="L192" s="4369">
        <v>21</v>
      </c>
      <c r="M192" s="4369">
        <v>21</v>
      </c>
      <c r="N192" s="4310">
        <v>21</v>
      </c>
      <c r="O192" s="4310">
        <v>21</v>
      </c>
      <c r="P192" s="4281">
        <v>21</v>
      </c>
      <c r="Q192" s="4281">
        <v>21</v>
      </c>
      <c r="R192" s="4042">
        <v>21</v>
      </c>
      <c r="S192" s="4042" t="s">
        <v>46</v>
      </c>
      <c r="T192" s="4281" t="s">
        <v>46</v>
      </c>
      <c r="U192" s="4366" t="s">
        <v>46</v>
      </c>
      <c r="V192" s="4366" t="s">
        <v>46</v>
      </c>
      <c r="W192" s="4290" t="s">
        <v>46</v>
      </c>
      <c r="X192" s="4281"/>
      <c r="Y192" s="4310"/>
      <c r="Z192" s="4370">
        <v>22</v>
      </c>
      <c r="AA192" s="4364">
        <v>22</v>
      </c>
      <c r="AB192" s="4364">
        <v>22</v>
      </c>
      <c r="AC192" s="4364">
        <v>22</v>
      </c>
      <c r="AD192" s="4364">
        <v>22</v>
      </c>
      <c r="AE192" s="4364">
        <v>22</v>
      </c>
      <c r="AF192" s="4371">
        <v>22</v>
      </c>
    </row>
    <row r="193" spans="1:32" ht="18" customHeight="1">
      <c r="A193" s="4038">
        <v>5</v>
      </c>
      <c r="B193" s="4372" t="s">
        <v>242</v>
      </c>
      <c r="C193" s="4310">
        <v>21</v>
      </c>
      <c r="D193" s="4044">
        <v>21</v>
      </c>
      <c r="E193" s="4044" t="s">
        <v>46</v>
      </c>
      <c r="F193" s="4276" t="s">
        <v>46</v>
      </c>
      <c r="G193" s="4276" t="s">
        <v>46</v>
      </c>
      <c r="H193" s="4276" t="s">
        <v>46</v>
      </c>
      <c r="I193" s="4044" t="s">
        <v>46</v>
      </c>
      <c r="J193" s="4044"/>
      <c r="K193" s="4352"/>
      <c r="L193" s="4351">
        <v>22</v>
      </c>
      <c r="M193" s="4351">
        <v>22</v>
      </c>
      <c r="N193" s="4351">
        <v>22</v>
      </c>
      <c r="O193" s="4351">
        <v>22</v>
      </c>
      <c r="P193" s="4351">
        <v>22</v>
      </c>
      <c r="Q193" s="4351">
        <v>22</v>
      </c>
      <c r="R193" s="4373">
        <v>22</v>
      </c>
      <c r="S193" s="4374" t="s">
        <v>46</v>
      </c>
      <c r="T193" s="4281" t="s">
        <v>46</v>
      </c>
      <c r="U193" s="4366" t="s">
        <v>46</v>
      </c>
      <c r="V193" s="4366" t="s">
        <v>46</v>
      </c>
      <c r="W193" s="4290" t="s">
        <v>46</v>
      </c>
      <c r="X193" s="4281"/>
      <c r="Y193" s="4281"/>
      <c r="Z193" s="4045">
        <v>23</v>
      </c>
      <c r="AA193" s="4045">
        <v>23</v>
      </c>
      <c r="AB193" s="4045">
        <v>23</v>
      </c>
      <c r="AC193" s="4045">
        <v>23</v>
      </c>
      <c r="AD193" s="4045">
        <v>23</v>
      </c>
      <c r="AE193" s="4045">
        <v>23</v>
      </c>
      <c r="AF193" s="4045">
        <v>23</v>
      </c>
    </row>
    <row r="194" spans="1:32" ht="18" customHeight="1">
      <c r="A194" s="3693">
        <v>6</v>
      </c>
      <c r="B194" s="4047" t="s">
        <v>243</v>
      </c>
      <c r="C194" s="1586">
        <v>22</v>
      </c>
      <c r="D194" s="4321">
        <v>22</v>
      </c>
      <c r="E194" s="4321" t="s">
        <v>46</v>
      </c>
      <c r="F194" s="4321" t="s">
        <v>46</v>
      </c>
      <c r="G194" s="3698" t="s">
        <v>46</v>
      </c>
      <c r="H194" s="3698" t="s">
        <v>46</v>
      </c>
      <c r="I194" s="3698" t="s">
        <v>46</v>
      </c>
      <c r="J194" s="3698"/>
      <c r="K194" s="3698"/>
      <c r="L194" s="4375">
        <v>23</v>
      </c>
      <c r="M194" s="4375">
        <v>23</v>
      </c>
      <c r="N194" s="4375">
        <v>23</v>
      </c>
      <c r="O194" s="4375">
        <v>23</v>
      </c>
      <c r="P194" s="4375">
        <v>23</v>
      </c>
      <c r="Q194" s="4375">
        <v>23</v>
      </c>
      <c r="R194" s="4375">
        <v>23</v>
      </c>
      <c r="S194" s="4376" t="s">
        <v>46</v>
      </c>
      <c r="T194" s="1586" t="s">
        <v>46</v>
      </c>
      <c r="U194" s="4377" t="s">
        <v>46</v>
      </c>
      <c r="V194" s="4377" t="s">
        <v>46</v>
      </c>
      <c r="W194" s="4378" t="s">
        <v>46</v>
      </c>
      <c r="X194" s="1586"/>
      <c r="Y194" s="1586"/>
      <c r="Z194" s="4379">
        <v>21</v>
      </c>
      <c r="AA194" s="4380">
        <v>21</v>
      </c>
      <c r="AB194" s="4380">
        <v>21</v>
      </c>
      <c r="AC194" s="4380">
        <v>21</v>
      </c>
      <c r="AD194" s="4380">
        <v>21</v>
      </c>
      <c r="AE194" s="4380">
        <v>21</v>
      </c>
      <c r="AF194" s="4380">
        <v>21</v>
      </c>
    </row>
    <row r="195" spans="1:32" ht="18" customHeight="1">
      <c r="A195" s="117"/>
      <c r="B195" s="115"/>
      <c r="C195" s="116"/>
      <c r="D195" s="116"/>
      <c r="E195" s="124"/>
      <c r="F195" s="116"/>
      <c r="G195" s="116"/>
      <c r="H195" s="173"/>
      <c r="I195" s="129"/>
      <c r="J195" s="129"/>
      <c r="K195" s="129"/>
      <c r="L195" s="129"/>
      <c r="M195" s="129"/>
      <c r="N195" s="113"/>
      <c r="O195" s="113"/>
      <c r="P195" s="124"/>
      <c r="Q195" s="116"/>
      <c r="R195" s="116"/>
      <c r="S195" s="124"/>
      <c r="T195" s="116"/>
      <c r="U195" s="116"/>
      <c r="V195" s="116"/>
      <c r="W195" s="116"/>
      <c r="X195" s="116"/>
      <c r="Y195" s="116"/>
      <c r="Z195" s="116" t="s">
        <v>0</v>
      </c>
      <c r="AA195" s="116">
        <v>21</v>
      </c>
      <c r="AB195" s="108">
        <v>21</v>
      </c>
      <c r="AC195" s="108" t="s">
        <v>0</v>
      </c>
      <c r="AD195" s="108" t="s">
        <v>0</v>
      </c>
      <c r="AE195" s="116" t="s">
        <v>0</v>
      </c>
      <c r="AF195" s="116" t="s">
        <v>0</v>
      </c>
    </row>
    <row r="196" spans="1:32" ht="18" customHeight="1">
      <c r="A196" s="67"/>
      <c r="B196" s="68"/>
      <c r="C196" s="108"/>
      <c r="D196" s="108"/>
      <c r="E196" s="99"/>
      <c r="F196" s="108"/>
      <c r="G196" s="108"/>
      <c r="H196" s="108"/>
      <c r="I196" s="108"/>
      <c r="J196" s="108"/>
      <c r="K196" s="108"/>
      <c r="L196" s="108"/>
      <c r="M196" s="108"/>
      <c r="N196" s="108"/>
      <c r="O196" s="108"/>
      <c r="P196" s="99"/>
      <c r="Q196" s="108"/>
      <c r="R196" s="108"/>
      <c r="S196" s="99"/>
      <c r="T196" s="108"/>
      <c r="U196" s="108"/>
      <c r="V196" s="108"/>
      <c r="W196" s="108"/>
      <c r="X196" s="108"/>
      <c r="Y196" s="108"/>
      <c r="Z196" s="108"/>
      <c r="AA196" s="108"/>
      <c r="AB196" s="108"/>
      <c r="AC196" s="109"/>
      <c r="AD196" s="109"/>
      <c r="AE196" s="109"/>
      <c r="AF196" s="108"/>
    </row>
    <row r="197" spans="1:32" ht="18" customHeight="1">
      <c r="A197" s="96" t="s">
        <v>244</v>
      </c>
      <c r="D197" s="48"/>
      <c r="E197" s="48"/>
      <c r="F197" s="48"/>
      <c r="G197" s="63"/>
      <c r="I197" s="48"/>
      <c r="J197" s="48"/>
      <c r="K197" s="48"/>
      <c r="L197" s="48"/>
      <c r="M197" s="48"/>
      <c r="N197" s="48"/>
      <c r="O197" s="48"/>
      <c r="P197" s="48"/>
      <c r="Q197" s="48"/>
      <c r="R197" s="48"/>
      <c r="S197" s="48"/>
      <c r="T197" s="48"/>
      <c r="U197" s="48"/>
      <c r="V197" s="48"/>
      <c r="W197" s="48"/>
      <c r="X197" s="48"/>
      <c r="Y197" s="48"/>
      <c r="Z197" s="48"/>
      <c r="AA197" s="48"/>
      <c r="AB197" s="48"/>
      <c r="AC197" s="48"/>
      <c r="AD197" s="48"/>
      <c r="AE197" s="48"/>
      <c r="AF197" s="48"/>
    </row>
    <row r="198" spans="1:32" ht="18" customHeight="1">
      <c r="A198" s="1"/>
      <c r="B198" s="2764" t="s">
        <v>209</v>
      </c>
      <c r="C198" s="2765"/>
      <c r="D198" s="2788" t="s">
        <v>19</v>
      </c>
      <c r="E198" s="3064"/>
      <c r="F198" s="2769"/>
      <c r="G198" s="2765"/>
      <c r="H198" s="2788" t="s">
        <v>20</v>
      </c>
      <c r="I198" s="3064"/>
      <c r="J198" s="2769"/>
      <c r="K198" s="2765"/>
      <c r="L198" s="2788" t="s">
        <v>21</v>
      </c>
      <c r="M198" s="3064"/>
      <c r="N198" s="2769"/>
      <c r="O198" s="2765"/>
      <c r="P198" s="2788" t="s">
        <v>22</v>
      </c>
      <c r="Q198" s="3064"/>
      <c r="R198" s="2769"/>
      <c r="S198" s="2765"/>
      <c r="T198" s="2788" t="s">
        <v>23</v>
      </c>
      <c r="U198" s="3064"/>
      <c r="V198" s="2769"/>
      <c r="W198" s="2765"/>
      <c r="X198" s="2788" t="s">
        <v>24</v>
      </c>
      <c r="Y198" s="3064"/>
      <c r="Z198" s="2769"/>
      <c r="AA198" s="2765"/>
      <c r="AB198" s="2788" t="s">
        <v>25</v>
      </c>
      <c r="AC198" s="3064"/>
      <c r="AD198" s="3064"/>
      <c r="AE198" s="2791" t="s">
        <v>108</v>
      </c>
      <c r="AF198" s="3064"/>
    </row>
    <row r="199" spans="1:32" ht="18" customHeight="1">
      <c r="A199" s="1"/>
      <c r="B199" s="4005" t="s">
        <v>210</v>
      </c>
      <c r="C199" s="4326" t="s">
        <v>211</v>
      </c>
      <c r="D199" s="3758"/>
      <c r="E199" s="3758"/>
      <c r="F199" s="4007"/>
      <c r="G199" s="4326" t="s">
        <v>211</v>
      </c>
      <c r="H199" s="3758"/>
      <c r="I199" s="3758"/>
      <c r="J199" s="4007"/>
      <c r="K199" s="4326" t="s">
        <v>211</v>
      </c>
      <c r="L199" s="3758"/>
      <c r="M199" s="3758"/>
      <c r="N199" s="4007"/>
      <c r="O199" s="4326" t="s">
        <v>245</v>
      </c>
      <c r="P199" s="3758"/>
      <c r="Q199" s="3758"/>
      <c r="R199" s="4007"/>
      <c r="S199" s="4326" t="s">
        <v>220</v>
      </c>
      <c r="T199" s="3758"/>
      <c r="U199" s="3758"/>
      <c r="V199" s="4007"/>
      <c r="W199" s="4381"/>
      <c r="X199" s="4382"/>
      <c r="Y199" s="4382"/>
      <c r="Z199" s="4008"/>
      <c r="AA199" s="4006"/>
      <c r="AB199" s="3758"/>
      <c r="AC199" s="3758"/>
      <c r="AD199" s="4325"/>
      <c r="AE199" s="4009">
        <v>27</v>
      </c>
      <c r="AF199" s="3758"/>
    </row>
    <row r="200" spans="1:32" ht="18" customHeight="1">
      <c r="A200" s="1"/>
      <c r="B200" s="4005" t="s">
        <v>212</v>
      </c>
      <c r="C200" s="4326" t="s">
        <v>246</v>
      </c>
      <c r="D200" s="3758"/>
      <c r="E200" s="3758"/>
      <c r="F200" s="4007"/>
      <c r="G200" s="4326" t="s">
        <v>246</v>
      </c>
      <c r="H200" s="3758"/>
      <c r="I200" s="3758"/>
      <c r="J200" s="4007"/>
      <c r="K200" s="4326" t="s">
        <v>246</v>
      </c>
      <c r="L200" s="3758"/>
      <c r="M200" s="3758"/>
      <c r="N200" s="4007"/>
      <c r="O200" s="4326" t="s">
        <v>246</v>
      </c>
      <c r="P200" s="3758"/>
      <c r="Q200" s="3758"/>
      <c r="R200" s="4007"/>
      <c r="S200" s="4326" t="s">
        <v>211</v>
      </c>
      <c r="T200" s="3758"/>
      <c r="U200" s="3758"/>
      <c r="V200" s="4007"/>
      <c r="W200" s="4326"/>
      <c r="X200" s="3758"/>
      <c r="Y200" s="3758"/>
      <c r="Z200" s="4007"/>
      <c r="AA200" s="3758"/>
      <c r="AB200" s="3758"/>
      <c r="AC200" s="3758"/>
      <c r="AD200" s="4325"/>
      <c r="AE200" s="4009">
        <v>39</v>
      </c>
      <c r="AF200" s="3758"/>
    </row>
    <row r="201" spans="1:32" ht="18" customHeight="1">
      <c r="A201" s="1"/>
      <c r="B201" s="4005" t="s">
        <v>214</v>
      </c>
      <c r="C201" s="4326" t="s">
        <v>246</v>
      </c>
      <c r="D201" s="3758"/>
      <c r="E201" s="3758"/>
      <c r="F201" s="4007"/>
      <c r="G201" s="4326" t="s">
        <v>246</v>
      </c>
      <c r="H201" s="3758"/>
      <c r="I201" s="3758"/>
      <c r="J201" s="4007"/>
      <c r="K201" s="4326" t="s">
        <v>246</v>
      </c>
      <c r="L201" s="3758"/>
      <c r="M201" s="3758"/>
      <c r="N201" s="4007"/>
      <c r="O201" s="4326" t="s">
        <v>246</v>
      </c>
      <c r="P201" s="3758"/>
      <c r="Q201" s="3758"/>
      <c r="R201" s="4007"/>
      <c r="S201" s="4326" t="s">
        <v>246</v>
      </c>
      <c r="T201" s="3758"/>
      <c r="U201" s="3758"/>
      <c r="V201" s="4007"/>
      <c r="W201" s="4328" t="s">
        <v>217</v>
      </c>
      <c r="X201" s="4213"/>
      <c r="Y201" s="4213"/>
      <c r="Z201" s="4327"/>
      <c r="AA201" s="4357"/>
      <c r="AB201" s="4213"/>
      <c r="AC201" s="4213"/>
      <c r="AD201" s="4329"/>
      <c r="AE201" s="4009">
        <v>45</v>
      </c>
      <c r="AF201" s="3758"/>
    </row>
    <row r="202" spans="1:32" ht="18" customHeight="1">
      <c r="A202" s="1"/>
      <c r="B202" s="1484" t="s">
        <v>218</v>
      </c>
      <c r="C202" s="4031"/>
      <c r="D202" s="4225"/>
      <c r="E202" s="4225"/>
      <c r="F202" s="4033"/>
      <c r="G202" s="4031"/>
      <c r="H202" s="4225"/>
      <c r="I202" s="4225"/>
      <c r="J202" s="4033"/>
      <c r="K202" s="4031"/>
      <c r="L202" s="4225"/>
      <c r="M202" s="4225"/>
      <c r="N202" s="4033"/>
      <c r="O202" s="4031"/>
      <c r="P202" s="4225"/>
      <c r="Q202" s="4225"/>
      <c r="R202" s="4033"/>
      <c r="S202" s="4031"/>
      <c r="T202" s="4225"/>
      <c r="U202" s="4225"/>
      <c r="V202" s="4034"/>
      <c r="W202" s="4031"/>
      <c r="X202" s="4034"/>
      <c r="Y202" s="4225"/>
      <c r="Z202" s="4033"/>
      <c r="AA202" s="4031"/>
      <c r="AB202" s="4034"/>
      <c r="AC202" s="4225"/>
      <c r="AD202" s="4033"/>
      <c r="AE202" s="4383"/>
      <c r="AF202" s="4225"/>
    </row>
    <row r="203" spans="1:32" ht="18" customHeight="1">
      <c r="A203" s="66"/>
      <c r="B203" s="1"/>
      <c r="C203" s="48"/>
      <c r="D203" s="48"/>
      <c r="E203" s="48"/>
      <c r="F203" s="48"/>
      <c r="G203" s="48"/>
      <c r="I203" s="48"/>
      <c r="J203" s="48"/>
      <c r="K203" s="48"/>
      <c r="L203" s="48"/>
      <c r="M203" s="48"/>
      <c r="N203" s="48"/>
      <c r="O203" s="48"/>
      <c r="P203" s="48"/>
      <c r="Q203" s="48"/>
      <c r="R203" s="48"/>
      <c r="S203" s="48"/>
      <c r="T203" s="48"/>
      <c r="U203" s="48"/>
      <c r="V203" s="48"/>
      <c r="W203" s="48"/>
      <c r="X203" s="48"/>
      <c r="Y203" s="48"/>
      <c r="Z203" s="48"/>
      <c r="AA203" s="48"/>
      <c r="AB203" s="48"/>
      <c r="AC203" s="48"/>
      <c r="AD203" s="48"/>
      <c r="AE203" s="48"/>
      <c r="AF203" s="48"/>
    </row>
    <row r="204" spans="1:32" ht="18" customHeight="1">
      <c r="A204" s="4356"/>
      <c r="B204" s="4233" t="s">
        <v>38</v>
      </c>
      <c r="C204" s="2986">
        <v>1</v>
      </c>
      <c r="D204" s="2986">
        <v>2</v>
      </c>
      <c r="E204" s="2985">
        <v>3</v>
      </c>
      <c r="F204" s="2985">
        <v>4</v>
      </c>
      <c r="G204" s="2985">
        <v>5</v>
      </c>
      <c r="H204" s="2985">
        <v>6</v>
      </c>
      <c r="I204" s="2985">
        <v>7</v>
      </c>
      <c r="J204" s="2986">
        <v>8</v>
      </c>
      <c r="K204" s="2986">
        <v>9</v>
      </c>
      <c r="L204" s="2985">
        <v>10</v>
      </c>
      <c r="M204" s="2985">
        <v>11</v>
      </c>
      <c r="N204" s="2985">
        <v>12</v>
      </c>
      <c r="O204" s="2985">
        <v>13</v>
      </c>
      <c r="P204" s="2985">
        <v>14</v>
      </c>
      <c r="Q204" s="2986">
        <v>15</v>
      </c>
      <c r="R204" s="2986">
        <v>16</v>
      </c>
      <c r="S204" s="2985">
        <v>17</v>
      </c>
      <c r="T204" s="2985">
        <v>18</v>
      </c>
      <c r="U204" s="2985">
        <v>19</v>
      </c>
      <c r="V204" s="2985">
        <v>20</v>
      </c>
      <c r="W204" s="2985">
        <v>21</v>
      </c>
      <c r="X204" s="2986">
        <v>22</v>
      </c>
      <c r="Y204" s="2986">
        <v>23</v>
      </c>
      <c r="Z204" s="2985">
        <v>24</v>
      </c>
      <c r="AA204" s="2985">
        <v>25</v>
      </c>
      <c r="AB204" s="2985">
        <v>26</v>
      </c>
      <c r="AC204" s="2985">
        <v>27</v>
      </c>
      <c r="AD204" s="2985">
        <v>28</v>
      </c>
      <c r="AE204" s="2986">
        <v>29</v>
      </c>
      <c r="AF204" s="2986">
        <v>30</v>
      </c>
    </row>
    <row r="205" spans="1:32" ht="18" customHeight="1">
      <c r="A205" s="2814">
        <v>1</v>
      </c>
      <c r="B205" s="2847" t="s">
        <v>247</v>
      </c>
      <c r="C205" s="3089" t="s">
        <v>248</v>
      </c>
      <c r="D205" s="3089"/>
      <c r="E205" s="3089" t="s">
        <v>40</v>
      </c>
      <c r="F205" s="3089" t="s">
        <v>40</v>
      </c>
      <c r="G205" s="3089" t="s">
        <v>40</v>
      </c>
      <c r="H205" s="3089" t="s">
        <v>40</v>
      </c>
      <c r="I205" s="3089" t="s">
        <v>40</v>
      </c>
      <c r="J205" s="2848"/>
      <c r="K205" s="3089"/>
      <c r="L205" s="3089" t="s">
        <v>40</v>
      </c>
      <c r="M205" s="3089" t="s">
        <v>40</v>
      </c>
      <c r="N205" s="3089" t="s">
        <v>40</v>
      </c>
      <c r="O205" s="3089" t="s">
        <v>40</v>
      </c>
      <c r="P205" s="3089" t="s">
        <v>40</v>
      </c>
      <c r="Q205" s="3089"/>
      <c r="R205" s="3089"/>
      <c r="S205" s="3089" t="s">
        <v>40</v>
      </c>
      <c r="T205" s="2848" t="s">
        <v>40</v>
      </c>
      <c r="U205" s="3089" t="s">
        <v>40</v>
      </c>
      <c r="V205" s="3089" t="s">
        <v>40</v>
      </c>
      <c r="W205" s="3089" t="s">
        <v>40</v>
      </c>
      <c r="X205" s="3089" t="s">
        <v>248</v>
      </c>
      <c r="Y205" s="3089"/>
      <c r="Z205" s="3089" t="s">
        <v>40</v>
      </c>
      <c r="AA205" s="3089" t="s">
        <v>40</v>
      </c>
      <c r="AB205" s="3089" t="s">
        <v>40</v>
      </c>
      <c r="AC205" s="3089" t="s">
        <v>40</v>
      </c>
      <c r="AD205" s="3089" t="s">
        <v>40</v>
      </c>
      <c r="AE205" s="2848"/>
      <c r="AF205" s="3089"/>
    </row>
    <row r="206" spans="1:32" ht="18" customHeight="1">
      <c r="A206" s="4020">
        <v>2</v>
      </c>
      <c r="B206" s="4384" t="s">
        <v>249</v>
      </c>
      <c r="C206" s="4168"/>
      <c r="D206" s="4168"/>
      <c r="E206" s="4334" t="s">
        <v>250</v>
      </c>
      <c r="F206" s="4168" t="s">
        <v>250</v>
      </c>
      <c r="G206" s="4168" t="s">
        <v>250</v>
      </c>
      <c r="H206" s="4168" t="s">
        <v>250</v>
      </c>
      <c r="I206" s="4168" t="s">
        <v>250</v>
      </c>
      <c r="J206" s="4168"/>
      <c r="K206" s="4168"/>
      <c r="L206" s="4168" t="s">
        <v>248</v>
      </c>
      <c r="M206" s="4168" t="s">
        <v>248</v>
      </c>
      <c r="N206" s="4168" t="s">
        <v>248</v>
      </c>
      <c r="O206" s="4168" t="s">
        <v>248</v>
      </c>
      <c r="P206" s="4168" t="s">
        <v>248</v>
      </c>
      <c r="Q206" s="4168" t="s">
        <v>248</v>
      </c>
      <c r="R206" s="4168"/>
      <c r="S206" s="4168" t="s">
        <v>251</v>
      </c>
      <c r="T206" s="4168" t="s">
        <v>251</v>
      </c>
      <c r="U206" s="4168" t="s">
        <v>251</v>
      </c>
      <c r="V206" s="4168" t="s">
        <v>251</v>
      </c>
      <c r="W206" s="4168" t="s">
        <v>46</v>
      </c>
      <c r="X206" s="4168"/>
      <c r="Y206" s="4168"/>
      <c r="Z206" s="4334" t="s">
        <v>250</v>
      </c>
      <c r="AA206" s="4168" t="s">
        <v>250</v>
      </c>
      <c r="AB206" s="4168" t="s">
        <v>250</v>
      </c>
      <c r="AC206" s="4168" t="s">
        <v>250</v>
      </c>
      <c r="AD206" s="4168" t="s">
        <v>250</v>
      </c>
      <c r="AE206" s="4168"/>
      <c r="AF206" s="4168"/>
    </row>
    <row r="207" spans="1:32" ht="18" customHeight="1">
      <c r="A207" s="4020">
        <v>3</v>
      </c>
      <c r="B207" s="4385" t="s">
        <v>512</v>
      </c>
      <c r="C207" s="4160"/>
      <c r="D207" s="4168"/>
      <c r="E207" s="4168" t="s">
        <v>248</v>
      </c>
      <c r="F207" s="4160" t="s">
        <v>248</v>
      </c>
      <c r="G207" s="4160" t="s">
        <v>248</v>
      </c>
      <c r="H207" s="4168" t="s">
        <v>248</v>
      </c>
      <c r="I207" s="4168" t="s">
        <v>248</v>
      </c>
      <c r="J207" s="4168" t="s">
        <v>248</v>
      </c>
      <c r="K207" s="4168"/>
      <c r="L207" s="4168" t="s">
        <v>251</v>
      </c>
      <c r="M207" s="4168" t="s">
        <v>251</v>
      </c>
      <c r="N207" s="4168" t="s">
        <v>251</v>
      </c>
      <c r="O207" s="4168" t="s">
        <v>251</v>
      </c>
      <c r="P207" s="4168" t="s">
        <v>46</v>
      </c>
      <c r="Q207" s="4160"/>
      <c r="R207" s="4160"/>
      <c r="S207" s="4168" t="s">
        <v>250</v>
      </c>
      <c r="T207" s="4168" t="s">
        <v>250</v>
      </c>
      <c r="U207" s="4168" t="s">
        <v>250</v>
      </c>
      <c r="V207" s="4168" t="s">
        <v>250</v>
      </c>
      <c r="W207" s="4168" t="s">
        <v>250</v>
      </c>
      <c r="X207" s="4160"/>
      <c r="Y207" s="4168"/>
      <c r="Z207" s="4168" t="s">
        <v>248</v>
      </c>
      <c r="AA207" s="4160" t="s">
        <v>248</v>
      </c>
      <c r="AB207" s="4160" t="s">
        <v>248</v>
      </c>
      <c r="AC207" s="4168" t="s">
        <v>248</v>
      </c>
      <c r="AD207" s="4168" t="s">
        <v>248</v>
      </c>
      <c r="AE207" s="4168" t="s">
        <v>248</v>
      </c>
      <c r="AF207" s="4168"/>
    </row>
    <row r="208" spans="1:32" ht="18" customHeight="1">
      <c r="A208" s="4020">
        <v>4</v>
      </c>
      <c r="B208" s="4385" t="s">
        <v>253</v>
      </c>
      <c r="C208" s="4168"/>
      <c r="D208" s="4168"/>
      <c r="E208" s="4168"/>
      <c r="F208" s="4168"/>
      <c r="G208" s="4168"/>
      <c r="H208" s="4168"/>
      <c r="I208" s="4168"/>
      <c r="J208" s="4168"/>
      <c r="K208" s="4168"/>
      <c r="L208" s="4168"/>
      <c r="M208" s="4168"/>
      <c r="N208" s="4168"/>
      <c r="O208" s="4168"/>
      <c r="P208" s="4168"/>
      <c r="Q208" s="4161"/>
      <c r="R208" s="4168"/>
      <c r="S208" s="4168"/>
      <c r="T208" s="4168"/>
      <c r="U208" s="4168"/>
      <c r="V208" s="4168"/>
      <c r="W208" s="4168"/>
      <c r="X208" s="4168"/>
      <c r="Y208" s="4168"/>
      <c r="Z208" s="4168"/>
      <c r="AA208" s="4168"/>
      <c r="AB208" s="4168"/>
      <c r="AC208" s="4168"/>
      <c r="AD208" s="4168"/>
      <c r="AE208" s="4168"/>
      <c r="AF208" s="4168"/>
    </row>
    <row r="209" spans="1:32" ht="18" customHeight="1">
      <c r="A209" s="4020">
        <v>5</v>
      </c>
      <c r="B209" s="4385"/>
      <c r="C209" s="4252"/>
      <c r="D209" s="4252"/>
      <c r="E209" s="4252"/>
      <c r="F209" s="4168"/>
      <c r="G209" s="4168"/>
      <c r="H209" s="4160"/>
      <c r="I209" s="4160"/>
      <c r="J209" s="4252"/>
      <c r="K209" s="4252"/>
      <c r="L209" s="4252"/>
      <c r="M209" s="4252"/>
      <c r="N209" s="4252"/>
      <c r="O209" s="4252"/>
      <c r="P209" s="4252"/>
      <c r="Q209" s="4252"/>
      <c r="R209" s="4160"/>
      <c r="S209" s="4160"/>
      <c r="T209" s="4252"/>
      <c r="U209" s="4252"/>
      <c r="V209" s="4252"/>
      <c r="W209" s="4252"/>
      <c r="X209" s="4252"/>
      <c r="Y209" s="4252"/>
      <c r="Z209" s="4252"/>
      <c r="AA209" s="4168"/>
      <c r="AB209" s="4168"/>
      <c r="AC209" s="4160"/>
      <c r="AD209" s="4160"/>
      <c r="AE209" s="4252"/>
      <c r="AF209" s="4252"/>
    </row>
    <row r="210" spans="1:32" ht="18" customHeight="1">
      <c r="A210" s="4020">
        <v>6</v>
      </c>
      <c r="B210" s="4158"/>
      <c r="C210" s="4252"/>
      <c r="D210" s="4252"/>
      <c r="E210" s="4252"/>
      <c r="F210" s="4168"/>
      <c r="G210" s="4168"/>
      <c r="H210" s="4160"/>
      <c r="I210" s="4160"/>
      <c r="J210" s="4252"/>
      <c r="K210" s="4252"/>
      <c r="L210" s="4252"/>
      <c r="M210" s="4252"/>
      <c r="N210" s="4252"/>
      <c r="O210" s="4252"/>
      <c r="P210" s="4252"/>
      <c r="Q210" s="4252"/>
      <c r="R210" s="4160"/>
      <c r="S210" s="4160"/>
      <c r="T210" s="4252"/>
      <c r="U210" s="4252"/>
      <c r="V210" s="4252"/>
      <c r="W210" s="4252"/>
      <c r="X210" s="4252"/>
      <c r="Y210" s="4252"/>
      <c r="Z210" s="4252"/>
      <c r="AA210" s="4168"/>
      <c r="AB210" s="4168"/>
      <c r="AC210" s="4160"/>
      <c r="AD210" s="4160"/>
      <c r="AE210" s="4252"/>
      <c r="AF210" s="4252"/>
    </row>
    <row r="211" spans="1:32" ht="18" customHeight="1">
      <c r="A211" s="4025"/>
      <c r="B211" s="4183"/>
      <c r="C211" s="4198"/>
      <c r="D211" s="4198"/>
      <c r="E211" s="4198"/>
      <c r="F211" s="4198"/>
      <c r="G211" s="4198"/>
      <c r="H211" s="4198"/>
      <c r="I211" s="4198"/>
      <c r="J211" s="4198"/>
      <c r="K211" s="4198"/>
      <c r="L211" s="4198"/>
      <c r="M211" s="4198"/>
      <c r="N211" s="4198"/>
      <c r="O211" s="4198"/>
      <c r="P211" s="4198"/>
      <c r="Q211" s="4198"/>
      <c r="R211" s="4198"/>
      <c r="S211" s="4198"/>
      <c r="T211" s="4198"/>
      <c r="U211" s="4198"/>
      <c r="V211" s="4198"/>
      <c r="W211" s="4386"/>
      <c r="X211" s="4198"/>
      <c r="Y211" s="4198"/>
      <c r="Z211" s="4198"/>
      <c r="AA211" s="4198"/>
      <c r="AB211" s="4198"/>
      <c r="AC211" s="4198"/>
      <c r="AD211" s="4198"/>
      <c r="AE211" s="4198"/>
      <c r="AF211" s="4198"/>
    </row>
    <row r="212" spans="1:32" ht="18" customHeight="1">
      <c r="A212" s="117"/>
      <c r="B212" s="115"/>
      <c r="C212" s="116"/>
      <c r="D212" s="116"/>
      <c r="E212" s="116"/>
      <c r="F212" s="116"/>
      <c r="G212" s="116"/>
      <c r="H212" s="108"/>
      <c r="I212" s="116"/>
      <c r="J212" s="116"/>
      <c r="K212" s="116"/>
      <c r="L212" s="116"/>
      <c r="M212" s="116"/>
      <c r="N212" s="116"/>
      <c r="O212" s="116"/>
      <c r="P212" s="116"/>
      <c r="Q212" s="116"/>
      <c r="R212" s="116"/>
      <c r="S212" s="116"/>
      <c r="T212" s="116"/>
      <c r="U212" s="116"/>
      <c r="V212" s="116"/>
      <c r="W212" s="116"/>
      <c r="X212" s="116"/>
      <c r="Y212" s="116"/>
      <c r="Z212" s="116"/>
      <c r="AA212" s="116"/>
      <c r="AB212" s="116"/>
      <c r="AC212" s="116"/>
      <c r="AD212" s="116"/>
      <c r="AE212" s="116"/>
      <c r="AF212" s="116"/>
    </row>
    <row r="213" spans="1:32" ht="18" customHeight="1">
      <c r="A213" s="117"/>
      <c r="B213" s="115"/>
      <c r="C213" s="116"/>
      <c r="D213" s="116"/>
      <c r="E213" s="116"/>
      <c r="F213" s="116"/>
      <c r="G213" s="116"/>
      <c r="H213" s="108"/>
      <c r="I213" s="116"/>
      <c r="J213" s="116"/>
      <c r="K213" s="116"/>
      <c r="L213" s="116"/>
      <c r="M213" s="116"/>
      <c r="N213" s="116"/>
      <c r="O213" s="116"/>
      <c r="P213" s="116"/>
      <c r="Q213" s="116"/>
      <c r="R213" s="116"/>
      <c r="S213" s="116"/>
      <c r="T213" s="116"/>
      <c r="U213" s="116"/>
      <c r="V213" s="116"/>
      <c r="W213" s="116"/>
      <c r="X213" s="116"/>
      <c r="Y213" s="116"/>
      <c r="Z213" s="116"/>
      <c r="AA213" s="116"/>
      <c r="AB213" s="116"/>
      <c r="AC213" s="116"/>
      <c r="AD213" s="116"/>
      <c r="AE213" s="116"/>
      <c r="AF213" s="116"/>
    </row>
    <row r="214" spans="1:32" ht="18" customHeight="1">
      <c r="A214" s="90" t="s">
        <v>254</v>
      </c>
      <c r="B214" s="48"/>
      <c r="C214" s="64"/>
      <c r="D214" s="48"/>
      <c r="E214" s="48"/>
      <c r="F214" s="64"/>
      <c r="G214" s="48"/>
      <c r="I214" s="64"/>
      <c r="J214" s="64"/>
      <c r="K214" s="48"/>
      <c r="L214" s="64"/>
      <c r="M214" s="48"/>
      <c r="N214" s="48"/>
      <c r="O214" s="64"/>
      <c r="P214" s="48"/>
      <c r="Q214" s="64"/>
      <c r="R214" s="64"/>
      <c r="S214" s="48"/>
      <c r="T214" s="48"/>
      <c r="U214" s="64"/>
      <c r="V214" s="48"/>
      <c r="W214" s="64"/>
      <c r="X214" s="64"/>
      <c r="Y214" s="48"/>
      <c r="Z214" s="48"/>
      <c r="AA214" s="48"/>
      <c r="AB214" s="48"/>
      <c r="AC214" s="48"/>
      <c r="AD214" s="48"/>
      <c r="AE214" s="64"/>
      <c r="AF214" s="48"/>
    </row>
    <row r="215" spans="1:32" ht="18" customHeight="1">
      <c r="A215" s="67"/>
      <c r="B215" s="2851" t="s">
        <v>255</v>
      </c>
      <c r="C215" s="2852"/>
      <c r="D215" s="1460" t="s">
        <v>19</v>
      </c>
      <c r="E215" s="1457"/>
      <c r="F215" s="2854"/>
      <c r="G215" s="2855"/>
      <c r="H215" s="1460" t="s">
        <v>20</v>
      </c>
      <c r="I215" s="1457"/>
      <c r="J215" s="2854"/>
      <c r="K215" s="2855"/>
      <c r="L215" s="1460" t="s">
        <v>21</v>
      </c>
      <c r="M215" s="1457"/>
      <c r="N215" s="2854"/>
      <c r="O215" s="2855"/>
      <c r="P215" s="1460" t="s">
        <v>22</v>
      </c>
      <c r="Q215" s="1457"/>
      <c r="R215" s="2854"/>
      <c r="S215" s="2855"/>
      <c r="T215" s="1460" t="s">
        <v>23</v>
      </c>
      <c r="U215" s="1457"/>
      <c r="V215" s="2854"/>
      <c r="W215" s="2855"/>
      <c r="X215" s="1460" t="s">
        <v>24</v>
      </c>
      <c r="Y215" s="1457"/>
      <c r="Z215" s="2854"/>
      <c r="AA215" s="2855"/>
      <c r="AB215" s="1460" t="s">
        <v>25</v>
      </c>
      <c r="AC215" s="1457"/>
      <c r="AD215" s="1457"/>
      <c r="AE215" s="2856" t="s">
        <v>108</v>
      </c>
      <c r="AF215" s="1457"/>
    </row>
    <row r="216" spans="1:32" ht="18" customHeight="1">
      <c r="A216" s="67"/>
      <c r="B216" s="4057" t="s">
        <v>256</v>
      </c>
      <c r="C216" s="4387" t="s">
        <v>152</v>
      </c>
      <c r="D216" s="4388" t="s">
        <v>258</v>
      </c>
      <c r="E216" s="4389"/>
      <c r="F216" s="4390"/>
      <c r="G216" s="4391"/>
      <c r="H216" s="4392" t="s">
        <v>258</v>
      </c>
      <c r="I216" s="4393"/>
      <c r="J216" s="4390"/>
      <c r="K216" s="4391"/>
      <c r="L216" s="4392" t="s">
        <v>258</v>
      </c>
      <c r="M216" s="4393"/>
      <c r="N216" s="4390"/>
      <c r="O216" s="4391"/>
      <c r="P216" s="4392" t="s">
        <v>259</v>
      </c>
      <c r="Q216" s="4393"/>
      <c r="R216" s="4390"/>
      <c r="S216" s="4391"/>
      <c r="T216" s="4392" t="s">
        <v>260</v>
      </c>
      <c r="U216" s="4393"/>
      <c r="V216" s="4390"/>
      <c r="W216" s="4394"/>
      <c r="X216" s="3980"/>
      <c r="Y216" s="3980"/>
      <c r="Z216" s="4395"/>
      <c r="AA216" s="4394"/>
      <c r="AB216" s="3980"/>
      <c r="AC216" s="3980"/>
      <c r="AD216" s="3980"/>
      <c r="AE216" s="4394"/>
      <c r="AF216" s="3980"/>
    </row>
    <row r="217" spans="1:32" ht="18" customHeight="1">
      <c r="A217" s="67"/>
      <c r="B217" s="4057" t="s">
        <v>261</v>
      </c>
      <c r="C217" s="4387" t="s">
        <v>130</v>
      </c>
      <c r="D217" s="4388" t="s">
        <v>258</v>
      </c>
      <c r="E217" s="4389"/>
      <c r="F217" s="4390"/>
      <c r="G217" s="4391"/>
      <c r="H217" s="4392" t="s">
        <v>258</v>
      </c>
      <c r="I217" s="4393"/>
      <c r="J217" s="4390"/>
      <c r="K217" s="4391"/>
      <c r="L217" s="4392" t="s">
        <v>262</v>
      </c>
      <c r="M217" s="4393"/>
      <c r="N217" s="4390"/>
      <c r="O217" s="4391"/>
      <c r="P217" s="4392" t="s">
        <v>263</v>
      </c>
      <c r="Q217" s="4393"/>
      <c r="R217" s="4390"/>
      <c r="S217" s="4391"/>
      <c r="T217" s="4392" t="s">
        <v>264</v>
      </c>
      <c r="U217" s="4393"/>
      <c r="V217" s="4390"/>
      <c r="W217" s="4394"/>
      <c r="X217" s="3980"/>
      <c r="Y217" s="3980"/>
      <c r="Z217" s="4395"/>
      <c r="AA217" s="4394"/>
      <c r="AB217" s="3980"/>
      <c r="AC217" s="3980"/>
      <c r="AD217" s="3980"/>
      <c r="AE217" s="4394"/>
      <c r="AF217" s="3980"/>
    </row>
    <row r="218" spans="1:32" ht="18" customHeight="1">
      <c r="A218" s="67"/>
      <c r="B218" s="4057" t="s">
        <v>265</v>
      </c>
      <c r="C218" s="4387" t="s">
        <v>153</v>
      </c>
      <c r="D218" s="4388" t="s">
        <v>266</v>
      </c>
      <c r="E218" s="4389"/>
      <c r="F218" s="4390"/>
      <c r="G218" s="4391"/>
      <c r="H218" s="4388" t="s">
        <v>266</v>
      </c>
      <c r="I218" s="4393"/>
      <c r="J218" s="4390"/>
      <c r="K218" s="4391"/>
      <c r="L218" s="4388" t="s">
        <v>266</v>
      </c>
      <c r="M218" s="4393"/>
      <c r="N218" s="4390"/>
      <c r="O218" s="4391"/>
      <c r="P218" s="4392" t="s">
        <v>267</v>
      </c>
      <c r="Q218" s="4393"/>
      <c r="R218" s="4390"/>
      <c r="S218" s="4391"/>
      <c r="T218" s="4392" t="s">
        <v>264</v>
      </c>
      <c r="U218" s="4393"/>
      <c r="V218" s="4390"/>
      <c r="W218" s="4394"/>
      <c r="X218" s="3980"/>
      <c r="Y218" s="3980"/>
      <c r="Z218" s="4395"/>
      <c r="AA218" s="4394"/>
      <c r="AB218" s="3980"/>
      <c r="AC218" s="3980"/>
      <c r="AD218" s="3980"/>
      <c r="AE218" s="4394"/>
      <c r="AF218" s="3980"/>
    </row>
    <row r="219" spans="1:32" ht="18" customHeight="1">
      <c r="A219" s="67"/>
      <c r="B219" s="4057" t="s">
        <v>268</v>
      </c>
      <c r="C219" s="4387" t="s">
        <v>132</v>
      </c>
      <c r="D219" s="4388" t="s">
        <v>269</v>
      </c>
      <c r="E219" s="4389"/>
      <c r="F219" s="4390"/>
      <c r="G219" s="4391"/>
      <c r="H219" s="4392" t="s">
        <v>258</v>
      </c>
      <c r="I219" s="4393"/>
      <c r="J219" s="4390"/>
      <c r="K219" s="4391"/>
      <c r="L219" s="4392" t="s">
        <v>258</v>
      </c>
      <c r="M219" s="4393"/>
      <c r="N219" s="4390"/>
      <c r="O219" s="4391"/>
      <c r="P219" s="4392" t="s">
        <v>270</v>
      </c>
      <c r="Q219" s="4393"/>
      <c r="R219" s="4390"/>
      <c r="S219" s="4391"/>
      <c r="T219" s="4392" t="s">
        <v>271</v>
      </c>
      <c r="U219" s="4393"/>
      <c r="V219" s="4390"/>
      <c r="W219" s="4394"/>
      <c r="X219" s="3980"/>
      <c r="Y219" s="3980"/>
      <c r="Z219" s="4395"/>
      <c r="AA219" s="4394"/>
      <c r="AB219" s="3980"/>
      <c r="AC219" s="3980"/>
      <c r="AD219" s="3980"/>
      <c r="AE219" s="4394"/>
      <c r="AF219" s="3980"/>
    </row>
    <row r="220" spans="1:32" ht="18" customHeight="1">
      <c r="A220" s="67"/>
      <c r="B220" s="4396" t="s">
        <v>272</v>
      </c>
      <c r="C220" s="4387" t="s">
        <v>128</v>
      </c>
      <c r="D220" s="4388" t="s">
        <v>273</v>
      </c>
      <c r="E220" s="4389"/>
      <c r="F220" s="4397"/>
      <c r="G220" s="4398"/>
      <c r="H220" s="4388" t="s">
        <v>273</v>
      </c>
      <c r="I220" s="4399"/>
      <c r="J220" s="4397"/>
      <c r="K220" s="4398"/>
      <c r="L220" s="4388" t="s">
        <v>273</v>
      </c>
      <c r="M220" s="4399"/>
      <c r="N220" s="4397"/>
      <c r="O220" s="4398"/>
      <c r="P220" s="4392" t="s">
        <v>274</v>
      </c>
      <c r="Q220" s="4399"/>
      <c r="R220" s="4397"/>
      <c r="S220" s="4398"/>
      <c r="T220" s="4392" t="s">
        <v>264</v>
      </c>
      <c r="U220" s="4399"/>
      <c r="V220" s="4150"/>
      <c r="W220" s="4400"/>
      <c r="X220" s="4401"/>
      <c r="Y220" s="4401"/>
      <c r="Z220" s="3981"/>
      <c r="AA220" s="4400"/>
      <c r="AB220" s="4401"/>
      <c r="AC220" s="4401"/>
      <c r="AD220" s="4401"/>
      <c r="AE220" s="4400"/>
      <c r="AF220" s="4401"/>
    </row>
    <row r="221" spans="1:32" ht="18" customHeight="1">
      <c r="A221" s="67"/>
      <c r="B221" s="4057" t="s">
        <v>275</v>
      </c>
      <c r="C221" s="4387" t="s">
        <v>127</v>
      </c>
      <c r="D221" s="4388" t="s">
        <v>276</v>
      </c>
      <c r="E221" s="4389"/>
      <c r="F221" s="4390"/>
      <c r="G221" s="4391"/>
      <c r="H221" s="4388" t="s">
        <v>276</v>
      </c>
      <c r="I221" s="4393"/>
      <c r="J221" s="4390"/>
      <c r="K221" s="4391"/>
      <c r="L221" s="4388" t="s">
        <v>276</v>
      </c>
      <c r="M221" s="4393"/>
      <c r="N221" s="4390"/>
      <c r="O221" s="4391"/>
      <c r="P221" s="4392" t="s">
        <v>277</v>
      </c>
      <c r="Q221" s="4393"/>
      <c r="R221" s="4390"/>
      <c r="S221" s="4391"/>
      <c r="T221" s="4392" t="s">
        <v>264</v>
      </c>
      <c r="U221" s="4393"/>
      <c r="V221" s="4390"/>
      <c r="W221" s="4394"/>
      <c r="X221" s="3980"/>
      <c r="Y221" s="3980"/>
      <c r="Z221" s="3980"/>
      <c r="AA221" s="4394"/>
      <c r="AB221" s="3980"/>
      <c r="AC221" s="3980"/>
      <c r="AD221" s="3980"/>
      <c r="AE221" s="4394"/>
      <c r="AF221" s="3980"/>
    </row>
    <row r="222" spans="1:32" ht="18" customHeight="1">
      <c r="A222" s="67"/>
      <c r="B222" s="4057" t="s">
        <v>446</v>
      </c>
      <c r="C222" s="4387" t="s">
        <v>403</v>
      </c>
      <c r="D222" s="4388" t="s">
        <v>279</v>
      </c>
      <c r="E222" s="4389"/>
      <c r="F222" s="4390"/>
      <c r="G222" s="4391"/>
      <c r="H222" s="4392" t="s">
        <v>279</v>
      </c>
      <c r="I222" s="4393"/>
      <c r="J222" s="4390"/>
      <c r="K222" s="4391"/>
      <c r="L222" s="4392" t="s">
        <v>279</v>
      </c>
      <c r="M222" s="4393"/>
      <c r="N222" s="4393"/>
      <c r="O222" s="4391"/>
      <c r="P222" s="4392" t="s">
        <v>279</v>
      </c>
      <c r="Q222" s="4393"/>
      <c r="R222" s="4393"/>
      <c r="S222" s="4391"/>
      <c r="T222" s="4392" t="s">
        <v>264</v>
      </c>
      <c r="U222" s="4393"/>
      <c r="V222" s="4390"/>
      <c r="W222" s="4057"/>
      <c r="X222" s="3980"/>
      <c r="Y222" s="3980"/>
      <c r="Z222" s="3980"/>
      <c r="AA222" s="4394"/>
      <c r="AB222" s="3980"/>
      <c r="AC222" s="3980"/>
      <c r="AD222" s="3980"/>
      <c r="AE222" s="4394"/>
      <c r="AF222" s="3980"/>
    </row>
    <row r="223" spans="1:32" ht="18" customHeight="1">
      <c r="A223" s="67"/>
      <c r="B223" s="4057" t="s">
        <v>278</v>
      </c>
      <c r="C223" s="4387" t="s">
        <v>116</v>
      </c>
      <c r="D223" s="4388" t="s">
        <v>279</v>
      </c>
      <c r="E223" s="4389"/>
      <c r="F223" s="4390"/>
      <c r="G223" s="4391"/>
      <c r="H223" s="4392" t="s">
        <v>279</v>
      </c>
      <c r="I223" s="4393"/>
      <c r="J223" s="4390"/>
      <c r="K223" s="4391"/>
      <c r="L223" s="4392" t="s">
        <v>279</v>
      </c>
      <c r="M223" s="4393"/>
      <c r="N223" s="4393"/>
      <c r="O223" s="4391"/>
      <c r="P223" s="4392" t="s">
        <v>279</v>
      </c>
      <c r="Q223" s="4393"/>
      <c r="R223" s="4393"/>
      <c r="S223" s="4391"/>
      <c r="T223" s="4392" t="s">
        <v>264</v>
      </c>
      <c r="U223" s="4393"/>
      <c r="V223" s="4390"/>
      <c r="W223" s="4057"/>
      <c r="X223" s="3980"/>
      <c r="Y223" s="3980"/>
      <c r="Z223" s="4395"/>
      <c r="AA223" s="4402"/>
      <c r="AB223" s="3980"/>
      <c r="AC223" s="3980"/>
      <c r="AD223" s="3980"/>
      <c r="AE223" s="4394"/>
      <c r="AF223" s="3980"/>
    </row>
    <row r="224" spans="1:32" ht="18" customHeight="1">
      <c r="A224" s="67"/>
      <c r="B224" s="4057" t="s">
        <v>280</v>
      </c>
      <c r="C224" s="4387" t="s">
        <v>123</v>
      </c>
      <c r="D224" s="4388" t="s">
        <v>448</v>
      </c>
      <c r="E224" s="4389"/>
      <c r="F224" s="4390"/>
      <c r="G224" s="4391"/>
      <c r="H224" s="4388" t="s">
        <v>448</v>
      </c>
      <c r="I224" s="4388"/>
      <c r="J224" s="4390"/>
      <c r="K224" s="4391"/>
      <c r="L224" s="4388" t="s">
        <v>448</v>
      </c>
      <c r="M224" s="4388"/>
      <c r="N224" s="4393"/>
      <c r="O224" s="4391"/>
      <c r="P224" s="4392" t="s">
        <v>449</v>
      </c>
      <c r="Q224" s="4393"/>
      <c r="R224" s="4393"/>
      <c r="S224" s="4391"/>
      <c r="T224" s="4392" t="s">
        <v>450</v>
      </c>
      <c r="U224" s="4393"/>
      <c r="V224" s="4390"/>
      <c r="AA224" s="110"/>
      <c r="AE224" s="110"/>
    </row>
    <row r="225" spans="1:32" ht="18" customHeight="1">
      <c r="A225" s="67"/>
      <c r="B225" t="s">
        <v>284</v>
      </c>
      <c r="C225" s="110"/>
      <c r="F225" s="110"/>
      <c r="I225" s="110"/>
      <c r="J225" s="110"/>
      <c r="L225" s="110"/>
      <c r="O225" s="110"/>
      <c r="Q225" s="110"/>
      <c r="R225" s="110"/>
      <c r="U225" s="110"/>
      <c r="W225" s="110"/>
      <c r="X225" s="110"/>
      <c r="AE225" s="110"/>
    </row>
    <row r="226" spans="1:32" ht="18" customHeight="1">
      <c r="A226" s="67"/>
      <c r="B226" s="2851" t="s">
        <v>255</v>
      </c>
      <c r="C226" s="2874"/>
      <c r="D226" s="1460" t="s">
        <v>19</v>
      </c>
      <c r="E226" s="1457"/>
      <c r="F226" s="2854"/>
      <c r="G226" s="2855"/>
      <c r="H226" s="1460" t="s">
        <v>20</v>
      </c>
      <c r="I226" s="1457"/>
      <c r="J226" s="2854"/>
      <c r="K226" s="2855"/>
      <c r="L226" s="1460" t="s">
        <v>21</v>
      </c>
      <c r="M226" s="1457"/>
      <c r="N226" s="2854"/>
      <c r="O226" s="2855"/>
      <c r="P226" s="1460" t="s">
        <v>22</v>
      </c>
      <c r="Q226" s="1457"/>
      <c r="R226" s="2854"/>
      <c r="S226" s="2855"/>
      <c r="T226" s="1460" t="s">
        <v>23</v>
      </c>
      <c r="U226" s="1457"/>
      <c r="V226" s="2854"/>
      <c r="W226" s="2855"/>
      <c r="X226" s="1460" t="s">
        <v>24</v>
      </c>
      <c r="Y226" s="1457"/>
      <c r="Z226" s="2854"/>
      <c r="AA226" s="2855"/>
      <c r="AB226" s="1460" t="s">
        <v>25</v>
      </c>
      <c r="AC226" s="1457"/>
      <c r="AD226" s="1457"/>
      <c r="AE226" s="2856" t="s">
        <v>108</v>
      </c>
      <c r="AF226" s="1457"/>
    </row>
    <row r="227" spans="1:32" ht="18" customHeight="1">
      <c r="A227" s="67"/>
      <c r="B227" s="4057" t="s">
        <v>514</v>
      </c>
      <c r="C227" s="4387" t="s">
        <v>515</v>
      </c>
      <c r="D227" s="4388" t="s">
        <v>276</v>
      </c>
      <c r="E227" s="4389"/>
      <c r="F227" s="4390"/>
      <c r="G227" s="4391"/>
      <c r="H227" s="4388" t="s">
        <v>516</v>
      </c>
      <c r="I227" s="4389"/>
      <c r="J227" s="4390"/>
      <c r="K227" s="4391"/>
      <c r="L227" s="4388" t="s">
        <v>517</v>
      </c>
      <c r="M227" s="4389"/>
      <c r="N227" s="4390"/>
      <c r="O227" s="4391"/>
      <c r="P227" s="4392" t="s">
        <v>518</v>
      </c>
      <c r="Q227" s="4393"/>
      <c r="R227" s="4390"/>
      <c r="S227" s="4391"/>
      <c r="T227" s="4388" t="s">
        <v>519</v>
      </c>
      <c r="U227" s="4389"/>
      <c r="V227" s="4390"/>
      <c r="W227" s="111"/>
      <c r="X227" s="499"/>
      <c r="Y227" s="111"/>
      <c r="Z227" s="111"/>
      <c r="AA227" s="111"/>
      <c r="AB227" s="499"/>
      <c r="AC227" s="111"/>
      <c r="AD227" s="111"/>
      <c r="AE227" s="499"/>
      <c r="AF227" s="111"/>
    </row>
    <row r="228" spans="1:32" ht="18" customHeight="1">
      <c r="A228" s="67"/>
      <c r="B228" s="4057" t="s">
        <v>256</v>
      </c>
      <c r="C228" s="4387" t="s">
        <v>152</v>
      </c>
      <c r="D228" s="4388" t="s">
        <v>285</v>
      </c>
      <c r="E228" s="4389"/>
      <c r="F228" s="4390"/>
      <c r="G228" s="4391"/>
      <c r="H228" s="4388" t="s">
        <v>285</v>
      </c>
      <c r="I228" s="4393"/>
      <c r="J228" s="4390"/>
      <c r="K228" s="4391"/>
      <c r="L228" s="4388" t="s">
        <v>285</v>
      </c>
      <c r="M228" s="4393"/>
      <c r="N228" s="4390"/>
      <c r="O228" s="4391"/>
      <c r="P228" s="4392" t="s">
        <v>286</v>
      </c>
      <c r="Q228" s="4393"/>
      <c r="R228" s="4390"/>
      <c r="S228" s="4391"/>
      <c r="T228" s="4392" t="s">
        <v>287</v>
      </c>
      <c r="U228" s="4393"/>
      <c r="V228" s="4390"/>
      <c r="W228" s="4403"/>
      <c r="X228" s="3980"/>
      <c r="Y228" s="3980"/>
      <c r="Z228" s="4150"/>
      <c r="AA228" s="4403"/>
      <c r="AB228" s="3980"/>
      <c r="AC228" s="3980"/>
      <c r="AD228" s="3980"/>
      <c r="AE228" s="4403"/>
      <c r="AF228" s="3980"/>
    </row>
    <row r="229" spans="1:32" ht="18" customHeight="1">
      <c r="A229" s="67"/>
      <c r="B229" s="4057" t="s">
        <v>261</v>
      </c>
      <c r="C229" s="4387" t="s">
        <v>130</v>
      </c>
      <c r="D229" s="4388" t="s">
        <v>285</v>
      </c>
      <c r="E229" s="4389"/>
      <c r="F229" s="4390"/>
      <c r="G229" s="4391"/>
      <c r="H229" s="4388" t="s">
        <v>285</v>
      </c>
      <c r="I229" s="4393"/>
      <c r="J229" s="4390"/>
      <c r="K229" s="4391"/>
      <c r="L229" s="4392" t="s">
        <v>262</v>
      </c>
      <c r="M229" s="4393"/>
      <c r="N229" s="4390"/>
      <c r="O229" s="4391"/>
      <c r="P229" s="4392" t="s">
        <v>288</v>
      </c>
      <c r="Q229" s="4393"/>
      <c r="R229" s="4390"/>
      <c r="S229" s="4391"/>
      <c r="T229" s="4392" t="s">
        <v>289</v>
      </c>
      <c r="U229" s="4393"/>
      <c r="V229" s="4390"/>
      <c r="W229" s="4403"/>
      <c r="X229" s="3980"/>
      <c r="Y229" s="3980"/>
      <c r="Z229" s="4150"/>
      <c r="AA229" s="4403"/>
      <c r="AB229" s="3980"/>
      <c r="AC229" s="3980"/>
      <c r="AD229" s="3980"/>
      <c r="AE229" s="4403"/>
      <c r="AF229" s="3980"/>
    </row>
    <row r="230" spans="1:32" ht="18" customHeight="1">
      <c r="A230" s="67"/>
      <c r="B230" s="4057" t="s">
        <v>265</v>
      </c>
      <c r="C230" s="4387" t="s">
        <v>153</v>
      </c>
      <c r="D230" s="4388" t="s">
        <v>285</v>
      </c>
      <c r="E230" s="4389"/>
      <c r="F230" s="4390"/>
      <c r="G230" s="4391"/>
      <c r="H230" s="4388" t="s">
        <v>285</v>
      </c>
      <c r="I230" s="4393"/>
      <c r="J230" s="4390"/>
      <c r="K230" s="4391"/>
      <c r="L230" s="4388" t="s">
        <v>285</v>
      </c>
      <c r="M230" s="4393"/>
      <c r="N230" s="4390"/>
      <c r="O230" s="4391"/>
      <c r="P230" s="4392" t="s">
        <v>290</v>
      </c>
      <c r="Q230" s="4393"/>
      <c r="R230" s="4390"/>
      <c r="S230" s="4391"/>
      <c r="T230" s="4392" t="s">
        <v>289</v>
      </c>
      <c r="U230" s="4393"/>
      <c r="V230" s="4390"/>
      <c r="W230" s="4403"/>
      <c r="X230" s="3980"/>
      <c r="Y230" s="3980"/>
      <c r="Z230" s="4150"/>
      <c r="AA230" s="4403"/>
      <c r="AB230" s="3980"/>
      <c r="AC230" s="3980"/>
      <c r="AD230" s="3980"/>
      <c r="AE230" s="4403"/>
      <c r="AF230" s="3980"/>
    </row>
    <row r="231" spans="1:32" ht="18" customHeight="1">
      <c r="A231" s="67"/>
      <c r="B231" s="4057" t="s">
        <v>268</v>
      </c>
      <c r="C231" s="4387" t="s">
        <v>132</v>
      </c>
      <c r="D231" s="4388" t="s">
        <v>291</v>
      </c>
      <c r="E231" s="4389"/>
      <c r="F231" s="4390"/>
      <c r="G231" s="4391"/>
      <c r="H231" s="4388" t="s">
        <v>291</v>
      </c>
      <c r="I231" s="4393"/>
      <c r="J231" s="4390"/>
      <c r="K231" s="4391"/>
      <c r="L231" s="4388" t="s">
        <v>273</v>
      </c>
      <c r="M231" s="4393"/>
      <c r="N231" s="4390"/>
      <c r="O231" s="4391"/>
      <c r="P231" s="4392" t="s">
        <v>292</v>
      </c>
      <c r="Q231" s="4393"/>
      <c r="R231" s="4390"/>
      <c r="S231" s="4391"/>
      <c r="T231" s="4392" t="s">
        <v>287</v>
      </c>
      <c r="U231" s="4393"/>
      <c r="V231" s="4390"/>
      <c r="W231" s="4403"/>
      <c r="X231" s="3980"/>
      <c r="Y231" s="3980"/>
      <c r="Z231" s="4150"/>
      <c r="AA231" s="4403"/>
      <c r="AB231" s="3980"/>
      <c r="AC231" s="3980"/>
      <c r="AD231" s="3980"/>
      <c r="AE231" s="4403"/>
      <c r="AF231" s="3980"/>
    </row>
    <row r="232" spans="1:32" ht="18" customHeight="1">
      <c r="A232" s="67"/>
      <c r="B232" s="4396" t="s">
        <v>272</v>
      </c>
      <c r="C232" s="4387" t="s">
        <v>128</v>
      </c>
      <c r="D232" s="4388" t="s">
        <v>285</v>
      </c>
      <c r="E232" s="4389"/>
      <c r="F232" s="4390"/>
      <c r="G232" s="4391"/>
      <c r="H232" s="4388" t="s">
        <v>285</v>
      </c>
      <c r="I232" s="4393"/>
      <c r="J232" s="4390"/>
      <c r="K232" s="4391"/>
      <c r="L232" s="4388" t="s">
        <v>285</v>
      </c>
      <c r="M232" s="4393"/>
      <c r="N232" s="4390"/>
      <c r="O232" s="4391"/>
      <c r="P232" s="4392" t="s">
        <v>290</v>
      </c>
      <c r="Q232" s="4393"/>
      <c r="R232" s="4390"/>
      <c r="S232" s="4391"/>
      <c r="T232" s="4392" t="s">
        <v>289</v>
      </c>
      <c r="U232" s="4393"/>
      <c r="V232" s="4390"/>
      <c r="W232" s="4400"/>
      <c r="X232" s="4401"/>
      <c r="Y232" s="4401"/>
      <c r="Z232" s="3981"/>
      <c r="AA232" s="4400"/>
      <c r="AB232" s="4401"/>
      <c r="AC232" s="4401"/>
      <c r="AD232" s="4401"/>
      <c r="AE232" s="4400"/>
      <c r="AF232" s="4401"/>
    </row>
    <row r="233" spans="1:32" ht="18" customHeight="1">
      <c r="A233" s="67"/>
      <c r="B233" s="4057" t="s">
        <v>275</v>
      </c>
      <c r="C233" s="4387" t="s">
        <v>127</v>
      </c>
      <c r="D233" s="4388" t="s">
        <v>285</v>
      </c>
      <c r="E233" s="4389"/>
      <c r="F233" s="4390"/>
      <c r="G233" s="4391"/>
      <c r="H233" s="4388" t="s">
        <v>285</v>
      </c>
      <c r="I233" s="4393"/>
      <c r="J233" s="4390"/>
      <c r="K233" s="4391"/>
      <c r="L233" s="4388" t="s">
        <v>285</v>
      </c>
      <c r="M233" s="4393"/>
      <c r="N233" s="4390"/>
      <c r="O233" s="4391"/>
      <c r="P233" s="4392" t="s">
        <v>286</v>
      </c>
      <c r="Q233" s="4393"/>
      <c r="R233" s="4390"/>
      <c r="S233" s="4391"/>
      <c r="T233" s="4392" t="s">
        <v>287</v>
      </c>
      <c r="U233" s="4393"/>
      <c r="V233" s="4390"/>
      <c r="W233" s="4403"/>
      <c r="X233" s="3980"/>
      <c r="Y233" s="3980"/>
      <c r="Z233" s="3980"/>
      <c r="AA233" s="4403"/>
      <c r="AB233" s="3980"/>
      <c r="AC233" s="3980"/>
      <c r="AD233" s="3980"/>
      <c r="AE233" s="4403"/>
      <c r="AF233" s="3980"/>
    </row>
    <row r="234" spans="1:32" ht="18" customHeight="1">
      <c r="A234" s="67"/>
      <c r="B234" s="4057" t="s">
        <v>278</v>
      </c>
      <c r="C234" s="4387" t="s">
        <v>116</v>
      </c>
      <c r="D234" s="4388" t="s">
        <v>279</v>
      </c>
      <c r="E234" s="4389"/>
      <c r="F234" s="4390"/>
      <c r="G234" s="4391"/>
      <c r="H234" s="4392" t="s">
        <v>279</v>
      </c>
      <c r="I234" s="4393"/>
      <c r="J234" s="4390"/>
      <c r="K234" s="4391"/>
      <c r="L234" s="4392" t="s">
        <v>279</v>
      </c>
      <c r="M234" s="4393"/>
      <c r="N234" s="4393"/>
      <c r="O234" s="4391"/>
      <c r="P234" s="4392" t="s">
        <v>279</v>
      </c>
      <c r="Q234" s="4393"/>
      <c r="R234" s="4393"/>
      <c r="S234" s="4391"/>
      <c r="T234" s="4392" t="s">
        <v>264</v>
      </c>
      <c r="U234" s="4393"/>
      <c r="V234" s="4390"/>
      <c r="W234" s="4057"/>
      <c r="X234" s="3980"/>
      <c r="Y234" s="3980"/>
      <c r="Z234" s="4150"/>
      <c r="AA234" s="4402"/>
      <c r="AB234" s="3980"/>
      <c r="AC234" s="3980"/>
      <c r="AD234" s="3980"/>
      <c r="AE234" s="4403"/>
      <c r="AF234" s="3980"/>
    </row>
    <row r="235" spans="1:32" ht="18" customHeight="1">
      <c r="A235" s="67"/>
      <c r="B235" s="4057" t="s">
        <v>280</v>
      </c>
      <c r="C235" s="4387" t="s">
        <v>123</v>
      </c>
      <c r="D235" s="4388" t="s">
        <v>448</v>
      </c>
      <c r="E235" s="4389"/>
      <c r="F235" s="4390"/>
      <c r="G235" s="4391"/>
      <c r="H235" s="4388" t="s">
        <v>448</v>
      </c>
      <c r="I235" s="4388"/>
      <c r="J235" s="4390"/>
      <c r="K235" s="4391"/>
      <c r="L235" s="4388" t="s">
        <v>448</v>
      </c>
      <c r="M235" s="4388"/>
      <c r="N235" s="4393"/>
      <c r="O235" s="4391"/>
      <c r="P235" s="4392" t="s">
        <v>449</v>
      </c>
      <c r="Q235" s="4393"/>
      <c r="R235" s="4393"/>
      <c r="S235" s="4391"/>
      <c r="T235" s="4392" t="s">
        <v>450</v>
      </c>
      <c r="U235" s="4393"/>
      <c r="V235" s="4390"/>
      <c r="W235" s="4057"/>
      <c r="X235" s="3980"/>
      <c r="Y235" s="3980"/>
      <c r="Z235" s="4150"/>
      <c r="AA235" s="4402"/>
      <c r="AB235" s="3980"/>
      <c r="AC235" s="3980"/>
      <c r="AD235" s="3980"/>
      <c r="AE235" s="4403"/>
      <c r="AF235" s="3980"/>
    </row>
    <row r="236" spans="1:32" ht="18" customHeight="1">
      <c r="A236" s="67"/>
      <c r="B236" s="119"/>
      <c r="C236" s="120"/>
      <c r="D236" s="121"/>
      <c r="E236" s="122"/>
      <c r="F236" s="122"/>
      <c r="G236" s="123"/>
      <c r="H236" s="68"/>
      <c r="I236" s="122"/>
      <c r="J236" s="122"/>
      <c r="K236" s="123"/>
      <c r="L236" s="121"/>
      <c r="M236" s="122"/>
      <c r="N236" s="122"/>
      <c r="O236" s="123"/>
      <c r="P236" s="115"/>
      <c r="Q236" s="122"/>
      <c r="R236" s="122"/>
      <c r="S236" s="300" t="s">
        <v>559</v>
      </c>
      <c r="T236" s="299"/>
      <c r="U236" s="299"/>
      <c r="V236" s="299"/>
      <c r="W236" s="299"/>
      <c r="X236" s="122"/>
      <c r="Y236" s="122"/>
      <c r="Z236" s="122"/>
      <c r="AA236" s="123"/>
      <c r="AB236" s="122"/>
      <c r="AC236" s="122"/>
      <c r="AD236" s="122"/>
      <c r="AE236" s="123"/>
      <c r="AF236" s="122"/>
    </row>
    <row r="237" spans="1:32" ht="18" customHeight="1">
      <c r="A237" s="89"/>
      <c r="B237" s="4404" t="s">
        <v>38</v>
      </c>
      <c r="C237" s="2986">
        <v>1</v>
      </c>
      <c r="D237" s="2986">
        <v>2</v>
      </c>
      <c r="E237" s="2985">
        <v>3</v>
      </c>
      <c r="F237" s="2985">
        <v>4</v>
      </c>
      <c r="G237" s="2985">
        <v>5</v>
      </c>
      <c r="H237" s="2985">
        <v>6</v>
      </c>
      <c r="I237" s="2985">
        <v>7</v>
      </c>
      <c r="J237" s="2986">
        <v>8</v>
      </c>
      <c r="K237" s="2986">
        <v>9</v>
      </c>
      <c r="L237" s="2985">
        <v>10</v>
      </c>
      <c r="M237" s="2985">
        <v>11</v>
      </c>
      <c r="N237" s="2985">
        <v>12</v>
      </c>
      <c r="O237" s="2985">
        <v>13</v>
      </c>
      <c r="P237" s="2985">
        <v>14</v>
      </c>
      <c r="Q237" s="2986">
        <v>15</v>
      </c>
      <c r="R237" s="2986">
        <v>16</v>
      </c>
      <c r="S237" s="2985">
        <v>17</v>
      </c>
      <c r="T237" s="2985">
        <v>18</v>
      </c>
      <c r="U237" s="2985">
        <v>19</v>
      </c>
      <c r="V237" s="2985">
        <v>20</v>
      </c>
      <c r="W237" s="2985">
        <v>21</v>
      </c>
      <c r="X237" s="2986">
        <v>22</v>
      </c>
      <c r="Y237" s="2986">
        <v>23</v>
      </c>
      <c r="Z237" s="2985">
        <v>24</v>
      </c>
      <c r="AA237" s="2985">
        <v>25</v>
      </c>
      <c r="AB237" s="2985">
        <v>26</v>
      </c>
      <c r="AC237" s="2985">
        <v>27</v>
      </c>
      <c r="AD237" s="2985">
        <v>28</v>
      </c>
      <c r="AE237" s="2986">
        <v>29</v>
      </c>
      <c r="AF237" s="2986">
        <v>30</v>
      </c>
    </row>
    <row r="238" spans="1:32" ht="18" customHeight="1">
      <c r="A238" s="67"/>
      <c r="B238" s="4405" t="s">
        <v>293</v>
      </c>
      <c r="C238" s="4290"/>
      <c r="D238" s="4290"/>
      <c r="E238" s="4290" t="s">
        <v>152</v>
      </c>
      <c r="F238" s="4290" t="s">
        <v>152</v>
      </c>
      <c r="G238" s="4290" t="s">
        <v>152</v>
      </c>
      <c r="H238" s="4290" t="s">
        <v>152</v>
      </c>
      <c r="I238" s="4290" t="s">
        <v>152</v>
      </c>
      <c r="J238" s="4290"/>
      <c r="K238" s="4290"/>
      <c r="L238" s="4290" t="s">
        <v>152</v>
      </c>
      <c r="M238" s="4290" t="s">
        <v>152</v>
      </c>
      <c r="N238" s="4290" t="s">
        <v>152</v>
      </c>
      <c r="O238" s="4290" t="s">
        <v>152</v>
      </c>
      <c r="P238" s="4343" t="s">
        <v>152</v>
      </c>
      <c r="Q238" s="4290"/>
      <c r="R238" s="4290"/>
      <c r="S238" s="4290" t="s">
        <v>152</v>
      </c>
      <c r="T238" s="4290" t="s">
        <v>152</v>
      </c>
      <c r="U238" s="4290" t="s">
        <v>152</v>
      </c>
      <c r="V238" s="4290" t="s">
        <v>152</v>
      </c>
      <c r="W238" s="4290" t="s">
        <v>152</v>
      </c>
      <c r="X238" s="4290"/>
      <c r="Y238" s="4290"/>
      <c r="Z238" s="4045" t="s">
        <v>152</v>
      </c>
      <c r="AA238" s="4045" t="s">
        <v>152</v>
      </c>
      <c r="AB238" s="4045" t="s">
        <v>152</v>
      </c>
      <c r="AC238" s="4045" t="s">
        <v>152</v>
      </c>
      <c r="AD238" s="4045" t="s">
        <v>152</v>
      </c>
      <c r="AE238" s="4045"/>
      <c r="AF238" s="4045"/>
    </row>
    <row r="239" spans="1:32" ht="18" customHeight="1">
      <c r="A239" s="67"/>
      <c r="B239" s="4405" t="s">
        <v>575</v>
      </c>
      <c r="C239" s="4367"/>
      <c r="D239" s="4367"/>
      <c r="E239" s="4367" t="s">
        <v>130</v>
      </c>
      <c r="F239" s="4367" t="s">
        <v>130</v>
      </c>
      <c r="G239" s="4367" t="s">
        <v>130</v>
      </c>
      <c r="H239" s="4367" t="s">
        <v>130</v>
      </c>
      <c r="I239" s="3547" t="s">
        <v>130</v>
      </c>
      <c r="J239" s="3547"/>
      <c r="K239" s="3547"/>
      <c r="L239" s="3547" t="s">
        <v>130</v>
      </c>
      <c r="M239" s="4406" t="s">
        <v>130</v>
      </c>
      <c r="N239" s="4406" t="s">
        <v>130</v>
      </c>
      <c r="O239" s="4406" t="s">
        <v>130</v>
      </c>
      <c r="P239" s="4406" t="s">
        <v>130</v>
      </c>
      <c r="Q239" s="3547"/>
      <c r="R239" s="4367"/>
      <c r="S239" s="4367" t="s">
        <v>130</v>
      </c>
      <c r="T239" s="4367" t="s">
        <v>130</v>
      </c>
      <c r="U239" s="4367" t="s">
        <v>130</v>
      </c>
      <c r="V239" s="4367" t="s">
        <v>130</v>
      </c>
      <c r="W239" s="4407" t="s">
        <v>130</v>
      </c>
      <c r="X239" s="4367"/>
      <c r="Y239" s="4367"/>
      <c r="Z239" s="4367" t="s">
        <v>130</v>
      </c>
      <c r="AA239" s="4367" t="s">
        <v>130</v>
      </c>
      <c r="AB239" s="4367" t="s">
        <v>130</v>
      </c>
      <c r="AC239" s="4367" t="s">
        <v>130</v>
      </c>
      <c r="AD239" s="4367" t="s">
        <v>130</v>
      </c>
      <c r="AE239" s="4367"/>
      <c r="AF239" s="4290"/>
    </row>
    <row r="240" spans="1:32" ht="18" customHeight="1">
      <c r="A240" s="67"/>
      <c r="B240" s="4408" t="s">
        <v>295</v>
      </c>
      <c r="C240" s="4290"/>
      <c r="D240" s="4290"/>
      <c r="E240" s="4290" t="s">
        <v>153</v>
      </c>
      <c r="F240" s="4290" t="s">
        <v>153</v>
      </c>
      <c r="G240" s="4290" t="s">
        <v>153</v>
      </c>
      <c r="H240" s="4290" t="s">
        <v>153</v>
      </c>
      <c r="I240" s="4409" t="s">
        <v>153</v>
      </c>
      <c r="J240" s="4290"/>
      <c r="K240" s="4290"/>
      <c r="L240" s="4290" t="s">
        <v>153</v>
      </c>
      <c r="M240" s="4290" t="s">
        <v>153</v>
      </c>
      <c r="N240" s="4290" t="s">
        <v>153</v>
      </c>
      <c r="O240" s="4290" t="s">
        <v>153</v>
      </c>
      <c r="P240" s="4290" t="s">
        <v>153</v>
      </c>
      <c r="Q240" s="4290"/>
      <c r="R240" s="4290"/>
      <c r="S240" s="4290" t="s">
        <v>153</v>
      </c>
      <c r="T240" s="4290" t="s">
        <v>153</v>
      </c>
      <c r="U240" s="4290" t="s">
        <v>153</v>
      </c>
      <c r="V240" s="4290" t="s">
        <v>153</v>
      </c>
      <c r="W240" s="4290" t="s">
        <v>153</v>
      </c>
      <c r="X240" s="4290"/>
      <c r="Y240" s="4290"/>
      <c r="Z240" s="4290" t="s">
        <v>153</v>
      </c>
      <c r="AA240" s="4290" t="s">
        <v>153</v>
      </c>
      <c r="AB240" s="4290" t="s">
        <v>153</v>
      </c>
      <c r="AC240" s="4290" t="s">
        <v>153</v>
      </c>
      <c r="AD240" s="4290" t="s">
        <v>153</v>
      </c>
      <c r="AE240" s="4290"/>
      <c r="AF240" s="4290"/>
    </row>
    <row r="241" spans="1:32" ht="18" customHeight="1">
      <c r="A241" s="67"/>
      <c r="B241" s="4405"/>
      <c r="C241" s="4290"/>
      <c r="D241" s="4290"/>
      <c r="E241" s="4290"/>
      <c r="F241" s="4290"/>
      <c r="G241" s="4290"/>
      <c r="H241" s="4290"/>
      <c r="I241" s="4290"/>
      <c r="J241" s="4290"/>
      <c r="K241" s="4290"/>
      <c r="L241" s="4290"/>
      <c r="M241" s="4290"/>
      <c r="N241" s="4290"/>
      <c r="O241" s="4290"/>
      <c r="P241" s="4290"/>
      <c r="Q241" s="4290"/>
      <c r="R241" s="4290"/>
      <c r="S241" s="4290"/>
      <c r="T241" s="4290"/>
      <c r="U241" s="4290"/>
      <c r="V241" s="4290"/>
      <c r="W241" s="4290"/>
      <c r="X241" s="4290"/>
      <c r="Y241" s="4290"/>
      <c r="Z241" s="4290"/>
      <c r="AA241" s="4290"/>
      <c r="AB241" s="4290"/>
      <c r="AC241" s="4290"/>
      <c r="AD241" s="4290"/>
      <c r="AE241" s="4290"/>
      <c r="AF241" s="4290"/>
    </row>
    <row r="242" spans="1:32" ht="18" customHeight="1">
      <c r="A242" s="67"/>
      <c r="B242" s="3985" t="s">
        <v>553</v>
      </c>
      <c r="C242" s="4290"/>
      <c r="D242" s="4290"/>
      <c r="E242" s="4290" t="s">
        <v>128</v>
      </c>
      <c r="F242" s="4290" t="s">
        <v>128</v>
      </c>
      <c r="G242" s="4290" t="s">
        <v>128</v>
      </c>
      <c r="H242" s="4290" t="s">
        <v>128</v>
      </c>
      <c r="I242" s="4290" t="s">
        <v>128</v>
      </c>
      <c r="J242" s="4290"/>
      <c r="K242" s="4290"/>
      <c r="L242" s="4079" t="s">
        <v>128</v>
      </c>
      <c r="M242" s="4079" t="s">
        <v>128</v>
      </c>
      <c r="N242" s="4079" t="s">
        <v>128</v>
      </c>
      <c r="O242" s="4079" t="s">
        <v>128</v>
      </c>
      <c r="P242" s="4079" t="s">
        <v>128</v>
      </c>
      <c r="Q242" s="4290"/>
      <c r="R242" s="4290"/>
      <c r="S242" s="4290" t="s">
        <v>128</v>
      </c>
      <c r="T242" s="4290" t="s">
        <v>128</v>
      </c>
      <c r="U242" s="3559" t="s">
        <v>128</v>
      </c>
      <c r="V242" s="3559" t="s">
        <v>128</v>
      </c>
      <c r="W242" s="3559" t="s">
        <v>576</v>
      </c>
      <c r="X242" s="4290"/>
      <c r="Y242" s="4290"/>
      <c r="Z242" s="4290" t="s">
        <v>128</v>
      </c>
      <c r="AA242" s="4290" t="s">
        <v>128</v>
      </c>
      <c r="AB242" s="4290" t="s">
        <v>128</v>
      </c>
      <c r="AC242" s="4290" t="s">
        <v>128</v>
      </c>
      <c r="AD242" s="4290" t="s">
        <v>128</v>
      </c>
      <c r="AE242" s="4290"/>
      <c r="AF242" s="4290"/>
    </row>
    <row r="243" spans="1:32" ht="18" customHeight="1">
      <c r="A243" s="67"/>
      <c r="B243" s="4410" t="s">
        <v>298</v>
      </c>
      <c r="C243" s="3996"/>
      <c r="D243" s="4290"/>
      <c r="E243" s="4290" t="s">
        <v>127</v>
      </c>
      <c r="F243" s="4290" t="s">
        <v>127</v>
      </c>
      <c r="G243" s="4290" t="s">
        <v>127</v>
      </c>
      <c r="H243" s="4290" t="s">
        <v>127</v>
      </c>
      <c r="I243" s="4290" t="s">
        <v>127</v>
      </c>
      <c r="J243" s="4290"/>
      <c r="K243" s="4290"/>
      <c r="L243" s="3925" t="s">
        <v>127</v>
      </c>
      <c r="M243" s="3925" t="s">
        <v>127</v>
      </c>
      <c r="N243" s="3925" t="s">
        <v>127</v>
      </c>
      <c r="O243" s="3925" t="s">
        <v>127</v>
      </c>
      <c r="P243" s="3925" t="s">
        <v>127</v>
      </c>
      <c r="Q243" s="3925"/>
      <c r="R243" s="3925"/>
      <c r="S243" s="3925" t="s">
        <v>127</v>
      </c>
      <c r="T243" s="3925" t="s">
        <v>127</v>
      </c>
      <c r="U243" s="3925" t="s">
        <v>127</v>
      </c>
      <c r="V243" s="3925" t="s">
        <v>127</v>
      </c>
      <c r="W243" s="3925" t="s">
        <v>127</v>
      </c>
      <c r="X243" s="3925"/>
      <c r="Y243" s="3925"/>
      <c r="Z243" s="4290" t="s">
        <v>127</v>
      </c>
      <c r="AA243" s="4290" t="s">
        <v>127</v>
      </c>
      <c r="AB243" s="4290" t="s">
        <v>127</v>
      </c>
      <c r="AC243" s="4290" t="s">
        <v>127</v>
      </c>
      <c r="AD243" s="4290" t="s">
        <v>127</v>
      </c>
      <c r="AE243" s="4290"/>
      <c r="AF243" s="4290"/>
    </row>
    <row r="244" spans="1:32" ht="18" customHeight="1">
      <c r="A244" s="67"/>
      <c r="B244" s="4036" t="s">
        <v>577</v>
      </c>
      <c r="C244" s="4290"/>
      <c r="D244" s="4290"/>
      <c r="E244" s="4290" t="s">
        <v>403</v>
      </c>
      <c r="F244" s="4290" t="s">
        <v>403</v>
      </c>
      <c r="G244" s="4290" t="s">
        <v>403</v>
      </c>
      <c r="H244" s="4290" t="s">
        <v>403</v>
      </c>
      <c r="I244" s="4290" t="s">
        <v>403</v>
      </c>
      <c r="J244" s="4290"/>
      <c r="K244" s="4290"/>
      <c r="L244" s="4290" t="s">
        <v>403</v>
      </c>
      <c r="M244" s="4290" t="s">
        <v>403</v>
      </c>
      <c r="N244" s="4290" t="s">
        <v>403</v>
      </c>
      <c r="O244" s="4290" t="s">
        <v>403</v>
      </c>
      <c r="P244" s="4290" t="s">
        <v>403</v>
      </c>
      <c r="Q244" s="4290"/>
      <c r="R244" s="4290"/>
      <c r="S244" s="4290" t="s">
        <v>403</v>
      </c>
      <c r="T244" s="4290" t="s">
        <v>403</v>
      </c>
      <c r="U244" s="4290" t="s">
        <v>403</v>
      </c>
      <c r="V244" s="4290" t="s">
        <v>403</v>
      </c>
      <c r="W244" s="4290" t="s">
        <v>403</v>
      </c>
      <c r="X244" s="4290"/>
      <c r="Y244" s="4290"/>
      <c r="Z244" s="4290" t="s">
        <v>403</v>
      </c>
      <c r="AA244" s="4290" t="s">
        <v>403</v>
      </c>
      <c r="AB244" s="4290" t="s">
        <v>403</v>
      </c>
      <c r="AC244" s="4290" t="s">
        <v>403</v>
      </c>
      <c r="AD244" s="4290" t="s">
        <v>403</v>
      </c>
      <c r="AE244" s="4290"/>
      <c r="AF244" s="4290"/>
    </row>
    <row r="245" spans="1:32" ht="18" customHeight="1">
      <c r="A245" s="67"/>
      <c r="B245" s="4411" t="s">
        <v>299</v>
      </c>
      <c r="C245" s="4290"/>
      <c r="D245" s="4290"/>
      <c r="E245" s="4290" t="s">
        <v>123</v>
      </c>
      <c r="F245" s="4290" t="s">
        <v>123</v>
      </c>
      <c r="G245" s="4290" t="s">
        <v>123</v>
      </c>
      <c r="H245" s="4290" t="s">
        <v>123</v>
      </c>
      <c r="I245" s="4290" t="s">
        <v>123</v>
      </c>
      <c r="J245" s="4290"/>
      <c r="K245" s="4290"/>
      <c r="L245" s="4290" t="s">
        <v>123</v>
      </c>
      <c r="M245" s="4290" t="s">
        <v>123</v>
      </c>
      <c r="N245" s="4290" t="s">
        <v>123</v>
      </c>
      <c r="O245" s="4290" t="s">
        <v>123</v>
      </c>
      <c r="P245" s="4290" t="s">
        <v>123</v>
      </c>
      <c r="Q245" s="4290"/>
      <c r="R245" s="4290"/>
      <c r="S245" s="4290" t="s">
        <v>123</v>
      </c>
      <c r="T245" s="4290" t="s">
        <v>123</v>
      </c>
      <c r="U245" s="4290" t="s">
        <v>123</v>
      </c>
      <c r="V245" s="4290" t="s">
        <v>123</v>
      </c>
      <c r="W245" s="4290" t="s">
        <v>123</v>
      </c>
      <c r="X245" s="4290"/>
      <c r="Y245" s="4290"/>
      <c r="Z245" s="4290" t="s">
        <v>123</v>
      </c>
      <c r="AA245" s="4290" t="s">
        <v>123</v>
      </c>
      <c r="AB245" s="4290" t="s">
        <v>123</v>
      </c>
      <c r="AC245" s="4290" t="s">
        <v>123</v>
      </c>
      <c r="AD245" s="3559" t="s">
        <v>123</v>
      </c>
      <c r="AE245" s="4290"/>
      <c r="AF245" s="4290"/>
    </row>
    <row r="246" spans="1:32" ht="18" customHeight="1">
      <c r="A246" s="67"/>
      <c r="B246" s="4411" t="s">
        <v>300</v>
      </c>
      <c r="C246" s="4290"/>
      <c r="D246" s="4290"/>
      <c r="E246" s="4045" t="s">
        <v>116</v>
      </c>
      <c r="F246" s="4045" t="s">
        <v>116</v>
      </c>
      <c r="G246" s="4045" t="s">
        <v>116</v>
      </c>
      <c r="H246" s="4368" t="s">
        <v>116</v>
      </c>
      <c r="I246" s="4045" t="s">
        <v>116</v>
      </c>
      <c r="J246" s="4045"/>
      <c r="K246" s="4045"/>
      <c r="L246" s="4290" t="s">
        <v>116</v>
      </c>
      <c r="M246" s="4290" t="s">
        <v>116</v>
      </c>
      <c r="N246" s="4290" t="s">
        <v>116</v>
      </c>
      <c r="O246" s="4290" t="s">
        <v>116</v>
      </c>
      <c r="P246" s="4290" t="s">
        <v>116</v>
      </c>
      <c r="Q246" s="4290"/>
      <c r="R246" s="4290"/>
      <c r="S246" s="4290" t="s">
        <v>116</v>
      </c>
      <c r="T246" s="4290" t="s">
        <v>116</v>
      </c>
      <c r="U246" s="4290" t="s">
        <v>116</v>
      </c>
      <c r="V246" s="4290" t="s">
        <v>116</v>
      </c>
      <c r="W246" s="4290" t="s">
        <v>116</v>
      </c>
      <c r="X246" s="4290"/>
      <c r="Y246" s="4290"/>
      <c r="Z246" s="4290" t="s">
        <v>116</v>
      </c>
      <c r="AA246" s="4290" t="s">
        <v>116</v>
      </c>
      <c r="AB246" s="4290" t="s">
        <v>116</v>
      </c>
      <c r="AC246" s="4290" t="s">
        <v>116</v>
      </c>
      <c r="AD246" s="4290" t="s">
        <v>116</v>
      </c>
      <c r="AE246" s="4290"/>
      <c r="AF246" s="4290"/>
    </row>
    <row r="247" spans="1:32" ht="18" customHeight="1">
      <c r="A247" s="89"/>
      <c r="B247" s="125"/>
      <c r="C247" s="124"/>
      <c r="D247" s="124"/>
      <c r="E247" s="124"/>
      <c r="F247" s="124"/>
      <c r="G247" s="124"/>
      <c r="H247" s="99"/>
      <c r="I247" s="124"/>
      <c r="J247" s="124"/>
      <c r="K247" s="124"/>
      <c r="L247" s="124"/>
      <c r="M247" s="124"/>
      <c r="N247" s="124"/>
      <c r="O247" s="124"/>
      <c r="P247" s="124"/>
      <c r="Q247" s="124"/>
      <c r="R247" s="124"/>
      <c r="S247" s="124"/>
      <c r="T247" s="124"/>
      <c r="U247" s="124"/>
      <c r="V247" s="124"/>
      <c r="W247" s="124"/>
      <c r="X247" s="124"/>
      <c r="Y247" s="124"/>
      <c r="Z247" s="124"/>
      <c r="AA247" s="124"/>
      <c r="AB247" s="124"/>
      <c r="AC247" s="124"/>
      <c r="AD247" s="124"/>
      <c r="AE247" s="124"/>
      <c r="AF247" s="124"/>
    </row>
    <row r="248" spans="1:32" ht="18" customHeight="1">
      <c r="C248" s="18"/>
      <c r="D248" s="18"/>
      <c r="E248" s="18"/>
      <c r="F248" s="18"/>
      <c r="G248" s="18"/>
      <c r="H248" s="5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8"/>
      <c r="V248" s="18"/>
      <c r="W248" s="18"/>
      <c r="X248" s="18"/>
      <c r="Y248" s="18"/>
      <c r="Z248" s="18"/>
      <c r="AA248" s="18"/>
      <c r="AB248" s="18"/>
      <c r="AC248" s="18"/>
      <c r="AD248" s="18"/>
      <c r="AE248" s="18"/>
      <c r="AF248" s="18"/>
    </row>
    <row r="249" spans="1:32" ht="18" customHeight="1">
      <c r="A249" s="1" t="s">
        <v>302</v>
      </c>
      <c r="B249" s="37"/>
    </row>
    <row r="250" spans="1:32" ht="18" customHeight="1">
      <c r="A250" s="1"/>
      <c r="B250" s="4412" t="s">
        <v>303</v>
      </c>
      <c r="C250" s="2882" t="s">
        <v>19</v>
      </c>
      <c r="D250" s="2883"/>
      <c r="E250" s="2883"/>
      <c r="F250" s="2883"/>
      <c r="G250" s="2882" t="s">
        <v>20</v>
      </c>
      <c r="H250" s="2883"/>
      <c r="I250" s="2883"/>
      <c r="J250" s="2883"/>
      <c r="K250" s="2882" t="s">
        <v>21</v>
      </c>
      <c r="L250" s="2883"/>
      <c r="M250" s="2883"/>
      <c r="N250" s="2883"/>
      <c r="O250" s="2882" t="s">
        <v>22</v>
      </c>
      <c r="P250" s="2883"/>
      <c r="Q250" s="2883"/>
      <c r="R250" s="2883"/>
      <c r="S250" s="2882" t="s">
        <v>23</v>
      </c>
      <c r="T250" s="2883"/>
      <c r="U250" s="2883"/>
      <c r="V250" s="2883"/>
      <c r="W250" s="2882" t="s">
        <v>24</v>
      </c>
      <c r="X250" s="3064"/>
      <c r="Y250" s="2883"/>
      <c r="Z250" s="2884"/>
      <c r="AA250" s="2882" t="s">
        <v>25</v>
      </c>
      <c r="AB250" s="3064"/>
      <c r="AC250" s="2883"/>
      <c r="AD250" s="2884"/>
      <c r="AE250" s="2885" t="s">
        <v>108</v>
      </c>
      <c r="AF250" s="2883"/>
    </row>
    <row r="251" spans="1:32" ht="18" customHeight="1">
      <c r="A251" s="1"/>
      <c r="B251" s="4413">
        <v>3701</v>
      </c>
      <c r="C251" s="68" t="s">
        <v>304</v>
      </c>
      <c r="D251" s="68"/>
      <c r="E251" s="68"/>
      <c r="F251" s="68"/>
      <c r="G251" s="279" t="s">
        <v>305</v>
      </c>
      <c r="H251" s="68"/>
      <c r="I251" s="68"/>
      <c r="J251" s="68"/>
      <c r="K251" s="279" t="s">
        <v>305</v>
      </c>
      <c r="L251" s="68"/>
      <c r="M251" s="68"/>
      <c r="N251" s="68"/>
      <c r="O251" s="279" t="s">
        <v>305</v>
      </c>
      <c r="P251" s="68"/>
      <c r="Q251" s="68"/>
      <c r="R251" s="68"/>
      <c r="S251" s="279" t="s">
        <v>306</v>
      </c>
      <c r="T251" s="68"/>
      <c r="U251" s="68"/>
      <c r="V251" s="68"/>
      <c r="W251" s="4330"/>
      <c r="X251" s="4414"/>
      <c r="Y251" s="4223"/>
      <c r="Z251" s="4415"/>
      <c r="AA251" s="4330"/>
      <c r="AB251" s="4414"/>
      <c r="AC251" s="4223"/>
      <c r="AD251" s="4415"/>
      <c r="AE251" s="4006"/>
      <c r="AF251" s="4223"/>
    </row>
    <row r="252" spans="1:32" ht="18" customHeight="1">
      <c r="B252" s="4412">
        <v>3700</v>
      </c>
      <c r="C252" s="4223" t="s">
        <v>204</v>
      </c>
      <c r="D252" s="4223"/>
      <c r="E252" s="4223"/>
      <c r="F252" s="4223"/>
      <c r="G252" s="4416" t="s">
        <v>204</v>
      </c>
      <c r="H252" s="4223"/>
      <c r="I252" s="4223"/>
      <c r="J252" s="4223"/>
      <c r="K252" s="4416" t="s">
        <v>204</v>
      </c>
      <c r="L252" s="4223"/>
      <c r="M252" s="4223"/>
      <c r="N252" s="4223"/>
      <c r="O252" s="4416" t="s">
        <v>204</v>
      </c>
      <c r="P252" s="4223"/>
      <c r="Q252" s="4223"/>
      <c r="R252" s="4223"/>
      <c r="S252" s="4416" t="s">
        <v>205</v>
      </c>
      <c r="T252" s="4223"/>
      <c r="U252" s="4223"/>
      <c r="V252" s="4223"/>
      <c r="W252" s="4330"/>
      <c r="X252" s="4223"/>
      <c r="Y252" s="4223"/>
      <c r="Z252" s="4007"/>
      <c r="AA252" s="4006"/>
      <c r="AB252" s="4223"/>
      <c r="AC252" s="4223"/>
      <c r="AD252" s="4325"/>
      <c r="AE252" s="4417"/>
      <c r="AF252" s="4223"/>
    </row>
    <row r="253" spans="1:32" ht="18" customHeight="1">
      <c r="A253" s="1"/>
      <c r="B253" s="4412">
        <v>8514</v>
      </c>
      <c r="C253" s="4223" t="s">
        <v>305</v>
      </c>
      <c r="D253" s="4223"/>
      <c r="E253" s="4223"/>
      <c r="F253" s="4223"/>
      <c r="G253" s="4416" t="s">
        <v>305</v>
      </c>
      <c r="H253" s="4223"/>
      <c r="I253" s="4223"/>
      <c r="J253" s="4223"/>
      <c r="K253" s="4416" t="s">
        <v>305</v>
      </c>
      <c r="L253" s="4223"/>
      <c r="M253" s="4223"/>
      <c r="N253" s="4223"/>
      <c r="O253" s="4416" t="s">
        <v>305</v>
      </c>
      <c r="P253" s="4223"/>
      <c r="Q253" s="4223"/>
      <c r="R253" s="4223"/>
      <c r="S253" s="4416" t="s">
        <v>307</v>
      </c>
      <c r="T253" s="4223"/>
      <c r="U253" s="4223"/>
      <c r="V253" s="4223"/>
      <c r="W253" s="4330"/>
      <c r="X253" s="4223"/>
      <c r="Y253" s="4223"/>
      <c r="Z253" s="4007"/>
      <c r="AA253" s="4326"/>
      <c r="AB253" s="4223"/>
      <c r="AC253" s="4223"/>
      <c r="AD253" s="4325"/>
      <c r="AE253" s="4326"/>
      <c r="AF253" s="4223"/>
    </row>
    <row r="254" spans="1:32" ht="18" customHeight="1">
      <c r="A254" s="1"/>
      <c r="B254" s="4412">
        <v>8500</v>
      </c>
      <c r="C254" s="531" t="s">
        <v>308</v>
      </c>
      <c r="D254" s="531"/>
      <c r="E254" s="531"/>
      <c r="F254" s="531"/>
      <c r="G254" s="534" t="s">
        <v>308</v>
      </c>
      <c r="H254" s="531"/>
      <c r="I254" s="531"/>
      <c r="J254" s="531"/>
      <c r="K254" s="534" t="s">
        <v>308</v>
      </c>
      <c r="L254" s="531"/>
      <c r="M254" s="531"/>
      <c r="N254" s="531"/>
      <c r="O254" s="534" t="s">
        <v>308</v>
      </c>
      <c r="P254" s="531"/>
      <c r="Q254" s="531"/>
      <c r="R254" s="531"/>
      <c r="S254" s="534" t="s">
        <v>309</v>
      </c>
      <c r="T254" s="531"/>
      <c r="U254" s="531"/>
      <c r="V254" s="531"/>
      <c r="W254" s="4330"/>
      <c r="X254" s="531"/>
      <c r="Y254" s="531"/>
      <c r="Z254" s="535"/>
      <c r="AA254" s="536"/>
      <c r="AB254" s="531"/>
      <c r="AC254" s="531"/>
      <c r="AD254" s="535"/>
      <c r="AE254" s="536"/>
      <c r="AF254" s="531"/>
    </row>
    <row r="255" spans="1:32" ht="18" customHeight="1">
      <c r="A255" s="1"/>
      <c r="B255" s="4412">
        <v>8514</v>
      </c>
      <c r="C255" s="537" t="s">
        <v>305</v>
      </c>
      <c r="D255" s="537"/>
      <c r="E255" s="537"/>
      <c r="F255" s="537"/>
      <c r="G255" s="538" t="s">
        <v>305</v>
      </c>
      <c r="H255" s="537"/>
      <c r="I255" s="537"/>
      <c r="J255" s="537"/>
      <c r="K255" s="538" t="s">
        <v>305</v>
      </c>
      <c r="L255" s="537"/>
      <c r="M255" s="537"/>
      <c r="N255" s="537"/>
      <c r="O255" s="538" t="s">
        <v>305</v>
      </c>
      <c r="P255" s="537"/>
      <c r="Q255" s="537"/>
      <c r="R255" s="537"/>
      <c r="S255" s="538" t="s">
        <v>307</v>
      </c>
      <c r="T255" s="537"/>
      <c r="U255" s="537"/>
      <c r="V255" s="537"/>
      <c r="W255" s="4418"/>
      <c r="X255" s="539"/>
      <c r="Y255" s="531"/>
      <c r="Z255" s="540"/>
      <c r="AA255" s="541"/>
      <c r="AB255" s="539"/>
      <c r="AC255" s="531"/>
      <c r="AD255" s="531"/>
      <c r="AE255" s="542"/>
      <c r="AF255" s="531"/>
    </row>
    <row r="256" spans="1:32" ht="18" customHeight="1">
      <c r="A256" s="1"/>
      <c r="B256" s="4419" t="s">
        <v>310</v>
      </c>
      <c r="C256" s="4229" t="s">
        <v>10</v>
      </c>
      <c r="D256" s="4229"/>
      <c r="E256" s="4229"/>
      <c r="F256" s="4229"/>
      <c r="G256" s="4420" t="s">
        <v>10</v>
      </c>
      <c r="H256" s="4229"/>
      <c r="I256" s="4229"/>
      <c r="J256" s="4229"/>
      <c r="K256" s="4421" t="s">
        <v>10</v>
      </c>
      <c r="L256" s="4229"/>
      <c r="M256" s="4229"/>
      <c r="N256" s="4229"/>
      <c r="O256" s="4420" t="s">
        <v>10</v>
      </c>
      <c r="P256" s="4229"/>
      <c r="Q256" s="4229"/>
      <c r="R256" s="4229"/>
      <c r="S256" s="4420" t="s">
        <v>10</v>
      </c>
      <c r="T256" s="4229"/>
      <c r="U256" s="4229"/>
      <c r="V256" s="4229"/>
      <c r="W256" s="4421"/>
      <c r="X256" s="4229"/>
      <c r="Y256" s="4229"/>
      <c r="Z256" s="4033"/>
      <c r="AA256" s="4012"/>
      <c r="AB256" s="4229"/>
      <c r="AC256" s="4229"/>
      <c r="AD256" s="4034"/>
      <c r="AE256" s="4422"/>
      <c r="AF256" s="4229"/>
    </row>
    <row r="257" spans="1:32" ht="18" customHeight="1">
      <c r="A257" s="1"/>
      <c r="B257" s="5"/>
      <c r="C257" s="42"/>
      <c r="D257" s="68"/>
      <c r="E257" s="68"/>
      <c r="F257" s="46"/>
      <c r="G257" s="42"/>
      <c r="H257" s="68"/>
      <c r="I257" s="68"/>
      <c r="J257" s="46"/>
      <c r="K257" s="42"/>
      <c r="L257" s="68"/>
      <c r="M257" s="68"/>
      <c r="N257" s="46"/>
      <c r="O257" s="42"/>
      <c r="P257" s="68"/>
      <c r="Q257" s="68"/>
      <c r="R257" s="46"/>
      <c r="S257" s="42"/>
      <c r="T257" s="68"/>
      <c r="U257" s="68"/>
      <c r="V257" s="46"/>
      <c r="W257" s="46"/>
      <c r="Z257" s="46"/>
      <c r="AA257" s="46"/>
      <c r="AD257" s="46"/>
      <c r="AE257" s="46"/>
    </row>
    <row r="258" spans="1:32" ht="18" customHeight="1">
      <c r="A258" s="1" t="s">
        <v>311</v>
      </c>
      <c r="B258" s="5"/>
      <c r="C258" s="42"/>
      <c r="D258" s="68"/>
      <c r="E258" s="68"/>
      <c r="F258" s="46"/>
      <c r="G258" s="42"/>
      <c r="H258" s="68"/>
      <c r="I258" s="68"/>
      <c r="J258" s="46"/>
      <c r="K258" s="42"/>
      <c r="L258" s="68"/>
      <c r="M258" s="68"/>
      <c r="N258" s="46"/>
      <c r="O258" s="42"/>
      <c r="P258" s="68"/>
      <c r="Q258" s="68"/>
      <c r="R258" s="46"/>
      <c r="S258" s="42"/>
      <c r="T258" s="68"/>
      <c r="U258" s="68"/>
      <c r="V258" s="46"/>
      <c r="W258" s="46"/>
      <c r="Z258" s="46"/>
      <c r="AA258" s="46"/>
      <c r="AD258" s="46"/>
      <c r="AE258" s="46"/>
    </row>
    <row r="259" spans="1:32" ht="18" customHeight="1">
      <c r="A259" s="4356"/>
      <c r="B259" s="4233" t="s">
        <v>38</v>
      </c>
      <c r="C259" s="2986">
        <v>1</v>
      </c>
      <c r="D259" s="2986">
        <v>2</v>
      </c>
      <c r="E259" s="2985">
        <v>3</v>
      </c>
      <c r="F259" s="2985">
        <v>4</v>
      </c>
      <c r="G259" s="2985">
        <v>5</v>
      </c>
      <c r="H259" s="2985">
        <v>6</v>
      </c>
      <c r="I259" s="2985">
        <v>7</v>
      </c>
      <c r="J259" s="2986">
        <v>8</v>
      </c>
      <c r="K259" s="2986">
        <v>9</v>
      </c>
      <c r="L259" s="2985">
        <v>10</v>
      </c>
      <c r="M259" s="2985">
        <v>11</v>
      </c>
      <c r="N259" s="2985">
        <v>12</v>
      </c>
      <c r="O259" s="2985">
        <v>13</v>
      </c>
      <c r="P259" s="2985">
        <v>14</v>
      </c>
      <c r="Q259" s="2986">
        <v>15</v>
      </c>
      <c r="R259" s="2986">
        <v>16</v>
      </c>
      <c r="S259" s="2985">
        <v>17</v>
      </c>
      <c r="T259" s="2985">
        <v>18</v>
      </c>
      <c r="U259" s="2985">
        <v>19</v>
      </c>
      <c r="V259" s="2985">
        <v>20</v>
      </c>
      <c r="W259" s="2985">
        <v>21</v>
      </c>
      <c r="X259" s="2986">
        <v>22</v>
      </c>
      <c r="Y259" s="2986">
        <v>23</v>
      </c>
      <c r="Z259" s="2985">
        <v>24</v>
      </c>
      <c r="AA259" s="2985">
        <v>25</v>
      </c>
      <c r="AB259" s="2985">
        <v>26</v>
      </c>
      <c r="AC259" s="2985">
        <v>27</v>
      </c>
      <c r="AD259" s="2985">
        <v>28</v>
      </c>
      <c r="AE259" s="2986">
        <v>29</v>
      </c>
      <c r="AF259" s="2986">
        <v>30</v>
      </c>
    </row>
    <row r="260" spans="1:32" ht="18" customHeight="1">
      <c r="A260" s="2896"/>
      <c r="B260" s="2897"/>
      <c r="C260" s="4252"/>
      <c r="D260" s="4252"/>
      <c r="E260" s="4252" t="s">
        <v>40</v>
      </c>
      <c r="F260" s="4168" t="s">
        <v>40</v>
      </c>
      <c r="G260" s="4168" t="s">
        <v>40</v>
      </c>
      <c r="H260" s="4160" t="s">
        <v>40</v>
      </c>
      <c r="I260" s="4160" t="s">
        <v>40</v>
      </c>
      <c r="J260" s="4252"/>
      <c r="K260" s="4252"/>
      <c r="L260" s="4252" t="s">
        <v>40</v>
      </c>
      <c r="M260" s="4252" t="s">
        <v>40</v>
      </c>
      <c r="N260" s="4252" t="s">
        <v>40</v>
      </c>
      <c r="O260" s="4252" t="s">
        <v>40</v>
      </c>
      <c r="P260" s="4252" t="s">
        <v>40</v>
      </c>
      <c r="Q260" s="4252"/>
      <c r="R260" s="4160"/>
      <c r="S260" s="4160" t="s">
        <v>40</v>
      </c>
      <c r="T260" s="4252" t="s">
        <v>40</v>
      </c>
      <c r="U260" s="4252" t="s">
        <v>40</v>
      </c>
      <c r="V260" s="4252" t="s">
        <v>40</v>
      </c>
      <c r="W260" s="4252" t="s">
        <v>40</v>
      </c>
      <c r="X260" s="4252"/>
      <c r="Y260" s="4252"/>
      <c r="Z260" s="4252" t="s">
        <v>40</v>
      </c>
      <c r="AA260" s="4168" t="s">
        <v>40</v>
      </c>
      <c r="AB260" s="4168" t="s">
        <v>40</v>
      </c>
      <c r="AC260" s="4160" t="s">
        <v>40</v>
      </c>
      <c r="AD260" s="4160" t="s">
        <v>40</v>
      </c>
      <c r="AE260" s="4252"/>
      <c r="AF260" s="4252"/>
    </row>
    <row r="261" spans="1:32" ht="18" customHeight="1">
      <c r="A261" s="4423"/>
      <c r="B261" s="4424" t="s">
        <v>312</v>
      </c>
      <c r="C261" s="4252"/>
      <c r="D261" s="4252"/>
      <c r="E261" s="4252"/>
      <c r="F261" s="4168"/>
      <c r="G261" s="4168"/>
      <c r="H261" s="4160"/>
      <c r="I261" s="4160"/>
      <c r="J261" s="4252"/>
      <c r="K261" s="4252"/>
      <c r="L261" s="4252"/>
      <c r="M261" s="4252"/>
      <c r="N261" s="4252"/>
      <c r="O261" s="4252"/>
      <c r="P261" s="4252"/>
      <c r="Q261" s="4252"/>
      <c r="R261" s="4160"/>
      <c r="S261" s="4160"/>
      <c r="T261" s="4252"/>
      <c r="U261" s="4252"/>
      <c r="V261" s="4252"/>
      <c r="W261" s="4252"/>
      <c r="X261" s="4252"/>
      <c r="Y261" s="4252"/>
      <c r="Z261" s="4252"/>
      <c r="AA261" s="4168"/>
      <c r="AB261" s="4168"/>
      <c r="AC261" s="4160"/>
      <c r="AD261" s="4160"/>
      <c r="AE261" s="4252"/>
      <c r="AF261" s="4252"/>
    </row>
    <row r="262" spans="1:32" ht="18" customHeight="1">
      <c r="A262" s="4425">
        <v>8514</v>
      </c>
      <c r="B262" s="4426" t="s">
        <v>313</v>
      </c>
      <c r="C262" s="4252"/>
      <c r="D262" s="4252"/>
      <c r="E262" s="4252" t="s">
        <v>40</v>
      </c>
      <c r="F262" s="4168" t="s">
        <v>40</v>
      </c>
      <c r="G262" s="4168" t="s">
        <v>40</v>
      </c>
      <c r="H262" s="4160" t="s">
        <v>40</v>
      </c>
      <c r="I262" s="4160" t="s">
        <v>40</v>
      </c>
      <c r="J262" s="4252"/>
      <c r="K262" s="4252"/>
      <c r="L262" s="4252" t="s">
        <v>40</v>
      </c>
      <c r="M262" s="4252" t="s">
        <v>40</v>
      </c>
      <c r="N262" s="4252" t="s">
        <v>40</v>
      </c>
      <c r="O262" s="4252" t="s">
        <v>40</v>
      </c>
      <c r="P262" s="4252" t="s">
        <v>40</v>
      </c>
      <c r="Q262" s="4252"/>
      <c r="R262" s="4160"/>
      <c r="S262" s="4160" t="s">
        <v>40</v>
      </c>
      <c r="T262" s="4252" t="s">
        <v>40</v>
      </c>
      <c r="U262" s="4252" t="s">
        <v>40</v>
      </c>
      <c r="V262" s="4252" t="s">
        <v>40</v>
      </c>
      <c r="W262" s="4252" t="s">
        <v>40</v>
      </c>
      <c r="X262" s="4252"/>
      <c r="Y262" s="4252"/>
      <c r="Z262" s="4252" t="s">
        <v>40</v>
      </c>
      <c r="AA262" s="4168" t="s">
        <v>40</v>
      </c>
      <c r="AB262" s="4168" t="s">
        <v>40</v>
      </c>
      <c r="AC262" s="4160" t="s">
        <v>40</v>
      </c>
      <c r="AD262" s="4160" t="s">
        <v>40</v>
      </c>
      <c r="AE262" s="4252"/>
      <c r="AF262" s="4252"/>
    </row>
    <row r="263" spans="1:32" ht="18" customHeight="1">
      <c r="A263" s="4425">
        <v>3701</v>
      </c>
      <c r="B263" s="4427" t="s">
        <v>314</v>
      </c>
      <c r="C263" s="4428"/>
      <c r="D263" s="4428"/>
      <c r="E263" s="4428"/>
      <c r="F263" s="4428"/>
      <c r="G263" s="4429"/>
      <c r="H263" s="4429"/>
      <c r="I263" s="4429"/>
      <c r="J263" s="4428"/>
      <c r="K263" s="4428"/>
      <c r="L263" s="4428"/>
      <c r="M263" s="4428"/>
      <c r="N263" s="4429"/>
      <c r="O263" s="4429"/>
      <c r="P263" s="4429"/>
      <c r="Q263" s="4428"/>
      <c r="R263" s="4428"/>
      <c r="S263" s="4428"/>
      <c r="T263" s="4428"/>
      <c r="U263" s="4429"/>
      <c r="V263" s="4429"/>
      <c r="W263" s="4429"/>
      <c r="X263" s="4428"/>
      <c r="Y263" s="4428"/>
      <c r="Z263" s="4428"/>
      <c r="AA263" s="4428"/>
      <c r="AB263" s="4429"/>
      <c r="AC263" s="4429"/>
      <c r="AD263" s="4429"/>
      <c r="AE263" s="4428"/>
      <c r="AF263" s="4428"/>
    </row>
    <row r="264" spans="1:32" ht="18" customHeight="1">
      <c r="A264" s="4425">
        <v>3701</v>
      </c>
      <c r="B264" s="4408" t="s">
        <v>315</v>
      </c>
      <c r="C264" s="4252"/>
      <c r="D264" s="4252"/>
      <c r="E264" s="4252" t="s">
        <v>40</v>
      </c>
      <c r="F264" s="4168" t="s">
        <v>40</v>
      </c>
      <c r="G264" s="4168" t="s">
        <v>40</v>
      </c>
      <c r="H264" s="4160" t="s">
        <v>40</v>
      </c>
      <c r="I264" s="4160" t="s">
        <v>40</v>
      </c>
      <c r="J264" s="4252"/>
      <c r="K264" s="4252"/>
      <c r="L264" s="4252" t="s">
        <v>40</v>
      </c>
      <c r="M264" s="4252" t="s">
        <v>40</v>
      </c>
      <c r="N264" s="4252" t="s">
        <v>40</v>
      </c>
      <c r="O264" s="4252" t="s">
        <v>40</v>
      </c>
      <c r="P264" s="4252" t="s">
        <v>40</v>
      </c>
      <c r="Q264" s="4252"/>
      <c r="R264" s="4160"/>
      <c r="S264" s="4160" t="s">
        <v>40</v>
      </c>
      <c r="T264" s="4252" t="s">
        <v>40</v>
      </c>
      <c r="U264" s="4252" t="s">
        <v>40</v>
      </c>
      <c r="V264" s="4252" t="s">
        <v>40</v>
      </c>
      <c r="W264" s="4252" t="s">
        <v>40</v>
      </c>
      <c r="X264" s="4252"/>
      <c r="Y264" s="4252"/>
      <c r="Z264" s="4252" t="s">
        <v>40</v>
      </c>
      <c r="AA264" s="4168" t="s">
        <v>40</v>
      </c>
      <c r="AB264" s="4168" t="s">
        <v>40</v>
      </c>
      <c r="AC264" s="4160" t="s">
        <v>40</v>
      </c>
      <c r="AD264" s="4160" t="s">
        <v>40</v>
      </c>
      <c r="AE264" s="4252"/>
      <c r="AF264" s="4252"/>
    </row>
    <row r="265" spans="1:32" ht="18" customHeight="1">
      <c r="A265" s="4425">
        <v>3701</v>
      </c>
      <c r="B265" s="4408" t="s">
        <v>316</v>
      </c>
      <c r="C265" s="4252"/>
      <c r="D265" s="4252"/>
      <c r="E265" s="4252" t="s">
        <v>40</v>
      </c>
      <c r="F265" s="4168" t="s">
        <v>40</v>
      </c>
      <c r="G265" s="4168" t="s">
        <v>40</v>
      </c>
      <c r="H265" s="4160" t="s">
        <v>40</v>
      </c>
      <c r="I265" s="4160" t="s">
        <v>40</v>
      </c>
      <c r="J265" s="4252"/>
      <c r="K265" s="4252"/>
      <c r="L265" s="4252" t="s">
        <v>40</v>
      </c>
      <c r="M265" s="4252" t="s">
        <v>40</v>
      </c>
      <c r="N265" s="4252" t="s">
        <v>40</v>
      </c>
      <c r="O265" s="4252" t="s">
        <v>40</v>
      </c>
      <c r="P265" s="4252" t="s">
        <v>40</v>
      </c>
      <c r="Q265" s="4252"/>
      <c r="R265" s="4160"/>
      <c r="S265" s="4160" t="s">
        <v>40</v>
      </c>
      <c r="T265" s="4252" t="s">
        <v>40</v>
      </c>
      <c r="U265" s="4252" t="s">
        <v>40</v>
      </c>
      <c r="V265" s="4252" t="s">
        <v>40</v>
      </c>
      <c r="W265" s="4252" t="s">
        <v>40</v>
      </c>
      <c r="X265" s="4252"/>
      <c r="Y265" s="4252"/>
      <c r="Z265" s="4252" t="s">
        <v>40</v>
      </c>
      <c r="AA265" s="4168" t="s">
        <v>40</v>
      </c>
      <c r="AB265" s="4168" t="s">
        <v>40</v>
      </c>
      <c r="AC265" s="4160" t="s">
        <v>40</v>
      </c>
      <c r="AD265" s="4160" t="s">
        <v>40</v>
      </c>
      <c r="AE265" s="4252"/>
      <c r="AF265" s="4252"/>
    </row>
    <row r="266" spans="1:32" ht="18" customHeight="1">
      <c r="A266" s="4425">
        <v>3701</v>
      </c>
      <c r="B266" s="4408" t="s">
        <v>317</v>
      </c>
      <c r="C266" s="4252"/>
      <c r="D266" s="4252"/>
      <c r="E266" s="4252" t="s">
        <v>40</v>
      </c>
      <c r="F266" s="4168" t="s">
        <v>40</v>
      </c>
      <c r="G266" s="4168" t="s">
        <v>40</v>
      </c>
      <c r="H266" s="4160" t="s">
        <v>40</v>
      </c>
      <c r="I266" s="4430" t="s">
        <v>40</v>
      </c>
      <c r="J266" s="4252"/>
      <c r="K266" s="4252"/>
      <c r="L266" s="4252" t="s">
        <v>40</v>
      </c>
      <c r="M266" s="4252" t="s">
        <v>40</v>
      </c>
      <c r="N266" s="4252" t="s">
        <v>40</v>
      </c>
      <c r="O266" s="4252" t="s">
        <v>40</v>
      </c>
      <c r="P266" s="4252" t="s">
        <v>40</v>
      </c>
      <c r="Q266" s="4252"/>
      <c r="R266" s="4160"/>
      <c r="S266" s="4160" t="s">
        <v>40</v>
      </c>
      <c r="T266" s="4252" t="s">
        <v>40</v>
      </c>
      <c r="U266" s="4252" t="s">
        <v>40</v>
      </c>
      <c r="V266" s="4252" t="s">
        <v>40</v>
      </c>
      <c r="W266" s="4252" t="s">
        <v>40</v>
      </c>
      <c r="X266" s="4252"/>
      <c r="Y266" s="4252"/>
      <c r="Z266" s="4252" t="s">
        <v>40</v>
      </c>
      <c r="AA266" s="4168" t="s">
        <v>40</v>
      </c>
      <c r="AB266" s="4168" t="s">
        <v>40</v>
      </c>
      <c r="AC266" s="4160" t="s">
        <v>40</v>
      </c>
      <c r="AD266" s="4160" t="s">
        <v>40</v>
      </c>
      <c r="AE266" s="4252"/>
      <c r="AF266" s="4252"/>
    </row>
    <row r="267" spans="1:32" ht="18" customHeight="1">
      <c r="A267" s="4425">
        <v>3701</v>
      </c>
      <c r="B267" s="4427" t="s">
        <v>318</v>
      </c>
      <c r="C267" s="4428"/>
      <c r="D267" s="4428"/>
      <c r="E267" s="4428"/>
      <c r="F267" s="4428"/>
      <c r="G267" s="4429"/>
      <c r="H267" s="4429"/>
      <c r="I267" s="4429"/>
      <c r="J267" s="4428"/>
      <c r="K267" s="4428"/>
      <c r="L267" s="4428"/>
      <c r="M267" s="4428"/>
      <c r="N267" s="4429"/>
      <c r="O267" s="4429"/>
      <c r="P267" s="4429"/>
      <c r="Q267" s="4428"/>
      <c r="R267" s="4428"/>
      <c r="S267" s="4428"/>
      <c r="T267" s="4428"/>
      <c r="U267" s="4429"/>
      <c r="V267" s="4429"/>
      <c r="W267" s="4429"/>
      <c r="X267" s="4428"/>
      <c r="Y267" s="4428"/>
      <c r="Z267" s="4428"/>
      <c r="AA267" s="4428"/>
      <c r="AB267" s="4429"/>
      <c r="AC267" s="4429"/>
      <c r="AD267" s="4429"/>
      <c r="AE267" s="4428"/>
      <c r="AF267" s="4428"/>
    </row>
    <row r="268" spans="1:32" ht="18" customHeight="1">
      <c r="A268" s="4425">
        <v>3701</v>
      </c>
      <c r="B268" s="4408" t="s">
        <v>319</v>
      </c>
      <c r="C268" s="4252"/>
      <c r="D268" s="4252"/>
      <c r="E268" s="4252" t="s">
        <v>40</v>
      </c>
      <c r="F268" s="4168" t="s">
        <v>40</v>
      </c>
      <c r="G268" s="4168" t="s">
        <v>40</v>
      </c>
      <c r="H268" s="4160" t="s">
        <v>40</v>
      </c>
      <c r="I268" s="4160" t="s">
        <v>40</v>
      </c>
      <c r="J268" s="4252"/>
      <c r="K268" s="4252"/>
      <c r="L268" s="4252" t="s">
        <v>40</v>
      </c>
      <c r="M268" s="4252" t="s">
        <v>40</v>
      </c>
      <c r="N268" s="4252" t="s">
        <v>40</v>
      </c>
      <c r="O268" s="4252" t="s">
        <v>40</v>
      </c>
      <c r="P268" s="4252" t="s">
        <v>40</v>
      </c>
      <c r="Q268" s="4252"/>
      <c r="R268" s="4160"/>
      <c r="S268" s="4160" t="s">
        <v>40</v>
      </c>
      <c r="T268" s="4252" t="s">
        <v>40</v>
      </c>
      <c r="U268" s="4252" t="s">
        <v>40</v>
      </c>
      <c r="V268" s="4252" t="s">
        <v>40</v>
      </c>
      <c r="W268" s="4252" t="s">
        <v>40</v>
      </c>
      <c r="X268" s="4252"/>
      <c r="Y268" s="4252"/>
      <c r="Z268" s="4252" t="s">
        <v>40</v>
      </c>
      <c r="AA268" s="4168" t="s">
        <v>40</v>
      </c>
      <c r="AB268" s="4168" t="s">
        <v>40</v>
      </c>
      <c r="AC268" s="4160" t="s">
        <v>40</v>
      </c>
      <c r="AD268" s="4160" t="s">
        <v>40</v>
      </c>
      <c r="AE268" s="4252"/>
      <c r="AF268" s="4252"/>
    </row>
    <row r="269" spans="1:32" ht="18" customHeight="1">
      <c r="A269" s="4425">
        <v>3701</v>
      </c>
      <c r="B269" s="4408" t="s">
        <v>320</v>
      </c>
      <c r="C269" s="4252"/>
      <c r="D269" s="4252"/>
      <c r="E269" s="4252" t="s">
        <v>40</v>
      </c>
      <c r="F269" s="4168" t="s">
        <v>40</v>
      </c>
      <c r="G269" s="4168" t="s">
        <v>40</v>
      </c>
      <c r="H269" s="4160" t="s">
        <v>40</v>
      </c>
      <c r="I269" s="4160" t="s">
        <v>40</v>
      </c>
      <c r="J269" s="4252"/>
      <c r="K269" s="4252"/>
      <c r="L269" s="4252" t="s">
        <v>40</v>
      </c>
      <c r="M269" s="4252" t="s">
        <v>40</v>
      </c>
      <c r="N269" s="4252" t="s">
        <v>40</v>
      </c>
      <c r="O269" s="4252" t="s">
        <v>40</v>
      </c>
      <c r="P269" s="4252" t="s">
        <v>40</v>
      </c>
      <c r="Q269" s="4252"/>
      <c r="R269" s="4160"/>
      <c r="S269" s="4160" t="s">
        <v>40</v>
      </c>
      <c r="T269" s="4252" t="s">
        <v>40</v>
      </c>
      <c r="U269" s="4252" t="s">
        <v>40</v>
      </c>
      <c r="V269" s="4252" t="s">
        <v>40</v>
      </c>
      <c r="W269" s="4252" t="s">
        <v>40</v>
      </c>
      <c r="X269" s="4252"/>
      <c r="Y269" s="4252"/>
      <c r="Z269" s="4252" t="s">
        <v>40</v>
      </c>
      <c r="AA269" s="4168" t="s">
        <v>40</v>
      </c>
      <c r="AB269" s="4168" t="s">
        <v>40</v>
      </c>
      <c r="AC269" s="4160" t="s">
        <v>40</v>
      </c>
      <c r="AD269" s="4160" t="s">
        <v>40</v>
      </c>
      <c r="AE269" s="4252"/>
      <c r="AF269" s="4252"/>
    </row>
    <row r="270" spans="1:32" ht="18" customHeight="1">
      <c r="A270" s="4431">
        <v>3701</v>
      </c>
      <c r="B270" s="4408" t="s">
        <v>321</v>
      </c>
      <c r="C270" s="4252"/>
      <c r="D270" s="4252"/>
      <c r="E270" s="4252" t="s">
        <v>40</v>
      </c>
      <c r="F270" s="4168" t="s">
        <v>40</v>
      </c>
      <c r="G270" s="4168" t="s">
        <v>40</v>
      </c>
      <c r="H270" s="4160" t="s">
        <v>40</v>
      </c>
      <c r="I270" s="4160" t="s">
        <v>40</v>
      </c>
      <c r="J270" s="4252"/>
      <c r="K270" s="4252"/>
      <c r="L270" s="4252" t="s">
        <v>40</v>
      </c>
      <c r="M270" s="4252" t="s">
        <v>40</v>
      </c>
      <c r="N270" s="4252" t="s">
        <v>40</v>
      </c>
      <c r="O270" s="4252" t="s">
        <v>40</v>
      </c>
      <c r="P270" s="4252" t="s">
        <v>40</v>
      </c>
      <c r="Q270" s="4252"/>
      <c r="R270" s="4160"/>
      <c r="S270" s="4160" t="s">
        <v>40</v>
      </c>
      <c r="T270" s="4252" t="s">
        <v>40</v>
      </c>
      <c r="U270" s="4252" t="s">
        <v>40</v>
      </c>
      <c r="V270" s="4252" t="s">
        <v>40</v>
      </c>
      <c r="W270" s="4252" t="s">
        <v>40</v>
      </c>
      <c r="X270" s="4252"/>
      <c r="Y270" s="4252"/>
      <c r="Z270" s="4252" t="s">
        <v>40</v>
      </c>
      <c r="AA270" s="4168" t="s">
        <v>40</v>
      </c>
      <c r="AB270" s="4168" t="s">
        <v>40</v>
      </c>
      <c r="AC270" s="4160" t="s">
        <v>40</v>
      </c>
      <c r="AD270" s="4160" t="s">
        <v>40</v>
      </c>
      <c r="AE270" s="4252"/>
      <c r="AF270" s="4252"/>
    </row>
    <row r="271" spans="1:32" ht="18" customHeight="1">
      <c r="A271" s="4425">
        <v>3701</v>
      </c>
      <c r="B271" s="4408" t="s">
        <v>322</v>
      </c>
      <c r="C271" s="4252"/>
      <c r="D271" s="4252"/>
      <c r="E271" s="4252" t="s">
        <v>40</v>
      </c>
      <c r="F271" s="4168" t="s">
        <v>40</v>
      </c>
      <c r="G271" s="4168" t="s">
        <v>40</v>
      </c>
      <c r="H271" s="4160" t="s">
        <v>40</v>
      </c>
      <c r="I271" s="4160" t="s">
        <v>40</v>
      </c>
      <c r="J271" s="4252"/>
      <c r="K271" s="4252"/>
      <c r="L271" s="4163" t="s">
        <v>40</v>
      </c>
      <c r="M271" s="4163" t="s">
        <v>325</v>
      </c>
      <c r="N271" s="4191" t="s">
        <v>40</v>
      </c>
      <c r="O271" s="4252" t="s">
        <v>40</v>
      </c>
      <c r="P271" s="4252" t="s">
        <v>40</v>
      </c>
      <c r="Q271" s="4252"/>
      <c r="R271" s="4160"/>
      <c r="S271" s="4160" t="s">
        <v>40</v>
      </c>
      <c r="T271" s="4252" t="s">
        <v>40</v>
      </c>
      <c r="U271" s="4252" t="s">
        <v>40</v>
      </c>
      <c r="V271" s="4252" t="s">
        <v>40</v>
      </c>
      <c r="W271" s="4252" t="s">
        <v>40</v>
      </c>
      <c r="X271" s="4252"/>
      <c r="Y271" s="4252"/>
      <c r="Z271" s="4252" t="s">
        <v>40</v>
      </c>
      <c r="AA271" s="4168" t="s">
        <v>40</v>
      </c>
      <c r="AB271" s="4168" t="s">
        <v>40</v>
      </c>
      <c r="AC271" s="4160" t="s">
        <v>40</v>
      </c>
      <c r="AD271" s="4160" t="s">
        <v>40</v>
      </c>
      <c r="AE271" s="4252"/>
      <c r="AF271" s="4252"/>
    </row>
    <row r="272" spans="1:32" ht="18" customHeight="1">
      <c r="A272" s="4425">
        <v>3701</v>
      </c>
      <c r="B272" s="4408" t="s">
        <v>323</v>
      </c>
      <c r="C272" s="4252"/>
      <c r="D272" s="4252"/>
      <c r="E272" s="4252" t="s">
        <v>40</v>
      </c>
      <c r="F272" s="4168" t="s">
        <v>40</v>
      </c>
      <c r="G272" s="4168" t="s">
        <v>40</v>
      </c>
      <c r="H272" s="4160" t="s">
        <v>40</v>
      </c>
      <c r="I272" s="4160" t="s">
        <v>40</v>
      </c>
      <c r="J272" s="4252"/>
      <c r="K272" s="4252"/>
      <c r="L272" s="4252" t="s">
        <v>40</v>
      </c>
      <c r="M272" s="4252" t="s">
        <v>40</v>
      </c>
      <c r="N272" s="4252" t="s">
        <v>40</v>
      </c>
      <c r="O272" s="4252" t="s">
        <v>40</v>
      </c>
      <c r="P272" s="4252" t="s">
        <v>40</v>
      </c>
      <c r="Q272" s="4252"/>
      <c r="R272" s="4160"/>
      <c r="S272" s="4163" t="s">
        <v>40</v>
      </c>
      <c r="T272" s="4163" t="s">
        <v>325</v>
      </c>
      <c r="U272" s="4245" t="s">
        <v>40</v>
      </c>
      <c r="V272" s="4252" t="s">
        <v>40</v>
      </c>
      <c r="W272" s="4252" t="s">
        <v>40</v>
      </c>
      <c r="X272" s="4252"/>
      <c r="Y272" s="4252"/>
      <c r="Z272" s="4252" t="s">
        <v>40</v>
      </c>
      <c r="AA272" s="4168" t="s">
        <v>40</v>
      </c>
      <c r="AB272" s="4168" t="s">
        <v>40</v>
      </c>
      <c r="AC272" s="4160" t="s">
        <v>40</v>
      </c>
      <c r="AD272" s="4160" t="s">
        <v>40</v>
      </c>
      <c r="AE272" s="4252"/>
      <c r="AF272" s="4252"/>
    </row>
    <row r="273" spans="1:32" ht="18" customHeight="1">
      <c r="A273" s="4425"/>
      <c r="B273" s="4408" t="s">
        <v>324</v>
      </c>
      <c r="C273" s="4252"/>
      <c r="D273" s="4252"/>
      <c r="E273" s="4252" t="s">
        <v>40</v>
      </c>
      <c r="F273" s="4168" t="s">
        <v>40</v>
      </c>
      <c r="G273" s="4168" t="s">
        <v>40</v>
      </c>
      <c r="H273" s="4160" t="s">
        <v>40</v>
      </c>
      <c r="I273" s="4160" t="s">
        <v>40</v>
      </c>
      <c r="J273" s="4252"/>
      <c r="K273" s="4252"/>
      <c r="L273" s="4252" t="s">
        <v>40</v>
      </c>
      <c r="M273" s="4252" t="s">
        <v>40</v>
      </c>
      <c r="N273" s="4252" t="s">
        <v>40</v>
      </c>
      <c r="O273" s="4252" t="s">
        <v>40</v>
      </c>
      <c r="P273" s="4252" t="s">
        <v>40</v>
      </c>
      <c r="Q273" s="4252"/>
      <c r="R273" s="4160"/>
      <c r="S273" s="4160" t="s">
        <v>40</v>
      </c>
      <c r="T273" s="4252" t="s">
        <v>40</v>
      </c>
      <c r="U273" s="4252" t="s">
        <v>40</v>
      </c>
      <c r="V273" s="4252" t="s">
        <v>40</v>
      </c>
      <c r="W273" s="4252" t="s">
        <v>40</v>
      </c>
      <c r="X273" s="4252"/>
      <c r="Y273" s="4252"/>
      <c r="Z273" s="4252" t="s">
        <v>40</v>
      </c>
      <c r="AA273" s="4168" t="s">
        <v>40</v>
      </c>
      <c r="AB273" s="4168" t="s">
        <v>40</v>
      </c>
      <c r="AC273" s="4160" t="s">
        <v>40</v>
      </c>
      <c r="AD273" s="4160" t="s">
        <v>40</v>
      </c>
      <c r="AE273" s="4252"/>
      <c r="AF273" s="4252"/>
    </row>
    <row r="274" spans="1:32" ht="18" customHeight="1">
      <c r="A274" s="4425"/>
      <c r="B274" s="4408"/>
      <c r="C274" s="4252"/>
      <c r="D274" s="4252"/>
      <c r="E274" s="4252" t="s">
        <v>40</v>
      </c>
      <c r="F274" s="4168" t="s">
        <v>40</v>
      </c>
      <c r="G274" s="4168" t="s">
        <v>40</v>
      </c>
      <c r="H274" s="4160" t="s">
        <v>40</v>
      </c>
      <c r="I274" s="4160" t="s">
        <v>40</v>
      </c>
      <c r="J274" s="4252"/>
      <c r="K274" s="4252"/>
      <c r="L274" s="4252" t="s">
        <v>40</v>
      </c>
      <c r="M274" s="4252" t="s">
        <v>40</v>
      </c>
      <c r="N274" s="4252" t="s">
        <v>40</v>
      </c>
      <c r="O274" s="4252" t="s">
        <v>40</v>
      </c>
      <c r="P274" s="4252" t="s">
        <v>40</v>
      </c>
      <c r="Q274" s="4252"/>
      <c r="R274" s="4160"/>
      <c r="S274" s="4160" t="s">
        <v>40</v>
      </c>
      <c r="T274" s="4252" t="s">
        <v>40</v>
      </c>
      <c r="U274" s="4252" t="s">
        <v>40</v>
      </c>
      <c r="V274" s="4252" t="s">
        <v>40</v>
      </c>
      <c r="W274" s="4252" t="s">
        <v>40</v>
      </c>
      <c r="X274" s="4252"/>
      <c r="Y274" s="4252"/>
      <c r="Z274" s="4252" t="s">
        <v>40</v>
      </c>
      <c r="AA274" s="4168" t="s">
        <v>40</v>
      </c>
      <c r="AB274" s="4168" t="s">
        <v>40</v>
      </c>
      <c r="AC274" s="4160" t="s">
        <v>40</v>
      </c>
      <c r="AD274" s="4160" t="s">
        <v>40</v>
      </c>
      <c r="AE274" s="4252"/>
      <c r="AF274" s="4252"/>
    </row>
    <row r="275" spans="1:32" ht="18" customHeight="1">
      <c r="A275" s="4425"/>
      <c r="B275" s="4408" t="s">
        <v>326</v>
      </c>
      <c r="C275" s="4252"/>
      <c r="D275" s="4252"/>
      <c r="E275" s="4252" t="s">
        <v>40</v>
      </c>
      <c r="F275" s="4163" t="s">
        <v>40</v>
      </c>
      <c r="G275" s="4163" t="s">
        <v>325</v>
      </c>
      <c r="H275" s="3540" t="s">
        <v>40</v>
      </c>
      <c r="I275" s="4160" t="s">
        <v>40</v>
      </c>
      <c r="J275" s="4252"/>
      <c r="K275" s="4252"/>
      <c r="L275" s="4252" t="s">
        <v>40</v>
      </c>
      <c r="M275" s="4252" t="s">
        <v>40</v>
      </c>
      <c r="N275" s="4252" t="s">
        <v>40</v>
      </c>
      <c r="O275" s="4252" t="s">
        <v>40</v>
      </c>
      <c r="P275" s="4252" t="s">
        <v>40</v>
      </c>
      <c r="Q275" s="4252"/>
      <c r="R275" s="4160"/>
      <c r="S275" s="4160" t="s">
        <v>40</v>
      </c>
      <c r="T275" s="4252" t="s">
        <v>40</v>
      </c>
      <c r="U275" s="4252" t="s">
        <v>40</v>
      </c>
      <c r="V275" s="4252" t="s">
        <v>40</v>
      </c>
      <c r="W275" s="4252" t="s">
        <v>40</v>
      </c>
      <c r="X275" s="4252"/>
      <c r="Y275" s="4252"/>
      <c r="Z275" s="4252" t="s">
        <v>40</v>
      </c>
      <c r="AA275" s="4168" t="s">
        <v>40</v>
      </c>
      <c r="AB275" s="4168" t="s">
        <v>40</v>
      </c>
      <c r="AC275" s="4160" t="s">
        <v>40</v>
      </c>
      <c r="AD275" s="4160" t="s">
        <v>40</v>
      </c>
      <c r="AE275" s="4252"/>
      <c r="AF275" s="4252"/>
    </row>
    <row r="276" spans="1:32" ht="18" customHeight="1">
      <c r="A276" s="4425"/>
      <c r="B276" s="4427" t="s">
        <v>327</v>
      </c>
      <c r="C276" s="4428"/>
      <c r="D276" s="4428"/>
      <c r="E276" s="4428"/>
      <c r="F276" s="4428"/>
      <c r="G276" s="4429"/>
      <c r="H276" s="4429"/>
      <c r="I276" s="4429"/>
      <c r="J276" s="4428"/>
      <c r="K276" s="4428"/>
      <c r="L276" s="4428"/>
      <c r="M276" s="4428"/>
      <c r="N276" s="4429"/>
      <c r="O276" s="4429"/>
      <c r="P276" s="4429"/>
      <c r="Q276" s="4428"/>
      <c r="R276" s="4428"/>
      <c r="S276" s="4428"/>
      <c r="T276" s="4428"/>
      <c r="U276" s="4429"/>
      <c r="V276" s="4429"/>
      <c r="W276" s="4429"/>
      <c r="X276" s="4428"/>
      <c r="Y276" s="4428"/>
      <c r="Z276" s="4428"/>
      <c r="AA276" s="4428"/>
      <c r="AB276" s="4429"/>
      <c r="AC276" s="4429"/>
      <c r="AD276" s="4429"/>
      <c r="AE276" s="4428"/>
      <c r="AF276" s="4428"/>
    </row>
    <row r="277" spans="1:32" ht="18" customHeight="1">
      <c r="A277" s="4425"/>
      <c r="B277" s="4408" t="s">
        <v>328</v>
      </c>
      <c r="C277" s="4252"/>
      <c r="D277" s="4252"/>
      <c r="E277" s="4110" t="s">
        <v>40</v>
      </c>
      <c r="F277" s="4110" t="s">
        <v>40</v>
      </c>
      <c r="G277" s="4110" t="s">
        <v>40</v>
      </c>
      <c r="H277" s="4432" t="s">
        <v>40</v>
      </c>
      <c r="I277" s="4110" t="s">
        <v>40</v>
      </c>
      <c r="J277" s="4252"/>
      <c r="K277" s="4252"/>
      <c r="L277" s="4252" t="s">
        <v>40</v>
      </c>
      <c r="M277" s="4252" t="s">
        <v>40</v>
      </c>
      <c r="N277" s="4252" t="s">
        <v>40</v>
      </c>
      <c r="O277" s="4252" t="s">
        <v>40</v>
      </c>
      <c r="P277" s="4252" t="s">
        <v>40</v>
      </c>
      <c r="Q277" s="4252"/>
      <c r="R277" s="4160"/>
      <c r="S277" s="4160" t="s">
        <v>40</v>
      </c>
      <c r="T277" s="4252" t="s">
        <v>40</v>
      </c>
      <c r="U277" s="4252" t="s">
        <v>40</v>
      </c>
      <c r="V277" s="4252" t="s">
        <v>40</v>
      </c>
      <c r="W277" s="4252" t="s">
        <v>40</v>
      </c>
      <c r="X277" s="4252"/>
      <c r="Y277" s="4252"/>
      <c r="Z277" s="4163" t="s">
        <v>40</v>
      </c>
      <c r="AA277" s="4163" t="s">
        <v>40</v>
      </c>
      <c r="AB277" s="4306" t="s">
        <v>40</v>
      </c>
      <c r="AC277" s="4280" t="s">
        <v>40</v>
      </c>
      <c r="AD277" s="4280" t="s">
        <v>325</v>
      </c>
      <c r="AE277" s="4252"/>
      <c r="AF277" s="4252"/>
    </row>
    <row r="278" spans="1:32" ht="18" customHeight="1">
      <c r="A278" s="4425"/>
      <c r="B278" s="4408" t="s">
        <v>329</v>
      </c>
      <c r="C278" s="4252"/>
      <c r="D278" s="4252"/>
      <c r="E278" s="4252" t="s">
        <v>40</v>
      </c>
      <c r="F278" s="4168" t="s">
        <v>40</v>
      </c>
      <c r="G278" s="4168" t="s">
        <v>40</v>
      </c>
      <c r="H278" s="4160" t="s">
        <v>40</v>
      </c>
      <c r="I278" s="4160" t="s">
        <v>40</v>
      </c>
      <c r="J278" s="4252"/>
      <c r="K278" s="4252"/>
      <c r="L278" s="4252" t="s">
        <v>40</v>
      </c>
      <c r="M278" s="4252" t="s">
        <v>40</v>
      </c>
      <c r="N278" s="4252" t="s">
        <v>40</v>
      </c>
      <c r="O278" s="4252" t="s">
        <v>40</v>
      </c>
      <c r="P278" s="4252" t="s">
        <v>40</v>
      </c>
      <c r="Q278" s="4252"/>
      <c r="R278" s="4160"/>
      <c r="S278" s="4171" t="s">
        <v>40</v>
      </c>
      <c r="T278" s="4171" t="s">
        <v>40</v>
      </c>
      <c r="U278" s="4171" t="s">
        <v>40</v>
      </c>
      <c r="V278" s="4171" t="s">
        <v>40</v>
      </c>
      <c r="W278" s="4171" t="s">
        <v>40</v>
      </c>
      <c r="X278" s="4252"/>
      <c r="Y278" s="4252"/>
      <c r="Z278" s="4252" t="s">
        <v>40</v>
      </c>
      <c r="AA278" s="4168" t="s">
        <v>40</v>
      </c>
      <c r="AB278" s="4168" t="s">
        <v>40</v>
      </c>
      <c r="AC278" s="4160" t="s">
        <v>40</v>
      </c>
      <c r="AD278" s="4160" t="s">
        <v>40</v>
      </c>
      <c r="AE278" s="4252"/>
      <c r="AF278" s="4252"/>
    </row>
    <row r="279" spans="1:32" ht="18" customHeight="1"/>
    <row r="280" spans="1:32" ht="18" customHeight="1"/>
    <row r="281" spans="1:32" ht="18" customHeight="1">
      <c r="A281" s="96" t="s">
        <v>331</v>
      </c>
    </row>
    <row r="282" spans="1:32" ht="18" customHeight="1">
      <c r="B282" s="2908" t="s">
        <v>303</v>
      </c>
      <c r="C282" s="2765"/>
      <c r="D282" s="2788" t="s">
        <v>19</v>
      </c>
      <c r="E282" s="3064"/>
      <c r="F282" s="2769"/>
      <c r="G282" s="2765"/>
      <c r="H282" s="2788" t="s">
        <v>20</v>
      </c>
      <c r="I282" s="3064"/>
      <c r="J282" s="2769"/>
      <c r="K282" s="2765"/>
      <c r="L282" s="2788" t="s">
        <v>21</v>
      </c>
      <c r="M282" s="3064"/>
      <c r="N282" s="2769"/>
      <c r="O282" s="2765"/>
      <c r="P282" s="2788" t="s">
        <v>22</v>
      </c>
      <c r="Q282" s="3064"/>
      <c r="R282" s="2769"/>
      <c r="S282" s="2765"/>
      <c r="T282" s="2788" t="s">
        <v>23</v>
      </c>
      <c r="U282" s="3064"/>
      <c r="V282" s="2769"/>
      <c r="W282" s="2765"/>
      <c r="X282" s="2788" t="s">
        <v>24</v>
      </c>
      <c r="Y282" s="3064"/>
      <c r="Z282" s="2769"/>
      <c r="AA282" s="2765"/>
      <c r="AB282" s="2788" t="s">
        <v>25</v>
      </c>
      <c r="AC282" s="3064"/>
      <c r="AD282" s="3064"/>
      <c r="AE282" s="2791"/>
      <c r="AF282" s="3064"/>
    </row>
    <row r="283" spans="1:32" ht="18" customHeight="1">
      <c r="B283" s="4433" t="s">
        <v>210</v>
      </c>
      <c r="C283" s="543" t="s">
        <v>332</v>
      </c>
      <c r="D283" s="539"/>
      <c r="E283" s="544"/>
      <c r="F283" s="545"/>
      <c r="G283" s="543" t="s">
        <v>332</v>
      </c>
      <c r="H283" s="539"/>
      <c r="I283" s="544"/>
      <c r="J283" s="545"/>
      <c r="K283" s="543" t="s">
        <v>332</v>
      </c>
      <c r="L283" s="539"/>
      <c r="M283" s="544"/>
      <c r="N283" s="545"/>
      <c r="O283" s="543" t="s">
        <v>332</v>
      </c>
      <c r="P283" s="546"/>
      <c r="Q283" s="544"/>
      <c r="R283" s="545"/>
      <c r="S283" s="547" t="s">
        <v>333</v>
      </c>
      <c r="T283" s="539"/>
      <c r="U283" s="544"/>
      <c r="V283" s="545"/>
      <c r="W283" s="541"/>
      <c r="X283" s="539"/>
      <c r="Y283" s="531"/>
      <c r="Z283" s="540"/>
      <c r="AA283" s="541"/>
      <c r="AB283" s="539"/>
      <c r="AC283" s="531"/>
      <c r="AD283" s="531"/>
      <c r="AE283" s="542"/>
      <c r="AF283" s="531"/>
    </row>
    <row r="284" spans="1:32" ht="18" customHeight="1">
      <c r="A284" s="68"/>
      <c r="B284" s="4433" t="s">
        <v>212</v>
      </c>
      <c r="C284" s="543" t="s">
        <v>334</v>
      </c>
      <c r="D284" s="539"/>
      <c r="E284" s="544"/>
      <c r="F284" s="545"/>
      <c r="G284" s="543" t="s">
        <v>334</v>
      </c>
      <c r="H284" s="539"/>
      <c r="I284" s="544"/>
      <c r="J284" s="545"/>
      <c r="K284" s="543" t="s">
        <v>334</v>
      </c>
      <c r="L284" s="539"/>
      <c r="M284" s="544"/>
      <c r="N284" s="545"/>
      <c r="O284" s="543" t="s">
        <v>334</v>
      </c>
      <c r="P284" s="539"/>
      <c r="Q284" s="544"/>
      <c r="R284" s="545"/>
      <c r="S284" s="543" t="s">
        <v>335</v>
      </c>
      <c r="T284" s="539"/>
      <c r="U284" s="544"/>
      <c r="V284" s="545"/>
      <c r="W284" s="541"/>
      <c r="X284" s="539"/>
      <c r="Y284" s="531"/>
      <c r="Z284" s="540"/>
      <c r="AA284" s="541"/>
      <c r="AB284" s="539"/>
      <c r="AC284" s="531"/>
      <c r="AD284" s="531"/>
      <c r="AE284" s="542"/>
      <c r="AF284" s="531"/>
    </row>
    <row r="285" spans="1:32" ht="18" customHeight="1">
      <c r="B285" s="4434" t="s">
        <v>336</v>
      </c>
      <c r="C285" s="4381" t="s">
        <v>334</v>
      </c>
      <c r="D285" s="4435"/>
      <c r="E285" s="544"/>
      <c r="F285" s="545"/>
      <c r="G285" s="4381" t="s">
        <v>334</v>
      </c>
      <c r="H285" s="4435"/>
      <c r="I285" s="544"/>
      <c r="J285" s="545"/>
      <c r="K285" s="4381" t="s">
        <v>334</v>
      </c>
      <c r="L285" s="4435"/>
      <c r="M285" s="544"/>
      <c r="N285" s="545"/>
      <c r="O285" s="4381" t="s">
        <v>334</v>
      </c>
      <c r="P285" s="4435"/>
      <c r="Q285" s="544"/>
      <c r="R285" s="545"/>
      <c r="S285" s="4381" t="s">
        <v>335</v>
      </c>
      <c r="T285" s="539"/>
      <c r="U285" s="544"/>
      <c r="V285" s="545"/>
      <c r="W285" s="541"/>
      <c r="X285" s="539"/>
      <c r="Y285" s="531"/>
      <c r="Z285" s="540"/>
      <c r="AA285" s="541"/>
      <c r="AB285" s="539"/>
      <c r="AC285" s="531"/>
      <c r="AD285" s="531"/>
      <c r="AE285" s="542"/>
      <c r="AF285" s="531"/>
    </row>
    <row r="286" spans="1:32" ht="18" customHeight="1">
      <c r="B286" s="37"/>
      <c r="C286" s="42"/>
      <c r="D286" s="5"/>
      <c r="G286" s="42"/>
      <c r="H286" s="5"/>
      <c r="K286" s="42"/>
      <c r="L286" s="5"/>
      <c r="O286" s="42"/>
      <c r="P286" s="5"/>
      <c r="S286" s="42"/>
      <c r="T286" s="42"/>
      <c r="X286" s="42"/>
      <c r="AB286" s="42"/>
      <c r="AE286" s="42"/>
    </row>
    <row r="287" spans="1:32" ht="18" customHeight="1">
      <c r="A287" s="588" t="s">
        <v>337</v>
      </c>
      <c r="S287" s="300" t="s">
        <v>559</v>
      </c>
      <c r="T287" s="299"/>
      <c r="U287" s="299"/>
      <c r="V287" s="299"/>
      <c r="W287" s="299"/>
    </row>
    <row r="288" spans="1:32" ht="18" customHeight="1">
      <c r="A288" s="4356"/>
      <c r="B288" s="4233" t="s">
        <v>38</v>
      </c>
      <c r="C288" s="2986">
        <v>1</v>
      </c>
      <c r="D288" s="2986">
        <v>2</v>
      </c>
      <c r="E288" s="2985">
        <v>3</v>
      </c>
      <c r="F288" s="2985">
        <v>4</v>
      </c>
      <c r="G288" s="2985">
        <v>5</v>
      </c>
      <c r="H288" s="2985">
        <v>6</v>
      </c>
      <c r="I288" s="2985">
        <v>7</v>
      </c>
      <c r="J288" s="2986">
        <v>8</v>
      </c>
      <c r="K288" s="2986">
        <v>9</v>
      </c>
      <c r="L288" s="2985">
        <v>10</v>
      </c>
      <c r="M288" s="2985">
        <v>11</v>
      </c>
      <c r="N288" s="2985">
        <v>12</v>
      </c>
      <c r="O288" s="2985">
        <v>13</v>
      </c>
      <c r="P288" s="2985">
        <v>14</v>
      </c>
      <c r="Q288" s="2986">
        <v>15</v>
      </c>
      <c r="R288" s="2986">
        <v>16</v>
      </c>
      <c r="S288" s="2985">
        <v>17</v>
      </c>
      <c r="T288" s="2985">
        <v>18</v>
      </c>
      <c r="U288" s="2985">
        <v>19</v>
      </c>
      <c r="V288" s="2985">
        <v>20</v>
      </c>
      <c r="W288" s="2985">
        <v>21</v>
      </c>
      <c r="X288" s="2986">
        <v>22</v>
      </c>
      <c r="Y288" s="2986">
        <v>23</v>
      </c>
      <c r="Z288" s="2985">
        <v>24</v>
      </c>
      <c r="AA288" s="2985">
        <v>25</v>
      </c>
      <c r="AB288" s="2985">
        <v>26</v>
      </c>
      <c r="AC288" s="2985">
        <v>27</v>
      </c>
      <c r="AD288" s="2985">
        <v>28</v>
      </c>
      <c r="AE288" s="2986">
        <v>29</v>
      </c>
      <c r="AF288" s="2986">
        <v>30</v>
      </c>
    </row>
    <row r="289" spans="1:32" ht="18" customHeight="1">
      <c r="A289" s="2912">
        <v>3702</v>
      </c>
      <c r="B289" s="2913" t="s">
        <v>338</v>
      </c>
      <c r="C289" s="3089"/>
      <c r="D289" s="3089"/>
      <c r="E289" s="3089" t="s">
        <v>40</v>
      </c>
      <c r="F289" s="3089" t="s">
        <v>40</v>
      </c>
      <c r="G289" s="3089" t="s">
        <v>40</v>
      </c>
      <c r="H289" s="3089" t="s">
        <v>40</v>
      </c>
      <c r="I289" s="3089" t="s">
        <v>40</v>
      </c>
      <c r="J289" s="3089"/>
      <c r="K289" s="3089"/>
      <c r="L289" s="3089" t="s">
        <v>40</v>
      </c>
      <c r="M289" s="3089" t="s">
        <v>40</v>
      </c>
      <c r="N289" s="3089" t="s">
        <v>40</v>
      </c>
      <c r="O289" s="3089" t="s">
        <v>40</v>
      </c>
      <c r="P289" s="3089" t="s">
        <v>40</v>
      </c>
      <c r="Q289" s="3089"/>
      <c r="R289" s="3089"/>
      <c r="S289" s="3089" t="s">
        <v>40</v>
      </c>
      <c r="T289" s="3089" t="s">
        <v>40</v>
      </c>
      <c r="U289" s="3089" t="s">
        <v>40</v>
      </c>
      <c r="V289" s="3089" t="s">
        <v>40</v>
      </c>
      <c r="W289" s="3089" t="s">
        <v>40</v>
      </c>
      <c r="X289" s="3089"/>
      <c r="Y289" s="3089"/>
      <c r="Z289" s="3291" t="s">
        <v>40</v>
      </c>
      <c r="AA289" s="3291" t="s">
        <v>40</v>
      </c>
      <c r="AB289" s="3291" t="s">
        <v>40</v>
      </c>
      <c r="AC289" s="3291" t="s">
        <v>40</v>
      </c>
      <c r="AD289" s="3291" t="s">
        <v>40</v>
      </c>
      <c r="AE289" s="3089"/>
      <c r="AF289" s="3089"/>
    </row>
    <row r="290" spans="1:32" ht="18" customHeight="1">
      <c r="A290" s="4436"/>
      <c r="B290" s="4437"/>
      <c r="C290" s="4168"/>
      <c r="D290" s="4168"/>
      <c r="E290" s="4168"/>
      <c r="F290" s="4168"/>
      <c r="G290" s="4168"/>
      <c r="H290" s="4168"/>
      <c r="I290" s="4168"/>
      <c r="J290" s="4168"/>
      <c r="K290" s="4168"/>
      <c r="L290" s="4168"/>
      <c r="M290" s="4168"/>
      <c r="N290" s="4168"/>
      <c r="O290" s="4168"/>
      <c r="P290" s="4168"/>
      <c r="Q290" s="4168"/>
      <c r="R290" s="4168"/>
      <c r="S290" s="4168"/>
      <c r="T290" s="4168"/>
      <c r="U290" s="4168"/>
      <c r="V290" s="4168"/>
      <c r="W290" s="4168"/>
      <c r="X290" s="4168"/>
      <c r="Y290" s="4168"/>
      <c r="Z290" s="4168"/>
      <c r="AA290" s="4168"/>
      <c r="AB290" s="4168"/>
      <c r="AC290" s="4168"/>
      <c r="AD290" s="4168"/>
      <c r="AE290" s="4168"/>
      <c r="AF290" s="4168"/>
    </row>
    <row r="291" spans="1:32" ht="18" customHeight="1">
      <c r="A291" s="4438"/>
      <c r="B291" s="4439" t="s">
        <v>339</v>
      </c>
      <c r="C291" s="4440"/>
      <c r="D291" s="4440"/>
      <c r="E291" s="4440"/>
      <c r="F291" s="4440"/>
      <c r="G291" s="4440"/>
      <c r="H291" s="4440"/>
      <c r="I291" s="4440"/>
      <c r="J291" s="4440"/>
      <c r="K291" s="4440"/>
      <c r="L291" s="4440"/>
      <c r="M291" s="4440"/>
      <c r="N291" s="4440"/>
      <c r="O291" s="4440"/>
      <c r="P291" s="4440"/>
      <c r="Q291" s="4440"/>
      <c r="R291" s="4440"/>
      <c r="S291" s="4440"/>
      <c r="T291" s="4440"/>
      <c r="U291" s="4440"/>
      <c r="V291" s="4440"/>
      <c r="W291" s="4440"/>
      <c r="X291" s="4440"/>
      <c r="Y291" s="4440"/>
      <c r="Z291" s="4440"/>
      <c r="AA291" s="4440"/>
      <c r="AB291" s="4440"/>
      <c r="AC291" s="4440"/>
      <c r="AD291" s="4440"/>
      <c r="AE291" s="4440"/>
      <c r="AF291" s="4440"/>
    </row>
    <row r="292" spans="1:32" ht="18" customHeight="1">
      <c r="A292" s="4441">
        <v>3702</v>
      </c>
      <c r="B292" s="4158" t="s">
        <v>340</v>
      </c>
      <c r="C292" s="4252"/>
      <c r="D292" s="4252"/>
      <c r="E292" s="4252" t="s">
        <v>342</v>
      </c>
      <c r="F292" s="4252" t="s">
        <v>342</v>
      </c>
      <c r="G292" s="4252" t="s">
        <v>342</v>
      </c>
      <c r="H292" s="4252" t="s">
        <v>342</v>
      </c>
      <c r="I292" s="4252" t="s">
        <v>342</v>
      </c>
      <c r="J292" s="4252"/>
      <c r="K292" s="4252"/>
      <c r="L292" s="4252" t="s">
        <v>341</v>
      </c>
      <c r="M292" s="4252" t="s">
        <v>341</v>
      </c>
      <c r="N292" s="4160" t="s">
        <v>341</v>
      </c>
      <c r="O292" s="4160" t="s">
        <v>341</v>
      </c>
      <c r="P292" s="4160" t="s">
        <v>341</v>
      </c>
      <c r="Q292" s="4252"/>
      <c r="R292" s="4252"/>
      <c r="S292" s="4252" t="s">
        <v>342</v>
      </c>
      <c r="T292" s="4252" t="s">
        <v>342</v>
      </c>
      <c r="U292" s="4252" t="s">
        <v>342</v>
      </c>
      <c r="V292" s="4110" t="s">
        <v>342</v>
      </c>
      <c r="W292" s="4110" t="s">
        <v>342</v>
      </c>
      <c r="X292" s="4110"/>
      <c r="Y292" s="4110"/>
      <c r="Z292" s="4110" t="s">
        <v>341</v>
      </c>
      <c r="AA292" s="4110" t="s">
        <v>341</v>
      </c>
      <c r="AB292" s="4110" t="s">
        <v>341</v>
      </c>
      <c r="AC292" s="4110" t="s">
        <v>341</v>
      </c>
      <c r="AD292" s="4110" t="s">
        <v>341</v>
      </c>
      <c r="AE292" s="4252"/>
      <c r="AF292" s="4252"/>
    </row>
    <row r="293" spans="1:32" ht="18" customHeight="1">
      <c r="A293" s="4441"/>
      <c r="B293" s="4158" t="s">
        <v>343</v>
      </c>
      <c r="C293" s="4252"/>
      <c r="D293" s="4252"/>
      <c r="E293" s="4252" t="s">
        <v>341</v>
      </c>
      <c r="F293" s="4252" t="s">
        <v>341</v>
      </c>
      <c r="G293" s="4160" t="s">
        <v>341</v>
      </c>
      <c r="H293" s="4160" t="s">
        <v>341</v>
      </c>
      <c r="I293" s="4160" t="s">
        <v>341</v>
      </c>
      <c r="J293" s="4252"/>
      <c r="K293" s="4252"/>
      <c r="L293" s="4252" t="s">
        <v>342</v>
      </c>
      <c r="M293" s="4252" t="s">
        <v>342</v>
      </c>
      <c r="N293" s="4252" t="s">
        <v>342</v>
      </c>
      <c r="O293" s="4252" t="s">
        <v>342</v>
      </c>
      <c r="P293" s="4252" t="s">
        <v>342</v>
      </c>
      <c r="Q293" s="4252"/>
      <c r="R293" s="4252"/>
      <c r="S293" s="4442" t="s">
        <v>341</v>
      </c>
      <c r="T293" s="4252" t="s">
        <v>341</v>
      </c>
      <c r="U293" s="4160" t="s">
        <v>341</v>
      </c>
      <c r="V293" s="4160" t="s">
        <v>341</v>
      </c>
      <c r="W293" s="3927" t="s">
        <v>341</v>
      </c>
      <c r="X293" s="4252"/>
      <c r="Y293" s="4252"/>
      <c r="Z293" s="4252" t="s">
        <v>342</v>
      </c>
      <c r="AA293" s="4252" t="s">
        <v>342</v>
      </c>
      <c r="AB293" s="4252" t="s">
        <v>342</v>
      </c>
      <c r="AC293" s="4252" t="s">
        <v>342</v>
      </c>
      <c r="AD293" s="4252" t="s">
        <v>342</v>
      </c>
      <c r="AE293" s="4252"/>
      <c r="AF293" s="4252"/>
    </row>
    <row r="294" spans="1:32" ht="18" customHeight="1">
      <c r="A294" s="4443"/>
      <c r="B294" s="4183"/>
      <c r="C294" s="4199"/>
      <c r="D294" s="4199"/>
      <c r="E294" s="4199" t="s">
        <v>346</v>
      </c>
      <c r="F294" s="4247" t="s">
        <v>346</v>
      </c>
      <c r="G294" s="4247" t="s">
        <v>346</v>
      </c>
      <c r="H294" s="4247" t="s">
        <v>346</v>
      </c>
      <c r="I294" s="4247" t="s">
        <v>346</v>
      </c>
      <c r="J294" s="4199"/>
      <c r="K294" s="4199"/>
      <c r="L294" s="4199" t="s">
        <v>346</v>
      </c>
      <c r="M294" s="4247" t="s">
        <v>346</v>
      </c>
      <c r="N294" s="4247" t="s">
        <v>346</v>
      </c>
      <c r="O294" s="4247" t="s">
        <v>346</v>
      </c>
      <c r="P294" s="4247" t="s">
        <v>346</v>
      </c>
      <c r="Q294" s="4199"/>
      <c r="R294" s="4199"/>
      <c r="S294" s="4199" t="s">
        <v>346</v>
      </c>
      <c r="T294" s="4247" t="s">
        <v>346</v>
      </c>
      <c r="U294" s="4247" t="s">
        <v>346</v>
      </c>
      <c r="V294" s="4247" t="s">
        <v>346</v>
      </c>
      <c r="W294" s="4247" t="s">
        <v>346</v>
      </c>
      <c r="X294" s="4199"/>
      <c r="Y294" s="4199"/>
      <c r="Z294" s="4199" t="s">
        <v>346</v>
      </c>
      <c r="AA294" s="4247" t="s">
        <v>346</v>
      </c>
      <c r="AB294" s="4247" t="s">
        <v>346</v>
      </c>
      <c r="AC294" s="4247" t="s">
        <v>346</v>
      </c>
      <c r="AD294" s="4247" t="s">
        <v>346</v>
      </c>
      <c r="AE294" s="4199"/>
      <c r="AF294" s="4199"/>
    </row>
    <row r="295" spans="1:32" ht="18" customHeight="1">
      <c r="C295" s="108"/>
      <c r="D295" s="108"/>
      <c r="E295" s="108"/>
      <c r="F295" s="108"/>
      <c r="G295" s="108"/>
      <c r="H295" s="108"/>
      <c r="I295" s="108"/>
      <c r="J295" s="108"/>
      <c r="K295" s="108"/>
      <c r="L295" s="108"/>
      <c r="M295" s="108"/>
      <c r="N295" s="108"/>
      <c r="O295" s="108"/>
      <c r="P295" s="108"/>
      <c r="Q295" s="108"/>
      <c r="R295" s="108"/>
      <c r="S295" s="108"/>
      <c r="T295" s="108"/>
      <c r="U295" s="108"/>
      <c r="V295" s="108"/>
      <c r="W295" s="108"/>
      <c r="X295" s="108"/>
      <c r="Y295" s="108"/>
      <c r="Z295" s="108"/>
      <c r="AA295" s="108"/>
      <c r="AB295" s="108"/>
      <c r="AC295" s="108"/>
      <c r="AD295" s="108"/>
      <c r="AE295" s="108"/>
      <c r="AF295" s="108"/>
    </row>
    <row r="296" spans="1:32" ht="18" customHeight="1"/>
    <row r="297" spans="1:32" ht="18" customHeight="1">
      <c r="A297" s="96" t="s">
        <v>348</v>
      </c>
    </row>
    <row r="298" spans="1:32" ht="18" customHeight="1">
      <c r="A298" s="1"/>
      <c r="B298" s="2908" t="s">
        <v>303</v>
      </c>
      <c r="C298" s="2765"/>
      <c r="D298" s="2788" t="s">
        <v>19</v>
      </c>
      <c r="E298" s="3064"/>
      <c r="F298" s="2769"/>
      <c r="G298" s="2765"/>
      <c r="H298" s="2788" t="s">
        <v>20</v>
      </c>
      <c r="I298" s="3064"/>
      <c r="J298" s="2769"/>
      <c r="K298" s="2765"/>
      <c r="L298" s="2788" t="s">
        <v>21</v>
      </c>
      <c r="M298" s="3064"/>
      <c r="N298" s="2769"/>
      <c r="O298" s="2765"/>
      <c r="P298" s="2788" t="s">
        <v>22</v>
      </c>
      <c r="Q298" s="3064"/>
      <c r="R298" s="2769"/>
      <c r="S298" s="2765"/>
      <c r="T298" s="2788" t="s">
        <v>23</v>
      </c>
      <c r="U298" s="3064"/>
      <c r="V298" s="2769"/>
      <c r="W298" s="2765"/>
      <c r="X298" s="2788" t="s">
        <v>24</v>
      </c>
      <c r="Y298" s="3064"/>
      <c r="Z298" s="2769"/>
      <c r="AA298" s="2765"/>
      <c r="AB298" s="2788" t="s">
        <v>25</v>
      </c>
      <c r="AC298" s="3064"/>
      <c r="AD298" s="3064"/>
      <c r="AE298" s="2791" t="s">
        <v>108</v>
      </c>
      <c r="AF298" s="3064"/>
    </row>
    <row r="299" spans="1:32" ht="18" customHeight="1">
      <c r="A299" s="1"/>
      <c r="B299" s="548"/>
      <c r="C299" s="549"/>
      <c r="D299" s="539"/>
      <c r="E299" s="516"/>
      <c r="F299" s="518"/>
      <c r="G299" s="549"/>
      <c r="H299" s="539"/>
      <c r="I299" s="516"/>
      <c r="J299" s="518"/>
      <c r="K299" s="549"/>
      <c r="L299" s="539"/>
      <c r="M299" s="516"/>
      <c r="N299" s="518"/>
      <c r="O299" s="549"/>
      <c r="P299" s="539"/>
      <c r="Q299" s="516"/>
      <c r="R299" s="518"/>
      <c r="S299" s="549"/>
      <c r="T299" s="539"/>
      <c r="U299" s="516"/>
      <c r="V299" s="518"/>
      <c r="W299" s="549"/>
      <c r="X299" s="539"/>
      <c r="Y299" s="516"/>
      <c r="Z299" s="518"/>
      <c r="AA299" s="549"/>
      <c r="AB299" s="539"/>
      <c r="AC299" s="516"/>
      <c r="AD299" s="516"/>
      <c r="AE299" s="542"/>
      <c r="AF299" s="516"/>
    </row>
    <row r="300" spans="1:32" ht="18" customHeight="1">
      <c r="A300" s="68"/>
      <c r="B300" s="4433"/>
      <c r="C300" s="4326"/>
      <c r="D300" s="3758"/>
      <c r="E300" s="3758"/>
      <c r="F300" s="4007"/>
      <c r="G300" s="4326"/>
      <c r="H300" s="3758"/>
      <c r="I300" s="3758"/>
      <c r="J300" s="4007"/>
      <c r="K300" s="4326"/>
      <c r="L300" s="3758"/>
      <c r="M300" s="3758"/>
      <c r="N300" s="4007"/>
      <c r="O300" s="4326"/>
      <c r="P300" s="3758"/>
      <c r="Q300" s="3758"/>
      <c r="R300" s="4007"/>
      <c r="S300" s="4326"/>
      <c r="T300" s="3758"/>
      <c r="U300" s="3758"/>
      <c r="V300" s="4007"/>
      <c r="W300" s="4326"/>
      <c r="X300" s="3758"/>
      <c r="Y300" s="3758"/>
      <c r="Z300" s="4007"/>
      <c r="AA300" s="4006"/>
      <c r="AB300" s="3758"/>
      <c r="AC300" s="3758"/>
      <c r="AD300" s="4325"/>
      <c r="AE300" s="4444"/>
      <c r="AF300" s="3758"/>
    </row>
    <row r="301" spans="1:32" ht="18" customHeight="1">
      <c r="A301" s="1"/>
      <c r="B301" s="4011"/>
      <c r="C301" s="4012"/>
      <c r="D301" s="4225"/>
      <c r="E301" s="4225"/>
      <c r="F301" s="4033"/>
      <c r="G301" s="4012"/>
      <c r="H301" s="4225"/>
      <c r="I301" s="4225"/>
      <c r="J301" s="4033"/>
      <c r="K301" s="4012"/>
      <c r="L301" s="4225"/>
      <c r="M301" s="4225"/>
      <c r="N301" s="4033"/>
      <c r="O301" s="4012"/>
      <c r="P301" s="4225"/>
      <c r="Q301" s="4225"/>
      <c r="R301" s="4033"/>
      <c r="S301" s="4012"/>
      <c r="T301" s="4225"/>
      <c r="U301" s="4225"/>
      <c r="V301" s="4033"/>
      <c r="W301" s="4031"/>
      <c r="X301" s="4225"/>
      <c r="Y301" s="4225"/>
      <c r="Z301" s="4033"/>
      <c r="AA301" s="4031"/>
      <c r="AB301" s="4225"/>
      <c r="AC301" s="4225"/>
      <c r="AD301" s="4034"/>
      <c r="AE301" s="4031"/>
      <c r="AF301" s="4225"/>
    </row>
    <row r="302" spans="1:32" ht="18" customHeight="1">
      <c r="A302" s="1"/>
      <c r="B302" s="5"/>
      <c r="C302" s="42"/>
      <c r="F302" s="46"/>
      <c r="G302" s="42"/>
      <c r="J302" s="46"/>
      <c r="K302" s="42"/>
      <c r="N302" s="46"/>
      <c r="O302" s="42"/>
      <c r="R302" s="46"/>
      <c r="S302" s="42"/>
      <c r="V302" s="46"/>
      <c r="W302" s="46"/>
      <c r="Z302" s="46"/>
      <c r="AA302" s="46"/>
      <c r="AD302" s="46"/>
      <c r="AE302" s="46"/>
    </row>
    <row r="303" spans="1:32" ht="18" customHeight="1">
      <c r="A303" s="96" t="s">
        <v>349</v>
      </c>
      <c r="B303" s="5"/>
      <c r="C303" s="42"/>
      <c r="F303" s="46"/>
      <c r="G303" s="42"/>
      <c r="J303" s="46"/>
      <c r="K303" s="42"/>
      <c r="N303" s="46"/>
      <c r="O303" s="42"/>
      <c r="R303" s="46"/>
      <c r="S303" s="42"/>
      <c r="V303" s="46"/>
      <c r="W303" s="46"/>
      <c r="Z303" s="46"/>
      <c r="AA303" s="46"/>
      <c r="AD303" s="46"/>
      <c r="AE303" s="46"/>
    </row>
    <row r="304" spans="1:32" ht="18" customHeight="1">
      <c r="A304" s="4356" t="s">
        <v>37</v>
      </c>
      <c r="B304" s="4233" t="s">
        <v>38</v>
      </c>
      <c r="C304" s="2986">
        <v>1</v>
      </c>
      <c r="D304" s="2986">
        <v>2</v>
      </c>
      <c r="E304" s="2985">
        <v>3</v>
      </c>
      <c r="F304" s="2985">
        <v>4</v>
      </c>
      <c r="G304" s="2985">
        <v>5</v>
      </c>
      <c r="H304" s="2985">
        <v>6</v>
      </c>
      <c r="I304" s="2985">
        <v>7</v>
      </c>
      <c r="J304" s="2986">
        <v>8</v>
      </c>
      <c r="K304" s="2986">
        <v>9</v>
      </c>
      <c r="L304" s="2985">
        <v>10</v>
      </c>
      <c r="M304" s="2985">
        <v>11</v>
      </c>
      <c r="N304" s="2985">
        <v>12</v>
      </c>
      <c r="O304" s="2985">
        <v>13</v>
      </c>
      <c r="P304" s="2985">
        <v>14</v>
      </c>
      <c r="Q304" s="2986">
        <v>15</v>
      </c>
      <c r="R304" s="2986">
        <v>16</v>
      </c>
      <c r="S304" s="2985">
        <v>17</v>
      </c>
      <c r="T304" s="2985">
        <v>18</v>
      </c>
      <c r="U304" s="2985">
        <v>19</v>
      </c>
      <c r="V304" s="2985">
        <v>20</v>
      </c>
      <c r="W304" s="2985">
        <v>21</v>
      </c>
      <c r="X304" s="2986">
        <v>22</v>
      </c>
      <c r="Y304" s="2986">
        <v>23</v>
      </c>
      <c r="Z304" s="2985">
        <v>24</v>
      </c>
      <c r="AA304" s="2985">
        <v>25</v>
      </c>
      <c r="AB304" s="2985">
        <v>26</v>
      </c>
      <c r="AC304" s="2985">
        <v>27</v>
      </c>
      <c r="AD304" s="2985">
        <v>28</v>
      </c>
      <c r="AE304" s="2986">
        <v>29</v>
      </c>
      <c r="AF304" s="2986">
        <v>30</v>
      </c>
    </row>
    <row r="305" spans="1:32" ht="18" customHeight="1">
      <c r="A305" s="2924"/>
      <c r="B305" s="2925"/>
      <c r="C305" s="3089"/>
      <c r="D305" s="3089"/>
      <c r="E305" s="3089" t="s">
        <v>40</v>
      </c>
      <c r="F305" s="3089" t="s">
        <v>40</v>
      </c>
      <c r="G305" s="3089" t="s">
        <v>40</v>
      </c>
      <c r="H305" s="3089" t="s">
        <v>40</v>
      </c>
      <c r="I305" s="3089" t="s">
        <v>40</v>
      </c>
      <c r="J305" s="3089"/>
      <c r="K305" s="3089"/>
      <c r="L305" s="3089" t="s">
        <v>40</v>
      </c>
      <c r="M305" s="3089" t="s">
        <v>40</v>
      </c>
      <c r="N305" s="3089" t="s">
        <v>40</v>
      </c>
      <c r="O305" s="3089" t="s">
        <v>40</v>
      </c>
      <c r="P305" s="3089" t="s">
        <v>40</v>
      </c>
      <c r="Q305" s="3089"/>
      <c r="R305" s="3089"/>
      <c r="S305" s="3089" t="s">
        <v>40</v>
      </c>
      <c r="T305" s="3089" t="s">
        <v>40</v>
      </c>
      <c r="U305" s="3089" t="s">
        <v>40</v>
      </c>
      <c r="V305" s="3089" t="s">
        <v>40</v>
      </c>
      <c r="W305" s="3089" t="s">
        <v>40</v>
      </c>
      <c r="X305" s="3089"/>
      <c r="Y305" s="3089"/>
      <c r="Z305" s="3089" t="s">
        <v>40</v>
      </c>
      <c r="AA305" s="3089" t="s">
        <v>40</v>
      </c>
      <c r="AB305" s="3089" t="s">
        <v>40</v>
      </c>
      <c r="AC305" s="3089" t="s">
        <v>40</v>
      </c>
      <c r="AD305" s="3089" t="s">
        <v>40</v>
      </c>
      <c r="AE305" s="3089"/>
      <c r="AF305" s="3089"/>
    </row>
    <row r="306" spans="1:32" ht="18" customHeight="1">
      <c r="A306" s="4445"/>
      <c r="B306" s="4036" t="s">
        <v>350</v>
      </c>
      <c r="C306" s="4168"/>
      <c r="D306" s="4168"/>
      <c r="E306" s="4168" t="s">
        <v>40</v>
      </c>
      <c r="F306" s="4168" t="s">
        <v>40</v>
      </c>
      <c r="G306" s="4168" t="s">
        <v>40</v>
      </c>
      <c r="H306" s="4168" t="s">
        <v>40</v>
      </c>
      <c r="I306" s="4168" t="s">
        <v>40</v>
      </c>
      <c r="J306" s="4168"/>
      <c r="K306" s="4168"/>
      <c r="L306" s="4168" t="s">
        <v>40</v>
      </c>
      <c r="M306" s="4168" t="s">
        <v>40</v>
      </c>
      <c r="N306" s="4168" t="s">
        <v>40</v>
      </c>
      <c r="O306" s="4168" t="s">
        <v>40</v>
      </c>
      <c r="P306" s="4168" t="s">
        <v>40</v>
      </c>
      <c r="Q306" s="4168"/>
      <c r="R306" s="4168"/>
      <c r="S306" s="4168" t="s">
        <v>40</v>
      </c>
      <c r="T306" s="4168" t="s">
        <v>40</v>
      </c>
      <c r="U306" s="4168" t="s">
        <v>40</v>
      </c>
      <c r="V306" s="4168" t="s">
        <v>40</v>
      </c>
      <c r="W306" s="4168" t="s">
        <v>40</v>
      </c>
      <c r="X306" s="4168"/>
      <c r="Y306" s="4168"/>
      <c r="Z306" s="4168" t="s">
        <v>40</v>
      </c>
      <c r="AA306" s="4168" t="s">
        <v>40</v>
      </c>
      <c r="AB306" s="4168" t="s">
        <v>40</v>
      </c>
      <c r="AC306" s="4168" t="s">
        <v>40</v>
      </c>
      <c r="AD306" s="4168" t="s">
        <v>40</v>
      </c>
      <c r="AE306" s="4168"/>
      <c r="AF306" s="4168"/>
    </row>
    <row r="307" spans="1:32" ht="18" customHeight="1">
      <c r="A307" s="4425"/>
      <c r="B307" s="4036" t="s">
        <v>351</v>
      </c>
      <c r="C307" s="4168"/>
      <c r="D307" s="4168"/>
      <c r="E307" s="4168" t="s">
        <v>40</v>
      </c>
      <c r="F307" s="4168" t="s">
        <v>40</v>
      </c>
      <c r="G307" s="4168" t="s">
        <v>40</v>
      </c>
      <c r="H307" s="4168" t="s">
        <v>40</v>
      </c>
      <c r="I307" s="4168" t="s">
        <v>40</v>
      </c>
      <c r="J307" s="4168"/>
      <c r="K307" s="4168"/>
      <c r="L307" s="4168" t="s">
        <v>40</v>
      </c>
      <c r="M307" s="4168" t="s">
        <v>40</v>
      </c>
      <c r="N307" s="4168" t="s">
        <v>40</v>
      </c>
      <c r="O307" s="4168" t="s">
        <v>40</v>
      </c>
      <c r="P307" s="4168" t="s">
        <v>40</v>
      </c>
      <c r="Q307" s="4168"/>
      <c r="R307" s="4168"/>
      <c r="S307" s="4168" t="s">
        <v>40</v>
      </c>
      <c r="T307" s="4168" t="s">
        <v>40</v>
      </c>
      <c r="U307" s="4168" t="s">
        <v>40</v>
      </c>
      <c r="V307" s="4168" t="s">
        <v>40</v>
      </c>
      <c r="W307" s="4168" t="s">
        <v>40</v>
      </c>
      <c r="X307" s="4168"/>
      <c r="Y307" s="4168"/>
      <c r="Z307" s="4168" t="s">
        <v>40</v>
      </c>
      <c r="AA307" s="4168" t="s">
        <v>40</v>
      </c>
      <c r="AB307" s="4168" t="s">
        <v>40</v>
      </c>
      <c r="AC307" s="4168" t="s">
        <v>40</v>
      </c>
      <c r="AD307" s="4168" t="s">
        <v>40</v>
      </c>
      <c r="AE307" s="4168"/>
      <c r="AF307" s="4168"/>
    </row>
    <row r="308" spans="1:32" ht="18" customHeight="1">
      <c r="A308" s="4425"/>
      <c r="B308" s="4036" t="s">
        <v>352</v>
      </c>
      <c r="C308" s="4281"/>
      <c r="D308" s="4281"/>
      <c r="E308" s="4281" t="s">
        <v>40</v>
      </c>
      <c r="F308" s="4281" t="s">
        <v>40</v>
      </c>
      <c r="G308" s="4281" t="s">
        <v>40</v>
      </c>
      <c r="H308" s="4310" t="s">
        <v>40</v>
      </c>
      <c r="I308" s="4310" t="s">
        <v>40</v>
      </c>
      <c r="J308" s="4281"/>
      <c r="K308" s="4281"/>
      <c r="L308" s="4281" t="s">
        <v>40</v>
      </c>
      <c r="M308" s="4281" t="s">
        <v>40</v>
      </c>
      <c r="N308" s="4281" t="s">
        <v>40</v>
      </c>
      <c r="O308" s="4310" t="s">
        <v>40</v>
      </c>
      <c r="P308" s="4310" t="s">
        <v>40</v>
      </c>
      <c r="Q308" s="4281"/>
      <c r="R308" s="4281"/>
      <c r="S308" s="4281" t="s">
        <v>40</v>
      </c>
      <c r="T308" s="4281" t="s">
        <v>40</v>
      </c>
      <c r="U308" s="4281" t="s">
        <v>40</v>
      </c>
      <c r="V308" s="4310" t="s">
        <v>40</v>
      </c>
      <c r="W308" s="4310" t="s">
        <v>40</v>
      </c>
      <c r="X308" s="4281"/>
      <c r="Y308" s="4281"/>
      <c r="Z308" s="4281" t="s">
        <v>40</v>
      </c>
      <c r="AA308" s="4281" t="s">
        <v>40</v>
      </c>
      <c r="AB308" s="4281" t="s">
        <v>40</v>
      </c>
      <c r="AC308" s="4310" t="s">
        <v>40</v>
      </c>
      <c r="AD308" s="4310" t="s">
        <v>40</v>
      </c>
      <c r="AE308" s="4281"/>
      <c r="AF308" s="4281"/>
    </row>
    <row r="309" spans="1:32" ht="18" customHeight="1">
      <c r="A309" s="4425"/>
      <c r="B309" s="4036" t="s">
        <v>353</v>
      </c>
      <c r="C309" s="4281"/>
      <c r="D309" s="4281"/>
      <c r="E309" s="4281" t="s">
        <v>40</v>
      </c>
      <c r="F309" s="4281" t="s">
        <v>40</v>
      </c>
      <c r="G309" s="4281" t="s">
        <v>40</v>
      </c>
      <c r="H309" s="4281" t="s">
        <v>40</v>
      </c>
      <c r="I309" s="4281" t="s">
        <v>40</v>
      </c>
      <c r="J309" s="4281"/>
      <c r="K309" s="4281"/>
      <c r="L309" s="4281" t="s">
        <v>40</v>
      </c>
      <c r="M309" s="4281" t="s">
        <v>40</v>
      </c>
      <c r="N309" s="4281" t="s">
        <v>40</v>
      </c>
      <c r="O309" s="4281" t="s">
        <v>40</v>
      </c>
      <c r="P309" s="4281" t="s">
        <v>40</v>
      </c>
      <c r="Q309" s="4281"/>
      <c r="R309" s="4281"/>
      <c r="S309" s="4281" t="s">
        <v>40</v>
      </c>
      <c r="T309" s="4281" t="s">
        <v>40</v>
      </c>
      <c r="U309" s="4281" t="s">
        <v>40</v>
      </c>
      <c r="V309" s="4281" t="s">
        <v>40</v>
      </c>
      <c r="W309" s="4281" t="s">
        <v>40</v>
      </c>
      <c r="X309" s="4281"/>
      <c r="Y309" s="4281"/>
      <c r="Z309" s="4281" t="s">
        <v>40</v>
      </c>
      <c r="AA309" s="4281" t="s">
        <v>40</v>
      </c>
      <c r="AB309" s="4281" t="s">
        <v>40</v>
      </c>
      <c r="AC309" s="4281" t="s">
        <v>40</v>
      </c>
      <c r="AD309" s="4281" t="s">
        <v>40</v>
      </c>
      <c r="AE309" s="4281"/>
      <c r="AF309" s="4281"/>
    </row>
    <row r="310" spans="1:32" ht="18" customHeight="1">
      <c r="A310" s="4425"/>
      <c r="B310" s="4036" t="s">
        <v>354</v>
      </c>
      <c r="C310" s="4281"/>
      <c r="D310" s="4281"/>
      <c r="E310" s="4281" t="s">
        <v>40</v>
      </c>
      <c r="F310" s="4281" t="s">
        <v>40</v>
      </c>
      <c r="G310" s="4281" t="s">
        <v>40</v>
      </c>
      <c r="H310" s="4281" t="s">
        <v>40</v>
      </c>
      <c r="I310" s="4281" t="s">
        <v>40</v>
      </c>
      <c r="J310" s="4281"/>
      <c r="K310" s="4281"/>
      <c r="L310" s="4281" t="s">
        <v>40</v>
      </c>
      <c r="M310" s="4281" t="s">
        <v>40</v>
      </c>
      <c r="N310" s="4281" t="s">
        <v>40</v>
      </c>
      <c r="O310" s="4281" t="s">
        <v>40</v>
      </c>
      <c r="P310" s="4281" t="s">
        <v>40</v>
      </c>
      <c r="Q310" s="4281"/>
      <c r="R310" s="4281"/>
      <c r="S310" s="4281" t="s">
        <v>40</v>
      </c>
      <c r="T310" s="4281" t="s">
        <v>40</v>
      </c>
      <c r="U310" s="4281" t="s">
        <v>40</v>
      </c>
      <c r="V310" s="4281" t="s">
        <v>40</v>
      </c>
      <c r="W310" s="4281" t="s">
        <v>40</v>
      </c>
      <c r="X310" s="4281"/>
      <c r="Y310" s="4281"/>
      <c r="Z310" s="4281" t="s">
        <v>40</v>
      </c>
      <c r="AA310" s="4281" t="s">
        <v>40</v>
      </c>
      <c r="AB310" s="4281" t="s">
        <v>40</v>
      </c>
      <c r="AC310" s="4281" t="s">
        <v>40</v>
      </c>
      <c r="AD310" s="4281" t="s">
        <v>40</v>
      </c>
      <c r="AE310" s="4281"/>
      <c r="AF310" s="4281"/>
    </row>
    <row r="311" spans="1:32" ht="18" customHeight="1">
      <c r="A311" s="4425"/>
      <c r="B311" s="4036" t="s">
        <v>355</v>
      </c>
      <c r="C311" s="4281"/>
      <c r="D311" s="4281"/>
      <c r="E311" s="4281" t="s">
        <v>40</v>
      </c>
      <c r="F311" s="4281" t="s">
        <v>40</v>
      </c>
      <c r="G311" s="4281" t="s">
        <v>40</v>
      </c>
      <c r="H311" s="4281" t="s">
        <v>40</v>
      </c>
      <c r="I311" s="4281" t="s">
        <v>40</v>
      </c>
      <c r="J311" s="4281"/>
      <c r="K311" s="4281"/>
      <c r="L311" s="4281" t="s">
        <v>40</v>
      </c>
      <c r="M311" s="4281" t="s">
        <v>40</v>
      </c>
      <c r="N311" s="4281" t="s">
        <v>40</v>
      </c>
      <c r="O311" s="4281" t="s">
        <v>40</v>
      </c>
      <c r="P311" s="4281" t="s">
        <v>40</v>
      </c>
      <c r="Q311" s="4281"/>
      <c r="R311" s="4281"/>
      <c r="S311" s="4281" t="s">
        <v>40</v>
      </c>
      <c r="T311" s="4281" t="s">
        <v>40</v>
      </c>
      <c r="U311" s="4281" t="s">
        <v>40</v>
      </c>
      <c r="V311" s="4281" t="s">
        <v>40</v>
      </c>
      <c r="W311" s="4281" t="s">
        <v>40</v>
      </c>
      <c r="X311" s="4281"/>
      <c r="Y311" s="4281"/>
      <c r="Z311" s="4281" t="s">
        <v>40</v>
      </c>
      <c r="AA311" s="4281" t="s">
        <v>40</v>
      </c>
      <c r="AB311" s="4281" t="s">
        <v>40</v>
      </c>
      <c r="AC311" s="4281" t="s">
        <v>40</v>
      </c>
      <c r="AD311" s="4281" t="s">
        <v>40</v>
      </c>
      <c r="AE311" s="4281"/>
      <c r="AF311" s="4281"/>
    </row>
    <row r="312" spans="1:32" ht="18" customHeight="1">
      <c r="A312" s="4425"/>
      <c r="B312" s="4036" t="s">
        <v>237</v>
      </c>
      <c r="C312" s="4281"/>
      <c r="D312" s="4281"/>
      <c r="E312" s="4281" t="s">
        <v>40</v>
      </c>
      <c r="F312" s="4281" t="s">
        <v>40</v>
      </c>
      <c r="G312" s="4281" t="s">
        <v>40</v>
      </c>
      <c r="H312" s="4281" t="s">
        <v>40</v>
      </c>
      <c r="I312" s="4281" t="s">
        <v>40</v>
      </c>
      <c r="J312" s="4281"/>
      <c r="K312" s="4281"/>
      <c r="L312" s="4281" t="s">
        <v>40</v>
      </c>
      <c r="M312" s="4281" t="s">
        <v>40</v>
      </c>
      <c r="N312" s="4281" t="s">
        <v>40</v>
      </c>
      <c r="O312" s="4281" t="s">
        <v>40</v>
      </c>
      <c r="P312" s="4281" t="s">
        <v>40</v>
      </c>
      <c r="Q312" s="4281"/>
      <c r="R312" s="4281"/>
      <c r="S312" s="4281" t="s">
        <v>40</v>
      </c>
      <c r="T312" s="4281" t="s">
        <v>40</v>
      </c>
      <c r="U312" s="4281" t="s">
        <v>40</v>
      </c>
      <c r="V312" s="4281" t="s">
        <v>40</v>
      </c>
      <c r="W312" s="4281" t="s">
        <v>40</v>
      </c>
      <c r="X312" s="4281"/>
      <c r="Y312" s="4281"/>
      <c r="Z312" s="4281" t="s">
        <v>40</v>
      </c>
      <c r="AA312" s="4281" t="s">
        <v>40</v>
      </c>
      <c r="AB312" s="4281" t="s">
        <v>40</v>
      </c>
      <c r="AC312" s="4281" t="s">
        <v>40</v>
      </c>
      <c r="AD312" s="4281" t="s">
        <v>40</v>
      </c>
      <c r="AE312" s="4281"/>
      <c r="AF312" s="4281"/>
    </row>
    <row r="313" spans="1:32" ht="18" customHeight="1">
      <c r="A313" s="4425"/>
      <c r="B313" s="4036" t="s">
        <v>356</v>
      </c>
      <c r="C313" s="4281"/>
      <c r="D313" s="4281"/>
      <c r="E313" s="4281" t="s">
        <v>40</v>
      </c>
      <c r="F313" s="4281" t="s">
        <v>40</v>
      </c>
      <c r="G313" s="4281" t="s">
        <v>40</v>
      </c>
      <c r="H313" s="4281" t="s">
        <v>40</v>
      </c>
      <c r="I313" s="4281" t="s">
        <v>40</v>
      </c>
      <c r="J313" s="4281"/>
      <c r="K313" s="4281"/>
      <c r="L313" s="4281" t="s">
        <v>40</v>
      </c>
      <c r="M313" s="4281" t="s">
        <v>40</v>
      </c>
      <c r="N313" s="4281" t="s">
        <v>40</v>
      </c>
      <c r="O313" s="4281" t="s">
        <v>40</v>
      </c>
      <c r="P313" s="4281" t="s">
        <v>40</v>
      </c>
      <c r="Q313" s="4281"/>
      <c r="R313" s="4281"/>
      <c r="S313" s="4281" t="s">
        <v>40</v>
      </c>
      <c r="T313" s="4281" t="s">
        <v>40</v>
      </c>
      <c r="U313" s="4281" t="s">
        <v>40</v>
      </c>
      <c r="V313" s="4281" t="s">
        <v>40</v>
      </c>
      <c r="W313" s="4281" t="s">
        <v>40</v>
      </c>
      <c r="X313" s="4281"/>
      <c r="Y313" s="4281"/>
      <c r="Z313" s="4281" t="s">
        <v>40</v>
      </c>
      <c r="AA313" s="4281" t="s">
        <v>40</v>
      </c>
      <c r="AB313" s="4281" t="s">
        <v>40</v>
      </c>
      <c r="AC313" s="4281" t="s">
        <v>40</v>
      </c>
      <c r="AD313" s="4281" t="s">
        <v>40</v>
      </c>
      <c r="AE313" s="4281"/>
      <c r="AF313" s="4281"/>
    </row>
    <row r="314" spans="1:32" ht="18" customHeight="1">
      <c r="A314" s="4425"/>
      <c r="B314" s="4036" t="s">
        <v>357</v>
      </c>
      <c r="C314" s="4042"/>
      <c r="D314" s="4281"/>
      <c r="E314" s="4281" t="s">
        <v>40</v>
      </c>
      <c r="F314" s="4281" t="s">
        <v>40</v>
      </c>
      <c r="G314" s="4281" t="s">
        <v>40</v>
      </c>
      <c r="H314" s="4281" t="s">
        <v>40</v>
      </c>
      <c r="I314" s="4281" t="s">
        <v>40</v>
      </c>
      <c r="J314" s="4042"/>
      <c r="K314" s="4281"/>
      <c r="L314" s="4281" t="s">
        <v>40</v>
      </c>
      <c r="M314" s="4281" t="s">
        <v>40</v>
      </c>
      <c r="N314" s="4281" t="s">
        <v>40</v>
      </c>
      <c r="O314" s="4281" t="s">
        <v>40</v>
      </c>
      <c r="P314" s="4281" t="s">
        <v>40</v>
      </c>
      <c r="Q314" s="4042"/>
      <c r="R314" s="4281"/>
      <c r="S314" s="4281" t="s">
        <v>40</v>
      </c>
      <c r="T314" s="4281" t="s">
        <v>40</v>
      </c>
      <c r="U314" s="4281" t="s">
        <v>40</v>
      </c>
      <c r="V314" s="4281" t="s">
        <v>40</v>
      </c>
      <c r="W314" s="4281" t="s">
        <v>40</v>
      </c>
      <c r="X314" s="4042"/>
      <c r="Y314" s="4281"/>
      <c r="Z314" s="4281" t="s">
        <v>40</v>
      </c>
      <c r="AA314" s="4281" t="s">
        <v>40</v>
      </c>
      <c r="AB314" s="4281" t="s">
        <v>40</v>
      </c>
      <c r="AC314" s="4281" t="s">
        <v>40</v>
      </c>
      <c r="AD314" s="4281" t="s">
        <v>40</v>
      </c>
      <c r="AE314" s="4042"/>
      <c r="AF314" s="4281"/>
    </row>
    <row r="315" spans="1:32" ht="18" customHeight="1">
      <c r="A315" s="4446"/>
      <c r="B315" s="4236" t="s">
        <v>358</v>
      </c>
      <c r="C315" s="3991"/>
      <c r="D315" s="3991"/>
      <c r="E315" s="3991" t="s">
        <v>40</v>
      </c>
      <c r="F315" s="3991" t="s">
        <v>40</v>
      </c>
      <c r="G315" s="3991" t="s">
        <v>40</v>
      </c>
      <c r="H315" s="3991" t="s">
        <v>40</v>
      </c>
      <c r="I315" s="3991" t="s">
        <v>40</v>
      </c>
      <c r="J315" s="3991"/>
      <c r="K315" s="3991"/>
      <c r="L315" s="3991" t="s">
        <v>40</v>
      </c>
      <c r="M315" s="3991" t="s">
        <v>40</v>
      </c>
      <c r="N315" s="3991" t="s">
        <v>40</v>
      </c>
      <c r="O315" s="3991" t="s">
        <v>40</v>
      </c>
      <c r="P315" s="3991" t="s">
        <v>40</v>
      </c>
      <c r="Q315" s="3991"/>
      <c r="R315" s="3991"/>
      <c r="S315" s="3991" t="s">
        <v>40</v>
      </c>
      <c r="T315" s="3991" t="s">
        <v>40</v>
      </c>
      <c r="U315" s="3991" t="s">
        <v>40</v>
      </c>
      <c r="V315" s="3991" t="s">
        <v>40</v>
      </c>
      <c r="W315" s="3991" t="s">
        <v>40</v>
      </c>
      <c r="X315" s="3991"/>
      <c r="Y315" s="3991"/>
      <c r="Z315" s="3991" t="s">
        <v>40</v>
      </c>
      <c r="AA315" s="3991" t="s">
        <v>40</v>
      </c>
      <c r="AB315" s="3991" t="s">
        <v>40</v>
      </c>
      <c r="AC315" s="3991" t="s">
        <v>40</v>
      </c>
      <c r="AD315" s="3991" t="s">
        <v>40</v>
      </c>
      <c r="AE315" s="3991"/>
      <c r="AF315" s="3991"/>
    </row>
  </sheetData>
  <sheetProtection algorithmName="SHA-512" hashValue="2COl1AqRzDAqAIWgSdbKa5wl1OO8RcNvBcx98DwqzZdQ24onMLI4vIDEyD/EUIbChGfrxoigHSHOXeeZDHhkAw==" saltValue="JebBs8c/Qbh1z+YucENCeQ==" spinCount="100000" sheet="1" objects="1" scenarios="1"/>
  <mergeCells count="3">
    <mergeCell ref="T38:Z38"/>
    <mergeCell ref="C4:F4"/>
    <mergeCell ref="AB4:AE4"/>
  </mergeCells>
  <phoneticPr fontId="10" type="noConversion"/>
  <pageMargins left="0.7" right="0.7" top="0.75" bottom="0.75" header="0.3" footer="0.3"/>
  <pageSetup paperSize="9" scale="10" orientation="landscape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74C2C-5865-498F-89C4-21BC797590B2}">
  <sheetPr codeName="Ark37">
    <pageSetUpPr fitToPage="1"/>
  </sheetPr>
  <dimension ref="A1:AM279"/>
  <sheetViews>
    <sheetView zoomScaleNormal="100" workbookViewId="0">
      <pane ySplit="1" topLeftCell="A256" activePane="bottomLeft" state="frozen"/>
      <selection pane="bottomLeft" activeCell="B81" sqref="B81:B83"/>
    </sheetView>
  </sheetViews>
  <sheetFormatPr defaultRowHeight="12"/>
  <cols>
    <col min="2" max="2" width="31.28515625" customWidth="1"/>
    <col min="3" max="32" width="4.5703125" customWidth="1"/>
    <col min="33" max="33" width="4.28515625" customWidth="1"/>
  </cols>
  <sheetData>
    <row r="1" spans="1:33" ht="15.75" thickBot="1">
      <c r="B1" s="4126" t="s">
        <v>578</v>
      </c>
      <c r="C1" s="2985">
        <v>1</v>
      </c>
      <c r="D1" s="2985">
        <v>2</v>
      </c>
      <c r="E1" s="2985">
        <v>3</v>
      </c>
      <c r="F1" s="2985">
        <v>4</v>
      </c>
      <c r="G1" s="2985">
        <v>5</v>
      </c>
      <c r="H1" s="2986">
        <v>6</v>
      </c>
      <c r="I1" s="2986">
        <v>7</v>
      </c>
      <c r="J1" s="2985">
        <v>8</v>
      </c>
      <c r="K1" s="2985">
        <v>9</v>
      </c>
      <c r="L1" s="2985">
        <v>10</v>
      </c>
      <c r="M1" s="2985">
        <v>11</v>
      </c>
      <c r="N1" s="2985">
        <v>12</v>
      </c>
      <c r="O1" s="2986">
        <v>13</v>
      </c>
      <c r="P1" s="2986">
        <v>14</v>
      </c>
      <c r="Q1" s="2985">
        <v>15</v>
      </c>
      <c r="R1" s="2985">
        <v>16</v>
      </c>
      <c r="S1" s="2985">
        <v>17</v>
      </c>
      <c r="T1" s="2985">
        <v>18</v>
      </c>
      <c r="U1" s="2985">
        <v>19</v>
      </c>
      <c r="V1" s="2986">
        <v>20</v>
      </c>
      <c r="W1" s="2986">
        <v>21</v>
      </c>
      <c r="X1" s="2985">
        <v>22</v>
      </c>
      <c r="Y1" s="2985">
        <v>23</v>
      </c>
      <c r="Z1" s="2985">
        <v>24</v>
      </c>
      <c r="AA1" s="2986">
        <v>25</v>
      </c>
      <c r="AB1" s="2986">
        <v>26</v>
      </c>
      <c r="AC1" s="2986">
        <v>27</v>
      </c>
      <c r="AD1" s="2986">
        <v>28</v>
      </c>
      <c r="AE1" s="2985">
        <v>29</v>
      </c>
      <c r="AF1" s="2985">
        <v>30</v>
      </c>
      <c r="AG1" s="2985">
        <v>31</v>
      </c>
    </row>
    <row r="2" spans="1:33" ht="18" customHeight="1">
      <c r="A2" t="s">
        <v>0</v>
      </c>
      <c r="B2" s="1" t="s">
        <v>1</v>
      </c>
      <c r="C2" s="1670" t="s">
        <v>2</v>
      </c>
      <c r="D2" s="1670"/>
      <c r="E2" s="1670"/>
      <c r="F2" s="4447" t="s">
        <v>3</v>
      </c>
      <c r="G2" s="4448"/>
      <c r="H2" s="1671" t="s">
        <v>579</v>
      </c>
      <c r="I2" s="1671"/>
      <c r="J2" s="1671"/>
      <c r="K2" s="908" t="s">
        <v>5</v>
      </c>
      <c r="L2" s="909" t="s">
        <v>580</v>
      </c>
      <c r="M2" s="914"/>
      <c r="N2" s="915"/>
      <c r="O2" s="910" t="s">
        <v>7</v>
      </c>
      <c r="P2" s="910"/>
      <c r="Q2" s="911" t="s">
        <v>8</v>
      </c>
      <c r="R2" s="916"/>
      <c r="S2" s="4449" t="s">
        <v>9</v>
      </c>
      <c r="T2" s="4449"/>
      <c r="U2" s="4449"/>
      <c r="V2" s="4450" t="s">
        <v>11</v>
      </c>
      <c r="W2" s="4450"/>
      <c r="X2" s="4451" t="s">
        <v>12</v>
      </c>
      <c r="Y2" s="4451"/>
      <c r="Z2" s="912" t="s">
        <v>581</v>
      </c>
      <c r="AA2" s="913"/>
      <c r="AB2" s="917" t="s">
        <v>15</v>
      </c>
      <c r="AC2" s="918"/>
      <c r="AD2" s="4452" t="s">
        <v>582</v>
      </c>
      <c r="AE2" s="4452"/>
      <c r="AF2" s="4452"/>
      <c r="AG2" s="4452"/>
    </row>
    <row r="3" spans="1:33" ht="18" customHeight="1">
      <c r="C3" s="46" t="s">
        <v>583</v>
      </c>
      <c r="E3" s="46"/>
      <c r="M3" s="22"/>
      <c r="AD3" s="907" t="s">
        <v>10</v>
      </c>
    </row>
    <row r="4" spans="1:33" ht="18" customHeight="1">
      <c r="A4" s="96" t="s">
        <v>17</v>
      </c>
      <c r="B4" s="22"/>
      <c r="C4" s="4"/>
      <c r="D4" s="48"/>
      <c r="E4" s="48"/>
      <c r="F4" s="48"/>
      <c r="G4" s="48"/>
      <c r="H4" s="4"/>
      <c r="I4" s="48"/>
      <c r="J4" s="48"/>
      <c r="K4" s="6"/>
      <c r="L4" s="48"/>
      <c r="M4" s="6"/>
      <c r="N4" s="6"/>
      <c r="O4" s="48"/>
      <c r="P4" s="48"/>
      <c r="Q4" s="48"/>
      <c r="R4" s="48"/>
      <c r="T4" s="6"/>
      <c r="U4" s="4"/>
      <c r="W4" s="48"/>
      <c r="X4" s="48"/>
      <c r="Y4" s="4"/>
      <c r="Z4" s="48"/>
      <c r="AB4" s="48"/>
      <c r="AC4" s="48"/>
      <c r="AD4" s="48"/>
      <c r="AE4" s="48"/>
      <c r="AF4" s="48"/>
    </row>
    <row r="5" spans="1:33" ht="18" customHeight="1">
      <c r="A5" s="96" t="s">
        <v>18</v>
      </c>
      <c r="B5" s="1"/>
      <c r="C5" s="4453"/>
      <c r="D5" s="4454" t="s">
        <v>19</v>
      </c>
      <c r="E5" s="4455"/>
      <c r="F5" s="4453"/>
      <c r="G5" s="4454" t="s">
        <v>20</v>
      </c>
      <c r="H5" s="4455"/>
      <c r="I5" s="4453"/>
      <c r="J5" s="4454" t="s">
        <v>21</v>
      </c>
      <c r="K5" s="4455"/>
      <c r="L5" s="4453"/>
      <c r="M5" s="4454" t="s">
        <v>22</v>
      </c>
      <c r="N5" s="4455"/>
      <c r="O5" s="4453"/>
      <c r="P5" s="4454" t="s">
        <v>23</v>
      </c>
      <c r="Q5" s="4455"/>
      <c r="R5" s="4453"/>
      <c r="S5" s="4454" t="s">
        <v>24</v>
      </c>
      <c r="T5" s="4456"/>
      <c r="U5" s="4457"/>
      <c r="V5" s="4458" t="s">
        <v>25</v>
      </c>
      <c r="W5" s="4456"/>
    </row>
    <row r="6" spans="1:33" ht="18" customHeight="1">
      <c r="A6" s="4459"/>
      <c r="B6" s="4460" t="s">
        <v>26</v>
      </c>
      <c r="C6" s="4461" t="s">
        <v>27</v>
      </c>
      <c r="D6" s="4462"/>
      <c r="E6" s="4463"/>
      <c r="F6" s="4461" t="s">
        <v>27</v>
      </c>
      <c r="G6" s="4464"/>
      <c r="H6" s="4464"/>
      <c r="I6" s="4461" t="s">
        <v>27</v>
      </c>
      <c r="J6" s="4464"/>
      <c r="K6" s="4463"/>
      <c r="L6" s="4461" t="s">
        <v>27</v>
      </c>
      <c r="M6" s="4464"/>
      <c r="N6" s="4463"/>
      <c r="O6" s="4461" t="s">
        <v>28</v>
      </c>
      <c r="P6" s="4464"/>
      <c r="Q6" s="4463"/>
      <c r="R6" s="4464"/>
      <c r="S6" s="4464"/>
      <c r="T6" s="4464"/>
      <c r="U6" s="4460"/>
      <c r="V6" s="4464"/>
      <c r="W6" s="4463"/>
      <c r="X6" s="4464"/>
      <c r="Y6" s="4464"/>
      <c r="Z6" s="4464"/>
      <c r="AA6" s="4464"/>
      <c r="AB6" s="4465"/>
      <c r="AC6" s="4463"/>
      <c r="AD6" s="111"/>
      <c r="AE6" s="111"/>
      <c r="AF6" s="111"/>
    </row>
    <row r="7" spans="1:33" ht="18" customHeight="1">
      <c r="A7" s="4460"/>
      <c r="B7" s="4460" t="s">
        <v>29</v>
      </c>
      <c r="C7" s="4466" t="s">
        <v>30</v>
      </c>
      <c r="D7" s="4467"/>
      <c r="E7" s="4468"/>
      <c r="F7" s="4466" t="s">
        <v>30</v>
      </c>
      <c r="G7" s="4467"/>
      <c r="H7" s="4467"/>
      <c r="I7" s="4466" t="s">
        <v>30</v>
      </c>
      <c r="J7" s="4467"/>
      <c r="K7" s="4468"/>
      <c r="L7" s="4466" t="s">
        <v>30</v>
      </c>
      <c r="M7" s="4467"/>
      <c r="N7" s="4467"/>
      <c r="O7" s="4466" t="s">
        <v>30</v>
      </c>
      <c r="P7" s="4467"/>
      <c r="Q7" s="4468"/>
      <c r="R7" s="4469" t="s">
        <v>31</v>
      </c>
      <c r="S7" s="4470"/>
      <c r="T7" s="4470"/>
      <c r="U7" s="4471" t="s">
        <v>31</v>
      </c>
      <c r="V7" s="4470"/>
      <c r="W7" s="4472"/>
      <c r="X7" s="4464"/>
      <c r="Y7" s="4464"/>
      <c r="Z7" s="4464"/>
      <c r="AA7" s="4464"/>
      <c r="AB7" s="4473"/>
      <c r="AC7" s="4463"/>
      <c r="AD7" s="111"/>
      <c r="AE7" s="111"/>
      <c r="AF7" s="111"/>
    </row>
    <row r="8" spans="1:33" ht="18" customHeight="1">
      <c r="A8" s="4460"/>
      <c r="B8" s="4460" t="s">
        <v>32</v>
      </c>
      <c r="C8" s="4461" t="s">
        <v>33</v>
      </c>
      <c r="D8" s="4467"/>
      <c r="E8" s="4468"/>
      <c r="F8" s="4461" t="s">
        <v>33</v>
      </c>
      <c r="G8" s="4464"/>
      <c r="H8" s="4464"/>
      <c r="I8" s="4461" t="s">
        <v>33</v>
      </c>
      <c r="J8" s="4464"/>
      <c r="K8" s="4463"/>
      <c r="L8" s="4461" t="s">
        <v>33</v>
      </c>
      <c r="M8" s="4464"/>
      <c r="N8" s="4463"/>
      <c r="O8" s="4461" t="s">
        <v>33</v>
      </c>
      <c r="P8" s="4464"/>
      <c r="Q8" s="4463"/>
      <c r="R8" s="4474" t="s">
        <v>34</v>
      </c>
      <c r="S8" s="4464"/>
      <c r="T8" s="4464"/>
      <c r="U8" s="4461" t="s">
        <v>35</v>
      </c>
      <c r="V8" s="4464"/>
      <c r="W8" s="4463"/>
      <c r="X8" s="4464"/>
      <c r="Y8" s="4464"/>
      <c r="Z8" s="4464"/>
      <c r="AA8" s="4464"/>
      <c r="AB8" s="4473"/>
      <c r="AC8" s="4463"/>
      <c r="AD8" s="111"/>
      <c r="AE8" s="111"/>
      <c r="AF8" s="111"/>
    </row>
    <row r="9" spans="1:33" ht="18" customHeight="1">
      <c r="A9" s="96" t="s">
        <v>10</v>
      </c>
    </row>
    <row r="10" spans="1:33" ht="18" customHeight="1" thickBot="1">
      <c r="B10" s="60" t="s">
        <v>36</v>
      </c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104"/>
    </row>
    <row r="11" spans="1:33" ht="18" customHeight="1" thickBot="1">
      <c r="A11" s="2983" t="s">
        <v>37</v>
      </c>
      <c r="B11" s="2984" t="s">
        <v>38</v>
      </c>
      <c r="C11" s="2985">
        <v>1</v>
      </c>
      <c r="D11" s="2985">
        <v>2</v>
      </c>
      <c r="E11" s="2985">
        <v>3</v>
      </c>
      <c r="F11" s="2985">
        <v>4</v>
      </c>
      <c r="G11" s="2985">
        <v>5</v>
      </c>
      <c r="H11" s="2986">
        <v>6</v>
      </c>
      <c r="I11" s="2986">
        <v>7</v>
      </c>
      <c r="J11" s="2985">
        <v>8</v>
      </c>
      <c r="K11" s="2985">
        <v>9</v>
      </c>
      <c r="L11" s="2985">
        <v>10</v>
      </c>
      <c r="M11" s="2985">
        <v>11</v>
      </c>
      <c r="N11" s="2985">
        <v>12</v>
      </c>
      <c r="O11" s="2986">
        <v>13</v>
      </c>
      <c r="P11" s="2986">
        <v>14</v>
      </c>
      <c r="Q11" s="2985">
        <v>15</v>
      </c>
      <c r="R11" s="2985">
        <v>16</v>
      </c>
      <c r="S11" s="2985">
        <v>17</v>
      </c>
      <c r="T11" s="2985">
        <v>18</v>
      </c>
      <c r="U11" s="2985">
        <v>19</v>
      </c>
      <c r="V11" s="2986">
        <v>20</v>
      </c>
      <c r="W11" s="2986">
        <v>21</v>
      </c>
      <c r="X11" s="2985">
        <v>22</v>
      </c>
      <c r="Y11" s="2985">
        <v>23</v>
      </c>
      <c r="Z11" s="2985">
        <v>24</v>
      </c>
      <c r="AA11" s="2986">
        <v>25</v>
      </c>
      <c r="AB11" s="2986">
        <v>26</v>
      </c>
      <c r="AC11" s="2986">
        <v>27</v>
      </c>
      <c r="AD11" s="2986">
        <v>28</v>
      </c>
      <c r="AE11" s="2985">
        <v>29</v>
      </c>
      <c r="AF11" s="2985">
        <v>30</v>
      </c>
      <c r="AG11" s="2985">
        <v>31</v>
      </c>
    </row>
    <row r="12" spans="1:33" ht="18" customHeight="1">
      <c r="A12" s="2987">
        <v>8500</v>
      </c>
      <c r="B12" s="2988" t="s">
        <v>39</v>
      </c>
      <c r="C12" s="2990" t="s">
        <v>40</v>
      </c>
      <c r="D12" s="2990" t="s">
        <v>40</v>
      </c>
      <c r="E12" s="2990" t="s">
        <v>40</v>
      </c>
      <c r="F12" s="2990" t="s">
        <v>40</v>
      </c>
      <c r="G12" s="2990" t="s">
        <v>40</v>
      </c>
      <c r="H12" s="2848"/>
      <c r="I12" s="2989"/>
      <c r="J12" s="2990" t="s">
        <v>40</v>
      </c>
      <c r="K12" s="2990" t="s">
        <v>40</v>
      </c>
      <c r="L12" s="2990" t="s">
        <v>40</v>
      </c>
      <c r="M12" s="2990" t="s">
        <v>40</v>
      </c>
      <c r="N12" s="2990" t="s">
        <v>40</v>
      </c>
      <c r="O12" s="2848"/>
      <c r="P12" s="2989"/>
      <c r="Q12" s="2990" t="s">
        <v>40</v>
      </c>
      <c r="R12" s="2990" t="s">
        <v>40</v>
      </c>
      <c r="S12" s="2990" t="s">
        <v>40</v>
      </c>
      <c r="T12" s="2990" t="s">
        <v>40</v>
      </c>
      <c r="U12" s="2990" t="s">
        <v>40</v>
      </c>
      <c r="V12" s="2848"/>
      <c r="W12" s="2989"/>
      <c r="X12" s="2990" t="s">
        <v>40</v>
      </c>
      <c r="Y12" s="2990" t="s">
        <v>40</v>
      </c>
      <c r="Z12" s="3770" t="s">
        <v>40</v>
      </c>
      <c r="AA12" s="2990"/>
      <c r="AB12" s="2990"/>
      <c r="AC12" s="2848"/>
      <c r="AD12" s="2989"/>
      <c r="AE12" s="3770" t="s">
        <v>40</v>
      </c>
      <c r="AF12" s="3770" t="s">
        <v>40</v>
      </c>
      <c r="AG12" s="3770" t="s">
        <v>40</v>
      </c>
    </row>
    <row r="13" spans="1:33" ht="18" customHeight="1">
      <c r="A13" s="3416">
        <v>8546</v>
      </c>
      <c r="B13" s="3417" t="s">
        <v>41</v>
      </c>
      <c r="C13" s="3419" t="s">
        <v>40</v>
      </c>
      <c r="D13" s="3419" t="s">
        <v>40</v>
      </c>
      <c r="E13" s="3419" t="s">
        <v>40</v>
      </c>
      <c r="F13" s="3419" t="s">
        <v>40</v>
      </c>
      <c r="G13" s="3419" t="s">
        <v>26</v>
      </c>
      <c r="H13" s="4475"/>
      <c r="I13" s="3418"/>
      <c r="J13" s="3419" t="s">
        <v>40</v>
      </c>
      <c r="K13" s="3419" t="s">
        <v>40</v>
      </c>
      <c r="L13" s="3419" t="s">
        <v>40</v>
      </c>
      <c r="M13" s="3419" t="s">
        <v>40</v>
      </c>
      <c r="N13" s="3419" t="s">
        <v>40</v>
      </c>
      <c r="O13" s="4475"/>
      <c r="P13" s="3418"/>
      <c r="Q13" s="3419" t="s">
        <v>40</v>
      </c>
      <c r="R13" s="3419" t="s">
        <v>40</v>
      </c>
      <c r="S13" s="3419" t="s">
        <v>40</v>
      </c>
      <c r="T13" s="3419" t="s">
        <v>40</v>
      </c>
      <c r="U13" s="3419" t="s">
        <v>40</v>
      </c>
      <c r="V13" s="4475"/>
      <c r="W13" s="3418"/>
      <c r="X13" s="3419" t="s">
        <v>40</v>
      </c>
      <c r="Y13" s="3419" t="s">
        <v>40</v>
      </c>
      <c r="Z13" s="3494" t="s">
        <v>40</v>
      </c>
      <c r="AA13" s="3419"/>
      <c r="AB13" s="3419"/>
      <c r="AC13" s="4475"/>
      <c r="AD13" s="3418"/>
      <c r="AE13" s="3494" t="s">
        <v>40</v>
      </c>
      <c r="AF13" s="3494" t="s">
        <v>40</v>
      </c>
      <c r="AG13" s="3494" t="s">
        <v>40</v>
      </c>
    </row>
    <row r="14" spans="1:33" ht="18" customHeight="1" thickBot="1">
      <c r="A14" s="235"/>
      <c r="B14" s="3424" t="s">
        <v>0</v>
      </c>
      <c r="C14" s="3425" t="s">
        <v>40</v>
      </c>
      <c r="D14" s="3425" t="s">
        <v>40</v>
      </c>
      <c r="E14" s="3425" t="s">
        <v>40</v>
      </c>
      <c r="F14" s="3425" t="s">
        <v>40</v>
      </c>
      <c r="G14" s="3425" t="s">
        <v>40</v>
      </c>
      <c r="H14" s="3461"/>
      <c r="I14" s="3427"/>
      <c r="J14" s="3425" t="s">
        <v>40</v>
      </c>
      <c r="K14" s="3425" t="s">
        <v>40</v>
      </c>
      <c r="L14" s="3425" t="s">
        <v>40</v>
      </c>
      <c r="M14" s="3425" t="s">
        <v>40</v>
      </c>
      <c r="N14" s="3425" t="s">
        <v>40</v>
      </c>
      <c r="O14" s="3461"/>
      <c r="P14" s="3427"/>
      <c r="Q14" s="3425" t="s">
        <v>40</v>
      </c>
      <c r="R14" s="3425" t="s">
        <v>40</v>
      </c>
      <c r="S14" s="3425" t="s">
        <v>40</v>
      </c>
      <c r="T14" s="3425" t="s">
        <v>40</v>
      </c>
      <c r="U14" s="3425" t="s">
        <v>40</v>
      </c>
      <c r="V14" s="3461"/>
      <c r="W14" s="3427"/>
      <c r="X14" s="3425" t="s">
        <v>40</v>
      </c>
      <c r="Y14" s="3425" t="s">
        <v>40</v>
      </c>
      <c r="Z14" s="3425" t="s">
        <v>40</v>
      </c>
      <c r="AA14" s="3425"/>
      <c r="AB14" s="3425"/>
      <c r="AC14" s="3461"/>
      <c r="AD14" s="3427"/>
      <c r="AE14" s="3425" t="s">
        <v>40</v>
      </c>
      <c r="AF14" s="3425" t="s">
        <v>40</v>
      </c>
      <c r="AG14" s="3425" t="s">
        <v>40</v>
      </c>
    </row>
    <row r="15" spans="1:33" ht="18" customHeight="1" thickBot="1">
      <c r="A15" s="3428" t="s">
        <v>44</v>
      </c>
      <c r="B15" s="3429"/>
      <c r="C15" s="506"/>
      <c r="D15" s="506"/>
      <c r="E15" s="506"/>
      <c r="F15" s="506"/>
      <c r="G15" s="506"/>
      <c r="H15" s="506"/>
      <c r="I15" s="506"/>
      <c r="J15" s="506"/>
      <c r="K15" s="506"/>
      <c r="L15" s="506"/>
      <c r="M15" s="506"/>
      <c r="N15" s="506"/>
      <c r="O15" s="506"/>
      <c r="P15" s="506"/>
      <c r="Q15" s="506"/>
      <c r="R15" s="506"/>
      <c r="S15" s="506"/>
      <c r="T15" s="506"/>
      <c r="U15" s="506"/>
      <c r="V15" s="506"/>
      <c r="W15" s="506"/>
      <c r="X15" s="506"/>
      <c r="Y15" s="506"/>
      <c r="Z15" s="506"/>
      <c r="AA15" s="506"/>
      <c r="AB15" s="506"/>
      <c r="AC15" s="506"/>
      <c r="AD15" s="506"/>
      <c r="AE15" s="506"/>
      <c r="AF15" s="506"/>
      <c r="AG15" s="506"/>
    </row>
    <row r="16" spans="1:33" ht="18" customHeight="1">
      <c r="A16" s="3012">
        <v>8546</v>
      </c>
      <c r="B16" s="507" t="s">
        <v>45</v>
      </c>
      <c r="C16" s="4476" t="s">
        <v>26</v>
      </c>
      <c r="D16" s="4476" t="s">
        <v>26</v>
      </c>
      <c r="E16" s="4476" t="s">
        <v>26</v>
      </c>
      <c r="F16" s="4476" t="s">
        <v>26</v>
      </c>
      <c r="G16" s="4476" t="s">
        <v>26</v>
      </c>
      <c r="H16" s="4477"/>
      <c r="I16" s="4476"/>
      <c r="J16" s="4476" t="s">
        <v>43</v>
      </c>
      <c r="K16" s="4477" t="s">
        <v>43</v>
      </c>
      <c r="L16" s="4476" t="s">
        <v>43</v>
      </c>
      <c r="M16" s="4476" t="s">
        <v>43</v>
      </c>
      <c r="N16" s="4476" t="s">
        <v>43</v>
      </c>
      <c r="O16" s="4476"/>
      <c r="P16" s="3573"/>
      <c r="Q16" s="4476" t="s">
        <v>46</v>
      </c>
      <c r="R16" s="4476" t="s">
        <v>46</v>
      </c>
      <c r="S16" s="4476" t="s">
        <v>46</v>
      </c>
      <c r="T16" s="4476" t="s">
        <v>46</v>
      </c>
      <c r="U16" s="4476" t="s">
        <v>46</v>
      </c>
      <c r="V16" s="4476" t="s">
        <v>49</v>
      </c>
      <c r="W16" s="4476" t="s">
        <v>49</v>
      </c>
      <c r="X16" s="4476" t="s">
        <v>50</v>
      </c>
      <c r="Y16" s="4476" t="s">
        <v>50</v>
      </c>
      <c r="Z16" s="4476" t="s">
        <v>50</v>
      </c>
      <c r="AA16" s="4476" t="s">
        <v>50</v>
      </c>
      <c r="AB16" s="4476" t="s">
        <v>50</v>
      </c>
      <c r="AC16" s="4476"/>
      <c r="AD16" s="4476"/>
      <c r="AE16" s="4476" t="s">
        <v>46</v>
      </c>
      <c r="AF16" s="4476" t="s">
        <v>46</v>
      </c>
      <c r="AG16" s="4478" t="s">
        <v>46</v>
      </c>
    </row>
    <row r="17" spans="1:33" ht="18" customHeight="1">
      <c r="A17" s="3416">
        <v>8500</v>
      </c>
      <c r="B17" s="3431" t="s">
        <v>51</v>
      </c>
      <c r="C17" s="3432" t="s">
        <v>43</v>
      </c>
      <c r="D17" s="3432" t="s">
        <v>43</v>
      </c>
      <c r="E17" s="3432" t="s">
        <v>43</v>
      </c>
      <c r="F17" s="3432" t="s">
        <v>43</v>
      </c>
      <c r="G17" s="3432" t="s">
        <v>43</v>
      </c>
      <c r="H17" s="3432"/>
      <c r="I17" s="4479" t="s">
        <v>0</v>
      </c>
      <c r="J17" s="3432" t="s">
        <v>46</v>
      </c>
      <c r="K17" s="3432" t="s">
        <v>46</v>
      </c>
      <c r="L17" s="3432" t="s">
        <v>46</v>
      </c>
      <c r="M17" s="3432" t="s">
        <v>46</v>
      </c>
      <c r="N17" s="3432" t="s">
        <v>46</v>
      </c>
      <c r="O17" s="3432" t="s">
        <v>49</v>
      </c>
      <c r="P17" s="3432" t="s">
        <v>49</v>
      </c>
      <c r="Q17" s="3432" t="s">
        <v>50</v>
      </c>
      <c r="R17" s="3432" t="s">
        <v>50</v>
      </c>
      <c r="S17" s="3432" t="s">
        <v>50</v>
      </c>
      <c r="T17" s="3432" t="s">
        <v>50</v>
      </c>
      <c r="U17" s="3432" t="s">
        <v>50</v>
      </c>
      <c r="V17" s="4457"/>
      <c r="W17" s="4457"/>
      <c r="X17" s="3432" t="s">
        <v>46</v>
      </c>
      <c r="Y17" s="3432" t="s">
        <v>46</v>
      </c>
      <c r="Z17" s="3432" t="s">
        <v>46</v>
      </c>
      <c r="AA17" s="3432" t="s">
        <v>46</v>
      </c>
      <c r="AB17" s="3432" t="s">
        <v>46</v>
      </c>
      <c r="AC17" s="3432" t="s">
        <v>47</v>
      </c>
      <c r="AD17" s="3432" t="s">
        <v>47</v>
      </c>
      <c r="AE17" s="3432" t="s">
        <v>26</v>
      </c>
      <c r="AF17" s="3433" t="s">
        <v>26</v>
      </c>
      <c r="AG17" s="4480" t="s">
        <v>55</v>
      </c>
    </row>
    <row r="18" spans="1:33" ht="18" customHeight="1">
      <c r="A18" s="3416">
        <v>8500</v>
      </c>
      <c r="B18" s="3431" t="s">
        <v>54</v>
      </c>
      <c r="C18" s="3421" t="s">
        <v>46</v>
      </c>
      <c r="D18" s="3422" t="s">
        <v>46</v>
      </c>
      <c r="E18" s="3422" t="s">
        <v>46</v>
      </c>
      <c r="F18" s="3422" t="s">
        <v>46</v>
      </c>
      <c r="G18" s="3423" t="s">
        <v>46</v>
      </c>
      <c r="H18" s="4481" t="s">
        <v>49</v>
      </c>
      <c r="I18" s="4482" t="s">
        <v>49</v>
      </c>
      <c r="J18" s="3494" t="s">
        <v>50</v>
      </c>
      <c r="K18" s="3494" t="s">
        <v>50</v>
      </c>
      <c r="L18" s="3494" t="s">
        <v>50</v>
      </c>
      <c r="M18" s="3494" t="s">
        <v>50</v>
      </c>
      <c r="N18" s="3494" t="s">
        <v>50</v>
      </c>
      <c r="O18" s="3494"/>
      <c r="P18" s="3494"/>
      <c r="Q18" s="3494" t="s">
        <v>46</v>
      </c>
      <c r="R18" s="3494" t="s">
        <v>46</v>
      </c>
      <c r="S18" s="3494" t="s">
        <v>46</v>
      </c>
      <c r="T18" s="3494" t="s">
        <v>46</v>
      </c>
      <c r="U18" s="3494" t="s">
        <v>46</v>
      </c>
      <c r="V18" s="3494" t="s">
        <v>47</v>
      </c>
      <c r="W18" s="3494" t="s">
        <v>47</v>
      </c>
      <c r="X18" s="3494" t="s">
        <v>26</v>
      </c>
      <c r="Y18" s="3494" t="s">
        <v>26</v>
      </c>
      <c r="Z18" s="3494" t="s">
        <v>26</v>
      </c>
      <c r="AA18" s="3494" t="s">
        <v>26</v>
      </c>
      <c r="AB18" s="3494" t="s">
        <v>26</v>
      </c>
      <c r="AC18" s="4483"/>
      <c r="AD18" s="3421"/>
      <c r="AE18" s="3421" t="s">
        <v>43</v>
      </c>
      <c r="AF18" s="3422" t="s">
        <v>43</v>
      </c>
      <c r="AG18" s="4484" t="s">
        <v>43</v>
      </c>
    </row>
    <row r="19" spans="1:33" ht="18" customHeight="1">
      <c r="A19" s="3416">
        <v>8546</v>
      </c>
      <c r="B19" s="3417" t="s">
        <v>56</v>
      </c>
      <c r="C19" s="4476" t="s">
        <v>50</v>
      </c>
      <c r="D19" s="3430" t="s">
        <v>50</v>
      </c>
      <c r="E19" s="3430" t="s">
        <v>50</v>
      </c>
      <c r="F19" s="4485" t="s">
        <v>50</v>
      </c>
      <c r="G19" s="4476" t="s">
        <v>50</v>
      </c>
      <c r="H19" s="4477"/>
      <c r="I19" s="4486" t="s">
        <v>376</v>
      </c>
      <c r="J19" s="3437" t="s">
        <v>46</v>
      </c>
      <c r="K19" s="3437" t="s">
        <v>46</v>
      </c>
      <c r="L19" s="3437" t="s">
        <v>46</v>
      </c>
      <c r="M19" s="3437" t="s">
        <v>46</v>
      </c>
      <c r="N19" s="3437" t="s">
        <v>46</v>
      </c>
      <c r="O19" s="3437" t="s">
        <v>47</v>
      </c>
      <c r="P19" s="3437" t="s">
        <v>47</v>
      </c>
      <c r="Q19" s="3437" t="s">
        <v>26</v>
      </c>
      <c r="R19" s="3437" t="s">
        <v>26</v>
      </c>
      <c r="S19" s="3437" t="s">
        <v>26</v>
      </c>
      <c r="T19" s="3437" t="s">
        <v>26</v>
      </c>
      <c r="U19" s="3437" t="s">
        <v>26</v>
      </c>
      <c r="V19" s="3437"/>
      <c r="W19" s="3437"/>
      <c r="X19" s="3422" t="s">
        <v>43</v>
      </c>
      <c r="Y19" s="3422" t="s">
        <v>43</v>
      </c>
      <c r="Z19" s="3432" t="s">
        <v>43</v>
      </c>
      <c r="AA19" s="3432" t="s">
        <v>43</v>
      </c>
      <c r="AB19" s="3423" t="s">
        <v>43</v>
      </c>
      <c r="AC19" s="3423"/>
      <c r="AD19" s="3423"/>
      <c r="AE19" s="3423" t="s">
        <v>46</v>
      </c>
      <c r="AF19" s="3423" t="s">
        <v>46</v>
      </c>
      <c r="AG19" s="4487" t="s">
        <v>46</v>
      </c>
    </row>
    <row r="20" spans="1:33" ht="18" customHeight="1">
      <c r="B20" s="3417" t="s">
        <v>472</v>
      </c>
      <c r="C20" s="3421" t="s">
        <v>46</v>
      </c>
      <c r="D20" s="3422" t="s">
        <v>46</v>
      </c>
      <c r="E20" s="3422" t="s">
        <v>46</v>
      </c>
      <c r="F20" s="3422" t="s">
        <v>46</v>
      </c>
      <c r="G20" s="3423" t="s">
        <v>46</v>
      </c>
      <c r="H20" s="4457" t="s">
        <v>47</v>
      </c>
      <c r="I20" s="4457" t="s">
        <v>47</v>
      </c>
      <c r="J20" s="3441" t="s">
        <v>26</v>
      </c>
      <c r="K20" s="3441" t="s">
        <v>26</v>
      </c>
      <c r="L20" s="3441" t="s">
        <v>26</v>
      </c>
      <c r="M20" s="3441" t="s">
        <v>26</v>
      </c>
      <c r="N20" s="3441" t="s">
        <v>26</v>
      </c>
      <c r="O20" s="3423"/>
      <c r="P20" s="4457"/>
      <c r="Q20" s="3419" t="s">
        <v>43</v>
      </c>
      <c r="R20" s="3419" t="s">
        <v>43</v>
      </c>
      <c r="S20" s="3503" t="s">
        <v>43</v>
      </c>
      <c r="T20" s="3419" t="s">
        <v>43</v>
      </c>
      <c r="U20" s="3419" t="s">
        <v>43</v>
      </c>
      <c r="V20" s="4457"/>
      <c r="W20" s="3419"/>
      <c r="X20" s="3419" t="s">
        <v>46</v>
      </c>
      <c r="Y20" s="3423" t="s">
        <v>46</v>
      </c>
      <c r="Z20" s="3423" t="s">
        <v>46</v>
      </c>
      <c r="AA20" s="3423" t="s">
        <v>46</v>
      </c>
      <c r="AB20" s="3423" t="s">
        <v>46</v>
      </c>
      <c r="AC20" s="3441" t="s">
        <v>49</v>
      </c>
      <c r="AD20" s="3441" t="s">
        <v>49</v>
      </c>
      <c r="AE20" s="3432" t="s">
        <v>50</v>
      </c>
      <c r="AF20" s="3432" t="s">
        <v>50</v>
      </c>
      <c r="AG20" s="3432" t="s">
        <v>50</v>
      </c>
    </row>
    <row r="21" spans="1:33" ht="18" customHeight="1">
      <c r="A21" s="3447"/>
      <c r="B21" s="3424" t="s">
        <v>97</v>
      </c>
      <c r="C21" s="3423" t="s">
        <v>26</v>
      </c>
      <c r="D21" s="3423" t="s">
        <v>26</v>
      </c>
      <c r="E21" s="3423" t="s">
        <v>26</v>
      </c>
      <c r="F21" s="3423" t="s">
        <v>26</v>
      </c>
      <c r="G21" s="3423" t="s">
        <v>50</v>
      </c>
      <c r="H21" s="3441"/>
      <c r="I21" s="3423"/>
      <c r="J21" s="3423" t="s">
        <v>43</v>
      </c>
      <c r="K21" s="3441" t="s">
        <v>43</v>
      </c>
      <c r="L21" s="3423" t="s">
        <v>43</v>
      </c>
      <c r="M21" s="3423" t="s">
        <v>43</v>
      </c>
      <c r="N21" s="3423" t="s">
        <v>43</v>
      </c>
      <c r="O21" s="3423"/>
      <c r="P21" s="3422"/>
      <c r="Q21" s="3423" t="s">
        <v>46</v>
      </c>
      <c r="R21" s="3423" t="s">
        <v>46</v>
      </c>
      <c r="S21" s="3423" t="s">
        <v>46</v>
      </c>
      <c r="T21" s="3423" t="s">
        <v>46</v>
      </c>
      <c r="U21" s="3423" t="s">
        <v>46</v>
      </c>
      <c r="V21" s="3423" t="s">
        <v>49</v>
      </c>
      <c r="W21" s="3423" t="s">
        <v>49</v>
      </c>
      <c r="X21" s="3423" t="s">
        <v>50</v>
      </c>
      <c r="Y21" s="3423" t="s">
        <v>50</v>
      </c>
      <c r="Z21" s="3423" t="s">
        <v>50</v>
      </c>
      <c r="AA21" s="3423" t="s">
        <v>50</v>
      </c>
      <c r="AB21" s="3423" t="s">
        <v>50</v>
      </c>
      <c r="AC21" s="3423"/>
      <c r="AD21" s="3423"/>
      <c r="AE21" s="3423" t="s">
        <v>46</v>
      </c>
      <c r="AF21" s="3423" t="s">
        <v>46</v>
      </c>
      <c r="AG21" s="4487" t="s">
        <v>46</v>
      </c>
    </row>
    <row r="22" spans="1:33" ht="18" customHeight="1">
      <c r="A22" s="3032" t="s">
        <v>58</v>
      </c>
      <c r="B22" s="3033"/>
      <c r="C22" s="3034"/>
      <c r="D22" s="3034"/>
      <c r="E22" s="3034"/>
      <c r="F22" s="3034"/>
      <c r="G22" s="3034"/>
      <c r="H22" s="3034"/>
      <c r="I22" s="3034"/>
      <c r="J22" s="3034"/>
      <c r="K22" s="3034"/>
      <c r="L22" s="3034"/>
      <c r="M22" s="3034"/>
      <c r="N22" s="3034"/>
      <c r="O22" s="3034"/>
      <c r="P22" s="3034"/>
      <c r="Q22" s="3034"/>
      <c r="R22" s="3034"/>
      <c r="S22" s="3034"/>
      <c r="T22" s="3034"/>
      <c r="U22" s="3034"/>
      <c r="V22" s="3034"/>
      <c r="W22" s="3034"/>
      <c r="X22" s="3034"/>
      <c r="Y22" s="3034"/>
      <c r="Z22" s="3034"/>
      <c r="AA22" s="3034"/>
      <c r="AB22" s="3034"/>
      <c r="AC22" s="3034"/>
      <c r="AD22" s="3034"/>
      <c r="AE22" s="3034"/>
      <c r="AF22" s="3034"/>
      <c r="AG22" s="3034"/>
    </row>
    <row r="23" spans="1:33" ht="18" customHeight="1">
      <c r="A23" s="3012">
        <v>8500</v>
      </c>
      <c r="B23" s="3035" t="s">
        <v>59</v>
      </c>
      <c r="C23" s="3037" t="s">
        <v>40</v>
      </c>
      <c r="D23" s="3037" t="s">
        <v>40</v>
      </c>
      <c r="E23" s="3037" t="s">
        <v>116</v>
      </c>
      <c r="F23" s="3037" t="s">
        <v>40</v>
      </c>
      <c r="G23" s="4479" t="s">
        <v>40</v>
      </c>
      <c r="H23" s="4479" t="s">
        <v>0</v>
      </c>
      <c r="I23" s="3037" t="s">
        <v>0</v>
      </c>
      <c r="J23" s="3037" t="s">
        <v>40</v>
      </c>
      <c r="K23" s="3037" t="s">
        <v>40</v>
      </c>
      <c r="L23" s="3795" t="s">
        <v>40</v>
      </c>
      <c r="M23" s="3037" t="s">
        <v>40</v>
      </c>
      <c r="N23" s="3037" t="s">
        <v>40</v>
      </c>
      <c r="O23" s="3037"/>
      <c r="P23" s="3037"/>
      <c r="Q23" s="3037" t="s">
        <v>40</v>
      </c>
      <c r="R23" s="3037" t="s">
        <v>40</v>
      </c>
      <c r="S23" s="3037" t="s">
        <v>40</v>
      </c>
      <c r="T23" s="3795" t="s">
        <v>40</v>
      </c>
      <c r="U23" s="3037" t="s">
        <v>40</v>
      </c>
      <c r="V23" s="3037"/>
      <c r="W23" s="3037"/>
      <c r="X23" s="3037" t="s">
        <v>40</v>
      </c>
      <c r="Y23" s="4488" t="s">
        <v>40</v>
      </c>
      <c r="Z23" s="3037" t="s">
        <v>40</v>
      </c>
      <c r="AA23" s="3037"/>
      <c r="AB23" s="3037"/>
      <c r="AC23" s="3037"/>
      <c r="AD23" s="3037"/>
      <c r="AE23" s="3037" t="s">
        <v>40</v>
      </c>
      <c r="AF23" s="3037" t="s">
        <v>40</v>
      </c>
      <c r="AG23" s="4479" t="s">
        <v>40</v>
      </c>
    </row>
    <row r="24" spans="1:33" ht="18" customHeight="1" thickBot="1">
      <c r="A24" s="3416">
        <v>8500</v>
      </c>
      <c r="B24" s="3417" t="s">
        <v>364</v>
      </c>
      <c r="C24" s="3420" t="s">
        <v>50</v>
      </c>
      <c r="D24" s="3423" t="s">
        <v>50</v>
      </c>
      <c r="E24" s="3422" t="s">
        <v>50</v>
      </c>
      <c r="F24" s="3422" t="s">
        <v>50</v>
      </c>
      <c r="G24" s="3423" t="s">
        <v>46</v>
      </c>
      <c r="H24" s="3422"/>
      <c r="I24" s="3422"/>
      <c r="J24" s="3423" t="s">
        <v>50</v>
      </c>
      <c r="K24" s="3423" t="s">
        <v>50</v>
      </c>
      <c r="L24" s="3423" t="s">
        <v>50</v>
      </c>
      <c r="M24" s="3423" t="s">
        <v>50</v>
      </c>
      <c r="N24" s="3423" t="s">
        <v>50</v>
      </c>
      <c r="O24" s="3422"/>
      <c r="P24" s="3420" t="s">
        <v>87</v>
      </c>
      <c r="Q24" s="3423" t="s">
        <v>46</v>
      </c>
      <c r="R24" s="3423" t="s">
        <v>46</v>
      </c>
      <c r="S24" s="3423" t="s">
        <v>46</v>
      </c>
      <c r="T24" s="3423" t="s">
        <v>46</v>
      </c>
      <c r="U24" s="3423" t="s">
        <v>46</v>
      </c>
      <c r="V24" s="3423" t="s">
        <v>47</v>
      </c>
      <c r="W24" s="3423" t="s">
        <v>47</v>
      </c>
      <c r="X24" s="3423" t="s">
        <v>26</v>
      </c>
      <c r="Y24" s="3423" t="s">
        <v>26</v>
      </c>
      <c r="Z24" s="3423" t="s">
        <v>26</v>
      </c>
      <c r="AA24" s="3423" t="s">
        <v>26</v>
      </c>
      <c r="AB24" s="3441" t="s">
        <v>26</v>
      </c>
      <c r="AC24" s="3423"/>
      <c r="AD24" s="3423"/>
      <c r="AE24" s="3423" t="s">
        <v>46</v>
      </c>
      <c r="AF24" s="3423" t="s">
        <v>46</v>
      </c>
      <c r="AG24" s="3423" t="s">
        <v>46</v>
      </c>
    </row>
    <row r="25" spans="1:33" ht="18" customHeight="1">
      <c r="A25" s="3416"/>
      <c r="B25" s="3448" t="s">
        <v>522</v>
      </c>
      <c r="C25" s="3037" t="s">
        <v>40</v>
      </c>
      <c r="D25" s="3037" t="s">
        <v>40</v>
      </c>
      <c r="E25" s="3037" t="s">
        <v>40</v>
      </c>
      <c r="F25" s="3037" t="s">
        <v>40</v>
      </c>
      <c r="G25" s="3037" t="s">
        <v>40</v>
      </c>
      <c r="H25" s="3418"/>
      <c r="I25" s="3418"/>
      <c r="J25" s="3432" t="s">
        <v>40</v>
      </c>
      <c r="K25" s="3432" t="s">
        <v>40</v>
      </c>
      <c r="L25" s="3418" t="s">
        <v>40</v>
      </c>
      <c r="M25" s="3418" t="s">
        <v>40</v>
      </c>
      <c r="N25" s="3422" t="s">
        <v>40</v>
      </c>
      <c r="O25" s="3422"/>
      <c r="P25" s="3422"/>
      <c r="Q25" s="3432" t="s">
        <v>40</v>
      </c>
      <c r="R25" s="3432" t="s">
        <v>40</v>
      </c>
      <c r="S25" s="3432">
        <v>1</v>
      </c>
      <c r="T25" s="3418" t="s">
        <v>40</v>
      </c>
      <c r="U25" s="3418" t="s">
        <v>40</v>
      </c>
      <c r="V25" s="3418"/>
      <c r="W25" s="3418"/>
      <c r="X25" s="343" t="s">
        <v>370</v>
      </c>
      <c r="Y25" s="343" t="s">
        <v>370</v>
      </c>
      <c r="Z25" s="3421" t="s">
        <v>40</v>
      </c>
      <c r="AA25" s="3421"/>
      <c r="AB25" s="3421"/>
      <c r="AC25" s="3418"/>
      <c r="AD25" s="3418"/>
      <c r="AE25" s="3432" t="s">
        <v>40</v>
      </c>
      <c r="AF25" s="3432" t="s">
        <v>40</v>
      </c>
      <c r="AG25" s="3432" t="s">
        <v>40</v>
      </c>
    </row>
    <row r="26" spans="1:33" ht="18" customHeight="1" thickBot="1">
      <c r="A26" s="3416"/>
      <c r="B26" s="3417" t="s">
        <v>88</v>
      </c>
      <c r="C26" s="4489" t="s">
        <v>40</v>
      </c>
      <c r="D26" s="4489" t="s">
        <v>40</v>
      </c>
      <c r="E26" s="4490" t="s">
        <v>40</v>
      </c>
      <c r="F26" s="4491" t="s">
        <v>40</v>
      </c>
      <c r="G26" s="4491" t="s">
        <v>40</v>
      </c>
      <c r="H26" s="4491"/>
      <c r="I26" s="4492"/>
      <c r="J26" s="4489" t="s">
        <v>40</v>
      </c>
      <c r="K26" s="3425" t="s">
        <v>40</v>
      </c>
      <c r="L26" s="3461" t="s">
        <v>40</v>
      </c>
      <c r="M26" s="3425" t="s">
        <v>40</v>
      </c>
      <c r="N26" s="3425" t="s">
        <v>40</v>
      </c>
      <c r="O26" s="3425"/>
      <c r="P26" s="3451"/>
      <c r="Q26" s="3451">
        <v>10</v>
      </c>
      <c r="R26" s="3496">
        <v>10</v>
      </c>
      <c r="S26" s="3450">
        <v>10</v>
      </c>
      <c r="T26" s="3496">
        <v>10</v>
      </c>
      <c r="U26" s="3450">
        <v>10</v>
      </c>
      <c r="V26" s="3450" t="s">
        <v>53</v>
      </c>
      <c r="W26" s="4493" t="s">
        <v>53</v>
      </c>
      <c r="X26" s="3423" t="s">
        <v>46</v>
      </c>
      <c r="Y26" s="3423" t="s">
        <v>46</v>
      </c>
      <c r="Z26" s="3423" t="s">
        <v>46</v>
      </c>
      <c r="AA26" s="3425"/>
      <c r="AB26" s="3425"/>
      <c r="AC26" s="3425"/>
      <c r="AD26" s="3451"/>
      <c r="AE26" s="3451" t="s">
        <v>40</v>
      </c>
      <c r="AF26" s="3451" t="s">
        <v>26</v>
      </c>
      <c r="AG26" s="3451" t="s">
        <v>26</v>
      </c>
    </row>
    <row r="27" spans="1:33" ht="18" customHeight="1">
      <c r="A27" s="4457"/>
      <c r="B27" s="4466" t="s">
        <v>297</v>
      </c>
      <c r="C27" s="3432" t="s">
        <v>116</v>
      </c>
      <c r="D27" s="3432" t="s">
        <v>116</v>
      </c>
      <c r="E27" s="3418" t="s">
        <v>40</v>
      </c>
      <c r="F27" s="3418" t="s">
        <v>116</v>
      </c>
      <c r="G27" s="3418" t="s">
        <v>116</v>
      </c>
      <c r="H27" s="3418"/>
      <c r="I27" s="3418"/>
      <c r="J27" s="3432" t="s">
        <v>40</v>
      </c>
      <c r="K27" s="3432" t="s">
        <v>40</v>
      </c>
      <c r="L27" s="3418" t="s">
        <v>40</v>
      </c>
      <c r="M27" s="3418" t="s">
        <v>40</v>
      </c>
      <c r="N27" s="3422">
        <v>3</v>
      </c>
      <c r="O27" s="3422"/>
      <c r="P27" s="3422"/>
      <c r="Q27" s="4494" t="s">
        <v>40</v>
      </c>
      <c r="R27" s="4494" t="s">
        <v>40</v>
      </c>
      <c r="S27" s="4494" t="s">
        <v>40</v>
      </c>
      <c r="T27" s="4495" t="s">
        <v>40</v>
      </c>
      <c r="U27" s="4495" t="s">
        <v>40</v>
      </c>
      <c r="V27" s="3418"/>
      <c r="W27" s="3418"/>
      <c r="X27" s="4494" t="s">
        <v>40</v>
      </c>
      <c r="Y27" s="3432">
        <v>4</v>
      </c>
      <c r="Z27" s="3432" t="s">
        <v>40</v>
      </c>
      <c r="AA27" s="3421"/>
      <c r="AB27" s="3421"/>
      <c r="AC27" s="3418"/>
      <c r="AD27" s="3418"/>
      <c r="AE27" s="3432">
        <v>3</v>
      </c>
      <c r="AF27" s="3432">
        <v>3</v>
      </c>
      <c r="AG27" s="3432" t="s">
        <v>40</v>
      </c>
    </row>
    <row r="28" spans="1:33" ht="18" customHeight="1" thickBot="1">
      <c r="A28" s="3459"/>
      <c r="B28" s="3460" t="s">
        <v>65</v>
      </c>
      <c r="C28" s="3451" t="s">
        <v>40</v>
      </c>
      <c r="D28" s="3451" t="s">
        <v>40</v>
      </c>
      <c r="E28" s="3465" t="s">
        <v>40</v>
      </c>
      <c r="F28" s="3425" t="s">
        <v>40</v>
      </c>
      <c r="G28" s="3462" t="s">
        <v>40</v>
      </c>
      <c r="H28" s="3425"/>
      <c r="I28" s="3506"/>
      <c r="J28" s="3451" t="s">
        <v>40</v>
      </c>
      <c r="K28" s="3425" t="s">
        <v>40</v>
      </c>
      <c r="L28" s="3461" t="s">
        <v>40</v>
      </c>
      <c r="M28" s="3425" t="s">
        <v>40</v>
      </c>
      <c r="N28" s="3425" t="s">
        <v>40</v>
      </c>
      <c r="O28" s="3425"/>
      <c r="P28" s="3451"/>
      <c r="Q28" s="3451" t="s">
        <v>40</v>
      </c>
      <c r="R28" s="4496" t="s">
        <v>40</v>
      </c>
      <c r="S28" s="4497" t="s">
        <v>40</v>
      </c>
      <c r="T28" s="4498" t="s">
        <v>40</v>
      </c>
      <c r="U28" s="4491" t="s">
        <v>40</v>
      </c>
      <c r="V28" s="3425"/>
      <c r="W28" s="3451"/>
      <c r="X28" s="4491" t="s">
        <v>40</v>
      </c>
      <c r="Y28" s="4491" t="s">
        <v>40</v>
      </c>
      <c r="Z28" s="3425" t="s">
        <v>40</v>
      </c>
      <c r="AA28" s="3425"/>
      <c r="AB28" s="3425"/>
      <c r="AC28" s="3425"/>
      <c r="AD28" s="3451"/>
      <c r="AE28" s="4491" t="s">
        <v>40</v>
      </c>
      <c r="AF28" s="4491" t="s">
        <v>40</v>
      </c>
      <c r="AG28" s="3425" t="s">
        <v>40</v>
      </c>
    </row>
    <row r="29" spans="1:33" ht="12.75" thickBot="1">
      <c r="I29" s="3496"/>
    </row>
    <row r="30" spans="1:33" ht="15">
      <c r="B30" s="808" t="s">
        <v>584</v>
      </c>
      <c r="C30" s="809" t="s">
        <v>0</v>
      </c>
      <c r="D30" s="809" t="s">
        <v>0</v>
      </c>
      <c r="E30" s="809" t="s">
        <v>0</v>
      </c>
      <c r="F30" s="809" t="s">
        <v>0</v>
      </c>
      <c r="G30" s="810" t="s">
        <v>0</v>
      </c>
      <c r="H30" s="3521"/>
      <c r="I30" s="3521"/>
      <c r="J30" s="373" t="s">
        <v>0</v>
      </c>
      <c r="K30" s="373" t="s">
        <v>0</v>
      </c>
      <c r="L30" s="373"/>
      <c r="M30" s="373"/>
      <c r="N30" s="783" t="s">
        <v>0</v>
      </c>
      <c r="O30" s="4499" t="s">
        <v>0</v>
      </c>
      <c r="P30" s="4499" t="s">
        <v>0</v>
      </c>
      <c r="Q30" s="343" t="s">
        <v>0</v>
      </c>
      <c r="R30" s="343" t="s">
        <v>0</v>
      </c>
      <c r="S30" s="783" t="s">
        <v>0</v>
      </c>
      <c r="T30" s="783" t="s">
        <v>0</v>
      </c>
      <c r="U30" s="783" t="s">
        <v>0</v>
      </c>
      <c r="V30" s="783" t="s">
        <v>0</v>
      </c>
      <c r="W30" s="783" t="s">
        <v>0</v>
      </c>
      <c r="X30" s="783" t="s">
        <v>0</v>
      </c>
      <c r="Y30" s="783" t="s">
        <v>0</v>
      </c>
      <c r="Z30" s="783"/>
      <c r="AA30" s="783" t="s">
        <v>0</v>
      </c>
      <c r="AB30" s="783" t="s">
        <v>0</v>
      </c>
      <c r="AC30" s="240"/>
      <c r="AD30" s="240"/>
      <c r="AE30" s="3423"/>
      <c r="AF30" s="3423"/>
      <c r="AG30" s="784"/>
    </row>
    <row r="31" spans="1:33">
      <c r="B31" s="356"/>
      <c r="C31" s="343"/>
      <c r="D31" s="343"/>
      <c r="E31" s="343"/>
      <c r="F31" s="807" t="s">
        <v>0</v>
      </c>
      <c r="G31" s="339" t="s">
        <v>0</v>
      </c>
      <c r="H31" s="1589" t="s">
        <v>0</v>
      </c>
      <c r="I31" s="1589" t="s">
        <v>0</v>
      </c>
      <c r="J31" s="343"/>
      <c r="K31" s="343"/>
      <c r="L31" s="343"/>
      <c r="M31" s="343"/>
      <c r="N31" s="343" t="s">
        <v>0</v>
      </c>
      <c r="O31" s="343" t="s">
        <v>0</v>
      </c>
      <c r="P31" s="343"/>
      <c r="Q31" s="343" t="s">
        <v>0</v>
      </c>
      <c r="R31" s="343"/>
      <c r="S31" s="4500" t="s">
        <v>0</v>
      </c>
      <c r="T31" s="4501" t="s">
        <v>0</v>
      </c>
      <c r="U31" s="4501" t="s">
        <v>0</v>
      </c>
      <c r="V31" s="4501" t="s">
        <v>0</v>
      </c>
      <c r="W31" s="4501" t="s">
        <v>0</v>
      </c>
      <c r="X31" s="343" t="s">
        <v>0</v>
      </c>
      <c r="Y31" s="343" t="s">
        <v>0</v>
      </c>
      <c r="Z31" s="343"/>
      <c r="AA31" s="343"/>
      <c r="AB31" s="343"/>
      <c r="AC31" s="343"/>
      <c r="AD31" s="343"/>
      <c r="AE31" s="343"/>
      <c r="AF31" s="343"/>
      <c r="AG31" s="357"/>
    </row>
    <row r="32" spans="1:33">
      <c r="B32" s="356"/>
      <c r="C32" s="810"/>
      <c r="D32" s="810"/>
      <c r="E32" s="810"/>
      <c r="F32" s="810"/>
      <c r="G32" s="810"/>
      <c r="H32" s="343"/>
      <c r="I32" s="343" t="s">
        <v>0</v>
      </c>
      <c r="J32" s="343"/>
      <c r="K32" s="343"/>
      <c r="L32" s="343"/>
      <c r="M32" s="343"/>
      <c r="N32" s="343"/>
      <c r="O32" s="343"/>
      <c r="P32" s="343"/>
      <c r="Q32" s="343" t="s">
        <v>0</v>
      </c>
      <c r="R32" s="351" t="s">
        <v>0</v>
      </c>
      <c r="S32" s="351" t="s">
        <v>0</v>
      </c>
      <c r="T32" s="351"/>
      <c r="U32" s="351"/>
      <c r="V32" s="351"/>
      <c r="W32" s="351"/>
      <c r="X32" s="343"/>
      <c r="Y32" s="351" t="s">
        <v>0</v>
      </c>
      <c r="Z32" s="351" t="s">
        <v>0</v>
      </c>
      <c r="AA32" s="351" t="s">
        <v>0</v>
      </c>
      <c r="AB32" s="351" t="s">
        <v>0</v>
      </c>
      <c r="AC32" s="351" t="s">
        <v>0</v>
      </c>
      <c r="AD32" s="351" t="s">
        <v>0</v>
      </c>
      <c r="AE32" s="343" t="s">
        <v>0</v>
      </c>
      <c r="AF32" s="343" t="s">
        <v>0</v>
      </c>
      <c r="AG32" s="357" t="s">
        <v>118</v>
      </c>
    </row>
    <row r="33" spans="1:39">
      <c r="B33" s="356"/>
      <c r="C33" s="343"/>
      <c r="D33" s="343"/>
      <c r="E33" s="343" t="s">
        <v>0</v>
      </c>
      <c r="F33" s="343"/>
      <c r="G33" s="343" t="s">
        <v>0</v>
      </c>
      <c r="H33" s="343"/>
      <c r="I33" s="343"/>
      <c r="J33" s="343"/>
      <c r="K33" s="343"/>
      <c r="L33" s="343"/>
      <c r="M33" s="343"/>
      <c r="N33" s="343"/>
      <c r="O33" s="343"/>
      <c r="P33" s="343"/>
      <c r="Q33" s="343"/>
      <c r="R33" s="343"/>
      <c r="S33" s="343"/>
      <c r="T33" s="343"/>
      <c r="U33" s="343"/>
      <c r="V33" s="343" t="s">
        <v>0</v>
      </c>
      <c r="W33" s="343" t="s">
        <v>0</v>
      </c>
      <c r="X33" s="343" t="s">
        <v>0</v>
      </c>
      <c r="Y33" s="343"/>
      <c r="Z33" s="343"/>
      <c r="AA33" s="343"/>
      <c r="AB33" s="343"/>
      <c r="AC33" s="343"/>
      <c r="AD33" s="4502" t="s">
        <v>0</v>
      </c>
      <c r="AE33" s="4502" t="s">
        <v>0</v>
      </c>
      <c r="AF33" s="343" t="s">
        <v>0</v>
      </c>
      <c r="AG33" s="357" t="s">
        <v>0</v>
      </c>
      <c r="AM33" t="s">
        <v>0</v>
      </c>
    </row>
    <row r="34" spans="1:39" ht="12.75" thickBot="1">
      <c r="B34" s="356"/>
      <c r="C34" s="343"/>
      <c r="D34" s="343"/>
      <c r="E34" s="343"/>
      <c r="F34" s="343"/>
      <c r="G34" s="343"/>
      <c r="H34" s="343"/>
      <c r="I34" s="343"/>
      <c r="J34" s="343"/>
      <c r="K34" s="343"/>
      <c r="L34" s="343"/>
      <c r="M34" s="343" t="s">
        <v>0</v>
      </c>
      <c r="N34" s="4499"/>
      <c r="O34" s="4499" t="s">
        <v>0</v>
      </c>
      <c r="P34" s="4499" t="s">
        <v>0</v>
      </c>
      <c r="Q34" s="343"/>
      <c r="R34" s="343"/>
      <c r="S34" s="343"/>
      <c r="T34" s="343"/>
      <c r="U34" s="343"/>
      <c r="V34" s="343"/>
      <c r="W34" s="343"/>
      <c r="X34" s="4503"/>
      <c r="Y34" s="4502"/>
      <c r="Z34" s="3521"/>
      <c r="AA34" s="343"/>
      <c r="AB34" s="343"/>
      <c r="AC34" s="343"/>
      <c r="AD34" s="343"/>
      <c r="AE34" s="343"/>
      <c r="AF34" s="343"/>
      <c r="AG34" s="357"/>
    </row>
    <row r="35" spans="1:39">
      <c r="B35" s="356"/>
      <c r="C35" s="343"/>
      <c r="D35" s="343"/>
      <c r="E35" s="343"/>
      <c r="F35" s="343"/>
      <c r="G35" s="343"/>
      <c r="H35" s="343"/>
      <c r="I35" s="343"/>
      <c r="J35" s="343"/>
      <c r="K35" s="343"/>
      <c r="L35" s="343"/>
      <c r="M35" s="343"/>
      <c r="N35" s="343"/>
      <c r="O35" s="343"/>
      <c r="P35" s="343"/>
      <c r="Q35" s="3090"/>
      <c r="R35" s="3089"/>
      <c r="S35" s="3088"/>
      <c r="T35" s="3088"/>
      <c r="U35" s="3088"/>
      <c r="V35" s="343" t="s">
        <v>0</v>
      </c>
      <c r="W35" s="343"/>
      <c r="X35" s="343"/>
      <c r="Y35" s="343"/>
      <c r="Z35" s="343"/>
      <c r="AA35" s="343"/>
      <c r="AB35" s="343"/>
      <c r="AC35" s="343"/>
      <c r="AD35" s="343"/>
      <c r="AE35" s="3423" t="s">
        <v>0</v>
      </c>
      <c r="AF35" s="3423" t="s">
        <v>0</v>
      </c>
      <c r="AG35" s="357"/>
    </row>
    <row r="36" spans="1:39">
      <c r="B36" s="356"/>
      <c r="C36" s="343"/>
      <c r="D36" s="343"/>
      <c r="E36" s="343"/>
      <c r="F36" s="343"/>
      <c r="G36" s="343"/>
      <c r="H36" s="343"/>
      <c r="I36" s="343"/>
      <c r="J36" s="343"/>
      <c r="K36" s="343"/>
      <c r="L36" s="343"/>
      <c r="M36" s="343"/>
      <c r="N36" s="343"/>
      <c r="O36" s="343"/>
      <c r="P36" s="343"/>
      <c r="Q36" s="3432"/>
      <c r="R36" s="3423"/>
      <c r="S36" s="3423"/>
      <c r="T36" s="3423"/>
      <c r="U36" s="3423"/>
      <c r="V36" s="900" t="s">
        <v>0</v>
      </c>
      <c r="W36" s="900" t="s">
        <v>0</v>
      </c>
      <c r="X36" s="343"/>
      <c r="Y36" s="343"/>
      <c r="Z36" s="343"/>
      <c r="AA36" s="343"/>
      <c r="AB36" s="343"/>
      <c r="AC36" s="343"/>
      <c r="AD36" s="343"/>
      <c r="AE36" s="343"/>
      <c r="AF36" s="343"/>
      <c r="AG36" s="357"/>
    </row>
    <row r="37" spans="1:39">
      <c r="B37" s="358"/>
      <c r="C37" s="359"/>
      <c r="D37" s="359"/>
      <c r="E37" s="359"/>
      <c r="F37" s="359"/>
      <c r="G37" s="359"/>
      <c r="H37" s="359"/>
      <c r="I37" s="359"/>
      <c r="J37" s="359"/>
      <c r="K37" s="359"/>
      <c r="L37" s="359"/>
      <c r="M37" s="359"/>
      <c r="N37" s="359"/>
      <c r="O37" s="359"/>
      <c r="P37" s="359"/>
      <c r="Q37" s="359"/>
      <c r="R37" s="359"/>
      <c r="S37" s="359"/>
      <c r="T37" s="343"/>
      <c r="U37" s="343"/>
      <c r="V37" s="359"/>
      <c r="W37" s="359"/>
      <c r="X37" s="359"/>
      <c r="Y37" s="359"/>
      <c r="Z37" s="359"/>
      <c r="AA37" s="359"/>
      <c r="AB37" s="359"/>
      <c r="AC37" s="359" t="s">
        <v>0</v>
      </c>
      <c r="AD37" s="359" t="s">
        <v>0</v>
      </c>
      <c r="AE37" s="359"/>
      <c r="AF37" s="359"/>
      <c r="AG37" s="360"/>
    </row>
    <row r="38" spans="1:39" ht="18" customHeight="1">
      <c r="A38" s="96" t="s">
        <v>66</v>
      </c>
      <c r="D38" s="48"/>
      <c r="E38" s="48"/>
      <c r="F38" s="48"/>
      <c r="G38" s="48"/>
      <c r="H38" s="48"/>
      <c r="I38" s="48"/>
      <c r="J38" s="48"/>
      <c r="K38" s="48"/>
      <c r="L38" s="48"/>
      <c r="M38" s="48"/>
      <c r="N38" s="48"/>
      <c r="O38" s="48" t="s">
        <v>0</v>
      </c>
      <c r="P38" s="48"/>
      <c r="X38" s="48"/>
      <c r="Y38" s="48"/>
      <c r="Z38" s="48"/>
      <c r="AA38" s="48"/>
      <c r="AB38" s="48"/>
      <c r="AC38" s="48"/>
      <c r="AD38" s="48"/>
      <c r="AE38" s="48"/>
      <c r="AF38" s="48"/>
    </row>
    <row r="39" spans="1:39" ht="27.75" customHeight="1">
      <c r="A39" s="4504" t="s">
        <v>585</v>
      </c>
      <c r="B39" s="3057"/>
      <c r="C39" s="3057"/>
      <c r="D39" s="3058" t="s">
        <v>70</v>
      </c>
      <c r="E39" s="3059"/>
      <c r="F39" s="3059"/>
      <c r="G39" s="3059"/>
      <c r="H39" s="3059"/>
      <c r="I39" s="3059"/>
      <c r="J39" s="3059"/>
      <c r="K39" s="3059"/>
      <c r="L39" s="3059"/>
      <c r="M39" s="3060" t="s">
        <v>71</v>
      </c>
      <c r="N39" s="3059"/>
      <c r="O39" s="3059"/>
      <c r="P39" s="3059"/>
      <c r="Q39" s="3059"/>
      <c r="R39" s="3059"/>
      <c r="S39" s="3061"/>
      <c r="T39" s="3467" t="s">
        <v>72</v>
      </c>
      <c r="U39" s="3467"/>
      <c r="V39" s="3467"/>
      <c r="W39" s="3467"/>
      <c r="X39" s="3467"/>
      <c r="Y39" s="3467"/>
      <c r="Z39" s="3467"/>
      <c r="AA39" s="3063" t="s">
        <v>73</v>
      </c>
      <c r="AB39" s="3064"/>
      <c r="AC39" s="3064"/>
      <c r="AD39" s="3064"/>
      <c r="AE39" s="3064"/>
      <c r="AF39" s="3064"/>
      <c r="AI39" t="s">
        <v>0</v>
      </c>
    </row>
    <row r="40" spans="1:39" ht="18" customHeight="1">
      <c r="A40" s="3469" t="s">
        <v>74</v>
      </c>
      <c r="B40" s="3470"/>
      <c r="C40" s="3470"/>
      <c r="D40" s="3471" t="s">
        <v>75</v>
      </c>
      <c r="E40" s="3472"/>
      <c r="F40" s="4505"/>
      <c r="G40" s="4505"/>
      <c r="H40" s="4505"/>
      <c r="I40" s="4505"/>
      <c r="J40" s="4505"/>
      <c r="K40" s="4505"/>
      <c r="L40" s="3473"/>
      <c r="M40" s="3474" t="s">
        <v>76</v>
      </c>
      <c r="N40" s="3470"/>
      <c r="O40" s="3475"/>
      <c r="P40" s="3470"/>
      <c r="Q40" s="3470"/>
      <c r="R40" s="3470"/>
      <c r="S40" s="3476"/>
      <c r="T40" s="3471" t="s">
        <v>77</v>
      </c>
      <c r="U40" s="4505"/>
      <c r="V40" s="3472"/>
      <c r="W40" s="4505"/>
      <c r="X40" s="4505"/>
      <c r="Y40" s="4505"/>
      <c r="Z40" s="3473"/>
      <c r="AA40" s="97" t="s">
        <v>78</v>
      </c>
      <c r="AD40" s="59"/>
    </row>
    <row r="41" spans="1:39" ht="18" customHeight="1">
      <c r="A41" s="3477" t="s">
        <v>79</v>
      </c>
      <c r="B41" s="4505"/>
      <c r="C41" s="4505"/>
      <c r="D41" s="3478"/>
      <c r="E41" s="4505"/>
      <c r="F41" s="4505"/>
      <c r="G41" s="3473"/>
      <c r="H41" s="3479" t="s">
        <v>80</v>
      </c>
      <c r="I41" s="4505"/>
      <c r="J41" s="4505"/>
      <c r="K41" s="4505"/>
      <c r="L41" s="4505"/>
      <c r="M41" s="3480"/>
      <c r="N41" s="4505"/>
      <c r="O41" s="4505"/>
      <c r="P41" s="4505" t="s">
        <v>0</v>
      </c>
      <c r="Q41" s="4505"/>
      <c r="R41" s="4505"/>
      <c r="S41" s="4505"/>
      <c r="T41" s="3478"/>
      <c r="U41" s="96" t="s">
        <v>81</v>
      </c>
      <c r="AA41" s="3475"/>
      <c r="AB41" s="3470"/>
      <c r="AC41" s="3470"/>
      <c r="AD41" s="3470"/>
      <c r="AE41" s="3470"/>
      <c r="AF41" s="3470"/>
    </row>
    <row r="42" spans="1:39" ht="18" customHeight="1" thickBot="1">
      <c r="A42" s="3481" t="s">
        <v>82</v>
      </c>
      <c r="B42" s="3482"/>
      <c r="C42" s="3482"/>
      <c r="D42" s="3483"/>
      <c r="E42" s="3482"/>
      <c r="F42" s="3482"/>
      <c r="G42" s="3484"/>
      <c r="H42" s="3485" t="s">
        <v>83</v>
      </c>
      <c r="I42" s="3484"/>
      <c r="J42" s="3482"/>
      <c r="K42" s="3482"/>
      <c r="L42" s="3482"/>
      <c r="M42" s="3486"/>
      <c r="N42" s="3482"/>
      <c r="O42" s="3482"/>
      <c r="P42" s="3482"/>
      <c r="Q42" s="3487"/>
      <c r="R42" s="3487"/>
      <c r="S42" s="3487"/>
      <c r="T42" s="3483"/>
      <c r="U42" s="3488" t="s">
        <v>84</v>
      </c>
      <c r="V42" s="3482"/>
      <c r="W42" s="3482"/>
      <c r="X42" s="3482"/>
      <c r="Y42" s="3482"/>
      <c r="Z42" s="3482"/>
      <c r="AA42" s="3482"/>
      <c r="AB42" s="3482"/>
      <c r="AC42" s="3482"/>
      <c r="AD42" s="3482"/>
      <c r="AE42" s="3482"/>
      <c r="AF42" s="3482"/>
    </row>
    <row r="43" spans="1:39" ht="18" customHeight="1" thickBot="1">
      <c r="B43" s="62" t="s">
        <v>36</v>
      </c>
      <c r="C43" s="48"/>
      <c r="D43" s="48"/>
      <c r="E43" s="48"/>
      <c r="F43" s="48"/>
      <c r="G43" s="48"/>
      <c r="H43" s="48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  <c r="AA43" s="48"/>
      <c r="AB43" s="48"/>
      <c r="AC43" s="48"/>
      <c r="AD43" s="48"/>
      <c r="AE43" s="48"/>
      <c r="AF43" s="48"/>
      <c r="AG43" s="103"/>
    </row>
    <row r="44" spans="1:39" ht="18" customHeight="1">
      <c r="A44" s="3489" t="s">
        <v>37</v>
      </c>
      <c r="B44" s="4506" t="s">
        <v>523</v>
      </c>
      <c r="C44" s="2985">
        <v>1</v>
      </c>
      <c r="D44" s="2985">
        <v>2</v>
      </c>
      <c r="E44" s="2985">
        <v>3</v>
      </c>
      <c r="F44" s="2985">
        <v>4</v>
      </c>
      <c r="G44" s="2985">
        <v>5</v>
      </c>
      <c r="H44" s="2986">
        <v>6</v>
      </c>
      <c r="I44" s="2986">
        <v>7</v>
      </c>
      <c r="J44" s="2985">
        <v>8</v>
      </c>
      <c r="K44" s="2985">
        <v>9</v>
      </c>
      <c r="L44" s="2985">
        <v>10</v>
      </c>
      <c r="M44" s="2985">
        <v>11</v>
      </c>
      <c r="N44" s="2985">
        <v>12</v>
      </c>
      <c r="O44" s="2986">
        <v>13</v>
      </c>
      <c r="P44" s="2986">
        <v>14</v>
      </c>
      <c r="Q44" s="2985">
        <v>15</v>
      </c>
      <c r="R44" s="2985">
        <v>16</v>
      </c>
      <c r="S44" s="2985">
        <v>17</v>
      </c>
      <c r="T44" s="2985">
        <v>18</v>
      </c>
      <c r="U44" s="2985">
        <v>19</v>
      </c>
      <c r="V44" s="2986">
        <v>20</v>
      </c>
      <c r="W44" s="2986">
        <v>21</v>
      </c>
      <c r="X44" s="2985">
        <v>22</v>
      </c>
      <c r="Y44" s="2985">
        <v>23</v>
      </c>
      <c r="Z44" s="2985">
        <v>24</v>
      </c>
      <c r="AA44" s="2986">
        <v>25</v>
      </c>
      <c r="AB44" s="2986">
        <v>26</v>
      </c>
      <c r="AC44" s="2986">
        <v>27</v>
      </c>
      <c r="AD44" s="2986">
        <v>28</v>
      </c>
      <c r="AE44" s="2985">
        <v>29</v>
      </c>
      <c r="AF44" s="2985">
        <v>30</v>
      </c>
      <c r="AG44" s="2985">
        <v>31</v>
      </c>
    </row>
    <row r="45" spans="1:39" ht="18" customHeight="1">
      <c r="A45" s="4507">
        <v>1</v>
      </c>
      <c r="B45" s="347" t="s">
        <v>85</v>
      </c>
      <c r="C45" s="3137" t="s">
        <v>125</v>
      </c>
      <c r="D45" s="3089">
        <v>7</v>
      </c>
      <c r="E45" s="3492" t="s">
        <v>125</v>
      </c>
      <c r="F45" s="3492" t="s">
        <v>125</v>
      </c>
      <c r="G45" s="3492" t="s">
        <v>125</v>
      </c>
      <c r="H45" s="3088"/>
      <c r="I45" s="3088"/>
      <c r="J45" s="3427">
        <v>4</v>
      </c>
      <c r="K45" s="3088">
        <v>4</v>
      </c>
      <c r="L45" s="3088">
        <v>4</v>
      </c>
      <c r="M45" s="3088">
        <v>4</v>
      </c>
      <c r="N45" s="3088">
        <v>4</v>
      </c>
      <c r="O45" s="3491"/>
      <c r="P45" s="3491"/>
      <c r="Q45" s="3090">
        <v>3</v>
      </c>
      <c r="R45" s="3089">
        <v>3</v>
      </c>
      <c r="S45" s="3088">
        <v>3</v>
      </c>
      <c r="T45" s="3088">
        <v>3</v>
      </c>
      <c r="U45" s="3088">
        <v>3</v>
      </c>
      <c r="V45" s="3088"/>
      <c r="W45" s="3088"/>
      <c r="X45" s="3090">
        <v>11</v>
      </c>
      <c r="Y45" s="3090">
        <v>11</v>
      </c>
      <c r="Z45" s="3088">
        <v>11</v>
      </c>
      <c r="AA45" s="3088">
        <v>11</v>
      </c>
      <c r="AB45" s="3090">
        <v>11</v>
      </c>
      <c r="AC45" s="3090" t="s">
        <v>87</v>
      </c>
      <c r="AD45" s="3090" t="s">
        <v>87</v>
      </c>
      <c r="AE45" s="3088" t="s">
        <v>46</v>
      </c>
      <c r="AF45" s="3088" t="s">
        <v>46</v>
      </c>
      <c r="AG45" s="3088" t="s">
        <v>46</v>
      </c>
    </row>
    <row r="46" spans="1:39" ht="18" customHeight="1">
      <c r="A46" s="4508">
        <v>6</v>
      </c>
      <c r="B46" s="308" t="s">
        <v>177</v>
      </c>
      <c r="C46" s="3572">
        <v>8</v>
      </c>
      <c r="D46" s="3494">
        <v>8</v>
      </c>
      <c r="E46" s="3494">
        <v>8</v>
      </c>
      <c r="F46" s="3494">
        <v>8</v>
      </c>
      <c r="G46" s="3494">
        <v>8</v>
      </c>
      <c r="H46" s="3494"/>
      <c r="I46" s="3494"/>
      <c r="J46" s="4509" t="s">
        <v>46</v>
      </c>
      <c r="K46" s="4509" t="s">
        <v>46</v>
      </c>
      <c r="L46" s="4509" t="s">
        <v>46</v>
      </c>
      <c r="M46" s="4509" t="s">
        <v>46</v>
      </c>
      <c r="N46" s="4509" t="s">
        <v>46</v>
      </c>
      <c r="O46" s="4509"/>
      <c r="P46" s="4509"/>
      <c r="Q46" s="4509">
        <v>1</v>
      </c>
      <c r="R46" s="4509">
        <v>1</v>
      </c>
      <c r="S46" s="4509">
        <v>1</v>
      </c>
      <c r="T46" s="4509">
        <v>1</v>
      </c>
      <c r="U46" s="4509">
        <v>1</v>
      </c>
      <c r="V46" s="3421"/>
      <c r="W46" s="3421"/>
      <c r="X46" s="3421">
        <v>9</v>
      </c>
      <c r="Y46" s="3421">
        <v>9</v>
      </c>
      <c r="Z46" s="3421">
        <v>9</v>
      </c>
      <c r="AA46" s="3421">
        <v>9</v>
      </c>
      <c r="AB46" s="3421">
        <v>9</v>
      </c>
      <c r="AC46" s="3421" t="s">
        <v>52</v>
      </c>
      <c r="AD46" s="3421" t="s">
        <v>52</v>
      </c>
      <c r="AE46" s="3421" t="s">
        <v>46</v>
      </c>
      <c r="AF46" s="3421" t="s">
        <v>46</v>
      </c>
      <c r="AG46" s="3421" t="s">
        <v>46</v>
      </c>
    </row>
    <row r="47" spans="1:39" ht="18" customHeight="1">
      <c r="A47" s="4510">
        <v>11</v>
      </c>
      <c r="B47" s="308" t="s">
        <v>90</v>
      </c>
      <c r="C47" s="3596">
        <v>6</v>
      </c>
      <c r="D47" s="3496">
        <v>6</v>
      </c>
      <c r="E47" s="3570">
        <v>6</v>
      </c>
      <c r="F47" s="3570">
        <v>6</v>
      </c>
      <c r="G47" s="4511">
        <v>6</v>
      </c>
      <c r="H47" s="4511"/>
      <c r="I47" s="4511" t="s">
        <v>376</v>
      </c>
      <c r="J47" s="3496" t="s">
        <v>46</v>
      </c>
      <c r="K47" s="3496" t="s">
        <v>46</v>
      </c>
      <c r="L47" s="3496" t="s">
        <v>46</v>
      </c>
      <c r="M47" s="3427" t="s">
        <v>46</v>
      </c>
      <c r="N47" s="3496" t="s">
        <v>46</v>
      </c>
      <c r="O47" s="3496"/>
      <c r="P47" s="3496"/>
      <c r="Q47" s="3426">
        <v>5</v>
      </c>
      <c r="R47" s="3426">
        <v>5</v>
      </c>
      <c r="S47" s="3426">
        <v>5</v>
      </c>
      <c r="T47" s="3426">
        <v>5</v>
      </c>
      <c r="U47" s="3426">
        <v>5</v>
      </c>
      <c r="V47" s="3426"/>
      <c r="W47" s="3426"/>
      <c r="X47" s="3426">
        <v>10</v>
      </c>
      <c r="Y47" s="3426">
        <v>10</v>
      </c>
      <c r="Z47" s="3426">
        <v>10</v>
      </c>
      <c r="AA47" s="3426">
        <v>10</v>
      </c>
      <c r="AB47" s="3426">
        <v>10</v>
      </c>
      <c r="AC47" s="3426" t="s">
        <v>53</v>
      </c>
      <c r="AD47" s="3426" t="s">
        <v>53</v>
      </c>
      <c r="AE47" s="3496" t="s">
        <v>46</v>
      </c>
      <c r="AF47" s="3496" t="s">
        <v>46</v>
      </c>
      <c r="AG47" s="3496" t="s">
        <v>46</v>
      </c>
      <c r="AI47" s="108"/>
    </row>
    <row r="48" spans="1:39" ht="18" customHeight="1">
      <c r="A48" s="4507">
        <v>2</v>
      </c>
      <c r="B48" s="308" t="s">
        <v>92</v>
      </c>
      <c r="C48" s="4512">
        <v>4</v>
      </c>
      <c r="D48" s="3291">
        <v>4</v>
      </c>
      <c r="E48" s="3291">
        <v>4</v>
      </c>
      <c r="F48" s="3291">
        <v>4</v>
      </c>
      <c r="G48" s="3291">
        <v>4</v>
      </c>
      <c r="H48" s="3291"/>
      <c r="I48" s="3291"/>
      <c r="J48" s="3291">
        <v>3</v>
      </c>
      <c r="K48" s="3291">
        <v>3</v>
      </c>
      <c r="L48" s="3291">
        <v>3</v>
      </c>
      <c r="M48" s="3291">
        <v>3</v>
      </c>
      <c r="N48" s="3291">
        <v>3</v>
      </c>
      <c r="O48" s="3090"/>
      <c r="P48" s="3088"/>
      <c r="Q48" s="3090">
        <v>11</v>
      </c>
      <c r="R48" s="3090">
        <v>11</v>
      </c>
      <c r="S48" s="3089">
        <v>11</v>
      </c>
      <c r="T48" s="3090">
        <v>11</v>
      </c>
      <c r="U48" s="3090">
        <v>11</v>
      </c>
      <c r="V48" s="3090" t="s">
        <v>87</v>
      </c>
      <c r="W48" s="3090" t="s">
        <v>87</v>
      </c>
      <c r="X48" s="3090" t="s">
        <v>46</v>
      </c>
      <c r="Y48" s="3088" t="s">
        <v>46</v>
      </c>
      <c r="Z48" s="3088" t="s">
        <v>46</v>
      </c>
      <c r="AA48" s="3088" t="s">
        <v>46</v>
      </c>
      <c r="AB48" s="3088" t="s">
        <v>46</v>
      </c>
      <c r="AC48" s="3090" t="s">
        <v>89</v>
      </c>
      <c r="AD48" s="3090" t="s">
        <v>89</v>
      </c>
      <c r="AE48" s="3088">
        <v>8</v>
      </c>
      <c r="AF48" s="3088">
        <v>8</v>
      </c>
      <c r="AG48" s="3088" t="s">
        <v>482</v>
      </c>
    </row>
    <row r="49" spans="1:36" ht="18" customHeight="1">
      <c r="A49" s="4508">
        <v>7</v>
      </c>
      <c r="B49" s="348" t="s">
        <v>586</v>
      </c>
      <c r="C49" s="4513" t="s">
        <v>46</v>
      </c>
      <c r="D49" s="4514" t="s">
        <v>46</v>
      </c>
      <c r="E49" s="4514" t="s">
        <v>46</v>
      </c>
      <c r="F49" s="4514" t="s">
        <v>46</v>
      </c>
      <c r="G49" s="4514" t="s">
        <v>46</v>
      </c>
      <c r="H49" s="4514"/>
      <c r="I49" s="4514"/>
      <c r="J49" s="4514">
        <v>1</v>
      </c>
      <c r="K49" s="4514">
        <v>1</v>
      </c>
      <c r="L49" s="4515">
        <v>1</v>
      </c>
      <c r="M49" s="4515">
        <v>1</v>
      </c>
      <c r="N49" s="4514">
        <v>1</v>
      </c>
      <c r="O49" s="4514"/>
      <c r="P49" s="4514"/>
      <c r="Q49" s="3420">
        <v>9</v>
      </c>
      <c r="R49" s="3420">
        <v>9</v>
      </c>
      <c r="S49" s="3420">
        <v>9</v>
      </c>
      <c r="T49" s="3420">
        <v>9</v>
      </c>
      <c r="U49" s="3420">
        <v>9</v>
      </c>
      <c r="V49" s="4514" t="s">
        <v>52</v>
      </c>
      <c r="W49" s="4514" t="s">
        <v>52</v>
      </c>
      <c r="X49" s="4514" t="s">
        <v>46</v>
      </c>
      <c r="Y49" s="4514" t="s">
        <v>46</v>
      </c>
      <c r="Z49" s="4514" t="s">
        <v>46</v>
      </c>
      <c r="AA49" s="4514" t="s">
        <v>46</v>
      </c>
      <c r="AB49" s="4514" t="s">
        <v>46</v>
      </c>
      <c r="AC49" s="326" t="s">
        <v>91</v>
      </c>
      <c r="AD49" s="326" t="s">
        <v>89</v>
      </c>
      <c r="AE49" s="4514">
        <v>6</v>
      </c>
      <c r="AF49" s="4514">
        <v>6</v>
      </c>
      <c r="AG49" s="4514">
        <v>6</v>
      </c>
    </row>
    <row r="50" spans="1:36" ht="18" customHeight="1">
      <c r="A50" s="4510">
        <v>12</v>
      </c>
      <c r="B50" s="348" t="s">
        <v>94</v>
      </c>
      <c r="C50" s="4516" t="s">
        <v>46</v>
      </c>
      <c r="D50" s="3500" t="s">
        <v>46</v>
      </c>
      <c r="E50" s="3500" t="s">
        <v>46</v>
      </c>
      <c r="F50" s="3427" t="s">
        <v>46</v>
      </c>
      <c r="G50" s="3427" t="s">
        <v>46</v>
      </c>
      <c r="H50" s="3427"/>
      <c r="I50" s="3427"/>
      <c r="J50" s="3427">
        <v>5</v>
      </c>
      <c r="K50" s="3500">
        <v>5</v>
      </c>
      <c r="L50" s="3500">
        <v>5</v>
      </c>
      <c r="M50" s="3500">
        <v>5</v>
      </c>
      <c r="N50" s="3500">
        <v>5</v>
      </c>
      <c r="O50" s="3427"/>
      <c r="P50" s="3427"/>
      <c r="Q50" s="3426">
        <v>10</v>
      </c>
      <c r="R50" s="3426">
        <v>10</v>
      </c>
      <c r="S50" s="3426">
        <v>10</v>
      </c>
      <c r="T50" s="3426">
        <v>10</v>
      </c>
      <c r="U50" s="3426">
        <v>10</v>
      </c>
      <c r="V50" s="3426" t="s">
        <v>53</v>
      </c>
      <c r="W50" s="3426" t="s">
        <v>53</v>
      </c>
      <c r="X50" s="3427" t="s">
        <v>46</v>
      </c>
      <c r="Y50" s="3427" t="s">
        <v>46</v>
      </c>
      <c r="Z50" s="3427" t="s">
        <v>46</v>
      </c>
      <c r="AA50" s="3427" t="s">
        <v>46</v>
      </c>
      <c r="AB50" s="3427" t="s">
        <v>46</v>
      </c>
      <c r="AC50" s="3427" t="s">
        <v>86</v>
      </c>
      <c r="AD50" s="3427" t="s">
        <v>86</v>
      </c>
      <c r="AE50" s="3427">
        <v>7</v>
      </c>
      <c r="AF50" s="3427">
        <v>7</v>
      </c>
      <c r="AG50" s="3427">
        <v>7</v>
      </c>
    </row>
    <row r="51" spans="1:36" ht="18" customHeight="1">
      <c r="A51" s="4507">
        <v>3</v>
      </c>
      <c r="B51" s="349" t="s">
        <v>95</v>
      </c>
      <c r="C51" s="611">
        <v>3</v>
      </c>
      <c r="D51" s="508">
        <v>3</v>
      </c>
      <c r="E51" s="504">
        <v>3</v>
      </c>
      <c r="F51" s="504">
        <v>3</v>
      </c>
      <c r="G51" s="593">
        <v>3</v>
      </c>
      <c r="H51" s="504"/>
      <c r="I51" s="504"/>
      <c r="J51" s="508">
        <v>11</v>
      </c>
      <c r="K51" s="508">
        <v>11</v>
      </c>
      <c r="L51" s="502">
        <v>11</v>
      </c>
      <c r="M51" s="502">
        <v>11</v>
      </c>
      <c r="N51" s="508">
        <v>11</v>
      </c>
      <c r="O51" s="508" t="s">
        <v>87</v>
      </c>
      <c r="P51" s="508" t="s">
        <v>87</v>
      </c>
      <c r="Q51" s="508" t="s">
        <v>46</v>
      </c>
      <c r="R51" s="504" t="s">
        <v>46</v>
      </c>
      <c r="S51" s="504" t="s">
        <v>46</v>
      </c>
      <c r="T51" s="980" t="s">
        <v>46</v>
      </c>
      <c r="U51" s="591" t="s">
        <v>46</v>
      </c>
      <c r="V51" s="340" t="s">
        <v>89</v>
      </c>
      <c r="W51" s="508" t="s">
        <v>89</v>
      </c>
      <c r="X51" s="501">
        <v>8</v>
      </c>
      <c r="Y51" s="504">
        <v>8</v>
      </c>
      <c r="Z51" s="504">
        <v>8</v>
      </c>
      <c r="AA51" s="504">
        <v>8</v>
      </c>
      <c r="AB51" s="504">
        <v>8</v>
      </c>
      <c r="AC51" s="509"/>
      <c r="AD51" s="504"/>
      <c r="AE51" s="504" t="s">
        <v>46</v>
      </c>
      <c r="AF51" s="504" t="s">
        <v>46</v>
      </c>
      <c r="AG51" s="504" t="s">
        <v>46</v>
      </c>
    </row>
    <row r="52" spans="1:36" ht="18" customHeight="1">
      <c r="A52" s="4508">
        <v>8</v>
      </c>
      <c r="B52" s="308" t="s">
        <v>96</v>
      </c>
      <c r="C52" s="3572">
        <v>1</v>
      </c>
      <c r="D52" s="3494">
        <v>1</v>
      </c>
      <c r="E52" s="3494">
        <v>1</v>
      </c>
      <c r="F52" s="3494">
        <v>1</v>
      </c>
      <c r="G52" s="3494">
        <v>1</v>
      </c>
      <c r="H52" s="3494"/>
      <c r="I52" s="3494"/>
      <c r="J52" s="3494">
        <v>9</v>
      </c>
      <c r="K52" s="3494">
        <v>9</v>
      </c>
      <c r="L52" s="3494">
        <v>9</v>
      </c>
      <c r="M52" s="3494">
        <v>9</v>
      </c>
      <c r="N52" s="3494">
        <v>9</v>
      </c>
      <c r="O52" s="3494" t="s">
        <v>52</v>
      </c>
      <c r="P52" s="3494" t="s">
        <v>52</v>
      </c>
      <c r="Q52" s="3494" t="s">
        <v>46</v>
      </c>
      <c r="R52" s="3494" t="s">
        <v>46</v>
      </c>
      <c r="S52" s="3494" t="s">
        <v>46</v>
      </c>
      <c r="T52" s="3494" t="s">
        <v>46</v>
      </c>
      <c r="U52" s="3494" t="s">
        <v>46</v>
      </c>
      <c r="V52" s="3494" t="s">
        <v>91</v>
      </c>
      <c r="W52" s="3494" t="s">
        <v>89</v>
      </c>
      <c r="X52" s="3418">
        <v>6</v>
      </c>
      <c r="Y52" s="3503">
        <v>6</v>
      </c>
      <c r="Z52" s="3503">
        <v>6</v>
      </c>
      <c r="AA52" s="3503">
        <v>6</v>
      </c>
      <c r="AB52" s="3503">
        <v>6</v>
      </c>
      <c r="AC52" s="3503"/>
      <c r="AD52" s="3422"/>
      <c r="AE52" s="3422" t="s">
        <v>46</v>
      </c>
      <c r="AF52" s="3504" t="s">
        <v>46</v>
      </c>
      <c r="AG52" s="3504" t="s">
        <v>46</v>
      </c>
    </row>
    <row r="53" spans="1:36" ht="18" customHeight="1">
      <c r="A53" s="4510">
        <v>13</v>
      </c>
      <c r="B53" s="308" t="s">
        <v>147</v>
      </c>
      <c r="C53" s="4517">
        <v>5</v>
      </c>
      <c r="D53" s="4489">
        <v>5</v>
      </c>
      <c r="E53" s="4492">
        <v>5</v>
      </c>
      <c r="F53" s="4492">
        <v>5</v>
      </c>
      <c r="G53" s="4492">
        <v>5</v>
      </c>
      <c r="H53" s="3496"/>
      <c r="I53" s="3496"/>
      <c r="J53" s="4518">
        <v>10</v>
      </c>
      <c r="K53" s="4518">
        <v>10</v>
      </c>
      <c r="L53" s="4518">
        <v>10</v>
      </c>
      <c r="M53" s="4518">
        <v>10</v>
      </c>
      <c r="N53" s="4518">
        <v>10</v>
      </c>
      <c r="O53" s="3450" t="s">
        <v>53</v>
      </c>
      <c r="P53" s="3450" t="s">
        <v>53</v>
      </c>
      <c r="Q53" s="3496" t="s">
        <v>46</v>
      </c>
      <c r="R53" s="3496" t="s">
        <v>46</v>
      </c>
      <c r="S53" s="3496" t="s">
        <v>46</v>
      </c>
      <c r="T53" s="3496" t="s">
        <v>46</v>
      </c>
      <c r="U53" s="3496" t="s">
        <v>46</v>
      </c>
      <c r="V53" s="3496" t="s">
        <v>86</v>
      </c>
      <c r="W53" s="3496" t="s">
        <v>86</v>
      </c>
      <c r="X53" s="3496">
        <v>7</v>
      </c>
      <c r="Y53" s="3451">
        <v>7</v>
      </c>
      <c r="Z53" s="3496">
        <v>7</v>
      </c>
      <c r="AA53" s="3496">
        <v>7</v>
      </c>
      <c r="AB53" s="3496">
        <v>7</v>
      </c>
      <c r="AC53" s="3496"/>
      <c r="AD53" s="3496"/>
      <c r="AE53" s="3427">
        <v>4</v>
      </c>
      <c r="AF53" s="3496">
        <v>4</v>
      </c>
      <c r="AG53" s="3496">
        <v>4</v>
      </c>
    </row>
    <row r="54" spans="1:36" ht="18" customHeight="1">
      <c r="A54" s="4507">
        <v>4</v>
      </c>
      <c r="B54" s="308" t="s">
        <v>99</v>
      </c>
      <c r="C54" s="556">
        <v>11</v>
      </c>
      <c r="D54" s="619">
        <v>11</v>
      </c>
      <c r="E54" s="504">
        <v>11</v>
      </c>
      <c r="F54" s="504">
        <v>11</v>
      </c>
      <c r="G54" s="504">
        <v>11</v>
      </c>
      <c r="H54" s="504" t="s">
        <v>87</v>
      </c>
      <c r="I54" s="504" t="s">
        <v>87</v>
      </c>
      <c r="J54" s="619" t="s">
        <v>46</v>
      </c>
      <c r="K54" s="619" t="s">
        <v>46</v>
      </c>
      <c r="L54" s="619" t="s">
        <v>46</v>
      </c>
      <c r="M54" s="619" t="s">
        <v>46</v>
      </c>
      <c r="N54" s="619" t="s">
        <v>46</v>
      </c>
      <c r="O54" s="619" t="s">
        <v>89</v>
      </c>
      <c r="P54" s="619" t="s">
        <v>89</v>
      </c>
      <c r="Q54" s="619" t="s">
        <v>482</v>
      </c>
      <c r="R54" s="619" t="s">
        <v>482</v>
      </c>
      <c r="S54" s="619" t="s">
        <v>482</v>
      </c>
      <c r="T54" s="619" t="s">
        <v>482</v>
      </c>
      <c r="U54" s="619" t="s">
        <v>482</v>
      </c>
      <c r="V54" s="508"/>
      <c r="W54" s="508"/>
      <c r="X54" s="504" t="s">
        <v>46</v>
      </c>
      <c r="Y54" s="504" t="s">
        <v>46</v>
      </c>
      <c r="Z54" s="504" t="s">
        <v>46</v>
      </c>
      <c r="AA54" s="504" t="s">
        <v>46</v>
      </c>
      <c r="AB54" s="504" t="s">
        <v>46</v>
      </c>
      <c r="AC54" s="620"/>
      <c r="AD54" s="504"/>
      <c r="AE54" s="504">
        <v>1</v>
      </c>
      <c r="AF54" s="504">
        <v>1</v>
      </c>
      <c r="AG54" s="504">
        <v>1</v>
      </c>
    </row>
    <row r="55" spans="1:36" ht="18" customHeight="1">
      <c r="A55" s="4508">
        <v>9</v>
      </c>
      <c r="B55" s="308" t="s">
        <v>101</v>
      </c>
      <c r="C55" s="4519">
        <v>9</v>
      </c>
      <c r="D55" s="4520">
        <v>9</v>
      </c>
      <c r="E55" s="4520">
        <v>9</v>
      </c>
      <c r="F55" s="4520">
        <v>9</v>
      </c>
      <c r="G55" s="4520">
        <v>9</v>
      </c>
      <c r="H55" s="4520" t="s">
        <v>52</v>
      </c>
      <c r="I55" s="4521" t="s">
        <v>52</v>
      </c>
      <c r="J55" s="4520" t="s">
        <v>46</v>
      </c>
      <c r="K55" s="4520" t="s">
        <v>46</v>
      </c>
      <c r="L55" s="4520" t="s">
        <v>46</v>
      </c>
      <c r="M55" s="4520" t="s">
        <v>46</v>
      </c>
      <c r="N55" s="4522" t="s">
        <v>46</v>
      </c>
      <c r="O55" s="4520" t="s">
        <v>91</v>
      </c>
      <c r="P55" s="4520" t="s">
        <v>89</v>
      </c>
      <c r="Q55" s="4520">
        <v>6</v>
      </c>
      <c r="R55" s="4520">
        <v>6</v>
      </c>
      <c r="S55" s="4520">
        <v>6</v>
      </c>
      <c r="T55" s="4520">
        <v>6</v>
      </c>
      <c r="U55" s="4520">
        <v>6</v>
      </c>
      <c r="V55" s="3432"/>
      <c r="W55" s="3432"/>
      <c r="X55" s="3503" t="s">
        <v>46</v>
      </c>
      <c r="Y55" s="3503" t="s">
        <v>46</v>
      </c>
      <c r="Z55" s="3503" t="s">
        <v>46</v>
      </c>
      <c r="AA55" s="3503" t="s">
        <v>46</v>
      </c>
      <c r="AB55" s="3503" t="s">
        <v>46</v>
      </c>
      <c r="AC55" s="3503"/>
      <c r="AD55" s="4522"/>
      <c r="AE55" s="4522">
        <v>5</v>
      </c>
      <c r="AF55" s="4523">
        <v>5</v>
      </c>
      <c r="AG55" s="4523">
        <v>5</v>
      </c>
    </row>
    <row r="56" spans="1:36" ht="18" customHeight="1" thickBot="1">
      <c r="A56" s="4510">
        <v>14</v>
      </c>
      <c r="B56" s="308" t="s">
        <v>102</v>
      </c>
      <c r="C56" s="3596">
        <v>10</v>
      </c>
      <c r="D56" s="3496">
        <v>10</v>
      </c>
      <c r="E56" s="3496">
        <v>10</v>
      </c>
      <c r="F56" s="3506">
        <v>10</v>
      </c>
      <c r="G56" s="3496">
        <v>10</v>
      </c>
      <c r="H56" s="3496" t="s">
        <v>53</v>
      </c>
      <c r="I56" s="3496" t="s">
        <v>53</v>
      </c>
      <c r="J56" s="3496" t="s">
        <v>46</v>
      </c>
      <c r="K56" s="3496" t="s">
        <v>46</v>
      </c>
      <c r="L56" s="4524" t="s">
        <v>46</v>
      </c>
      <c r="M56" s="3496" t="s">
        <v>46</v>
      </c>
      <c r="N56" s="4524" t="s">
        <v>46</v>
      </c>
      <c r="O56" s="4524" t="s">
        <v>86</v>
      </c>
      <c r="P56" s="4524" t="s">
        <v>86</v>
      </c>
      <c r="Q56" s="3496">
        <v>7</v>
      </c>
      <c r="R56" s="3496">
        <v>7</v>
      </c>
      <c r="S56" s="3496">
        <v>7</v>
      </c>
      <c r="T56" s="3496">
        <v>7</v>
      </c>
      <c r="U56" s="3496">
        <v>7</v>
      </c>
      <c r="V56" s="3496"/>
      <c r="W56" s="3496"/>
      <c r="X56" s="4525">
        <v>4</v>
      </c>
      <c r="Y56" s="4526">
        <v>4</v>
      </c>
      <c r="Z56" s="3496">
        <v>4</v>
      </c>
      <c r="AA56" s="3496">
        <v>4</v>
      </c>
      <c r="AB56" s="3496">
        <v>4</v>
      </c>
      <c r="AC56" s="3496"/>
      <c r="AD56" s="3496"/>
      <c r="AE56" s="3464">
        <v>3</v>
      </c>
      <c r="AF56" s="3464">
        <v>3</v>
      </c>
      <c r="AG56" s="3496">
        <v>3</v>
      </c>
    </row>
    <row r="57" spans="1:36" ht="18" customHeight="1" thickBot="1">
      <c r="A57" s="4507">
        <v>5</v>
      </c>
      <c r="B57" s="350" t="s">
        <v>190</v>
      </c>
      <c r="C57" s="4527" t="s">
        <v>46</v>
      </c>
      <c r="D57" s="2989" t="s">
        <v>46</v>
      </c>
      <c r="E57" s="2989" t="s">
        <v>46</v>
      </c>
      <c r="F57" s="2989" t="s">
        <v>46</v>
      </c>
      <c r="G57" s="2989" t="s">
        <v>46</v>
      </c>
      <c r="H57" s="2989" t="s">
        <v>89</v>
      </c>
      <c r="I57" s="2989" t="s">
        <v>89</v>
      </c>
      <c r="J57" s="2989">
        <v>8</v>
      </c>
      <c r="K57" s="3088">
        <v>8</v>
      </c>
      <c r="L57" s="3088">
        <v>8</v>
      </c>
      <c r="M57" s="3088">
        <v>8</v>
      </c>
      <c r="N57" s="3112">
        <v>8</v>
      </c>
      <c r="O57" s="3089"/>
      <c r="P57" s="3088"/>
      <c r="Q57" s="3492" t="s">
        <v>46</v>
      </c>
      <c r="R57" s="3492" t="s">
        <v>46</v>
      </c>
      <c r="S57" s="3492" t="s">
        <v>46</v>
      </c>
      <c r="T57" s="3492" t="s">
        <v>46</v>
      </c>
      <c r="U57" s="3090" t="s">
        <v>46</v>
      </c>
      <c r="V57" s="3090"/>
      <c r="W57" s="3090"/>
      <c r="X57" s="3090">
        <v>1</v>
      </c>
      <c r="Y57" s="3112">
        <v>1</v>
      </c>
      <c r="Z57" s="3496" t="s">
        <v>587</v>
      </c>
      <c r="AA57" s="3496" t="s">
        <v>587</v>
      </c>
      <c r="AB57" s="3496" t="s">
        <v>587</v>
      </c>
      <c r="AC57" s="3090"/>
      <c r="AD57" s="3088"/>
      <c r="AE57" s="3088">
        <v>9</v>
      </c>
      <c r="AF57" s="3089">
        <v>9</v>
      </c>
      <c r="AG57" s="3089">
        <v>9</v>
      </c>
    </row>
    <row r="58" spans="1:36" ht="18" customHeight="1">
      <c r="A58" s="4508">
        <v>10</v>
      </c>
      <c r="B58" s="308" t="s">
        <v>105</v>
      </c>
      <c r="C58" s="4528" t="s">
        <v>46</v>
      </c>
      <c r="D58" s="3422" t="s">
        <v>46</v>
      </c>
      <c r="E58" s="3422" t="s">
        <v>46</v>
      </c>
      <c r="F58" s="3422" t="s">
        <v>46</v>
      </c>
      <c r="G58" s="3422" t="s">
        <v>46</v>
      </c>
      <c r="H58" s="3422" t="s">
        <v>91</v>
      </c>
      <c r="I58" s="3419" t="s">
        <v>89</v>
      </c>
      <c r="J58" s="3419">
        <v>6</v>
      </c>
      <c r="K58" s="3419">
        <v>6</v>
      </c>
      <c r="L58" s="3419">
        <v>6</v>
      </c>
      <c r="M58" s="3419">
        <v>6</v>
      </c>
      <c r="N58" s="3419">
        <v>6</v>
      </c>
      <c r="O58" s="3422"/>
      <c r="P58" s="3422"/>
      <c r="Q58" s="3422" t="s">
        <v>46</v>
      </c>
      <c r="R58" s="3422" t="s">
        <v>46</v>
      </c>
      <c r="S58" s="3422" t="s">
        <v>46</v>
      </c>
      <c r="T58" s="3419" t="s">
        <v>46</v>
      </c>
      <c r="U58" s="3419" t="s">
        <v>46</v>
      </c>
      <c r="V58" s="3418"/>
      <c r="W58" s="3418"/>
      <c r="X58" s="3418">
        <v>5</v>
      </c>
      <c r="Y58" s="3418">
        <v>5</v>
      </c>
      <c r="Z58" s="3418">
        <v>5</v>
      </c>
      <c r="AA58" s="3418"/>
      <c r="AB58" s="3418"/>
      <c r="AC58" s="3503"/>
      <c r="AD58" s="3503"/>
      <c r="AE58" s="3503">
        <v>10</v>
      </c>
      <c r="AF58" s="3503">
        <v>10</v>
      </c>
      <c r="AG58" s="3503">
        <v>10</v>
      </c>
    </row>
    <row r="59" spans="1:36" ht="18" customHeight="1">
      <c r="A59" s="4510">
        <v>15</v>
      </c>
      <c r="B59" s="958" t="s">
        <v>134</v>
      </c>
      <c r="C59" s="3596" t="s">
        <v>46</v>
      </c>
      <c r="D59" s="3496" t="s">
        <v>46</v>
      </c>
      <c r="E59" s="3496" t="s">
        <v>46</v>
      </c>
      <c r="F59" s="3450" t="s">
        <v>46</v>
      </c>
      <c r="G59" s="3450" t="s">
        <v>46</v>
      </c>
      <c r="H59" s="3450" t="s">
        <v>86</v>
      </c>
      <c r="I59" s="3450" t="s">
        <v>86</v>
      </c>
      <c r="J59" s="3450">
        <v>7</v>
      </c>
      <c r="K59" s="3451">
        <v>7</v>
      </c>
      <c r="L59" s="3496">
        <v>7</v>
      </c>
      <c r="M59" s="3496">
        <v>7</v>
      </c>
      <c r="N59" s="3496">
        <v>7</v>
      </c>
      <c r="O59" s="3427"/>
      <c r="P59" s="3427"/>
      <c r="Q59" s="3502">
        <v>4</v>
      </c>
      <c r="R59" s="4529" t="s">
        <v>415</v>
      </c>
      <c r="S59" s="4530">
        <v>4</v>
      </c>
      <c r="T59" s="4530">
        <v>4</v>
      </c>
      <c r="U59" s="4530">
        <v>4</v>
      </c>
      <c r="V59" s="3496"/>
      <c r="W59" s="3496"/>
      <c r="X59" s="3496">
        <v>3</v>
      </c>
      <c r="Y59" s="3451">
        <v>3</v>
      </c>
      <c r="Z59" s="3496" t="s">
        <v>588</v>
      </c>
      <c r="AA59" s="3496" t="s">
        <v>588</v>
      </c>
      <c r="AB59" s="3496" t="s">
        <v>588</v>
      </c>
      <c r="AC59" s="3496"/>
      <c r="AD59" s="3496"/>
      <c r="AE59" s="3451">
        <v>11</v>
      </c>
      <c r="AF59" s="3451">
        <v>11</v>
      </c>
      <c r="AG59" s="3451">
        <v>11</v>
      </c>
    </row>
    <row r="60" spans="1:36" ht="18" customHeight="1">
      <c r="A60" s="61"/>
      <c r="B60" s="108"/>
      <c r="AJ60" t="s">
        <v>0</v>
      </c>
    </row>
    <row r="62" spans="1:36" ht="18" customHeight="1" thickBot="1">
      <c r="B62" s="4531" t="s">
        <v>537</v>
      </c>
      <c r="C62" s="2985">
        <v>1</v>
      </c>
      <c r="D62" s="2985">
        <v>2</v>
      </c>
      <c r="E62" s="2985">
        <v>3</v>
      </c>
      <c r="F62" s="2985">
        <v>4</v>
      </c>
      <c r="G62" s="2985">
        <v>5</v>
      </c>
      <c r="H62" s="2986">
        <v>6</v>
      </c>
      <c r="I62" s="2986">
        <v>7</v>
      </c>
      <c r="J62" s="2985">
        <v>8</v>
      </c>
      <c r="K62" s="2985">
        <v>9</v>
      </c>
      <c r="L62" s="2985">
        <v>10</v>
      </c>
      <c r="M62" s="2985">
        <v>11</v>
      </c>
      <c r="N62" s="2985">
        <v>12</v>
      </c>
      <c r="O62" s="2986">
        <v>13</v>
      </c>
      <c r="P62" s="2986">
        <v>14</v>
      </c>
      <c r="Q62" s="2985">
        <v>15</v>
      </c>
      <c r="R62" s="2985">
        <v>16</v>
      </c>
      <c r="S62" s="2985">
        <v>17</v>
      </c>
      <c r="T62" s="2985">
        <v>18</v>
      </c>
      <c r="U62" s="2985">
        <v>19</v>
      </c>
      <c r="V62" s="2986">
        <v>20</v>
      </c>
      <c r="W62" s="2986">
        <v>21</v>
      </c>
      <c r="X62" s="2985">
        <v>22</v>
      </c>
      <c r="Y62" s="2985">
        <v>23</v>
      </c>
      <c r="Z62" s="2985">
        <v>24</v>
      </c>
      <c r="AA62" s="2986">
        <v>25</v>
      </c>
      <c r="AB62" s="2986">
        <v>26</v>
      </c>
      <c r="AC62" s="2986">
        <v>27</v>
      </c>
      <c r="AD62" s="2986">
        <v>28</v>
      </c>
      <c r="AE62" s="2985">
        <v>29</v>
      </c>
      <c r="AF62" s="2985">
        <v>30</v>
      </c>
      <c r="AG62" s="2985">
        <v>31</v>
      </c>
    </row>
    <row r="63" spans="1:36" ht="18" customHeight="1" thickBot="1">
      <c r="B63" s="722" t="s">
        <v>385</v>
      </c>
      <c r="C63" s="4532" t="s">
        <v>139</v>
      </c>
      <c r="D63" s="240" t="s">
        <v>46</v>
      </c>
      <c r="E63" s="240" t="s">
        <v>46</v>
      </c>
      <c r="F63" s="240" t="s">
        <v>118</v>
      </c>
      <c r="G63" s="240" t="s">
        <v>118</v>
      </c>
      <c r="H63" s="240" t="s">
        <v>118</v>
      </c>
      <c r="I63" s="902"/>
      <c r="J63" s="240" t="s">
        <v>46</v>
      </c>
      <c r="K63" s="240" t="s">
        <v>46</v>
      </c>
      <c r="L63" s="240" t="s">
        <v>46</v>
      </c>
      <c r="M63" s="240" t="s">
        <v>46</v>
      </c>
      <c r="N63" s="4499" t="s">
        <v>46</v>
      </c>
      <c r="O63" s="4499" t="s">
        <v>0</v>
      </c>
      <c r="P63" s="4499" t="s">
        <v>0</v>
      </c>
      <c r="Q63" s="240" t="s">
        <v>46</v>
      </c>
      <c r="R63" s="240" t="s">
        <v>46</v>
      </c>
      <c r="S63" s="240" t="s">
        <v>113</v>
      </c>
      <c r="T63" s="240" t="s">
        <v>113</v>
      </c>
      <c r="U63" s="925" t="s">
        <v>61</v>
      </c>
      <c r="V63" s="351" t="s">
        <v>118</v>
      </c>
      <c r="W63" s="351" t="s">
        <v>118</v>
      </c>
      <c r="X63" s="240" t="s">
        <v>46</v>
      </c>
      <c r="Y63" s="240" t="s">
        <v>46</v>
      </c>
      <c r="Z63" s="240" t="s">
        <v>46</v>
      </c>
      <c r="AA63" s="902" t="s">
        <v>46</v>
      </c>
      <c r="AB63" s="902" t="s">
        <v>46</v>
      </c>
      <c r="AC63" s="1024" t="s">
        <v>139</v>
      </c>
      <c r="AD63" s="1024"/>
      <c r="AE63" s="4533" t="s">
        <v>418</v>
      </c>
      <c r="AF63" s="4533" t="s">
        <v>418</v>
      </c>
      <c r="AG63" s="1024" t="s">
        <v>46</v>
      </c>
    </row>
    <row r="64" spans="1:36" ht="18" customHeight="1">
      <c r="B64" s="3518" t="s">
        <v>112</v>
      </c>
      <c r="C64" s="3433" t="s">
        <v>475</v>
      </c>
      <c r="D64" s="3433" t="s">
        <v>475</v>
      </c>
      <c r="E64" s="3433" t="s">
        <v>589</v>
      </c>
      <c r="F64" s="310" t="s">
        <v>104</v>
      </c>
      <c r="G64" s="4479" t="s">
        <v>40</v>
      </c>
      <c r="H64" s="3422"/>
      <c r="I64" s="3422"/>
      <c r="J64" s="3432" t="s">
        <v>475</v>
      </c>
      <c r="K64" s="3432" t="s">
        <v>475</v>
      </c>
      <c r="L64" s="3434" t="s">
        <v>475</v>
      </c>
      <c r="M64" s="3432" t="s">
        <v>475</v>
      </c>
      <c r="N64" s="3432" t="s">
        <v>475</v>
      </c>
      <c r="O64" s="3422"/>
      <c r="P64" s="3432"/>
      <c r="Q64" s="3432" t="s">
        <v>475</v>
      </c>
      <c r="R64" s="3432" t="s">
        <v>475</v>
      </c>
      <c r="S64" s="3432" t="s">
        <v>475</v>
      </c>
      <c r="T64" s="3432" t="s">
        <v>475</v>
      </c>
      <c r="U64" s="3432" t="s">
        <v>475</v>
      </c>
      <c r="V64" s="3423" t="s">
        <v>0</v>
      </c>
      <c r="W64" s="3423"/>
      <c r="X64" s="3432" t="s">
        <v>475</v>
      </c>
      <c r="Y64" s="3432" t="s">
        <v>475</v>
      </c>
      <c r="Z64" s="3432" t="s">
        <v>475</v>
      </c>
      <c r="AA64" s="3418"/>
      <c r="AB64" s="3418"/>
      <c r="AC64" s="3423"/>
      <c r="AD64" s="3423"/>
      <c r="AE64" s="3432" t="s">
        <v>475</v>
      </c>
      <c r="AF64" s="3432" t="s">
        <v>475</v>
      </c>
      <c r="AG64" s="4479" t="s">
        <v>40</v>
      </c>
    </row>
    <row r="65" spans="2:34" ht="18" customHeight="1">
      <c r="B65" s="3518" t="s">
        <v>114</v>
      </c>
      <c r="C65" s="3525" t="s">
        <v>159</v>
      </c>
      <c r="D65" s="3525" t="s">
        <v>159</v>
      </c>
      <c r="E65" s="3551" t="s">
        <v>159</v>
      </c>
      <c r="F65" s="3551" t="s">
        <v>159</v>
      </c>
      <c r="G65" s="951" t="s">
        <v>123</v>
      </c>
      <c r="H65" s="3422"/>
      <c r="I65" s="3422"/>
      <c r="J65" s="3423" t="s">
        <v>123</v>
      </c>
      <c r="K65" s="3423" t="s">
        <v>123</v>
      </c>
      <c r="L65" s="3423" t="s">
        <v>123</v>
      </c>
      <c r="M65" s="3423" t="s">
        <v>123</v>
      </c>
      <c r="N65" s="3423" t="s">
        <v>123</v>
      </c>
      <c r="O65" s="3422"/>
      <c r="P65" s="3432"/>
      <c r="Q65" s="343" t="s">
        <v>123</v>
      </c>
      <c r="R65" s="343" t="s">
        <v>123</v>
      </c>
      <c r="S65" s="343" t="s">
        <v>123</v>
      </c>
      <c r="T65" s="343" t="s">
        <v>123</v>
      </c>
      <c r="U65" s="343" t="s">
        <v>123</v>
      </c>
      <c r="V65" s="3423"/>
      <c r="W65" s="3423"/>
      <c r="X65" s="4534" t="s">
        <v>123</v>
      </c>
      <c r="Y65" s="4534" t="s">
        <v>123</v>
      </c>
      <c r="Z65" s="4534" t="s">
        <v>46</v>
      </c>
      <c r="AA65" s="3418"/>
      <c r="AB65" s="3418"/>
      <c r="AC65" s="3423"/>
      <c r="AD65" s="3423"/>
      <c r="AE65" s="3423" t="s">
        <v>46</v>
      </c>
      <c r="AF65" s="3423" t="s">
        <v>46</v>
      </c>
      <c r="AG65" s="3423" t="s">
        <v>46</v>
      </c>
    </row>
    <row r="66" spans="2:34" ht="18" customHeight="1">
      <c r="B66" s="3518" t="s">
        <v>115</v>
      </c>
      <c r="C66" s="4535" t="s">
        <v>46</v>
      </c>
      <c r="D66" s="4535" t="s">
        <v>46</v>
      </c>
      <c r="E66" s="4535" t="s">
        <v>46</v>
      </c>
      <c r="F66" s="4535" t="s">
        <v>46</v>
      </c>
      <c r="G66" s="4535" t="s">
        <v>40</v>
      </c>
      <c r="H66" s="4536"/>
      <c r="I66" s="4536"/>
      <c r="J66" s="4537">
        <v>9</v>
      </c>
      <c r="K66" s="4537">
        <v>9</v>
      </c>
      <c r="L66" s="4537">
        <v>9</v>
      </c>
      <c r="M66" s="4537">
        <v>9</v>
      </c>
      <c r="N66" s="4538">
        <v>9</v>
      </c>
      <c r="O66" s="4538" t="s">
        <v>52</v>
      </c>
      <c r="P66" s="4538" t="s">
        <v>53</v>
      </c>
      <c r="Q66" s="4535" t="s">
        <v>46</v>
      </c>
      <c r="R66" s="4535" t="s">
        <v>46</v>
      </c>
      <c r="S66" s="4535" t="s">
        <v>40</v>
      </c>
      <c r="T66" s="4535" t="s">
        <v>40</v>
      </c>
      <c r="U66" s="4535" t="s">
        <v>40</v>
      </c>
      <c r="V66" s="4539"/>
      <c r="W66" s="4539"/>
      <c r="X66" s="4540">
        <v>4</v>
      </c>
      <c r="Y66" s="4539">
        <v>4</v>
      </c>
      <c r="Z66" s="4541" t="s">
        <v>40</v>
      </c>
      <c r="AA66" s="4495"/>
      <c r="AB66" s="4495"/>
      <c r="AC66" s="4539"/>
      <c r="AD66" s="4482" t="s">
        <v>61</v>
      </c>
      <c r="AE66" s="4542" t="s">
        <v>61</v>
      </c>
      <c r="AF66" s="899" t="s">
        <v>46</v>
      </c>
      <c r="AG66" s="899" t="s">
        <v>46</v>
      </c>
    </row>
    <row r="67" spans="2:34" ht="18" customHeight="1">
      <c r="B67" s="3518" t="s">
        <v>117</v>
      </c>
      <c r="C67" s="4532" t="s">
        <v>46</v>
      </c>
      <c r="D67" s="3423" t="s">
        <v>46</v>
      </c>
      <c r="E67" s="484" t="s">
        <v>61</v>
      </c>
      <c r="F67" s="480" t="s">
        <v>61</v>
      </c>
      <c r="G67" s="3423" t="s">
        <v>46</v>
      </c>
      <c r="H67" s="3422"/>
      <c r="I67" s="3422"/>
      <c r="J67" s="3423">
        <v>9</v>
      </c>
      <c r="K67" s="3422">
        <v>9</v>
      </c>
      <c r="L67" s="3422">
        <v>9</v>
      </c>
      <c r="M67" s="3422">
        <v>9</v>
      </c>
      <c r="N67" s="4481">
        <v>9</v>
      </c>
      <c r="O67" s="3422"/>
      <c r="P67" s="3432"/>
      <c r="Q67" s="4543" t="s">
        <v>121</v>
      </c>
      <c r="R67" s="4543" t="s">
        <v>121</v>
      </c>
      <c r="S67" s="4543" t="s">
        <v>116</v>
      </c>
      <c r="T67" s="4543" t="s">
        <v>40</v>
      </c>
      <c r="U67" s="4543" t="s">
        <v>40</v>
      </c>
      <c r="V67" s="4543" t="s">
        <v>0</v>
      </c>
      <c r="W67" s="4543" t="s">
        <v>0</v>
      </c>
      <c r="X67" s="4540" t="s">
        <v>46</v>
      </c>
      <c r="Y67" s="4539" t="s">
        <v>46</v>
      </c>
      <c r="Z67" s="4541" t="s">
        <v>40</v>
      </c>
      <c r="AA67" s="3418"/>
      <c r="AB67" s="3418"/>
      <c r="AC67" s="3423"/>
      <c r="AD67" s="3423"/>
      <c r="AE67" s="4539" t="s">
        <v>40</v>
      </c>
      <c r="AF67" s="4539" t="s">
        <v>40</v>
      </c>
      <c r="AG67" s="4539" t="s">
        <v>40</v>
      </c>
    </row>
    <row r="68" spans="2:34" ht="18" customHeight="1" thickBot="1">
      <c r="B68" s="3518" t="s">
        <v>119</v>
      </c>
      <c r="C68" s="4543">
        <v>25</v>
      </c>
      <c r="D68" s="4543" t="s">
        <v>40</v>
      </c>
      <c r="E68" s="3420" t="s">
        <v>40</v>
      </c>
      <c r="F68" s="3420" t="s">
        <v>40</v>
      </c>
      <c r="G68" s="4543" t="s">
        <v>128</v>
      </c>
      <c r="H68" s="1589" t="s">
        <v>429</v>
      </c>
      <c r="I68" s="1589" t="s">
        <v>418</v>
      </c>
      <c r="J68" s="3496" t="s">
        <v>46</v>
      </c>
      <c r="K68" s="3496" t="s">
        <v>46</v>
      </c>
      <c r="L68" s="3496" t="s">
        <v>46</v>
      </c>
      <c r="M68" s="3496" t="s">
        <v>46</v>
      </c>
      <c r="N68" s="3496" t="s">
        <v>46</v>
      </c>
      <c r="O68" s="3422"/>
      <c r="P68" s="3432"/>
      <c r="Q68" s="343" t="s">
        <v>418</v>
      </c>
      <c r="R68" s="343" t="s">
        <v>418</v>
      </c>
      <c r="S68" s="3496" t="s">
        <v>46</v>
      </c>
      <c r="T68" s="3496" t="s">
        <v>587</v>
      </c>
      <c r="U68" s="3496" t="s">
        <v>587</v>
      </c>
      <c r="V68" s="3496"/>
      <c r="W68" s="3496"/>
      <c r="X68" s="3496">
        <v>10</v>
      </c>
      <c r="Y68" s="3496">
        <v>10</v>
      </c>
      <c r="Z68" s="3496">
        <v>10</v>
      </c>
      <c r="AA68" s="3496">
        <v>10</v>
      </c>
      <c r="AB68" s="3496" t="s">
        <v>0</v>
      </c>
      <c r="AC68" s="3496" t="s">
        <v>0</v>
      </c>
      <c r="AD68" s="3496" t="s">
        <v>0</v>
      </c>
      <c r="AE68" s="504" t="s">
        <v>46</v>
      </c>
      <c r="AF68" s="504" t="s">
        <v>46</v>
      </c>
      <c r="AG68" s="504" t="s">
        <v>46</v>
      </c>
    </row>
    <row r="69" spans="2:34" ht="18" customHeight="1">
      <c r="B69" s="3518" t="s">
        <v>122</v>
      </c>
      <c r="C69" s="4544" t="s">
        <v>40</v>
      </c>
      <c r="D69" s="4544" t="s">
        <v>40</v>
      </c>
      <c r="E69" s="4545">
        <v>99</v>
      </c>
      <c r="F69" s="4536">
        <v>99</v>
      </c>
      <c r="G69" s="4539" t="s">
        <v>40</v>
      </c>
      <c r="H69" s="3422"/>
      <c r="I69" s="3422"/>
      <c r="J69" s="3494" t="s">
        <v>40</v>
      </c>
      <c r="K69" s="3494" t="s">
        <v>40</v>
      </c>
      <c r="L69" s="3494" t="s">
        <v>40</v>
      </c>
      <c r="M69" s="3494" t="s">
        <v>40</v>
      </c>
      <c r="N69" s="3494" t="s">
        <v>40</v>
      </c>
      <c r="O69" s="3494"/>
      <c r="P69" s="3437"/>
      <c r="Q69" s="3432" t="s">
        <v>116</v>
      </c>
      <c r="R69" s="3432" t="s">
        <v>116</v>
      </c>
      <c r="S69" s="3432" t="s">
        <v>116</v>
      </c>
      <c r="T69" s="3432" t="s">
        <v>116</v>
      </c>
      <c r="U69" s="3437" t="s">
        <v>116</v>
      </c>
      <c r="V69" s="3423"/>
      <c r="W69" s="3423"/>
      <c r="X69" s="3526" t="s">
        <v>116</v>
      </c>
      <c r="Y69" s="3526" t="s">
        <v>116</v>
      </c>
      <c r="Z69" s="3526" t="s">
        <v>116</v>
      </c>
      <c r="AA69" s="3418"/>
      <c r="AB69" s="3418"/>
      <c r="AC69" s="3423"/>
      <c r="AD69" s="3423" t="s">
        <v>0</v>
      </c>
      <c r="AE69" s="3423">
        <v>69</v>
      </c>
      <c r="AF69" s="3423">
        <v>69</v>
      </c>
      <c r="AG69" s="3423" t="s">
        <v>116</v>
      </c>
    </row>
    <row r="70" spans="2:34" ht="18" customHeight="1" thickBot="1">
      <c r="B70" s="3518" t="s">
        <v>129</v>
      </c>
      <c r="C70" s="3423">
        <v>4</v>
      </c>
      <c r="D70" s="3423">
        <v>4</v>
      </c>
      <c r="E70" s="3422">
        <v>4</v>
      </c>
      <c r="F70" s="3420">
        <v>4</v>
      </c>
      <c r="G70" s="3420">
        <v>4</v>
      </c>
      <c r="H70" s="3422"/>
      <c r="I70" s="3422"/>
      <c r="J70" s="3423" t="s">
        <v>153</v>
      </c>
      <c r="K70" s="3423" t="s">
        <v>153</v>
      </c>
      <c r="L70" s="3423" t="s">
        <v>153</v>
      </c>
      <c r="M70" s="3423" t="s">
        <v>153</v>
      </c>
      <c r="N70" s="3423" t="s">
        <v>153</v>
      </c>
      <c r="O70" s="3422"/>
      <c r="P70" s="3432"/>
      <c r="Q70" s="4546">
        <v>1</v>
      </c>
      <c r="R70" s="4546">
        <v>1</v>
      </c>
      <c r="S70" s="3496" t="s">
        <v>153</v>
      </c>
      <c r="T70" s="3506" t="s">
        <v>46</v>
      </c>
      <c r="U70" s="3423">
        <v>89</v>
      </c>
      <c r="V70" s="4547" t="s">
        <v>91</v>
      </c>
      <c r="W70" s="4520" t="s">
        <v>89</v>
      </c>
      <c r="X70" s="3440" t="s">
        <v>130</v>
      </c>
      <c r="Y70" s="3423" t="s">
        <v>130</v>
      </c>
      <c r="Z70" s="3526" t="s">
        <v>46</v>
      </c>
      <c r="AA70" s="3418"/>
      <c r="AB70" s="3418"/>
      <c r="AC70" s="3423"/>
      <c r="AD70" s="3423"/>
      <c r="AE70" s="3423">
        <v>79</v>
      </c>
      <c r="AF70" s="3423">
        <v>79</v>
      </c>
      <c r="AG70" s="3423" t="s">
        <v>40</v>
      </c>
    </row>
    <row r="71" spans="2:34" ht="18" customHeight="1">
      <c r="B71" s="3517" t="s">
        <v>140</v>
      </c>
      <c r="C71" s="3423" t="s">
        <v>46</v>
      </c>
      <c r="D71" s="3445" t="s">
        <v>46</v>
      </c>
      <c r="E71" s="3445" t="s">
        <v>46</v>
      </c>
      <c r="F71" s="3445" t="s">
        <v>46</v>
      </c>
      <c r="G71" s="3445" t="s">
        <v>46</v>
      </c>
      <c r="H71" s="3423"/>
      <c r="I71" s="3441"/>
      <c r="J71" s="3423" t="s">
        <v>116</v>
      </c>
      <c r="K71" s="3423" t="s">
        <v>116</v>
      </c>
      <c r="L71" s="3423" t="s">
        <v>116</v>
      </c>
      <c r="M71" s="3423" t="s">
        <v>116</v>
      </c>
      <c r="N71" s="3423" t="s">
        <v>116</v>
      </c>
      <c r="O71" s="3504"/>
      <c r="P71" s="3423"/>
      <c r="Q71" s="4539" t="s">
        <v>40</v>
      </c>
      <c r="R71" s="4539" t="s">
        <v>40</v>
      </c>
      <c r="S71" s="4539" t="s">
        <v>40</v>
      </c>
      <c r="T71" s="4539" t="s">
        <v>40</v>
      </c>
      <c r="U71" s="4539" t="s">
        <v>40</v>
      </c>
      <c r="V71" s="3494" t="s">
        <v>0</v>
      </c>
      <c r="W71" s="3494" t="s">
        <v>0</v>
      </c>
      <c r="X71" s="3494" t="s">
        <v>40</v>
      </c>
      <c r="Y71" s="3494" t="s">
        <v>40</v>
      </c>
      <c r="Z71" s="3494" t="s">
        <v>40</v>
      </c>
      <c r="AA71" s="3494" t="s">
        <v>0</v>
      </c>
      <c r="AB71" s="3494" t="s">
        <v>0</v>
      </c>
      <c r="AC71" s="246" t="s">
        <v>0</v>
      </c>
      <c r="AD71" s="246" t="s">
        <v>0</v>
      </c>
      <c r="AE71" s="3494" t="s">
        <v>40</v>
      </c>
      <c r="AF71" s="3494" t="s">
        <v>40</v>
      </c>
      <c r="AG71" s="3494" t="s">
        <v>40</v>
      </c>
      <c r="AH71" s="343" t="s">
        <v>40</v>
      </c>
    </row>
    <row r="72" spans="2:34" ht="18" customHeight="1" thickBot="1">
      <c r="B72" s="3580" t="s">
        <v>478</v>
      </c>
      <c r="C72" s="4548">
        <v>5</v>
      </c>
      <c r="D72" s="4548">
        <v>5</v>
      </c>
      <c r="E72" s="4549" t="s">
        <v>590</v>
      </c>
      <c r="F72" s="4550">
        <v>5</v>
      </c>
      <c r="G72" s="4549">
        <v>5</v>
      </c>
      <c r="H72" s="3430" t="s">
        <v>373</v>
      </c>
      <c r="I72" s="3430" t="s">
        <v>200</v>
      </c>
      <c r="J72" s="957" t="s">
        <v>46</v>
      </c>
      <c r="K72" s="956"/>
      <c r="L72" s="959"/>
      <c r="M72" s="240" t="s">
        <v>46</v>
      </c>
      <c r="N72" s="240" t="s">
        <v>40</v>
      </c>
      <c r="O72" s="3614"/>
      <c r="P72" s="3434"/>
      <c r="Q72" s="3432">
        <v>5</v>
      </c>
      <c r="R72" s="3456">
        <v>5</v>
      </c>
      <c r="S72" s="3456">
        <v>5</v>
      </c>
      <c r="T72" s="4502">
        <v>5</v>
      </c>
      <c r="U72" s="3423">
        <v>5</v>
      </c>
      <c r="V72" s="3423"/>
      <c r="W72" s="3423"/>
      <c r="X72" s="4534">
        <v>4</v>
      </c>
      <c r="Y72" s="4534" t="s">
        <v>159</v>
      </c>
      <c r="Z72" s="4534" t="s">
        <v>46</v>
      </c>
      <c r="AA72" s="3496" t="s">
        <v>46</v>
      </c>
      <c r="AB72" s="3496">
        <v>10</v>
      </c>
      <c r="AC72" s="3496" t="s">
        <v>53</v>
      </c>
      <c r="AD72" s="3496" t="s">
        <v>53</v>
      </c>
      <c r="AE72" s="593" t="s">
        <v>46</v>
      </c>
      <c r="AF72" s="504" t="s">
        <v>46</v>
      </c>
      <c r="AG72" s="504" t="s">
        <v>46</v>
      </c>
    </row>
    <row r="73" spans="2:34" ht="18" customHeight="1" thickBot="1">
      <c r="B73" s="3517" t="s">
        <v>479</v>
      </c>
      <c r="C73" s="4534" t="s">
        <v>46</v>
      </c>
      <c r="D73" s="4534" t="s">
        <v>46</v>
      </c>
      <c r="E73" s="4534" t="s">
        <v>46</v>
      </c>
      <c r="F73" s="4534" t="s">
        <v>46</v>
      </c>
      <c r="G73" s="4548" t="s">
        <v>46</v>
      </c>
      <c r="H73" s="3422"/>
      <c r="I73" s="3422"/>
      <c r="J73" s="3423">
        <v>21</v>
      </c>
      <c r="K73" s="3423">
        <v>21</v>
      </c>
      <c r="L73" s="3423">
        <v>21</v>
      </c>
      <c r="M73" s="3423">
        <v>21</v>
      </c>
      <c r="N73" s="3423">
        <v>23</v>
      </c>
      <c r="O73" s="4499" t="s">
        <v>52</v>
      </c>
      <c r="P73" s="4509" t="s">
        <v>52</v>
      </c>
      <c r="Q73" s="3423" t="s">
        <v>46</v>
      </c>
      <c r="R73" s="3423" t="s">
        <v>46</v>
      </c>
      <c r="S73" s="3423" t="s">
        <v>46</v>
      </c>
      <c r="T73" s="4457">
        <v>22</v>
      </c>
      <c r="U73" s="3423">
        <v>21</v>
      </c>
      <c r="V73" s="3450">
        <v>21</v>
      </c>
      <c r="W73" s="3450">
        <v>21</v>
      </c>
      <c r="X73" s="3423" t="s">
        <v>46</v>
      </c>
      <c r="Y73" s="3423" t="s">
        <v>46</v>
      </c>
      <c r="Z73" s="4534" t="s">
        <v>46</v>
      </c>
      <c r="AA73" s="3418"/>
      <c r="AB73" s="3418"/>
      <c r="AC73" s="3423"/>
      <c r="AD73" s="3423"/>
      <c r="AE73" s="3423">
        <v>1</v>
      </c>
      <c r="AF73" s="3423">
        <v>1</v>
      </c>
      <c r="AG73" s="3423">
        <v>1</v>
      </c>
    </row>
    <row r="74" spans="2:34" ht="18" customHeight="1" thickBot="1">
      <c r="B74" s="4551" t="s">
        <v>564</v>
      </c>
      <c r="C74" s="4534">
        <v>21</v>
      </c>
      <c r="D74" s="3423">
        <v>21</v>
      </c>
      <c r="E74" s="3422">
        <v>21</v>
      </c>
      <c r="F74" s="3445" t="s">
        <v>46</v>
      </c>
      <c r="G74" s="3445" t="s">
        <v>46</v>
      </c>
      <c r="H74" s="3422"/>
      <c r="I74" s="3422"/>
      <c r="J74" s="3436">
        <v>23</v>
      </c>
      <c r="K74" s="3436">
        <v>23</v>
      </c>
      <c r="L74" s="3423">
        <v>23</v>
      </c>
      <c r="M74" s="3423">
        <v>23</v>
      </c>
      <c r="N74" s="3423">
        <v>21</v>
      </c>
      <c r="O74" s="3423">
        <v>23</v>
      </c>
      <c r="P74" s="3423">
        <v>23</v>
      </c>
      <c r="Q74" s="4534" t="s">
        <v>46</v>
      </c>
      <c r="R74" s="4534" t="s">
        <v>46</v>
      </c>
      <c r="S74" s="4534" t="s">
        <v>46</v>
      </c>
      <c r="T74" s="4534" t="s">
        <v>46</v>
      </c>
      <c r="U74" s="4534" t="s">
        <v>46</v>
      </c>
      <c r="V74" s="3423">
        <v>23</v>
      </c>
      <c r="W74" s="3423">
        <v>23</v>
      </c>
      <c r="X74" s="3423" t="s">
        <v>46</v>
      </c>
      <c r="Y74" s="3423" t="s">
        <v>46</v>
      </c>
      <c r="Z74" s="3423" t="s">
        <v>46</v>
      </c>
      <c r="AA74" s="3496" t="s">
        <v>0</v>
      </c>
      <c r="AB74" s="3450" t="s">
        <v>0</v>
      </c>
      <c r="AC74" s="3450">
        <v>23</v>
      </c>
      <c r="AD74" s="3450">
        <v>23</v>
      </c>
      <c r="AE74" s="3423">
        <v>21</v>
      </c>
      <c r="AF74" s="3423">
        <v>21</v>
      </c>
      <c r="AG74" s="3423" t="s">
        <v>46</v>
      </c>
    </row>
    <row r="75" spans="2:34" ht="18" customHeight="1" thickBot="1">
      <c r="B75" s="3592" t="s">
        <v>565</v>
      </c>
      <c r="C75" s="3521" t="s">
        <v>113</v>
      </c>
      <c r="D75" s="3521" t="s">
        <v>113</v>
      </c>
      <c r="E75" s="3420" t="s">
        <v>40</v>
      </c>
      <c r="F75" s="4552" t="s">
        <v>40</v>
      </c>
      <c r="G75" s="3423" t="s">
        <v>46</v>
      </c>
      <c r="H75" s="3614"/>
      <c r="I75" s="3422"/>
      <c r="J75" s="3423" t="s">
        <v>113</v>
      </c>
      <c r="K75" s="3423" t="s">
        <v>46</v>
      </c>
      <c r="L75" s="3423" t="s">
        <v>116</v>
      </c>
      <c r="M75" s="3423" t="s">
        <v>116</v>
      </c>
      <c r="N75" s="3423" t="s">
        <v>46</v>
      </c>
      <c r="O75" s="3422"/>
      <c r="P75" s="4553" t="s">
        <v>61</v>
      </c>
      <c r="Q75" s="3444" t="s">
        <v>118</v>
      </c>
      <c r="R75" s="351" t="s">
        <v>118</v>
      </c>
      <c r="S75" s="351" t="s">
        <v>118</v>
      </c>
      <c r="T75" s="3423" t="s">
        <v>46</v>
      </c>
      <c r="U75" s="3423" t="s">
        <v>46</v>
      </c>
      <c r="V75" s="3521" t="s">
        <v>373</v>
      </c>
      <c r="W75" s="3521" t="s">
        <v>113</v>
      </c>
      <c r="X75" s="3440" t="s">
        <v>46</v>
      </c>
      <c r="Y75" s="1456" t="s">
        <v>46</v>
      </c>
      <c r="Z75" s="1456" t="s">
        <v>46</v>
      </c>
      <c r="AA75" s="3524"/>
      <c r="AB75" s="3524"/>
      <c r="AC75" s="3423"/>
      <c r="AD75" s="3423"/>
      <c r="AE75" s="343" t="s">
        <v>113</v>
      </c>
      <c r="AF75" s="343" t="s">
        <v>113</v>
      </c>
      <c r="AG75" s="3423" t="s">
        <v>46</v>
      </c>
    </row>
    <row r="76" spans="2:34" ht="18" customHeight="1">
      <c r="B76" s="3592" t="s">
        <v>540</v>
      </c>
      <c r="C76" s="3525" t="s">
        <v>46</v>
      </c>
      <c r="D76" s="3525" t="s">
        <v>46</v>
      </c>
      <c r="E76" s="484" t="s">
        <v>46</v>
      </c>
      <c r="F76" s="480" t="s">
        <v>46</v>
      </c>
      <c r="G76" s="480" t="s">
        <v>61</v>
      </c>
      <c r="H76" s="3550" t="s">
        <v>0</v>
      </c>
      <c r="I76" s="3550" t="s">
        <v>0</v>
      </c>
      <c r="J76" s="3550" t="s">
        <v>46</v>
      </c>
      <c r="K76" s="480" t="s">
        <v>61</v>
      </c>
      <c r="L76" s="480" t="s">
        <v>61</v>
      </c>
      <c r="M76" s="480" t="s">
        <v>61</v>
      </c>
      <c r="N76" s="480" t="s">
        <v>61</v>
      </c>
      <c r="O76" s="484" t="s">
        <v>61</v>
      </c>
      <c r="P76" s="484"/>
      <c r="Q76" s="487" t="s">
        <v>46</v>
      </c>
      <c r="R76" s="487" t="s">
        <v>46</v>
      </c>
      <c r="S76" s="487" t="s">
        <v>61</v>
      </c>
      <c r="T76" s="487" t="s">
        <v>61</v>
      </c>
      <c r="U76" s="1014" t="s">
        <v>46</v>
      </c>
      <c r="V76" s="1014" t="s">
        <v>46</v>
      </c>
      <c r="W76" s="1014" t="s">
        <v>46</v>
      </c>
      <c r="X76" s="480" t="s">
        <v>46</v>
      </c>
      <c r="Y76" s="480" t="s">
        <v>46</v>
      </c>
      <c r="Z76" s="480" t="s">
        <v>46</v>
      </c>
      <c r="AA76" s="3525" t="s">
        <v>61</v>
      </c>
      <c r="AB76" s="3525" t="s">
        <v>61</v>
      </c>
      <c r="AC76" s="3525" t="s">
        <v>61</v>
      </c>
      <c r="AD76" s="3525" t="s">
        <v>46</v>
      </c>
      <c r="AE76" s="3525" t="s">
        <v>46</v>
      </c>
      <c r="AF76" s="484" t="s">
        <v>61</v>
      </c>
      <c r="AG76" s="484" t="s">
        <v>61</v>
      </c>
    </row>
    <row r="77" spans="2:34" ht="18" customHeight="1">
      <c r="B77" s="4554" t="s">
        <v>541</v>
      </c>
      <c r="C77" s="4555">
        <v>1</v>
      </c>
      <c r="D77" s="4476">
        <v>1</v>
      </c>
      <c r="E77" s="3573">
        <v>1</v>
      </c>
      <c r="F77" s="3573">
        <v>1</v>
      </c>
      <c r="G77" s="4476" t="s">
        <v>411</v>
      </c>
      <c r="H77" s="3422"/>
      <c r="I77" s="3422"/>
      <c r="J77" s="3423">
        <v>3</v>
      </c>
      <c r="K77" s="3422">
        <v>3</v>
      </c>
      <c r="L77" s="3422">
        <v>3</v>
      </c>
      <c r="M77" s="4556">
        <v>3</v>
      </c>
      <c r="N77" s="3422">
        <v>3</v>
      </c>
      <c r="O77" s="3422"/>
      <c r="P77" s="3432"/>
      <c r="Q77" s="3423"/>
      <c r="R77" s="3423"/>
      <c r="S77" s="3423"/>
      <c r="T77" s="3423"/>
      <c r="U77" s="3423"/>
      <c r="V77" s="3423"/>
      <c r="W77" s="3423"/>
      <c r="X77" s="3423"/>
      <c r="Y77" s="3423"/>
      <c r="Z77" s="3423"/>
      <c r="AA77" s="3423"/>
      <c r="AB77" s="3423"/>
      <c r="AC77" s="3423"/>
      <c r="AD77" s="3423"/>
      <c r="AE77" s="3423"/>
      <c r="AF77" s="3423"/>
      <c r="AG77" s="3423"/>
    </row>
    <row r="78" spans="2:34" ht="18" customHeight="1" thickBot="1">
      <c r="B78" s="4557" t="s">
        <v>591</v>
      </c>
      <c r="C78" s="3525" t="s">
        <v>418</v>
      </c>
      <c r="D78" s="3525" t="s">
        <v>418</v>
      </c>
      <c r="E78" s="3525" t="s">
        <v>46</v>
      </c>
      <c r="F78" s="3422" t="s">
        <v>46</v>
      </c>
      <c r="G78" s="3614" t="s">
        <v>46</v>
      </c>
      <c r="H78" s="3422"/>
      <c r="I78" s="3614" t="s">
        <v>0</v>
      </c>
      <c r="J78" s="4558">
        <v>23</v>
      </c>
      <c r="K78" s="4558">
        <v>23</v>
      </c>
      <c r="L78" s="3423" t="s">
        <v>46</v>
      </c>
      <c r="M78" s="3423" t="s">
        <v>46</v>
      </c>
      <c r="N78" s="3423" t="s">
        <v>46</v>
      </c>
      <c r="O78" s="3422"/>
      <c r="P78" s="3432"/>
      <c r="Q78" s="3451">
        <v>21</v>
      </c>
      <c r="R78" s="3496" t="s">
        <v>126</v>
      </c>
      <c r="S78" s="3450" t="s">
        <v>139</v>
      </c>
      <c r="T78" s="3450" t="s">
        <v>113</v>
      </c>
      <c r="U78" s="3423" t="s">
        <v>373</v>
      </c>
      <c r="V78" s="3450" t="s">
        <v>429</v>
      </c>
      <c r="W78" s="3450" t="s">
        <v>418</v>
      </c>
      <c r="X78" s="3423" t="s">
        <v>46</v>
      </c>
      <c r="Y78" s="3423" t="s">
        <v>46</v>
      </c>
      <c r="Z78" s="4559" t="s">
        <v>373</v>
      </c>
      <c r="AA78" s="3418"/>
      <c r="AB78" s="3418"/>
      <c r="AC78" s="3423"/>
      <c r="AD78" s="3423" t="s">
        <v>61</v>
      </c>
      <c r="AE78" s="3423" t="s">
        <v>61</v>
      </c>
      <c r="AF78" s="3423"/>
      <c r="AG78" s="357" t="s">
        <v>113</v>
      </c>
    </row>
    <row r="79" spans="2:34" ht="18" customHeight="1" thickBot="1">
      <c r="B79" s="3417" t="s">
        <v>103</v>
      </c>
      <c r="C79" s="4535"/>
      <c r="D79" s="4539"/>
      <c r="E79" s="4536"/>
      <c r="F79" s="4536"/>
      <c r="G79" s="4539"/>
      <c r="H79" s="4536"/>
      <c r="I79" s="4536"/>
      <c r="J79" s="4539"/>
      <c r="K79" s="4536"/>
      <c r="L79" s="4536"/>
      <c r="M79" s="4536"/>
      <c r="N79" s="4536"/>
      <c r="O79" s="4536"/>
      <c r="P79" s="4494"/>
      <c r="Q79" s="4494"/>
      <c r="R79" s="4539"/>
      <c r="S79" s="4539"/>
      <c r="T79" s="4539"/>
      <c r="U79" s="4539"/>
      <c r="V79" s="4539"/>
      <c r="W79" s="4539"/>
      <c r="X79" s="4540"/>
      <c r="Y79" s="4539"/>
      <c r="Z79" s="4541"/>
      <c r="AA79" s="4495"/>
      <c r="AB79" s="4495"/>
      <c r="AC79" s="4539"/>
      <c r="AD79" s="4539"/>
      <c r="AE79" s="4539"/>
      <c r="AF79" s="4539"/>
      <c r="AG79" s="4539"/>
    </row>
    <row r="80" spans="2:34" ht="18" customHeight="1" thickBot="1">
      <c r="B80" s="1490" t="s">
        <v>154</v>
      </c>
      <c r="C80" s="1459">
        <v>1</v>
      </c>
      <c r="D80" s="2985">
        <v>2</v>
      </c>
      <c r="E80" s="2985">
        <v>3</v>
      </c>
      <c r="F80" s="2985">
        <v>4</v>
      </c>
      <c r="G80" s="2985">
        <v>5</v>
      </c>
      <c r="H80" s="2986">
        <v>6</v>
      </c>
      <c r="I80" s="2986">
        <v>7</v>
      </c>
      <c r="J80" s="2985">
        <v>8</v>
      </c>
      <c r="K80" s="2985">
        <v>9</v>
      </c>
      <c r="L80" s="2985">
        <v>10</v>
      </c>
      <c r="M80" s="2985">
        <v>11</v>
      </c>
      <c r="N80" s="2985">
        <v>12</v>
      </c>
      <c r="O80" s="2986">
        <v>13</v>
      </c>
      <c r="P80" s="2986">
        <v>14</v>
      </c>
      <c r="Q80" s="2985">
        <v>15</v>
      </c>
      <c r="R80" s="2985">
        <v>16</v>
      </c>
      <c r="S80" s="2985">
        <v>17</v>
      </c>
      <c r="T80" s="2985">
        <v>18</v>
      </c>
      <c r="U80" s="2985">
        <v>19</v>
      </c>
      <c r="V80" s="2986">
        <v>20</v>
      </c>
      <c r="W80" s="2986">
        <v>21</v>
      </c>
      <c r="X80" s="2985">
        <v>22</v>
      </c>
      <c r="Y80" s="2985">
        <v>23</v>
      </c>
      <c r="Z80" s="2985">
        <v>24</v>
      </c>
      <c r="AA80" s="2986">
        <v>25</v>
      </c>
      <c r="AB80" s="2986">
        <v>26</v>
      </c>
      <c r="AC80" s="2986">
        <v>27</v>
      </c>
      <c r="AD80" s="2986">
        <v>28</v>
      </c>
      <c r="AE80" s="2985">
        <v>29</v>
      </c>
      <c r="AF80" s="2985">
        <v>30</v>
      </c>
      <c r="AG80" s="2985">
        <v>31</v>
      </c>
    </row>
    <row r="81" spans="2:33" ht="18" customHeight="1">
      <c r="B81" s="4557"/>
      <c r="C81" s="3423" t="s">
        <v>40</v>
      </c>
      <c r="D81" s="3423" t="s">
        <v>40</v>
      </c>
      <c r="E81" s="3422" t="s">
        <v>40</v>
      </c>
      <c r="F81" s="3422" t="s">
        <v>40</v>
      </c>
      <c r="G81" s="3423" t="s">
        <v>40</v>
      </c>
      <c r="H81" s="3422"/>
      <c r="I81" s="3422"/>
      <c r="J81" s="3423" t="s">
        <v>40</v>
      </c>
      <c r="K81" s="3422" t="s">
        <v>40</v>
      </c>
      <c r="L81" s="3422" t="s">
        <v>40</v>
      </c>
      <c r="M81" s="3422" t="s">
        <v>40</v>
      </c>
      <c r="N81" s="3422" t="s">
        <v>40</v>
      </c>
      <c r="O81" s="3422"/>
      <c r="P81" s="3432"/>
      <c r="Q81" s="3432" t="s">
        <v>40</v>
      </c>
      <c r="R81" s="3423" t="s">
        <v>40</v>
      </c>
      <c r="S81" s="3423" t="s">
        <v>40</v>
      </c>
      <c r="T81" s="3423" t="s">
        <v>40</v>
      </c>
      <c r="U81" s="3423" t="s">
        <v>40</v>
      </c>
      <c r="V81" s="3423"/>
      <c r="W81" s="3423"/>
      <c r="X81" s="3440" t="s">
        <v>40</v>
      </c>
      <c r="Y81" s="3423" t="s">
        <v>40</v>
      </c>
      <c r="Z81" s="3441" t="s">
        <v>40</v>
      </c>
      <c r="AA81" s="3418"/>
      <c r="AB81" s="3418"/>
      <c r="AC81" s="3423"/>
      <c r="AD81" s="3423"/>
      <c r="AE81" s="3423" t="s">
        <v>40</v>
      </c>
      <c r="AF81" s="3423" t="s">
        <v>40</v>
      </c>
      <c r="AG81" s="3423" t="s">
        <v>40</v>
      </c>
    </row>
    <row r="82" spans="2:33" ht="18" customHeight="1">
      <c r="B82" s="4557"/>
      <c r="C82" s="3423" t="s">
        <v>40</v>
      </c>
      <c r="D82" s="3423" t="s">
        <v>40</v>
      </c>
      <c r="E82" s="3422" t="s">
        <v>40</v>
      </c>
      <c r="F82" s="3422" t="s">
        <v>40</v>
      </c>
      <c r="G82" s="3423" t="s">
        <v>40</v>
      </c>
      <c r="H82" s="3422"/>
      <c r="I82" s="3422"/>
      <c r="J82" s="3423" t="s">
        <v>40</v>
      </c>
      <c r="K82" s="3422" t="s">
        <v>40</v>
      </c>
      <c r="L82" s="3422" t="s">
        <v>40</v>
      </c>
      <c r="M82" s="3422" t="s">
        <v>40</v>
      </c>
      <c r="N82" s="3422" t="s">
        <v>40</v>
      </c>
      <c r="O82" s="3422"/>
      <c r="P82" s="3432"/>
      <c r="Q82" s="3432" t="s">
        <v>40</v>
      </c>
      <c r="R82" s="3423" t="s">
        <v>40</v>
      </c>
      <c r="S82" s="3423" t="s">
        <v>40</v>
      </c>
      <c r="T82" s="3423" t="s">
        <v>40</v>
      </c>
      <c r="U82" s="3423" t="s">
        <v>40</v>
      </c>
      <c r="V82" s="3423"/>
      <c r="W82" s="3423"/>
      <c r="X82" s="3440" t="s">
        <v>40</v>
      </c>
      <c r="Y82" s="3423" t="s">
        <v>40</v>
      </c>
      <c r="Z82" s="3441" t="s">
        <v>40</v>
      </c>
      <c r="AA82" s="3418"/>
      <c r="AB82" s="3418"/>
      <c r="AC82" s="3423"/>
      <c r="AD82" s="3423"/>
      <c r="AE82" s="3423" t="s">
        <v>40</v>
      </c>
      <c r="AF82" s="3423" t="s">
        <v>40</v>
      </c>
      <c r="AG82" s="3423" t="s">
        <v>40</v>
      </c>
    </row>
    <row r="83" spans="2:33" ht="18" customHeight="1">
      <c r="B83" s="4554" t="s">
        <v>0</v>
      </c>
      <c r="C83" s="4317"/>
      <c r="D83" s="1586"/>
      <c r="E83" s="1586"/>
      <c r="F83" s="1949"/>
      <c r="G83" s="1949"/>
      <c r="H83" s="1634"/>
      <c r="I83" s="1634"/>
      <c r="J83" s="1634"/>
      <c r="K83" s="1634"/>
      <c r="L83" s="1634"/>
      <c r="M83" s="1634"/>
      <c r="N83" s="1634"/>
      <c r="O83" s="1634"/>
      <c r="P83" s="1634"/>
      <c r="Q83" s="1634"/>
      <c r="R83" s="1634"/>
      <c r="S83" s="1634"/>
      <c r="T83" s="1634"/>
      <c r="U83" s="1634"/>
      <c r="V83" s="1634"/>
      <c r="W83" s="1634"/>
      <c r="X83" s="1634"/>
      <c r="Y83" s="1634"/>
      <c r="Z83" s="1634"/>
      <c r="AA83" s="1634"/>
      <c r="AB83" s="1634"/>
      <c r="AC83" s="1634"/>
      <c r="AD83" s="1634"/>
      <c r="AE83" s="1634"/>
      <c r="AF83" s="1634"/>
      <c r="AG83" s="1634"/>
    </row>
    <row r="84" spans="2:33" ht="18" customHeight="1">
      <c r="B84" s="1481" t="s">
        <v>156</v>
      </c>
      <c r="C84" s="3599">
        <v>1</v>
      </c>
      <c r="D84" s="3599">
        <v>2</v>
      </c>
      <c r="E84" s="3599">
        <v>3</v>
      </c>
      <c r="F84" s="3599">
        <v>4</v>
      </c>
      <c r="G84" s="3599">
        <v>5</v>
      </c>
      <c r="H84" s="3617">
        <v>6</v>
      </c>
      <c r="I84" s="3617">
        <v>7</v>
      </c>
      <c r="J84" s="3599">
        <v>8</v>
      </c>
      <c r="K84" s="3599">
        <v>9</v>
      </c>
      <c r="L84" s="3599">
        <v>10</v>
      </c>
      <c r="M84" s="3599">
        <v>11</v>
      </c>
      <c r="N84" s="3599">
        <v>12</v>
      </c>
      <c r="O84" s="3617">
        <v>13</v>
      </c>
      <c r="P84" s="3617">
        <v>14</v>
      </c>
      <c r="Q84" s="3599">
        <v>15</v>
      </c>
      <c r="R84" s="3599">
        <v>16</v>
      </c>
      <c r="S84" s="3599">
        <v>17</v>
      </c>
      <c r="T84" s="3599">
        <v>18</v>
      </c>
      <c r="U84" s="3599">
        <v>19</v>
      </c>
      <c r="V84" s="3617">
        <v>20</v>
      </c>
      <c r="W84" s="3617">
        <v>21</v>
      </c>
      <c r="X84" s="3599">
        <v>22</v>
      </c>
      <c r="Y84" s="3599">
        <v>23</v>
      </c>
      <c r="Z84" s="3599">
        <v>24</v>
      </c>
      <c r="AA84" s="3617">
        <v>25</v>
      </c>
      <c r="AB84" s="3617">
        <v>26</v>
      </c>
      <c r="AC84" s="3617">
        <v>27</v>
      </c>
      <c r="AD84" s="3617">
        <v>28</v>
      </c>
      <c r="AE84" s="3599">
        <v>29</v>
      </c>
      <c r="AF84" s="3599">
        <v>30</v>
      </c>
      <c r="AG84" s="3599">
        <v>31</v>
      </c>
    </row>
    <row r="85" spans="2:33" ht="18" customHeight="1">
      <c r="B85" s="308" t="s">
        <v>157</v>
      </c>
      <c r="C85" s="319" t="s">
        <v>40</v>
      </c>
      <c r="D85" s="319" t="s">
        <v>40</v>
      </c>
      <c r="E85" s="319" t="s">
        <v>40</v>
      </c>
      <c r="F85" s="319" t="s">
        <v>40</v>
      </c>
      <c r="G85" s="319" t="s">
        <v>40</v>
      </c>
      <c r="H85" s="340"/>
      <c r="I85" s="340"/>
      <c r="J85" s="319" t="s">
        <v>40</v>
      </c>
      <c r="K85" s="319" t="s">
        <v>40</v>
      </c>
      <c r="L85" s="319" t="s">
        <v>40</v>
      </c>
      <c r="M85" s="319" t="s">
        <v>40</v>
      </c>
      <c r="N85" s="319" t="s">
        <v>40</v>
      </c>
      <c r="O85" s="340"/>
      <c r="P85" s="320"/>
      <c r="Q85" s="319" t="s">
        <v>40</v>
      </c>
      <c r="R85" s="319" t="s">
        <v>40</v>
      </c>
      <c r="S85" s="319" t="s">
        <v>40</v>
      </c>
      <c r="T85" s="319" t="s">
        <v>40</v>
      </c>
      <c r="U85" s="351" t="s">
        <v>40</v>
      </c>
      <c r="V85" s="351" t="s">
        <v>0</v>
      </c>
      <c r="W85" s="351" t="s">
        <v>0</v>
      </c>
      <c r="X85" s="480" t="s">
        <v>46</v>
      </c>
      <c r="Y85" s="480" t="s">
        <v>46</v>
      </c>
      <c r="Z85" s="480" t="s">
        <v>46</v>
      </c>
      <c r="AA85" s="344"/>
      <c r="AB85" s="344"/>
      <c r="AC85" s="341"/>
      <c r="AD85" s="341"/>
      <c r="AE85" s="480" t="s">
        <v>46</v>
      </c>
      <c r="AF85" s="480" t="s">
        <v>46</v>
      </c>
      <c r="AG85" s="480" t="s">
        <v>46</v>
      </c>
    </row>
    <row r="86" spans="2:33" ht="18" customHeight="1">
      <c r="B86" s="352" t="s">
        <v>544</v>
      </c>
      <c r="C86" s="353" t="s">
        <v>46</v>
      </c>
      <c r="D86" s="353" t="s">
        <v>46</v>
      </c>
      <c r="E86" s="353" t="s">
        <v>46</v>
      </c>
      <c r="F86" s="353" t="s">
        <v>46</v>
      </c>
      <c r="G86" s="353" t="s">
        <v>46</v>
      </c>
      <c r="H86" s="353"/>
      <c r="I86" s="353"/>
      <c r="J86" s="353">
        <v>1</v>
      </c>
      <c r="K86" s="353">
        <v>1</v>
      </c>
      <c r="L86" s="353">
        <v>1</v>
      </c>
      <c r="M86" s="353">
        <v>1</v>
      </c>
      <c r="N86" s="353">
        <v>1</v>
      </c>
      <c r="O86" s="353"/>
      <c r="P86" s="353"/>
      <c r="Q86" s="353">
        <v>9</v>
      </c>
      <c r="R86" s="353">
        <v>9</v>
      </c>
      <c r="S86" s="353">
        <v>9</v>
      </c>
      <c r="T86" s="353">
        <v>9</v>
      </c>
      <c r="U86" s="353">
        <v>9</v>
      </c>
      <c r="V86" s="353" t="s">
        <v>52</v>
      </c>
      <c r="W86" s="353" t="s">
        <v>53</v>
      </c>
      <c r="X86" s="353" t="s">
        <v>46</v>
      </c>
      <c r="Y86" s="353" t="s">
        <v>46</v>
      </c>
      <c r="Z86" s="353" t="s">
        <v>46</v>
      </c>
      <c r="AA86" s="353" t="s">
        <v>46</v>
      </c>
      <c r="AB86" s="353" t="s">
        <v>46</v>
      </c>
      <c r="AC86" s="981" t="s">
        <v>91</v>
      </c>
      <c r="AD86" s="981" t="s">
        <v>89</v>
      </c>
      <c r="AE86" s="353">
        <v>6</v>
      </c>
      <c r="AF86" s="353">
        <v>6</v>
      </c>
      <c r="AG86" s="353">
        <v>6</v>
      </c>
    </row>
    <row r="87" spans="2:33" ht="18" customHeight="1">
      <c r="B87" s="352" t="s">
        <v>481</v>
      </c>
      <c r="C87" s="320">
        <v>8</v>
      </c>
      <c r="D87" s="340">
        <v>3</v>
      </c>
      <c r="E87" s="319">
        <v>3</v>
      </c>
      <c r="F87" s="319">
        <v>3</v>
      </c>
      <c r="G87" s="319">
        <v>3</v>
      </c>
      <c r="H87" s="319"/>
      <c r="I87" s="319"/>
      <c r="J87" s="953">
        <v>11</v>
      </c>
      <c r="K87" s="953">
        <v>11</v>
      </c>
      <c r="L87" s="340">
        <v>11</v>
      </c>
      <c r="M87" s="340">
        <v>11</v>
      </c>
      <c r="N87" s="340">
        <v>11</v>
      </c>
      <c r="O87" s="340" t="s">
        <v>87</v>
      </c>
      <c r="P87" s="961" t="s">
        <v>87</v>
      </c>
      <c r="Q87" s="961" t="s">
        <v>46</v>
      </c>
      <c r="R87" s="961" t="s">
        <v>46</v>
      </c>
      <c r="S87" s="962" t="s">
        <v>46</v>
      </c>
      <c r="T87" s="319" t="s">
        <v>46</v>
      </c>
      <c r="U87" s="319" t="s">
        <v>46</v>
      </c>
      <c r="V87" s="340" t="s">
        <v>89</v>
      </c>
      <c r="W87" s="340" t="s">
        <v>89</v>
      </c>
      <c r="X87" s="320">
        <v>8</v>
      </c>
      <c r="Y87" s="319">
        <v>8</v>
      </c>
      <c r="Z87" s="319" t="s">
        <v>46</v>
      </c>
      <c r="AA87" s="319" t="s">
        <v>104</v>
      </c>
      <c r="AB87" s="319">
        <v>8</v>
      </c>
      <c r="AC87" s="354"/>
      <c r="AD87" s="319"/>
      <c r="AE87" s="319" t="s">
        <v>46</v>
      </c>
      <c r="AF87" s="319" t="s">
        <v>46</v>
      </c>
      <c r="AG87" s="319" t="s">
        <v>46</v>
      </c>
    </row>
    <row r="88" spans="2:33" ht="15.75" thickBot="1">
      <c r="B88" s="728" t="s">
        <v>160</v>
      </c>
      <c r="C88" s="865">
        <v>1</v>
      </c>
      <c r="D88" s="865">
        <v>2</v>
      </c>
      <c r="E88" s="865">
        <v>3</v>
      </c>
      <c r="F88" s="865">
        <v>4</v>
      </c>
      <c r="G88" s="865">
        <v>5</v>
      </c>
      <c r="H88" s="866">
        <v>6</v>
      </c>
      <c r="I88" s="866">
        <v>7</v>
      </c>
      <c r="J88" s="865">
        <v>8</v>
      </c>
      <c r="K88" s="865">
        <v>9</v>
      </c>
      <c r="L88" s="865">
        <v>10</v>
      </c>
      <c r="M88" s="865">
        <v>11</v>
      </c>
      <c r="N88" s="865">
        <v>12</v>
      </c>
      <c r="O88" s="866">
        <v>13</v>
      </c>
      <c r="P88" s="866">
        <v>14</v>
      </c>
      <c r="Q88" s="865">
        <v>15</v>
      </c>
      <c r="R88" s="865">
        <v>16</v>
      </c>
      <c r="S88" s="865">
        <v>17</v>
      </c>
      <c r="T88" s="865">
        <v>18</v>
      </c>
      <c r="U88" s="865">
        <v>19</v>
      </c>
      <c r="V88" s="866">
        <v>20</v>
      </c>
      <c r="W88" s="866">
        <v>21</v>
      </c>
      <c r="X88" s="865">
        <v>22</v>
      </c>
      <c r="Y88" s="865">
        <v>23</v>
      </c>
      <c r="Z88" s="865">
        <v>24</v>
      </c>
      <c r="AA88" s="866">
        <v>25</v>
      </c>
      <c r="AB88" s="866">
        <v>26</v>
      </c>
      <c r="AC88" s="866">
        <v>27</v>
      </c>
      <c r="AD88" s="866">
        <v>28</v>
      </c>
      <c r="AE88" s="865">
        <v>29</v>
      </c>
      <c r="AF88" s="865">
        <v>30</v>
      </c>
      <c r="AG88" s="867">
        <v>31</v>
      </c>
    </row>
    <row r="89" spans="2:33" ht="12.75" thickBot="1">
      <c r="B89" s="729"/>
      <c r="C89" s="4560"/>
      <c r="D89" s="4561"/>
      <c r="E89" s="4560"/>
      <c r="F89" s="4560"/>
      <c r="G89" s="4560"/>
      <c r="H89" s="4560"/>
      <c r="I89" s="4560"/>
      <c r="J89" s="4560"/>
      <c r="K89" s="4560"/>
      <c r="L89" s="4560"/>
      <c r="M89" s="4560"/>
      <c r="N89" s="4560"/>
      <c r="O89" s="4560"/>
      <c r="P89" s="4560"/>
      <c r="Q89" s="4560"/>
      <c r="R89" s="4560"/>
      <c r="S89" s="4560"/>
      <c r="T89" s="4560"/>
      <c r="U89" s="4560"/>
      <c r="V89" s="4560"/>
      <c r="W89" s="4560"/>
      <c r="X89" s="4560"/>
      <c r="Y89" s="4560"/>
      <c r="Z89" s="4560"/>
      <c r="AA89" s="4560"/>
      <c r="AB89" s="4560"/>
      <c r="AC89" s="4560"/>
      <c r="AD89" s="4560"/>
      <c r="AE89" s="4560"/>
      <c r="AF89" s="4560"/>
      <c r="AG89" s="4562"/>
    </row>
    <row r="90" spans="2:33">
      <c r="B90" s="111"/>
      <c r="C90" s="116"/>
      <c r="D90" s="889"/>
      <c r="E90" s="116"/>
      <c r="F90" s="116"/>
      <c r="G90" s="116"/>
      <c r="H90" s="116"/>
      <c r="I90" s="116"/>
      <c r="J90" s="116"/>
      <c r="K90" s="116"/>
      <c r="L90" s="116"/>
      <c r="M90" s="116"/>
      <c r="N90" s="116"/>
      <c r="O90" s="116"/>
      <c r="P90" s="116"/>
      <c r="Q90" s="116"/>
      <c r="R90" s="116"/>
      <c r="S90" s="116"/>
      <c r="T90" s="116"/>
      <c r="U90" s="116"/>
      <c r="V90" s="116"/>
      <c r="W90" s="116"/>
      <c r="X90" s="116"/>
      <c r="Y90" s="116"/>
      <c r="Z90" s="116"/>
      <c r="AA90" s="116"/>
      <c r="AB90" s="116"/>
      <c r="AC90" s="116"/>
      <c r="AD90" s="116"/>
      <c r="AE90" s="116"/>
      <c r="AF90" s="116"/>
      <c r="AG90" s="116"/>
    </row>
    <row r="91" spans="2:33" ht="12.75" thickBot="1">
      <c r="B91" s="111"/>
      <c r="C91" s="116"/>
      <c r="D91" s="889"/>
      <c r="E91" s="116"/>
      <c r="F91" s="116"/>
      <c r="G91" s="116"/>
      <c r="H91" s="116"/>
      <c r="I91" s="116"/>
      <c r="J91" s="116"/>
      <c r="K91" s="116"/>
      <c r="L91" s="116"/>
      <c r="M91" s="116"/>
      <c r="N91" s="116"/>
      <c r="O91" s="116"/>
      <c r="P91" s="116"/>
      <c r="Q91" s="116"/>
      <c r="R91" s="116"/>
      <c r="S91" s="116"/>
      <c r="T91" s="116"/>
      <c r="U91" s="116"/>
      <c r="V91" s="116"/>
      <c r="W91" s="116"/>
      <c r="X91" s="116"/>
      <c r="Y91" s="116"/>
      <c r="Z91" s="116"/>
      <c r="AA91" s="116"/>
      <c r="AB91" s="116"/>
      <c r="AC91" s="116"/>
      <c r="AD91" s="116"/>
      <c r="AE91" s="116"/>
      <c r="AF91" s="116"/>
      <c r="AG91" s="116"/>
    </row>
    <row r="92" spans="2:33" ht="15.75">
      <c r="B92" s="886" t="s">
        <v>483</v>
      </c>
      <c r="C92" s="415">
        <v>1</v>
      </c>
      <c r="D92" s="415">
        <v>2</v>
      </c>
      <c r="E92" s="415">
        <v>3</v>
      </c>
      <c r="F92" s="415">
        <v>4</v>
      </c>
      <c r="G92" s="415">
        <v>5</v>
      </c>
      <c r="H92" s="389">
        <v>6</v>
      </c>
      <c r="I92" s="389">
        <v>7</v>
      </c>
      <c r="J92" s="415">
        <v>8</v>
      </c>
      <c r="K92" s="415">
        <v>9</v>
      </c>
      <c r="L92" s="415">
        <v>10</v>
      </c>
      <c r="M92" s="415">
        <v>11</v>
      </c>
      <c r="N92" s="415">
        <v>12</v>
      </c>
      <c r="O92" s="389">
        <v>13</v>
      </c>
      <c r="P92" s="389">
        <v>14</v>
      </c>
      <c r="Q92" s="415">
        <v>15</v>
      </c>
      <c r="R92" s="415">
        <v>16</v>
      </c>
      <c r="S92" s="415">
        <v>17</v>
      </c>
      <c r="T92" s="415">
        <v>18</v>
      </c>
      <c r="U92" s="415">
        <v>19</v>
      </c>
      <c r="V92" s="389">
        <v>20</v>
      </c>
      <c r="W92" s="389">
        <v>21</v>
      </c>
      <c r="X92" s="415">
        <v>22</v>
      </c>
      <c r="Y92" s="415">
        <v>23</v>
      </c>
      <c r="Z92" s="415">
        <v>24</v>
      </c>
      <c r="AA92" s="389">
        <v>25</v>
      </c>
      <c r="AB92" s="389">
        <v>26</v>
      </c>
      <c r="AC92" s="389">
        <v>27</v>
      </c>
      <c r="AD92" s="389">
        <v>28</v>
      </c>
      <c r="AE92" s="415">
        <v>29</v>
      </c>
      <c r="AF92" s="940">
        <v>30</v>
      </c>
      <c r="AG92" s="320">
        <v>31</v>
      </c>
    </row>
    <row r="93" spans="2:33">
      <c r="B93" s="364" t="s">
        <v>484</v>
      </c>
      <c r="C93" s="317" t="s">
        <v>592</v>
      </c>
      <c r="D93" s="317" t="s">
        <v>592</v>
      </c>
      <c r="E93" s="317" t="s">
        <v>592</v>
      </c>
      <c r="F93" s="317" t="s">
        <v>592</v>
      </c>
      <c r="G93" s="317" t="s">
        <v>592</v>
      </c>
      <c r="H93" s="317" t="s">
        <v>592</v>
      </c>
      <c r="I93" s="317" t="s">
        <v>592</v>
      </c>
      <c r="J93" s="317" t="s">
        <v>592</v>
      </c>
      <c r="K93" s="317" t="s">
        <v>592</v>
      </c>
      <c r="L93" s="317" t="s">
        <v>592</v>
      </c>
      <c r="M93" s="317" t="s">
        <v>592</v>
      </c>
      <c r="N93" s="317" t="s">
        <v>592</v>
      </c>
      <c r="O93" s="317" t="s">
        <v>592</v>
      </c>
      <c r="P93" s="317" t="s">
        <v>592</v>
      </c>
      <c r="Q93" s="317" t="s">
        <v>592</v>
      </c>
      <c r="R93" s="317" t="s">
        <v>592</v>
      </c>
      <c r="S93" s="317" t="s">
        <v>592</v>
      </c>
      <c r="T93" s="317" t="s">
        <v>592</v>
      </c>
      <c r="U93" s="317" t="s">
        <v>592</v>
      </c>
      <c r="V93" s="317" t="s">
        <v>592</v>
      </c>
      <c r="W93" s="317" t="s">
        <v>592</v>
      </c>
      <c r="X93" s="317" t="s">
        <v>592</v>
      </c>
      <c r="Y93" s="317" t="s">
        <v>592</v>
      </c>
      <c r="Z93" s="941" t="s">
        <v>592</v>
      </c>
      <c r="AA93" s="309" t="s">
        <v>592</v>
      </c>
      <c r="AB93" s="309" t="s">
        <v>592</v>
      </c>
      <c r="AC93" s="942" t="s">
        <v>592</v>
      </c>
      <c r="AD93" s="317" t="s">
        <v>592</v>
      </c>
      <c r="AE93" s="317" t="s">
        <v>592</v>
      </c>
      <c r="AF93" s="317" t="s">
        <v>592</v>
      </c>
      <c r="AG93" s="317" t="s">
        <v>592</v>
      </c>
    </row>
    <row r="94" spans="2:33" ht="15">
      <c r="B94" s="893" t="s">
        <v>493</v>
      </c>
      <c r="C94" s="894" t="s">
        <v>593</v>
      </c>
      <c r="D94" s="894" t="s">
        <v>593</v>
      </c>
      <c r="E94" s="952" t="s">
        <v>593</v>
      </c>
      <c r="F94" s="359" t="s">
        <v>593</v>
      </c>
      <c r="G94" s="954" t="s">
        <v>593</v>
      </c>
      <c r="H94" s="896"/>
      <c r="I94" s="896"/>
      <c r="J94" s="896" t="s">
        <v>487</v>
      </c>
      <c r="K94" s="896" t="s">
        <v>594</v>
      </c>
      <c r="L94" s="896" t="s">
        <v>594</v>
      </c>
      <c r="M94" s="896" t="s">
        <v>594</v>
      </c>
      <c r="N94" s="896" t="s">
        <v>594</v>
      </c>
      <c r="O94" s="896"/>
      <c r="P94" s="896"/>
      <c r="Q94" s="896" t="s">
        <v>487</v>
      </c>
      <c r="R94" s="896" t="s">
        <v>487</v>
      </c>
      <c r="S94" s="896" t="s">
        <v>593</v>
      </c>
      <c r="T94" s="894" t="s">
        <v>487</v>
      </c>
      <c r="U94" s="894" t="s">
        <v>487</v>
      </c>
      <c r="V94" s="983"/>
      <c r="W94" s="982"/>
      <c r="X94" s="983"/>
      <c r="Y94" s="983"/>
      <c r="Z94" s="984"/>
      <c r="AA94" s="985"/>
      <c r="AB94" s="985"/>
      <c r="AC94" s="986"/>
      <c r="AD94" s="983"/>
      <c r="AE94" s="983"/>
      <c r="AF94" s="987"/>
      <c r="AG94" s="988"/>
    </row>
    <row r="95" spans="2:33">
      <c r="B95" s="111"/>
      <c r="C95" s="116"/>
      <c r="D95" s="889"/>
      <c r="E95" s="116"/>
      <c r="F95" s="116"/>
      <c r="G95" s="116"/>
      <c r="H95" s="116"/>
      <c r="I95" s="116"/>
      <c r="J95" s="116"/>
      <c r="K95" s="116"/>
      <c r="L95" s="116"/>
      <c r="M95" s="116"/>
      <c r="N95" s="116"/>
      <c r="O95" s="116"/>
      <c r="P95" s="116"/>
      <c r="Q95" s="116"/>
      <c r="R95" s="116"/>
      <c r="S95" s="116"/>
      <c r="T95" s="116"/>
      <c r="U95" s="116"/>
      <c r="V95" s="116"/>
      <c r="W95" s="116"/>
      <c r="X95" s="116"/>
      <c r="Y95" s="116"/>
      <c r="Z95" s="116"/>
      <c r="AA95" s="116"/>
      <c r="AB95" s="116"/>
      <c r="AC95" s="116"/>
      <c r="AD95" s="116"/>
      <c r="AE95" s="116"/>
      <c r="AF95" s="116"/>
      <c r="AG95" s="116"/>
    </row>
    <row r="96" spans="2:33">
      <c r="B96" s="111"/>
      <c r="C96" s="116"/>
      <c r="D96" s="889"/>
      <c r="E96" s="116"/>
      <c r="F96" s="116"/>
      <c r="G96" s="116"/>
      <c r="H96" s="116"/>
      <c r="I96" s="116"/>
      <c r="J96" s="116"/>
      <c r="K96" s="116"/>
      <c r="L96" s="116"/>
      <c r="M96" s="116"/>
      <c r="N96" s="116"/>
      <c r="O96" s="116"/>
      <c r="P96" s="116"/>
      <c r="Q96" s="116"/>
      <c r="R96" s="116"/>
      <c r="S96" s="116"/>
      <c r="T96" s="116"/>
      <c r="U96" s="116"/>
      <c r="V96" s="116"/>
      <c r="W96" s="116"/>
      <c r="X96" s="116"/>
      <c r="Y96" s="116"/>
      <c r="Z96" s="116"/>
      <c r="AA96" s="116"/>
      <c r="AB96" s="116"/>
      <c r="AC96" s="116"/>
      <c r="AD96" s="116"/>
      <c r="AE96" s="116"/>
      <c r="AF96" s="116"/>
      <c r="AG96" s="116"/>
    </row>
    <row r="97" spans="1:33" ht="18" customHeight="1">
      <c r="A97" s="42" t="s">
        <v>161</v>
      </c>
      <c r="C97" s="110"/>
      <c r="D97" s="110"/>
      <c r="E97" s="110"/>
      <c r="F97" s="110"/>
      <c r="G97" s="110"/>
      <c r="H97" s="110"/>
      <c r="I97" s="110"/>
      <c r="J97" s="110"/>
      <c r="K97" s="110"/>
      <c r="L97" s="110"/>
      <c r="M97" s="110"/>
      <c r="N97" s="110"/>
      <c r="O97" s="110"/>
      <c r="P97" s="110"/>
      <c r="Q97" s="110"/>
      <c r="R97" s="110"/>
      <c r="S97" s="110"/>
      <c r="T97" s="110"/>
      <c r="U97" s="110"/>
      <c r="V97" s="110"/>
      <c r="W97" s="110"/>
      <c r="X97" s="110"/>
      <c r="Y97" s="110"/>
      <c r="Z97" s="110"/>
      <c r="AA97" s="110"/>
      <c r="AB97" s="110"/>
      <c r="AC97" s="110"/>
      <c r="AD97" s="110"/>
      <c r="AE97" s="110"/>
      <c r="AF97" s="110"/>
    </row>
    <row r="98" spans="1:33" ht="18" customHeight="1">
      <c r="B98" s="4458"/>
      <c r="C98" s="4457"/>
      <c r="D98" s="4458" t="s">
        <v>19</v>
      </c>
      <c r="E98" s="4457"/>
      <c r="F98" s="4457"/>
      <c r="G98" s="4458" t="s">
        <v>20</v>
      </c>
      <c r="H98" s="4457"/>
      <c r="I98" s="4457" t="s">
        <v>0</v>
      </c>
      <c r="J98" s="4458" t="s">
        <v>21</v>
      </c>
      <c r="K98" s="4457"/>
      <c r="L98" s="4457"/>
      <c r="M98" s="4458" t="s">
        <v>22</v>
      </c>
      <c r="N98" s="4457"/>
      <c r="O98" s="4457"/>
      <c r="P98" s="4458" t="s">
        <v>23</v>
      </c>
      <c r="Q98" s="4457"/>
      <c r="R98" s="4453"/>
      <c r="S98" s="4454" t="s">
        <v>24</v>
      </c>
      <c r="T98" s="4457"/>
      <c r="U98" s="4457"/>
      <c r="V98" s="4458" t="s">
        <v>25</v>
      </c>
      <c r="W98" s="4457"/>
      <c r="X98" s="68"/>
      <c r="Y98" s="68"/>
      <c r="Z98" s="68"/>
      <c r="AA98" s="68"/>
      <c r="AB98" s="68"/>
      <c r="AC98" s="68"/>
      <c r="AD98" s="68"/>
      <c r="AE98" s="68"/>
      <c r="AF98" s="68"/>
    </row>
    <row r="99" spans="1:33" ht="18" customHeight="1">
      <c r="B99" s="3618" t="s">
        <v>162</v>
      </c>
      <c r="C99" s="3619" t="s">
        <v>163</v>
      </c>
      <c r="D99" s="3620"/>
      <c r="E99" s="3620"/>
      <c r="F99" s="3619" t="s">
        <v>163</v>
      </c>
      <c r="G99" s="3620"/>
      <c r="H99" s="3620"/>
      <c r="I99" s="3619" t="s">
        <v>163</v>
      </c>
      <c r="J99" s="3620"/>
      <c r="K99" s="3620"/>
      <c r="L99" s="3619" t="s">
        <v>163</v>
      </c>
      <c r="M99" s="3620"/>
      <c r="N99" s="3620"/>
      <c r="O99" s="3619" t="s">
        <v>163</v>
      </c>
      <c r="P99" s="3620"/>
      <c r="Q99" s="3620"/>
      <c r="R99" s="3621"/>
      <c r="S99" s="3620"/>
      <c r="T99" s="3620"/>
      <c r="U99" s="3621" t="s">
        <v>164</v>
      </c>
      <c r="V99" s="3620"/>
      <c r="W99" s="3622"/>
      <c r="X99" s="68"/>
      <c r="Y99" s="68"/>
      <c r="Z99" s="68"/>
      <c r="AA99" s="68"/>
      <c r="AB99" s="68"/>
      <c r="AC99" s="68"/>
      <c r="AD99" s="68"/>
      <c r="AE99" s="68"/>
      <c r="AF99" s="68"/>
    </row>
    <row r="100" spans="1:33" ht="18" customHeight="1">
      <c r="B100" s="3618" t="s">
        <v>165</v>
      </c>
      <c r="C100" s="3623" t="s">
        <v>166</v>
      </c>
      <c r="D100" s="3624"/>
      <c r="E100" s="3624"/>
      <c r="F100" s="3623" t="s">
        <v>167</v>
      </c>
      <c r="G100" s="3624"/>
      <c r="H100" s="3624"/>
      <c r="I100" s="3623" t="s">
        <v>167</v>
      </c>
      <c r="J100" s="3624"/>
      <c r="K100" s="3624"/>
      <c r="L100" s="3623" t="s">
        <v>167</v>
      </c>
      <c r="M100" s="3624"/>
      <c r="N100" s="3624"/>
      <c r="O100" s="3623" t="s">
        <v>168</v>
      </c>
      <c r="P100" s="3624"/>
      <c r="Q100" s="3624"/>
      <c r="R100" s="242"/>
      <c r="S100" s="46"/>
      <c r="T100" s="3622"/>
      <c r="U100" s="242"/>
      <c r="V100" s="46"/>
      <c r="W100" s="3622"/>
      <c r="X100" s="68"/>
      <c r="Y100" s="68"/>
      <c r="Z100" s="68"/>
      <c r="AA100" s="68"/>
      <c r="AB100" s="68"/>
      <c r="AC100" s="68"/>
      <c r="AD100" s="68"/>
      <c r="AE100" s="68"/>
      <c r="AF100" s="68"/>
    </row>
    <row r="101" spans="1:33" ht="18" customHeight="1">
      <c r="B101" s="3618" t="s">
        <v>169</v>
      </c>
      <c r="C101" s="3577" t="s">
        <v>170</v>
      </c>
      <c r="D101" s="4505"/>
      <c r="E101" s="4505"/>
      <c r="F101" s="3577" t="s">
        <v>171</v>
      </c>
      <c r="G101" s="3480"/>
      <c r="H101" s="4505"/>
      <c r="I101" s="3577" t="s">
        <v>171</v>
      </c>
      <c r="J101" s="4464"/>
      <c r="K101" s="4463"/>
      <c r="L101" s="4557" t="s">
        <v>172</v>
      </c>
      <c r="M101" s="4464"/>
      <c r="N101" s="4563"/>
      <c r="O101" s="3577" t="s">
        <v>172</v>
      </c>
      <c r="P101" s="4505"/>
      <c r="Q101" s="4505"/>
      <c r="R101" s="4557" t="s">
        <v>173</v>
      </c>
      <c r="S101" s="4464"/>
      <c r="T101" s="4463"/>
      <c r="U101" s="4557" t="s">
        <v>173</v>
      </c>
      <c r="V101" s="4464"/>
      <c r="W101" s="4463"/>
      <c r="X101" s="68"/>
      <c r="Y101" s="68"/>
      <c r="Z101" s="68"/>
      <c r="AA101" s="68"/>
      <c r="AB101" s="68"/>
      <c r="AC101" s="68"/>
      <c r="AD101" s="68"/>
      <c r="AE101" s="68"/>
      <c r="AF101" s="68"/>
    </row>
    <row r="102" spans="1:33" ht="18" customHeight="1">
      <c r="B102" s="3618" t="s">
        <v>174</v>
      </c>
      <c r="C102" s="3577" t="s">
        <v>46</v>
      </c>
      <c r="D102" s="4505"/>
      <c r="E102" s="4505"/>
      <c r="F102" s="3577" t="s">
        <v>46</v>
      </c>
      <c r="G102" s="3480"/>
      <c r="H102" s="4505"/>
      <c r="I102" s="4557" t="s">
        <v>46</v>
      </c>
      <c r="J102" s="4464"/>
      <c r="K102" s="4463"/>
      <c r="L102" s="4557" t="s">
        <v>46</v>
      </c>
      <c r="M102" s="4464"/>
      <c r="N102" s="4563"/>
      <c r="O102" s="3577" t="s">
        <v>46</v>
      </c>
      <c r="P102" s="4505"/>
      <c r="Q102" s="4505"/>
      <c r="R102" s="4557"/>
      <c r="S102" s="4464"/>
      <c r="T102" s="4463"/>
      <c r="U102" s="4557"/>
      <c r="V102" s="4464"/>
      <c r="W102" s="4564"/>
      <c r="X102" s="68"/>
      <c r="Y102" s="68"/>
      <c r="Z102" s="68"/>
      <c r="AA102" s="68"/>
      <c r="AB102" s="68"/>
      <c r="AC102" s="68"/>
      <c r="AD102" s="68"/>
      <c r="AE102" s="68"/>
      <c r="AF102" s="68"/>
    </row>
    <row r="103" spans="1:33" ht="18" customHeight="1" thickBot="1">
      <c r="B103" s="243"/>
      <c r="C103" s="244"/>
      <c r="D103" s="111"/>
      <c r="E103" s="111"/>
      <c r="F103" s="244"/>
      <c r="G103" s="115"/>
      <c r="H103" s="111"/>
      <c r="I103" s="115"/>
      <c r="J103" s="111"/>
      <c r="K103" s="111"/>
      <c r="L103" s="115"/>
      <c r="M103" s="111"/>
      <c r="N103" s="32"/>
      <c r="O103" s="244"/>
      <c r="P103" s="111"/>
      <c r="Q103" s="111"/>
      <c r="R103" s="115"/>
      <c r="S103" s="111"/>
      <c r="T103" s="111"/>
      <c r="U103" s="115"/>
      <c r="V103" s="111"/>
      <c r="W103" s="111"/>
      <c r="X103" s="68"/>
      <c r="Y103" s="68"/>
      <c r="Z103" s="68"/>
      <c r="AA103" s="68"/>
      <c r="AB103" s="68"/>
      <c r="AC103" s="68"/>
      <c r="AD103" s="68"/>
      <c r="AE103" s="68"/>
      <c r="AF103" s="68"/>
    </row>
    <row r="104" spans="1:33" ht="18" customHeight="1" thickBot="1">
      <c r="B104" s="727" t="s">
        <v>161</v>
      </c>
      <c r="C104" s="435">
        <v>1</v>
      </c>
      <c r="D104" s="435">
        <v>2</v>
      </c>
      <c r="E104" s="435">
        <v>3</v>
      </c>
      <c r="F104" s="435">
        <v>4</v>
      </c>
      <c r="G104" s="435">
        <v>5</v>
      </c>
      <c r="H104" s="434">
        <v>6</v>
      </c>
      <c r="I104" s="434">
        <v>7</v>
      </c>
      <c r="J104" s="435">
        <v>8</v>
      </c>
      <c r="K104" s="435">
        <v>9</v>
      </c>
      <c r="L104" s="435">
        <v>10</v>
      </c>
      <c r="M104" s="435">
        <v>11</v>
      </c>
      <c r="N104" s="435">
        <v>12</v>
      </c>
      <c r="O104" s="434">
        <v>13</v>
      </c>
      <c r="P104" s="434">
        <v>14</v>
      </c>
      <c r="Q104" s="435">
        <v>15</v>
      </c>
      <c r="R104" s="435">
        <v>16</v>
      </c>
      <c r="S104" s="435">
        <v>17</v>
      </c>
      <c r="T104" s="435">
        <v>18</v>
      </c>
      <c r="U104" s="435">
        <v>19</v>
      </c>
      <c r="V104" s="434">
        <v>20</v>
      </c>
      <c r="W104" s="434">
        <v>21</v>
      </c>
      <c r="X104" s="435">
        <v>22</v>
      </c>
      <c r="Y104" s="435">
        <v>23</v>
      </c>
      <c r="Z104" s="435">
        <v>24</v>
      </c>
      <c r="AA104" s="434">
        <v>25</v>
      </c>
      <c r="AB104" s="434">
        <v>26</v>
      </c>
      <c r="AC104" s="434">
        <v>27</v>
      </c>
      <c r="AD104" s="434">
        <v>28</v>
      </c>
      <c r="AE104" s="435">
        <v>29</v>
      </c>
      <c r="AF104" s="435">
        <v>30</v>
      </c>
      <c r="AG104" s="721">
        <v>31</v>
      </c>
    </row>
    <row r="105" spans="1:33" ht="18" customHeight="1">
      <c r="B105" s="730" t="s">
        <v>175</v>
      </c>
      <c r="C105" s="585" t="s">
        <v>121</v>
      </c>
      <c r="D105" s="585" t="s">
        <v>121</v>
      </c>
      <c r="E105" s="585" t="s">
        <v>121</v>
      </c>
      <c r="F105" s="585" t="s">
        <v>121</v>
      </c>
      <c r="G105" s="585" t="s">
        <v>121</v>
      </c>
      <c r="H105" s="585" t="s">
        <v>120</v>
      </c>
      <c r="I105" s="592" t="s">
        <v>120</v>
      </c>
      <c r="J105" s="592" t="s">
        <v>46</v>
      </c>
      <c r="K105" s="592" t="s">
        <v>46</v>
      </c>
      <c r="L105" s="592" t="s">
        <v>46</v>
      </c>
      <c r="M105" s="585" t="s">
        <v>46</v>
      </c>
      <c r="N105" s="585" t="s">
        <v>46</v>
      </c>
      <c r="O105" s="585"/>
      <c r="P105" s="585"/>
      <c r="Q105" s="585">
        <v>25</v>
      </c>
      <c r="R105" s="585">
        <v>25</v>
      </c>
      <c r="S105" s="585">
        <v>25</v>
      </c>
      <c r="T105" s="585">
        <v>25</v>
      </c>
      <c r="U105" s="585">
        <v>25</v>
      </c>
      <c r="V105" s="585"/>
      <c r="W105" s="585">
        <v>26</v>
      </c>
      <c r="X105" s="585">
        <v>26</v>
      </c>
      <c r="Y105" s="585">
        <v>26</v>
      </c>
      <c r="Z105" s="585">
        <v>26</v>
      </c>
      <c r="AA105" s="585">
        <v>26</v>
      </c>
      <c r="AB105" s="585">
        <v>26</v>
      </c>
      <c r="AC105" s="585"/>
      <c r="AD105" s="585"/>
      <c r="AE105" s="585" t="s">
        <v>121</v>
      </c>
      <c r="AF105" s="585" t="s">
        <v>121</v>
      </c>
      <c r="AG105" s="726" t="s">
        <v>121</v>
      </c>
    </row>
    <row r="106" spans="1:33" ht="18" customHeight="1">
      <c r="B106" s="4565" t="s">
        <v>176</v>
      </c>
      <c r="C106" s="3526" t="s">
        <v>46</v>
      </c>
      <c r="D106" s="3526" t="s">
        <v>46</v>
      </c>
      <c r="E106" s="3526" t="s">
        <v>46</v>
      </c>
      <c r="F106" s="3526" t="s">
        <v>46</v>
      </c>
      <c r="G106" s="3526" t="s">
        <v>46</v>
      </c>
      <c r="H106" s="3526"/>
      <c r="I106" s="3526"/>
      <c r="J106" s="4566">
        <v>25</v>
      </c>
      <c r="K106" s="4566">
        <v>25</v>
      </c>
      <c r="L106" s="4566">
        <v>25</v>
      </c>
      <c r="M106" s="4566">
        <v>25</v>
      </c>
      <c r="N106" s="4566">
        <v>25</v>
      </c>
      <c r="O106" s="3526"/>
      <c r="P106" s="3526">
        <v>26</v>
      </c>
      <c r="Q106" s="3526">
        <v>26</v>
      </c>
      <c r="R106" s="3526">
        <v>26</v>
      </c>
      <c r="S106" s="3526">
        <v>26</v>
      </c>
      <c r="T106" s="3526">
        <v>26</v>
      </c>
      <c r="U106" s="3526">
        <v>26</v>
      </c>
      <c r="V106" s="585"/>
      <c r="W106" s="585"/>
      <c r="X106" s="585" t="s">
        <v>121</v>
      </c>
      <c r="Y106" s="585" t="s">
        <v>121</v>
      </c>
      <c r="Z106" s="585" t="s">
        <v>121</v>
      </c>
      <c r="AA106" s="585" t="s">
        <v>120</v>
      </c>
      <c r="AB106" s="585" t="s">
        <v>120</v>
      </c>
      <c r="AC106" s="3526" t="s">
        <v>120</v>
      </c>
      <c r="AD106" s="4567" t="s">
        <v>120</v>
      </c>
      <c r="AE106" s="4567" t="s">
        <v>46</v>
      </c>
      <c r="AF106" s="4567" t="s">
        <v>46</v>
      </c>
      <c r="AG106" s="4568" t="s">
        <v>46</v>
      </c>
    </row>
    <row r="107" spans="1:33" ht="18" customHeight="1">
      <c r="B107" s="4569" t="s">
        <v>135</v>
      </c>
      <c r="C107" s="4543">
        <v>25</v>
      </c>
      <c r="D107" s="4543">
        <v>25</v>
      </c>
      <c r="E107" s="4543">
        <v>25</v>
      </c>
      <c r="F107" s="4543">
        <v>25</v>
      </c>
      <c r="G107" s="4543">
        <v>25</v>
      </c>
      <c r="H107" s="4543"/>
      <c r="I107" s="4543">
        <v>26</v>
      </c>
      <c r="J107" s="4543">
        <v>26</v>
      </c>
      <c r="K107" s="4543">
        <v>26</v>
      </c>
      <c r="L107" s="4543">
        <v>26</v>
      </c>
      <c r="M107" s="4570">
        <v>26</v>
      </c>
      <c r="N107" s="4543">
        <v>26</v>
      </c>
      <c r="O107" s="4543"/>
      <c r="P107" s="4543"/>
      <c r="Q107" s="4543" t="s">
        <v>121</v>
      </c>
      <c r="R107" s="4543" t="s">
        <v>121</v>
      </c>
      <c r="S107" s="4543" t="s">
        <v>121</v>
      </c>
      <c r="T107" s="4543" t="s">
        <v>121</v>
      </c>
      <c r="U107" s="4543" t="s">
        <v>121</v>
      </c>
      <c r="V107" s="4543" t="s">
        <v>120</v>
      </c>
      <c r="W107" s="4543" t="s">
        <v>120</v>
      </c>
      <c r="X107" s="3526" t="s">
        <v>46</v>
      </c>
      <c r="Y107" s="3526" t="s">
        <v>46</v>
      </c>
      <c r="Z107" s="3526" t="s">
        <v>46</v>
      </c>
      <c r="AA107" s="3526" t="s">
        <v>46</v>
      </c>
      <c r="AB107" s="3526" t="s">
        <v>46</v>
      </c>
      <c r="AC107" s="3526"/>
      <c r="AD107" s="3526"/>
      <c r="AE107" s="3526">
        <v>25</v>
      </c>
      <c r="AF107" s="3526">
        <v>25</v>
      </c>
      <c r="AG107" s="4571">
        <v>25</v>
      </c>
    </row>
    <row r="108" spans="1:33" ht="18" customHeight="1" thickBot="1">
      <c r="B108" s="462" t="s">
        <v>146</v>
      </c>
      <c r="C108" s="4572">
        <v>26</v>
      </c>
      <c r="D108" s="4572">
        <v>26</v>
      </c>
      <c r="E108" s="4572">
        <v>26</v>
      </c>
      <c r="F108" s="4572">
        <v>26</v>
      </c>
      <c r="G108" s="4572">
        <v>26</v>
      </c>
      <c r="H108" s="4572"/>
      <c r="I108" s="4572"/>
      <c r="J108" s="4572" t="s">
        <v>121</v>
      </c>
      <c r="K108" s="4572" t="s">
        <v>121</v>
      </c>
      <c r="L108" s="4572" t="s">
        <v>121</v>
      </c>
      <c r="M108" s="4572" t="s">
        <v>121</v>
      </c>
      <c r="N108" s="4572" t="s">
        <v>121</v>
      </c>
      <c r="O108" s="4572" t="s">
        <v>120</v>
      </c>
      <c r="P108" s="4572" t="s">
        <v>120</v>
      </c>
      <c r="Q108" s="4572" t="s">
        <v>46</v>
      </c>
      <c r="R108" s="4572" t="s">
        <v>46</v>
      </c>
      <c r="S108" s="4572" t="s">
        <v>46</v>
      </c>
      <c r="T108" s="4572" t="s">
        <v>46</v>
      </c>
      <c r="U108" s="4572" t="s">
        <v>46</v>
      </c>
      <c r="V108" s="4572"/>
      <c r="W108" s="4572"/>
      <c r="X108" s="4572">
        <v>25</v>
      </c>
      <c r="Y108" s="4572">
        <v>25</v>
      </c>
      <c r="Z108" s="4572">
        <v>25</v>
      </c>
      <c r="AA108" s="4572">
        <v>25</v>
      </c>
      <c r="AB108" s="4572">
        <v>25</v>
      </c>
      <c r="AC108" s="4572"/>
      <c r="AD108" s="4572">
        <v>26</v>
      </c>
      <c r="AE108" s="4572">
        <v>26</v>
      </c>
      <c r="AF108" s="4572">
        <v>26</v>
      </c>
      <c r="AG108" s="4573">
        <v>26</v>
      </c>
    </row>
    <row r="111" spans="1:33" ht="18" customHeight="1" thickBot="1">
      <c r="A111" s="133" t="s">
        <v>178</v>
      </c>
      <c r="B111" s="115"/>
      <c r="C111" s="126"/>
      <c r="D111" s="126"/>
      <c r="E111" s="126"/>
      <c r="F111" s="126"/>
      <c r="G111" s="126"/>
      <c r="H111" s="126"/>
      <c r="I111" s="126"/>
      <c r="J111" s="126"/>
      <c r="K111" s="126"/>
      <c r="L111" s="126"/>
      <c r="M111" s="126"/>
      <c r="N111" s="126"/>
      <c r="O111" s="126"/>
      <c r="P111" s="126"/>
      <c r="Q111" s="126"/>
      <c r="R111" s="148"/>
      <c r="S111" s="148"/>
      <c r="T111" s="148"/>
      <c r="U111" s="126"/>
      <c r="V111" s="126"/>
      <c r="W111" s="126"/>
      <c r="X111" s="126"/>
      <c r="Y111" s="126"/>
      <c r="Z111" s="126"/>
      <c r="AA111" s="126"/>
      <c r="AB111" s="126"/>
      <c r="AC111" s="126"/>
      <c r="AD111" s="126"/>
      <c r="AE111" s="126"/>
      <c r="AF111" s="126"/>
    </row>
    <row r="112" spans="1:33" ht="18" customHeight="1" thickBot="1">
      <c r="A112" s="114"/>
      <c r="B112" s="134"/>
      <c r="C112" s="135"/>
      <c r="D112" s="135"/>
      <c r="E112" s="138" t="s">
        <v>179</v>
      </c>
      <c r="F112" s="135"/>
      <c r="G112" s="135"/>
      <c r="H112" s="135"/>
      <c r="I112" s="135"/>
      <c r="J112" s="135"/>
      <c r="K112" s="141" t="s">
        <v>15</v>
      </c>
      <c r="L112" s="139"/>
      <c r="M112" s="139"/>
      <c r="N112" s="139"/>
      <c r="O112" s="139"/>
      <c r="P112" s="139"/>
      <c r="Q112" s="139"/>
      <c r="R112" s="139"/>
      <c r="S112" s="139"/>
      <c r="T112" s="140"/>
      <c r="W112" s="101"/>
      <c r="X112" s="101"/>
      <c r="Y112" s="101"/>
      <c r="Z112" s="101"/>
      <c r="AA112" s="101"/>
      <c r="AB112" s="101"/>
      <c r="AC112" s="101"/>
      <c r="AD112" s="101"/>
      <c r="AE112" s="101"/>
      <c r="AF112" s="101"/>
    </row>
    <row r="113" spans="1:33" ht="18" customHeight="1" thickBot="1">
      <c r="A113" s="114"/>
      <c r="B113" s="134" t="s">
        <v>180</v>
      </c>
      <c r="C113" s="135"/>
      <c r="D113" s="135"/>
      <c r="E113" s="136" t="s">
        <v>181</v>
      </c>
      <c r="F113" s="135"/>
      <c r="G113" s="135"/>
      <c r="H113" s="135"/>
      <c r="I113" s="135"/>
      <c r="J113" s="135"/>
      <c r="K113" s="135" t="s">
        <v>0</v>
      </c>
      <c r="L113" s="135"/>
      <c r="M113" s="135"/>
      <c r="N113" s="135"/>
      <c r="O113" s="135"/>
      <c r="P113" s="135"/>
      <c r="Q113" s="135"/>
      <c r="R113" s="144"/>
      <c r="S113" s="144" t="s">
        <v>383</v>
      </c>
      <c r="T113" s="145"/>
      <c r="U113" s="101"/>
      <c r="V113" s="101"/>
      <c r="W113" s="101"/>
      <c r="X113" s="101"/>
      <c r="Y113" s="101"/>
      <c r="Z113" s="101"/>
      <c r="AA113" s="101"/>
      <c r="AB113" s="101"/>
      <c r="AC113" s="101"/>
      <c r="AD113" s="101"/>
      <c r="AE113" s="101"/>
      <c r="AF113" s="101"/>
    </row>
    <row r="114" spans="1:33" ht="18" customHeight="1" thickBot="1">
      <c r="A114" s="114"/>
      <c r="B114" s="142"/>
      <c r="C114" s="142"/>
      <c r="D114" s="142"/>
      <c r="E114" s="143"/>
      <c r="F114" s="142"/>
      <c r="G114" s="142"/>
      <c r="H114" s="142"/>
      <c r="I114" s="142"/>
      <c r="J114" s="142"/>
      <c r="K114" s="142"/>
      <c r="L114" s="146"/>
      <c r="M114" s="146"/>
      <c r="N114" s="146"/>
      <c r="O114" s="146"/>
      <c r="P114" s="146"/>
      <c r="Q114" s="146"/>
      <c r="R114" s="146"/>
      <c r="S114" s="146"/>
      <c r="T114" s="146"/>
      <c r="U114" s="101"/>
      <c r="V114" s="101"/>
      <c r="W114" s="101"/>
      <c r="X114" s="101"/>
      <c r="Y114" s="101"/>
      <c r="Z114" s="101"/>
      <c r="AA114" s="101"/>
      <c r="AB114" s="101"/>
      <c r="AC114" s="101"/>
      <c r="AD114" s="101"/>
      <c r="AE114" s="101"/>
      <c r="AF114" s="101"/>
    </row>
    <row r="115" spans="1:33" ht="18" customHeight="1" thickBot="1">
      <c r="A115" s="114"/>
      <c r="B115" s="725" t="s">
        <v>178</v>
      </c>
      <c r="C115" s="435">
        <v>1</v>
      </c>
      <c r="D115" s="435">
        <v>2</v>
      </c>
      <c r="E115" s="435">
        <v>3</v>
      </c>
      <c r="F115" s="435">
        <v>4</v>
      </c>
      <c r="G115" s="435">
        <v>5</v>
      </c>
      <c r="H115" s="434">
        <v>6</v>
      </c>
      <c r="I115" s="434">
        <v>7</v>
      </c>
      <c r="J115" s="435">
        <v>8</v>
      </c>
      <c r="K115" s="435">
        <v>9</v>
      </c>
      <c r="L115" s="435">
        <v>10</v>
      </c>
      <c r="M115" s="435">
        <v>11</v>
      </c>
      <c r="N115" s="435">
        <v>12</v>
      </c>
      <c r="O115" s="434">
        <v>13</v>
      </c>
      <c r="P115" s="434">
        <v>14</v>
      </c>
      <c r="Q115" s="435">
        <v>15</v>
      </c>
      <c r="R115" s="435">
        <v>16</v>
      </c>
      <c r="S115" s="435">
        <v>17</v>
      </c>
      <c r="T115" s="435">
        <v>18</v>
      </c>
      <c r="U115" s="435">
        <v>19</v>
      </c>
      <c r="V115" s="434">
        <v>20</v>
      </c>
      <c r="W115" s="434">
        <v>21</v>
      </c>
      <c r="X115" s="435">
        <v>22</v>
      </c>
      <c r="Y115" s="435">
        <v>23</v>
      </c>
      <c r="Z115" s="435">
        <v>24</v>
      </c>
      <c r="AA115" s="434">
        <v>25</v>
      </c>
      <c r="AB115" s="434">
        <v>26</v>
      </c>
      <c r="AC115" s="434">
        <v>27</v>
      </c>
      <c r="AD115" s="434">
        <v>28</v>
      </c>
      <c r="AE115" s="435">
        <v>29</v>
      </c>
      <c r="AF115" s="435">
        <v>30</v>
      </c>
      <c r="AG115" s="721">
        <v>31</v>
      </c>
    </row>
    <row r="116" spans="1:33" ht="18" customHeight="1" thickBot="1">
      <c r="B116" s="723" t="s">
        <v>184</v>
      </c>
      <c r="C116" s="724" t="s">
        <v>118</v>
      </c>
      <c r="D116" s="724" t="s">
        <v>118</v>
      </c>
      <c r="E116" s="724" t="s">
        <v>118</v>
      </c>
      <c r="F116" s="724" t="s">
        <v>46</v>
      </c>
      <c r="G116" s="724" t="s">
        <v>46</v>
      </c>
      <c r="H116" s="724" t="s">
        <v>46</v>
      </c>
      <c r="I116" s="724" t="s">
        <v>46</v>
      </c>
      <c r="J116" s="724" t="s">
        <v>46</v>
      </c>
      <c r="K116" s="724" t="s">
        <v>46</v>
      </c>
      <c r="L116" s="724" t="s">
        <v>118</v>
      </c>
      <c r="M116" s="724" t="s">
        <v>118</v>
      </c>
      <c r="N116" s="724" t="s">
        <v>118</v>
      </c>
      <c r="O116" s="724" t="s">
        <v>118</v>
      </c>
      <c r="P116" s="724" t="s">
        <v>118</v>
      </c>
      <c r="Q116" s="491" t="s">
        <v>118</v>
      </c>
      <c r="R116" s="724" t="s">
        <v>46</v>
      </c>
      <c r="S116" s="724" t="s">
        <v>46</v>
      </c>
      <c r="T116" s="724" t="s">
        <v>46</v>
      </c>
      <c r="U116" s="724" t="s">
        <v>46</v>
      </c>
      <c r="V116" s="724" t="s">
        <v>46</v>
      </c>
      <c r="W116" s="724" t="s">
        <v>46</v>
      </c>
      <c r="X116" s="724" t="s">
        <v>46</v>
      </c>
      <c r="Y116" s="724" t="s">
        <v>46</v>
      </c>
      <c r="Z116" s="724" t="s">
        <v>46</v>
      </c>
      <c r="AA116" s="724" t="s">
        <v>46</v>
      </c>
      <c r="AB116" s="724" t="s">
        <v>46</v>
      </c>
      <c r="AC116" s="724" t="s">
        <v>46</v>
      </c>
      <c r="AD116" s="1023" t="s">
        <v>118</v>
      </c>
      <c r="AE116" s="1023" t="s">
        <v>186</v>
      </c>
      <c r="AF116" s="724" t="s">
        <v>118</v>
      </c>
      <c r="AG116" s="1025" t="s">
        <v>118</v>
      </c>
    </row>
    <row r="117" spans="1:33" ht="18" customHeight="1" thickBot="1">
      <c r="B117" s="4574" t="s">
        <v>195</v>
      </c>
      <c r="C117" s="1569" t="s">
        <v>46</v>
      </c>
      <c r="D117" s="1569" t="s">
        <v>46</v>
      </c>
      <c r="E117" s="1569" t="s">
        <v>46</v>
      </c>
      <c r="F117" s="704" t="s">
        <v>118</v>
      </c>
      <c r="G117" s="1570" t="s">
        <v>118</v>
      </c>
      <c r="H117" s="1570" t="s">
        <v>118</v>
      </c>
      <c r="I117" s="1569" t="s">
        <v>118</v>
      </c>
      <c r="J117" s="1569" t="s">
        <v>118</v>
      </c>
      <c r="K117" s="1569" t="s">
        <v>118</v>
      </c>
      <c r="L117" s="1569" t="s">
        <v>46</v>
      </c>
      <c r="M117" s="1569" t="s">
        <v>46</v>
      </c>
      <c r="N117" s="1569" t="s">
        <v>46</v>
      </c>
      <c r="O117" s="1569" t="s">
        <v>46</v>
      </c>
      <c r="P117" s="1569" t="s">
        <v>46</v>
      </c>
      <c r="Q117" s="1569" t="s">
        <v>46</v>
      </c>
      <c r="R117" s="1569" t="s">
        <v>46</v>
      </c>
      <c r="S117" s="1569" t="s">
        <v>46</v>
      </c>
      <c r="T117" s="1569" t="s">
        <v>46</v>
      </c>
      <c r="U117" s="1569" t="s">
        <v>46</v>
      </c>
      <c r="V117" s="1569" t="s">
        <v>46</v>
      </c>
      <c r="W117" s="1569" t="s">
        <v>46</v>
      </c>
      <c r="X117" s="1569" t="s">
        <v>118</v>
      </c>
      <c r="Y117" s="1569" t="s">
        <v>118</v>
      </c>
      <c r="Z117" s="1569" t="s">
        <v>118</v>
      </c>
      <c r="AA117" s="1569" t="s">
        <v>118</v>
      </c>
      <c r="AB117" s="1569" t="s">
        <v>118</v>
      </c>
      <c r="AC117" s="1569" t="s">
        <v>118</v>
      </c>
      <c r="AD117" s="1569" t="s">
        <v>46</v>
      </c>
      <c r="AE117" s="1569" t="s">
        <v>46</v>
      </c>
      <c r="AF117" s="1569" t="s">
        <v>46</v>
      </c>
      <c r="AG117" s="1571" t="s">
        <v>46</v>
      </c>
    </row>
    <row r="118" spans="1:33" ht="18" customHeight="1" thickBot="1">
      <c r="B118" s="722" t="s">
        <v>0</v>
      </c>
      <c r="C118" s="4575" t="s">
        <v>118</v>
      </c>
      <c r="D118" s="4575" t="s">
        <v>118</v>
      </c>
      <c r="E118" s="4575" t="s">
        <v>118</v>
      </c>
      <c r="F118" s="4575" t="s">
        <v>46</v>
      </c>
      <c r="G118" s="4575" t="s">
        <v>46</v>
      </c>
      <c r="H118" s="4575" t="s">
        <v>46</v>
      </c>
      <c r="I118" s="4575" t="s">
        <v>46</v>
      </c>
      <c r="J118" s="4575" t="s">
        <v>46</v>
      </c>
      <c r="K118" s="4575" t="s">
        <v>46</v>
      </c>
      <c r="L118" s="4575" t="s">
        <v>118</v>
      </c>
      <c r="M118" s="4575" t="s">
        <v>118</v>
      </c>
      <c r="N118" s="4575" t="s">
        <v>118</v>
      </c>
      <c r="O118" s="4575" t="s">
        <v>118</v>
      </c>
      <c r="P118" s="4575" t="s">
        <v>118</v>
      </c>
      <c r="Q118" s="4575" t="s">
        <v>118</v>
      </c>
      <c r="R118" s="4575" t="s">
        <v>46</v>
      </c>
      <c r="S118" s="4575" t="s">
        <v>46</v>
      </c>
      <c r="T118" s="4575" t="s">
        <v>46</v>
      </c>
      <c r="U118" s="4575" t="s">
        <v>46</v>
      </c>
      <c r="V118" s="4575" t="s">
        <v>46</v>
      </c>
      <c r="W118" s="4575" t="s">
        <v>46</v>
      </c>
      <c r="X118" s="4575" t="s">
        <v>46</v>
      </c>
      <c r="Y118" s="4575" t="s">
        <v>46</v>
      </c>
      <c r="Z118" s="4575" t="s">
        <v>46</v>
      </c>
      <c r="AA118" s="4575" t="s">
        <v>46</v>
      </c>
      <c r="AB118" s="4575" t="s">
        <v>46</v>
      </c>
      <c r="AC118" s="4575" t="s">
        <v>46</v>
      </c>
      <c r="AD118" s="4575" t="s">
        <v>118</v>
      </c>
      <c r="AE118" s="4575" t="s">
        <v>118</v>
      </c>
      <c r="AF118" s="4575" t="s">
        <v>118</v>
      </c>
      <c r="AG118" s="4576" t="s">
        <v>118</v>
      </c>
    </row>
    <row r="119" spans="1:33" ht="18" customHeight="1">
      <c r="A119" s="3" t="s">
        <v>188</v>
      </c>
    </row>
    <row r="120" spans="1:33" ht="18" customHeight="1" thickBot="1">
      <c r="A120" s="3"/>
    </row>
    <row r="121" spans="1:33" ht="18" customHeight="1" thickBot="1">
      <c r="B121" s="134"/>
      <c r="C121" s="135"/>
      <c r="D121" s="135"/>
      <c r="E121" s="138" t="s">
        <v>179</v>
      </c>
      <c r="F121" s="135"/>
      <c r="G121" s="135"/>
      <c r="H121" s="135"/>
      <c r="I121" s="135"/>
      <c r="J121" s="135"/>
      <c r="K121" s="141" t="s">
        <v>15</v>
      </c>
      <c r="L121" s="139"/>
      <c r="M121" s="139"/>
      <c r="N121" s="139"/>
      <c r="O121" s="139"/>
      <c r="P121" s="139"/>
      <c r="Q121" s="139"/>
      <c r="R121" s="139"/>
      <c r="S121" s="139"/>
      <c r="T121" s="140"/>
    </row>
    <row r="122" spans="1:33" ht="18" customHeight="1" thickBot="1">
      <c r="B122" s="134" t="s">
        <v>180</v>
      </c>
      <c r="C122" s="135"/>
      <c r="D122" s="135"/>
      <c r="E122" s="136" t="s">
        <v>189</v>
      </c>
      <c r="F122" s="135"/>
      <c r="G122" s="135"/>
      <c r="H122" s="135"/>
      <c r="I122" s="135"/>
      <c r="J122" s="135"/>
      <c r="K122" s="135" t="s">
        <v>0</v>
      </c>
      <c r="L122" s="135"/>
      <c r="M122" s="135"/>
      <c r="N122" s="135"/>
      <c r="O122" s="135"/>
      <c r="P122" s="135"/>
      <c r="Q122" s="135"/>
      <c r="R122" s="144"/>
      <c r="S122" s="144"/>
      <c r="T122" s="145"/>
      <c r="U122" s="101"/>
      <c r="V122" s="101"/>
    </row>
    <row r="123" spans="1:33" ht="18" customHeight="1" thickBot="1">
      <c r="T123" s="101"/>
      <c r="U123" s="101"/>
      <c r="V123" s="101"/>
    </row>
    <row r="124" spans="1:33" ht="18" customHeight="1" thickBot="1">
      <c r="B124" s="720" t="s">
        <v>595</v>
      </c>
      <c r="C124" s="435">
        <v>1</v>
      </c>
      <c r="D124" s="435">
        <v>2</v>
      </c>
      <c r="E124" s="435">
        <v>3</v>
      </c>
      <c r="F124" s="435">
        <v>4</v>
      </c>
      <c r="G124" s="435">
        <v>5</v>
      </c>
      <c r="H124" s="434">
        <v>6</v>
      </c>
      <c r="I124" s="434">
        <v>7</v>
      </c>
      <c r="J124" s="435">
        <v>8</v>
      </c>
      <c r="K124" s="435">
        <v>9</v>
      </c>
      <c r="L124" s="435">
        <v>10</v>
      </c>
      <c r="M124" s="435">
        <v>11</v>
      </c>
      <c r="N124" s="435">
        <v>12</v>
      </c>
      <c r="O124" s="434">
        <v>13</v>
      </c>
      <c r="P124" s="434">
        <v>14</v>
      </c>
      <c r="Q124" s="435">
        <v>15</v>
      </c>
      <c r="R124" s="435">
        <v>16</v>
      </c>
      <c r="S124" s="435">
        <v>17</v>
      </c>
      <c r="T124" s="435">
        <v>18</v>
      </c>
      <c r="U124" s="435">
        <v>19</v>
      </c>
      <c r="V124" s="434">
        <v>20</v>
      </c>
      <c r="W124" s="434">
        <v>21</v>
      </c>
      <c r="X124" s="435">
        <v>22</v>
      </c>
      <c r="Y124" s="435">
        <v>23</v>
      </c>
      <c r="Z124" s="435">
        <v>24</v>
      </c>
      <c r="AA124" s="434">
        <v>25</v>
      </c>
      <c r="AB124" s="434">
        <v>26</v>
      </c>
      <c r="AC124" s="434">
        <v>27</v>
      </c>
      <c r="AD124" s="434">
        <v>28</v>
      </c>
      <c r="AE124" s="435">
        <v>29</v>
      </c>
      <c r="AF124" s="435">
        <v>30</v>
      </c>
      <c r="AG124" s="721">
        <v>31</v>
      </c>
    </row>
    <row r="125" spans="1:33" ht="18" customHeight="1">
      <c r="B125" s="718" t="s">
        <v>0</v>
      </c>
      <c r="C125" s="480" t="s">
        <v>46</v>
      </c>
      <c r="D125" s="480" t="s">
        <v>46</v>
      </c>
      <c r="E125" s="484" t="s">
        <v>61</v>
      </c>
      <c r="F125" s="480" t="s">
        <v>61</v>
      </c>
      <c r="G125" s="480" t="s">
        <v>61</v>
      </c>
      <c r="H125" s="719" t="s">
        <v>46</v>
      </c>
      <c r="I125" s="719" t="s">
        <v>46</v>
      </c>
      <c r="J125" s="719" t="s">
        <v>46</v>
      </c>
      <c r="K125" s="480" t="s">
        <v>61</v>
      </c>
      <c r="L125" s="480" t="s">
        <v>61</v>
      </c>
      <c r="M125" s="480" t="s">
        <v>61</v>
      </c>
      <c r="N125" s="480" t="s">
        <v>61</v>
      </c>
      <c r="O125" s="484"/>
      <c r="P125" s="484"/>
      <c r="Q125" s="487" t="s">
        <v>46</v>
      </c>
      <c r="R125" s="487" t="s">
        <v>46</v>
      </c>
      <c r="S125" s="487" t="s">
        <v>61</v>
      </c>
      <c r="T125" s="487" t="s">
        <v>61</v>
      </c>
      <c r="U125" s="487" t="s">
        <v>61</v>
      </c>
      <c r="V125" s="487" t="s">
        <v>46</v>
      </c>
      <c r="W125" s="487" t="s">
        <v>46</v>
      </c>
      <c r="X125" s="480" t="s">
        <v>46</v>
      </c>
      <c r="Y125" s="480" t="s">
        <v>46</v>
      </c>
      <c r="Z125" s="480" t="s">
        <v>46</v>
      </c>
      <c r="AA125" s="480" t="s">
        <v>61</v>
      </c>
      <c r="AB125" s="480" t="s">
        <v>61</v>
      </c>
      <c r="AC125" s="480" t="s">
        <v>61</v>
      </c>
      <c r="AD125" s="480" t="s">
        <v>46</v>
      </c>
      <c r="AE125" s="480" t="s">
        <v>46</v>
      </c>
      <c r="AF125" s="484" t="s">
        <v>61</v>
      </c>
      <c r="AG125" s="715" t="s">
        <v>61</v>
      </c>
    </row>
    <row r="126" spans="1:33" ht="18" customHeight="1" thickBot="1">
      <c r="B126" s="476" t="s">
        <v>191</v>
      </c>
      <c r="C126" s="716" t="s">
        <v>61</v>
      </c>
      <c r="D126" s="716" t="s">
        <v>61</v>
      </c>
      <c r="E126" s="1591" t="s">
        <v>46</v>
      </c>
      <c r="F126" s="1591" t="s">
        <v>46</v>
      </c>
      <c r="G126" s="1591" t="s">
        <v>46</v>
      </c>
      <c r="H126" s="717" t="s">
        <v>61</v>
      </c>
      <c r="I126" s="717" t="s">
        <v>61</v>
      </c>
      <c r="J126" s="4577" t="s">
        <v>61</v>
      </c>
      <c r="K126" s="4577" t="s">
        <v>46</v>
      </c>
      <c r="L126" s="4577" t="s">
        <v>46</v>
      </c>
      <c r="M126" s="4577" t="s">
        <v>46</v>
      </c>
      <c r="N126" s="4577" t="s">
        <v>46</v>
      </c>
      <c r="O126" s="4577" t="s">
        <v>46</v>
      </c>
      <c r="P126" s="4578" t="s">
        <v>61</v>
      </c>
      <c r="Q126" s="1589" t="s">
        <v>61</v>
      </c>
      <c r="R126" s="1591" t="s">
        <v>61</v>
      </c>
      <c r="S126" s="1591" t="s">
        <v>46</v>
      </c>
      <c r="T126" s="1591" t="s">
        <v>46</v>
      </c>
      <c r="U126" s="1591" t="s">
        <v>46</v>
      </c>
      <c r="V126" s="1592" t="s">
        <v>46</v>
      </c>
      <c r="W126" s="1593" t="s">
        <v>46</v>
      </c>
      <c r="X126" s="1589" t="s">
        <v>61</v>
      </c>
      <c r="Y126" s="1589" t="s">
        <v>61</v>
      </c>
      <c r="Z126" s="1589" t="s">
        <v>61</v>
      </c>
      <c r="AA126" s="1589" t="s">
        <v>46</v>
      </c>
      <c r="AB126" s="1589" t="s">
        <v>46</v>
      </c>
      <c r="AC126" s="1589" t="s">
        <v>46</v>
      </c>
      <c r="AD126" s="1589" t="s">
        <v>46</v>
      </c>
      <c r="AE126" s="1589" t="s">
        <v>46</v>
      </c>
      <c r="AF126" s="1591" t="s">
        <v>46</v>
      </c>
      <c r="AG126" s="477" t="s">
        <v>46</v>
      </c>
    </row>
    <row r="127" spans="1:33" ht="18" customHeight="1">
      <c r="B127" s="1455" t="s">
        <v>0</v>
      </c>
      <c r="C127" s="1456" t="s">
        <v>0</v>
      </c>
      <c r="D127" s="1456" t="s">
        <v>0</v>
      </c>
      <c r="E127" s="1456" t="s">
        <v>0</v>
      </c>
      <c r="F127" s="1456" t="s">
        <v>0</v>
      </c>
      <c r="G127" s="1456" t="s">
        <v>0</v>
      </c>
      <c r="H127" s="1456" t="s">
        <v>0</v>
      </c>
      <c r="I127" s="1456" t="s">
        <v>0</v>
      </c>
      <c r="AF127" s="1456" t="s">
        <v>0</v>
      </c>
    </row>
    <row r="128" spans="1:33" ht="18" customHeight="1" thickBot="1">
      <c r="A128" s="3" t="s">
        <v>192</v>
      </c>
    </row>
    <row r="129" spans="1:33" ht="18" customHeight="1" thickBot="1">
      <c r="B129" s="134"/>
      <c r="C129" s="135"/>
      <c r="D129" s="135"/>
      <c r="E129" s="138" t="s">
        <v>179</v>
      </c>
      <c r="F129" s="135"/>
      <c r="G129" s="135"/>
      <c r="H129" s="135"/>
      <c r="I129" s="135"/>
      <c r="J129" s="135"/>
      <c r="K129" s="141" t="s">
        <v>15</v>
      </c>
      <c r="L129" s="139"/>
      <c r="M129" s="139"/>
      <c r="N129" s="139"/>
      <c r="O129" s="139"/>
      <c r="P129" s="139"/>
      <c r="Q129" s="139"/>
      <c r="R129" s="139"/>
      <c r="S129" s="139"/>
      <c r="T129" s="140"/>
    </row>
    <row r="130" spans="1:33" ht="18" customHeight="1" thickBot="1">
      <c r="B130" s="134" t="s">
        <v>180</v>
      </c>
      <c r="C130" s="135"/>
      <c r="D130" s="135"/>
      <c r="E130" s="136" t="s">
        <v>193</v>
      </c>
      <c r="F130" s="135"/>
      <c r="G130" s="135"/>
      <c r="H130" s="135"/>
      <c r="I130" s="135"/>
      <c r="J130" s="135"/>
      <c r="K130" s="135" t="s">
        <v>0</v>
      </c>
      <c r="L130" s="135"/>
      <c r="M130" s="135"/>
      <c r="N130" s="135"/>
      <c r="O130" s="135"/>
      <c r="P130" s="135"/>
      <c r="Q130" s="135"/>
      <c r="R130" s="144"/>
      <c r="S130" s="144"/>
      <c r="T130" s="145"/>
      <c r="U130" s="101"/>
      <c r="V130" s="101"/>
    </row>
    <row r="131" spans="1:33" ht="18" customHeight="1" thickBot="1">
      <c r="T131" s="101"/>
      <c r="U131" s="101"/>
      <c r="V131" s="101"/>
    </row>
    <row r="132" spans="1:33" ht="18" customHeight="1" thickBot="1">
      <c r="B132" s="714" t="s">
        <v>192</v>
      </c>
      <c r="C132" s="428">
        <v>1</v>
      </c>
      <c r="D132" s="428">
        <v>2</v>
      </c>
      <c r="E132" s="428">
        <v>3</v>
      </c>
      <c r="F132" s="428">
        <v>4</v>
      </c>
      <c r="G132" s="428">
        <v>5</v>
      </c>
      <c r="H132" s="427">
        <v>6</v>
      </c>
      <c r="I132" s="427">
        <v>7</v>
      </c>
      <c r="J132" s="428">
        <v>8</v>
      </c>
      <c r="K132" s="428">
        <v>9</v>
      </c>
      <c r="L132" s="428">
        <v>10</v>
      </c>
      <c r="M132" s="428">
        <v>11</v>
      </c>
      <c r="N132" s="428">
        <v>12</v>
      </c>
      <c r="O132" s="427">
        <v>13</v>
      </c>
      <c r="P132" s="427">
        <v>14</v>
      </c>
      <c r="Q132" s="428">
        <v>15</v>
      </c>
      <c r="R132" s="428">
        <v>16</v>
      </c>
      <c r="S132" s="428">
        <v>17</v>
      </c>
      <c r="T132" s="428">
        <v>18</v>
      </c>
      <c r="U132" s="428">
        <v>19</v>
      </c>
      <c r="V132" s="427">
        <v>20</v>
      </c>
      <c r="W132" s="427">
        <v>21</v>
      </c>
      <c r="X132" s="428">
        <v>22</v>
      </c>
      <c r="Y132" s="428">
        <v>23</v>
      </c>
      <c r="Z132" s="428">
        <v>24</v>
      </c>
      <c r="AA132" s="427">
        <v>25</v>
      </c>
      <c r="AB132" s="427">
        <v>26</v>
      </c>
      <c r="AC132" s="427">
        <v>27</v>
      </c>
      <c r="AD132" s="427">
        <v>28</v>
      </c>
      <c r="AE132" s="428">
        <v>29</v>
      </c>
      <c r="AF132" s="428">
        <v>30</v>
      </c>
      <c r="AG132" s="688">
        <v>31</v>
      </c>
    </row>
    <row r="133" spans="1:33" ht="18" customHeight="1">
      <c r="B133" s="474" t="s">
        <v>194</v>
      </c>
      <c r="C133" s="711" t="s">
        <v>46</v>
      </c>
      <c r="D133" s="711" t="s">
        <v>139</v>
      </c>
      <c r="E133" s="711" t="s">
        <v>139</v>
      </c>
      <c r="F133" s="711" t="s">
        <v>139</v>
      </c>
      <c r="G133" s="711"/>
      <c r="H133" s="711"/>
      <c r="I133" s="711"/>
      <c r="J133" s="955" t="s">
        <v>139</v>
      </c>
      <c r="K133" s="955" t="s">
        <v>388</v>
      </c>
      <c r="L133" s="711" t="s">
        <v>139</v>
      </c>
      <c r="M133" s="711" t="s">
        <v>46</v>
      </c>
      <c r="N133" s="712" t="s">
        <v>46</v>
      </c>
      <c r="O133" s="712" t="s">
        <v>46</v>
      </c>
      <c r="P133" s="711" t="s">
        <v>139</v>
      </c>
      <c r="Q133" s="711" t="s">
        <v>139</v>
      </c>
      <c r="R133" s="711" t="s">
        <v>139</v>
      </c>
      <c r="S133" s="711"/>
      <c r="T133" s="856"/>
      <c r="U133" s="856"/>
      <c r="V133" s="711" t="s">
        <v>139</v>
      </c>
      <c r="W133" s="711" t="s">
        <v>139</v>
      </c>
      <c r="X133" s="711" t="s">
        <v>139</v>
      </c>
      <c r="Y133" s="711"/>
      <c r="Z133" s="711"/>
      <c r="AA133" s="711"/>
      <c r="AB133" s="711"/>
      <c r="AC133" s="711"/>
      <c r="AD133" s="711" t="s">
        <v>139</v>
      </c>
      <c r="AE133" s="711" t="s">
        <v>139</v>
      </c>
      <c r="AF133" s="711" t="s">
        <v>139</v>
      </c>
      <c r="AG133" s="713"/>
    </row>
    <row r="134" spans="1:33" ht="18" customHeight="1" thickBot="1">
      <c r="B134" s="469" t="s">
        <v>596</v>
      </c>
      <c r="C134" s="708" t="s">
        <v>46</v>
      </c>
      <c r="D134" s="708" t="s">
        <v>46</v>
      </c>
      <c r="E134" s="708" t="s">
        <v>46</v>
      </c>
      <c r="F134" s="708" t="s">
        <v>46</v>
      </c>
      <c r="G134" s="708" t="s">
        <v>139</v>
      </c>
      <c r="H134" s="708" t="s">
        <v>139</v>
      </c>
      <c r="I134" s="708" t="s">
        <v>139</v>
      </c>
      <c r="J134" s="924"/>
      <c r="K134" s="708"/>
      <c r="L134" s="708"/>
      <c r="M134" s="708" t="s">
        <v>139</v>
      </c>
      <c r="N134" s="709" t="s">
        <v>139</v>
      </c>
      <c r="O134" s="709" t="s">
        <v>139</v>
      </c>
      <c r="P134" s="708"/>
      <c r="Q134" s="708"/>
      <c r="R134" s="924"/>
      <c r="S134" s="937" t="s">
        <v>139</v>
      </c>
      <c r="T134" s="708" t="s">
        <v>139</v>
      </c>
      <c r="U134" s="708" t="s">
        <v>139</v>
      </c>
      <c r="V134" s="960"/>
      <c r="W134" s="960"/>
      <c r="X134" s="708"/>
      <c r="Y134" s="901" t="s">
        <v>139</v>
      </c>
      <c r="Z134" s="708" t="s">
        <v>139</v>
      </c>
      <c r="AA134" s="708" t="s">
        <v>139</v>
      </c>
      <c r="AB134" s="708" t="s">
        <v>139</v>
      </c>
      <c r="AC134" s="960"/>
      <c r="AD134" s="960"/>
      <c r="AE134" s="960"/>
      <c r="AF134" s="708"/>
      <c r="AG134" s="710" t="s">
        <v>139</v>
      </c>
    </row>
    <row r="135" spans="1:33" ht="18" customHeight="1">
      <c r="B135" s="115"/>
      <c r="C135" s="116"/>
      <c r="D135" s="116"/>
      <c r="E135" s="116"/>
      <c r="F135" s="116"/>
      <c r="G135" s="116"/>
      <c r="H135" s="116"/>
      <c r="I135" s="116"/>
      <c r="J135" s="116"/>
      <c r="K135" s="116"/>
      <c r="L135" s="116"/>
      <c r="M135" s="116"/>
      <c r="N135" s="116"/>
      <c r="O135" s="116"/>
      <c r="P135" s="116"/>
      <c r="Q135" s="116"/>
      <c r="R135" s="116"/>
      <c r="S135" s="116"/>
      <c r="T135" s="116"/>
      <c r="U135" s="116"/>
      <c r="V135" s="116"/>
      <c r="W135" s="116"/>
      <c r="X135" s="116"/>
      <c r="Y135" s="116"/>
      <c r="Z135" s="116"/>
      <c r="AA135" s="116"/>
      <c r="AB135" s="116"/>
      <c r="AC135" s="116"/>
      <c r="AD135" s="116"/>
      <c r="AE135" s="116"/>
      <c r="AF135" s="116"/>
    </row>
    <row r="136" spans="1:33" ht="18" customHeight="1" thickBot="1">
      <c r="A136" s="3" t="s">
        <v>196</v>
      </c>
    </row>
    <row r="137" spans="1:33" ht="18" customHeight="1" thickBot="1">
      <c r="B137" s="134"/>
      <c r="C137" s="135"/>
      <c r="D137" s="135"/>
      <c r="E137" s="138" t="s">
        <v>179</v>
      </c>
      <c r="F137" s="135"/>
      <c r="G137" s="135"/>
      <c r="H137" s="135"/>
      <c r="I137" s="135"/>
      <c r="J137" s="135"/>
      <c r="K137" s="141" t="s">
        <v>15</v>
      </c>
      <c r="L137" s="139"/>
      <c r="M137" s="139"/>
      <c r="N137" s="139"/>
      <c r="O137" s="139"/>
      <c r="P137" s="139"/>
      <c r="Q137" s="139"/>
      <c r="R137" s="139"/>
      <c r="S137" s="139"/>
      <c r="T137" s="140"/>
    </row>
    <row r="138" spans="1:33" ht="18" customHeight="1" thickBot="1">
      <c r="B138" s="134" t="s">
        <v>180</v>
      </c>
      <c r="C138" s="136" t="s">
        <v>547</v>
      </c>
      <c r="D138" s="135"/>
      <c r="E138" s="135"/>
      <c r="F138" s="135"/>
      <c r="G138" s="135" t="s">
        <v>548</v>
      </c>
      <c r="H138" s="135"/>
      <c r="I138" s="135"/>
      <c r="J138" s="135"/>
      <c r="K138" s="135" t="s">
        <v>549</v>
      </c>
      <c r="L138" s="135"/>
      <c r="M138" s="135"/>
      <c r="N138" s="135"/>
      <c r="O138" s="135" t="s">
        <v>550</v>
      </c>
      <c r="P138" s="135"/>
      <c r="Q138" s="135"/>
      <c r="R138" s="135"/>
      <c r="S138" s="877"/>
      <c r="T138" s="147"/>
    </row>
    <row r="139" spans="1:33" ht="18" customHeight="1" thickBot="1">
      <c r="T139" s="101"/>
      <c r="U139" s="101"/>
      <c r="V139" s="101"/>
    </row>
    <row r="140" spans="1:33" ht="18" customHeight="1" thickBot="1">
      <c r="B140" s="945" t="s">
        <v>196</v>
      </c>
      <c r="C140" s="865">
        <v>1</v>
      </c>
      <c r="D140" s="865">
        <v>2</v>
      </c>
      <c r="E140" s="865">
        <v>3</v>
      </c>
      <c r="F140" s="865">
        <v>4</v>
      </c>
      <c r="G140" s="865">
        <v>5</v>
      </c>
      <c r="H140" s="866">
        <v>6</v>
      </c>
      <c r="I140" s="866">
        <v>7</v>
      </c>
      <c r="J140" s="865">
        <v>8</v>
      </c>
      <c r="K140" s="865">
        <v>9</v>
      </c>
      <c r="L140" s="865">
        <v>10</v>
      </c>
      <c r="M140" s="865">
        <v>11</v>
      </c>
      <c r="N140" s="865">
        <v>12</v>
      </c>
      <c r="O140" s="866">
        <v>13</v>
      </c>
      <c r="P140" s="866">
        <v>14</v>
      </c>
      <c r="Q140" s="865">
        <v>15</v>
      </c>
      <c r="R140" s="865">
        <v>16</v>
      </c>
      <c r="S140" s="865">
        <v>17</v>
      </c>
      <c r="T140" s="865">
        <v>18</v>
      </c>
      <c r="U140" s="865">
        <v>19</v>
      </c>
      <c r="V140" s="866">
        <v>20</v>
      </c>
      <c r="W140" s="866">
        <v>21</v>
      </c>
      <c r="X140" s="865">
        <v>22</v>
      </c>
      <c r="Y140" s="865">
        <v>23</v>
      </c>
      <c r="Z140" s="865">
        <v>24</v>
      </c>
      <c r="AA140" s="866">
        <v>25</v>
      </c>
      <c r="AB140" s="866">
        <v>26</v>
      </c>
      <c r="AC140" s="866">
        <v>27</v>
      </c>
      <c r="AD140" s="866">
        <v>28</v>
      </c>
      <c r="AE140" s="865">
        <v>29</v>
      </c>
      <c r="AF140" s="865">
        <v>30</v>
      </c>
      <c r="AG140" s="867">
        <v>31</v>
      </c>
    </row>
    <row r="141" spans="1:33" ht="18" customHeight="1">
      <c r="B141" s="4579" t="s">
        <v>198</v>
      </c>
      <c r="C141" s="3525" t="s">
        <v>46</v>
      </c>
      <c r="D141" s="3525" t="s">
        <v>46</v>
      </c>
      <c r="E141" s="3521" t="s">
        <v>113</v>
      </c>
      <c r="F141" s="3521" t="s">
        <v>113</v>
      </c>
      <c r="G141" s="3521" t="s">
        <v>373</v>
      </c>
      <c r="H141" s="3525" t="s">
        <v>46</v>
      </c>
      <c r="I141" s="3525" t="s">
        <v>46</v>
      </c>
      <c r="J141" s="3525" t="s">
        <v>46</v>
      </c>
      <c r="K141" s="3521" t="s">
        <v>113</v>
      </c>
      <c r="L141" s="3521" t="s">
        <v>113</v>
      </c>
      <c r="M141" s="3521" t="s">
        <v>113</v>
      </c>
      <c r="N141" s="3521" t="s">
        <v>373</v>
      </c>
      <c r="O141" s="3521" t="s">
        <v>373</v>
      </c>
      <c r="P141" s="3521" t="s">
        <v>113</v>
      </c>
      <c r="Q141" s="3521" t="s">
        <v>113</v>
      </c>
      <c r="R141" s="3525" t="s">
        <v>46</v>
      </c>
      <c r="S141" s="3525" t="s">
        <v>46</v>
      </c>
      <c r="T141" s="3525" t="s">
        <v>46</v>
      </c>
      <c r="U141" s="3525" t="s">
        <v>46</v>
      </c>
      <c r="V141" s="3525" t="s">
        <v>46</v>
      </c>
      <c r="W141" s="3525" t="s">
        <v>46</v>
      </c>
      <c r="X141" s="3521" t="s">
        <v>113</v>
      </c>
      <c r="Y141" s="3521" t="s">
        <v>113</v>
      </c>
      <c r="Z141" s="4580" t="s">
        <v>373</v>
      </c>
      <c r="AA141" s="3521" t="s">
        <v>373</v>
      </c>
      <c r="AB141" s="3521" t="s">
        <v>373</v>
      </c>
      <c r="AC141" s="3521" t="s">
        <v>373</v>
      </c>
      <c r="AD141" s="3521" t="s">
        <v>113</v>
      </c>
      <c r="AE141" s="3525" t="s">
        <v>46</v>
      </c>
      <c r="AF141" s="3525" t="s">
        <v>46</v>
      </c>
      <c r="AG141" s="4581" t="s">
        <v>418</v>
      </c>
    </row>
    <row r="142" spans="1:33" ht="18" customHeight="1" thickBot="1">
      <c r="B142" s="707" t="s">
        <v>155</v>
      </c>
      <c r="C142" s="4582" t="s">
        <v>46</v>
      </c>
      <c r="D142" s="4582" t="s">
        <v>143</v>
      </c>
      <c r="E142" s="1589" t="s">
        <v>418</v>
      </c>
      <c r="F142" s="1589" t="s">
        <v>418</v>
      </c>
      <c r="G142" s="1589" t="s">
        <v>429</v>
      </c>
      <c r="H142" s="1589" t="s">
        <v>46</v>
      </c>
      <c r="I142" s="1589" t="s">
        <v>46</v>
      </c>
      <c r="J142" s="1589" t="s">
        <v>418</v>
      </c>
      <c r="K142" s="1589" t="s">
        <v>418</v>
      </c>
      <c r="L142" s="1589" t="s">
        <v>418</v>
      </c>
      <c r="M142" s="1589" t="s">
        <v>418</v>
      </c>
      <c r="N142" s="1589" t="s">
        <v>429</v>
      </c>
      <c r="O142" s="1589" t="s">
        <v>429</v>
      </c>
      <c r="P142" s="1589" t="s">
        <v>418</v>
      </c>
      <c r="Q142" s="1589" t="s">
        <v>46</v>
      </c>
      <c r="R142" s="1589" t="s">
        <v>46</v>
      </c>
      <c r="S142" s="1589" t="s">
        <v>418</v>
      </c>
      <c r="T142" s="1589" t="s">
        <v>418</v>
      </c>
      <c r="U142" s="1589" t="s">
        <v>429</v>
      </c>
      <c r="V142" s="1589" t="s">
        <v>46</v>
      </c>
      <c r="W142" s="1589" t="s">
        <v>46</v>
      </c>
      <c r="X142" s="1589" t="s">
        <v>418</v>
      </c>
      <c r="Y142" s="1589" t="s">
        <v>418</v>
      </c>
      <c r="Z142" s="1589" t="s">
        <v>429</v>
      </c>
      <c r="AA142" s="1589" t="s">
        <v>429</v>
      </c>
      <c r="AB142" s="1589" t="s">
        <v>429</v>
      </c>
      <c r="AC142" s="1589" t="s">
        <v>429</v>
      </c>
      <c r="AD142" s="1589" t="s">
        <v>418</v>
      </c>
      <c r="AE142" s="1589" t="s">
        <v>46</v>
      </c>
      <c r="AF142" s="1589" t="s">
        <v>46</v>
      </c>
      <c r="AG142" s="398" t="s">
        <v>46</v>
      </c>
    </row>
    <row r="143" spans="1:33" ht="18" customHeight="1" thickBot="1">
      <c r="B143" s="157"/>
      <c r="C143" s="116"/>
      <c r="D143" s="116"/>
      <c r="E143" s="116"/>
      <c r="F143" s="116"/>
      <c r="G143" s="116"/>
      <c r="H143" s="116"/>
      <c r="I143" s="116"/>
      <c r="J143" s="124"/>
      <c r="K143" s="124"/>
      <c r="L143" s="124"/>
      <c r="M143" s="124"/>
      <c r="N143" s="124"/>
      <c r="O143" s="116"/>
      <c r="P143" s="116"/>
      <c r="Q143" s="116"/>
      <c r="R143" s="116"/>
      <c r="S143" s="116"/>
      <c r="T143" s="116"/>
      <c r="U143" s="116"/>
      <c r="V143" s="116"/>
      <c r="W143" s="116"/>
      <c r="X143" s="124"/>
      <c r="Y143" s="124"/>
      <c r="Z143" s="124"/>
      <c r="AA143" s="124"/>
      <c r="AB143" s="124"/>
      <c r="AC143" s="116"/>
      <c r="AD143" s="116"/>
      <c r="AE143" s="116"/>
      <c r="AF143" s="116"/>
      <c r="AG143" s="116"/>
    </row>
    <row r="144" spans="1:33" ht="18" customHeight="1" thickBot="1">
      <c r="B144" s="207" t="s">
        <v>503</v>
      </c>
      <c r="C144" s="948">
        <v>1</v>
      </c>
      <c r="D144" s="675">
        <v>2</v>
      </c>
      <c r="E144" s="675">
        <v>3</v>
      </c>
      <c r="F144" s="675">
        <v>4</v>
      </c>
      <c r="G144" s="675">
        <v>5</v>
      </c>
      <c r="H144" s="496">
        <v>6</v>
      </c>
      <c r="I144" s="496">
        <v>7</v>
      </c>
      <c r="J144" s="675">
        <v>8</v>
      </c>
      <c r="K144" s="675">
        <v>9</v>
      </c>
      <c r="L144" s="675">
        <v>10</v>
      </c>
      <c r="M144" s="675">
        <v>11</v>
      </c>
      <c r="N144" s="675">
        <v>12</v>
      </c>
      <c r="O144" s="496">
        <v>13</v>
      </c>
      <c r="P144" s="496">
        <v>14</v>
      </c>
      <c r="Q144" s="675">
        <v>15</v>
      </c>
      <c r="R144" s="675">
        <v>16</v>
      </c>
      <c r="S144" s="675">
        <v>17</v>
      </c>
      <c r="T144" s="675">
        <v>18</v>
      </c>
      <c r="U144" s="675">
        <v>19</v>
      </c>
      <c r="V144" s="496">
        <v>20</v>
      </c>
      <c r="W144" s="496">
        <v>21</v>
      </c>
      <c r="X144" s="675">
        <v>22</v>
      </c>
      <c r="Y144" s="675">
        <v>23</v>
      </c>
      <c r="Z144" s="675">
        <v>24</v>
      </c>
      <c r="AA144" s="496">
        <v>25</v>
      </c>
      <c r="AB144" s="496">
        <v>26</v>
      </c>
      <c r="AC144" s="496">
        <v>27</v>
      </c>
      <c r="AD144" s="496">
        <v>28</v>
      </c>
      <c r="AE144" s="675">
        <v>29</v>
      </c>
      <c r="AF144" s="675">
        <v>30</v>
      </c>
      <c r="AG144" s="688">
        <v>31</v>
      </c>
    </row>
    <row r="145" spans="1:33" ht="18" customHeight="1">
      <c r="B145" s="946" t="s">
        <v>113</v>
      </c>
      <c r="C145" s="947" t="s">
        <v>597</v>
      </c>
      <c r="D145" s="947" t="s">
        <v>597</v>
      </c>
      <c r="E145" s="947"/>
      <c r="F145" s="947"/>
      <c r="G145" s="947"/>
      <c r="H145" s="947"/>
      <c r="I145" s="947" t="s">
        <v>593</v>
      </c>
      <c r="J145" s="947" t="s">
        <v>597</v>
      </c>
      <c r="K145" s="947"/>
      <c r="L145" s="947"/>
      <c r="M145" s="947"/>
      <c r="N145" s="947"/>
      <c r="O145" s="947"/>
      <c r="P145" s="947"/>
      <c r="Q145" s="947"/>
      <c r="R145" s="947" t="s">
        <v>598</v>
      </c>
      <c r="S145" s="947" t="s">
        <v>599</v>
      </c>
      <c r="T145" s="949" t="s">
        <v>600</v>
      </c>
      <c r="U145" s="947"/>
      <c r="V145" s="947"/>
      <c r="W145" s="947" t="s">
        <v>597</v>
      </c>
      <c r="X145" s="947"/>
      <c r="Y145" s="947"/>
      <c r="Z145" s="947"/>
      <c r="AA145" s="947"/>
      <c r="AB145" s="947"/>
      <c r="AC145" s="947"/>
      <c r="AD145" s="947"/>
      <c r="AE145" s="947"/>
      <c r="AF145" s="947"/>
      <c r="AG145" s="423" t="s">
        <v>601</v>
      </c>
    </row>
    <row r="146" spans="1:33" ht="18" customHeight="1">
      <c r="B146" s="946" t="s">
        <v>373</v>
      </c>
      <c r="C146" s="320"/>
      <c r="D146" s="320"/>
      <c r="E146" s="320"/>
      <c r="F146" s="320"/>
      <c r="G146" s="320"/>
      <c r="H146" s="320" t="s">
        <v>593</v>
      </c>
      <c r="I146" s="320"/>
      <c r="J146" s="319"/>
      <c r="K146" s="319"/>
      <c r="L146" s="319"/>
      <c r="M146" s="319"/>
      <c r="N146" s="319"/>
      <c r="O146" s="320"/>
      <c r="P146" s="320"/>
      <c r="Q146" s="320"/>
      <c r="R146" s="320"/>
      <c r="S146" s="320"/>
      <c r="T146" s="320"/>
      <c r="U146" s="320" t="s">
        <v>602</v>
      </c>
      <c r="V146" s="320" t="s">
        <v>597</v>
      </c>
      <c r="W146" s="320"/>
      <c r="X146" s="319"/>
      <c r="Y146" s="319"/>
      <c r="Z146" s="319" t="s">
        <v>601</v>
      </c>
      <c r="AA146" s="319"/>
      <c r="AB146" s="319"/>
      <c r="AC146" s="320"/>
      <c r="AD146" s="320"/>
      <c r="AE146" s="320"/>
      <c r="AF146" s="320"/>
      <c r="AG146" s="320"/>
    </row>
    <row r="147" spans="1:33" ht="18" customHeight="1">
      <c r="B147" s="946" t="s">
        <v>418</v>
      </c>
      <c r="C147" s="320" t="s">
        <v>603</v>
      </c>
      <c r="D147" s="320" t="s">
        <v>603</v>
      </c>
      <c r="E147" s="320"/>
      <c r="F147" s="320"/>
      <c r="G147" s="320"/>
      <c r="H147" s="320"/>
      <c r="I147" s="320" t="s">
        <v>572</v>
      </c>
      <c r="J147" s="319"/>
      <c r="K147" s="319"/>
      <c r="L147" s="319"/>
      <c r="M147" s="319"/>
      <c r="N147" s="319"/>
      <c r="O147" s="320"/>
      <c r="P147" s="320"/>
      <c r="Q147" s="320" t="s">
        <v>572</v>
      </c>
      <c r="R147" s="320" t="s">
        <v>572</v>
      </c>
      <c r="S147" s="320"/>
      <c r="T147" s="320"/>
      <c r="U147" s="320"/>
      <c r="V147" s="320"/>
      <c r="W147" s="320" t="s">
        <v>602</v>
      </c>
      <c r="X147" s="319"/>
      <c r="Y147" s="319"/>
      <c r="Z147" s="319"/>
      <c r="AA147" s="319"/>
      <c r="AB147" s="319"/>
      <c r="AC147" s="444"/>
      <c r="AD147" s="444"/>
      <c r="AE147" s="320" t="s">
        <v>593</v>
      </c>
      <c r="AF147" s="320" t="s">
        <v>593</v>
      </c>
      <c r="AG147" s="320"/>
    </row>
    <row r="148" spans="1:33" ht="18" customHeight="1">
      <c r="B148" s="946" t="s">
        <v>429</v>
      </c>
      <c r="C148" s="320"/>
      <c r="D148" s="320"/>
      <c r="E148" s="320"/>
      <c r="F148" s="320"/>
      <c r="G148" s="320"/>
      <c r="H148" s="320" t="s">
        <v>572</v>
      </c>
      <c r="I148" s="320"/>
      <c r="J148" s="319"/>
      <c r="K148" s="319"/>
      <c r="L148" s="319"/>
      <c r="M148" s="319"/>
      <c r="N148" s="319"/>
      <c r="O148" s="320"/>
      <c r="P148" s="320"/>
      <c r="Q148" s="320"/>
      <c r="R148" s="320"/>
      <c r="S148" s="320"/>
      <c r="T148" s="320"/>
      <c r="U148" s="444"/>
      <c r="V148" s="444" t="s">
        <v>602</v>
      </c>
      <c r="W148" s="444"/>
      <c r="X148" s="443"/>
      <c r="Y148" s="443"/>
      <c r="Z148" s="443"/>
      <c r="AA148" s="443"/>
      <c r="AB148" s="1020"/>
      <c r="AC148" s="320"/>
      <c r="AD148" s="320"/>
      <c r="AE148" s="472"/>
      <c r="AF148" s="320"/>
      <c r="AG148" s="444"/>
    </row>
    <row r="149" spans="1:33" ht="18" customHeight="1">
      <c r="B149" s="101"/>
      <c r="C149" s="116"/>
      <c r="D149" s="116"/>
      <c r="E149" s="116"/>
      <c r="F149" s="116"/>
      <c r="G149" s="116"/>
      <c r="H149" s="116"/>
      <c r="I149" s="116"/>
      <c r="J149" s="124"/>
      <c r="K149" s="124"/>
      <c r="L149" s="124"/>
      <c r="M149" s="124"/>
      <c r="N149" s="124"/>
      <c r="O149" s="116"/>
      <c r="P149" s="116"/>
      <c r="Q149" s="116"/>
      <c r="R149" s="116"/>
      <c r="S149" s="116"/>
      <c r="T149" s="116"/>
      <c r="U149" s="1015"/>
      <c r="V149" s="1015"/>
      <c r="W149" s="1022" t="s">
        <v>604</v>
      </c>
      <c r="X149" s="1022"/>
      <c r="Y149" s="1016"/>
      <c r="Z149" s="1017" t="s">
        <v>605</v>
      </c>
      <c r="AA149" s="1018" t="s">
        <v>597</v>
      </c>
      <c r="AB149" s="1019" t="s">
        <v>597</v>
      </c>
      <c r="AC149" s="116"/>
      <c r="AD149" s="116"/>
      <c r="AE149" s="116"/>
      <c r="AF149" s="116"/>
      <c r="AG149" s="1021" t="s">
        <v>504</v>
      </c>
    </row>
    <row r="150" spans="1:33" ht="18" customHeight="1">
      <c r="A150" s="117"/>
      <c r="C150" s="118"/>
      <c r="D150" s="118"/>
      <c r="E150" s="118"/>
      <c r="F150" s="118"/>
      <c r="G150" s="118"/>
      <c r="H150" s="118"/>
      <c r="I150" s="118"/>
      <c r="J150" s="118"/>
      <c r="K150" s="118"/>
      <c r="L150" s="118"/>
      <c r="M150" s="118"/>
      <c r="N150" s="118"/>
      <c r="O150" s="118"/>
      <c r="P150" s="118"/>
      <c r="Q150" s="118"/>
      <c r="R150" s="118"/>
      <c r="S150" s="118"/>
      <c r="T150" s="118"/>
      <c r="U150" s="118"/>
      <c r="V150" s="118"/>
      <c r="W150" s="118"/>
      <c r="X150" s="118"/>
      <c r="Y150" s="118"/>
      <c r="Z150" s="118"/>
      <c r="AA150" s="118"/>
      <c r="AB150" s="118"/>
      <c r="AC150" s="118"/>
      <c r="AD150" s="118"/>
      <c r="AE150" s="118"/>
      <c r="AF150" s="118"/>
      <c r="AG150" s="105"/>
    </row>
    <row r="151" spans="1:33" ht="18" customHeight="1">
      <c r="A151" s="48"/>
      <c r="B151" s="2764" t="s">
        <v>201</v>
      </c>
      <c r="C151" s="2765"/>
      <c r="D151" s="2766" t="s">
        <v>19</v>
      </c>
      <c r="E151" s="2767"/>
      <c r="F151" s="2765"/>
      <c r="G151" s="2768" t="s">
        <v>20</v>
      </c>
      <c r="H151" s="2769"/>
      <c r="I151" s="2770"/>
      <c r="J151" s="2768" t="s">
        <v>21</v>
      </c>
      <c r="K151" s="2771"/>
      <c r="L151" s="2770"/>
      <c r="M151" s="2772" t="s">
        <v>22</v>
      </c>
      <c r="N151" s="2771"/>
      <c r="O151" s="2770"/>
      <c r="P151" s="2768" t="s">
        <v>23</v>
      </c>
      <c r="Q151" s="2773"/>
      <c r="R151" s="2770"/>
      <c r="S151" s="2768" t="s">
        <v>24</v>
      </c>
      <c r="T151" s="2774"/>
      <c r="U151" s="2770"/>
      <c r="V151" s="2768" t="s">
        <v>25</v>
      </c>
      <c r="W151" s="2773"/>
      <c r="X151" s="2775" t="s">
        <v>202</v>
      </c>
      <c r="Y151" s="2776"/>
      <c r="Z151" s="2776"/>
      <c r="AA151" s="2777"/>
      <c r="AB151" s="2778" t="s">
        <v>108</v>
      </c>
      <c r="AC151" s="2779"/>
      <c r="AD151" s="2779"/>
      <c r="AE151" s="2780"/>
      <c r="AF151" s="2780"/>
      <c r="AG151" s="105"/>
    </row>
    <row r="152" spans="1:33" ht="18" customHeight="1">
      <c r="A152" s="48"/>
      <c r="B152" s="4583" t="s">
        <v>203</v>
      </c>
      <c r="C152" s="4584" t="s">
        <v>204</v>
      </c>
      <c r="D152" s="4585"/>
      <c r="E152" s="4586"/>
      <c r="F152" s="4584" t="s">
        <v>204</v>
      </c>
      <c r="G152" s="4585"/>
      <c r="H152" s="4586"/>
      <c r="I152" s="4584" t="s">
        <v>204</v>
      </c>
      <c r="J152" s="4585"/>
      <c r="K152" s="4586"/>
      <c r="L152" s="4584" t="s">
        <v>204</v>
      </c>
      <c r="M152" s="4585"/>
      <c r="N152" s="4586"/>
      <c r="O152" s="4584" t="s">
        <v>205</v>
      </c>
      <c r="P152" s="4585"/>
      <c r="Q152" s="4586"/>
      <c r="R152" s="4584"/>
      <c r="S152" s="4585"/>
      <c r="T152" s="4586"/>
      <c r="U152" s="4584"/>
      <c r="V152" s="4585"/>
      <c r="W152" s="4586"/>
      <c r="X152" s="4584"/>
      <c r="Y152" s="4587"/>
      <c r="Z152" s="4587"/>
      <c r="AA152" s="4587"/>
      <c r="AB152" s="4588"/>
      <c r="AC152" s="4587"/>
      <c r="AD152" s="4587"/>
      <c r="AE152" s="4587"/>
      <c r="AF152" s="4587"/>
      <c r="AG152" s="105"/>
    </row>
    <row r="153" spans="1:33" ht="18" customHeight="1" thickBot="1">
      <c r="A153" s="48"/>
      <c r="B153" s="4"/>
      <c r="C153" s="48"/>
      <c r="D153" s="48"/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  <c r="AA153" s="48"/>
      <c r="AB153" s="48"/>
      <c r="AC153" s="48"/>
      <c r="AD153" s="48"/>
      <c r="AE153" s="48"/>
      <c r="AF153" s="48"/>
      <c r="AG153" s="105"/>
    </row>
    <row r="154" spans="1:33" ht="18" customHeight="1" thickBot="1">
      <c r="A154" s="4589" t="s">
        <v>37</v>
      </c>
      <c r="B154" s="4506" t="s">
        <v>201</v>
      </c>
      <c r="C154" s="2985">
        <v>1</v>
      </c>
      <c r="D154" s="2985">
        <v>2</v>
      </c>
      <c r="E154" s="2985">
        <v>3</v>
      </c>
      <c r="F154" s="2985">
        <v>4</v>
      </c>
      <c r="G154" s="2985">
        <v>5</v>
      </c>
      <c r="H154" s="2986">
        <v>6</v>
      </c>
      <c r="I154" s="2986">
        <v>7</v>
      </c>
      <c r="J154" s="2985">
        <v>8</v>
      </c>
      <c r="K154" s="2985">
        <v>9</v>
      </c>
      <c r="L154" s="2985">
        <v>10</v>
      </c>
      <c r="M154" s="2985">
        <v>11</v>
      </c>
      <c r="N154" s="2985">
        <v>12</v>
      </c>
      <c r="O154" s="2986">
        <v>13</v>
      </c>
      <c r="P154" s="2986">
        <v>14</v>
      </c>
      <c r="Q154" s="2985">
        <v>15</v>
      </c>
      <c r="R154" s="2985">
        <v>16</v>
      </c>
      <c r="S154" s="2985">
        <v>17</v>
      </c>
      <c r="T154" s="2985">
        <v>18</v>
      </c>
      <c r="U154" s="2985">
        <v>19</v>
      </c>
      <c r="V154" s="2986">
        <v>20</v>
      </c>
      <c r="W154" s="2986">
        <v>21</v>
      </c>
      <c r="X154" s="2985">
        <v>22</v>
      </c>
      <c r="Y154" s="2985">
        <v>23</v>
      </c>
      <c r="Z154" s="2985">
        <v>24</v>
      </c>
      <c r="AA154" s="2986">
        <v>25</v>
      </c>
      <c r="AB154" s="2986">
        <v>26</v>
      </c>
      <c r="AC154" s="2986">
        <v>27</v>
      </c>
      <c r="AD154" s="2986">
        <v>28</v>
      </c>
      <c r="AE154" s="2985">
        <v>29</v>
      </c>
      <c r="AF154" s="2985">
        <v>30</v>
      </c>
      <c r="AG154" s="2985">
        <v>31</v>
      </c>
    </row>
    <row r="155" spans="1:33" ht="18" customHeight="1">
      <c r="A155" s="2785">
        <v>8520</v>
      </c>
      <c r="B155" s="2786" t="s">
        <v>206</v>
      </c>
      <c r="C155" s="3096" t="s">
        <v>207</v>
      </c>
      <c r="D155" s="3096" t="s">
        <v>606</v>
      </c>
      <c r="E155" s="3261" t="s">
        <v>207</v>
      </c>
      <c r="F155" s="3261" t="s">
        <v>207</v>
      </c>
      <c r="G155" s="3261" t="s">
        <v>207</v>
      </c>
      <c r="H155" s="3089"/>
      <c r="I155" s="3089"/>
      <c r="J155" s="3089" t="s">
        <v>207</v>
      </c>
      <c r="K155" s="3089" t="s">
        <v>207</v>
      </c>
      <c r="L155" s="3089" t="s">
        <v>207</v>
      </c>
      <c r="M155" s="3089" t="s">
        <v>207</v>
      </c>
      <c r="N155" s="3089" t="s">
        <v>207</v>
      </c>
      <c r="O155" s="3089"/>
      <c r="P155" s="3089"/>
      <c r="Q155" s="3089" t="s">
        <v>207</v>
      </c>
      <c r="R155" s="3089" t="s">
        <v>207</v>
      </c>
      <c r="S155" s="3089" t="s">
        <v>207</v>
      </c>
      <c r="T155" s="3089" t="s">
        <v>207</v>
      </c>
      <c r="U155" s="3089" t="s">
        <v>207</v>
      </c>
      <c r="V155" s="3089"/>
      <c r="W155" s="3089"/>
      <c r="X155" s="4262" t="s">
        <v>207</v>
      </c>
      <c r="Y155" s="4262" t="s">
        <v>207</v>
      </c>
      <c r="Z155" s="3089" t="s">
        <v>207</v>
      </c>
      <c r="AA155" s="3089"/>
      <c r="AB155" s="3089"/>
      <c r="AC155" s="3089"/>
      <c r="AD155" s="3089"/>
      <c r="AE155" s="3089" t="s">
        <v>207</v>
      </c>
      <c r="AF155" s="3089" t="s">
        <v>207</v>
      </c>
      <c r="AG155" s="3089" t="s">
        <v>207</v>
      </c>
    </row>
    <row r="158" spans="1:33" ht="18" customHeight="1" thickBot="1">
      <c r="A158" s="100" t="s">
        <v>208</v>
      </c>
      <c r="B158" s="101"/>
      <c r="C158" s="101"/>
      <c r="D158" s="102"/>
      <c r="E158" s="102"/>
      <c r="F158" s="102"/>
      <c r="G158" s="63"/>
      <c r="H158" s="102"/>
      <c r="I158" s="102"/>
      <c r="J158" s="102"/>
      <c r="K158" s="102"/>
      <c r="L158" s="102"/>
      <c r="M158" s="102"/>
      <c r="N158" s="102"/>
      <c r="O158" s="102"/>
      <c r="P158" s="102"/>
      <c r="Q158" s="102"/>
      <c r="R158" s="102"/>
      <c r="S158" s="102"/>
      <c r="T158" s="102"/>
      <c r="U158" s="102"/>
      <c r="V158" s="102"/>
      <c r="W158" s="102"/>
      <c r="X158" s="102"/>
      <c r="Y158" s="102"/>
      <c r="Z158" s="102"/>
      <c r="AA158" s="102"/>
      <c r="AB158" s="102"/>
      <c r="AC158" s="102"/>
      <c r="AD158" s="102"/>
      <c r="AE158" s="102"/>
      <c r="AF158" s="102"/>
      <c r="AG158" s="101"/>
    </row>
    <row r="159" spans="1:33" ht="18" customHeight="1">
      <c r="A159" s="100"/>
      <c r="B159" s="2764" t="s">
        <v>607</v>
      </c>
      <c r="C159" s="2787"/>
      <c r="D159" s="2788" t="s">
        <v>19</v>
      </c>
      <c r="E159" s="2789"/>
      <c r="F159" s="2790"/>
      <c r="G159" s="2787"/>
      <c r="H159" s="2788" t="s">
        <v>20</v>
      </c>
      <c r="I159" s="2789"/>
      <c r="J159" s="2790"/>
      <c r="K159" s="2787"/>
      <c r="L159" s="2788" t="s">
        <v>21</v>
      </c>
      <c r="M159" s="2789"/>
      <c r="N159" s="2790"/>
      <c r="O159" s="2787"/>
      <c r="P159" s="2788" t="s">
        <v>22</v>
      </c>
      <c r="Q159" s="2789"/>
      <c r="R159" s="2790"/>
      <c r="S159" s="2787"/>
      <c r="T159" s="2788" t="s">
        <v>23</v>
      </c>
      <c r="U159" s="2789"/>
      <c r="V159" s="2790"/>
      <c r="W159" s="2787"/>
      <c r="X159" s="2788" t="s">
        <v>24</v>
      </c>
      <c r="Y159" s="2789"/>
      <c r="Z159" s="2790"/>
      <c r="AA159" s="2787"/>
      <c r="AB159" s="2788" t="s">
        <v>25</v>
      </c>
      <c r="AC159" s="2789"/>
      <c r="AD159" s="2789"/>
      <c r="AE159" s="2791" t="s">
        <v>108</v>
      </c>
      <c r="AF159" s="2789"/>
      <c r="AG159" s="2792"/>
    </row>
    <row r="160" spans="1:33" ht="18" customHeight="1">
      <c r="A160" s="100"/>
      <c r="B160" s="4590" t="s">
        <v>210</v>
      </c>
      <c r="C160" s="4591">
        <v>69</v>
      </c>
      <c r="D160" s="4592" t="s">
        <v>211</v>
      </c>
      <c r="E160" s="4592"/>
      <c r="F160" s="4593"/>
      <c r="G160" s="4591">
        <v>69</v>
      </c>
      <c r="H160" s="4592" t="s">
        <v>211</v>
      </c>
      <c r="I160" s="4592"/>
      <c r="J160" s="4593"/>
      <c r="K160" s="4591">
        <v>69</v>
      </c>
      <c r="L160" s="4592" t="s">
        <v>211</v>
      </c>
      <c r="M160" s="4592"/>
      <c r="N160" s="4593"/>
      <c r="O160" s="4591">
        <v>69</v>
      </c>
      <c r="P160" s="4592" t="s">
        <v>211</v>
      </c>
      <c r="Q160" s="4592"/>
      <c r="R160" s="4593"/>
      <c r="S160" s="4591">
        <v>69</v>
      </c>
      <c r="T160" s="4592" t="s">
        <v>211</v>
      </c>
      <c r="U160" s="4592"/>
      <c r="V160" s="4593"/>
      <c r="W160" s="4591"/>
      <c r="X160" s="4594"/>
      <c r="Y160" s="4594"/>
      <c r="Z160" s="4595"/>
      <c r="AA160" s="4591"/>
      <c r="AB160" s="4592"/>
      <c r="AC160" s="4592"/>
      <c r="AD160" s="3620"/>
      <c r="AE160" s="4596">
        <v>35</v>
      </c>
      <c r="AF160" s="4592"/>
      <c r="AG160" s="4597"/>
    </row>
    <row r="161" spans="1:33" ht="18" customHeight="1">
      <c r="A161" s="100"/>
      <c r="B161" s="4590"/>
      <c r="C161" s="4591">
        <v>79</v>
      </c>
      <c r="D161" s="4592" t="s">
        <v>213</v>
      </c>
      <c r="E161" s="4592"/>
      <c r="F161" s="4593"/>
      <c r="G161" s="4591">
        <v>79</v>
      </c>
      <c r="H161" s="4592" t="s">
        <v>213</v>
      </c>
      <c r="I161" s="4592"/>
      <c r="J161" s="4593"/>
      <c r="K161" s="4591">
        <v>79</v>
      </c>
      <c r="L161" s="4592" t="s">
        <v>213</v>
      </c>
      <c r="M161" s="4592"/>
      <c r="N161" s="4593"/>
      <c r="O161" s="4591">
        <v>79</v>
      </c>
      <c r="P161" s="4592" t="s">
        <v>213</v>
      </c>
      <c r="Q161" s="4592"/>
      <c r="R161" s="4593"/>
      <c r="S161" s="4591">
        <v>79</v>
      </c>
      <c r="T161" s="4592" t="s">
        <v>213</v>
      </c>
      <c r="U161" s="4592"/>
      <c r="V161" s="4593"/>
      <c r="W161" s="4591"/>
      <c r="X161" s="4592"/>
      <c r="Y161" s="4592"/>
      <c r="Z161" s="4593"/>
      <c r="AA161" s="4592"/>
      <c r="AB161" s="4592"/>
      <c r="AC161" s="4592"/>
      <c r="AD161" s="3620"/>
      <c r="AE161" s="4596">
        <v>40</v>
      </c>
      <c r="AF161" s="4592"/>
      <c r="AG161" s="4597"/>
    </row>
    <row r="162" spans="1:33" ht="18" customHeight="1">
      <c r="A162" s="100"/>
      <c r="B162" s="4590" t="s">
        <v>214</v>
      </c>
      <c r="C162" s="4591">
        <v>89</v>
      </c>
      <c r="D162" s="4592" t="s">
        <v>215</v>
      </c>
      <c r="E162" s="4592"/>
      <c r="F162" s="4593"/>
      <c r="G162" s="4591">
        <v>89</v>
      </c>
      <c r="H162" s="4592" t="s">
        <v>215</v>
      </c>
      <c r="I162" s="4592"/>
      <c r="J162" s="4593"/>
      <c r="K162" s="4591">
        <v>89</v>
      </c>
      <c r="L162" s="4592" t="s">
        <v>215</v>
      </c>
      <c r="M162" s="4592"/>
      <c r="N162" s="4593"/>
      <c r="O162" s="4591">
        <v>89</v>
      </c>
      <c r="P162" s="4592" t="s">
        <v>215</v>
      </c>
      <c r="Q162" s="4592"/>
      <c r="R162" s="4593"/>
      <c r="S162" s="4591">
        <v>89</v>
      </c>
      <c r="T162" s="4592" t="s">
        <v>216</v>
      </c>
      <c r="U162" s="4592"/>
      <c r="V162" s="4593"/>
      <c r="W162" s="4598"/>
      <c r="X162" s="4599" t="s">
        <v>217</v>
      </c>
      <c r="Y162" s="4599"/>
      <c r="Z162" s="3622"/>
      <c r="AA162" s="4598"/>
      <c r="AB162" s="4599"/>
      <c r="AC162" s="4599"/>
      <c r="AD162" s="3624"/>
      <c r="AE162" s="4596">
        <v>44</v>
      </c>
      <c r="AF162" s="4592"/>
      <c r="AG162" s="4597"/>
    </row>
    <row r="163" spans="1:33" ht="18" customHeight="1">
      <c r="A163" s="100"/>
      <c r="B163" s="19" t="s">
        <v>218</v>
      </c>
      <c r="C163" s="4598">
        <v>99</v>
      </c>
      <c r="D163" s="4599" t="s">
        <v>219</v>
      </c>
      <c r="E163" s="4599"/>
      <c r="F163" s="3622"/>
      <c r="G163" s="4598">
        <v>99</v>
      </c>
      <c r="H163" s="4599" t="s">
        <v>219</v>
      </c>
      <c r="I163" s="4599"/>
      <c r="J163" s="3622"/>
      <c r="K163" s="4598">
        <v>99</v>
      </c>
      <c r="L163" s="4599" t="s">
        <v>219</v>
      </c>
      <c r="M163" s="4599"/>
      <c r="N163" s="3622"/>
      <c r="O163" s="4598">
        <v>99</v>
      </c>
      <c r="P163" s="4599" t="s">
        <v>219</v>
      </c>
      <c r="Q163" s="4599"/>
      <c r="R163" s="3622"/>
      <c r="S163" s="4598">
        <v>99</v>
      </c>
      <c r="T163" s="4599" t="s">
        <v>220</v>
      </c>
      <c r="U163" s="4599"/>
      <c r="V163" s="3624"/>
      <c r="W163" s="3623"/>
      <c r="X163" s="3624"/>
      <c r="Y163" s="4599"/>
      <c r="Z163" s="3622"/>
      <c r="AA163" s="3623"/>
      <c r="AB163" s="3624"/>
      <c r="AC163" s="4599"/>
      <c r="AD163" s="3622"/>
      <c r="AE163" s="4600">
        <v>28</v>
      </c>
      <c r="AF163" s="4599"/>
      <c r="AG163" s="4601"/>
    </row>
    <row r="164" spans="1:33" ht="18" customHeight="1" thickBot="1">
      <c r="A164" s="100"/>
      <c r="B164" s="4602" t="s">
        <v>221</v>
      </c>
      <c r="C164" s="4603" t="s">
        <v>159</v>
      </c>
      <c r="D164" s="4604" t="s">
        <v>222</v>
      </c>
      <c r="E164" s="4605"/>
      <c r="F164" s="3484"/>
      <c r="G164" s="4603" t="s">
        <v>159</v>
      </c>
      <c r="H164" s="4604" t="s">
        <v>222</v>
      </c>
      <c r="I164" s="3482"/>
      <c r="J164" s="4605"/>
      <c r="K164" s="4603" t="s">
        <v>159</v>
      </c>
      <c r="L164" s="4604" t="s">
        <v>222</v>
      </c>
      <c r="M164" s="4605"/>
      <c r="N164" s="4606"/>
      <c r="O164" s="4603" t="s">
        <v>159</v>
      </c>
      <c r="P164" s="4604" t="s">
        <v>222</v>
      </c>
      <c r="Q164" s="4605"/>
      <c r="R164" s="4604"/>
      <c r="S164" s="4603" t="s">
        <v>159</v>
      </c>
      <c r="T164" s="3486" t="s">
        <v>223</v>
      </c>
      <c r="U164" s="4604"/>
      <c r="V164" s="4606"/>
      <c r="W164" s="4605"/>
      <c r="X164" s="4604"/>
      <c r="Y164" s="4604"/>
      <c r="Z164" s="4604"/>
      <c r="AA164" s="4607"/>
      <c r="AB164" s="4608"/>
      <c r="AC164" s="4604"/>
      <c r="AD164" s="4609"/>
      <c r="AE164" s="4604"/>
      <c r="AF164" s="4604"/>
      <c r="AG164" s="4610"/>
    </row>
    <row r="165" spans="1:33" ht="18" customHeight="1" thickBot="1">
      <c r="A165" s="66"/>
      <c r="B165" s="100"/>
      <c r="C165" s="102"/>
      <c r="D165" s="102"/>
      <c r="E165" s="102"/>
      <c r="F165" s="102"/>
      <c r="G165" s="102"/>
      <c r="H165" s="102"/>
      <c r="I165" s="102"/>
      <c r="J165" s="102"/>
      <c r="K165" s="102"/>
      <c r="L165" s="102"/>
      <c r="M165" s="102"/>
      <c r="N165" s="102"/>
      <c r="O165" s="102"/>
      <c r="P165" s="102"/>
      <c r="Q165" s="102"/>
      <c r="R165" s="102"/>
      <c r="S165" s="102"/>
      <c r="T165" s="102"/>
      <c r="U165" s="102"/>
      <c r="V165" s="102"/>
      <c r="W165" s="102"/>
      <c r="X165" s="102"/>
      <c r="Y165" s="102"/>
      <c r="Z165" s="102"/>
      <c r="AA165" s="102"/>
      <c r="AB165" s="102"/>
      <c r="AC165" s="102"/>
      <c r="AD165" s="102"/>
      <c r="AE165" s="102"/>
      <c r="AF165" s="102"/>
      <c r="AG165" s="101"/>
    </row>
    <row r="166" spans="1:33" ht="18" customHeight="1" thickBot="1">
      <c r="A166" s="4589"/>
      <c r="B166" s="705" t="s">
        <v>208</v>
      </c>
      <c r="C166" s="865">
        <v>1</v>
      </c>
      <c r="D166" s="865">
        <v>2</v>
      </c>
      <c r="E166" s="865">
        <v>3</v>
      </c>
      <c r="F166" s="865">
        <v>4</v>
      </c>
      <c r="G166" s="865">
        <v>5</v>
      </c>
      <c r="H166" s="866">
        <v>6</v>
      </c>
      <c r="I166" s="866">
        <v>7</v>
      </c>
      <c r="J166" s="865">
        <v>8</v>
      </c>
      <c r="K166" s="865">
        <v>9</v>
      </c>
      <c r="L166" s="865">
        <v>10</v>
      </c>
      <c r="M166" s="865">
        <v>11</v>
      </c>
      <c r="N166" s="865">
        <v>12</v>
      </c>
      <c r="O166" s="866">
        <v>13</v>
      </c>
      <c r="P166" s="866">
        <v>14</v>
      </c>
      <c r="Q166" s="865">
        <v>15</v>
      </c>
      <c r="R166" s="865">
        <v>16</v>
      </c>
      <c r="S166" s="865">
        <v>17</v>
      </c>
      <c r="T166" s="865">
        <v>18</v>
      </c>
      <c r="U166" s="865">
        <v>19</v>
      </c>
      <c r="V166" s="866">
        <v>20</v>
      </c>
      <c r="W166" s="866">
        <v>21</v>
      </c>
      <c r="X166" s="865">
        <v>22</v>
      </c>
      <c r="Y166" s="865">
        <v>23</v>
      </c>
      <c r="Z166" s="865">
        <v>24</v>
      </c>
      <c r="AA166" s="866">
        <v>25</v>
      </c>
      <c r="AB166" s="866">
        <v>26</v>
      </c>
      <c r="AC166" s="866">
        <v>27</v>
      </c>
      <c r="AD166" s="866">
        <v>28</v>
      </c>
      <c r="AE166" s="865">
        <v>29</v>
      </c>
      <c r="AF166" s="865">
        <v>30</v>
      </c>
      <c r="AG166" s="867">
        <v>31</v>
      </c>
    </row>
    <row r="167" spans="1:33" ht="18" customHeight="1">
      <c r="A167" s="2814">
        <v>1</v>
      </c>
      <c r="B167" s="4611" t="s">
        <v>224</v>
      </c>
      <c r="C167" s="3088">
        <v>79</v>
      </c>
      <c r="D167" s="2816">
        <v>79</v>
      </c>
      <c r="E167" s="3089">
        <v>79</v>
      </c>
      <c r="F167" s="3089">
        <v>79</v>
      </c>
      <c r="G167" s="3090">
        <v>79</v>
      </c>
      <c r="H167" s="3088"/>
      <c r="I167" s="3090"/>
      <c r="J167" s="3090">
        <v>89</v>
      </c>
      <c r="K167" s="3088">
        <v>89</v>
      </c>
      <c r="L167" s="3090">
        <v>89</v>
      </c>
      <c r="M167" s="3089">
        <v>89</v>
      </c>
      <c r="N167" s="3090">
        <v>89</v>
      </c>
      <c r="O167" s="3088">
        <v>89</v>
      </c>
      <c r="P167" s="3088"/>
      <c r="Q167" s="3088">
        <v>99</v>
      </c>
      <c r="R167" s="3088">
        <v>99</v>
      </c>
      <c r="S167" s="3089">
        <v>99</v>
      </c>
      <c r="T167" s="3089">
        <v>99</v>
      </c>
      <c r="U167" s="3088" t="s">
        <v>46</v>
      </c>
      <c r="V167" s="3088"/>
      <c r="W167" s="3088"/>
      <c r="X167" s="4260" t="s">
        <v>159</v>
      </c>
      <c r="Y167" s="4260" t="s">
        <v>159</v>
      </c>
      <c r="Z167" s="3088" t="s">
        <v>159</v>
      </c>
      <c r="AA167" s="3090"/>
      <c r="AB167" s="3088"/>
      <c r="AC167" s="3088"/>
      <c r="AD167" s="3088"/>
      <c r="AE167" s="4260">
        <v>69</v>
      </c>
      <c r="AF167" s="4263">
        <v>69</v>
      </c>
      <c r="AG167" s="4612">
        <v>69</v>
      </c>
    </row>
    <row r="168" spans="1:33" ht="18" customHeight="1">
      <c r="A168" s="4613">
        <v>2</v>
      </c>
      <c r="B168" s="4614" t="s">
        <v>225</v>
      </c>
      <c r="C168" s="3419">
        <v>89</v>
      </c>
      <c r="D168" s="3432">
        <v>89</v>
      </c>
      <c r="E168" s="3419">
        <v>89</v>
      </c>
      <c r="F168" s="3419">
        <v>89</v>
      </c>
      <c r="G168" s="3419">
        <v>89</v>
      </c>
      <c r="H168" s="3503">
        <v>89</v>
      </c>
      <c r="I168" s="3422"/>
      <c r="J168" s="3503">
        <v>99</v>
      </c>
      <c r="K168" s="3503">
        <v>99</v>
      </c>
      <c r="L168" s="3432">
        <v>99</v>
      </c>
      <c r="M168" s="3432">
        <v>99</v>
      </c>
      <c r="N168" s="3503" t="s">
        <v>46</v>
      </c>
      <c r="O168" s="3418"/>
      <c r="P168" s="3503"/>
      <c r="Q168" s="3503" t="s">
        <v>159</v>
      </c>
      <c r="R168" s="3422" t="s">
        <v>159</v>
      </c>
      <c r="S168" s="3503" t="s">
        <v>159</v>
      </c>
      <c r="T168" s="3432" t="s">
        <v>159</v>
      </c>
      <c r="U168" s="3503" t="s">
        <v>159</v>
      </c>
      <c r="V168" s="3503"/>
      <c r="W168" s="3503"/>
      <c r="X168" s="3503">
        <v>69</v>
      </c>
      <c r="Y168" s="3503">
        <v>69</v>
      </c>
      <c r="Z168" s="3503">
        <v>69</v>
      </c>
      <c r="AA168" s="3432"/>
      <c r="AB168" s="3422"/>
      <c r="AC168" s="3418"/>
      <c r="AD168" s="3418"/>
      <c r="AE168" s="4615">
        <v>79</v>
      </c>
      <c r="AF168" s="4615">
        <v>79</v>
      </c>
      <c r="AG168" s="4616">
        <v>79</v>
      </c>
    </row>
    <row r="169" spans="1:33" ht="18" customHeight="1">
      <c r="A169" s="4613">
        <v>3</v>
      </c>
      <c r="B169" s="4579" t="s">
        <v>124</v>
      </c>
      <c r="C169" s="4617">
        <v>99</v>
      </c>
      <c r="D169" s="3432">
        <v>99</v>
      </c>
      <c r="E169" s="4618">
        <v>99</v>
      </c>
      <c r="F169" s="4619">
        <v>99</v>
      </c>
      <c r="G169" s="4620" t="s">
        <v>46</v>
      </c>
      <c r="H169" s="3421"/>
      <c r="I169" s="3422"/>
      <c r="J169" s="4617" t="s">
        <v>159</v>
      </c>
      <c r="K169" s="4617" t="s">
        <v>159</v>
      </c>
      <c r="L169" s="4617" t="s">
        <v>159</v>
      </c>
      <c r="M169" s="4617" t="s">
        <v>159</v>
      </c>
      <c r="N169" s="3503" t="s">
        <v>159</v>
      </c>
      <c r="O169" s="3418"/>
      <c r="P169" s="3526"/>
      <c r="Q169" s="3437">
        <v>69</v>
      </c>
      <c r="R169" s="3437">
        <v>69</v>
      </c>
      <c r="S169" s="3437">
        <v>69</v>
      </c>
      <c r="T169" s="3437">
        <v>69</v>
      </c>
      <c r="U169" s="3437">
        <v>69</v>
      </c>
      <c r="V169" s="3437"/>
      <c r="W169" s="3437"/>
      <c r="X169" s="3418">
        <v>79</v>
      </c>
      <c r="Y169" s="4617">
        <v>79</v>
      </c>
      <c r="Z169" s="4617">
        <v>79</v>
      </c>
      <c r="AA169" s="4617"/>
      <c r="AB169" s="4617"/>
      <c r="AC169" s="4617"/>
      <c r="AD169" s="4617"/>
      <c r="AE169" s="4617">
        <v>89</v>
      </c>
      <c r="AF169" s="4617">
        <v>89</v>
      </c>
      <c r="AG169" s="4621">
        <v>89</v>
      </c>
    </row>
    <row r="170" spans="1:33" ht="18" customHeight="1">
      <c r="A170" s="4613">
        <v>4</v>
      </c>
      <c r="B170" s="4614" t="s">
        <v>226</v>
      </c>
      <c r="C170" s="3494" t="s">
        <v>159</v>
      </c>
      <c r="D170" s="3494" t="s">
        <v>159</v>
      </c>
      <c r="E170" s="3494" t="s">
        <v>159</v>
      </c>
      <c r="F170" s="3494" t="s">
        <v>64</v>
      </c>
      <c r="G170" s="3494" t="s">
        <v>64</v>
      </c>
      <c r="H170" s="3494"/>
      <c r="I170" s="3494"/>
      <c r="J170" s="3432">
        <v>69</v>
      </c>
      <c r="K170" s="3432">
        <v>69</v>
      </c>
      <c r="L170" s="3432">
        <v>69</v>
      </c>
      <c r="M170" s="3432">
        <v>69</v>
      </c>
      <c r="N170" s="3503">
        <v>69</v>
      </c>
      <c r="O170" s="3432"/>
      <c r="P170" s="3432"/>
      <c r="Q170" s="3526">
        <v>79</v>
      </c>
      <c r="R170" s="3526">
        <v>79</v>
      </c>
      <c r="S170" s="3432">
        <v>79</v>
      </c>
      <c r="T170" s="3432">
        <v>79</v>
      </c>
      <c r="U170" s="3432">
        <v>79</v>
      </c>
      <c r="V170" s="3432"/>
      <c r="W170" s="3432"/>
      <c r="X170" s="3432">
        <v>89</v>
      </c>
      <c r="Y170" s="3526">
        <v>89</v>
      </c>
      <c r="Z170" s="3526">
        <v>89</v>
      </c>
      <c r="AA170" s="3432"/>
      <c r="AB170" s="3432"/>
      <c r="AC170" s="3432">
        <v>89</v>
      </c>
      <c r="AD170" s="3432"/>
      <c r="AE170" s="3432">
        <v>99</v>
      </c>
      <c r="AF170" s="3432">
        <v>99</v>
      </c>
      <c r="AG170" s="4622">
        <v>99</v>
      </c>
    </row>
    <row r="171" spans="1:33" ht="18" customHeight="1" thickBot="1">
      <c r="A171" s="4623">
        <v>5</v>
      </c>
      <c r="B171" s="4624" t="s">
        <v>227</v>
      </c>
      <c r="C171" s="4572">
        <v>69</v>
      </c>
      <c r="D171" s="4572">
        <v>69</v>
      </c>
      <c r="E171" s="4625">
        <v>69</v>
      </c>
      <c r="F171" s="4626">
        <v>69</v>
      </c>
      <c r="G171" s="4626">
        <v>69</v>
      </c>
      <c r="H171" s="4627"/>
      <c r="I171" s="4627"/>
      <c r="J171" s="4627">
        <v>79</v>
      </c>
      <c r="K171" s="4627">
        <v>79</v>
      </c>
      <c r="L171" s="4625">
        <v>79</v>
      </c>
      <c r="M171" s="4625">
        <v>79</v>
      </c>
      <c r="N171" s="4627">
        <v>79</v>
      </c>
      <c r="O171" s="4572"/>
      <c r="P171" s="4572"/>
      <c r="Q171" s="4572">
        <v>89</v>
      </c>
      <c r="R171" s="4572">
        <v>89</v>
      </c>
      <c r="S171" s="4625">
        <v>89</v>
      </c>
      <c r="T171" s="4628">
        <v>89</v>
      </c>
      <c r="U171" s="4629">
        <v>89</v>
      </c>
      <c r="V171" s="4630">
        <v>89</v>
      </c>
      <c r="W171" s="4572"/>
      <c r="X171" s="4629">
        <v>99</v>
      </c>
      <c r="Y171" s="4629">
        <v>99</v>
      </c>
      <c r="Z171" s="4572">
        <v>99</v>
      </c>
      <c r="AA171" s="4626"/>
      <c r="AB171" s="4572"/>
      <c r="AC171" s="4625"/>
      <c r="AD171" s="4625"/>
      <c r="AE171" s="4625" t="s">
        <v>159</v>
      </c>
      <c r="AF171" s="4625" t="s">
        <v>159</v>
      </c>
      <c r="AG171" s="4631" t="s">
        <v>159</v>
      </c>
    </row>
    <row r="174" spans="1:33" ht="18" customHeight="1" thickBot="1">
      <c r="A174" s="100" t="s">
        <v>228</v>
      </c>
      <c r="B174" s="101"/>
      <c r="C174" s="101"/>
      <c r="D174" s="102"/>
      <c r="E174" s="102"/>
      <c r="F174" s="102"/>
      <c r="G174" s="63"/>
      <c r="H174" s="102"/>
      <c r="I174" s="102"/>
      <c r="J174" s="102"/>
      <c r="K174" s="102"/>
      <c r="L174" s="102"/>
      <c r="M174" s="102"/>
      <c r="N174" s="102"/>
      <c r="O174" s="102"/>
      <c r="P174" s="102"/>
      <c r="Q174" s="102"/>
      <c r="R174" s="102"/>
      <c r="S174" s="102"/>
      <c r="T174" s="102"/>
      <c r="U174" s="102"/>
      <c r="V174" s="102"/>
      <c r="W174" s="102"/>
      <c r="X174" s="102"/>
      <c r="Y174" s="102"/>
      <c r="Z174" s="102"/>
      <c r="AA174" s="102"/>
      <c r="AB174" s="102"/>
      <c r="AC174" s="102"/>
      <c r="AD174" s="102"/>
      <c r="AE174" s="102"/>
      <c r="AF174" s="102"/>
      <c r="AG174" s="101"/>
    </row>
    <row r="175" spans="1:33" ht="18" customHeight="1">
      <c r="A175" s="100"/>
      <c r="B175" s="2764" t="s">
        <v>608</v>
      </c>
      <c r="C175" s="2787"/>
      <c r="D175" s="2788" t="s">
        <v>19</v>
      </c>
      <c r="E175" s="2789"/>
      <c r="F175" s="2790"/>
      <c r="G175" s="2787"/>
      <c r="H175" s="2788" t="s">
        <v>20</v>
      </c>
      <c r="I175" s="2789"/>
      <c r="J175" s="2790"/>
      <c r="K175" s="2787"/>
      <c r="L175" s="2788" t="s">
        <v>21</v>
      </c>
      <c r="M175" s="2789"/>
      <c r="N175" s="2790"/>
      <c r="O175" s="2787"/>
      <c r="P175" s="2788" t="s">
        <v>22</v>
      </c>
      <c r="Q175" s="2789"/>
      <c r="R175" s="2790"/>
      <c r="S175" s="2787"/>
      <c r="T175" s="2788" t="s">
        <v>23</v>
      </c>
      <c r="U175" s="2789"/>
      <c r="V175" s="2790"/>
      <c r="W175" s="2787"/>
      <c r="X175" s="2788" t="s">
        <v>24</v>
      </c>
      <c r="Y175" s="2789"/>
      <c r="Z175" s="2790"/>
      <c r="AA175" s="2787"/>
      <c r="AB175" s="2788" t="s">
        <v>25</v>
      </c>
      <c r="AC175" s="2789"/>
      <c r="AD175" s="2789"/>
      <c r="AE175" s="2791" t="s">
        <v>108</v>
      </c>
      <c r="AF175" s="2789"/>
      <c r="AG175" s="2792"/>
    </row>
    <row r="176" spans="1:33" ht="18" customHeight="1">
      <c r="A176" s="100"/>
      <c r="B176" s="4590" t="s">
        <v>229</v>
      </c>
      <c r="C176" s="3621" t="s">
        <v>230</v>
      </c>
      <c r="D176" s="4592"/>
      <c r="E176" s="4592"/>
      <c r="F176" s="4593"/>
      <c r="G176" s="3621" t="s">
        <v>230</v>
      </c>
      <c r="H176" s="4592"/>
      <c r="I176" s="4592"/>
      <c r="J176" s="4593"/>
      <c r="K176" s="3621" t="s">
        <v>230</v>
      </c>
      <c r="L176" s="4592"/>
      <c r="M176" s="4592"/>
      <c r="N176" s="4593"/>
      <c r="O176" s="3621" t="s">
        <v>231</v>
      </c>
      <c r="P176" s="4592"/>
      <c r="Q176" s="4592"/>
      <c r="R176" s="4593"/>
      <c r="S176" s="3621" t="s">
        <v>232</v>
      </c>
      <c r="T176" s="4592"/>
      <c r="U176" s="4592"/>
      <c r="V176" s="4593"/>
      <c r="W176" s="3621" t="s">
        <v>233</v>
      </c>
      <c r="X176" s="4594"/>
      <c r="Y176" s="4594"/>
      <c r="Z176" s="4595"/>
      <c r="AA176" s="3621" t="s">
        <v>233</v>
      </c>
      <c r="AB176" s="4592"/>
      <c r="AC176" s="4592"/>
      <c r="AD176" s="3620"/>
      <c r="AE176" s="4596">
        <v>68</v>
      </c>
      <c r="AF176" s="530"/>
      <c r="AG176" s="465"/>
    </row>
    <row r="177" spans="1:33" ht="18" customHeight="1">
      <c r="A177" s="100"/>
      <c r="B177" s="4590"/>
      <c r="C177" s="3621" t="s">
        <v>220</v>
      </c>
      <c r="D177" s="4592"/>
      <c r="E177" s="4592"/>
      <c r="F177" s="4593"/>
      <c r="G177" s="3621" t="s">
        <v>220</v>
      </c>
      <c r="H177" s="4592"/>
      <c r="I177" s="4592"/>
      <c r="J177" s="4593"/>
      <c r="K177" s="3621" t="s">
        <v>220</v>
      </c>
      <c r="L177" s="4592"/>
      <c r="M177" s="4592"/>
      <c r="N177" s="4593"/>
      <c r="O177" s="3621" t="s">
        <v>220</v>
      </c>
      <c r="P177" s="4592"/>
      <c r="Q177" s="4592"/>
      <c r="R177" s="4593"/>
      <c r="S177" s="3621" t="s">
        <v>220</v>
      </c>
      <c r="T177" s="4592"/>
      <c r="U177" s="4592"/>
      <c r="V177" s="4593"/>
      <c r="W177" s="3621" t="s">
        <v>220</v>
      </c>
      <c r="X177" s="4592"/>
      <c r="Y177" s="4592"/>
      <c r="Z177" s="4593"/>
      <c r="AA177" s="4592" t="s">
        <v>220</v>
      </c>
      <c r="AB177" s="4592"/>
      <c r="AC177" s="4592"/>
      <c r="AD177" s="3620"/>
      <c r="AE177" s="4596">
        <v>0</v>
      </c>
      <c r="AF177" s="530"/>
      <c r="AG177" s="465"/>
    </row>
    <row r="178" spans="1:33" ht="18" customHeight="1">
      <c r="A178" s="100"/>
      <c r="B178" s="4590" t="s">
        <v>234</v>
      </c>
      <c r="C178" s="3621" t="s">
        <v>231</v>
      </c>
      <c r="D178" s="4592"/>
      <c r="E178" s="4592"/>
      <c r="F178" s="4593"/>
      <c r="G178" s="3621" t="s">
        <v>231</v>
      </c>
      <c r="H178" s="4592"/>
      <c r="I178" s="4592"/>
      <c r="J178" s="4593"/>
      <c r="K178" s="3621" t="s">
        <v>231</v>
      </c>
      <c r="L178" s="4592"/>
      <c r="M178" s="4592"/>
      <c r="N178" s="4593"/>
      <c r="O178" s="3621" t="s">
        <v>230</v>
      </c>
      <c r="P178" s="4592"/>
      <c r="Q178" s="4592"/>
      <c r="R178" s="4593"/>
      <c r="S178" s="3621" t="s">
        <v>230</v>
      </c>
      <c r="T178" s="4592"/>
      <c r="U178" s="4592"/>
      <c r="V178" s="4593"/>
      <c r="W178" s="3621" t="s">
        <v>232</v>
      </c>
      <c r="X178" s="4594"/>
      <c r="Y178" s="4594"/>
      <c r="Z178" s="4595"/>
      <c r="AA178" s="3621" t="s">
        <v>232</v>
      </c>
      <c r="AB178" s="4592"/>
      <c r="AC178" s="4592"/>
      <c r="AD178" s="3620"/>
      <c r="AE178" s="4596">
        <v>68</v>
      </c>
      <c r="AF178" s="4592"/>
      <c r="AG178" s="4597"/>
    </row>
    <row r="179" spans="1:33" ht="18" customHeight="1">
      <c r="A179" s="100"/>
      <c r="B179" s="4590"/>
      <c r="C179" s="3621" t="s">
        <v>220</v>
      </c>
      <c r="D179" s="4592"/>
      <c r="E179" s="4592"/>
      <c r="F179" s="4593"/>
      <c r="G179" s="3621" t="s">
        <v>220</v>
      </c>
      <c r="H179" s="4592"/>
      <c r="I179" s="4592"/>
      <c r="J179" s="4593"/>
      <c r="K179" s="3621" t="s">
        <v>220</v>
      </c>
      <c r="L179" s="4592"/>
      <c r="M179" s="4592"/>
      <c r="N179" s="4593"/>
      <c r="O179" s="3621" t="s">
        <v>220</v>
      </c>
      <c r="P179" s="4592"/>
      <c r="Q179" s="4592"/>
      <c r="R179" s="4593"/>
      <c r="S179" s="3621" t="s">
        <v>220</v>
      </c>
      <c r="T179" s="4592"/>
      <c r="U179" s="4592"/>
      <c r="V179" s="4593"/>
      <c r="W179" s="3621" t="s">
        <v>220</v>
      </c>
      <c r="X179" s="4592"/>
      <c r="Y179" s="4592"/>
      <c r="Z179" s="4593"/>
      <c r="AA179" s="4592" t="s">
        <v>220</v>
      </c>
      <c r="AB179" s="4592"/>
      <c r="AC179" s="4592"/>
      <c r="AD179" s="3620"/>
      <c r="AE179" s="4596">
        <v>0</v>
      </c>
      <c r="AF179" s="4592"/>
      <c r="AG179" s="4597"/>
    </row>
    <row r="180" spans="1:33" ht="18" customHeight="1">
      <c r="A180" s="100"/>
      <c r="B180" s="4590" t="s">
        <v>235</v>
      </c>
      <c r="C180" s="3621" t="s">
        <v>230</v>
      </c>
      <c r="D180" s="4592"/>
      <c r="E180" s="4592"/>
      <c r="F180" s="4593"/>
      <c r="G180" s="3621" t="s">
        <v>230</v>
      </c>
      <c r="H180" s="4592"/>
      <c r="I180" s="4592"/>
      <c r="J180" s="4593"/>
      <c r="K180" s="3621" t="s">
        <v>230</v>
      </c>
      <c r="L180" s="4592"/>
      <c r="M180" s="4592"/>
      <c r="N180" s="4593"/>
      <c r="O180" s="3621" t="s">
        <v>230</v>
      </c>
      <c r="P180" s="4592"/>
      <c r="Q180" s="4592"/>
      <c r="R180" s="4593"/>
      <c r="S180" s="3621" t="s">
        <v>230</v>
      </c>
      <c r="T180" s="4592"/>
      <c r="U180" s="4592"/>
      <c r="V180" s="4593"/>
      <c r="W180" s="3621" t="s">
        <v>236</v>
      </c>
      <c r="X180" s="4599"/>
      <c r="Y180" s="4599"/>
      <c r="Z180" s="3622"/>
      <c r="AA180" s="3621" t="s">
        <v>236</v>
      </c>
      <c r="AB180" s="4599"/>
      <c r="AC180" s="4599"/>
      <c r="AD180" s="3624"/>
      <c r="AE180" s="4596">
        <v>68</v>
      </c>
      <c r="AF180" s="4592"/>
      <c r="AG180" s="4597"/>
    </row>
    <row r="181" spans="1:33" ht="18" customHeight="1" thickBot="1">
      <c r="A181" s="100"/>
      <c r="B181" s="4590"/>
      <c r="C181" s="4632" t="s">
        <v>220</v>
      </c>
      <c r="D181" s="4633"/>
      <c r="E181" s="4633"/>
      <c r="F181" s="4634"/>
      <c r="G181" s="4632" t="s">
        <v>220</v>
      </c>
      <c r="H181" s="4633"/>
      <c r="I181" s="4633"/>
      <c r="J181" s="4634"/>
      <c r="K181" s="4632" t="s">
        <v>220</v>
      </c>
      <c r="L181" s="4633"/>
      <c r="M181" s="4633"/>
      <c r="N181" s="4634"/>
      <c r="O181" s="4632" t="s">
        <v>220</v>
      </c>
      <c r="P181" s="4633"/>
      <c r="Q181" s="4633"/>
      <c r="R181" s="4634"/>
      <c r="S181" s="4632" t="s">
        <v>220</v>
      </c>
      <c r="T181" s="4633"/>
      <c r="U181" s="4633"/>
      <c r="V181" s="4635"/>
      <c r="W181" s="4632" t="s">
        <v>220</v>
      </c>
      <c r="X181" s="4635"/>
      <c r="Y181" s="4633"/>
      <c r="Z181" s="4634"/>
      <c r="AA181" s="4632" t="s">
        <v>220</v>
      </c>
      <c r="AB181" s="4635"/>
      <c r="AC181" s="4633"/>
      <c r="AD181" s="4634"/>
      <c r="AE181" s="4636">
        <v>0</v>
      </c>
      <c r="AF181" s="4633"/>
      <c r="AG181" s="4610"/>
    </row>
    <row r="182" spans="1:33" ht="18" customHeight="1" thickBot="1">
      <c r="A182" s="66"/>
      <c r="B182" s="100"/>
      <c r="C182" s="102"/>
      <c r="D182" s="102"/>
      <c r="E182" s="102"/>
      <c r="F182" s="102"/>
      <c r="G182" s="102"/>
      <c r="H182" s="102"/>
      <c r="I182" s="102"/>
      <c r="J182" s="102"/>
      <c r="K182" s="102"/>
      <c r="L182" s="102"/>
      <c r="M182" s="102"/>
      <c r="N182" s="102"/>
      <c r="O182" s="102"/>
      <c r="P182" s="102"/>
      <c r="Q182" s="102"/>
      <c r="R182" s="102"/>
      <c r="S182" s="102"/>
      <c r="T182" s="102"/>
      <c r="U182" s="102"/>
      <c r="V182" s="102"/>
      <c r="W182" s="102"/>
      <c r="X182" s="102"/>
      <c r="Y182" s="102"/>
      <c r="Z182" s="102"/>
      <c r="AA182" s="102"/>
      <c r="AB182" s="102"/>
      <c r="AC182" s="102"/>
      <c r="AD182" s="102"/>
      <c r="AE182" s="102"/>
      <c r="AF182" s="102"/>
      <c r="AG182" s="101"/>
    </row>
    <row r="183" spans="1:33" ht="18" customHeight="1" thickBot="1">
      <c r="A183" s="4589"/>
      <c r="B183" s="705" t="s">
        <v>228</v>
      </c>
      <c r="C183" s="865">
        <v>1</v>
      </c>
      <c r="D183" s="865">
        <v>2</v>
      </c>
      <c r="E183" s="865">
        <v>3</v>
      </c>
      <c r="F183" s="865">
        <v>4</v>
      </c>
      <c r="G183" s="865">
        <v>5</v>
      </c>
      <c r="H183" s="866">
        <v>6</v>
      </c>
      <c r="I183" s="866">
        <v>7</v>
      </c>
      <c r="J183" s="865">
        <v>8</v>
      </c>
      <c r="K183" s="865">
        <v>9</v>
      </c>
      <c r="L183" s="865">
        <v>10</v>
      </c>
      <c r="M183" s="865">
        <v>11</v>
      </c>
      <c r="N183" s="865">
        <v>12</v>
      </c>
      <c r="O183" s="866">
        <v>13</v>
      </c>
      <c r="P183" s="866">
        <v>14</v>
      </c>
      <c r="Q183" s="865">
        <v>15</v>
      </c>
      <c r="R183" s="865">
        <v>16</v>
      </c>
      <c r="S183" s="865">
        <v>17</v>
      </c>
      <c r="T183" s="865">
        <v>18</v>
      </c>
      <c r="U183" s="865">
        <v>19</v>
      </c>
      <c r="V183" s="866">
        <v>20</v>
      </c>
      <c r="W183" s="866">
        <v>21</v>
      </c>
      <c r="X183" s="865">
        <v>22</v>
      </c>
      <c r="Y183" s="865">
        <v>23</v>
      </c>
      <c r="Z183" s="865">
        <v>24</v>
      </c>
      <c r="AA183" s="866">
        <v>25</v>
      </c>
      <c r="AB183" s="866">
        <v>26</v>
      </c>
      <c r="AC183" s="866">
        <v>27</v>
      </c>
      <c r="AD183" s="866">
        <v>28</v>
      </c>
      <c r="AE183" s="865">
        <v>29</v>
      </c>
      <c r="AF183" s="865">
        <v>30</v>
      </c>
      <c r="AG183" s="867">
        <v>31</v>
      </c>
    </row>
    <row r="184" spans="1:33" ht="18" customHeight="1">
      <c r="A184" s="1494">
        <v>1</v>
      </c>
      <c r="B184" s="4637" t="s">
        <v>237</v>
      </c>
      <c r="C184" s="2829">
        <v>23</v>
      </c>
      <c r="D184" s="2830">
        <v>23</v>
      </c>
      <c r="E184" s="2830">
        <v>23</v>
      </c>
      <c r="F184" s="2830">
        <v>23</v>
      </c>
      <c r="G184" s="2830">
        <v>23</v>
      </c>
      <c r="H184" s="2829">
        <v>23</v>
      </c>
      <c r="I184" s="2829">
        <v>23</v>
      </c>
      <c r="J184" s="2829" t="s">
        <v>46</v>
      </c>
      <c r="K184" s="2831" t="s">
        <v>46</v>
      </c>
      <c r="L184" s="2831" t="s">
        <v>46</v>
      </c>
      <c r="M184" s="2831" t="s">
        <v>46</v>
      </c>
      <c r="N184" s="2830" t="s">
        <v>46</v>
      </c>
      <c r="O184" s="2830"/>
      <c r="P184" s="2830"/>
      <c r="Q184" s="2833">
        <v>21</v>
      </c>
      <c r="R184" s="2833">
        <v>21</v>
      </c>
      <c r="S184" s="2833">
        <v>21</v>
      </c>
      <c r="T184" s="2833">
        <v>21</v>
      </c>
      <c r="U184" s="2833">
        <v>21</v>
      </c>
      <c r="V184" s="2833">
        <v>21</v>
      </c>
      <c r="W184" s="2833">
        <v>21</v>
      </c>
      <c r="X184" s="2829" t="s">
        <v>46</v>
      </c>
      <c r="Y184" s="2829" t="s">
        <v>46</v>
      </c>
      <c r="Z184" s="2829" t="s">
        <v>46</v>
      </c>
      <c r="AA184" s="2829" t="s">
        <v>46</v>
      </c>
      <c r="AB184" s="2829" t="s">
        <v>46</v>
      </c>
      <c r="AC184" s="2832"/>
      <c r="AD184" s="2832"/>
      <c r="AE184" s="4365">
        <v>22</v>
      </c>
      <c r="AF184" s="4638">
        <v>22</v>
      </c>
      <c r="AG184" s="4639">
        <v>22</v>
      </c>
    </row>
    <row r="185" spans="1:33" ht="18" customHeight="1">
      <c r="A185" s="4640">
        <v>2</v>
      </c>
      <c r="B185" s="4637" t="s">
        <v>238</v>
      </c>
      <c r="C185" s="4641">
        <v>21</v>
      </c>
      <c r="D185" s="4642">
        <v>21</v>
      </c>
      <c r="E185" s="4642">
        <v>21</v>
      </c>
      <c r="F185" s="4642">
        <v>21</v>
      </c>
      <c r="G185" s="4643">
        <v>21</v>
      </c>
      <c r="H185" s="4644">
        <v>21</v>
      </c>
      <c r="I185" s="4644">
        <v>21</v>
      </c>
      <c r="J185" s="4644" t="s">
        <v>46</v>
      </c>
      <c r="K185" s="4645" t="s">
        <v>46</v>
      </c>
      <c r="L185" s="4645" t="s">
        <v>46</v>
      </c>
      <c r="M185" s="4645" t="s">
        <v>46</v>
      </c>
      <c r="N185" s="3550" t="s">
        <v>46</v>
      </c>
      <c r="O185" s="3550"/>
      <c r="P185" s="3550"/>
      <c r="Q185" s="3550">
        <v>22</v>
      </c>
      <c r="R185" s="3525">
        <v>22</v>
      </c>
      <c r="S185" s="4646">
        <v>22</v>
      </c>
      <c r="T185" s="4647">
        <v>22</v>
      </c>
      <c r="U185" s="4647">
        <v>22</v>
      </c>
      <c r="V185" s="4647">
        <v>22</v>
      </c>
      <c r="W185" s="4647">
        <v>22</v>
      </c>
      <c r="X185" s="4647" t="s">
        <v>143</v>
      </c>
      <c r="Y185" s="3525" t="s">
        <v>46</v>
      </c>
      <c r="Z185" s="3525" t="s">
        <v>46</v>
      </c>
      <c r="AA185" s="3525" t="s">
        <v>46</v>
      </c>
      <c r="AB185" s="3525" t="s">
        <v>46</v>
      </c>
      <c r="AC185" s="4644"/>
      <c r="AD185" s="4644"/>
      <c r="AE185" s="4644">
        <v>23</v>
      </c>
      <c r="AF185" s="4644">
        <v>23</v>
      </c>
      <c r="AG185" s="4648">
        <v>23</v>
      </c>
    </row>
    <row r="186" spans="1:33" ht="18" customHeight="1">
      <c r="A186" s="4640">
        <v>3</v>
      </c>
      <c r="B186" s="4637" t="s">
        <v>239</v>
      </c>
      <c r="C186" s="3525">
        <v>22</v>
      </c>
      <c r="D186" s="3550">
        <v>22</v>
      </c>
      <c r="E186" s="3550">
        <v>22</v>
      </c>
      <c r="F186" s="3550">
        <v>22</v>
      </c>
      <c r="G186" s="3550">
        <v>22</v>
      </c>
      <c r="H186" s="3550">
        <v>22</v>
      </c>
      <c r="I186" s="3525">
        <v>22</v>
      </c>
      <c r="J186" s="3525" t="s">
        <v>46</v>
      </c>
      <c r="K186" s="4645" t="s">
        <v>46</v>
      </c>
      <c r="L186" s="4645" t="s">
        <v>46</v>
      </c>
      <c r="M186" s="4645" t="s">
        <v>46</v>
      </c>
      <c r="N186" s="3550" t="s">
        <v>46</v>
      </c>
      <c r="O186" s="3550"/>
      <c r="P186" s="3550"/>
      <c r="Q186" s="4649">
        <v>23</v>
      </c>
      <c r="R186" s="4650">
        <v>23</v>
      </c>
      <c r="S186" s="4580">
        <v>23</v>
      </c>
      <c r="T186" s="4650">
        <v>23</v>
      </c>
      <c r="U186" s="4650">
        <v>23</v>
      </c>
      <c r="V186" s="4650">
        <v>23</v>
      </c>
      <c r="W186" s="4650">
        <v>23</v>
      </c>
      <c r="X186" s="3525" t="s">
        <v>46</v>
      </c>
      <c r="Y186" s="3525" t="s">
        <v>46</v>
      </c>
      <c r="Z186" s="3525" t="s">
        <v>46</v>
      </c>
      <c r="AA186" s="3525" t="s">
        <v>46</v>
      </c>
      <c r="AB186" s="3525" t="s">
        <v>46</v>
      </c>
      <c r="AC186" s="4644"/>
      <c r="AD186" s="4644"/>
      <c r="AE186" s="4643">
        <v>21</v>
      </c>
      <c r="AF186" s="4650">
        <v>21</v>
      </c>
      <c r="AG186" s="4651">
        <v>21</v>
      </c>
    </row>
    <row r="187" spans="1:33" ht="18" customHeight="1">
      <c r="A187" s="4640">
        <v>4</v>
      </c>
      <c r="B187" s="655" t="s">
        <v>240</v>
      </c>
      <c r="C187" s="3525" t="s">
        <v>46</v>
      </c>
      <c r="D187" s="4645" t="s">
        <v>46</v>
      </c>
      <c r="E187" s="4645" t="s">
        <v>46</v>
      </c>
      <c r="F187" s="4645" t="s">
        <v>46</v>
      </c>
      <c r="G187" s="3550" t="s">
        <v>46</v>
      </c>
      <c r="H187" s="3550"/>
      <c r="I187" s="3550"/>
      <c r="J187" s="4652">
        <v>23</v>
      </c>
      <c r="K187" s="4652">
        <v>23</v>
      </c>
      <c r="L187" s="4652">
        <v>23</v>
      </c>
      <c r="M187" s="4652">
        <v>23</v>
      </c>
      <c r="N187" s="4652">
        <v>23</v>
      </c>
      <c r="O187" s="4652">
        <v>23</v>
      </c>
      <c r="P187" s="4652">
        <v>23</v>
      </c>
      <c r="Q187" s="3525" t="s">
        <v>46</v>
      </c>
      <c r="R187" s="4653" t="s">
        <v>46</v>
      </c>
      <c r="S187" s="4654" t="s">
        <v>46</v>
      </c>
      <c r="T187" s="4655" t="s">
        <v>46</v>
      </c>
      <c r="U187" s="4655" t="s">
        <v>46</v>
      </c>
      <c r="V187" s="4655" t="s">
        <v>46</v>
      </c>
      <c r="W187" s="4655" t="s">
        <v>46</v>
      </c>
      <c r="X187" s="3525">
        <v>21</v>
      </c>
      <c r="Y187" s="3550">
        <v>21</v>
      </c>
      <c r="Z187" s="3550">
        <v>21</v>
      </c>
      <c r="AA187" s="4656">
        <v>22</v>
      </c>
      <c r="AB187" s="3550">
        <v>21</v>
      </c>
      <c r="AC187" s="3525">
        <v>21</v>
      </c>
      <c r="AD187" s="3525">
        <v>21</v>
      </c>
      <c r="AE187" s="3525" t="s">
        <v>46</v>
      </c>
      <c r="AF187" s="3525" t="s">
        <v>46</v>
      </c>
      <c r="AG187" s="4651" t="s">
        <v>46</v>
      </c>
    </row>
    <row r="188" spans="1:33" ht="18" customHeight="1" thickBot="1">
      <c r="A188" s="4640">
        <v>5</v>
      </c>
      <c r="B188" s="4657" t="s">
        <v>242</v>
      </c>
      <c r="C188" s="4658" t="s">
        <v>46</v>
      </c>
      <c r="D188" s="4659" t="s">
        <v>46</v>
      </c>
      <c r="E188" s="4660" t="s">
        <v>46</v>
      </c>
      <c r="F188" s="4660" t="s">
        <v>46</v>
      </c>
      <c r="G188" s="4660" t="s">
        <v>46</v>
      </c>
      <c r="H188" s="1591"/>
      <c r="I188" s="1591"/>
      <c r="J188" s="4660">
        <v>21</v>
      </c>
      <c r="K188" s="3525">
        <v>21</v>
      </c>
      <c r="L188" s="3521">
        <v>21</v>
      </c>
      <c r="M188" s="4655">
        <v>21</v>
      </c>
      <c r="N188" s="4661">
        <v>21</v>
      </c>
      <c r="O188" s="4655">
        <v>21</v>
      </c>
      <c r="P188" s="4655">
        <v>21</v>
      </c>
      <c r="Q188" s="3525" t="s">
        <v>46</v>
      </c>
      <c r="R188" s="4653" t="s">
        <v>46</v>
      </c>
      <c r="S188" s="4653" t="s">
        <v>46</v>
      </c>
      <c r="T188" s="3525" t="s">
        <v>46</v>
      </c>
      <c r="U188" s="4644" t="s">
        <v>46</v>
      </c>
      <c r="V188" s="4644"/>
      <c r="W188" s="3521"/>
      <c r="X188" s="4655">
        <v>22</v>
      </c>
      <c r="Y188" s="4655">
        <v>22</v>
      </c>
      <c r="Z188" s="4559">
        <v>22</v>
      </c>
      <c r="AA188" s="4662">
        <v>22</v>
      </c>
      <c r="AB188" s="4662">
        <v>22</v>
      </c>
      <c r="AC188" s="4644">
        <v>22</v>
      </c>
      <c r="AD188" s="4644">
        <v>22</v>
      </c>
      <c r="AE188" s="4644" t="s">
        <v>46</v>
      </c>
      <c r="AF188" s="3525" t="s">
        <v>46</v>
      </c>
      <c r="AG188" s="4651" t="s">
        <v>46</v>
      </c>
    </row>
    <row r="189" spans="1:33" ht="18" customHeight="1" thickBot="1">
      <c r="A189" s="2055">
        <v>6</v>
      </c>
      <c r="B189" s="656" t="s">
        <v>0</v>
      </c>
      <c r="C189" s="1589" t="s">
        <v>46</v>
      </c>
      <c r="D189" s="1590" t="s">
        <v>46</v>
      </c>
      <c r="E189" s="1590" t="s">
        <v>46</v>
      </c>
      <c r="F189" s="1590" t="s">
        <v>46</v>
      </c>
      <c r="G189" s="1591" t="s">
        <v>46</v>
      </c>
      <c r="H189" s="1591"/>
      <c r="I189" s="1591"/>
      <c r="J189" s="1591">
        <v>22</v>
      </c>
      <c r="K189" s="1591">
        <v>22</v>
      </c>
      <c r="L189" s="1591">
        <v>22</v>
      </c>
      <c r="M189" s="1591">
        <v>22</v>
      </c>
      <c r="N189" s="1589">
        <v>22</v>
      </c>
      <c r="O189" s="1589">
        <v>22</v>
      </c>
      <c r="P189" s="1589">
        <v>22</v>
      </c>
      <c r="Q189" s="1589" t="s">
        <v>46</v>
      </c>
      <c r="R189" s="1592" t="s">
        <v>46</v>
      </c>
      <c r="S189" s="1592" t="s">
        <v>46</v>
      </c>
      <c r="T189" s="1589" t="s">
        <v>46</v>
      </c>
      <c r="U189" s="1593" t="s">
        <v>46</v>
      </c>
      <c r="V189" s="1593"/>
      <c r="W189" s="1594"/>
      <c r="X189" s="1589">
        <v>23</v>
      </c>
      <c r="Y189" s="1589">
        <v>23</v>
      </c>
      <c r="Z189" s="1594">
        <v>23</v>
      </c>
      <c r="AA189" s="1589">
        <v>23</v>
      </c>
      <c r="AB189" s="1589">
        <v>23</v>
      </c>
      <c r="AC189" s="1589">
        <v>23</v>
      </c>
      <c r="AD189" s="1589">
        <v>23</v>
      </c>
      <c r="AE189" s="1589" t="s">
        <v>46</v>
      </c>
      <c r="AF189" s="1589" t="s">
        <v>46</v>
      </c>
      <c r="AG189" s="398" t="s">
        <v>46</v>
      </c>
    </row>
    <row r="190" spans="1:33" ht="18" customHeight="1">
      <c r="A190" s="117"/>
      <c r="B190" s="115"/>
      <c r="C190" s="116"/>
      <c r="D190" s="116"/>
      <c r="E190" s="124"/>
      <c r="F190" s="116"/>
      <c r="G190" s="116"/>
      <c r="H190" s="129"/>
      <c r="I190" s="129"/>
      <c r="J190" s="129"/>
      <c r="K190" s="129"/>
      <c r="L190" s="129"/>
      <c r="M190" s="129"/>
      <c r="N190" s="113"/>
      <c r="O190" s="113"/>
      <c r="P190" s="124"/>
      <c r="Q190" s="116"/>
      <c r="R190" s="116"/>
      <c r="S190" s="124"/>
      <c r="T190" s="116"/>
      <c r="U190" s="116"/>
      <c r="V190" s="116"/>
      <c r="W190" s="116"/>
      <c r="X190" s="116"/>
      <c r="Y190" s="116"/>
      <c r="Z190" s="116"/>
      <c r="AA190" s="116"/>
      <c r="AB190" s="113"/>
      <c r="AC190" s="113"/>
      <c r="AD190" s="124"/>
      <c r="AE190" s="116"/>
      <c r="AF190" s="116"/>
      <c r="AG190" s="65"/>
    </row>
    <row r="191" spans="1:33" ht="18" customHeight="1">
      <c r="A191" s="67"/>
      <c r="B191" s="68"/>
      <c r="C191" s="108"/>
      <c r="D191" s="108"/>
      <c r="E191" s="99"/>
      <c r="F191" s="108"/>
      <c r="G191" s="108"/>
      <c r="H191" s="108"/>
      <c r="I191" s="108"/>
      <c r="J191" s="108"/>
      <c r="K191" s="108"/>
      <c r="L191" s="108"/>
      <c r="M191" s="108"/>
      <c r="N191" s="108"/>
      <c r="O191" s="108"/>
      <c r="P191" s="99"/>
      <c r="Q191" s="108"/>
      <c r="R191" s="108"/>
      <c r="S191" s="99"/>
      <c r="T191" s="108"/>
      <c r="U191" s="108"/>
      <c r="V191" s="108"/>
      <c r="W191" s="108"/>
      <c r="X191" s="108"/>
      <c r="Y191" s="108"/>
      <c r="Z191" s="108"/>
      <c r="AA191" s="108"/>
      <c r="AB191" s="108"/>
      <c r="AC191" s="109"/>
      <c r="AD191" s="109"/>
      <c r="AE191" s="109"/>
      <c r="AF191" s="108"/>
      <c r="AG191" s="65"/>
    </row>
    <row r="192" spans="1:33" ht="18" customHeight="1" thickBot="1">
      <c r="A192" s="96" t="s">
        <v>244</v>
      </c>
      <c r="D192" s="48"/>
      <c r="E192" s="48"/>
      <c r="F192" s="48"/>
      <c r="G192" s="63"/>
      <c r="H192" s="48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  <c r="AA192" s="48"/>
      <c r="AB192" s="48"/>
      <c r="AC192" s="48"/>
      <c r="AD192" s="48"/>
      <c r="AE192" s="48"/>
      <c r="AF192" s="48"/>
    </row>
    <row r="193" spans="1:33" ht="18" customHeight="1">
      <c r="A193" s="1"/>
      <c r="B193" s="2764" t="s">
        <v>609</v>
      </c>
      <c r="C193" s="2765"/>
      <c r="D193" s="2788" t="s">
        <v>19</v>
      </c>
      <c r="E193" s="3064"/>
      <c r="F193" s="2769"/>
      <c r="G193" s="2765"/>
      <c r="H193" s="2788" t="s">
        <v>20</v>
      </c>
      <c r="I193" s="3064"/>
      <c r="J193" s="2769"/>
      <c r="K193" s="2765"/>
      <c r="L193" s="2788" t="s">
        <v>21</v>
      </c>
      <c r="M193" s="3064"/>
      <c r="N193" s="2769"/>
      <c r="O193" s="2765"/>
      <c r="P193" s="2788" t="s">
        <v>22</v>
      </c>
      <c r="Q193" s="3064"/>
      <c r="R193" s="2769"/>
      <c r="S193" s="2765"/>
      <c r="T193" s="2788" t="s">
        <v>23</v>
      </c>
      <c r="U193" s="3064"/>
      <c r="V193" s="2769"/>
      <c r="W193" s="2765"/>
      <c r="X193" s="2788" t="s">
        <v>24</v>
      </c>
      <c r="Y193" s="3064"/>
      <c r="Z193" s="2769"/>
      <c r="AA193" s="2765"/>
      <c r="AB193" s="2788" t="s">
        <v>25</v>
      </c>
      <c r="AC193" s="3064"/>
      <c r="AD193" s="3064"/>
      <c r="AE193" s="2791" t="s">
        <v>108</v>
      </c>
      <c r="AF193" s="3064"/>
      <c r="AG193" s="2841"/>
    </row>
    <row r="194" spans="1:33" ht="18" customHeight="1">
      <c r="A194" s="1"/>
      <c r="B194" s="4590" t="s">
        <v>210</v>
      </c>
      <c r="C194" s="3621" t="s">
        <v>211</v>
      </c>
      <c r="D194" s="4505"/>
      <c r="E194" s="4505"/>
      <c r="F194" s="4593"/>
      <c r="G194" s="3621" t="s">
        <v>211</v>
      </c>
      <c r="H194" s="4505"/>
      <c r="I194" s="4505"/>
      <c r="J194" s="4593"/>
      <c r="K194" s="3621" t="s">
        <v>211</v>
      </c>
      <c r="L194" s="4505"/>
      <c r="M194" s="4505"/>
      <c r="N194" s="4593"/>
      <c r="O194" s="3621" t="s">
        <v>245</v>
      </c>
      <c r="P194" s="4505"/>
      <c r="Q194" s="4505"/>
      <c r="R194" s="4593"/>
      <c r="S194" s="3621" t="s">
        <v>220</v>
      </c>
      <c r="T194" s="4505"/>
      <c r="U194" s="4505"/>
      <c r="V194" s="4593"/>
      <c r="W194" s="4663"/>
      <c r="X194" s="4664"/>
      <c r="Y194" s="4664"/>
      <c r="Z194" s="4595"/>
      <c r="AA194" s="4591"/>
      <c r="AB194" s="4505"/>
      <c r="AC194" s="4505"/>
      <c r="AD194" s="3620"/>
      <c r="AE194" s="4596">
        <v>27</v>
      </c>
      <c r="AF194" s="4505"/>
      <c r="AG194" s="4665"/>
    </row>
    <row r="195" spans="1:33" ht="18" customHeight="1">
      <c r="A195" s="1"/>
      <c r="B195" s="4590" t="s">
        <v>212</v>
      </c>
      <c r="C195" s="3621" t="s">
        <v>246</v>
      </c>
      <c r="D195" s="4505"/>
      <c r="E195" s="4505"/>
      <c r="F195" s="4593"/>
      <c r="G195" s="3621" t="s">
        <v>246</v>
      </c>
      <c r="H195" s="4505"/>
      <c r="I195" s="4505"/>
      <c r="J195" s="4593"/>
      <c r="K195" s="3621" t="s">
        <v>246</v>
      </c>
      <c r="L195" s="4505"/>
      <c r="M195" s="4505"/>
      <c r="N195" s="4593"/>
      <c r="O195" s="3621" t="s">
        <v>246</v>
      </c>
      <c r="P195" s="4505"/>
      <c r="Q195" s="4505"/>
      <c r="R195" s="4593"/>
      <c r="S195" s="3621" t="s">
        <v>211</v>
      </c>
      <c r="T195" s="4505"/>
      <c r="U195" s="4505"/>
      <c r="V195" s="4593"/>
      <c r="W195" s="3621"/>
      <c r="X195" s="4505"/>
      <c r="Y195" s="4505"/>
      <c r="Z195" s="4593"/>
      <c r="AA195" s="4505"/>
      <c r="AB195" s="4505"/>
      <c r="AC195" s="4505"/>
      <c r="AD195" s="3620"/>
      <c r="AE195" s="4596">
        <v>39</v>
      </c>
      <c r="AF195" s="4505"/>
      <c r="AG195" s="4665"/>
    </row>
    <row r="196" spans="1:33" ht="18" customHeight="1">
      <c r="A196" s="1"/>
      <c r="B196" s="4590" t="s">
        <v>214</v>
      </c>
      <c r="C196" s="3621" t="s">
        <v>246</v>
      </c>
      <c r="D196" s="4505"/>
      <c r="E196" s="4505"/>
      <c r="F196" s="4593"/>
      <c r="G196" s="3621" t="s">
        <v>246</v>
      </c>
      <c r="H196" s="4505"/>
      <c r="I196" s="4505"/>
      <c r="J196" s="4593"/>
      <c r="K196" s="3621" t="s">
        <v>246</v>
      </c>
      <c r="L196" s="4505"/>
      <c r="M196" s="4505"/>
      <c r="N196" s="4593"/>
      <c r="O196" s="3621" t="s">
        <v>246</v>
      </c>
      <c r="P196" s="4505"/>
      <c r="Q196" s="4505"/>
      <c r="R196" s="4593"/>
      <c r="S196" s="3621" t="s">
        <v>246</v>
      </c>
      <c r="T196" s="4505"/>
      <c r="U196" s="4505"/>
      <c r="V196" s="4593"/>
      <c r="W196" s="3623" t="s">
        <v>217</v>
      </c>
      <c r="X196" s="3470"/>
      <c r="Y196" s="3470"/>
      <c r="Z196" s="3622"/>
      <c r="AA196" s="4598"/>
      <c r="AB196" s="3470"/>
      <c r="AC196" s="3470"/>
      <c r="AD196" s="3624"/>
      <c r="AE196" s="4596">
        <v>45</v>
      </c>
      <c r="AF196" s="4505"/>
      <c r="AG196" s="4665"/>
    </row>
    <row r="197" spans="1:33" ht="18" customHeight="1" thickBot="1">
      <c r="A197" s="1"/>
      <c r="B197" s="1484" t="s">
        <v>218</v>
      </c>
      <c r="C197" s="4632"/>
      <c r="D197" s="3482"/>
      <c r="E197" s="3482"/>
      <c r="F197" s="4634"/>
      <c r="G197" s="4632"/>
      <c r="H197" s="3482"/>
      <c r="I197" s="3482"/>
      <c r="J197" s="4634"/>
      <c r="K197" s="4632"/>
      <c r="L197" s="3482"/>
      <c r="M197" s="3482"/>
      <c r="N197" s="4634"/>
      <c r="O197" s="4632"/>
      <c r="P197" s="3482"/>
      <c r="Q197" s="3482"/>
      <c r="R197" s="4634"/>
      <c r="S197" s="4632"/>
      <c r="T197" s="3482"/>
      <c r="U197" s="3482"/>
      <c r="V197" s="4635"/>
      <c r="W197" s="4632"/>
      <c r="X197" s="4635"/>
      <c r="Y197" s="3482"/>
      <c r="Z197" s="4634"/>
      <c r="AA197" s="4632"/>
      <c r="AB197" s="4635"/>
      <c r="AC197" s="3482"/>
      <c r="AD197" s="4634"/>
      <c r="AE197" s="4666"/>
      <c r="AF197" s="3482"/>
      <c r="AG197" s="4667"/>
    </row>
    <row r="198" spans="1:33" ht="18" customHeight="1" thickBot="1">
      <c r="A198" s="66"/>
      <c r="B198" s="1"/>
      <c r="C198" s="48"/>
      <c r="D198" s="48"/>
      <c r="E198" s="48"/>
      <c r="F198" s="48"/>
      <c r="G198" s="48"/>
      <c r="H198" s="48"/>
      <c r="I198" s="48"/>
      <c r="J198" s="48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Y198" s="48"/>
      <c r="Z198" s="48"/>
      <c r="AA198" s="48"/>
      <c r="AB198" s="48"/>
      <c r="AC198" s="48"/>
      <c r="AD198" s="48"/>
      <c r="AE198" s="48"/>
      <c r="AF198" s="48"/>
    </row>
    <row r="199" spans="1:33" ht="18" customHeight="1" thickBot="1">
      <c r="A199" s="4589"/>
      <c r="B199" s="647" t="s">
        <v>609</v>
      </c>
      <c r="C199" s="865">
        <v>1</v>
      </c>
      <c r="D199" s="865">
        <v>2</v>
      </c>
      <c r="E199" s="865">
        <v>3</v>
      </c>
      <c r="F199" s="865">
        <v>4</v>
      </c>
      <c r="G199" s="865">
        <v>5</v>
      </c>
      <c r="H199" s="866">
        <v>6</v>
      </c>
      <c r="I199" s="866">
        <v>7</v>
      </c>
      <c r="J199" s="865">
        <v>8</v>
      </c>
      <c r="K199" s="865">
        <v>9</v>
      </c>
      <c r="L199" s="865">
        <v>10</v>
      </c>
      <c r="M199" s="865">
        <v>11</v>
      </c>
      <c r="N199" s="865">
        <v>12</v>
      </c>
      <c r="O199" s="866">
        <v>13</v>
      </c>
      <c r="P199" s="866">
        <v>14</v>
      </c>
      <c r="Q199" s="865">
        <v>15</v>
      </c>
      <c r="R199" s="865">
        <v>16</v>
      </c>
      <c r="S199" s="865">
        <v>17</v>
      </c>
      <c r="T199" s="865">
        <v>18</v>
      </c>
      <c r="U199" s="865">
        <v>19</v>
      </c>
      <c r="V199" s="866">
        <v>20</v>
      </c>
      <c r="W199" s="866">
        <v>21</v>
      </c>
      <c r="X199" s="865">
        <v>22</v>
      </c>
      <c r="Y199" s="865">
        <v>23</v>
      </c>
      <c r="Z199" s="865">
        <v>24</v>
      </c>
      <c r="AA199" s="866">
        <v>25</v>
      </c>
      <c r="AB199" s="866">
        <v>26</v>
      </c>
      <c r="AC199" s="866">
        <v>27</v>
      </c>
      <c r="AD199" s="866">
        <v>28</v>
      </c>
      <c r="AE199" s="865">
        <v>29</v>
      </c>
      <c r="AF199" s="865">
        <v>30</v>
      </c>
      <c r="AG199" s="867">
        <v>31</v>
      </c>
    </row>
    <row r="200" spans="1:33" ht="18" customHeight="1">
      <c r="A200" s="2814">
        <v>1</v>
      </c>
      <c r="B200" s="4668" t="s">
        <v>247</v>
      </c>
      <c r="C200" s="4262" t="s">
        <v>40</v>
      </c>
      <c r="D200" s="4262" t="s">
        <v>40</v>
      </c>
      <c r="E200" s="4262" t="s">
        <v>40</v>
      </c>
      <c r="F200" s="4262" t="s">
        <v>40</v>
      </c>
      <c r="G200" s="4262" t="s">
        <v>40</v>
      </c>
      <c r="H200" s="3089"/>
      <c r="I200" s="3089"/>
      <c r="J200" s="3089" t="s">
        <v>40</v>
      </c>
      <c r="K200" s="2848" t="s">
        <v>40</v>
      </c>
      <c r="L200" s="3089" t="s">
        <v>40</v>
      </c>
      <c r="M200" s="3089" t="s">
        <v>40</v>
      </c>
      <c r="N200" s="3089" t="s">
        <v>40</v>
      </c>
      <c r="O200" s="3089" t="s">
        <v>248</v>
      </c>
      <c r="P200" s="3089"/>
      <c r="Q200" s="3089" t="s">
        <v>40</v>
      </c>
      <c r="R200" s="3089" t="s">
        <v>40</v>
      </c>
      <c r="S200" s="3089" t="s">
        <v>40</v>
      </c>
      <c r="T200" s="3089" t="s">
        <v>40</v>
      </c>
      <c r="U200" s="3089" t="s">
        <v>40</v>
      </c>
      <c r="V200" s="2848"/>
      <c r="W200" s="3089"/>
      <c r="X200" s="4262" t="s">
        <v>40</v>
      </c>
      <c r="Y200" s="4262" t="s">
        <v>40</v>
      </c>
      <c r="Z200" s="3089" t="s">
        <v>40</v>
      </c>
      <c r="AA200" s="3089"/>
      <c r="AB200" s="3089"/>
      <c r="AC200" s="3089"/>
      <c r="AD200" s="3089"/>
      <c r="AE200" s="4262" t="s">
        <v>40</v>
      </c>
      <c r="AF200" s="4669" t="s">
        <v>40</v>
      </c>
      <c r="AG200" s="4670" t="s">
        <v>40</v>
      </c>
    </row>
    <row r="201" spans="1:33" ht="18" customHeight="1">
      <c r="A201" s="4613">
        <v>2</v>
      </c>
      <c r="B201" s="4671" t="s">
        <v>249</v>
      </c>
      <c r="C201" s="3432" t="s">
        <v>248</v>
      </c>
      <c r="D201" s="3432" t="s">
        <v>248</v>
      </c>
      <c r="E201" s="3432" t="s">
        <v>248</v>
      </c>
      <c r="F201" s="3432" t="s">
        <v>248</v>
      </c>
      <c r="G201" s="3432" t="s">
        <v>248</v>
      </c>
      <c r="H201" s="3432" t="s">
        <v>248</v>
      </c>
      <c r="I201" s="3432"/>
      <c r="J201" s="3432" t="s">
        <v>251</v>
      </c>
      <c r="K201" s="3432" t="s">
        <v>251</v>
      </c>
      <c r="L201" s="3432" t="s">
        <v>251</v>
      </c>
      <c r="M201" s="3432" t="s">
        <v>251</v>
      </c>
      <c r="N201" s="3432" t="s">
        <v>46</v>
      </c>
      <c r="O201" s="3432"/>
      <c r="P201" s="3432"/>
      <c r="Q201" s="3432" t="s">
        <v>250</v>
      </c>
      <c r="R201" s="3432" t="s">
        <v>250</v>
      </c>
      <c r="S201" s="3432" t="s">
        <v>250</v>
      </c>
      <c r="T201" s="3432" t="s">
        <v>250</v>
      </c>
      <c r="U201" s="3432" t="s">
        <v>250</v>
      </c>
      <c r="V201" s="3432"/>
      <c r="W201" s="3432"/>
      <c r="X201" s="3432" t="s">
        <v>248</v>
      </c>
      <c r="Y201" s="3432" t="s">
        <v>248</v>
      </c>
      <c r="Z201" s="3432" t="s">
        <v>248</v>
      </c>
      <c r="AA201" s="3432"/>
      <c r="AB201" s="3432"/>
      <c r="AC201" s="3432"/>
      <c r="AD201" s="3432"/>
      <c r="AE201" s="3432" t="s">
        <v>251</v>
      </c>
      <c r="AF201" s="3432" t="s">
        <v>251</v>
      </c>
      <c r="AG201" s="4622" t="s">
        <v>251</v>
      </c>
    </row>
    <row r="202" spans="1:33" ht="18" customHeight="1">
      <c r="A202" s="4613">
        <v>3</v>
      </c>
      <c r="B202" s="4672" t="s">
        <v>512</v>
      </c>
      <c r="C202" s="3430" t="s">
        <v>251</v>
      </c>
      <c r="D202" s="3430" t="s">
        <v>251</v>
      </c>
      <c r="E202" s="3430" t="s">
        <v>251</v>
      </c>
      <c r="F202" s="3430" t="s">
        <v>610</v>
      </c>
      <c r="G202" s="4457" t="s">
        <v>46</v>
      </c>
      <c r="H202" s="4457"/>
      <c r="I202" s="4457"/>
      <c r="J202" s="3494" t="s">
        <v>250</v>
      </c>
      <c r="K202" s="3494" t="s">
        <v>250</v>
      </c>
      <c r="L202" s="3494" t="s">
        <v>250</v>
      </c>
      <c r="M202" s="3494" t="s">
        <v>250</v>
      </c>
      <c r="N202" s="3494" t="s">
        <v>250</v>
      </c>
      <c r="O202" s="3494"/>
      <c r="P202" s="3494"/>
      <c r="Q202" s="3494" t="s">
        <v>248</v>
      </c>
      <c r="R202" s="3494" t="s">
        <v>248</v>
      </c>
      <c r="S202" s="3494" t="s">
        <v>248</v>
      </c>
      <c r="T202" s="3494" t="s">
        <v>248</v>
      </c>
      <c r="U202" s="3494" t="s">
        <v>248</v>
      </c>
      <c r="V202" s="3494" t="s">
        <v>248</v>
      </c>
      <c r="W202" s="3494"/>
      <c r="X202" s="3432" t="s">
        <v>251</v>
      </c>
      <c r="Y202" s="3432" t="s">
        <v>251</v>
      </c>
      <c r="Z202" s="3432" t="s">
        <v>251</v>
      </c>
      <c r="AA202" s="3432"/>
      <c r="AB202" s="3432" t="s">
        <v>46</v>
      </c>
      <c r="AC202" s="3418"/>
      <c r="AD202" s="3418"/>
      <c r="AE202" s="3432" t="s">
        <v>250</v>
      </c>
      <c r="AF202" s="3432" t="s">
        <v>250</v>
      </c>
      <c r="AG202" s="4622" t="s">
        <v>250</v>
      </c>
    </row>
    <row r="203" spans="1:33" ht="18" customHeight="1" thickBot="1">
      <c r="A203" s="4613">
        <v>4</v>
      </c>
      <c r="B203" s="4673" t="s">
        <v>253</v>
      </c>
      <c r="C203" s="4625"/>
      <c r="D203" s="4625"/>
      <c r="E203" s="4625"/>
      <c r="F203" s="4625"/>
      <c r="G203" s="4625"/>
      <c r="H203" s="4674"/>
      <c r="I203" s="4625"/>
      <c r="J203" s="4625"/>
      <c r="K203" s="4625"/>
      <c r="L203" s="4625"/>
      <c r="M203" s="4625"/>
      <c r="N203" s="4625"/>
      <c r="O203" s="4625"/>
      <c r="P203" s="4625"/>
      <c r="Q203" s="4625"/>
      <c r="R203" s="4625"/>
      <c r="S203" s="4625"/>
      <c r="T203" s="4675"/>
      <c r="U203" s="4675"/>
      <c r="V203" s="4675"/>
      <c r="W203" s="4676"/>
      <c r="X203" s="4676" t="s">
        <v>376</v>
      </c>
      <c r="Y203" s="4625"/>
      <c r="Z203" s="4625"/>
      <c r="AA203" s="4625"/>
      <c r="AB203" s="4625"/>
      <c r="AC203" s="4674"/>
      <c r="AD203" s="4625"/>
      <c r="AE203" s="4625"/>
      <c r="AF203" s="4625"/>
      <c r="AG203" s="4631"/>
    </row>
    <row r="204" spans="1:33" ht="18" customHeight="1">
      <c r="A204" s="117"/>
      <c r="B204" s="115"/>
      <c r="C204" s="116"/>
      <c r="D204" s="116"/>
      <c r="E204" s="116"/>
      <c r="F204" s="116"/>
      <c r="G204" s="116"/>
      <c r="H204" s="116"/>
      <c r="I204" s="116"/>
      <c r="J204" s="116"/>
      <c r="K204" s="116"/>
      <c r="L204" s="116"/>
      <c r="M204" s="116"/>
      <c r="N204" s="116"/>
      <c r="O204" s="116"/>
      <c r="P204" s="116"/>
      <c r="Q204" s="116"/>
      <c r="R204" s="116"/>
      <c r="S204" s="116"/>
      <c r="T204" s="116"/>
      <c r="U204" s="116"/>
      <c r="V204" s="116"/>
      <c r="W204" s="116"/>
      <c r="X204" s="116"/>
      <c r="Y204" s="116"/>
      <c r="Z204" s="116"/>
      <c r="AA204" s="116"/>
      <c r="AB204" s="116"/>
      <c r="AC204" s="116"/>
      <c r="AD204" s="116"/>
      <c r="AE204" s="116"/>
      <c r="AF204" s="116"/>
      <c r="AG204" s="65"/>
    </row>
    <row r="205" spans="1:33" ht="18" customHeight="1" thickBot="1">
      <c r="A205" s="90" t="s">
        <v>254</v>
      </c>
      <c r="B205" s="48"/>
      <c r="C205" s="64"/>
      <c r="D205" s="48"/>
      <c r="E205" s="48"/>
      <c r="F205" s="64"/>
      <c r="G205" s="48"/>
      <c r="H205" s="48"/>
      <c r="I205" s="64"/>
      <c r="J205" s="64"/>
      <c r="K205" s="48"/>
      <c r="L205" s="64"/>
      <c r="M205" s="48"/>
      <c r="N205" s="48"/>
      <c r="O205" s="64"/>
      <c r="P205" s="48"/>
      <c r="Q205" s="64"/>
      <c r="R205" s="64"/>
      <c r="S205" s="48"/>
      <c r="T205" s="48"/>
      <c r="U205" s="64"/>
      <c r="V205" s="48"/>
      <c r="W205" s="64"/>
      <c r="X205" s="64"/>
      <c r="Y205" s="48"/>
      <c r="Z205" s="48"/>
      <c r="AA205" s="48"/>
      <c r="AB205" s="48"/>
      <c r="AC205" s="48"/>
      <c r="AD205" s="48"/>
      <c r="AE205" s="64"/>
      <c r="AF205" s="48"/>
      <c r="AG205" s="65"/>
    </row>
    <row r="206" spans="1:33" ht="18" customHeight="1">
      <c r="A206" s="67"/>
      <c r="B206" s="2851" t="s">
        <v>611</v>
      </c>
      <c r="C206" s="2852"/>
      <c r="D206" s="2853" t="s">
        <v>19</v>
      </c>
      <c r="E206" s="3224"/>
      <c r="F206" s="2854"/>
      <c r="G206" s="2855"/>
      <c r="H206" s="2853" t="s">
        <v>20</v>
      </c>
      <c r="I206" s="3224"/>
      <c r="J206" s="2854"/>
      <c r="K206" s="2855"/>
      <c r="L206" s="2853" t="s">
        <v>21</v>
      </c>
      <c r="M206" s="3224"/>
      <c r="N206" s="2854"/>
      <c r="O206" s="2855"/>
      <c r="P206" s="2853" t="s">
        <v>22</v>
      </c>
      <c r="Q206" s="3224"/>
      <c r="R206" s="2854"/>
      <c r="S206" s="2855"/>
      <c r="T206" s="2853" t="s">
        <v>23</v>
      </c>
      <c r="U206" s="3224"/>
      <c r="V206" s="2854"/>
      <c r="W206" s="2855"/>
      <c r="X206" s="2853" t="s">
        <v>24</v>
      </c>
      <c r="Y206" s="3224"/>
      <c r="Z206" s="2854"/>
      <c r="AA206" s="2855"/>
      <c r="AB206" s="2853" t="s">
        <v>25</v>
      </c>
      <c r="AC206" s="3224"/>
      <c r="AD206" s="3224"/>
      <c r="AE206" s="2856" t="s">
        <v>108</v>
      </c>
      <c r="AF206" s="3224"/>
      <c r="AG206" s="4677"/>
    </row>
    <row r="207" spans="1:33" ht="18" customHeight="1">
      <c r="A207" s="67"/>
      <c r="B207" s="4460" t="s">
        <v>256</v>
      </c>
      <c r="C207" s="4678" t="s">
        <v>152</v>
      </c>
      <c r="D207" s="4679" t="s">
        <v>258</v>
      </c>
      <c r="E207" s="4680"/>
      <c r="F207" s="4681"/>
      <c r="G207" s="4682"/>
      <c r="H207" s="4683" t="s">
        <v>258</v>
      </c>
      <c r="I207" s="4684"/>
      <c r="J207" s="4681"/>
      <c r="K207" s="4682"/>
      <c r="L207" s="4683" t="s">
        <v>258</v>
      </c>
      <c r="M207" s="4684"/>
      <c r="N207" s="4681"/>
      <c r="O207" s="4682"/>
      <c r="P207" s="4683" t="s">
        <v>259</v>
      </c>
      <c r="Q207" s="4684"/>
      <c r="R207" s="4681"/>
      <c r="S207" s="4682"/>
      <c r="T207" s="4683" t="s">
        <v>260</v>
      </c>
      <c r="U207" s="4684"/>
      <c r="V207" s="4681"/>
      <c r="W207" s="4685"/>
      <c r="X207" s="4464"/>
      <c r="Y207" s="4464"/>
      <c r="Z207" s="4686"/>
      <c r="AA207" s="4685"/>
      <c r="AB207" s="4464"/>
      <c r="AC207" s="4464"/>
      <c r="AD207" s="4464"/>
      <c r="AE207" s="4685"/>
      <c r="AF207" s="4464"/>
      <c r="AG207" s="4687"/>
    </row>
    <row r="208" spans="1:33" ht="18" customHeight="1">
      <c r="A208" s="67"/>
      <c r="B208" s="4460" t="s">
        <v>261</v>
      </c>
      <c r="C208" s="4678" t="s">
        <v>130</v>
      </c>
      <c r="D208" s="4679" t="s">
        <v>258</v>
      </c>
      <c r="E208" s="4680"/>
      <c r="F208" s="4681"/>
      <c r="G208" s="4682"/>
      <c r="H208" s="4683" t="s">
        <v>258</v>
      </c>
      <c r="I208" s="4684"/>
      <c r="J208" s="4681"/>
      <c r="K208" s="4682"/>
      <c r="L208" s="4683" t="s">
        <v>262</v>
      </c>
      <c r="M208" s="4684"/>
      <c r="N208" s="4681"/>
      <c r="O208" s="4682"/>
      <c r="P208" s="4683" t="s">
        <v>263</v>
      </c>
      <c r="Q208" s="4684"/>
      <c r="R208" s="4681"/>
      <c r="S208" s="4682"/>
      <c r="T208" s="4683" t="s">
        <v>264</v>
      </c>
      <c r="U208" s="4684"/>
      <c r="V208" s="4681"/>
      <c r="W208" s="4685"/>
      <c r="X208" s="4464"/>
      <c r="Y208" s="4464"/>
      <c r="Z208" s="4686"/>
      <c r="AA208" s="4685"/>
      <c r="AB208" s="4464"/>
      <c r="AC208" s="4464"/>
      <c r="AD208" s="4464"/>
      <c r="AE208" s="4685"/>
      <c r="AF208" s="4464"/>
      <c r="AG208" s="4687"/>
    </row>
    <row r="209" spans="1:33" ht="18" customHeight="1">
      <c r="A209" s="67"/>
      <c r="B209" s="4460" t="s">
        <v>265</v>
      </c>
      <c r="C209" s="4678" t="s">
        <v>153</v>
      </c>
      <c r="D209" s="4679" t="s">
        <v>266</v>
      </c>
      <c r="E209" s="4680"/>
      <c r="F209" s="4681"/>
      <c r="G209" s="4682"/>
      <c r="H209" s="4679" t="s">
        <v>266</v>
      </c>
      <c r="I209" s="4684"/>
      <c r="J209" s="4681"/>
      <c r="K209" s="4682"/>
      <c r="L209" s="4679" t="s">
        <v>266</v>
      </c>
      <c r="M209" s="4684"/>
      <c r="N209" s="4681"/>
      <c r="O209" s="4682"/>
      <c r="P209" s="4683" t="s">
        <v>267</v>
      </c>
      <c r="Q209" s="4684"/>
      <c r="R209" s="4681"/>
      <c r="S209" s="4682"/>
      <c r="T209" s="4683" t="s">
        <v>264</v>
      </c>
      <c r="U209" s="4684"/>
      <c r="V209" s="4681"/>
      <c r="W209" s="4685"/>
      <c r="X209" s="4464"/>
      <c r="Y209" s="4464"/>
      <c r="Z209" s="4686"/>
      <c r="AA209" s="4685"/>
      <c r="AB209" s="4464"/>
      <c r="AC209" s="4464"/>
      <c r="AD209" s="4464"/>
      <c r="AE209" s="4685"/>
      <c r="AF209" s="4464"/>
      <c r="AG209" s="4687"/>
    </row>
    <row r="210" spans="1:33" ht="18" customHeight="1">
      <c r="A210" s="67"/>
      <c r="B210" s="4688" t="s">
        <v>272</v>
      </c>
      <c r="C210" s="4678" t="s">
        <v>128</v>
      </c>
      <c r="D210" s="4679" t="s">
        <v>273</v>
      </c>
      <c r="E210" s="4680"/>
      <c r="F210" s="4689"/>
      <c r="G210" s="4690"/>
      <c r="H210" s="4679" t="s">
        <v>273</v>
      </c>
      <c r="I210" s="4691"/>
      <c r="J210" s="4689"/>
      <c r="K210" s="4690"/>
      <c r="L210" s="4679" t="s">
        <v>273</v>
      </c>
      <c r="M210" s="4691"/>
      <c r="N210" s="4689"/>
      <c r="O210" s="4690"/>
      <c r="P210" s="4683" t="s">
        <v>274</v>
      </c>
      <c r="Q210" s="4691"/>
      <c r="R210" s="4689"/>
      <c r="S210" s="4690"/>
      <c r="T210" s="4683" t="s">
        <v>264</v>
      </c>
      <c r="U210" s="4691"/>
      <c r="V210" s="4463"/>
      <c r="W210" s="4692"/>
      <c r="X210" s="4693"/>
      <c r="Y210" s="4693"/>
      <c r="Z210" s="4564"/>
      <c r="AA210" s="4692"/>
      <c r="AB210" s="4693"/>
      <c r="AC210" s="4693"/>
      <c r="AD210" s="4693"/>
      <c r="AE210" s="4692"/>
      <c r="AF210" s="4693"/>
      <c r="AG210" s="4694"/>
    </row>
    <row r="211" spans="1:33" ht="18" customHeight="1">
      <c r="A211" s="67"/>
      <c r="B211" s="4460" t="s">
        <v>275</v>
      </c>
      <c r="C211" s="4678" t="s">
        <v>127</v>
      </c>
      <c r="D211" s="4679" t="s">
        <v>276</v>
      </c>
      <c r="E211" s="4680"/>
      <c r="F211" s="4681"/>
      <c r="G211" s="4682"/>
      <c r="H211" s="4679" t="s">
        <v>276</v>
      </c>
      <c r="I211" s="4684"/>
      <c r="J211" s="4681"/>
      <c r="K211" s="4682"/>
      <c r="L211" s="4679" t="s">
        <v>276</v>
      </c>
      <c r="M211" s="4684"/>
      <c r="N211" s="4681"/>
      <c r="O211" s="4682"/>
      <c r="P211" s="4683" t="s">
        <v>277</v>
      </c>
      <c r="Q211" s="4684"/>
      <c r="R211" s="4681"/>
      <c r="S211" s="4682"/>
      <c r="T211" s="4683" t="s">
        <v>264</v>
      </c>
      <c r="U211" s="4684"/>
      <c r="V211" s="4681"/>
      <c r="W211" s="4685"/>
      <c r="X211" s="4464"/>
      <c r="Y211" s="4464"/>
      <c r="Z211" s="4464"/>
      <c r="AA211" s="4685"/>
      <c r="AB211" s="4464"/>
      <c r="AC211" s="4464"/>
      <c r="AD211" s="4464"/>
      <c r="AE211" s="4685"/>
      <c r="AF211" s="4464"/>
      <c r="AG211" s="4687"/>
    </row>
    <row r="212" spans="1:33" ht="18" customHeight="1">
      <c r="A212" s="67"/>
      <c r="B212" s="4460" t="s">
        <v>446</v>
      </c>
      <c r="C212" s="4678" t="s">
        <v>403</v>
      </c>
      <c r="D212" s="4679" t="s">
        <v>279</v>
      </c>
      <c r="E212" s="4680"/>
      <c r="F212" s="4681"/>
      <c r="G212" s="4682"/>
      <c r="H212" s="4683" t="s">
        <v>279</v>
      </c>
      <c r="I212" s="4684"/>
      <c r="J212" s="4681"/>
      <c r="K212" s="4682"/>
      <c r="L212" s="4683" t="s">
        <v>279</v>
      </c>
      <c r="M212" s="4684"/>
      <c r="N212" s="4684"/>
      <c r="O212" s="4682"/>
      <c r="P212" s="4683" t="s">
        <v>279</v>
      </c>
      <c r="Q212" s="4684"/>
      <c r="R212" s="4684"/>
      <c r="S212" s="4682"/>
      <c r="T212" s="4683" t="s">
        <v>264</v>
      </c>
      <c r="U212" s="4684"/>
      <c r="V212" s="4681"/>
      <c r="W212" s="4460"/>
      <c r="X212" s="4464"/>
      <c r="Y212" s="4464"/>
      <c r="Z212" s="4464"/>
      <c r="AA212" s="4685"/>
      <c r="AB212" s="4464"/>
      <c r="AC212" s="4464"/>
      <c r="AD212" s="4464"/>
      <c r="AE212" s="4685"/>
      <c r="AF212" s="4464"/>
      <c r="AG212" s="4687"/>
    </row>
    <row r="213" spans="1:33" ht="18" customHeight="1">
      <c r="A213" s="67"/>
      <c r="B213" s="4460" t="s">
        <v>278</v>
      </c>
      <c r="C213" s="4678" t="s">
        <v>116</v>
      </c>
      <c r="D213" s="4679" t="s">
        <v>279</v>
      </c>
      <c r="E213" s="4680"/>
      <c r="F213" s="4681"/>
      <c r="G213" s="4682"/>
      <c r="H213" s="4683" t="s">
        <v>279</v>
      </c>
      <c r="I213" s="4684"/>
      <c r="J213" s="4681"/>
      <c r="K213" s="4682"/>
      <c r="L213" s="4683" t="s">
        <v>279</v>
      </c>
      <c r="M213" s="4684"/>
      <c r="N213" s="4684"/>
      <c r="O213" s="4682"/>
      <c r="P213" s="4683" t="s">
        <v>279</v>
      </c>
      <c r="Q213" s="4684"/>
      <c r="R213" s="4684"/>
      <c r="S213" s="4682"/>
      <c r="T213" s="4683" t="s">
        <v>264</v>
      </c>
      <c r="U213" s="4684"/>
      <c r="V213" s="4681"/>
      <c r="W213" s="4460"/>
      <c r="X213" s="4464"/>
      <c r="Y213" s="4464"/>
      <c r="Z213" s="4686"/>
      <c r="AA213" s="4695"/>
      <c r="AB213" s="4464"/>
      <c r="AC213" s="4464"/>
      <c r="AD213" s="4464"/>
      <c r="AE213" s="4685"/>
      <c r="AF213" s="4464"/>
      <c r="AG213" s="4687"/>
    </row>
    <row r="214" spans="1:33" ht="18" customHeight="1">
      <c r="A214" s="67"/>
      <c r="B214" s="4460" t="s">
        <v>280</v>
      </c>
      <c r="C214" s="4678" t="s">
        <v>123</v>
      </c>
      <c r="D214" s="4679" t="s">
        <v>448</v>
      </c>
      <c r="E214" s="4680"/>
      <c r="F214" s="4681"/>
      <c r="G214" s="4682"/>
      <c r="H214" s="4679" t="s">
        <v>448</v>
      </c>
      <c r="I214" s="4679"/>
      <c r="J214" s="4681"/>
      <c r="K214" s="4682"/>
      <c r="L214" s="4679" t="s">
        <v>448</v>
      </c>
      <c r="M214" s="4679"/>
      <c r="N214" s="4684"/>
      <c r="O214" s="4682"/>
      <c r="P214" s="4683" t="s">
        <v>449</v>
      </c>
      <c r="Q214" s="4684"/>
      <c r="R214" s="4684"/>
      <c r="S214" s="4682"/>
      <c r="T214" s="4683" t="s">
        <v>450</v>
      </c>
      <c r="U214" s="4684"/>
      <c r="V214" s="4681"/>
      <c r="AA214" s="110"/>
      <c r="AE214" s="110"/>
      <c r="AG214" s="65"/>
    </row>
    <row r="215" spans="1:33" ht="18" customHeight="1" thickBot="1">
      <c r="A215" s="67"/>
      <c r="C215" s="110"/>
      <c r="F215" s="110"/>
      <c r="I215" s="110"/>
      <c r="J215" s="110"/>
      <c r="L215" s="110"/>
      <c r="O215" s="110"/>
      <c r="Q215" s="110"/>
      <c r="R215" s="110"/>
      <c r="U215" s="110"/>
      <c r="W215" s="110"/>
      <c r="X215" s="110"/>
      <c r="AE215" s="110"/>
      <c r="AG215" s="65"/>
    </row>
    <row r="216" spans="1:33" ht="18" customHeight="1">
      <c r="A216" s="67"/>
      <c r="B216" s="314" t="s">
        <v>612</v>
      </c>
      <c r="C216" s="2874"/>
      <c r="D216" s="2853" t="s">
        <v>19</v>
      </c>
      <c r="E216" s="3224"/>
      <c r="F216" s="2854"/>
      <c r="G216" s="2855"/>
      <c r="H216" s="2853" t="s">
        <v>20</v>
      </c>
      <c r="I216" s="3224"/>
      <c r="J216" s="2854"/>
      <c r="K216" s="2855"/>
      <c r="L216" s="2853" t="s">
        <v>21</v>
      </c>
      <c r="M216" s="3224"/>
      <c r="N216" s="2854"/>
      <c r="O216" s="2855"/>
      <c r="P216" s="2853" t="s">
        <v>22</v>
      </c>
      <c r="Q216" s="3224"/>
      <c r="R216" s="2854"/>
      <c r="S216" s="2855"/>
      <c r="T216" s="2853" t="s">
        <v>23</v>
      </c>
      <c r="U216" s="3224"/>
      <c r="V216" s="2854"/>
      <c r="W216" s="2855"/>
      <c r="X216" s="2853" t="s">
        <v>24</v>
      </c>
      <c r="Y216" s="3224"/>
      <c r="Z216" s="2854"/>
      <c r="AA216" s="2855"/>
      <c r="AB216" s="2853" t="s">
        <v>25</v>
      </c>
      <c r="AC216" s="3224"/>
      <c r="AD216" s="3224"/>
      <c r="AE216" s="2856" t="s">
        <v>108</v>
      </c>
      <c r="AF216" s="3224"/>
      <c r="AG216" s="4677"/>
    </row>
    <row r="217" spans="1:33" ht="18" customHeight="1">
      <c r="A217" s="67"/>
      <c r="B217" s="4460" t="s">
        <v>514</v>
      </c>
      <c r="C217" s="4678" t="s">
        <v>515</v>
      </c>
      <c r="D217" s="4679" t="s">
        <v>276</v>
      </c>
      <c r="E217" s="4680"/>
      <c r="F217" s="4681"/>
      <c r="G217" s="4682"/>
      <c r="H217" s="4679" t="s">
        <v>516</v>
      </c>
      <c r="I217" s="4680"/>
      <c r="J217" s="4681"/>
      <c r="K217" s="4682"/>
      <c r="L217" s="4679" t="s">
        <v>517</v>
      </c>
      <c r="M217" s="4680"/>
      <c r="N217" s="4681"/>
      <c r="O217" s="4682"/>
      <c r="P217" s="4683" t="s">
        <v>518</v>
      </c>
      <c r="Q217" s="4684"/>
      <c r="R217" s="4681"/>
      <c r="S217" s="4682"/>
      <c r="T217" s="4679" t="s">
        <v>519</v>
      </c>
      <c r="U217" s="4680"/>
      <c r="V217" s="4681"/>
      <c r="W217" s="111"/>
      <c r="X217" s="499"/>
      <c r="Y217" s="111"/>
      <c r="Z217" s="111"/>
      <c r="AA217" s="111"/>
      <c r="AB217" s="499"/>
      <c r="AC217" s="111"/>
      <c r="AD217" s="111"/>
      <c r="AE217" s="499"/>
      <c r="AF217" s="111"/>
      <c r="AG217" s="500"/>
    </row>
    <row r="218" spans="1:33" ht="18" customHeight="1">
      <c r="A218" s="67"/>
      <c r="B218" s="4460" t="s">
        <v>256</v>
      </c>
      <c r="C218" s="4678" t="s">
        <v>152</v>
      </c>
      <c r="D218" s="4679" t="s">
        <v>285</v>
      </c>
      <c r="E218" s="4680"/>
      <c r="F218" s="4681"/>
      <c r="G218" s="4682"/>
      <c r="H218" s="4679" t="s">
        <v>285</v>
      </c>
      <c r="I218" s="4684"/>
      <c r="J218" s="4681"/>
      <c r="K218" s="4682"/>
      <c r="L218" s="4679" t="s">
        <v>285</v>
      </c>
      <c r="M218" s="4684"/>
      <c r="N218" s="4681"/>
      <c r="O218" s="4682"/>
      <c r="P218" s="4683" t="s">
        <v>286</v>
      </c>
      <c r="Q218" s="4684"/>
      <c r="R218" s="4681"/>
      <c r="S218" s="4682"/>
      <c r="T218" s="4683" t="s">
        <v>287</v>
      </c>
      <c r="U218" s="4684"/>
      <c r="V218" s="4681"/>
      <c r="W218" s="4696"/>
      <c r="X218" s="4464"/>
      <c r="Y218" s="4464"/>
      <c r="Z218" s="4463"/>
      <c r="AA218" s="4696"/>
      <c r="AB218" s="4464"/>
      <c r="AC218" s="4464"/>
      <c r="AD218" s="4464"/>
      <c r="AE218" s="4696"/>
      <c r="AF218" s="4464"/>
      <c r="AG218" s="4687"/>
    </row>
    <row r="219" spans="1:33" ht="18" customHeight="1">
      <c r="A219" s="67"/>
      <c r="B219" s="4460" t="s">
        <v>261</v>
      </c>
      <c r="C219" s="4678" t="s">
        <v>130</v>
      </c>
      <c r="D219" s="4679" t="s">
        <v>285</v>
      </c>
      <c r="E219" s="4680"/>
      <c r="F219" s="4681"/>
      <c r="G219" s="4682"/>
      <c r="H219" s="4679" t="s">
        <v>285</v>
      </c>
      <c r="I219" s="4684"/>
      <c r="J219" s="4681"/>
      <c r="K219" s="4682"/>
      <c r="L219" s="4683" t="s">
        <v>262</v>
      </c>
      <c r="M219" s="4684"/>
      <c r="N219" s="4681"/>
      <c r="O219" s="4682"/>
      <c r="P219" s="4683" t="s">
        <v>288</v>
      </c>
      <c r="Q219" s="4684"/>
      <c r="R219" s="4681"/>
      <c r="S219" s="4682"/>
      <c r="T219" s="4683" t="s">
        <v>289</v>
      </c>
      <c r="U219" s="4684"/>
      <c r="V219" s="4681"/>
      <c r="W219" s="4696"/>
      <c r="X219" s="4464"/>
      <c r="Y219" s="4464"/>
      <c r="Z219" s="4463"/>
      <c r="AA219" s="4696"/>
      <c r="AB219" s="4464"/>
      <c r="AC219" s="4464"/>
      <c r="AD219" s="4464"/>
      <c r="AE219" s="4696"/>
      <c r="AF219" s="4464"/>
      <c r="AG219" s="4687"/>
    </row>
    <row r="220" spans="1:33" ht="18" customHeight="1">
      <c r="A220" s="67"/>
      <c r="B220" s="4460" t="s">
        <v>265</v>
      </c>
      <c r="C220" s="4678" t="s">
        <v>153</v>
      </c>
      <c r="D220" s="4679" t="s">
        <v>285</v>
      </c>
      <c r="E220" s="4680"/>
      <c r="F220" s="4681"/>
      <c r="G220" s="4682"/>
      <c r="H220" s="4679" t="s">
        <v>285</v>
      </c>
      <c r="I220" s="4684"/>
      <c r="J220" s="4681"/>
      <c r="K220" s="4682"/>
      <c r="L220" s="4679" t="s">
        <v>285</v>
      </c>
      <c r="M220" s="4684"/>
      <c r="N220" s="4681"/>
      <c r="O220" s="4682"/>
      <c r="P220" s="4683" t="s">
        <v>290</v>
      </c>
      <c r="Q220" s="4684"/>
      <c r="R220" s="4681"/>
      <c r="S220" s="4682"/>
      <c r="T220" s="4683" t="s">
        <v>289</v>
      </c>
      <c r="U220" s="4684"/>
      <c r="V220" s="4681"/>
      <c r="W220" s="4696"/>
      <c r="X220" s="4464"/>
      <c r="Y220" s="4464"/>
      <c r="Z220" s="4463"/>
      <c r="AA220" s="4696"/>
      <c r="AB220" s="4464"/>
      <c r="AC220" s="4464"/>
      <c r="AD220" s="4464"/>
      <c r="AE220" s="4696"/>
      <c r="AF220" s="4464"/>
      <c r="AG220" s="4687"/>
    </row>
    <row r="221" spans="1:33" ht="18" customHeight="1">
      <c r="A221" s="67"/>
      <c r="B221" s="4688" t="s">
        <v>272</v>
      </c>
      <c r="C221" s="4678" t="s">
        <v>128</v>
      </c>
      <c r="D221" s="4679" t="s">
        <v>285</v>
      </c>
      <c r="E221" s="4680"/>
      <c r="F221" s="4681"/>
      <c r="G221" s="4682"/>
      <c r="H221" s="4679" t="s">
        <v>285</v>
      </c>
      <c r="I221" s="4684"/>
      <c r="J221" s="4681"/>
      <c r="K221" s="4682"/>
      <c r="L221" s="4679" t="s">
        <v>285</v>
      </c>
      <c r="M221" s="4684"/>
      <c r="N221" s="4681"/>
      <c r="O221" s="4682"/>
      <c r="P221" s="4683" t="s">
        <v>290</v>
      </c>
      <c r="Q221" s="4684"/>
      <c r="R221" s="4681"/>
      <c r="S221" s="4682"/>
      <c r="T221" s="4683" t="s">
        <v>289</v>
      </c>
      <c r="U221" s="4684"/>
      <c r="V221" s="4681"/>
      <c r="W221" s="4692"/>
      <c r="X221" s="4693"/>
      <c r="Y221" s="4693"/>
      <c r="Z221" s="4564"/>
      <c r="AA221" s="4692"/>
      <c r="AB221" s="4693"/>
      <c r="AC221" s="4693"/>
      <c r="AD221" s="4693"/>
      <c r="AE221" s="4692"/>
      <c r="AF221" s="4693"/>
      <c r="AG221" s="4694"/>
    </row>
    <row r="222" spans="1:33" ht="18" customHeight="1">
      <c r="A222" s="67"/>
      <c r="B222" s="4460" t="s">
        <v>275</v>
      </c>
      <c r="C222" s="4678" t="s">
        <v>127</v>
      </c>
      <c r="D222" s="4679" t="s">
        <v>285</v>
      </c>
      <c r="E222" s="4680"/>
      <c r="F222" s="4681"/>
      <c r="G222" s="4682"/>
      <c r="H222" s="4679" t="s">
        <v>285</v>
      </c>
      <c r="I222" s="4684"/>
      <c r="J222" s="4681"/>
      <c r="K222" s="4682"/>
      <c r="L222" s="4679" t="s">
        <v>285</v>
      </c>
      <c r="M222" s="4684"/>
      <c r="N222" s="4681"/>
      <c r="O222" s="4682"/>
      <c r="P222" s="4683" t="s">
        <v>286</v>
      </c>
      <c r="Q222" s="4684"/>
      <c r="R222" s="4681"/>
      <c r="S222" s="4682"/>
      <c r="T222" s="4683" t="s">
        <v>287</v>
      </c>
      <c r="U222" s="4684"/>
      <c r="V222" s="4681"/>
      <c r="W222" s="4696"/>
      <c r="X222" s="4464"/>
      <c r="Y222" s="4464"/>
      <c r="Z222" s="4464"/>
      <c r="AA222" s="4696"/>
      <c r="AB222" s="4464"/>
      <c r="AC222" s="4464"/>
      <c r="AD222" s="4464"/>
      <c r="AE222" s="4696"/>
      <c r="AF222" s="4464"/>
      <c r="AG222" s="4687"/>
    </row>
    <row r="223" spans="1:33" ht="18" customHeight="1">
      <c r="A223" s="67"/>
      <c r="B223" s="4460" t="s">
        <v>278</v>
      </c>
      <c r="C223" s="4678" t="s">
        <v>116</v>
      </c>
      <c r="D223" s="4679" t="s">
        <v>279</v>
      </c>
      <c r="E223" s="4680"/>
      <c r="F223" s="4681"/>
      <c r="G223" s="4682"/>
      <c r="H223" s="4683" t="s">
        <v>279</v>
      </c>
      <c r="I223" s="4684"/>
      <c r="J223" s="4681"/>
      <c r="K223" s="4682"/>
      <c r="L223" s="4683" t="s">
        <v>279</v>
      </c>
      <c r="M223" s="4684"/>
      <c r="N223" s="4684"/>
      <c r="O223" s="4682"/>
      <c r="P223" s="4683" t="s">
        <v>279</v>
      </c>
      <c r="Q223" s="4684"/>
      <c r="R223" s="4684"/>
      <c r="S223" s="4682"/>
      <c r="T223" s="4683" t="s">
        <v>264</v>
      </c>
      <c r="U223" s="4684"/>
      <c r="V223" s="4681"/>
      <c r="W223" s="4460"/>
      <c r="X223" s="4464"/>
      <c r="Y223" s="4464"/>
      <c r="Z223" s="4463"/>
      <c r="AA223" s="4695"/>
      <c r="AB223" s="4464"/>
      <c r="AC223" s="4464"/>
      <c r="AD223" s="4464"/>
      <c r="AE223" s="4696"/>
      <c r="AF223" s="4464"/>
      <c r="AG223" s="4687"/>
    </row>
    <row r="224" spans="1:33" ht="18" customHeight="1">
      <c r="A224" s="67"/>
      <c r="B224" s="4460" t="s">
        <v>280</v>
      </c>
      <c r="C224" s="4678" t="s">
        <v>123</v>
      </c>
      <c r="D224" s="4679" t="s">
        <v>448</v>
      </c>
      <c r="E224" s="4680"/>
      <c r="F224" s="4681"/>
      <c r="G224" s="4682"/>
      <c r="H224" s="4679" t="s">
        <v>448</v>
      </c>
      <c r="I224" s="4679"/>
      <c r="J224" s="4681"/>
      <c r="K224" s="4682"/>
      <c r="L224" s="4679" t="s">
        <v>448</v>
      </c>
      <c r="M224" s="4679"/>
      <c r="N224" s="4684"/>
      <c r="O224" s="4682"/>
      <c r="P224" s="4683" t="s">
        <v>449</v>
      </c>
      <c r="Q224" s="4684"/>
      <c r="R224" s="4684"/>
      <c r="S224" s="4682"/>
      <c r="T224" s="4683" t="s">
        <v>450</v>
      </c>
      <c r="U224" s="4684"/>
      <c r="V224" s="4681"/>
      <c r="W224" s="4460"/>
      <c r="X224" s="4464"/>
      <c r="Y224" s="4464"/>
      <c r="Z224" s="4463"/>
      <c r="AA224" s="4695"/>
      <c r="AB224" s="4464"/>
      <c r="AC224" s="4464"/>
      <c r="AD224" s="4464"/>
      <c r="AE224" s="4696"/>
      <c r="AF224" s="4464"/>
      <c r="AG224" s="4687"/>
    </row>
    <row r="225" spans="1:33" ht="18" customHeight="1" thickBot="1">
      <c r="A225" s="67"/>
      <c r="B225" s="119"/>
      <c r="C225" s="120"/>
      <c r="D225" s="121"/>
      <c r="E225" s="122"/>
      <c r="F225" s="122"/>
      <c r="G225" s="123"/>
      <c r="H225" s="121"/>
      <c r="I225" s="122"/>
      <c r="J225" s="122"/>
      <c r="K225" s="123"/>
      <c r="L225" s="121"/>
      <c r="M225" s="122"/>
      <c r="N225" s="122"/>
      <c r="O225" s="123"/>
      <c r="P225" s="115"/>
      <c r="Q225" s="122"/>
      <c r="R225" s="122"/>
      <c r="S225" s="123"/>
      <c r="T225" s="115"/>
      <c r="U225" s="122"/>
      <c r="V225" s="122"/>
      <c r="W225" s="122"/>
      <c r="X225" s="122"/>
      <c r="Y225" s="122"/>
      <c r="Z225" s="122"/>
      <c r="AA225" s="123"/>
      <c r="AB225" s="122"/>
      <c r="AC225" s="122"/>
      <c r="AD225" s="122"/>
      <c r="AE225" s="123"/>
      <c r="AF225" s="122"/>
      <c r="AG225" s="112"/>
    </row>
    <row r="226" spans="1:33" ht="18" customHeight="1" thickBot="1">
      <c r="A226" s="89"/>
      <c r="B226" s="706" t="s">
        <v>613</v>
      </c>
      <c r="C226" s="865">
        <v>1</v>
      </c>
      <c r="D226" s="865">
        <v>2</v>
      </c>
      <c r="E226" s="865">
        <v>3</v>
      </c>
      <c r="F226" s="865">
        <v>4</v>
      </c>
      <c r="G226" s="865">
        <v>5</v>
      </c>
      <c r="H226" s="866">
        <v>6</v>
      </c>
      <c r="I226" s="866">
        <v>7</v>
      </c>
      <c r="J226" s="865">
        <v>8</v>
      </c>
      <c r="K226" s="865">
        <v>9</v>
      </c>
      <c r="L226" s="865">
        <v>10</v>
      </c>
      <c r="M226" s="865">
        <v>11</v>
      </c>
      <c r="N226" s="865">
        <v>12</v>
      </c>
      <c r="O226" s="866">
        <v>13</v>
      </c>
      <c r="P226" s="866">
        <v>14</v>
      </c>
      <c r="Q226" s="865">
        <v>15</v>
      </c>
      <c r="R226" s="865">
        <v>16</v>
      </c>
      <c r="S226" s="865">
        <v>17</v>
      </c>
      <c r="T226" s="865">
        <v>18</v>
      </c>
      <c r="U226" s="865">
        <v>19</v>
      </c>
      <c r="V226" s="866">
        <v>20</v>
      </c>
      <c r="W226" s="866">
        <v>21</v>
      </c>
      <c r="X226" s="865">
        <v>22</v>
      </c>
      <c r="Y226" s="865">
        <v>23</v>
      </c>
      <c r="Z226" s="865">
        <v>24</v>
      </c>
      <c r="AA226" s="866">
        <v>25</v>
      </c>
      <c r="AB226" s="866">
        <v>26</v>
      </c>
      <c r="AC226" s="866">
        <v>27</v>
      </c>
      <c r="AD226" s="866">
        <v>28</v>
      </c>
      <c r="AE226" s="865">
        <v>29</v>
      </c>
      <c r="AF226" s="865">
        <v>30</v>
      </c>
      <c r="AG226" s="867">
        <v>31</v>
      </c>
    </row>
    <row r="227" spans="1:33" ht="18" customHeight="1">
      <c r="A227" s="67"/>
      <c r="B227" s="4697" t="s">
        <v>293</v>
      </c>
      <c r="C227" s="3521" t="s">
        <v>152</v>
      </c>
      <c r="D227" s="3521" t="s">
        <v>152</v>
      </c>
      <c r="E227" s="3521" t="s">
        <v>152</v>
      </c>
      <c r="F227" s="3521" t="s">
        <v>152</v>
      </c>
      <c r="G227" s="3521" t="s">
        <v>152</v>
      </c>
      <c r="H227" s="3521"/>
      <c r="I227" s="3521"/>
      <c r="J227" s="3521" t="s">
        <v>152</v>
      </c>
      <c r="K227" s="3521" t="s">
        <v>152</v>
      </c>
      <c r="L227" s="3521" t="s">
        <v>152</v>
      </c>
      <c r="M227" s="3521" t="s">
        <v>152</v>
      </c>
      <c r="N227" s="3521" t="s">
        <v>152</v>
      </c>
      <c r="O227" s="3521"/>
      <c r="P227" s="3521"/>
      <c r="Q227" s="3521" t="s">
        <v>152</v>
      </c>
      <c r="R227" s="3521" t="s">
        <v>152</v>
      </c>
      <c r="S227" s="3521" t="s">
        <v>152</v>
      </c>
      <c r="T227" s="3521" t="s">
        <v>152</v>
      </c>
      <c r="U227" s="3521" t="s">
        <v>152</v>
      </c>
      <c r="V227" s="3521"/>
      <c r="W227" s="3521"/>
      <c r="X227" s="3521" t="s">
        <v>152</v>
      </c>
      <c r="Y227" s="3521" t="s">
        <v>152</v>
      </c>
      <c r="Z227" s="4580" t="s">
        <v>152</v>
      </c>
      <c r="AA227" s="3521"/>
      <c r="AB227" s="3521"/>
      <c r="AC227" s="3521"/>
      <c r="AD227" s="3521"/>
      <c r="AE227" s="4580" t="s">
        <v>152</v>
      </c>
      <c r="AF227" s="4580" t="s">
        <v>152</v>
      </c>
      <c r="AG227" s="4698" t="s">
        <v>152</v>
      </c>
    </row>
    <row r="228" spans="1:33" ht="18" customHeight="1">
      <c r="A228" s="67"/>
      <c r="B228" s="4697" t="s">
        <v>575</v>
      </c>
      <c r="C228" s="4645" t="s">
        <v>130</v>
      </c>
      <c r="D228" s="4645" t="s">
        <v>130</v>
      </c>
      <c r="E228" s="4699" t="s">
        <v>130</v>
      </c>
      <c r="F228" s="4645" t="s">
        <v>130</v>
      </c>
      <c r="G228" s="4645" t="s">
        <v>130</v>
      </c>
      <c r="H228" s="4645"/>
      <c r="I228" s="4700"/>
      <c r="J228" s="4700" t="s">
        <v>130</v>
      </c>
      <c r="K228" s="4700" t="s">
        <v>130</v>
      </c>
      <c r="L228" s="4661" t="s">
        <v>130</v>
      </c>
      <c r="M228" s="4700" t="s">
        <v>130</v>
      </c>
      <c r="N228" s="4700" t="s">
        <v>130</v>
      </c>
      <c r="O228" s="4700"/>
      <c r="P228" s="4700"/>
      <c r="Q228" s="4700" t="s">
        <v>130</v>
      </c>
      <c r="R228" s="4645" t="s">
        <v>130</v>
      </c>
      <c r="S228" s="4645" t="s">
        <v>130</v>
      </c>
      <c r="T228" s="4645" t="s">
        <v>130</v>
      </c>
      <c r="U228" s="4701" t="s">
        <v>130</v>
      </c>
      <c r="V228" s="4645"/>
      <c r="W228" s="4645"/>
      <c r="X228" s="4702" t="s">
        <v>130</v>
      </c>
      <c r="Y228" s="4702" t="s">
        <v>130</v>
      </c>
      <c r="Z228" s="4645" t="s">
        <v>130</v>
      </c>
      <c r="AA228" s="4645"/>
      <c r="AB228" s="4645"/>
      <c r="AC228" s="4645"/>
      <c r="AD228" s="4645"/>
      <c r="AE228" s="4702" t="s">
        <v>130</v>
      </c>
      <c r="AF228" s="4702" t="s">
        <v>130</v>
      </c>
      <c r="AG228" s="4703" t="s">
        <v>130</v>
      </c>
    </row>
    <row r="229" spans="1:33" ht="18" customHeight="1">
      <c r="A229" s="67"/>
      <c r="B229" s="4704" t="s">
        <v>295</v>
      </c>
      <c r="C229" s="3521" t="s">
        <v>153</v>
      </c>
      <c r="D229" s="3521" t="s">
        <v>153</v>
      </c>
      <c r="E229" s="3521" t="s">
        <v>153</v>
      </c>
      <c r="F229" s="3521" t="s">
        <v>153</v>
      </c>
      <c r="G229" s="3521" t="s">
        <v>153</v>
      </c>
      <c r="H229" s="3521"/>
      <c r="I229" s="3521"/>
      <c r="J229" s="4652" t="s">
        <v>153</v>
      </c>
      <c r="K229" s="4652" t="s">
        <v>153</v>
      </c>
      <c r="L229" s="4652" t="s">
        <v>153</v>
      </c>
      <c r="M229" s="4652" t="s">
        <v>153</v>
      </c>
      <c r="N229" s="4652" t="s">
        <v>153</v>
      </c>
      <c r="O229" s="4652"/>
      <c r="P229" s="4652"/>
      <c r="Q229" s="4705" t="s">
        <v>153</v>
      </c>
      <c r="R229" s="4705" t="s">
        <v>153</v>
      </c>
      <c r="S229" s="4705" t="s">
        <v>153</v>
      </c>
      <c r="T229" s="4705" t="s">
        <v>459</v>
      </c>
      <c r="U229" s="3521" t="s">
        <v>153</v>
      </c>
      <c r="V229" s="3521"/>
      <c r="W229" s="3521"/>
      <c r="X229" s="3521" t="s">
        <v>153</v>
      </c>
      <c r="Y229" s="3521" t="s">
        <v>153</v>
      </c>
      <c r="Z229" s="4580" t="s">
        <v>153</v>
      </c>
      <c r="AA229" s="3521"/>
      <c r="AB229" s="3521"/>
      <c r="AC229" s="3521"/>
      <c r="AD229" s="3521"/>
      <c r="AE229" s="4580" t="s">
        <v>153</v>
      </c>
      <c r="AF229" s="4580" t="s">
        <v>153</v>
      </c>
      <c r="AG229" s="4698" t="s">
        <v>153</v>
      </c>
    </row>
    <row r="230" spans="1:33" ht="18" customHeight="1" thickBot="1">
      <c r="A230" s="67"/>
      <c r="B230" s="4706" t="s">
        <v>553</v>
      </c>
      <c r="C230" s="3521" t="s">
        <v>128</v>
      </c>
      <c r="D230" s="4642" t="s">
        <v>128</v>
      </c>
      <c r="E230" s="4707" t="s">
        <v>128</v>
      </c>
      <c r="F230" s="4642" t="s">
        <v>128</v>
      </c>
      <c r="G230" s="4652" t="s">
        <v>128</v>
      </c>
      <c r="H230" s="3521"/>
      <c r="I230" s="3521"/>
      <c r="J230" s="4580" t="s">
        <v>128</v>
      </c>
      <c r="K230" s="3521" t="s">
        <v>128</v>
      </c>
      <c r="L230" s="4580" t="s">
        <v>128</v>
      </c>
      <c r="M230" s="3521" t="s">
        <v>128</v>
      </c>
      <c r="N230" s="3521" t="s">
        <v>128</v>
      </c>
      <c r="O230" s="3521"/>
      <c r="P230" s="3521"/>
      <c r="Q230" s="4708" t="s">
        <v>128</v>
      </c>
      <c r="R230" s="4708" t="s">
        <v>128</v>
      </c>
      <c r="S230" s="4708" t="s">
        <v>128</v>
      </c>
      <c r="T230" s="4708" t="s">
        <v>128</v>
      </c>
      <c r="U230" s="4708" t="s">
        <v>128</v>
      </c>
      <c r="V230" s="4708"/>
      <c r="W230" s="4708"/>
      <c r="X230" s="4708" t="s">
        <v>128</v>
      </c>
      <c r="Y230" s="3521" t="s">
        <v>128</v>
      </c>
      <c r="Z230" s="4709" t="s">
        <v>128</v>
      </c>
      <c r="AA230" s="3521"/>
      <c r="AB230" s="3521"/>
      <c r="AC230" s="3521"/>
      <c r="AD230" s="3521"/>
      <c r="AE230" s="4580" t="s">
        <v>128</v>
      </c>
      <c r="AF230" s="4580" t="s">
        <v>128</v>
      </c>
      <c r="AG230" s="4698" t="s">
        <v>128</v>
      </c>
    </row>
    <row r="231" spans="1:33" ht="18" customHeight="1">
      <c r="A231" s="67"/>
      <c r="B231" s="4710" t="s">
        <v>298</v>
      </c>
      <c r="C231" s="3521" t="s">
        <v>127</v>
      </c>
      <c r="D231" s="3521" t="s">
        <v>127</v>
      </c>
      <c r="E231" s="3521" t="s">
        <v>127</v>
      </c>
      <c r="F231" s="3521" t="s">
        <v>127</v>
      </c>
      <c r="G231" s="3521" t="s">
        <v>127</v>
      </c>
      <c r="H231" s="3521"/>
      <c r="I231" s="3521"/>
      <c r="J231" s="3521" t="s">
        <v>127</v>
      </c>
      <c r="K231" s="3521" t="s">
        <v>127</v>
      </c>
      <c r="L231" s="3521" t="s">
        <v>127</v>
      </c>
      <c r="M231" s="3521" t="s">
        <v>127</v>
      </c>
      <c r="N231" s="3521" t="s">
        <v>127</v>
      </c>
      <c r="O231" s="3521"/>
      <c r="P231" s="3521"/>
      <c r="Q231" s="3521" t="s">
        <v>127</v>
      </c>
      <c r="R231" s="3521" t="s">
        <v>127</v>
      </c>
      <c r="S231" s="3521" t="s">
        <v>127</v>
      </c>
      <c r="T231" s="3521" t="s">
        <v>127</v>
      </c>
      <c r="U231" s="4500" t="s">
        <v>127</v>
      </c>
      <c r="V231" s="783"/>
      <c r="W231" s="3521"/>
      <c r="X231" s="4500" t="s">
        <v>127</v>
      </c>
      <c r="Y231" s="4500" t="s">
        <v>127</v>
      </c>
      <c r="Z231" s="3521" t="s">
        <v>127</v>
      </c>
      <c r="AA231" s="3521"/>
      <c r="AB231" s="3521"/>
      <c r="AC231" s="3521"/>
      <c r="AD231" s="3521"/>
      <c r="AE231" s="4711" t="s">
        <v>127</v>
      </c>
      <c r="AF231" s="4711" t="s">
        <v>127</v>
      </c>
      <c r="AG231" s="4712" t="s">
        <v>127</v>
      </c>
    </row>
    <row r="232" spans="1:33" ht="18" customHeight="1">
      <c r="A232" s="67"/>
      <c r="B232" s="4713" t="s">
        <v>299</v>
      </c>
      <c r="C232" s="3521" t="s">
        <v>123</v>
      </c>
      <c r="D232" s="3521" t="s">
        <v>123</v>
      </c>
      <c r="E232" s="3521" t="s">
        <v>123</v>
      </c>
      <c r="F232" s="3521" t="s">
        <v>123</v>
      </c>
      <c r="G232" s="4646" t="s">
        <v>123</v>
      </c>
      <c r="H232" s="4646"/>
      <c r="I232" s="4646"/>
      <c r="J232" s="4646" t="s">
        <v>123</v>
      </c>
      <c r="K232" s="4646" t="s">
        <v>123</v>
      </c>
      <c r="L232" s="4646" t="s">
        <v>123</v>
      </c>
      <c r="M232" s="4646" t="s">
        <v>123</v>
      </c>
      <c r="N232" s="4646" t="s">
        <v>123</v>
      </c>
      <c r="O232" s="4646"/>
      <c r="P232" s="4646"/>
      <c r="Q232" s="4646" t="s">
        <v>123</v>
      </c>
      <c r="R232" s="4646" t="s">
        <v>123</v>
      </c>
      <c r="S232" s="4646" t="s">
        <v>123</v>
      </c>
      <c r="T232" s="4646" t="s">
        <v>123</v>
      </c>
      <c r="U232" s="4646" t="s">
        <v>123</v>
      </c>
      <c r="V232" s="4646"/>
      <c r="W232" s="4646"/>
      <c r="X232" s="4646" t="s">
        <v>123</v>
      </c>
      <c r="Y232" s="4646" t="s">
        <v>123</v>
      </c>
      <c r="Z232" s="4646" t="s">
        <v>123</v>
      </c>
      <c r="AA232" s="3521"/>
      <c r="AB232" s="3521"/>
      <c r="AC232" s="3521"/>
      <c r="AD232" s="3521"/>
      <c r="AE232" s="4580" t="s">
        <v>123</v>
      </c>
      <c r="AF232" s="4580" t="s">
        <v>123</v>
      </c>
      <c r="AG232" s="4698" t="s">
        <v>123</v>
      </c>
    </row>
    <row r="233" spans="1:33" ht="18" customHeight="1" thickBot="1">
      <c r="A233" s="67"/>
      <c r="B233" s="432" t="s">
        <v>300</v>
      </c>
      <c r="C233" s="1594" t="s">
        <v>116</v>
      </c>
      <c r="D233" s="1594" t="s">
        <v>116</v>
      </c>
      <c r="E233" s="1594" t="s">
        <v>116</v>
      </c>
      <c r="F233" s="1594" t="s">
        <v>116</v>
      </c>
      <c r="G233" s="1594" t="s">
        <v>116</v>
      </c>
      <c r="H233" s="1594"/>
      <c r="I233" s="1594"/>
      <c r="J233" s="1594" t="s">
        <v>116</v>
      </c>
      <c r="K233" s="1594" t="s">
        <v>116</v>
      </c>
      <c r="L233" s="1594" t="s">
        <v>116</v>
      </c>
      <c r="M233" s="4714" t="s">
        <v>116</v>
      </c>
      <c r="N233" s="1594" t="s">
        <v>116</v>
      </c>
      <c r="O233" s="1594"/>
      <c r="P233" s="1594"/>
      <c r="Q233" s="1594" t="s">
        <v>116</v>
      </c>
      <c r="R233" s="1594" t="s">
        <v>116</v>
      </c>
      <c r="S233" s="1594" t="s">
        <v>116</v>
      </c>
      <c r="T233" s="1594" t="s">
        <v>116</v>
      </c>
      <c r="U233" s="1594" t="s">
        <v>116</v>
      </c>
      <c r="V233" s="1594"/>
      <c r="W233" s="1594"/>
      <c r="X233" s="1594" t="s">
        <v>116</v>
      </c>
      <c r="Y233" s="1594" t="s">
        <v>116</v>
      </c>
      <c r="Z233" s="1594" t="s">
        <v>116</v>
      </c>
      <c r="AA233" s="1594"/>
      <c r="AB233" s="1594"/>
      <c r="AC233" s="1594"/>
      <c r="AD233" s="1594"/>
      <c r="AE233" s="4715" t="s">
        <v>116</v>
      </c>
      <c r="AF233" s="4715" t="s">
        <v>116</v>
      </c>
      <c r="AG233" s="944" t="s">
        <v>116</v>
      </c>
    </row>
    <row r="234" spans="1:33" ht="18" customHeight="1">
      <c r="C234" s="18"/>
      <c r="D234" s="18"/>
      <c r="E234" s="18"/>
      <c r="F234" s="18"/>
      <c r="G234" s="18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8"/>
      <c r="V234" s="18"/>
      <c r="W234" s="18"/>
      <c r="X234" s="18"/>
      <c r="Y234" s="18"/>
      <c r="Z234" s="18"/>
      <c r="AA234" s="18"/>
      <c r="AB234" s="18"/>
      <c r="AC234" s="18"/>
      <c r="AD234" s="18"/>
      <c r="AE234" s="18"/>
      <c r="AF234" s="18"/>
    </row>
    <row r="235" spans="1:33" ht="18" customHeight="1" thickBot="1">
      <c r="A235" s="1" t="s">
        <v>302</v>
      </c>
      <c r="B235" s="37"/>
    </row>
    <row r="236" spans="1:33" ht="18" customHeight="1">
      <c r="A236" s="1"/>
      <c r="B236" s="4716" t="s">
        <v>303</v>
      </c>
      <c r="C236" s="2882" t="s">
        <v>19</v>
      </c>
      <c r="D236" s="2883"/>
      <c r="E236" s="2883"/>
      <c r="F236" s="2883"/>
      <c r="G236" s="2882" t="s">
        <v>20</v>
      </c>
      <c r="H236" s="2883"/>
      <c r="I236" s="2883"/>
      <c r="J236" s="2883"/>
      <c r="K236" s="2882" t="s">
        <v>21</v>
      </c>
      <c r="L236" s="2883"/>
      <c r="M236" s="2883"/>
      <c r="N236" s="2883"/>
      <c r="O236" s="2882" t="s">
        <v>22</v>
      </c>
      <c r="P236" s="2883"/>
      <c r="Q236" s="2883"/>
      <c r="R236" s="2883"/>
      <c r="S236" s="2882" t="s">
        <v>23</v>
      </c>
      <c r="T236" s="2883"/>
      <c r="U236" s="2883"/>
      <c r="V236" s="2883"/>
      <c r="W236" s="2882" t="s">
        <v>24</v>
      </c>
      <c r="X236" s="3064"/>
      <c r="Y236" s="2883"/>
      <c r="Z236" s="2884"/>
      <c r="AA236" s="2882" t="s">
        <v>25</v>
      </c>
      <c r="AB236" s="3064"/>
      <c r="AC236" s="2883"/>
      <c r="AD236" s="2884"/>
      <c r="AE236" s="2885" t="s">
        <v>108</v>
      </c>
      <c r="AF236" s="2883"/>
      <c r="AG236" s="2841"/>
    </row>
    <row r="237" spans="1:33" ht="18" customHeight="1">
      <c r="A237" s="1"/>
      <c r="B237" s="4717">
        <v>3701</v>
      </c>
      <c r="C237" s="68" t="s">
        <v>304</v>
      </c>
      <c r="D237" s="68"/>
      <c r="E237" s="68"/>
      <c r="F237" s="68"/>
      <c r="G237" s="279" t="s">
        <v>305</v>
      </c>
      <c r="H237" s="68"/>
      <c r="I237" s="68"/>
      <c r="J237" s="68"/>
      <c r="K237" s="279" t="s">
        <v>305</v>
      </c>
      <c r="L237" s="68"/>
      <c r="M237" s="68"/>
      <c r="N237" s="68"/>
      <c r="O237" s="279" t="s">
        <v>305</v>
      </c>
      <c r="P237" s="68"/>
      <c r="Q237" s="68"/>
      <c r="R237" s="68"/>
      <c r="S237" s="279" t="s">
        <v>306</v>
      </c>
      <c r="T237" s="68"/>
      <c r="U237" s="68"/>
      <c r="V237" s="68"/>
      <c r="W237" s="3577"/>
      <c r="X237" s="4718"/>
      <c r="Y237" s="3480"/>
      <c r="Z237" s="4719"/>
      <c r="AA237" s="3577"/>
      <c r="AB237" s="4718"/>
      <c r="AC237" s="3480"/>
      <c r="AD237" s="4719"/>
      <c r="AE237" s="4591"/>
      <c r="AF237" s="3480"/>
      <c r="AG237" s="4665"/>
    </row>
    <row r="238" spans="1:33" ht="18" customHeight="1">
      <c r="B238" s="4716">
        <v>3700</v>
      </c>
      <c r="C238" s="3480" t="s">
        <v>204</v>
      </c>
      <c r="D238" s="3480"/>
      <c r="E238" s="3480"/>
      <c r="F238" s="3480"/>
      <c r="G238" s="4720" t="s">
        <v>204</v>
      </c>
      <c r="H238" s="3480"/>
      <c r="I238" s="3480"/>
      <c r="J238" s="3480"/>
      <c r="K238" s="4720" t="s">
        <v>204</v>
      </c>
      <c r="L238" s="3480"/>
      <c r="M238" s="3480"/>
      <c r="N238" s="3480"/>
      <c r="O238" s="4720" t="s">
        <v>204</v>
      </c>
      <c r="P238" s="3480"/>
      <c r="Q238" s="3480"/>
      <c r="R238" s="3480"/>
      <c r="S238" s="4720" t="s">
        <v>205</v>
      </c>
      <c r="T238" s="3480"/>
      <c r="U238" s="3480"/>
      <c r="V238" s="3480"/>
      <c r="W238" s="3577"/>
      <c r="X238" s="3480"/>
      <c r="Y238" s="3480"/>
      <c r="Z238" s="4593"/>
      <c r="AA238" s="4591"/>
      <c r="AB238" s="3480"/>
      <c r="AC238" s="3480"/>
      <c r="AD238" s="3620"/>
      <c r="AE238" s="4721"/>
      <c r="AF238" s="3480"/>
      <c r="AG238" s="4665"/>
    </row>
    <row r="239" spans="1:33" ht="18" customHeight="1">
      <c r="A239" s="1"/>
      <c r="B239" s="4716">
        <v>8514</v>
      </c>
      <c r="C239" s="3480" t="s">
        <v>305</v>
      </c>
      <c r="D239" s="3480"/>
      <c r="E239" s="3480"/>
      <c r="F239" s="3480"/>
      <c r="G239" s="4720" t="s">
        <v>305</v>
      </c>
      <c r="H239" s="3480"/>
      <c r="I239" s="3480"/>
      <c r="J239" s="3480"/>
      <c r="K239" s="4720" t="s">
        <v>305</v>
      </c>
      <c r="L239" s="3480"/>
      <c r="M239" s="3480"/>
      <c r="N239" s="3480"/>
      <c r="O239" s="4720" t="s">
        <v>305</v>
      </c>
      <c r="P239" s="3480"/>
      <c r="Q239" s="3480"/>
      <c r="R239" s="3480"/>
      <c r="S239" s="4720" t="s">
        <v>307</v>
      </c>
      <c r="T239" s="3480"/>
      <c r="U239" s="3480"/>
      <c r="V239" s="3480"/>
      <c r="W239" s="3577"/>
      <c r="X239" s="3480"/>
      <c r="Y239" s="3480"/>
      <c r="Z239" s="4593"/>
      <c r="AA239" s="3621"/>
      <c r="AB239" s="3480"/>
      <c r="AC239" s="3480"/>
      <c r="AD239" s="3620"/>
      <c r="AE239" s="3621"/>
      <c r="AF239" s="3480"/>
      <c r="AG239" s="4665"/>
    </row>
    <row r="240" spans="1:33" ht="18" customHeight="1">
      <c r="A240" s="1"/>
      <c r="B240" s="4716">
        <v>8500</v>
      </c>
      <c r="C240" s="531" t="s">
        <v>308</v>
      </c>
      <c r="D240" s="531"/>
      <c r="E240" s="531"/>
      <c r="F240" s="531"/>
      <c r="G240" s="534" t="s">
        <v>308</v>
      </c>
      <c r="H240" s="531"/>
      <c r="I240" s="531"/>
      <c r="J240" s="531"/>
      <c r="K240" s="534" t="s">
        <v>308</v>
      </c>
      <c r="L240" s="531"/>
      <c r="M240" s="531"/>
      <c r="N240" s="531"/>
      <c r="O240" s="534" t="s">
        <v>308</v>
      </c>
      <c r="P240" s="531"/>
      <c r="Q240" s="531"/>
      <c r="R240" s="531"/>
      <c r="S240" s="534" t="s">
        <v>309</v>
      </c>
      <c r="T240" s="531"/>
      <c r="U240" s="531"/>
      <c r="V240" s="531"/>
      <c r="W240" s="3577"/>
      <c r="X240" s="531"/>
      <c r="Y240" s="531"/>
      <c r="Z240" s="535"/>
      <c r="AA240" s="536"/>
      <c r="AB240" s="531"/>
      <c r="AC240" s="531"/>
      <c r="AD240" s="535"/>
      <c r="AE240" s="536"/>
      <c r="AF240" s="531"/>
      <c r="AG240" s="466"/>
    </row>
    <row r="241" spans="1:33" ht="18" customHeight="1">
      <c r="A241" s="1"/>
      <c r="B241" s="4716">
        <v>8514</v>
      </c>
      <c r="C241" s="537" t="s">
        <v>305</v>
      </c>
      <c r="D241" s="537"/>
      <c r="E241" s="537"/>
      <c r="F241" s="537"/>
      <c r="G241" s="538" t="s">
        <v>305</v>
      </c>
      <c r="H241" s="537"/>
      <c r="I241" s="537"/>
      <c r="J241" s="537"/>
      <c r="K241" s="538" t="s">
        <v>305</v>
      </c>
      <c r="L241" s="537"/>
      <c r="M241" s="537"/>
      <c r="N241" s="537"/>
      <c r="O241" s="538" t="s">
        <v>305</v>
      </c>
      <c r="P241" s="537"/>
      <c r="Q241" s="537"/>
      <c r="R241" s="537"/>
      <c r="S241" s="538" t="s">
        <v>307</v>
      </c>
      <c r="T241" s="537"/>
      <c r="U241" s="537"/>
      <c r="V241" s="537"/>
      <c r="W241" s="4722"/>
      <c r="X241" s="539"/>
      <c r="Y241" s="531"/>
      <c r="Z241" s="540"/>
      <c r="AA241" s="541"/>
      <c r="AB241" s="539"/>
      <c r="AC241" s="531"/>
      <c r="AD241" s="531"/>
      <c r="AE241" s="542"/>
      <c r="AF241" s="531"/>
      <c r="AG241" s="466"/>
    </row>
    <row r="242" spans="1:33" ht="18" customHeight="1" thickBot="1">
      <c r="A242" s="1"/>
      <c r="B242" s="4723" t="s">
        <v>310</v>
      </c>
      <c r="C242" s="3486" t="s">
        <v>10</v>
      </c>
      <c r="D242" s="3486"/>
      <c r="E242" s="3486"/>
      <c r="F242" s="3486"/>
      <c r="G242" s="4724" t="s">
        <v>10</v>
      </c>
      <c r="H242" s="3486"/>
      <c r="I242" s="3486"/>
      <c r="J242" s="3486"/>
      <c r="K242" s="4725" t="s">
        <v>10</v>
      </c>
      <c r="L242" s="3486"/>
      <c r="M242" s="3486"/>
      <c r="N242" s="3486"/>
      <c r="O242" s="4724" t="s">
        <v>10</v>
      </c>
      <c r="P242" s="3486"/>
      <c r="Q242" s="3486"/>
      <c r="R242" s="3486"/>
      <c r="S242" s="4724" t="s">
        <v>10</v>
      </c>
      <c r="T242" s="3486"/>
      <c r="U242" s="3486"/>
      <c r="V242" s="3486"/>
      <c r="W242" s="4725"/>
      <c r="X242" s="3486"/>
      <c r="Y242" s="3486"/>
      <c r="Z242" s="4634"/>
      <c r="AA242" s="4603"/>
      <c r="AB242" s="3486"/>
      <c r="AC242" s="3486"/>
      <c r="AD242" s="4635"/>
      <c r="AE242" s="4726"/>
      <c r="AF242" s="3486"/>
      <c r="AG242" s="4667"/>
    </row>
    <row r="244" spans="1:33" ht="18" customHeight="1" thickBot="1">
      <c r="A244" s="1" t="s">
        <v>311</v>
      </c>
      <c r="B244" s="5"/>
      <c r="C244" s="42"/>
      <c r="D244" s="68"/>
      <c r="E244" s="68"/>
      <c r="F244" s="46"/>
      <c r="G244" s="42"/>
      <c r="H244" s="68"/>
      <c r="I244" s="68"/>
      <c r="J244" s="46"/>
      <c r="K244" s="42"/>
      <c r="L244" s="68"/>
      <c r="M244" s="68"/>
      <c r="N244" s="46"/>
      <c r="O244" s="42"/>
      <c r="P244" s="68"/>
      <c r="Q244" s="68"/>
      <c r="R244" s="46"/>
      <c r="S244" s="42"/>
      <c r="T244" s="68"/>
      <c r="U244" s="68"/>
      <c r="V244" s="46"/>
      <c r="W244" s="46"/>
      <c r="Z244" s="46"/>
      <c r="AA244" s="46"/>
      <c r="AD244" s="46"/>
      <c r="AE244" s="46"/>
    </row>
    <row r="245" spans="1:33" ht="18" customHeight="1" thickBot="1">
      <c r="A245" s="4589"/>
      <c r="B245" s="4727" t="s">
        <v>614</v>
      </c>
      <c r="C245" s="2985">
        <v>1</v>
      </c>
      <c r="D245" s="2985">
        <v>2</v>
      </c>
      <c r="E245" s="2985">
        <v>3</v>
      </c>
      <c r="F245" s="2985">
        <v>4</v>
      </c>
      <c r="G245" s="2985">
        <v>5</v>
      </c>
      <c r="H245" s="2986">
        <v>6</v>
      </c>
      <c r="I245" s="2986">
        <v>7</v>
      </c>
      <c r="J245" s="2985">
        <v>8</v>
      </c>
      <c r="K245" s="2985">
        <v>9</v>
      </c>
      <c r="L245" s="2985">
        <v>10</v>
      </c>
      <c r="M245" s="2985">
        <v>11</v>
      </c>
      <c r="N245" s="2985">
        <v>12</v>
      </c>
      <c r="O245" s="2986">
        <v>13</v>
      </c>
      <c r="P245" s="2986">
        <v>14</v>
      </c>
      <c r="Q245" s="2985">
        <v>15</v>
      </c>
      <c r="R245" s="2985">
        <v>16</v>
      </c>
      <c r="S245" s="2985">
        <v>17</v>
      </c>
      <c r="T245" s="2985">
        <v>18</v>
      </c>
      <c r="U245" s="2985">
        <v>19</v>
      </c>
      <c r="V245" s="2986">
        <v>20</v>
      </c>
      <c r="W245" s="2986">
        <v>21</v>
      </c>
      <c r="X245" s="2985">
        <v>22</v>
      </c>
      <c r="Y245" s="2985">
        <v>23</v>
      </c>
      <c r="Z245" s="2985">
        <v>24</v>
      </c>
      <c r="AA245" s="2986">
        <v>25</v>
      </c>
      <c r="AB245" s="2986">
        <v>26</v>
      </c>
      <c r="AC245" s="2986">
        <v>27</v>
      </c>
      <c r="AD245" s="2986">
        <v>28</v>
      </c>
      <c r="AE245" s="2985">
        <v>29</v>
      </c>
      <c r="AF245" s="2985">
        <v>30</v>
      </c>
      <c r="AG245" s="2985">
        <v>31</v>
      </c>
    </row>
    <row r="246" spans="1:33" ht="18" customHeight="1">
      <c r="A246" s="4728"/>
      <c r="B246" s="4729" t="s">
        <v>312</v>
      </c>
      <c r="C246" s="4730"/>
      <c r="D246" s="4730"/>
      <c r="E246" s="4730"/>
      <c r="F246" s="4730"/>
      <c r="G246" s="4731"/>
      <c r="H246" s="4731"/>
      <c r="I246" s="4731"/>
      <c r="J246" s="4730"/>
      <c r="K246" s="4730"/>
      <c r="L246" s="4730"/>
      <c r="M246" s="4730"/>
      <c r="N246" s="4731"/>
      <c r="O246" s="4731"/>
      <c r="P246" s="4731"/>
      <c r="Q246" s="4730"/>
      <c r="R246" s="4730"/>
      <c r="S246" s="4730"/>
      <c r="T246" s="4730"/>
      <c r="U246" s="4731"/>
      <c r="V246" s="4731"/>
      <c r="W246" s="4731"/>
      <c r="X246" s="4730"/>
      <c r="Y246" s="4730"/>
      <c r="Z246" s="4730"/>
      <c r="AA246" s="4730"/>
      <c r="AB246" s="4731"/>
      <c r="AC246" s="4731"/>
      <c r="AD246" s="4731"/>
      <c r="AE246" s="4730"/>
      <c r="AF246" s="4730"/>
      <c r="AG246" s="4730"/>
    </row>
    <row r="247" spans="1:33" ht="18" customHeight="1">
      <c r="A247" s="4732">
        <v>8514</v>
      </c>
      <c r="B247" s="4733" t="s">
        <v>313</v>
      </c>
      <c r="C247" s="3503" t="s">
        <v>40</v>
      </c>
      <c r="D247" s="3503" t="s">
        <v>40</v>
      </c>
      <c r="E247" s="3494" t="s">
        <v>40</v>
      </c>
      <c r="F247" s="3503" t="s">
        <v>40</v>
      </c>
      <c r="G247" s="3503" t="s">
        <v>40</v>
      </c>
      <c r="H247" s="3503"/>
      <c r="I247" s="3418"/>
      <c r="J247" s="3418" t="s">
        <v>40</v>
      </c>
      <c r="K247" s="3503" t="s">
        <v>40</v>
      </c>
      <c r="L247" s="3503" t="s">
        <v>40</v>
      </c>
      <c r="M247" s="3503" t="s">
        <v>40</v>
      </c>
      <c r="N247" s="3503" t="s">
        <v>40</v>
      </c>
      <c r="O247" s="3503"/>
      <c r="P247" s="3503"/>
      <c r="Q247" s="3494" t="s">
        <v>40</v>
      </c>
      <c r="R247" s="3432" t="s">
        <v>40</v>
      </c>
      <c r="S247" s="3432" t="s">
        <v>40</v>
      </c>
      <c r="T247" s="3418" t="s">
        <v>40</v>
      </c>
      <c r="U247" s="3418" t="s">
        <v>40</v>
      </c>
      <c r="V247" s="3503"/>
      <c r="W247" s="3503"/>
      <c r="X247" s="3503" t="s">
        <v>40</v>
      </c>
      <c r="Y247" s="3503" t="s">
        <v>40</v>
      </c>
      <c r="Z247" s="3503" t="s">
        <v>40</v>
      </c>
      <c r="AA247" s="3503"/>
      <c r="AB247" s="3503"/>
      <c r="AC247" s="3503"/>
      <c r="AD247" s="3418"/>
      <c r="AE247" s="3494" t="s">
        <v>40</v>
      </c>
      <c r="AF247" s="3494" t="s">
        <v>40</v>
      </c>
      <c r="AG247" s="3494" t="s">
        <v>40</v>
      </c>
    </row>
    <row r="248" spans="1:33" ht="18" customHeight="1">
      <c r="A248" s="4732">
        <v>3701</v>
      </c>
      <c r="B248" s="4734" t="s">
        <v>314</v>
      </c>
      <c r="C248" s="4730"/>
      <c r="D248" s="4730"/>
      <c r="E248" s="4730"/>
      <c r="F248" s="4730"/>
      <c r="G248" s="4731"/>
      <c r="H248" s="4731"/>
      <c r="I248" s="4731"/>
      <c r="J248" s="4730"/>
      <c r="K248" s="4730"/>
      <c r="L248" s="4730"/>
      <c r="M248" s="4730"/>
      <c r="N248" s="4731"/>
      <c r="O248" s="4731"/>
      <c r="P248" s="4731"/>
      <c r="Q248" s="4730"/>
      <c r="R248" s="4730"/>
      <c r="S248" s="4730"/>
      <c r="T248" s="4730"/>
      <c r="U248" s="4731"/>
      <c r="V248" s="4731"/>
      <c r="W248" s="4731"/>
      <c r="X248" s="4730"/>
      <c r="Y248" s="4730"/>
      <c r="Z248" s="4730"/>
      <c r="AA248" s="4730"/>
      <c r="AB248" s="4731"/>
      <c r="AC248" s="4731"/>
      <c r="AD248" s="4731"/>
      <c r="AE248" s="4730"/>
      <c r="AF248" s="4730"/>
      <c r="AG248" s="4730"/>
    </row>
    <row r="249" spans="1:33" ht="18" customHeight="1">
      <c r="A249" s="4732">
        <v>3701</v>
      </c>
      <c r="B249" s="4735" t="s">
        <v>315</v>
      </c>
      <c r="C249" s="3503" t="s">
        <v>40</v>
      </c>
      <c r="D249" s="3503" t="s">
        <v>40</v>
      </c>
      <c r="E249" s="3503" t="s">
        <v>40</v>
      </c>
      <c r="F249" s="3503" t="s">
        <v>40</v>
      </c>
      <c r="G249" s="3503" t="s">
        <v>40</v>
      </c>
      <c r="H249" s="3503"/>
      <c r="I249" s="3418"/>
      <c r="J249" s="3418" t="s">
        <v>40</v>
      </c>
      <c r="K249" s="3503" t="s">
        <v>40</v>
      </c>
      <c r="L249" s="3503" t="s">
        <v>40</v>
      </c>
      <c r="M249" s="3503" t="s">
        <v>40</v>
      </c>
      <c r="N249" s="4736" t="s">
        <v>40</v>
      </c>
      <c r="O249" s="3437"/>
      <c r="P249" s="3437"/>
      <c r="Q249" s="4736" t="s">
        <v>40</v>
      </c>
      <c r="R249" s="4736" t="s">
        <v>40</v>
      </c>
      <c r="S249" s="3432" t="s">
        <v>40</v>
      </c>
      <c r="T249" s="3418" t="s">
        <v>40</v>
      </c>
      <c r="U249" s="3418" t="s">
        <v>40</v>
      </c>
      <c r="V249" s="3503"/>
      <c r="W249" s="3503"/>
      <c r="X249" s="4736" t="s">
        <v>40</v>
      </c>
      <c r="Y249" s="3494" t="s">
        <v>40</v>
      </c>
      <c r="Z249" s="3503" t="s">
        <v>40</v>
      </c>
      <c r="AA249" s="3503"/>
      <c r="AB249" s="3503"/>
      <c r="AC249" s="3503"/>
      <c r="AD249" s="3418"/>
      <c r="AE249" s="3494" t="s">
        <v>40</v>
      </c>
      <c r="AF249" s="3494" t="s">
        <v>40</v>
      </c>
      <c r="AG249" s="3494" t="s">
        <v>40</v>
      </c>
    </row>
    <row r="250" spans="1:33" ht="18" customHeight="1">
      <c r="A250" s="4732">
        <v>3701</v>
      </c>
      <c r="B250" s="4735" t="s">
        <v>316</v>
      </c>
      <c r="C250" s="3503" t="s">
        <v>40</v>
      </c>
      <c r="D250" s="3503" t="s">
        <v>40</v>
      </c>
      <c r="E250" s="3503" t="s">
        <v>40</v>
      </c>
      <c r="F250" s="3503" t="s">
        <v>40</v>
      </c>
      <c r="G250" s="3503" t="s">
        <v>40</v>
      </c>
      <c r="H250" s="3503"/>
      <c r="I250" s="3418"/>
      <c r="J250" s="3418" t="s">
        <v>40</v>
      </c>
      <c r="K250" s="3503" t="s">
        <v>40</v>
      </c>
      <c r="L250" s="3503" t="s">
        <v>40</v>
      </c>
      <c r="M250" s="3503" t="s">
        <v>40</v>
      </c>
      <c r="N250" s="3503" t="s">
        <v>40</v>
      </c>
      <c r="O250" s="3503"/>
      <c r="P250" s="3503"/>
      <c r="Q250" s="3503" t="s">
        <v>40</v>
      </c>
      <c r="R250" s="3432" t="s">
        <v>40</v>
      </c>
      <c r="S250" s="3432" t="s">
        <v>40</v>
      </c>
      <c r="T250" s="3418" t="s">
        <v>40</v>
      </c>
      <c r="U250" s="3418" t="s">
        <v>40</v>
      </c>
      <c r="V250" s="3503"/>
      <c r="W250" s="3503"/>
      <c r="X250" s="3494" t="s">
        <v>40</v>
      </c>
      <c r="Y250" s="3494" t="s">
        <v>40</v>
      </c>
      <c r="Z250" s="3494" t="s">
        <v>40</v>
      </c>
      <c r="AA250" s="3494"/>
      <c r="AB250" s="3494"/>
      <c r="AC250" s="3494"/>
      <c r="AD250" s="3494"/>
      <c r="AE250" s="3494" t="s">
        <v>40</v>
      </c>
      <c r="AF250" s="3494" t="s">
        <v>40</v>
      </c>
      <c r="AG250" s="3494" t="s">
        <v>40</v>
      </c>
    </row>
    <row r="251" spans="1:33" ht="18" customHeight="1">
      <c r="A251" s="4732">
        <v>3701</v>
      </c>
      <c r="B251" s="4735" t="s">
        <v>317</v>
      </c>
      <c r="C251" s="3503" t="s">
        <v>40</v>
      </c>
      <c r="D251" s="3503" t="s">
        <v>40</v>
      </c>
      <c r="E251" s="3503" t="s">
        <v>40</v>
      </c>
      <c r="F251" s="3430" t="s">
        <v>405</v>
      </c>
      <c r="G251" s="4514" t="s">
        <v>40</v>
      </c>
      <c r="H251" s="3503"/>
      <c r="I251" s="3418"/>
      <c r="J251" s="3418" t="s">
        <v>40</v>
      </c>
      <c r="K251" s="3503" t="s">
        <v>40</v>
      </c>
      <c r="L251" s="3503" t="s">
        <v>40</v>
      </c>
      <c r="M251" s="3503" t="s">
        <v>40</v>
      </c>
      <c r="N251" s="3503" t="s">
        <v>40</v>
      </c>
      <c r="O251" s="3503"/>
      <c r="P251" s="3503"/>
      <c r="Q251" s="4737" t="s">
        <v>325</v>
      </c>
      <c r="R251" s="4457" t="s">
        <v>40</v>
      </c>
      <c r="S251" s="3432" t="s">
        <v>40</v>
      </c>
      <c r="T251" s="3418" t="s">
        <v>40</v>
      </c>
      <c r="U251" s="3418" t="s">
        <v>40</v>
      </c>
      <c r="V251" s="3503"/>
      <c r="W251" s="3503"/>
      <c r="X251" s="3494" t="s">
        <v>40</v>
      </c>
      <c r="Y251" s="3494" t="s">
        <v>40</v>
      </c>
      <c r="Z251" s="3494" t="s">
        <v>40</v>
      </c>
      <c r="AA251" s="3494"/>
      <c r="AB251" s="3494"/>
      <c r="AC251" s="3494"/>
      <c r="AD251" s="3494"/>
      <c r="AE251" s="3494" t="s">
        <v>40</v>
      </c>
      <c r="AF251" s="3494" t="s">
        <v>40</v>
      </c>
      <c r="AG251" s="3494" t="s">
        <v>40</v>
      </c>
    </row>
    <row r="252" spans="1:33" ht="18" customHeight="1">
      <c r="A252" s="4732">
        <v>3701</v>
      </c>
      <c r="B252" s="4734" t="s">
        <v>318</v>
      </c>
      <c r="C252" s="4730"/>
      <c r="D252" s="4730"/>
      <c r="E252" s="4730"/>
      <c r="F252" s="4730"/>
      <c r="G252" s="4731"/>
      <c r="H252" s="4731"/>
      <c r="I252" s="4731"/>
      <c r="J252" s="4730"/>
      <c r="K252" s="4730"/>
      <c r="L252" s="4730"/>
      <c r="M252" s="4730"/>
      <c r="N252" s="4731"/>
      <c r="O252" s="4731"/>
      <c r="P252" s="4731"/>
      <c r="Q252" s="4730"/>
      <c r="R252" s="4730"/>
      <c r="S252" s="4730"/>
      <c r="T252" s="4730"/>
      <c r="U252" s="4731"/>
      <c r="V252" s="4731"/>
      <c r="W252" s="4731"/>
      <c r="X252" s="4730"/>
      <c r="Y252" s="4730"/>
      <c r="Z252" s="4730"/>
      <c r="AA252" s="4730"/>
      <c r="AB252" s="4731"/>
      <c r="AC252" s="4731"/>
      <c r="AD252" s="4731"/>
      <c r="AE252" s="4730"/>
      <c r="AF252" s="4730"/>
      <c r="AG252" s="4730"/>
    </row>
    <row r="253" spans="1:33" ht="18" customHeight="1">
      <c r="A253" s="4732">
        <v>3701</v>
      </c>
      <c r="B253" s="4735" t="s">
        <v>319</v>
      </c>
      <c r="C253" s="3503" t="s">
        <v>40</v>
      </c>
      <c r="D253" s="3503" t="s">
        <v>40</v>
      </c>
      <c r="E253" s="3503" t="s">
        <v>40</v>
      </c>
      <c r="F253" s="3503" t="s">
        <v>40</v>
      </c>
      <c r="G253" s="3503" t="s">
        <v>40</v>
      </c>
      <c r="H253" s="3503"/>
      <c r="I253" s="3418"/>
      <c r="J253" s="3418" t="s">
        <v>40</v>
      </c>
      <c r="K253" s="3503" t="s">
        <v>40</v>
      </c>
      <c r="L253" s="3503" t="s">
        <v>40</v>
      </c>
      <c r="M253" s="3503" t="s">
        <v>40</v>
      </c>
      <c r="N253" s="3503" t="s">
        <v>40</v>
      </c>
      <c r="O253" s="3503"/>
      <c r="P253" s="3503"/>
      <c r="Q253" s="3503" t="s">
        <v>40</v>
      </c>
      <c r="R253" s="3432" t="s">
        <v>40</v>
      </c>
      <c r="S253" s="3432" t="s">
        <v>40</v>
      </c>
      <c r="T253" s="3418" t="s">
        <v>40</v>
      </c>
      <c r="U253" s="3418" t="s">
        <v>40</v>
      </c>
      <c r="V253" s="3503"/>
      <c r="W253" s="3503"/>
      <c r="X253" s="3494" t="s">
        <v>40</v>
      </c>
      <c r="Y253" s="3494" t="s">
        <v>40</v>
      </c>
      <c r="Z253" s="3494" t="s">
        <v>40</v>
      </c>
      <c r="AA253" s="3494"/>
      <c r="AB253" s="3494"/>
      <c r="AC253" s="3494"/>
      <c r="AD253" s="3494"/>
      <c r="AE253" s="3494" t="s">
        <v>40</v>
      </c>
      <c r="AF253" s="3494" t="s">
        <v>40</v>
      </c>
      <c r="AG253" s="3494" t="s">
        <v>40</v>
      </c>
    </row>
    <row r="254" spans="1:33" ht="18" customHeight="1">
      <c r="A254" s="4732">
        <v>3701</v>
      </c>
      <c r="B254" s="4735" t="s">
        <v>320</v>
      </c>
      <c r="C254" s="3503" t="s">
        <v>40</v>
      </c>
      <c r="D254" s="3503" t="s">
        <v>40</v>
      </c>
      <c r="E254" s="3503" t="s">
        <v>40</v>
      </c>
      <c r="F254" s="3503" t="s">
        <v>40</v>
      </c>
      <c r="G254" s="3503" t="s">
        <v>40</v>
      </c>
      <c r="H254" s="3503"/>
      <c r="I254" s="3418"/>
      <c r="J254" s="3418" t="s">
        <v>40</v>
      </c>
      <c r="K254" s="3503" t="s">
        <v>40</v>
      </c>
      <c r="L254" s="3503" t="s">
        <v>40</v>
      </c>
      <c r="M254" s="3503" t="s">
        <v>40</v>
      </c>
      <c r="N254" s="3494" t="s">
        <v>40</v>
      </c>
      <c r="O254" s="3503"/>
      <c r="P254" s="3503"/>
      <c r="Q254" s="3503" t="s">
        <v>40</v>
      </c>
      <c r="R254" s="3432" t="s">
        <v>40</v>
      </c>
      <c r="S254" s="3432" t="s">
        <v>40</v>
      </c>
      <c r="T254" s="3418" t="s">
        <v>40</v>
      </c>
      <c r="U254" s="3418" t="s">
        <v>40</v>
      </c>
      <c r="V254" s="3503"/>
      <c r="W254" s="3503"/>
      <c r="X254" s="3494" t="s">
        <v>40</v>
      </c>
      <c r="Y254" s="3494" t="s">
        <v>40</v>
      </c>
      <c r="Z254" s="3494" t="s">
        <v>40</v>
      </c>
      <c r="AA254" s="3494"/>
      <c r="AB254" s="3494"/>
      <c r="AC254" s="3494"/>
      <c r="AD254" s="3494"/>
      <c r="AE254" s="3494" t="s">
        <v>40</v>
      </c>
      <c r="AF254" s="3494" t="s">
        <v>40</v>
      </c>
      <c r="AG254" s="3494" t="s">
        <v>40</v>
      </c>
    </row>
    <row r="255" spans="1:33" ht="18" customHeight="1">
      <c r="A255" s="4738">
        <v>3701</v>
      </c>
      <c r="B255" s="4735" t="s">
        <v>321</v>
      </c>
      <c r="C255" s="3503" t="s">
        <v>40</v>
      </c>
      <c r="D255" s="3503" t="s">
        <v>40</v>
      </c>
      <c r="E255" s="3503" t="s">
        <v>40</v>
      </c>
      <c r="F255" s="3503" t="s">
        <v>40</v>
      </c>
      <c r="G255" s="3503" t="s">
        <v>40</v>
      </c>
      <c r="H255" s="3503"/>
      <c r="I255" s="3418"/>
      <c r="J255" s="3418" t="s">
        <v>40</v>
      </c>
      <c r="K255" s="3503" t="s">
        <v>40</v>
      </c>
      <c r="L255" s="3503" t="s">
        <v>40</v>
      </c>
      <c r="M255" s="3503" t="s">
        <v>40</v>
      </c>
      <c r="N255" s="3503" t="s">
        <v>40</v>
      </c>
      <c r="O255" s="3503"/>
      <c r="P255" s="3503"/>
      <c r="Q255" s="3503" t="s">
        <v>40</v>
      </c>
      <c r="R255" s="3494" t="s">
        <v>40</v>
      </c>
      <c r="S255" s="3494" t="s">
        <v>40</v>
      </c>
      <c r="T255" s="3494" t="s">
        <v>40</v>
      </c>
      <c r="U255" s="3494" t="s">
        <v>40</v>
      </c>
      <c r="V255" s="3494"/>
      <c r="W255" s="3494"/>
      <c r="X255" s="3494" t="s">
        <v>40</v>
      </c>
      <c r="Y255" s="4736" t="s">
        <v>40</v>
      </c>
      <c r="Z255" s="3503" t="s">
        <v>40</v>
      </c>
      <c r="AA255" s="3503"/>
      <c r="AB255" s="3503"/>
      <c r="AC255" s="3503"/>
      <c r="AD255" s="3418"/>
      <c r="AE255" s="4736" t="s">
        <v>40</v>
      </c>
      <c r="AF255" s="4736" t="s">
        <v>40</v>
      </c>
      <c r="AG255" s="4736" t="s">
        <v>40</v>
      </c>
    </row>
    <row r="256" spans="1:33" ht="18" customHeight="1">
      <c r="A256" s="4732">
        <v>3701</v>
      </c>
      <c r="B256" s="4735" t="s">
        <v>322</v>
      </c>
      <c r="C256" s="4739" t="s">
        <v>40</v>
      </c>
      <c r="D256" s="4739" t="s">
        <v>325</v>
      </c>
      <c r="E256" s="3503" t="s">
        <v>40</v>
      </c>
      <c r="F256" s="3503" t="s">
        <v>40</v>
      </c>
      <c r="G256" s="3503" t="s">
        <v>40</v>
      </c>
      <c r="H256" s="3503"/>
      <c r="I256" s="3418"/>
      <c r="J256" s="3418" t="s">
        <v>40</v>
      </c>
      <c r="K256" s="3503" t="s">
        <v>40</v>
      </c>
      <c r="L256" s="3503" t="s">
        <v>40</v>
      </c>
      <c r="M256" s="3503" t="s">
        <v>40</v>
      </c>
      <c r="N256" s="4736" t="s">
        <v>40</v>
      </c>
      <c r="O256" s="3503"/>
      <c r="P256" s="3503"/>
      <c r="Q256" s="3503" t="s">
        <v>40</v>
      </c>
      <c r="R256" s="3432" t="s">
        <v>40</v>
      </c>
      <c r="S256" s="3432" t="s">
        <v>40</v>
      </c>
      <c r="T256" s="3418" t="s">
        <v>40</v>
      </c>
      <c r="U256" s="3418" t="s">
        <v>40</v>
      </c>
      <c r="V256" s="3503"/>
      <c r="W256" s="3503"/>
      <c r="X256" s="3494" t="s">
        <v>40</v>
      </c>
      <c r="Y256" s="3494" t="s">
        <v>40</v>
      </c>
      <c r="Z256" s="3494" t="s">
        <v>40</v>
      </c>
      <c r="AA256" s="3494"/>
      <c r="AB256" s="3494"/>
      <c r="AC256" s="3494"/>
      <c r="AD256" s="3494"/>
      <c r="AE256" s="3494" t="s">
        <v>40</v>
      </c>
      <c r="AF256" s="3494" t="s">
        <v>40</v>
      </c>
      <c r="AG256" s="3494" t="s">
        <v>40</v>
      </c>
    </row>
    <row r="257" spans="1:33" ht="18" customHeight="1">
      <c r="A257" s="4732">
        <v>3701</v>
      </c>
      <c r="B257" s="4735" t="s">
        <v>323</v>
      </c>
      <c r="C257" s="3503" t="s">
        <v>40</v>
      </c>
      <c r="D257" s="3503" t="s">
        <v>40</v>
      </c>
      <c r="E257" s="3503" t="s">
        <v>40</v>
      </c>
      <c r="F257" s="3503" t="s">
        <v>40</v>
      </c>
      <c r="G257" s="3503" t="s">
        <v>40</v>
      </c>
      <c r="H257" s="3503"/>
      <c r="I257" s="3418"/>
      <c r="J257" s="3418" t="s">
        <v>40</v>
      </c>
      <c r="K257" s="3503" t="s">
        <v>40</v>
      </c>
      <c r="L257" s="3503" t="s">
        <v>40</v>
      </c>
      <c r="M257" s="3503" t="s">
        <v>40</v>
      </c>
      <c r="N257" s="3503" t="s">
        <v>40</v>
      </c>
      <c r="O257" s="3503"/>
      <c r="P257" s="3503"/>
      <c r="Q257" s="3503" t="s">
        <v>40</v>
      </c>
      <c r="R257" s="3432" t="s">
        <v>40</v>
      </c>
      <c r="S257" s="3432" t="s">
        <v>40</v>
      </c>
      <c r="T257" s="3418" t="s">
        <v>40</v>
      </c>
      <c r="U257" s="3418" t="s">
        <v>40</v>
      </c>
      <c r="V257" s="3503"/>
      <c r="W257" s="3503"/>
      <c r="X257" s="4736" t="s">
        <v>40</v>
      </c>
      <c r="Y257" s="4736" t="s">
        <v>40</v>
      </c>
      <c r="Z257" s="3503" t="s">
        <v>40</v>
      </c>
      <c r="AA257" s="3503"/>
      <c r="AB257" s="3503"/>
      <c r="AC257" s="3503"/>
      <c r="AD257" s="3418"/>
      <c r="AE257" s="4736" t="s">
        <v>40</v>
      </c>
      <c r="AF257" s="4736" t="s">
        <v>40</v>
      </c>
      <c r="AG257" s="4736" t="s">
        <v>40</v>
      </c>
    </row>
    <row r="258" spans="1:33" ht="18" customHeight="1">
      <c r="A258" s="4732"/>
      <c r="B258" s="4735" t="s">
        <v>324</v>
      </c>
      <c r="C258" s="3503" t="s">
        <v>40</v>
      </c>
      <c r="D258" s="3503" t="s">
        <v>40</v>
      </c>
      <c r="E258" s="3503" t="s">
        <v>40</v>
      </c>
      <c r="F258" s="3503" t="s">
        <v>40</v>
      </c>
      <c r="G258" s="3503" t="s">
        <v>40</v>
      </c>
      <c r="H258" s="3503"/>
      <c r="I258" s="3418"/>
      <c r="J258" s="3418" t="s">
        <v>40</v>
      </c>
      <c r="K258" s="3503" t="s">
        <v>40</v>
      </c>
      <c r="L258" s="3503" t="s">
        <v>40</v>
      </c>
      <c r="M258" s="3503" t="s">
        <v>40</v>
      </c>
      <c r="N258" s="3503" t="s">
        <v>40</v>
      </c>
      <c r="O258" s="3503"/>
      <c r="P258" s="3503"/>
      <c r="Q258" s="3503" t="s">
        <v>40</v>
      </c>
      <c r="R258" s="3432" t="s">
        <v>40</v>
      </c>
      <c r="S258" s="3432" t="s">
        <v>40</v>
      </c>
      <c r="T258" s="3418" t="s">
        <v>40</v>
      </c>
      <c r="U258" s="3418" t="s">
        <v>40</v>
      </c>
      <c r="V258" s="3503"/>
      <c r="W258" s="3503"/>
      <c r="X258" s="3494" t="s">
        <v>40</v>
      </c>
      <c r="Y258" s="3494" t="s">
        <v>40</v>
      </c>
      <c r="Z258" s="3494" t="s">
        <v>40</v>
      </c>
      <c r="AA258" s="3494"/>
      <c r="AB258" s="3494"/>
      <c r="AC258" s="3494"/>
      <c r="AD258" s="3494"/>
      <c r="AE258" s="3494" t="s">
        <v>40</v>
      </c>
      <c r="AF258" s="3494" t="s">
        <v>40</v>
      </c>
      <c r="AG258" s="3494" t="s">
        <v>40</v>
      </c>
    </row>
    <row r="259" spans="1:33" ht="18" customHeight="1">
      <c r="A259" s="4732"/>
      <c r="B259" s="4735"/>
      <c r="C259" s="3503" t="s">
        <v>40</v>
      </c>
      <c r="D259" s="3503" t="s">
        <v>40</v>
      </c>
      <c r="E259" s="3503" t="s">
        <v>40</v>
      </c>
      <c r="F259" s="3503" t="s">
        <v>40</v>
      </c>
      <c r="G259" s="3503" t="s">
        <v>40</v>
      </c>
      <c r="H259" s="3503"/>
      <c r="I259" s="3418"/>
      <c r="J259" s="3418" t="s">
        <v>40</v>
      </c>
      <c r="K259" s="3503" t="s">
        <v>40</v>
      </c>
      <c r="L259" s="3503" t="s">
        <v>40</v>
      </c>
      <c r="M259" s="3503" t="s">
        <v>40</v>
      </c>
      <c r="N259" s="3503" t="s">
        <v>40</v>
      </c>
      <c r="O259" s="3503"/>
      <c r="P259" s="3503"/>
      <c r="Q259" s="3503" t="s">
        <v>40</v>
      </c>
      <c r="R259" s="3432" t="s">
        <v>40</v>
      </c>
      <c r="S259" s="3432" t="s">
        <v>40</v>
      </c>
      <c r="T259" s="3418" t="s">
        <v>40</v>
      </c>
      <c r="U259" s="3418" t="s">
        <v>40</v>
      </c>
      <c r="V259" s="3503"/>
      <c r="W259" s="3503"/>
      <c r="X259" s="3503" t="s">
        <v>40</v>
      </c>
      <c r="Y259" s="3503" t="s">
        <v>40</v>
      </c>
      <c r="Z259" s="3503" t="s">
        <v>40</v>
      </c>
      <c r="AA259" s="3503"/>
      <c r="AB259" s="3503"/>
      <c r="AC259" s="3503"/>
      <c r="AD259" s="3418"/>
      <c r="AE259" s="3418" t="s">
        <v>40</v>
      </c>
      <c r="AF259" s="3503" t="s">
        <v>40</v>
      </c>
      <c r="AG259" s="3503" t="s">
        <v>40</v>
      </c>
    </row>
    <row r="260" spans="1:33" ht="18" customHeight="1">
      <c r="A260" s="4732"/>
      <c r="B260" s="4735" t="s">
        <v>326</v>
      </c>
      <c r="C260" s="3503" t="s">
        <v>40</v>
      </c>
      <c r="D260" s="3503" t="s">
        <v>40</v>
      </c>
      <c r="E260" s="3503" t="s">
        <v>40</v>
      </c>
      <c r="F260" s="3503" t="s">
        <v>40</v>
      </c>
      <c r="G260" s="3503" t="s">
        <v>40</v>
      </c>
      <c r="H260" s="3503"/>
      <c r="I260" s="3418"/>
      <c r="J260" s="3418" t="s">
        <v>40</v>
      </c>
      <c r="K260" s="3503" t="s">
        <v>40</v>
      </c>
      <c r="L260" s="3503" t="s">
        <v>40</v>
      </c>
      <c r="M260" s="3503" t="s">
        <v>40</v>
      </c>
      <c r="N260" s="3503" t="s">
        <v>40</v>
      </c>
      <c r="O260" s="3503"/>
      <c r="P260" s="3503"/>
      <c r="Q260" s="3503" t="s">
        <v>40</v>
      </c>
      <c r="R260" s="3432" t="s">
        <v>40</v>
      </c>
      <c r="S260" s="3432" t="s">
        <v>40</v>
      </c>
      <c r="T260" s="3418" t="s">
        <v>40</v>
      </c>
      <c r="U260" s="3418" t="s">
        <v>40</v>
      </c>
      <c r="V260" s="3503"/>
      <c r="W260" s="3503"/>
      <c r="X260" s="3503" t="s">
        <v>40</v>
      </c>
      <c r="Y260" s="3503" t="s">
        <v>40</v>
      </c>
      <c r="Z260" s="4740" t="s">
        <v>40</v>
      </c>
      <c r="AA260" s="4740"/>
      <c r="AB260" s="4740"/>
      <c r="AC260" s="4740"/>
      <c r="AD260" s="4740"/>
      <c r="AE260" s="4740" t="s">
        <v>40</v>
      </c>
      <c r="AF260" s="4740" t="s">
        <v>40</v>
      </c>
      <c r="AG260" s="4740" t="s">
        <v>40</v>
      </c>
    </row>
    <row r="261" spans="1:33" ht="18" customHeight="1">
      <c r="A261" s="4732"/>
      <c r="B261" s="4734" t="s">
        <v>327</v>
      </c>
      <c r="C261" s="4730"/>
      <c r="D261" s="4730"/>
      <c r="E261" s="4730"/>
      <c r="F261" s="4730"/>
      <c r="G261" s="4731"/>
      <c r="H261" s="4731"/>
      <c r="I261" s="4731"/>
      <c r="J261" s="4730"/>
      <c r="K261" s="4730"/>
      <c r="L261" s="4730"/>
      <c r="M261" s="4730"/>
      <c r="N261" s="4731"/>
      <c r="O261" s="4731"/>
      <c r="P261" s="4731"/>
      <c r="Q261" s="4730"/>
      <c r="R261" s="4730"/>
      <c r="S261" s="4730"/>
      <c r="T261" s="4730"/>
      <c r="U261" s="4731"/>
      <c r="V261" s="4731"/>
      <c r="W261" s="4731"/>
      <c r="X261" s="4730"/>
      <c r="Y261" s="4730"/>
      <c r="Z261" s="4730"/>
      <c r="AA261" s="4730"/>
      <c r="AB261" s="4731"/>
      <c r="AC261" s="4731"/>
      <c r="AD261" s="4731"/>
      <c r="AE261" s="4730"/>
      <c r="AF261" s="4730"/>
      <c r="AG261" s="4730"/>
    </row>
    <row r="262" spans="1:33" ht="18" customHeight="1">
      <c r="A262" s="4732"/>
      <c r="B262" s="4735" t="s">
        <v>328</v>
      </c>
      <c r="C262" s="3503" t="s">
        <v>40</v>
      </c>
      <c r="D262" s="3503" t="s">
        <v>40</v>
      </c>
      <c r="E262" s="3503" t="s">
        <v>40</v>
      </c>
      <c r="F262" s="3503" t="s">
        <v>40</v>
      </c>
      <c r="G262" s="3503" t="s">
        <v>40</v>
      </c>
      <c r="H262" s="3503"/>
      <c r="I262" s="3418"/>
      <c r="J262" s="3418" t="s">
        <v>40</v>
      </c>
      <c r="K262" s="3503" t="s">
        <v>40</v>
      </c>
      <c r="L262" s="3503" t="s">
        <v>40</v>
      </c>
      <c r="M262" s="3503" t="s">
        <v>40</v>
      </c>
      <c r="N262" s="3503" t="s">
        <v>40</v>
      </c>
      <c r="O262" s="3503"/>
      <c r="P262" s="3503"/>
      <c r="Q262" s="3503" t="s">
        <v>40</v>
      </c>
      <c r="R262" s="3432" t="s">
        <v>40</v>
      </c>
      <c r="S262" s="3432" t="s">
        <v>40</v>
      </c>
      <c r="T262" s="3418" t="s">
        <v>40</v>
      </c>
      <c r="U262" s="3418" t="s">
        <v>40</v>
      </c>
      <c r="V262" s="3503"/>
      <c r="W262" s="3503"/>
      <c r="X262" s="3494" t="s">
        <v>40</v>
      </c>
      <c r="Y262" s="3494" t="s">
        <v>40</v>
      </c>
      <c r="Z262" s="3503" t="s">
        <v>40</v>
      </c>
      <c r="AA262" s="3503"/>
      <c r="AB262" s="3503"/>
      <c r="AC262" s="3503"/>
      <c r="AD262" s="3418"/>
      <c r="AE262" s="3494" t="s">
        <v>40</v>
      </c>
      <c r="AF262" s="3494" t="s">
        <v>40</v>
      </c>
      <c r="AG262" s="3494" t="s">
        <v>40</v>
      </c>
    </row>
    <row r="263" spans="1:33" ht="18" customHeight="1">
      <c r="A263" s="4732"/>
      <c r="B263" s="4735" t="s">
        <v>329</v>
      </c>
      <c r="C263" s="4457" t="s">
        <v>40</v>
      </c>
      <c r="D263" s="4457" t="s">
        <v>40</v>
      </c>
      <c r="E263" s="3430" t="s">
        <v>40</v>
      </c>
      <c r="F263" s="3430" t="s">
        <v>40</v>
      </c>
      <c r="G263" s="3430" t="s">
        <v>40</v>
      </c>
      <c r="H263" s="3503"/>
      <c r="I263" s="3418"/>
      <c r="J263" s="3418" t="s">
        <v>40</v>
      </c>
      <c r="K263" s="3503" t="s">
        <v>40</v>
      </c>
      <c r="L263" s="3503" t="s">
        <v>40</v>
      </c>
      <c r="M263" s="3503" t="s">
        <v>40</v>
      </c>
      <c r="N263" s="3503" t="s">
        <v>40</v>
      </c>
      <c r="O263" s="3503"/>
      <c r="P263" s="3503"/>
      <c r="Q263" s="3503" t="s">
        <v>40</v>
      </c>
      <c r="R263" s="3432" t="s">
        <v>40</v>
      </c>
      <c r="S263" s="3432" t="s">
        <v>40</v>
      </c>
      <c r="T263" s="3418" t="s">
        <v>40</v>
      </c>
      <c r="U263" s="3418" t="s">
        <v>40</v>
      </c>
      <c r="V263" s="3503"/>
      <c r="W263" s="3503"/>
      <c r="X263" s="3503" t="s">
        <v>40</v>
      </c>
      <c r="Y263" s="3503" t="s">
        <v>40</v>
      </c>
      <c r="Z263" s="3503" t="s">
        <v>40</v>
      </c>
      <c r="AA263" s="3503"/>
      <c r="AB263" s="3503"/>
      <c r="AC263" s="3503"/>
      <c r="AD263" s="3418"/>
      <c r="AE263" s="3494" t="s">
        <v>40</v>
      </c>
      <c r="AF263" s="3494" t="s">
        <v>40</v>
      </c>
      <c r="AG263" s="3494" t="s">
        <v>40</v>
      </c>
    </row>
    <row r="264" spans="1:33" ht="18" customHeight="1"/>
    <row r="265" spans="1:33" ht="18" customHeight="1"/>
    <row r="266" spans="1:33" ht="18" customHeight="1" thickBot="1">
      <c r="A266" s="96" t="s">
        <v>331</v>
      </c>
    </row>
    <row r="267" spans="1:33" ht="18" customHeight="1">
      <c r="B267" s="2908" t="s">
        <v>303</v>
      </c>
      <c r="C267" s="2765"/>
      <c r="D267" s="2788" t="s">
        <v>19</v>
      </c>
      <c r="E267" s="3064"/>
      <c r="F267" s="2769"/>
      <c r="G267" s="2765"/>
      <c r="H267" s="2788" t="s">
        <v>20</v>
      </c>
      <c r="I267" s="3064"/>
      <c r="J267" s="2769"/>
      <c r="K267" s="2765"/>
      <c r="L267" s="2788" t="s">
        <v>21</v>
      </c>
      <c r="M267" s="3064"/>
      <c r="N267" s="2769"/>
      <c r="O267" s="2765"/>
      <c r="P267" s="2788" t="s">
        <v>22</v>
      </c>
      <c r="Q267" s="3064"/>
      <c r="R267" s="2769"/>
      <c r="S267" s="2765"/>
      <c r="T267" s="2788" t="s">
        <v>23</v>
      </c>
      <c r="U267" s="3064"/>
      <c r="V267" s="2769"/>
      <c r="W267" s="2765"/>
      <c r="X267" s="2788" t="s">
        <v>24</v>
      </c>
      <c r="Y267" s="3064"/>
      <c r="Z267" s="2769"/>
      <c r="AA267" s="2765"/>
      <c r="AB267" s="2788" t="s">
        <v>25</v>
      </c>
      <c r="AC267" s="3064"/>
      <c r="AD267" s="3064"/>
      <c r="AE267" s="2791"/>
      <c r="AF267" s="3064"/>
      <c r="AG267" s="3064"/>
    </row>
    <row r="268" spans="1:33" ht="18" customHeight="1">
      <c r="B268" s="4741" t="s">
        <v>210</v>
      </c>
      <c r="C268" s="543" t="s">
        <v>332</v>
      </c>
      <c r="D268" s="539"/>
      <c r="E268" s="544"/>
      <c r="F268" s="545"/>
      <c r="G268" s="543" t="s">
        <v>332</v>
      </c>
      <c r="H268" s="539"/>
      <c r="I268" s="544"/>
      <c r="J268" s="545"/>
      <c r="K268" s="543" t="s">
        <v>332</v>
      </c>
      <c r="L268" s="539"/>
      <c r="M268" s="544"/>
      <c r="N268" s="545"/>
      <c r="O268" s="543" t="s">
        <v>332</v>
      </c>
      <c r="P268" s="546"/>
      <c r="Q268" s="544"/>
      <c r="R268" s="545"/>
      <c r="S268" s="547" t="s">
        <v>333</v>
      </c>
      <c r="T268" s="539"/>
      <c r="U268" s="544"/>
      <c r="V268" s="545"/>
      <c r="W268" s="541"/>
      <c r="X268" s="539"/>
      <c r="Y268" s="531"/>
      <c r="Z268" s="540"/>
      <c r="AA268" s="541"/>
      <c r="AB268" s="539"/>
      <c r="AC268" s="531"/>
      <c r="AD268" s="531"/>
      <c r="AE268" s="542"/>
      <c r="AF268" s="531"/>
      <c r="AG268" s="516"/>
    </row>
    <row r="269" spans="1:33" ht="18" customHeight="1">
      <c r="A269" s="68"/>
      <c r="B269" s="4741" t="s">
        <v>212</v>
      </c>
      <c r="C269" s="543" t="s">
        <v>334</v>
      </c>
      <c r="D269" s="539"/>
      <c r="E269" s="544"/>
      <c r="F269" s="545"/>
      <c r="G269" s="543" t="s">
        <v>334</v>
      </c>
      <c r="H269" s="539"/>
      <c r="I269" s="544"/>
      <c r="J269" s="545"/>
      <c r="K269" s="543" t="s">
        <v>334</v>
      </c>
      <c r="L269" s="539"/>
      <c r="M269" s="544"/>
      <c r="N269" s="545"/>
      <c r="O269" s="543" t="s">
        <v>334</v>
      </c>
      <c r="P269" s="539"/>
      <c r="Q269" s="544"/>
      <c r="R269" s="545"/>
      <c r="S269" s="543" t="s">
        <v>335</v>
      </c>
      <c r="T269" s="539"/>
      <c r="U269" s="544"/>
      <c r="V269" s="545"/>
      <c r="W269" s="541"/>
      <c r="X269" s="539"/>
      <c r="Y269" s="531"/>
      <c r="Z269" s="540"/>
      <c r="AA269" s="541"/>
      <c r="AB269" s="539"/>
      <c r="AC269" s="531"/>
      <c r="AD269" s="531"/>
      <c r="AE269" s="542"/>
      <c r="AF269" s="531"/>
      <c r="AG269" s="516"/>
    </row>
    <row r="270" spans="1:33" ht="18" customHeight="1" thickBot="1">
      <c r="B270" s="4742" t="s">
        <v>336</v>
      </c>
      <c r="C270" s="4663" t="s">
        <v>334</v>
      </c>
      <c r="D270" s="4743"/>
      <c r="E270" s="544"/>
      <c r="F270" s="545"/>
      <c r="G270" s="4663" t="s">
        <v>334</v>
      </c>
      <c r="H270" s="4743"/>
      <c r="I270" s="544"/>
      <c r="J270" s="545"/>
      <c r="K270" s="4663" t="s">
        <v>334</v>
      </c>
      <c r="L270" s="4743"/>
      <c r="M270" s="544"/>
      <c r="N270" s="545"/>
      <c r="O270" s="4663" t="s">
        <v>334</v>
      </c>
      <c r="P270" s="4743"/>
      <c r="Q270" s="544"/>
      <c r="R270" s="545"/>
      <c r="S270" s="4663" t="s">
        <v>335</v>
      </c>
      <c r="T270" s="539"/>
      <c r="U270" s="544"/>
      <c r="V270" s="545"/>
      <c r="W270" s="541"/>
      <c r="X270" s="539"/>
      <c r="Y270" s="531"/>
      <c r="Z270" s="540"/>
      <c r="AA270" s="541"/>
      <c r="AB270" s="539"/>
      <c r="AC270" s="531"/>
      <c r="AD270" s="531"/>
      <c r="AE270" s="542"/>
      <c r="AF270" s="531"/>
      <c r="AG270" s="516"/>
    </row>
    <row r="271" spans="1:33" ht="18" customHeight="1">
      <c r="B271" s="37"/>
      <c r="C271" s="42"/>
      <c r="D271" s="5"/>
      <c r="G271" s="42"/>
      <c r="H271" s="5"/>
      <c r="K271" s="42"/>
      <c r="L271" s="5"/>
      <c r="O271" s="42"/>
      <c r="P271" s="5"/>
      <c r="S271" s="42"/>
      <c r="T271" s="42"/>
      <c r="X271" s="42"/>
      <c r="AB271" s="42"/>
      <c r="AE271" s="42"/>
    </row>
    <row r="272" spans="1:33" ht="18" customHeight="1" thickBot="1">
      <c r="A272" s="588" t="s">
        <v>337</v>
      </c>
    </row>
    <row r="273" spans="1:33" ht="18" customHeight="1" thickBot="1">
      <c r="A273" s="4589"/>
      <c r="B273" s="705" t="s">
        <v>615</v>
      </c>
      <c r="C273" s="865">
        <v>1</v>
      </c>
      <c r="D273" s="865">
        <v>2</v>
      </c>
      <c r="E273" s="865">
        <v>3</v>
      </c>
      <c r="F273" s="865">
        <v>4</v>
      </c>
      <c r="G273" s="865">
        <v>5</v>
      </c>
      <c r="H273" s="866">
        <v>6</v>
      </c>
      <c r="I273" s="866">
        <v>7</v>
      </c>
      <c r="J273" s="865">
        <v>8</v>
      </c>
      <c r="K273" s="865">
        <v>9</v>
      </c>
      <c r="L273" s="865">
        <v>10</v>
      </c>
      <c r="M273" s="865">
        <v>11</v>
      </c>
      <c r="N273" s="865">
        <v>12</v>
      </c>
      <c r="O273" s="866">
        <v>13</v>
      </c>
      <c r="P273" s="866">
        <v>14</v>
      </c>
      <c r="Q273" s="865">
        <v>15</v>
      </c>
      <c r="R273" s="865">
        <v>16</v>
      </c>
      <c r="S273" s="865">
        <v>17</v>
      </c>
      <c r="T273" s="865">
        <v>18</v>
      </c>
      <c r="U273" s="865">
        <v>19</v>
      </c>
      <c r="V273" s="866">
        <v>20</v>
      </c>
      <c r="W273" s="866">
        <v>21</v>
      </c>
      <c r="X273" s="865">
        <v>22</v>
      </c>
      <c r="Y273" s="865">
        <v>23</v>
      </c>
      <c r="Z273" s="865">
        <v>24</v>
      </c>
      <c r="AA273" s="866">
        <v>25</v>
      </c>
      <c r="AB273" s="866">
        <v>26</v>
      </c>
      <c r="AC273" s="866">
        <v>27</v>
      </c>
      <c r="AD273" s="866">
        <v>28</v>
      </c>
      <c r="AE273" s="865">
        <v>29</v>
      </c>
      <c r="AF273" s="865">
        <v>30</v>
      </c>
      <c r="AG273" s="867">
        <v>31</v>
      </c>
    </row>
    <row r="274" spans="1:33" ht="18" customHeight="1">
      <c r="A274" s="2912">
        <v>3702</v>
      </c>
      <c r="B274" s="4744" t="s">
        <v>338</v>
      </c>
      <c r="C274" s="3503" t="s">
        <v>40</v>
      </c>
      <c r="D274" s="3503" t="s">
        <v>40</v>
      </c>
      <c r="E274" s="3503" t="s">
        <v>40</v>
      </c>
      <c r="F274" s="3503" t="s">
        <v>40</v>
      </c>
      <c r="G274" s="3503" t="s">
        <v>40</v>
      </c>
      <c r="H274" s="3503"/>
      <c r="I274" s="3418"/>
      <c r="J274" s="3418" t="s">
        <v>40</v>
      </c>
      <c r="K274" s="3503" t="s">
        <v>40</v>
      </c>
      <c r="L274" s="3503" t="s">
        <v>40</v>
      </c>
      <c r="M274" s="3503" t="s">
        <v>40</v>
      </c>
      <c r="N274" s="3503" t="s">
        <v>40</v>
      </c>
      <c r="O274" s="3503"/>
      <c r="P274" s="3503"/>
      <c r="Q274" s="3503" t="s">
        <v>40</v>
      </c>
      <c r="R274" s="3432" t="s">
        <v>40</v>
      </c>
      <c r="S274" s="3432" t="s">
        <v>40</v>
      </c>
      <c r="T274" s="3418" t="s">
        <v>40</v>
      </c>
      <c r="U274" s="3418" t="s">
        <v>40</v>
      </c>
      <c r="V274" s="3503"/>
      <c r="W274" s="3503"/>
      <c r="X274" s="3503" t="s">
        <v>40</v>
      </c>
      <c r="Y274" s="3503" t="s">
        <v>40</v>
      </c>
      <c r="Z274" s="3503" t="s">
        <v>40</v>
      </c>
      <c r="AA274" s="3503"/>
      <c r="AB274" s="3503"/>
      <c r="AC274" s="3503"/>
      <c r="AD274" s="3418"/>
      <c r="AE274" s="3418" t="s">
        <v>40</v>
      </c>
      <c r="AF274" s="3503" t="s">
        <v>40</v>
      </c>
      <c r="AG274" s="4745" t="s">
        <v>40</v>
      </c>
    </row>
    <row r="275" spans="1:33" ht="18" customHeight="1">
      <c r="A275" s="4746"/>
      <c r="B275" s="4747" t="s">
        <v>339</v>
      </c>
      <c r="C275" s="4748"/>
      <c r="D275" s="4748"/>
      <c r="E275" s="4748"/>
      <c r="F275" s="4748"/>
      <c r="G275" s="4748"/>
      <c r="H275" s="4748"/>
      <c r="I275" s="4748"/>
      <c r="J275" s="4748"/>
      <c r="K275" s="4748"/>
      <c r="L275" s="4748"/>
      <c r="M275" s="4748"/>
      <c r="N275" s="4748"/>
      <c r="O275" s="4748"/>
      <c r="P275" s="4748"/>
      <c r="Q275" s="4748"/>
      <c r="R275" s="4748"/>
      <c r="S275" s="4748"/>
      <c r="T275" s="4748"/>
      <c r="U275" s="4748"/>
      <c r="V275" s="4748"/>
      <c r="W275" s="4748"/>
      <c r="X275" s="4748"/>
      <c r="Y275" s="4748"/>
      <c r="Z275" s="4748"/>
      <c r="AA275" s="4748"/>
      <c r="AB275" s="4748"/>
      <c r="AC275" s="4748"/>
      <c r="AD275" s="4748"/>
      <c r="AE275" s="4748"/>
      <c r="AF275" s="4748"/>
      <c r="AG275" s="4749"/>
    </row>
    <row r="276" spans="1:33" ht="18" customHeight="1">
      <c r="A276" s="4750">
        <v>3702</v>
      </c>
      <c r="B276" s="4751" t="s">
        <v>340</v>
      </c>
      <c r="C276" s="3503" t="s">
        <v>342</v>
      </c>
      <c r="D276" s="3503" t="s">
        <v>342</v>
      </c>
      <c r="E276" s="3503" t="s">
        <v>342</v>
      </c>
      <c r="F276" s="3503" t="s">
        <v>342</v>
      </c>
      <c r="G276" s="3503" t="s">
        <v>342</v>
      </c>
      <c r="H276" s="3418"/>
      <c r="I276" s="3503"/>
      <c r="J276" s="3503" t="s">
        <v>341</v>
      </c>
      <c r="K276" s="3503" t="s">
        <v>341</v>
      </c>
      <c r="L276" s="3503" t="s">
        <v>341</v>
      </c>
      <c r="M276" s="4752" t="s">
        <v>341</v>
      </c>
      <c r="N276" s="3418" t="s">
        <v>341</v>
      </c>
      <c r="O276" s="3418"/>
      <c r="P276" s="3503"/>
      <c r="Q276" s="3503" t="s">
        <v>342</v>
      </c>
      <c r="R276" s="3503" t="s">
        <v>342</v>
      </c>
      <c r="S276" s="3503" t="s">
        <v>342</v>
      </c>
      <c r="T276" s="3503" t="s">
        <v>342</v>
      </c>
      <c r="U276" s="3503" t="s">
        <v>342</v>
      </c>
      <c r="V276" s="3418"/>
      <c r="W276" s="3503"/>
      <c r="X276" s="4753" t="s">
        <v>341</v>
      </c>
      <c r="Y276" s="4753" t="s">
        <v>341</v>
      </c>
      <c r="Z276" s="4753" t="s">
        <v>341</v>
      </c>
      <c r="AA276" s="3503"/>
      <c r="AB276" s="3418"/>
      <c r="AC276" s="3418"/>
      <c r="AD276" s="3503"/>
      <c r="AE276" s="4753" t="s">
        <v>342</v>
      </c>
      <c r="AF276" s="4753" t="s">
        <v>342</v>
      </c>
      <c r="AG276" s="4754" t="s">
        <v>342</v>
      </c>
    </row>
    <row r="277" spans="1:33" ht="18" customHeight="1">
      <c r="A277" s="4750"/>
      <c r="B277" s="4751" t="s">
        <v>343</v>
      </c>
      <c r="C277" s="3503" t="s">
        <v>341</v>
      </c>
      <c r="D277" s="3503" t="s">
        <v>341</v>
      </c>
      <c r="E277" s="4755" t="s">
        <v>341</v>
      </c>
      <c r="F277" s="3503" t="s">
        <v>341</v>
      </c>
      <c r="G277" s="3418" t="s">
        <v>341</v>
      </c>
      <c r="H277" s="3503"/>
      <c r="I277" s="3503"/>
      <c r="J277" s="3503" t="s">
        <v>342</v>
      </c>
      <c r="K277" s="3503" t="s">
        <v>342</v>
      </c>
      <c r="L277" s="3503" t="s">
        <v>342</v>
      </c>
      <c r="M277" s="3503" t="s">
        <v>342</v>
      </c>
      <c r="N277" s="3503" t="s">
        <v>342</v>
      </c>
      <c r="O277" s="3503"/>
      <c r="P277" s="3503"/>
      <c r="Q277" s="3503" t="s">
        <v>341</v>
      </c>
      <c r="R277" s="3503" t="s">
        <v>341</v>
      </c>
      <c r="S277" s="3503" t="s">
        <v>341</v>
      </c>
      <c r="T277" s="4753" t="s">
        <v>341</v>
      </c>
      <c r="U277" s="4495" t="s">
        <v>341</v>
      </c>
      <c r="V277" s="3503"/>
      <c r="W277" s="3503"/>
      <c r="X277" s="3503" t="s">
        <v>342</v>
      </c>
      <c r="Y277" s="3503" t="s">
        <v>342</v>
      </c>
      <c r="Z277" s="3503" t="s">
        <v>342</v>
      </c>
      <c r="AA277" s="3503"/>
      <c r="AB277" s="3503"/>
      <c r="AC277" s="3503"/>
      <c r="AD277" s="3503"/>
      <c r="AE277" s="4495" t="s">
        <v>341</v>
      </c>
      <c r="AF277" s="4495" t="s">
        <v>341</v>
      </c>
      <c r="AG277" s="4756" t="s">
        <v>341</v>
      </c>
    </row>
    <row r="278" spans="1:33" ht="18" customHeight="1" thickBot="1">
      <c r="A278" s="4757"/>
      <c r="B278" s="4758" t="s">
        <v>0</v>
      </c>
      <c r="C278" s="4627" t="s">
        <v>346</v>
      </c>
      <c r="D278" s="4627" t="s">
        <v>346</v>
      </c>
      <c r="E278" s="4627" t="s">
        <v>346</v>
      </c>
      <c r="F278" s="4626" t="s">
        <v>346</v>
      </c>
      <c r="G278" s="4626" t="s">
        <v>346</v>
      </c>
      <c r="H278" s="4626"/>
      <c r="I278" s="4627"/>
      <c r="J278" s="4627" t="s">
        <v>346</v>
      </c>
      <c r="K278" s="4627" t="s">
        <v>346</v>
      </c>
      <c r="L278" s="4627" t="s">
        <v>346</v>
      </c>
      <c r="M278" s="4626" t="s">
        <v>346</v>
      </c>
      <c r="N278" s="4626" t="s">
        <v>346</v>
      </c>
      <c r="O278" s="4626"/>
      <c r="P278" s="4627"/>
      <c r="Q278" s="4627" t="s">
        <v>346</v>
      </c>
      <c r="R278" s="4627" t="s">
        <v>346</v>
      </c>
      <c r="S278" s="4627" t="s">
        <v>346</v>
      </c>
      <c r="T278" s="4626" t="s">
        <v>346</v>
      </c>
      <c r="U278" s="4626" t="s">
        <v>346</v>
      </c>
      <c r="V278" s="4626"/>
      <c r="W278" s="4627"/>
      <c r="X278" s="4627" t="s">
        <v>346</v>
      </c>
      <c r="Y278" s="4627" t="s">
        <v>346</v>
      </c>
      <c r="Z278" s="4627" t="s">
        <v>346</v>
      </c>
      <c r="AA278" s="4626"/>
      <c r="AB278" s="4626"/>
      <c r="AC278" s="4626"/>
      <c r="AD278" s="4627"/>
      <c r="AE278" s="4627" t="s">
        <v>346</v>
      </c>
      <c r="AF278" s="4627" t="s">
        <v>346</v>
      </c>
      <c r="AG278" s="4759" t="s">
        <v>346</v>
      </c>
    </row>
    <row r="279" spans="1:33" ht="18" customHeight="1">
      <c r="C279" s="108"/>
      <c r="D279" s="108"/>
      <c r="E279" s="108"/>
      <c r="F279" s="108"/>
      <c r="G279" s="108"/>
      <c r="H279" s="108"/>
      <c r="I279" s="108"/>
      <c r="J279" s="108"/>
      <c r="K279" s="108"/>
      <c r="L279" s="108"/>
      <c r="M279" s="108"/>
      <c r="N279" s="108"/>
      <c r="O279" s="108"/>
      <c r="P279" s="108"/>
      <c r="Q279" s="108"/>
      <c r="R279" s="108"/>
      <c r="S279" s="108"/>
      <c r="T279" s="108"/>
      <c r="U279" s="108"/>
      <c r="V279" s="108"/>
      <c r="W279" s="108"/>
      <c r="X279" s="108"/>
      <c r="Y279" s="108"/>
      <c r="Z279" s="108"/>
      <c r="AA279" s="108"/>
      <c r="AB279" s="108"/>
      <c r="AC279" s="108"/>
      <c r="AD279" s="108"/>
      <c r="AE279" s="108"/>
      <c r="AF279" s="108"/>
    </row>
  </sheetData>
  <sheetProtection algorithmName="SHA-512" hashValue="Pm/2Uo6g8UFtfhlxtAoDSSWMKD9wY9vmgZ66FJWQoUG5WMIcgU5gPkGSdm7NMg1FuMlqV1TnZwEJCeST08zPnQ==" saltValue="s1f61OcVo0PEU+ItVjS43A==" spinCount="100000" sheet="1" objects="1" scenarios="1"/>
  <mergeCells count="8">
    <mergeCell ref="AD2:AG2"/>
    <mergeCell ref="F2:G2"/>
    <mergeCell ref="T39:Z39"/>
    <mergeCell ref="C2:E2"/>
    <mergeCell ref="H2:J2"/>
    <mergeCell ref="S2:U2"/>
    <mergeCell ref="V2:W2"/>
    <mergeCell ref="X2:Y2"/>
  </mergeCells>
  <phoneticPr fontId="10" type="noConversion"/>
  <pageMargins left="0.7" right="0.7" top="0.75" bottom="0.75" header="0.3" footer="0.3"/>
  <pageSetup paperSize="9" scale="10" orientation="landscape" r:id="rId1"/>
  <ignoredErrors>
    <ignoredError sqref="C45 E45 F45:G45" numberStoredAsText="1"/>
  </ignoredErrors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C6ECAE-2CF0-4390-8D69-51061B05B99F}">
  <sheetPr codeName="Ark38">
    <pageSetUpPr fitToPage="1"/>
  </sheetPr>
  <dimension ref="A1:AH241"/>
  <sheetViews>
    <sheetView zoomScaleNormal="100" workbookViewId="0">
      <pane xSplit="1" ySplit="1" topLeftCell="B68" activePane="bottomRight" state="frozen"/>
      <selection pane="bottomRight" activeCell="AH72" sqref="AH72"/>
      <selection pane="bottomLeft" activeCell="A2" sqref="A2"/>
      <selection pane="topRight" activeCell="B1" sqref="B1"/>
    </sheetView>
  </sheetViews>
  <sheetFormatPr defaultRowHeight="12"/>
  <cols>
    <col min="1" max="1" width="31.28515625" customWidth="1"/>
    <col min="2" max="31" width="4.5703125" style="1049" customWidth="1"/>
    <col min="32" max="32" width="4.28515625" style="1049" customWidth="1"/>
    <col min="33" max="16384" width="9.140625" style="1049"/>
  </cols>
  <sheetData>
    <row r="1" spans="1:32" ht="15">
      <c r="A1" s="1272" t="s">
        <v>616</v>
      </c>
      <c r="B1" s="389">
        <v>1</v>
      </c>
      <c r="C1" s="390">
        <v>2</v>
      </c>
      <c r="D1" s="389">
        <v>3</v>
      </c>
      <c r="E1" s="389">
        <v>4</v>
      </c>
      <c r="F1" s="390">
        <v>5</v>
      </c>
      <c r="G1" s="390">
        <v>6</v>
      </c>
      <c r="H1" s="390">
        <v>7</v>
      </c>
      <c r="I1" s="390">
        <v>8</v>
      </c>
      <c r="J1" s="390">
        <v>9</v>
      </c>
      <c r="K1" s="389">
        <v>10</v>
      </c>
      <c r="L1" s="389">
        <v>11</v>
      </c>
      <c r="M1" s="390">
        <v>12</v>
      </c>
      <c r="N1" s="390">
        <v>13</v>
      </c>
      <c r="O1" s="390">
        <v>14</v>
      </c>
      <c r="P1" s="390">
        <v>15</v>
      </c>
      <c r="Q1" s="390">
        <v>16</v>
      </c>
      <c r="R1" s="389">
        <v>17</v>
      </c>
      <c r="S1" s="389">
        <v>18</v>
      </c>
      <c r="T1" s="390">
        <v>19</v>
      </c>
      <c r="U1" s="390">
        <v>20</v>
      </c>
      <c r="V1" s="390">
        <v>21</v>
      </c>
      <c r="W1" s="390">
        <v>22</v>
      </c>
      <c r="X1" s="390">
        <v>23</v>
      </c>
      <c r="Y1" s="389">
        <v>24</v>
      </c>
      <c r="Z1" s="389">
        <v>25</v>
      </c>
      <c r="AA1" s="390">
        <v>26</v>
      </c>
      <c r="AB1" s="390">
        <v>27</v>
      </c>
      <c r="AC1" s="390">
        <v>28</v>
      </c>
      <c r="AD1" s="390">
        <v>29</v>
      </c>
      <c r="AE1" s="390">
        <v>30</v>
      </c>
      <c r="AF1" s="391">
        <v>31</v>
      </c>
    </row>
    <row r="2" spans="1:32" ht="18" customHeight="1">
      <c r="A2" s="1" t="s">
        <v>1</v>
      </c>
      <c r="B2" s="1354" t="s">
        <v>2</v>
      </c>
      <c r="C2" s="1354"/>
      <c r="D2" s="1354"/>
      <c r="E2" s="4447" t="s">
        <v>3</v>
      </c>
      <c r="F2" s="4448"/>
      <c r="G2" s="4760" t="s">
        <v>579</v>
      </c>
      <c r="H2" s="4760"/>
      <c r="I2" s="4760"/>
      <c r="J2" s="1355" t="s">
        <v>5</v>
      </c>
      <c r="K2" s="1356" t="s">
        <v>580</v>
      </c>
      <c r="L2" s="1357"/>
      <c r="M2" s="1358"/>
      <c r="N2" s="910" t="s">
        <v>7</v>
      </c>
      <c r="O2" s="1359"/>
      <c r="P2" s="1360" t="s">
        <v>8</v>
      </c>
      <c r="Q2" s="1361"/>
      <c r="R2" s="4449" t="s">
        <v>9</v>
      </c>
      <c r="S2" s="4449"/>
      <c r="T2" s="4449"/>
      <c r="U2" s="4761" t="s">
        <v>11</v>
      </c>
      <c r="V2" s="4761"/>
      <c r="W2" s="4762" t="s">
        <v>12</v>
      </c>
      <c r="X2" s="4762"/>
      <c r="Y2" s="1362" t="s">
        <v>581</v>
      </c>
      <c r="Z2" s="913"/>
      <c r="AA2" s="1284" t="s">
        <v>15</v>
      </c>
      <c r="AB2" s="1363"/>
      <c r="AC2" s="4763" t="s">
        <v>582</v>
      </c>
      <c r="AD2" s="4763"/>
      <c r="AE2" s="4763"/>
      <c r="AF2" s="4763"/>
    </row>
    <row r="3" spans="1:32" ht="18" customHeight="1">
      <c r="B3" s="1050" t="s">
        <v>583</v>
      </c>
      <c r="C3" s="1051"/>
      <c r="D3" s="1050"/>
      <c r="E3" s="1052"/>
      <c r="F3" s="1052"/>
      <c r="G3" s="1052"/>
      <c r="H3" s="1052"/>
      <c r="I3" s="1052"/>
      <c r="J3" s="1052"/>
      <c r="K3" s="1051"/>
      <c r="L3" s="1053"/>
      <c r="M3" s="1051"/>
      <c r="N3" s="1051"/>
      <c r="O3" s="1051"/>
      <c r="P3" s="1052"/>
      <c r="Q3" s="1051"/>
      <c r="R3" s="1051"/>
      <c r="S3" s="1051"/>
      <c r="T3" s="1052"/>
      <c r="U3" s="1051"/>
      <c r="V3" s="1051"/>
      <c r="W3" s="1051"/>
      <c r="X3" s="1051"/>
      <c r="Y3" s="1051"/>
      <c r="Z3" s="1051"/>
      <c r="AA3" s="1052"/>
      <c r="AB3" s="1052"/>
      <c r="AC3" s="1054" t="s">
        <v>10</v>
      </c>
      <c r="AD3" s="1052"/>
      <c r="AE3" s="1052"/>
      <c r="AF3" s="1051"/>
    </row>
    <row r="4" spans="1:32" ht="18" customHeight="1">
      <c r="A4" s="411" t="s">
        <v>44</v>
      </c>
      <c r="B4" s="1055"/>
      <c r="C4" s="1056" t="s">
        <v>19</v>
      </c>
      <c r="D4" s="1057"/>
      <c r="E4" s="1058"/>
      <c r="F4" s="1056" t="s">
        <v>20</v>
      </c>
      <c r="G4" s="1057"/>
      <c r="H4" s="1058"/>
      <c r="I4" s="1056" t="s">
        <v>21</v>
      </c>
      <c r="J4" s="1057"/>
      <c r="K4" s="1058"/>
      <c r="L4" s="1056" t="s">
        <v>22</v>
      </c>
      <c r="M4" s="1057"/>
      <c r="N4" s="1058"/>
      <c r="O4" s="1056" t="s">
        <v>23</v>
      </c>
      <c r="P4" s="1057"/>
      <c r="Q4" s="1058"/>
      <c r="R4" s="1056" t="s">
        <v>24</v>
      </c>
      <c r="S4" s="1059"/>
      <c r="T4" s="1060"/>
      <c r="U4" s="1061" t="s">
        <v>25</v>
      </c>
      <c r="V4" s="1062"/>
      <c r="W4" s="1051"/>
      <c r="X4" s="1051"/>
      <c r="Y4" s="1051"/>
      <c r="Z4" s="1051"/>
      <c r="AA4" s="1051"/>
      <c r="AB4" s="1051"/>
      <c r="AC4" s="1051"/>
      <c r="AD4" s="1051"/>
    </row>
    <row r="5" spans="1:32" ht="18" customHeight="1">
      <c r="A5" s="1273" t="s">
        <v>26</v>
      </c>
      <c r="B5" s="4764" t="s">
        <v>27</v>
      </c>
      <c r="C5" s="4765"/>
      <c r="D5" s="4766"/>
      <c r="E5" s="4764" t="s">
        <v>27</v>
      </c>
      <c r="F5" s="4767"/>
      <c r="G5" s="4767"/>
      <c r="H5" s="4764" t="s">
        <v>27</v>
      </c>
      <c r="I5" s="4767"/>
      <c r="J5" s="4766"/>
      <c r="K5" s="4764" t="s">
        <v>27</v>
      </c>
      <c r="L5" s="4767"/>
      <c r="M5" s="4766"/>
      <c r="N5" s="4764" t="s">
        <v>28</v>
      </c>
      <c r="O5" s="4767"/>
      <c r="P5" s="4766"/>
      <c r="Q5" s="4767"/>
      <c r="R5" s="4767"/>
      <c r="S5" s="4767"/>
      <c r="T5" s="4768"/>
      <c r="U5" s="4767"/>
      <c r="V5" s="4769"/>
      <c r="W5" s="1051"/>
      <c r="X5" s="1051"/>
      <c r="Y5" s="1051"/>
      <c r="Z5" s="1051"/>
      <c r="AA5" s="1063"/>
      <c r="AB5" s="1051"/>
      <c r="AC5" s="1051"/>
      <c r="AD5" s="1051"/>
      <c r="AE5" s="1051"/>
    </row>
    <row r="6" spans="1:32" ht="18" customHeight="1">
      <c r="A6" s="4770" t="s">
        <v>29</v>
      </c>
      <c r="B6" s="4771" t="s">
        <v>30</v>
      </c>
      <c r="C6" s="4772"/>
      <c r="D6" s="4773"/>
      <c r="E6" s="4771" t="s">
        <v>30</v>
      </c>
      <c r="F6" s="4772"/>
      <c r="G6" s="4772"/>
      <c r="H6" s="4771" t="s">
        <v>30</v>
      </c>
      <c r="I6" s="4772"/>
      <c r="J6" s="4773"/>
      <c r="K6" s="4771" t="s">
        <v>30</v>
      </c>
      <c r="L6" s="4772"/>
      <c r="M6" s="4772"/>
      <c r="N6" s="4771" t="s">
        <v>30</v>
      </c>
      <c r="O6" s="4772"/>
      <c r="P6" s="4773"/>
      <c r="Q6" s="4774" t="s">
        <v>31</v>
      </c>
      <c r="R6" s="4775"/>
      <c r="S6" s="4775"/>
      <c r="T6" s="4776" t="s">
        <v>31</v>
      </c>
      <c r="U6" s="4775"/>
      <c r="V6" s="4777"/>
      <c r="W6" s="1051"/>
      <c r="X6" s="1051"/>
      <c r="Y6" s="1051"/>
      <c r="Z6" s="1051"/>
      <c r="AA6" s="1064"/>
      <c r="AB6" s="1051"/>
      <c r="AC6" s="1051"/>
      <c r="AD6" s="1051"/>
      <c r="AE6" s="1051"/>
    </row>
    <row r="7" spans="1:32" ht="18" customHeight="1" thickBot="1">
      <c r="A7" s="420" t="s">
        <v>32</v>
      </c>
      <c r="B7" s="4778" t="s">
        <v>33</v>
      </c>
      <c r="C7" s="4779"/>
      <c r="D7" s="4780"/>
      <c r="E7" s="4778" t="s">
        <v>33</v>
      </c>
      <c r="F7" s="4781"/>
      <c r="G7" s="4781"/>
      <c r="H7" s="4778" t="s">
        <v>33</v>
      </c>
      <c r="I7" s="4781"/>
      <c r="J7" s="4782"/>
      <c r="K7" s="4778" t="s">
        <v>33</v>
      </c>
      <c r="L7" s="4781"/>
      <c r="M7" s="4782"/>
      <c r="N7" s="4778" t="s">
        <v>33</v>
      </c>
      <c r="O7" s="4781"/>
      <c r="P7" s="4782"/>
      <c r="Q7" s="4783" t="s">
        <v>34</v>
      </c>
      <c r="R7" s="4781"/>
      <c r="S7" s="4781"/>
      <c r="T7" s="4778" t="s">
        <v>35</v>
      </c>
      <c r="U7" s="4781"/>
      <c r="V7" s="4784"/>
      <c r="W7" s="1051"/>
      <c r="X7" s="1051"/>
      <c r="Y7" s="1051"/>
      <c r="Z7" s="1051"/>
      <c r="AA7" s="1064"/>
      <c r="AB7" s="1051"/>
      <c r="AC7" s="1051"/>
      <c r="AD7" s="1051"/>
      <c r="AE7" s="1051"/>
    </row>
    <row r="8" spans="1:32" ht="18" customHeight="1"/>
    <row r="9" spans="1:32" ht="18" customHeight="1" thickBot="1">
      <c r="A9" s="60" t="s">
        <v>36</v>
      </c>
      <c r="B9" s="1065"/>
      <c r="C9" s="1065"/>
      <c r="D9" s="1065"/>
      <c r="E9" s="1065"/>
      <c r="F9" s="1065"/>
      <c r="G9" s="1065"/>
      <c r="H9" s="1065"/>
      <c r="I9" s="1065"/>
      <c r="J9" s="1065"/>
      <c r="K9" s="1065"/>
      <c r="L9" s="1065"/>
      <c r="M9" s="1065"/>
      <c r="N9" s="1065"/>
      <c r="O9" s="1065"/>
      <c r="P9" s="1065"/>
      <c r="Q9" s="1065"/>
      <c r="R9" s="1065"/>
      <c r="S9" s="1065"/>
      <c r="T9" s="1065"/>
      <c r="U9" s="1065"/>
      <c r="V9" s="1065"/>
      <c r="W9" s="1065"/>
      <c r="X9" s="1065"/>
      <c r="Y9" s="1065"/>
      <c r="Z9" s="1065"/>
      <c r="AA9" s="1065"/>
      <c r="AB9" s="1065"/>
      <c r="AC9" s="1065"/>
      <c r="AD9" s="1065"/>
      <c r="AE9" s="1065"/>
      <c r="AF9" s="1066"/>
    </row>
    <row r="10" spans="1:32" ht="18" customHeight="1" thickBot="1">
      <c r="A10" s="869" t="s">
        <v>617</v>
      </c>
      <c r="B10" s="1067">
        <v>1</v>
      </c>
      <c r="C10" s="1068">
        <v>2</v>
      </c>
      <c r="D10" s="1067">
        <v>3</v>
      </c>
      <c r="E10" s="1067">
        <v>4</v>
      </c>
      <c r="F10" s="1068">
        <v>5</v>
      </c>
      <c r="G10" s="1068">
        <v>6</v>
      </c>
      <c r="H10" s="1068">
        <v>7</v>
      </c>
      <c r="I10" s="1068">
        <v>8</v>
      </c>
      <c r="J10" s="1068">
        <v>9</v>
      </c>
      <c r="K10" s="1067">
        <v>10</v>
      </c>
      <c r="L10" s="1067">
        <v>11</v>
      </c>
      <c r="M10" s="1068">
        <v>12</v>
      </c>
      <c r="N10" s="1068">
        <v>13</v>
      </c>
      <c r="O10" s="1068">
        <v>14</v>
      </c>
      <c r="P10" s="1068">
        <v>15</v>
      </c>
      <c r="Q10" s="1068">
        <v>16</v>
      </c>
      <c r="R10" s="1067">
        <v>17</v>
      </c>
      <c r="S10" s="1067">
        <v>18</v>
      </c>
      <c r="T10" s="1068">
        <v>19</v>
      </c>
      <c r="U10" s="1068">
        <v>20</v>
      </c>
      <c r="V10" s="1068">
        <v>21</v>
      </c>
      <c r="W10" s="1068">
        <v>22</v>
      </c>
      <c r="X10" s="1068">
        <v>23</v>
      </c>
      <c r="Y10" s="1067">
        <v>24</v>
      </c>
      <c r="Z10" s="1067">
        <v>25</v>
      </c>
      <c r="AA10" s="1068">
        <v>26</v>
      </c>
      <c r="AB10" s="1068">
        <v>27</v>
      </c>
      <c r="AC10" s="1068">
        <v>28</v>
      </c>
      <c r="AD10" s="1068">
        <v>29</v>
      </c>
      <c r="AE10" s="1068">
        <v>30</v>
      </c>
      <c r="AF10" s="1069">
        <v>31</v>
      </c>
    </row>
    <row r="11" spans="1:32" ht="18" customHeight="1">
      <c r="A11" s="4785" t="s">
        <v>39</v>
      </c>
      <c r="B11" s="4786" t="s">
        <v>40</v>
      </c>
      <c r="C11" s="4787" t="s">
        <v>40</v>
      </c>
      <c r="D11" s="4788"/>
      <c r="E11" s="4789"/>
      <c r="F11" s="4786" t="s">
        <v>40</v>
      </c>
      <c r="G11" s="4786" t="s">
        <v>40</v>
      </c>
      <c r="H11" s="4786" t="s">
        <v>40</v>
      </c>
      <c r="I11" s="4786" t="s">
        <v>40</v>
      </c>
      <c r="J11" s="4786" t="s">
        <v>40</v>
      </c>
      <c r="K11" s="4788"/>
      <c r="L11" s="4789"/>
      <c r="M11" s="4786" t="s">
        <v>40</v>
      </c>
      <c r="N11" s="4786" t="s">
        <v>40</v>
      </c>
      <c r="O11" s="4786" t="s">
        <v>40</v>
      </c>
      <c r="P11" s="4786" t="s">
        <v>40</v>
      </c>
      <c r="Q11" s="4786" t="s">
        <v>40</v>
      </c>
      <c r="R11" s="4788"/>
      <c r="S11" s="4789"/>
      <c r="T11" s="4786" t="s">
        <v>40</v>
      </c>
      <c r="U11" s="4786" t="s">
        <v>40</v>
      </c>
      <c r="V11" s="4786" t="s">
        <v>40</v>
      </c>
      <c r="W11" s="4786" t="s">
        <v>40</v>
      </c>
      <c r="X11" s="4786" t="s">
        <v>40</v>
      </c>
      <c r="Y11" s="4788"/>
      <c r="Z11" s="4789"/>
      <c r="AA11" s="4786" t="s">
        <v>40</v>
      </c>
      <c r="AB11" s="4786" t="s">
        <v>40</v>
      </c>
      <c r="AC11" s="4786" t="s">
        <v>40</v>
      </c>
      <c r="AD11" s="4786" t="s">
        <v>40</v>
      </c>
      <c r="AE11" s="4786" t="s">
        <v>40</v>
      </c>
      <c r="AF11" s="4790"/>
    </row>
    <row r="12" spans="1:32" ht="18" customHeight="1">
      <c r="A12" s="4791" t="s">
        <v>41</v>
      </c>
      <c r="B12" s="4792" t="s">
        <v>40</v>
      </c>
      <c r="C12" s="4792" t="s">
        <v>40</v>
      </c>
      <c r="D12" s="4793"/>
      <c r="E12" s="4794"/>
      <c r="F12" s="4792" t="s">
        <v>40</v>
      </c>
      <c r="G12" s="4792" t="s">
        <v>40</v>
      </c>
      <c r="H12" s="4792" t="s">
        <v>40</v>
      </c>
      <c r="I12" s="4792" t="s">
        <v>40</v>
      </c>
      <c r="J12" s="4792" t="s">
        <v>40</v>
      </c>
      <c r="K12" s="4793"/>
      <c r="L12" s="4794"/>
      <c r="M12" s="4792" t="s">
        <v>40</v>
      </c>
      <c r="N12" s="4792" t="s">
        <v>40</v>
      </c>
      <c r="O12" s="4792" t="s">
        <v>40</v>
      </c>
      <c r="P12" s="4792" t="s">
        <v>40</v>
      </c>
      <c r="Q12" s="4792" t="s">
        <v>40</v>
      </c>
      <c r="R12" s="4793"/>
      <c r="S12" s="4794"/>
      <c r="T12" s="4792" t="s">
        <v>40</v>
      </c>
      <c r="U12" s="4792" t="s">
        <v>40</v>
      </c>
      <c r="V12" s="4792" t="s">
        <v>40</v>
      </c>
      <c r="W12" s="4792" t="s">
        <v>40</v>
      </c>
      <c r="X12" s="4792" t="s">
        <v>40</v>
      </c>
      <c r="Y12" s="4793"/>
      <c r="Z12" s="4794"/>
      <c r="AA12" s="4792" t="s">
        <v>40</v>
      </c>
      <c r="AB12" s="4792" t="s">
        <v>40</v>
      </c>
      <c r="AC12" s="4792" t="s">
        <v>40</v>
      </c>
      <c r="AD12" s="4792" t="s">
        <v>40</v>
      </c>
      <c r="AE12" s="4792" t="s">
        <v>40</v>
      </c>
      <c r="AF12" s="4795"/>
    </row>
    <row r="13" spans="1:32" ht="18" customHeight="1" thickBot="1">
      <c r="A13" s="4796"/>
      <c r="B13" s="4797" t="s">
        <v>40</v>
      </c>
      <c r="C13" s="4797" t="s">
        <v>40</v>
      </c>
      <c r="D13" s="4798"/>
      <c r="E13" s="4799"/>
      <c r="F13" s="4800" t="s">
        <v>40</v>
      </c>
      <c r="G13" s="4800" t="s">
        <v>40</v>
      </c>
      <c r="H13" s="4800" t="s">
        <v>40</v>
      </c>
      <c r="I13" s="4800" t="s">
        <v>40</v>
      </c>
      <c r="J13" s="4800" t="s">
        <v>40</v>
      </c>
      <c r="K13" s="4800"/>
      <c r="L13" s="4800"/>
      <c r="M13" s="4800" t="s">
        <v>40</v>
      </c>
      <c r="N13" s="4800" t="s">
        <v>40</v>
      </c>
      <c r="O13" s="4801" t="s">
        <v>40</v>
      </c>
      <c r="P13" s="4801" t="s">
        <v>40</v>
      </c>
      <c r="Q13" s="4797" t="s">
        <v>40</v>
      </c>
      <c r="R13" s="4798"/>
      <c r="S13" s="4802"/>
      <c r="T13" s="4797" t="s">
        <v>40</v>
      </c>
      <c r="U13" s="4797" t="s">
        <v>40</v>
      </c>
      <c r="V13" s="4797" t="s">
        <v>40</v>
      </c>
      <c r="W13" s="4797" t="s">
        <v>40</v>
      </c>
      <c r="X13" s="4797" t="s">
        <v>40</v>
      </c>
      <c r="Y13" s="4798"/>
      <c r="Z13" s="4802"/>
      <c r="AA13" s="4797" t="s">
        <v>40</v>
      </c>
      <c r="AB13" s="4797" t="s">
        <v>40</v>
      </c>
      <c r="AC13" s="4797" t="s">
        <v>40</v>
      </c>
      <c r="AD13" s="4797" t="s">
        <v>40</v>
      </c>
      <c r="AE13" s="4797" t="s">
        <v>40</v>
      </c>
      <c r="AF13" s="4803"/>
    </row>
    <row r="14" spans="1:32" ht="18" customHeight="1">
      <c r="A14" s="561" t="s">
        <v>44</v>
      </c>
      <c r="B14" s="1070"/>
      <c r="C14" s="1070"/>
      <c r="D14" s="1070"/>
      <c r="E14" s="1070"/>
      <c r="F14" s="1070"/>
      <c r="G14" s="1070"/>
      <c r="H14" s="1070"/>
      <c r="I14" s="1070"/>
      <c r="J14" s="1070"/>
      <c r="K14" s="1070"/>
      <c r="L14" s="1070"/>
      <c r="M14" s="1070"/>
      <c r="N14" s="1070"/>
      <c r="O14" s="1070"/>
      <c r="P14" s="1070"/>
      <c r="Q14" s="1070"/>
      <c r="R14" s="1070"/>
      <c r="S14" s="1070"/>
      <c r="T14" s="1070"/>
      <c r="U14" s="1070"/>
      <c r="V14" s="1070"/>
      <c r="W14" s="1070"/>
      <c r="X14" s="1070"/>
      <c r="Y14" s="1070"/>
      <c r="Z14" s="1070"/>
      <c r="AA14" s="1070"/>
      <c r="AB14" s="1070"/>
      <c r="AC14" s="1070"/>
      <c r="AD14" s="1070"/>
      <c r="AE14" s="1070"/>
      <c r="AF14" s="1071"/>
    </row>
    <row r="15" spans="1:32" ht="18" customHeight="1" thickBot="1">
      <c r="A15" s="4796" t="s">
        <v>97</v>
      </c>
      <c r="B15" s="4804" t="s">
        <v>46</v>
      </c>
      <c r="C15" s="4802" t="s">
        <v>46</v>
      </c>
      <c r="D15" s="4802" t="s">
        <v>47</v>
      </c>
      <c r="E15" s="4802" t="s">
        <v>47</v>
      </c>
      <c r="F15" s="4805" t="s">
        <v>26</v>
      </c>
      <c r="G15" s="4806" t="s">
        <v>26</v>
      </c>
      <c r="H15" s="4805" t="s">
        <v>26</v>
      </c>
      <c r="I15" s="4805" t="s">
        <v>26</v>
      </c>
      <c r="J15" s="4805" t="s">
        <v>26</v>
      </c>
      <c r="K15" s="4805"/>
      <c r="L15" s="4807"/>
      <c r="M15" s="4805" t="s">
        <v>43</v>
      </c>
      <c r="N15" s="4805" t="s">
        <v>43</v>
      </c>
      <c r="O15" s="4805" t="s">
        <v>43</v>
      </c>
      <c r="P15" s="4805" t="s">
        <v>43</v>
      </c>
      <c r="Q15" s="4805" t="s">
        <v>43</v>
      </c>
      <c r="R15" s="4805" t="s">
        <v>0</v>
      </c>
      <c r="S15" s="4805"/>
      <c r="T15" s="4805" t="s">
        <v>46</v>
      </c>
      <c r="U15" s="4805" t="s">
        <v>46</v>
      </c>
      <c r="V15" s="4805" t="s">
        <v>46</v>
      </c>
      <c r="W15" s="4805" t="s">
        <v>46</v>
      </c>
      <c r="X15" s="4805" t="s">
        <v>46</v>
      </c>
      <c r="Y15" s="4805" t="s">
        <v>49</v>
      </c>
      <c r="Z15" s="4805" t="s">
        <v>49</v>
      </c>
      <c r="AA15" s="4808" t="s">
        <v>50</v>
      </c>
      <c r="AB15" s="4805" t="s">
        <v>50</v>
      </c>
      <c r="AC15" s="4805" t="s">
        <v>50</v>
      </c>
      <c r="AD15" s="4805" t="s">
        <v>50</v>
      </c>
      <c r="AE15" s="4805" t="s">
        <v>50</v>
      </c>
      <c r="AF15" s="4809"/>
    </row>
    <row r="16" spans="1:32" ht="18" customHeight="1">
      <c r="A16" s="4810" t="s">
        <v>51</v>
      </c>
      <c r="B16" s="4811" t="s">
        <v>26</v>
      </c>
      <c r="C16" s="4811" t="s">
        <v>26</v>
      </c>
      <c r="D16" s="4811"/>
      <c r="E16" s="4811"/>
      <c r="F16" s="4811" t="s">
        <v>43</v>
      </c>
      <c r="G16" s="4811" t="s">
        <v>43</v>
      </c>
      <c r="H16" s="4811" t="s">
        <v>43</v>
      </c>
      <c r="I16" s="4811" t="s">
        <v>43</v>
      </c>
      <c r="J16" s="4811" t="s">
        <v>43</v>
      </c>
      <c r="K16" s="4811"/>
      <c r="L16" s="4811"/>
      <c r="M16" s="4811" t="s">
        <v>46</v>
      </c>
      <c r="N16" s="4811" t="s">
        <v>46</v>
      </c>
      <c r="O16" s="4811" t="s">
        <v>46</v>
      </c>
      <c r="P16" s="4811" t="s">
        <v>46</v>
      </c>
      <c r="Q16" s="4811" t="s">
        <v>46</v>
      </c>
      <c r="R16" s="4808" t="s">
        <v>49</v>
      </c>
      <c r="S16" s="4811" t="s">
        <v>49</v>
      </c>
      <c r="T16" s="4794" t="s">
        <v>50</v>
      </c>
      <c r="U16" s="4794" t="s">
        <v>50</v>
      </c>
      <c r="V16" s="4794" t="s">
        <v>50</v>
      </c>
      <c r="W16" s="4805" t="s">
        <v>50</v>
      </c>
      <c r="X16" s="4794" t="s">
        <v>50</v>
      </c>
      <c r="Y16" s="4812"/>
      <c r="Z16" s="4812"/>
      <c r="AA16" s="4811" t="s">
        <v>46</v>
      </c>
      <c r="AB16" s="4811" t="s">
        <v>46</v>
      </c>
      <c r="AC16" s="4811" t="s">
        <v>46</v>
      </c>
      <c r="AD16" s="4811" t="s">
        <v>46</v>
      </c>
      <c r="AE16" s="4811" t="s">
        <v>46</v>
      </c>
      <c r="AF16" s="4813" t="s">
        <v>47</v>
      </c>
    </row>
    <row r="17" spans="1:34" ht="18" customHeight="1">
      <c r="A17" s="4810" t="s">
        <v>54</v>
      </c>
      <c r="B17" s="4807" t="s">
        <v>43</v>
      </c>
      <c r="C17" s="4805" t="s">
        <v>43</v>
      </c>
      <c r="D17" s="4807"/>
      <c r="E17" s="4805"/>
      <c r="F17" s="4805" t="s">
        <v>46</v>
      </c>
      <c r="G17" s="4807" t="s">
        <v>46</v>
      </c>
      <c r="H17" s="4805" t="s">
        <v>46</v>
      </c>
      <c r="I17" s="4805" t="s">
        <v>46</v>
      </c>
      <c r="J17" s="4805" t="s">
        <v>46</v>
      </c>
      <c r="K17" s="4805" t="s">
        <v>49</v>
      </c>
      <c r="L17" s="4805" t="s">
        <v>49</v>
      </c>
      <c r="M17" s="4805" t="s">
        <v>50</v>
      </c>
      <c r="N17" s="4805" t="s">
        <v>50</v>
      </c>
      <c r="O17" s="4811" t="s">
        <v>50</v>
      </c>
      <c r="P17" s="4811" t="s">
        <v>50</v>
      </c>
      <c r="Q17" s="4808" t="s">
        <v>50</v>
      </c>
      <c r="R17" s="4807"/>
      <c r="S17" s="4807"/>
      <c r="T17" s="4805" t="s">
        <v>46</v>
      </c>
      <c r="U17" s="4805" t="s">
        <v>46</v>
      </c>
      <c r="V17" s="4805" t="s">
        <v>46</v>
      </c>
      <c r="W17" s="4805" t="s">
        <v>46</v>
      </c>
      <c r="X17" s="4806" t="s">
        <v>46</v>
      </c>
      <c r="Y17" s="4814" t="s">
        <v>47</v>
      </c>
      <c r="Z17" s="4815" t="s">
        <v>47</v>
      </c>
      <c r="AA17" s="4815" t="s">
        <v>26</v>
      </c>
      <c r="AB17" s="4807" t="s">
        <v>26</v>
      </c>
      <c r="AC17" s="4807" t="s">
        <v>26</v>
      </c>
      <c r="AD17" s="4807" t="s">
        <v>26</v>
      </c>
      <c r="AE17" s="4805" t="s">
        <v>26</v>
      </c>
      <c r="AF17" s="4816"/>
    </row>
    <row r="18" spans="1:34" ht="18" customHeight="1">
      <c r="A18" s="4791" t="s">
        <v>56</v>
      </c>
      <c r="B18" s="4817" t="s">
        <v>46</v>
      </c>
      <c r="C18" s="4805" t="s">
        <v>46</v>
      </c>
      <c r="D18" s="4818" t="s">
        <v>49</v>
      </c>
      <c r="E18" s="4818" t="s">
        <v>49</v>
      </c>
      <c r="F18" s="4819" t="s">
        <v>50</v>
      </c>
      <c r="G18" s="4819" t="s">
        <v>50</v>
      </c>
      <c r="H18" s="4819" t="s">
        <v>50</v>
      </c>
      <c r="I18" s="4819" t="s">
        <v>50</v>
      </c>
      <c r="J18" s="4819" t="s">
        <v>50</v>
      </c>
      <c r="K18" s="4819"/>
      <c r="L18" s="4819"/>
      <c r="M18" s="4805" t="s">
        <v>46</v>
      </c>
      <c r="N18" s="4807" t="s">
        <v>46</v>
      </c>
      <c r="O18" s="4807" t="s">
        <v>46</v>
      </c>
      <c r="P18" s="4805" t="s">
        <v>46</v>
      </c>
      <c r="Q18" s="4807" t="s">
        <v>46</v>
      </c>
      <c r="R18" s="4807" t="s">
        <v>47</v>
      </c>
      <c r="S18" s="4807" t="s">
        <v>47</v>
      </c>
      <c r="T18" s="4807" t="s">
        <v>26</v>
      </c>
      <c r="U18" s="4807" t="s">
        <v>26</v>
      </c>
      <c r="V18" s="4811" t="s">
        <v>26</v>
      </c>
      <c r="W18" s="4811" t="s">
        <v>26</v>
      </c>
      <c r="X18" s="4805" t="s">
        <v>26</v>
      </c>
      <c r="Y18" s="4805"/>
      <c r="Z18" s="4805"/>
      <c r="AA18" s="4805" t="s">
        <v>43</v>
      </c>
      <c r="AB18" s="4805" t="s">
        <v>43</v>
      </c>
      <c r="AC18" s="4805" t="s">
        <v>43</v>
      </c>
      <c r="AD18" s="4817" t="s">
        <v>43</v>
      </c>
      <c r="AE18" s="4805" t="s">
        <v>43</v>
      </c>
      <c r="AF18" s="4820"/>
    </row>
    <row r="19" spans="1:34" ht="18" customHeight="1">
      <c r="A19" s="4791" t="s">
        <v>472</v>
      </c>
      <c r="B19" s="4812" t="s">
        <v>50</v>
      </c>
      <c r="C19" s="4812" t="s">
        <v>50</v>
      </c>
      <c r="D19" s="4812"/>
      <c r="E19" s="4812"/>
      <c r="F19" s="4805" t="s">
        <v>46</v>
      </c>
      <c r="G19" s="4807" t="s">
        <v>46</v>
      </c>
      <c r="H19" s="4805" t="s">
        <v>46</v>
      </c>
      <c r="I19" s="4805" t="s">
        <v>46</v>
      </c>
      <c r="J19" s="4805" t="s">
        <v>46</v>
      </c>
      <c r="K19" s="4812" t="s">
        <v>47</v>
      </c>
      <c r="L19" s="4812" t="s">
        <v>47</v>
      </c>
      <c r="M19" s="4805" t="s">
        <v>26</v>
      </c>
      <c r="N19" s="4792" t="s">
        <v>26</v>
      </c>
      <c r="O19" s="4792" t="s">
        <v>26</v>
      </c>
      <c r="P19" s="4792" t="s">
        <v>26</v>
      </c>
      <c r="Q19" s="4792" t="s">
        <v>26</v>
      </c>
      <c r="R19" s="4792"/>
      <c r="S19" s="4792"/>
      <c r="T19" s="1072" t="s">
        <v>40</v>
      </c>
      <c r="U19" s="1072" t="s">
        <v>40</v>
      </c>
      <c r="V19" s="1072" t="s">
        <v>40</v>
      </c>
      <c r="W19" s="1072" t="s">
        <v>40</v>
      </c>
      <c r="X19" s="1072" t="s">
        <v>40</v>
      </c>
      <c r="Y19" s="4806"/>
      <c r="Z19" s="4805"/>
      <c r="AA19" s="4805" t="s">
        <v>46</v>
      </c>
      <c r="AB19" s="4821" t="s">
        <v>46</v>
      </c>
      <c r="AC19" s="4821" t="s">
        <v>46</v>
      </c>
      <c r="AD19" s="4821" t="s">
        <v>46</v>
      </c>
      <c r="AE19" s="4821" t="s">
        <v>46</v>
      </c>
      <c r="AF19" s="4813" t="s">
        <v>0</v>
      </c>
    </row>
    <row r="20" spans="1:34" ht="18" customHeight="1" thickBot="1">
      <c r="A20" s="4796" t="s">
        <v>0</v>
      </c>
      <c r="B20" s="4812"/>
      <c r="C20" s="4812"/>
      <c r="D20" s="4812"/>
      <c r="E20" s="4812"/>
      <c r="F20" s="4812"/>
      <c r="G20" s="4812"/>
      <c r="H20" s="4812"/>
      <c r="I20" s="4812"/>
      <c r="J20" s="4812"/>
      <c r="K20" s="4812"/>
      <c r="L20" s="4812"/>
      <c r="M20" s="4812"/>
      <c r="N20" s="4812"/>
      <c r="O20" s="4812"/>
      <c r="P20" s="4812"/>
      <c r="Q20" s="4812"/>
      <c r="R20" s="4812"/>
      <c r="S20" s="4812"/>
      <c r="T20" s="4812"/>
      <c r="U20" s="4812"/>
      <c r="V20" s="4812"/>
      <c r="W20" s="4812"/>
      <c r="X20" s="4812"/>
      <c r="Y20" s="4812"/>
      <c r="Z20" s="4812"/>
      <c r="AA20" s="4812"/>
      <c r="AB20" s="4812"/>
      <c r="AC20" s="4812"/>
      <c r="AD20" s="4812"/>
      <c r="AE20" s="4812"/>
      <c r="AF20" s="4812"/>
    </row>
    <row r="21" spans="1:34" ht="18" customHeight="1" thickBot="1">
      <c r="A21" s="1289" t="s">
        <v>618</v>
      </c>
      <c r="B21" s="1073"/>
      <c r="C21" s="1073"/>
      <c r="D21" s="1073"/>
      <c r="E21" s="1073"/>
      <c r="F21" s="1073"/>
      <c r="G21" s="1073"/>
      <c r="H21" s="1073"/>
      <c r="I21" s="1073"/>
      <c r="J21" s="1073"/>
      <c r="K21" s="1073"/>
      <c r="L21" s="1073"/>
      <c r="M21" s="1073"/>
      <c r="N21" s="1073"/>
      <c r="O21" s="1073"/>
      <c r="P21" s="1073"/>
      <c r="Q21" s="1073"/>
      <c r="R21" s="1073"/>
      <c r="S21" s="1073"/>
      <c r="T21" s="1073"/>
      <c r="U21" s="1073"/>
      <c r="V21" s="1073"/>
      <c r="W21" s="1073"/>
      <c r="X21" s="1073"/>
      <c r="Y21" s="1073"/>
      <c r="Z21" s="1073"/>
      <c r="AA21" s="1073"/>
      <c r="AB21" s="1073"/>
      <c r="AC21" s="1073"/>
      <c r="AD21" s="1073"/>
      <c r="AE21" s="1073"/>
      <c r="AF21" s="1074"/>
    </row>
    <row r="22" spans="1:34" ht="18" customHeight="1">
      <c r="A22" s="4822" t="s">
        <v>59</v>
      </c>
      <c r="B22" s="1072"/>
      <c r="C22" s="1072" t="s">
        <v>40</v>
      </c>
      <c r="D22" s="1072"/>
      <c r="E22" s="1072"/>
      <c r="F22" s="1072" t="s">
        <v>40</v>
      </c>
      <c r="G22" s="1072" t="s">
        <v>40</v>
      </c>
      <c r="H22" s="1072" t="s">
        <v>40</v>
      </c>
      <c r="I22" s="1072" t="s">
        <v>40</v>
      </c>
      <c r="J22" s="1072" t="s">
        <v>40</v>
      </c>
      <c r="K22" s="1072"/>
      <c r="L22" s="1072"/>
      <c r="M22" s="1072" t="s">
        <v>40</v>
      </c>
      <c r="N22" s="1072" t="s">
        <v>40</v>
      </c>
      <c r="O22" s="1072" t="s">
        <v>40</v>
      </c>
      <c r="P22" s="1072" t="s">
        <v>40</v>
      </c>
      <c r="Q22" s="1072" t="s">
        <v>40</v>
      </c>
      <c r="R22" s="1072"/>
      <c r="S22" s="1331"/>
      <c r="T22" s="1072" t="s">
        <v>40</v>
      </c>
      <c r="U22" s="1072" t="s">
        <v>40</v>
      </c>
      <c r="V22" s="1072" t="s">
        <v>40</v>
      </c>
      <c r="W22" s="1072" t="s">
        <v>40</v>
      </c>
      <c r="X22" s="1072" t="s">
        <v>40</v>
      </c>
      <c r="Y22" s="1072"/>
      <c r="Z22" s="1072"/>
      <c r="AA22" s="1072" t="s">
        <v>40</v>
      </c>
      <c r="AB22" s="1072" t="s">
        <v>40</v>
      </c>
      <c r="AC22" s="1072" t="s">
        <v>40</v>
      </c>
      <c r="AD22" s="1072" t="s">
        <v>40</v>
      </c>
      <c r="AE22" s="1072" t="s">
        <v>40</v>
      </c>
      <c r="AF22" s="1075"/>
      <c r="AH22" s="1049" t="s">
        <v>0</v>
      </c>
    </row>
    <row r="23" spans="1:34" ht="18" customHeight="1" thickBot="1">
      <c r="A23" s="4823" t="s">
        <v>522</v>
      </c>
      <c r="B23" s="1080"/>
      <c r="C23" s="1080" t="s">
        <v>40</v>
      </c>
      <c r="D23" s="1080"/>
      <c r="E23" s="1080"/>
      <c r="F23" s="1081" t="s">
        <v>40</v>
      </c>
      <c r="G23" s="1081" t="s">
        <v>40</v>
      </c>
      <c r="H23" s="1080" t="s">
        <v>40</v>
      </c>
      <c r="I23" s="1080" t="s">
        <v>40</v>
      </c>
      <c r="J23" s="1076" t="s">
        <v>40</v>
      </c>
      <c r="K23" s="1076"/>
      <c r="L23" s="1076"/>
      <c r="M23" s="1081" t="s">
        <v>40</v>
      </c>
      <c r="N23" s="1081" t="s">
        <v>40</v>
      </c>
      <c r="O23" s="1081" t="s">
        <v>40</v>
      </c>
      <c r="P23" s="1080" t="s">
        <v>40</v>
      </c>
      <c r="Q23" s="1080" t="s">
        <v>40</v>
      </c>
      <c r="R23" s="1080"/>
      <c r="S23" s="1080"/>
      <c r="T23" s="1081" t="s">
        <v>40</v>
      </c>
      <c r="U23" s="1081" t="s">
        <v>40</v>
      </c>
      <c r="V23" s="1081" t="s">
        <v>40</v>
      </c>
      <c r="W23" s="1081" t="s">
        <v>40</v>
      </c>
      <c r="X23" s="1081" t="s">
        <v>40</v>
      </c>
      <c r="Y23" s="1080"/>
      <c r="Z23" s="1080"/>
      <c r="AA23" s="1081" t="s">
        <v>40</v>
      </c>
      <c r="AB23" s="1081" t="s">
        <v>40</v>
      </c>
      <c r="AC23" s="1080" t="s">
        <v>40</v>
      </c>
      <c r="AD23" s="1080" t="s">
        <v>40</v>
      </c>
      <c r="AE23" s="1080" t="s">
        <v>40</v>
      </c>
      <c r="AF23" s="1082"/>
    </row>
    <row r="24" spans="1:34" ht="18" customHeight="1" thickBot="1">
      <c r="A24" s="1290" t="s">
        <v>58</v>
      </c>
      <c r="B24" s="1286"/>
      <c r="C24" s="1286"/>
      <c r="D24" s="1286"/>
      <c r="E24" s="1286"/>
      <c r="F24" s="1286"/>
      <c r="G24" s="1286"/>
      <c r="H24" s="1286"/>
      <c r="I24" s="1286"/>
      <c r="J24" s="1286"/>
      <c r="K24" s="1286"/>
      <c r="L24" s="1287"/>
      <c r="M24" s="1287"/>
      <c r="N24" s="1287"/>
      <c r="O24" s="1287"/>
      <c r="P24" s="1287"/>
      <c r="Q24" s="1287"/>
      <c r="R24" s="1286"/>
      <c r="S24" s="1286"/>
      <c r="T24" s="1287"/>
      <c r="U24" s="1287"/>
      <c r="V24" s="1287"/>
      <c r="W24" s="1287"/>
      <c r="X24" s="1287"/>
      <c r="Y24" s="1286"/>
      <c r="Z24" s="1286"/>
      <c r="AA24" s="1287"/>
      <c r="AB24" s="1287"/>
      <c r="AC24" s="1287"/>
      <c r="AD24" s="1287"/>
      <c r="AE24" s="1287"/>
      <c r="AF24" s="1288"/>
    </row>
    <row r="25" spans="1:34" ht="18" customHeight="1" thickBot="1">
      <c r="A25" s="4791" t="s">
        <v>364</v>
      </c>
      <c r="B25" s="1076"/>
      <c r="C25" s="1077" t="s">
        <v>40</v>
      </c>
      <c r="D25" s="1076"/>
      <c r="E25" s="1076"/>
      <c r="F25" s="1077">
        <v>3</v>
      </c>
      <c r="G25" s="1076">
        <v>3</v>
      </c>
      <c r="H25" s="1076">
        <v>3</v>
      </c>
      <c r="I25" s="1076">
        <v>3</v>
      </c>
      <c r="J25" s="1076">
        <v>3</v>
      </c>
      <c r="K25" s="1076"/>
      <c r="L25" s="4824"/>
      <c r="M25" s="4824" t="s">
        <v>139</v>
      </c>
      <c r="N25" s="4825" t="s">
        <v>46</v>
      </c>
      <c r="O25" s="4812" t="s">
        <v>40</v>
      </c>
      <c r="P25" s="4812" t="s">
        <v>46</v>
      </c>
      <c r="Q25" s="4812" t="s">
        <v>50</v>
      </c>
      <c r="R25" s="1078" t="s">
        <v>49</v>
      </c>
      <c r="S25" s="1078"/>
      <c r="T25" s="4805" t="s">
        <v>43</v>
      </c>
      <c r="U25" s="4805" t="s">
        <v>43</v>
      </c>
      <c r="V25" s="4805" t="s">
        <v>43</v>
      </c>
      <c r="W25" s="4805" t="s">
        <v>43</v>
      </c>
      <c r="X25" s="4805" t="s">
        <v>43</v>
      </c>
      <c r="Y25" s="1077"/>
      <c r="Z25" s="1077"/>
      <c r="AA25" s="4811" t="s">
        <v>46</v>
      </c>
      <c r="AB25" s="4811" t="s">
        <v>46</v>
      </c>
      <c r="AC25" s="4811" t="s">
        <v>46</v>
      </c>
      <c r="AD25" s="4811" t="s">
        <v>46</v>
      </c>
      <c r="AE25" s="4811" t="s">
        <v>46</v>
      </c>
      <c r="AF25" s="1079" t="s">
        <v>49</v>
      </c>
    </row>
    <row r="26" spans="1:34" ht="18" customHeight="1">
      <c r="A26" s="4791" t="s">
        <v>88</v>
      </c>
      <c r="B26" s="1072" t="s">
        <v>46</v>
      </c>
      <c r="C26" s="1072" t="s">
        <v>40</v>
      </c>
      <c r="D26" s="1072"/>
      <c r="E26" s="1083"/>
      <c r="F26" s="4805" t="s">
        <v>50</v>
      </c>
      <c r="G26" s="4805" t="s">
        <v>50</v>
      </c>
      <c r="H26" s="4811" t="s">
        <v>50</v>
      </c>
      <c r="I26" s="4811" t="s">
        <v>50</v>
      </c>
      <c r="J26" s="4807" t="s">
        <v>50</v>
      </c>
      <c r="K26" s="1072"/>
      <c r="L26" s="1081"/>
      <c r="M26" s="4819" t="s">
        <v>46</v>
      </c>
      <c r="N26" s="4819" t="s">
        <v>46</v>
      </c>
      <c r="O26" s="4819" t="s">
        <v>46</v>
      </c>
      <c r="P26" s="1084" t="s">
        <v>46</v>
      </c>
      <c r="Q26" s="1084" t="s">
        <v>50</v>
      </c>
      <c r="R26" s="1084" t="s">
        <v>104</v>
      </c>
      <c r="S26" s="1084" t="s">
        <v>104</v>
      </c>
      <c r="T26" s="1081" t="s">
        <v>40</v>
      </c>
      <c r="U26" s="1081" t="s">
        <v>40</v>
      </c>
      <c r="V26" s="1081" t="s">
        <v>127</v>
      </c>
      <c r="W26" s="1081" t="s">
        <v>40</v>
      </c>
      <c r="X26" s="1081" t="s">
        <v>40</v>
      </c>
      <c r="Y26" s="1072"/>
      <c r="Z26" s="1081"/>
      <c r="AA26" s="1081" t="s">
        <v>50</v>
      </c>
      <c r="AB26" s="1081" t="s">
        <v>46</v>
      </c>
      <c r="AC26" s="1085" t="s">
        <v>46</v>
      </c>
      <c r="AD26" s="1072" t="s">
        <v>40</v>
      </c>
      <c r="AE26" s="1072" t="s">
        <v>40</v>
      </c>
      <c r="AF26" s="1075"/>
    </row>
    <row r="27" spans="1:34" ht="18" customHeight="1">
      <c r="A27" s="461" t="s">
        <v>619</v>
      </c>
      <c r="B27" s="1086"/>
      <c r="C27" s="1086"/>
      <c r="D27" s="1086"/>
      <c r="E27" s="1087"/>
      <c r="F27" s="1088"/>
      <c r="G27" s="1086"/>
      <c r="H27" s="1089"/>
      <c r="I27" s="1086"/>
      <c r="J27" s="1086"/>
      <c r="K27" s="1086"/>
      <c r="L27" s="1088"/>
      <c r="M27" s="1088"/>
      <c r="N27" s="1086"/>
      <c r="O27" s="1089"/>
      <c r="P27" s="1090"/>
      <c r="Q27" s="1086"/>
      <c r="R27" s="1086"/>
      <c r="S27" s="1088"/>
      <c r="T27" s="1088"/>
      <c r="U27" s="1086"/>
      <c r="V27" s="1086"/>
      <c r="W27" s="1086"/>
      <c r="X27" s="1086"/>
      <c r="Y27" s="1086"/>
      <c r="Z27" s="1088"/>
      <c r="AA27" s="1088"/>
      <c r="AB27" s="1088"/>
      <c r="AC27" s="1089"/>
      <c r="AD27" s="1086"/>
      <c r="AE27" s="1086"/>
      <c r="AF27" s="1091"/>
    </row>
    <row r="28" spans="1:34" ht="18" customHeight="1" thickBot="1">
      <c r="A28" s="4826" t="s">
        <v>297</v>
      </c>
      <c r="B28" s="1092"/>
      <c r="C28" s="1092" t="s">
        <v>207</v>
      </c>
      <c r="D28" s="1092"/>
      <c r="E28" s="1093"/>
      <c r="F28" s="1094" t="s">
        <v>40</v>
      </c>
      <c r="G28" s="1094" t="s">
        <v>40</v>
      </c>
      <c r="H28" s="1094" t="s">
        <v>40</v>
      </c>
      <c r="I28" s="1094" t="s">
        <v>40</v>
      </c>
      <c r="J28" s="1094" t="s">
        <v>40</v>
      </c>
      <c r="K28" s="1092"/>
      <c r="L28" s="1094"/>
      <c r="M28" s="1094" t="s">
        <v>40</v>
      </c>
      <c r="N28" s="1094" t="s">
        <v>40</v>
      </c>
      <c r="O28" s="4827" t="s">
        <v>40</v>
      </c>
      <c r="P28" s="1094" t="s">
        <v>40</v>
      </c>
      <c r="Q28" s="1094" t="s">
        <v>127</v>
      </c>
      <c r="R28" s="1092"/>
      <c r="S28" s="1094"/>
      <c r="T28" s="1094" t="s">
        <v>127</v>
      </c>
      <c r="U28" s="1094" t="s">
        <v>127</v>
      </c>
      <c r="V28" s="1094" t="s">
        <v>127</v>
      </c>
      <c r="W28" s="1094" t="s">
        <v>127</v>
      </c>
      <c r="X28" s="1094" t="s">
        <v>127</v>
      </c>
      <c r="Y28" s="1092"/>
      <c r="Z28" s="1094"/>
      <c r="AA28" s="1094" t="s">
        <v>257</v>
      </c>
      <c r="AB28" s="1094" t="s">
        <v>257</v>
      </c>
      <c r="AC28" s="1094" t="s">
        <v>40</v>
      </c>
      <c r="AD28" s="1094" t="s">
        <v>257</v>
      </c>
      <c r="AE28" s="1094" t="s">
        <v>257</v>
      </c>
      <c r="AF28" s="1095"/>
    </row>
    <row r="29" spans="1:34" ht="18" customHeight="1">
      <c r="A29" s="361" t="s">
        <v>620</v>
      </c>
      <c r="B29" s="1096"/>
      <c r="C29" s="1096"/>
      <c r="D29" s="1096"/>
      <c r="E29" s="1097"/>
      <c r="F29" s="1098"/>
      <c r="G29" s="1096"/>
      <c r="H29" s="1099"/>
      <c r="I29" s="1096"/>
      <c r="J29" s="1096"/>
      <c r="K29" s="1096"/>
      <c r="L29" s="1098"/>
      <c r="M29" s="1098"/>
      <c r="N29" s="1096"/>
      <c r="O29" s="1099"/>
      <c r="P29" s="1100"/>
      <c r="Q29" s="1096"/>
      <c r="R29" s="1096"/>
      <c r="S29" s="1098"/>
      <c r="T29" s="1098"/>
      <c r="U29" s="1096"/>
      <c r="V29" s="1096"/>
      <c r="W29" s="1096"/>
      <c r="X29" s="1096"/>
      <c r="Y29" s="1096"/>
      <c r="Z29" s="1098"/>
      <c r="AA29" s="1098"/>
      <c r="AB29" s="1098"/>
      <c r="AC29" s="1099"/>
      <c r="AD29" s="1096"/>
      <c r="AE29" s="1096"/>
      <c r="AF29" s="1101"/>
    </row>
    <row r="30" spans="1:34" ht="18" customHeight="1" thickBot="1">
      <c r="A30" s="454" t="s">
        <v>65</v>
      </c>
      <c r="B30" s="1102"/>
      <c r="C30" s="1103" t="s">
        <v>40</v>
      </c>
      <c r="D30" s="1102"/>
      <c r="E30" s="1104"/>
      <c r="F30" s="1105" t="s">
        <v>40</v>
      </c>
      <c r="G30" s="1105" t="s">
        <v>40</v>
      </c>
      <c r="H30" s="1105" t="s">
        <v>40</v>
      </c>
      <c r="I30" s="1105" t="s">
        <v>40</v>
      </c>
      <c r="J30" s="1105" t="s">
        <v>40</v>
      </c>
      <c r="K30" s="1102"/>
      <c r="L30" s="1105"/>
      <c r="M30" s="1105" t="s">
        <v>40</v>
      </c>
      <c r="N30" s="1105" t="s">
        <v>40</v>
      </c>
      <c r="O30" s="1105" t="s">
        <v>40</v>
      </c>
      <c r="P30" s="1105" t="s">
        <v>40</v>
      </c>
      <c r="Q30" s="1105" t="s">
        <v>40</v>
      </c>
      <c r="R30" s="1102"/>
      <c r="S30" s="1105"/>
      <c r="T30" s="1105" t="s">
        <v>40</v>
      </c>
      <c r="U30" s="1105" t="s">
        <v>40</v>
      </c>
      <c r="V30" s="1105" t="s">
        <v>40</v>
      </c>
      <c r="W30" s="1105" t="s">
        <v>40</v>
      </c>
      <c r="X30" s="1105" t="s">
        <v>40</v>
      </c>
      <c r="Y30" s="1102"/>
      <c r="Z30" s="1105"/>
      <c r="AA30" s="1105" t="s">
        <v>40</v>
      </c>
      <c r="AB30" s="1105" t="s">
        <v>40</v>
      </c>
      <c r="AC30" s="1105" t="s">
        <v>40</v>
      </c>
      <c r="AD30" s="1105" t="s">
        <v>40</v>
      </c>
      <c r="AE30" s="1105" t="s">
        <v>40</v>
      </c>
      <c r="AF30" s="1106"/>
    </row>
    <row r="32" spans="1:34" ht="15.75" thickBot="1">
      <c r="A32" s="362" t="s">
        <v>584</v>
      </c>
      <c r="B32" s="1067">
        <v>1</v>
      </c>
      <c r="C32" s="1068">
        <v>2</v>
      </c>
      <c r="D32" s="1067">
        <v>3</v>
      </c>
      <c r="E32" s="1067">
        <v>4</v>
      </c>
      <c r="F32" s="1068">
        <v>5</v>
      </c>
      <c r="G32" s="1068">
        <v>6</v>
      </c>
      <c r="H32" s="1068">
        <v>7</v>
      </c>
      <c r="I32" s="1068">
        <v>8</v>
      </c>
      <c r="J32" s="1068">
        <v>9</v>
      </c>
      <c r="K32" s="1067">
        <v>10</v>
      </c>
      <c r="L32" s="1067">
        <v>11</v>
      </c>
      <c r="M32" s="1068">
        <v>12</v>
      </c>
      <c r="N32" s="1068">
        <v>13</v>
      </c>
      <c r="O32" s="1068">
        <v>14</v>
      </c>
      <c r="P32" s="1068">
        <v>15</v>
      </c>
      <c r="Q32" s="1068">
        <v>16</v>
      </c>
      <c r="R32" s="1067">
        <v>17</v>
      </c>
      <c r="S32" s="1067">
        <v>18</v>
      </c>
      <c r="T32" s="1068">
        <v>19</v>
      </c>
      <c r="U32" s="1068">
        <v>20</v>
      </c>
      <c r="V32" s="1068">
        <v>21</v>
      </c>
      <c r="W32" s="1068">
        <v>22</v>
      </c>
      <c r="X32" s="1068">
        <v>23</v>
      </c>
      <c r="Y32" s="1067">
        <v>24</v>
      </c>
      <c r="Z32" s="1067">
        <v>25</v>
      </c>
      <c r="AA32" s="1068">
        <v>26</v>
      </c>
      <c r="AB32" s="1068">
        <v>27</v>
      </c>
      <c r="AC32" s="1068">
        <v>28</v>
      </c>
      <c r="AD32" s="1068">
        <v>29</v>
      </c>
      <c r="AE32" s="1068">
        <v>30</v>
      </c>
      <c r="AF32" s="1069">
        <v>31</v>
      </c>
    </row>
    <row r="33" spans="1:32">
      <c r="A33" s="343"/>
      <c r="B33" s="1107"/>
      <c r="C33" s="1107" t="s">
        <v>0</v>
      </c>
      <c r="D33" s="1495" t="s">
        <v>0</v>
      </c>
      <c r="E33" s="1495" t="s">
        <v>0</v>
      </c>
      <c r="F33" s="1107"/>
      <c r="G33" s="1107" t="s">
        <v>0</v>
      </c>
      <c r="H33" s="1107"/>
      <c r="I33" s="1107"/>
      <c r="J33" s="1107"/>
      <c r="K33" s="1107"/>
      <c r="L33" s="4828" t="s">
        <v>0</v>
      </c>
      <c r="M33" s="4828" t="s">
        <v>0</v>
      </c>
      <c r="N33" s="1107">
        <v>22</v>
      </c>
      <c r="O33" s="1107">
        <v>22</v>
      </c>
      <c r="P33" s="1107">
        <v>22</v>
      </c>
      <c r="Q33" s="1107">
        <v>22</v>
      </c>
      <c r="R33" s="1107" t="s">
        <v>0</v>
      </c>
      <c r="S33" s="1107"/>
      <c r="T33" s="1107"/>
      <c r="U33" s="1107"/>
      <c r="V33" s="1107"/>
      <c r="W33" s="1107"/>
      <c r="X33" s="1107"/>
      <c r="Y33" s="1107" t="s">
        <v>0</v>
      </c>
      <c r="Z33" s="1107" t="s">
        <v>0</v>
      </c>
      <c r="AA33" s="4829" t="s">
        <v>0</v>
      </c>
      <c r="AB33" s="4829" t="s">
        <v>0</v>
      </c>
      <c r="AC33" s="1107"/>
      <c r="AD33" s="1107"/>
      <c r="AE33" s="1107"/>
      <c r="AF33" s="1108" t="s">
        <v>0</v>
      </c>
    </row>
    <row r="34" spans="1:32">
      <c r="A34" s="343"/>
      <c r="B34" s="4830" t="s">
        <v>0</v>
      </c>
      <c r="C34" s="4830"/>
      <c r="D34" s="4829"/>
      <c r="E34" s="4831"/>
      <c r="F34" s="1107" t="s">
        <v>0</v>
      </c>
      <c r="G34" s="1107"/>
      <c r="H34" s="1107"/>
      <c r="I34" s="1107"/>
      <c r="J34" s="1107" t="s">
        <v>0</v>
      </c>
      <c r="K34" s="1107" t="s">
        <v>0</v>
      </c>
      <c r="L34" s="1107" t="s">
        <v>0</v>
      </c>
      <c r="M34" s="4832" t="s">
        <v>0</v>
      </c>
      <c r="N34" s="4829" t="s">
        <v>0</v>
      </c>
      <c r="O34" s="1107"/>
      <c r="P34" s="1107"/>
      <c r="Q34" s="1107"/>
      <c r="R34" s="4830" t="s">
        <v>371</v>
      </c>
      <c r="S34" s="4830"/>
      <c r="T34" s="4830" t="s">
        <v>0</v>
      </c>
      <c r="U34" s="1107"/>
      <c r="V34" s="1107"/>
      <c r="W34" s="1107"/>
      <c r="X34" s="1107"/>
      <c r="Y34" s="1107"/>
      <c r="Z34" s="1107"/>
      <c r="AA34" s="4830" t="s">
        <v>0</v>
      </c>
      <c r="AB34" s="4830" t="s">
        <v>0</v>
      </c>
      <c r="AC34" s="4830" t="s">
        <v>257</v>
      </c>
      <c r="AD34" s="4830" t="s">
        <v>0</v>
      </c>
      <c r="AE34" s="4830" t="s">
        <v>0</v>
      </c>
      <c r="AF34" s="4829" t="s">
        <v>0</v>
      </c>
    </row>
    <row r="35" spans="1:32">
      <c r="A35" s="343"/>
      <c r="B35" s="1107"/>
      <c r="C35" s="1107" t="s">
        <v>0</v>
      </c>
      <c r="D35" s="1495"/>
      <c r="E35" s="1495"/>
      <c r="F35" s="1107"/>
      <c r="G35" s="1107"/>
      <c r="H35" s="1107"/>
      <c r="I35" s="1107" t="s">
        <v>118</v>
      </c>
      <c r="J35" s="1107"/>
      <c r="K35" s="1107"/>
      <c r="L35" s="1107"/>
      <c r="M35" s="4830" t="s">
        <v>0</v>
      </c>
      <c r="N35" s="4830" t="s">
        <v>0</v>
      </c>
      <c r="O35" s="1107"/>
      <c r="P35" s="1107"/>
      <c r="Q35" s="1107"/>
      <c r="R35" s="4830" t="s">
        <v>0</v>
      </c>
      <c r="S35" s="4830"/>
      <c r="T35" s="1107" t="s">
        <v>0</v>
      </c>
      <c r="U35" s="1107"/>
      <c r="V35" s="1107"/>
      <c r="W35" s="1107"/>
      <c r="X35" s="1107"/>
      <c r="Y35" s="1107"/>
      <c r="Z35" s="1107"/>
      <c r="AA35" s="1107"/>
      <c r="AB35" s="1107"/>
      <c r="AC35" s="1107"/>
      <c r="AD35" s="1107"/>
      <c r="AE35" s="1107"/>
      <c r="AF35" s="4830"/>
    </row>
    <row r="36" spans="1:32">
      <c r="A36" s="343"/>
      <c r="B36" s="1107"/>
      <c r="C36" s="1107"/>
      <c r="D36" s="1107"/>
      <c r="E36" s="1107"/>
      <c r="F36" s="1107"/>
      <c r="G36" s="1107"/>
      <c r="H36" s="1107"/>
      <c r="I36" s="1107"/>
      <c r="J36" s="1107"/>
      <c r="K36" s="1107"/>
      <c r="L36" s="1107"/>
      <c r="M36" s="1107"/>
      <c r="N36" s="1107"/>
      <c r="O36" s="1107"/>
      <c r="P36" s="1107"/>
      <c r="Q36" s="1107"/>
      <c r="R36" s="1107"/>
      <c r="S36" s="1109">
        <v>23</v>
      </c>
      <c r="T36" s="1109" t="s">
        <v>0</v>
      </c>
      <c r="U36" s="1107"/>
      <c r="V36" s="1107"/>
      <c r="W36" s="1107"/>
      <c r="X36" s="1107"/>
      <c r="Y36" s="1107"/>
      <c r="Z36" s="1107"/>
      <c r="AA36" s="1107"/>
      <c r="AB36" s="1107"/>
      <c r="AC36" s="1107"/>
      <c r="AD36" s="1107"/>
      <c r="AE36" s="1107"/>
      <c r="AF36" s="1108"/>
    </row>
    <row r="37" spans="1:32">
      <c r="A37" s="343"/>
      <c r="B37" s="1107"/>
      <c r="C37" s="1107"/>
      <c r="D37" s="1107"/>
      <c r="E37" s="1107"/>
      <c r="F37" s="1107"/>
      <c r="G37" s="1107"/>
      <c r="H37" s="1107"/>
      <c r="I37" s="1107"/>
      <c r="J37" s="1107"/>
      <c r="K37" s="1107"/>
      <c r="L37" s="1107"/>
      <c r="M37" s="1107"/>
      <c r="N37" s="1107"/>
      <c r="O37" s="1107"/>
      <c r="P37" s="1107"/>
      <c r="Q37" s="1107"/>
      <c r="R37" s="1107"/>
      <c r="S37" s="1107" t="s">
        <v>0</v>
      </c>
      <c r="T37" s="1107"/>
      <c r="U37" s="1107"/>
      <c r="V37" s="1107"/>
      <c r="W37" s="1107"/>
      <c r="X37" s="1107"/>
      <c r="Y37" s="1107"/>
      <c r="Z37" s="1107"/>
      <c r="AA37" s="1107"/>
      <c r="AB37" s="1107"/>
      <c r="AC37" s="1107"/>
      <c r="AD37" s="1107"/>
      <c r="AE37" s="1107"/>
      <c r="AF37" s="1108"/>
    </row>
    <row r="38" spans="1:32" ht="12.75" thickBot="1">
      <c r="A38" s="343"/>
      <c r="B38" s="1110"/>
      <c r="C38" s="1110"/>
      <c r="D38" s="1110"/>
      <c r="E38" s="1110"/>
      <c r="F38" s="1110"/>
      <c r="G38" s="1110"/>
      <c r="H38" s="1110"/>
      <c r="I38" s="1110"/>
      <c r="J38" s="1110"/>
      <c r="K38" s="1110"/>
      <c r="L38" s="1110"/>
      <c r="M38" s="1110"/>
      <c r="N38" s="1110"/>
      <c r="O38" s="1110"/>
      <c r="P38" s="1110"/>
      <c r="Q38" s="1110"/>
      <c r="R38" s="1110"/>
      <c r="S38" s="1110" t="s">
        <v>0</v>
      </c>
      <c r="T38" s="1110"/>
      <c r="U38" s="1110"/>
      <c r="V38" s="1110"/>
      <c r="W38" s="1110"/>
      <c r="X38" s="1110"/>
      <c r="Y38" s="1110"/>
      <c r="Z38" s="1110"/>
      <c r="AA38" s="1110"/>
      <c r="AB38" s="1110"/>
      <c r="AC38" s="1110"/>
      <c r="AD38" s="1110"/>
      <c r="AE38" s="1110"/>
      <c r="AF38" s="1111"/>
    </row>
    <row r="39" spans="1:32" ht="18" customHeight="1"/>
    <row r="40" spans="1:32" ht="11.25" customHeight="1">
      <c r="A40" s="96" t="s">
        <v>66</v>
      </c>
      <c r="D40" s="1113"/>
      <c r="E40" s="1113"/>
      <c r="F40" s="1113"/>
      <c r="G40" s="1113"/>
      <c r="H40" s="1113"/>
      <c r="I40" s="1113"/>
      <c r="J40" s="1113"/>
      <c r="K40" s="1113"/>
      <c r="L40" s="1113"/>
      <c r="M40" s="1113"/>
      <c r="N40" s="1113"/>
      <c r="O40" s="1113" t="s">
        <v>0</v>
      </c>
      <c r="P40" s="1113"/>
      <c r="Q40" s="1113" t="s">
        <v>67</v>
      </c>
      <c r="R40" s="1113" t="s">
        <v>0</v>
      </c>
      <c r="S40" s="1113" t="s">
        <v>68</v>
      </c>
      <c r="T40" s="1113"/>
      <c r="U40" s="1113"/>
      <c r="V40" s="1113"/>
      <c r="W40" s="1113"/>
      <c r="X40" s="1113"/>
      <c r="Y40" s="1113"/>
      <c r="Z40" s="1113"/>
      <c r="AA40" s="1113"/>
      <c r="AB40" s="1113"/>
      <c r="AC40" s="1113"/>
      <c r="AD40" s="1113"/>
      <c r="AE40" s="1113"/>
      <c r="AF40" s="1113"/>
    </row>
    <row r="41" spans="1:32" ht="18" customHeight="1">
      <c r="A41" s="3056" t="s">
        <v>69</v>
      </c>
      <c r="B41" s="4833"/>
      <c r="C41" s="4833"/>
      <c r="D41" s="4834" t="s">
        <v>70</v>
      </c>
      <c r="E41" s="4835"/>
      <c r="F41" s="4835"/>
      <c r="G41" s="4835"/>
      <c r="H41" s="4835"/>
      <c r="I41" s="4835"/>
      <c r="J41" s="4835"/>
      <c r="K41" s="4835"/>
      <c r="L41" s="4835"/>
      <c r="M41" s="4836" t="s">
        <v>71</v>
      </c>
      <c r="N41" s="4835"/>
      <c r="O41" s="4835"/>
      <c r="P41" s="4835"/>
      <c r="Q41" s="4835"/>
      <c r="R41" s="4835"/>
      <c r="S41" s="4837"/>
      <c r="T41" s="4838" t="s">
        <v>621</v>
      </c>
      <c r="U41" s="4839"/>
      <c r="V41" s="4839"/>
      <c r="W41" s="4839"/>
      <c r="X41" s="4839"/>
      <c r="Y41" s="4839"/>
      <c r="Z41" s="4839"/>
      <c r="AA41" s="4840" t="s">
        <v>73</v>
      </c>
      <c r="AB41" s="4841"/>
      <c r="AC41" s="4841"/>
      <c r="AD41" s="4841"/>
      <c r="AE41" s="4841"/>
      <c r="AF41" s="4841"/>
    </row>
    <row r="42" spans="1:32" ht="18" customHeight="1">
      <c r="A42" s="4842" t="s">
        <v>74</v>
      </c>
      <c r="B42" s="4843"/>
      <c r="C42" s="4843"/>
      <c r="D42" s="4844" t="s">
        <v>75</v>
      </c>
      <c r="E42" s="4845"/>
      <c r="F42" s="4846"/>
      <c r="G42" s="4846"/>
      <c r="H42" s="4846"/>
      <c r="I42" s="4846"/>
      <c r="J42" s="4846"/>
      <c r="K42" s="4846"/>
      <c r="L42" s="4847"/>
      <c r="M42" s="4848" t="s">
        <v>76</v>
      </c>
      <c r="N42" s="4843"/>
      <c r="O42" s="4849"/>
      <c r="P42" s="4843"/>
      <c r="Q42" s="4843"/>
      <c r="R42" s="4843"/>
      <c r="S42" s="4850"/>
      <c r="T42" s="4844" t="s">
        <v>77</v>
      </c>
      <c r="U42" s="4846"/>
      <c r="V42" s="4845"/>
      <c r="W42" s="4846"/>
      <c r="X42" s="4846"/>
      <c r="Y42" s="4846"/>
      <c r="Z42" s="4847"/>
      <c r="AA42" s="1114" t="s">
        <v>78</v>
      </c>
      <c r="AD42" s="1115"/>
    </row>
    <row r="43" spans="1:32" ht="18" customHeight="1">
      <c r="A43" s="4851" t="s">
        <v>79</v>
      </c>
      <c r="B43" s="4846"/>
      <c r="C43" s="4846"/>
      <c r="D43" s="4852"/>
      <c r="E43" s="4846"/>
      <c r="F43" s="4846"/>
      <c r="G43" s="4847"/>
      <c r="H43" s="4853" t="s">
        <v>80</v>
      </c>
      <c r="I43" s="4846"/>
      <c r="J43" s="4846"/>
      <c r="K43" s="4846"/>
      <c r="L43" s="4846"/>
      <c r="M43" s="4854"/>
      <c r="N43" s="4846"/>
      <c r="O43" s="4846"/>
      <c r="P43" s="4846"/>
      <c r="Q43" s="4846"/>
      <c r="R43" s="4846"/>
      <c r="S43" s="4846"/>
      <c r="T43" s="4852"/>
      <c r="U43" s="1112" t="s">
        <v>81</v>
      </c>
      <c r="AA43" s="4849"/>
      <c r="AB43" s="4843"/>
      <c r="AC43" s="4843"/>
      <c r="AD43" s="4843"/>
      <c r="AE43" s="4843"/>
      <c r="AF43" s="4843"/>
    </row>
    <row r="44" spans="1:32" ht="18" customHeight="1" thickBot="1">
      <c r="A44" s="4855" t="s">
        <v>82</v>
      </c>
      <c r="B44" s="4856"/>
      <c r="C44" s="4856"/>
      <c r="D44" s="4857"/>
      <c r="E44" s="4856"/>
      <c r="F44" s="4856"/>
      <c r="G44" s="4858"/>
      <c r="H44" s="4859" t="s">
        <v>83</v>
      </c>
      <c r="I44" s="4858"/>
      <c r="J44" s="4856"/>
      <c r="K44" s="4856"/>
      <c r="L44" s="4856"/>
      <c r="M44" s="4860"/>
      <c r="N44" s="4856"/>
      <c r="O44" s="4856"/>
      <c r="P44" s="4856"/>
      <c r="Q44" s="4861"/>
      <c r="R44" s="4861"/>
      <c r="S44" s="4861"/>
      <c r="T44" s="4857"/>
      <c r="U44" s="4862" t="s">
        <v>84</v>
      </c>
      <c r="V44" s="4856"/>
      <c r="W44" s="4856"/>
      <c r="X44" s="4856"/>
      <c r="Y44" s="4856"/>
      <c r="Z44" s="4856"/>
      <c r="AA44" s="4856"/>
      <c r="AB44" s="4856"/>
      <c r="AC44" s="4856"/>
      <c r="AD44" s="4856"/>
      <c r="AE44" s="4856"/>
      <c r="AF44" s="4856"/>
    </row>
    <row r="45" spans="1:32" ht="18" customHeight="1">
      <c r="A45" s="421"/>
      <c r="B45" s="1051"/>
      <c r="C45" s="1051"/>
      <c r="D45" s="1117"/>
      <c r="E45" s="1051"/>
      <c r="F45" s="1051"/>
      <c r="G45" s="1051"/>
      <c r="H45" s="1064"/>
      <c r="I45" s="1051"/>
      <c r="J45" s="1051"/>
      <c r="K45" s="1051"/>
      <c r="L45" s="1051"/>
      <c r="M45" s="1118"/>
      <c r="N45" s="1051"/>
      <c r="O45" s="1051"/>
      <c r="P45" s="1051"/>
      <c r="Q45" s="1063"/>
      <c r="R45" s="1063"/>
      <c r="S45" s="1063"/>
      <c r="T45" s="1117"/>
      <c r="U45" s="1116"/>
      <c r="V45" s="1051"/>
      <c r="W45" s="1051"/>
      <c r="X45" s="1051"/>
      <c r="Y45" s="1051"/>
      <c r="Z45" s="1051"/>
      <c r="AA45" s="1051"/>
      <c r="AB45" s="1051"/>
      <c r="AC45" s="1051"/>
      <c r="AD45" s="1051"/>
      <c r="AE45" s="1051"/>
      <c r="AF45" s="1051"/>
    </row>
    <row r="46" spans="1:32" ht="18" customHeight="1">
      <c r="A46" s="1384" t="s">
        <v>523</v>
      </c>
      <c r="B46" s="1385">
        <v>1</v>
      </c>
      <c r="C46" s="1386">
        <v>2</v>
      </c>
      <c r="D46" s="1385">
        <v>3</v>
      </c>
      <c r="E46" s="1385">
        <v>4</v>
      </c>
      <c r="F46" s="1386">
        <v>5</v>
      </c>
      <c r="G46" s="1386">
        <v>6</v>
      </c>
      <c r="H46" s="1386">
        <v>7</v>
      </c>
      <c r="I46" s="1386">
        <v>8</v>
      </c>
      <c r="J46" s="1386">
        <v>9</v>
      </c>
      <c r="K46" s="1385">
        <v>10</v>
      </c>
      <c r="L46" s="1385">
        <v>11</v>
      </c>
      <c r="M46" s="1386">
        <v>12</v>
      </c>
      <c r="N46" s="1386">
        <v>13</v>
      </c>
      <c r="O46" s="1386">
        <v>14</v>
      </c>
      <c r="P46" s="1386">
        <v>15</v>
      </c>
      <c r="Q46" s="1386">
        <v>16</v>
      </c>
      <c r="R46" s="1385">
        <v>17</v>
      </c>
      <c r="S46" s="1385">
        <v>18</v>
      </c>
      <c r="T46" s="1386">
        <v>19</v>
      </c>
      <c r="U46" s="1386">
        <v>20</v>
      </c>
      <c r="V46" s="1386">
        <v>21</v>
      </c>
      <c r="W46" s="1386">
        <v>22</v>
      </c>
      <c r="X46" s="1386">
        <v>23</v>
      </c>
      <c r="Y46" s="1385">
        <v>24</v>
      </c>
      <c r="Z46" s="1385">
        <v>25</v>
      </c>
      <c r="AA46" s="1386">
        <v>26</v>
      </c>
      <c r="AB46" s="1386">
        <v>27</v>
      </c>
      <c r="AC46" s="1386">
        <v>28</v>
      </c>
      <c r="AD46" s="1386">
        <v>29</v>
      </c>
      <c r="AE46" s="1386">
        <v>30</v>
      </c>
      <c r="AF46" s="1387">
        <v>31</v>
      </c>
    </row>
    <row r="47" spans="1:32" ht="18" customHeight="1">
      <c r="A47" s="1415" t="s">
        <v>85</v>
      </c>
      <c r="B47" s="1379" t="s">
        <v>46</v>
      </c>
      <c r="C47" s="1228" t="s">
        <v>46</v>
      </c>
      <c r="D47" s="1379" t="s">
        <v>89</v>
      </c>
      <c r="E47" s="1379" t="s">
        <v>89</v>
      </c>
      <c r="F47" s="1379">
        <v>8</v>
      </c>
      <c r="G47" s="1380">
        <v>8</v>
      </c>
      <c r="H47" s="1379">
        <v>8</v>
      </c>
      <c r="I47" s="1381">
        <v>8</v>
      </c>
      <c r="J47" s="1379">
        <v>8</v>
      </c>
      <c r="K47" s="1379"/>
      <c r="L47" s="1379"/>
      <c r="M47" s="1379" t="s">
        <v>46</v>
      </c>
      <c r="N47" s="1228" t="s">
        <v>46</v>
      </c>
      <c r="O47" s="1379" t="s">
        <v>46</v>
      </c>
      <c r="P47" s="1382" t="s">
        <v>46</v>
      </c>
      <c r="Q47" s="1228" t="s">
        <v>46</v>
      </c>
      <c r="R47" s="1379"/>
      <c r="S47" s="1379"/>
      <c r="T47" s="1379">
        <v>1</v>
      </c>
      <c r="U47" s="1379">
        <v>1</v>
      </c>
      <c r="V47" s="1379">
        <v>1</v>
      </c>
      <c r="W47" s="1382">
        <v>1</v>
      </c>
      <c r="X47" s="1382">
        <v>1</v>
      </c>
      <c r="Y47" s="1379"/>
      <c r="Z47" s="1379"/>
      <c r="AA47" s="1382">
        <v>9</v>
      </c>
      <c r="AB47" s="1382">
        <v>9</v>
      </c>
      <c r="AC47" s="1382">
        <v>9</v>
      </c>
      <c r="AD47" s="1379">
        <v>9</v>
      </c>
      <c r="AE47" s="1379">
        <v>9</v>
      </c>
      <c r="AF47" s="1383" t="s">
        <v>52</v>
      </c>
    </row>
    <row r="48" spans="1:32" ht="18" customHeight="1">
      <c r="A48" s="1416" t="s">
        <v>177</v>
      </c>
      <c r="B48" s="1120" t="s">
        <v>46</v>
      </c>
      <c r="C48" s="1120" t="s">
        <v>46</v>
      </c>
      <c r="D48" s="1120" t="s">
        <v>91</v>
      </c>
      <c r="E48" s="1120" t="s">
        <v>89</v>
      </c>
      <c r="F48" s="1120">
        <v>6</v>
      </c>
      <c r="G48" s="1120">
        <v>6</v>
      </c>
      <c r="H48" s="1120">
        <v>6</v>
      </c>
      <c r="I48" s="1120">
        <v>6</v>
      </c>
      <c r="J48" s="1120">
        <v>6</v>
      </c>
      <c r="K48" s="1120"/>
      <c r="L48" s="1120"/>
      <c r="M48" s="1120" t="s">
        <v>46</v>
      </c>
      <c r="N48" s="1120" t="s">
        <v>46</v>
      </c>
      <c r="O48" s="1120" t="s">
        <v>46</v>
      </c>
      <c r="P48" s="1120" t="s">
        <v>46</v>
      </c>
      <c r="Q48" s="1120" t="s">
        <v>46</v>
      </c>
      <c r="R48" s="1120"/>
      <c r="S48" s="1120"/>
      <c r="T48" s="1120">
        <v>5</v>
      </c>
      <c r="U48" s="1120">
        <v>5</v>
      </c>
      <c r="V48" s="1120">
        <v>5</v>
      </c>
      <c r="W48" s="1120">
        <v>5</v>
      </c>
      <c r="X48" s="1120">
        <v>5</v>
      </c>
      <c r="Y48" s="1120"/>
      <c r="Z48" s="1120"/>
      <c r="AA48" s="1120">
        <v>10</v>
      </c>
      <c r="AB48" s="1120">
        <v>10</v>
      </c>
      <c r="AC48" s="1120">
        <v>10</v>
      </c>
      <c r="AD48" s="1120">
        <v>10</v>
      </c>
      <c r="AE48" s="1120">
        <v>10</v>
      </c>
      <c r="AF48" s="1121" t="s">
        <v>53</v>
      </c>
    </row>
    <row r="49" spans="1:32" ht="18" customHeight="1">
      <c r="A49" s="1417" t="s">
        <v>90</v>
      </c>
      <c r="B49" s="1093" t="s">
        <v>46</v>
      </c>
      <c r="C49" s="1093" t="s">
        <v>46</v>
      </c>
      <c r="D49" s="1389" t="s">
        <v>86</v>
      </c>
      <c r="E49" s="1093" t="s">
        <v>86</v>
      </c>
      <c r="F49" s="1093">
        <v>7</v>
      </c>
      <c r="G49" s="1093">
        <v>7</v>
      </c>
      <c r="H49" s="1093">
        <v>7</v>
      </c>
      <c r="I49" s="1093">
        <v>7</v>
      </c>
      <c r="J49" s="1093">
        <v>7</v>
      </c>
      <c r="K49" s="1093"/>
      <c r="L49" s="1390"/>
      <c r="M49" s="1093">
        <v>4</v>
      </c>
      <c r="N49" s="1093">
        <v>4</v>
      </c>
      <c r="O49" s="1093">
        <v>4</v>
      </c>
      <c r="P49" s="1093">
        <v>4</v>
      </c>
      <c r="Q49" s="1451">
        <v>4</v>
      </c>
      <c r="R49" s="1093"/>
      <c r="S49" s="1092"/>
      <c r="T49" s="1093">
        <v>3</v>
      </c>
      <c r="U49" s="1093">
        <v>3</v>
      </c>
      <c r="V49" s="1093">
        <v>3</v>
      </c>
      <c r="W49" s="1093">
        <v>3</v>
      </c>
      <c r="X49" s="1093">
        <v>3</v>
      </c>
      <c r="Y49" s="1093"/>
      <c r="Z49" s="1093"/>
      <c r="AA49" s="1093">
        <v>11</v>
      </c>
      <c r="AB49" s="1093">
        <v>11</v>
      </c>
      <c r="AC49" s="1093">
        <v>11</v>
      </c>
      <c r="AD49" s="1093">
        <v>11</v>
      </c>
      <c r="AE49" s="1093">
        <v>11</v>
      </c>
      <c r="AF49" s="1391" t="s">
        <v>87</v>
      </c>
    </row>
    <row r="50" spans="1:32" ht="18" customHeight="1">
      <c r="A50" s="1415" t="s">
        <v>92</v>
      </c>
      <c r="B50" s="1381">
        <v>8</v>
      </c>
      <c r="C50" s="1388">
        <v>8</v>
      </c>
      <c r="D50" s="1388"/>
      <c r="E50" s="1381"/>
      <c r="F50" s="1381" t="s">
        <v>46</v>
      </c>
      <c r="G50" s="1379" t="s">
        <v>46</v>
      </c>
      <c r="H50" s="1379" t="s">
        <v>46</v>
      </c>
      <c r="I50" s="1228" t="s">
        <v>46</v>
      </c>
      <c r="J50" s="1228" t="s">
        <v>46</v>
      </c>
      <c r="K50" s="1379"/>
      <c r="L50" s="1379"/>
      <c r="M50" s="1379">
        <v>1</v>
      </c>
      <c r="N50" s="1382">
        <v>1</v>
      </c>
      <c r="O50" s="1379">
        <v>1</v>
      </c>
      <c r="P50" s="1382">
        <v>1</v>
      </c>
      <c r="Q50" s="1382">
        <v>1</v>
      </c>
      <c r="R50" s="1228"/>
      <c r="S50" s="1382"/>
      <c r="T50" s="1382">
        <v>9</v>
      </c>
      <c r="U50" s="1382">
        <v>9</v>
      </c>
      <c r="V50" s="1382">
        <v>9</v>
      </c>
      <c r="W50" s="1382">
        <v>9</v>
      </c>
      <c r="X50" s="1379">
        <v>9</v>
      </c>
      <c r="Y50" s="1379" t="s">
        <v>52</v>
      </c>
      <c r="Z50" s="1379" t="s">
        <v>52</v>
      </c>
      <c r="AA50" s="1379" t="s">
        <v>46</v>
      </c>
      <c r="AB50" s="1382" t="s">
        <v>46</v>
      </c>
      <c r="AC50" s="1382" t="s">
        <v>46</v>
      </c>
      <c r="AD50" s="1379" t="s">
        <v>46</v>
      </c>
      <c r="AE50" s="1379" t="s">
        <v>46</v>
      </c>
      <c r="AF50" s="1383" t="s">
        <v>91</v>
      </c>
    </row>
    <row r="51" spans="1:32" ht="18" customHeight="1">
      <c r="A51" s="1418" t="s">
        <v>243</v>
      </c>
      <c r="B51" s="1122">
        <v>6</v>
      </c>
      <c r="C51" s="1122">
        <v>6</v>
      </c>
      <c r="D51" s="1123"/>
      <c r="E51" s="1124" t="s">
        <v>376</v>
      </c>
      <c r="F51" s="1077" t="s">
        <v>46</v>
      </c>
      <c r="G51" s="1077" t="s">
        <v>46</v>
      </c>
      <c r="H51" s="1125" t="s">
        <v>46</v>
      </c>
      <c r="I51" s="1077" t="s">
        <v>46</v>
      </c>
      <c r="J51" s="1125" t="s">
        <v>46</v>
      </c>
      <c r="K51" s="1077"/>
      <c r="L51" s="1077"/>
      <c r="M51" s="1126">
        <v>5</v>
      </c>
      <c r="N51" s="1126">
        <v>5</v>
      </c>
      <c r="O51" s="1126">
        <v>5</v>
      </c>
      <c r="P51" s="1126">
        <v>5</v>
      </c>
      <c r="Q51" s="1126">
        <v>5</v>
      </c>
      <c r="R51" s="1107"/>
      <c r="S51" s="1323"/>
      <c r="T51" s="1126">
        <v>10</v>
      </c>
      <c r="U51" s="1126">
        <v>10</v>
      </c>
      <c r="V51" s="1080">
        <v>10</v>
      </c>
      <c r="W51" s="1080">
        <v>10</v>
      </c>
      <c r="X51" s="1083">
        <v>10</v>
      </c>
      <c r="Y51" s="1083" t="s">
        <v>53</v>
      </c>
      <c r="Z51" s="1083" t="s">
        <v>53</v>
      </c>
      <c r="AA51" s="1083" t="s">
        <v>46</v>
      </c>
      <c r="AB51" s="1083" t="s">
        <v>46</v>
      </c>
      <c r="AC51" s="1083" t="s">
        <v>46</v>
      </c>
      <c r="AD51" s="1083" t="s">
        <v>46</v>
      </c>
      <c r="AE51" s="1083" t="s">
        <v>46</v>
      </c>
      <c r="AF51" s="1121" t="s">
        <v>86</v>
      </c>
    </row>
    <row r="52" spans="1:32" ht="18" customHeight="1">
      <c r="A52" s="1419" t="s">
        <v>94</v>
      </c>
      <c r="B52" s="1390">
        <v>7</v>
      </c>
      <c r="C52" s="1390">
        <v>7</v>
      </c>
      <c r="D52" s="1390"/>
      <c r="E52" s="1390"/>
      <c r="F52" s="1390">
        <v>4</v>
      </c>
      <c r="G52" s="1390">
        <v>4</v>
      </c>
      <c r="H52" s="1390">
        <v>4</v>
      </c>
      <c r="I52" s="1390">
        <v>4</v>
      </c>
      <c r="J52" s="1390">
        <v>4</v>
      </c>
      <c r="K52" s="1390"/>
      <c r="L52" s="1390"/>
      <c r="M52" s="1390">
        <v>3</v>
      </c>
      <c r="N52" s="1390">
        <v>3</v>
      </c>
      <c r="O52" s="1390">
        <v>3</v>
      </c>
      <c r="P52" s="1390">
        <v>3</v>
      </c>
      <c r="Q52" s="1390">
        <v>3</v>
      </c>
      <c r="R52" s="1396"/>
      <c r="S52" s="1396"/>
      <c r="T52" s="1390">
        <v>11</v>
      </c>
      <c r="U52" s="1390">
        <v>11</v>
      </c>
      <c r="V52" s="1390">
        <v>11</v>
      </c>
      <c r="W52" s="1390">
        <v>11</v>
      </c>
      <c r="X52" s="1390">
        <v>11</v>
      </c>
      <c r="Y52" s="1390" t="s">
        <v>87</v>
      </c>
      <c r="Z52" s="1390" t="s">
        <v>87</v>
      </c>
      <c r="AA52" s="1390" t="s">
        <v>46</v>
      </c>
      <c r="AB52" s="1390" t="s">
        <v>46</v>
      </c>
      <c r="AC52" s="1390" t="s">
        <v>46</v>
      </c>
      <c r="AD52" s="1390" t="s">
        <v>46</v>
      </c>
      <c r="AE52" s="1390" t="s">
        <v>46</v>
      </c>
      <c r="AF52" s="1397" t="s">
        <v>89</v>
      </c>
    </row>
    <row r="53" spans="1:32" ht="18" customHeight="1">
      <c r="A53" s="1420" t="s">
        <v>95</v>
      </c>
      <c r="B53" s="1228" t="s">
        <v>46</v>
      </c>
      <c r="C53" s="1382" t="s">
        <v>46</v>
      </c>
      <c r="D53" s="1379"/>
      <c r="E53" s="1379"/>
      <c r="F53" s="1379">
        <v>1</v>
      </c>
      <c r="G53" s="1379">
        <v>1</v>
      </c>
      <c r="H53" s="1380">
        <v>1</v>
      </c>
      <c r="I53" s="1382">
        <v>1</v>
      </c>
      <c r="J53" s="1382">
        <v>1</v>
      </c>
      <c r="K53" s="1382"/>
      <c r="L53" s="1382"/>
      <c r="M53" s="1382">
        <v>9</v>
      </c>
      <c r="N53" s="1382">
        <v>9</v>
      </c>
      <c r="O53" s="1382">
        <v>9</v>
      </c>
      <c r="P53" s="1382">
        <v>9</v>
      </c>
      <c r="Q53" s="1379">
        <v>9</v>
      </c>
      <c r="R53" s="1379" t="s">
        <v>52</v>
      </c>
      <c r="S53" s="1379" t="s">
        <v>52</v>
      </c>
      <c r="T53" s="1392" t="s">
        <v>46</v>
      </c>
      <c r="U53" s="1392" t="s">
        <v>46</v>
      </c>
      <c r="V53" s="1392" t="s">
        <v>46</v>
      </c>
      <c r="W53" s="1392" t="s">
        <v>46</v>
      </c>
      <c r="X53" s="1392" t="s">
        <v>46</v>
      </c>
      <c r="Y53" s="1393" t="s">
        <v>91</v>
      </c>
      <c r="Z53" s="1393" t="s">
        <v>89</v>
      </c>
      <c r="AA53" s="1379">
        <v>6</v>
      </c>
      <c r="AB53" s="1394">
        <v>6</v>
      </c>
      <c r="AC53" s="1379">
        <v>6</v>
      </c>
      <c r="AD53" s="1379">
        <v>6</v>
      </c>
      <c r="AE53" s="1379">
        <v>6</v>
      </c>
      <c r="AF53" s="1395"/>
    </row>
    <row r="54" spans="1:32" ht="18" customHeight="1">
      <c r="A54" s="1416" t="s">
        <v>96</v>
      </c>
      <c r="B54" s="1080" t="s">
        <v>46</v>
      </c>
      <c r="C54" s="1080" t="s">
        <v>46</v>
      </c>
      <c r="D54" s="1080"/>
      <c r="E54" s="1080"/>
      <c r="F54" s="1128">
        <v>5</v>
      </c>
      <c r="G54" s="1128">
        <v>5</v>
      </c>
      <c r="H54" s="1128">
        <v>5</v>
      </c>
      <c r="I54" s="1128">
        <v>5</v>
      </c>
      <c r="J54" s="1128">
        <v>5</v>
      </c>
      <c r="K54" s="1080"/>
      <c r="L54" s="1080"/>
      <c r="M54" s="1080">
        <v>10</v>
      </c>
      <c r="N54" s="1080">
        <v>10</v>
      </c>
      <c r="O54" s="1080">
        <v>10</v>
      </c>
      <c r="P54" s="1080">
        <v>10</v>
      </c>
      <c r="Q54" s="1080">
        <v>10</v>
      </c>
      <c r="R54" s="1080" t="s">
        <v>53</v>
      </c>
      <c r="S54" s="1080" t="s">
        <v>53</v>
      </c>
      <c r="T54" s="1080" t="s">
        <v>46</v>
      </c>
      <c r="U54" s="1080" t="s">
        <v>46</v>
      </c>
      <c r="V54" s="1080" t="s">
        <v>46</v>
      </c>
      <c r="W54" s="1080" t="s">
        <v>46</v>
      </c>
      <c r="X54" s="1083" t="s">
        <v>46</v>
      </c>
      <c r="Y54" s="1083" t="s">
        <v>86</v>
      </c>
      <c r="Z54" s="1083" t="s">
        <v>86</v>
      </c>
      <c r="AA54" s="1083">
        <v>7</v>
      </c>
      <c r="AB54" s="1083">
        <v>7</v>
      </c>
      <c r="AC54" s="1076">
        <v>7</v>
      </c>
      <c r="AD54" s="1076">
        <v>7</v>
      </c>
      <c r="AE54" s="1126">
        <v>7</v>
      </c>
      <c r="AF54" s="1127"/>
    </row>
    <row r="55" spans="1:32" ht="18" customHeight="1">
      <c r="A55" s="1417" t="s">
        <v>147</v>
      </c>
      <c r="B55" s="1094">
        <v>4</v>
      </c>
      <c r="C55" s="1094">
        <v>4</v>
      </c>
      <c r="D55" s="1093"/>
      <c r="E55" s="1093"/>
      <c r="F55" s="1399" t="s">
        <v>588</v>
      </c>
      <c r="G55" s="1400" t="s">
        <v>588</v>
      </c>
      <c r="H55" s="1400" t="s">
        <v>588</v>
      </c>
      <c r="I55" s="1400" t="s">
        <v>588</v>
      </c>
      <c r="J55" s="1400" t="s">
        <v>588</v>
      </c>
      <c r="K55" s="1401"/>
      <c r="L55" s="1093"/>
      <c r="M55" s="1401">
        <v>11</v>
      </c>
      <c r="N55" s="1401">
        <v>11</v>
      </c>
      <c r="O55" s="1401">
        <v>11</v>
      </c>
      <c r="P55" s="1093">
        <v>11</v>
      </c>
      <c r="Q55" s="1093">
        <v>11</v>
      </c>
      <c r="R55" s="1093" t="s">
        <v>87</v>
      </c>
      <c r="S55" s="1093" t="s">
        <v>87</v>
      </c>
      <c r="T55" s="1093" t="s">
        <v>46</v>
      </c>
      <c r="U55" s="1093" t="s">
        <v>46</v>
      </c>
      <c r="V55" s="1093" t="s">
        <v>46</v>
      </c>
      <c r="W55" s="1093" t="s">
        <v>46</v>
      </c>
      <c r="X55" s="1094" t="s">
        <v>46</v>
      </c>
      <c r="Y55" s="1093" t="s">
        <v>89</v>
      </c>
      <c r="Z55" s="1093" t="s">
        <v>89</v>
      </c>
      <c r="AA55" s="1093">
        <v>8</v>
      </c>
      <c r="AB55" s="1093">
        <v>8</v>
      </c>
      <c r="AC55" s="1093">
        <v>8</v>
      </c>
      <c r="AD55" s="1390">
        <v>8</v>
      </c>
      <c r="AE55" s="1093">
        <v>8</v>
      </c>
      <c r="AF55" s="1402"/>
    </row>
    <row r="56" spans="1:32" ht="18" customHeight="1">
      <c r="A56" s="1415"/>
      <c r="B56" s="1398">
        <v>1</v>
      </c>
      <c r="C56" s="1382">
        <v>1</v>
      </c>
      <c r="D56" s="1379"/>
      <c r="E56" s="1379"/>
      <c r="F56" s="1392">
        <v>9</v>
      </c>
      <c r="G56" s="1392">
        <v>9</v>
      </c>
      <c r="H56" s="1392">
        <v>9</v>
      </c>
      <c r="I56" s="1392">
        <v>9</v>
      </c>
      <c r="J56" s="1392">
        <v>9</v>
      </c>
      <c r="K56" s="1392" t="s">
        <v>52</v>
      </c>
      <c r="L56" s="1392" t="s">
        <v>52</v>
      </c>
      <c r="M56" s="1382" t="s">
        <v>46</v>
      </c>
      <c r="N56" s="1382" t="s">
        <v>46</v>
      </c>
      <c r="O56" s="1382" t="s">
        <v>46</v>
      </c>
      <c r="P56" s="1382" t="s">
        <v>46</v>
      </c>
      <c r="Q56" s="1379" t="s">
        <v>46</v>
      </c>
      <c r="R56" s="1379" t="s">
        <v>91</v>
      </c>
      <c r="S56" s="1379" t="s">
        <v>89</v>
      </c>
      <c r="T56" s="1379">
        <v>6</v>
      </c>
      <c r="U56" s="1382">
        <v>6</v>
      </c>
      <c r="V56" s="1382">
        <v>6</v>
      </c>
      <c r="W56" s="1228">
        <v>6</v>
      </c>
      <c r="X56" s="1379">
        <v>6</v>
      </c>
      <c r="Y56" s="1379"/>
      <c r="Z56" s="1379"/>
      <c r="AA56" s="1379" t="s">
        <v>46</v>
      </c>
      <c r="AB56" s="1394" t="s">
        <v>46</v>
      </c>
      <c r="AC56" s="1379" t="s">
        <v>46</v>
      </c>
      <c r="AD56" s="1379" t="s">
        <v>46</v>
      </c>
      <c r="AE56" s="1379" t="s">
        <v>46</v>
      </c>
      <c r="AF56" s="1395"/>
    </row>
    <row r="57" spans="1:32" ht="18" customHeight="1">
      <c r="A57" s="1421" t="s">
        <v>101</v>
      </c>
      <c r="B57" s="1080"/>
      <c r="C57" s="1080">
        <v>5</v>
      </c>
      <c r="D57" s="1080"/>
      <c r="E57" s="1080"/>
      <c r="F57" s="1080">
        <v>10</v>
      </c>
      <c r="G57" s="1080">
        <v>10</v>
      </c>
      <c r="H57" s="1072">
        <v>10</v>
      </c>
      <c r="I57" s="1080">
        <v>10</v>
      </c>
      <c r="J57" s="1080">
        <v>10</v>
      </c>
      <c r="K57" s="1080" t="s">
        <v>53</v>
      </c>
      <c r="L57" s="1080" t="s">
        <v>53</v>
      </c>
      <c r="M57" s="1076" t="s">
        <v>46</v>
      </c>
      <c r="N57" s="1080" t="s">
        <v>46</v>
      </c>
      <c r="O57" s="1080" t="s">
        <v>46</v>
      </c>
      <c r="P57" s="1080" t="s">
        <v>46</v>
      </c>
      <c r="Q57" s="1080" t="s">
        <v>46</v>
      </c>
      <c r="R57" s="1080" t="s">
        <v>86</v>
      </c>
      <c r="S57" s="1080" t="s">
        <v>86</v>
      </c>
      <c r="T57" s="1080">
        <v>7</v>
      </c>
      <c r="U57" s="1083">
        <v>7</v>
      </c>
      <c r="V57" s="1083">
        <v>7</v>
      </c>
      <c r="W57" s="1081">
        <v>7</v>
      </c>
      <c r="X57" s="1083">
        <v>7</v>
      </c>
      <c r="Y57" s="1083"/>
      <c r="Z57" s="1083"/>
      <c r="AA57" s="1084">
        <v>4</v>
      </c>
      <c r="AB57" s="1084">
        <v>4</v>
      </c>
      <c r="AC57" s="1084">
        <v>4</v>
      </c>
      <c r="AD57" s="1084">
        <v>4</v>
      </c>
      <c r="AE57" s="1084">
        <v>4</v>
      </c>
      <c r="AF57" s="1130"/>
    </row>
    <row r="58" spans="1:32" ht="18" customHeight="1">
      <c r="A58" s="1417" t="s">
        <v>102</v>
      </c>
      <c r="B58" s="1094">
        <v>3</v>
      </c>
      <c r="C58" s="1094">
        <v>3</v>
      </c>
      <c r="D58" s="1093"/>
      <c r="E58" s="1093"/>
      <c r="F58" s="1093">
        <v>11</v>
      </c>
      <c r="G58" s="1093">
        <v>11</v>
      </c>
      <c r="H58" s="1093">
        <v>11</v>
      </c>
      <c r="I58" s="1094">
        <v>11</v>
      </c>
      <c r="J58" s="1093">
        <v>11</v>
      </c>
      <c r="K58" s="1401" t="s">
        <v>87</v>
      </c>
      <c r="L58" s="1093" t="s">
        <v>87</v>
      </c>
      <c r="M58" s="1401" t="s">
        <v>46</v>
      </c>
      <c r="N58" s="1401" t="s">
        <v>46</v>
      </c>
      <c r="O58" s="1401" t="s">
        <v>46</v>
      </c>
      <c r="P58" s="1093" t="s">
        <v>46</v>
      </c>
      <c r="Q58" s="1093" t="s">
        <v>46</v>
      </c>
      <c r="R58" s="1093" t="s">
        <v>89</v>
      </c>
      <c r="S58" s="1093" t="s">
        <v>89</v>
      </c>
      <c r="T58" s="1093">
        <v>8</v>
      </c>
      <c r="U58" s="1093">
        <v>8</v>
      </c>
      <c r="V58" s="1093">
        <v>8</v>
      </c>
      <c r="W58" s="1390">
        <v>8</v>
      </c>
      <c r="X58" s="1094">
        <v>8</v>
      </c>
      <c r="Y58" s="1093"/>
      <c r="Z58" s="1093"/>
      <c r="AA58" s="1093" t="s">
        <v>46</v>
      </c>
      <c r="AB58" s="1093" t="s">
        <v>46</v>
      </c>
      <c r="AC58" s="1093" t="s">
        <v>46</v>
      </c>
      <c r="AD58" s="1094" t="s">
        <v>46</v>
      </c>
      <c r="AE58" s="1093" t="s">
        <v>46</v>
      </c>
      <c r="AF58" s="1402"/>
    </row>
    <row r="59" spans="1:32" ht="18" customHeight="1">
      <c r="A59" s="1422" t="s">
        <v>190</v>
      </c>
      <c r="B59" s="1228">
        <v>9</v>
      </c>
      <c r="C59" s="1381">
        <v>9</v>
      </c>
      <c r="D59" s="1381" t="s">
        <v>52</v>
      </c>
      <c r="E59" s="1381" t="s">
        <v>52</v>
      </c>
      <c r="F59" s="1381" t="s">
        <v>46</v>
      </c>
      <c r="G59" s="1381" t="s">
        <v>46</v>
      </c>
      <c r="H59" s="1381" t="s">
        <v>46</v>
      </c>
      <c r="I59" s="1381" t="s">
        <v>46</v>
      </c>
      <c r="J59" s="1379" t="s">
        <v>46</v>
      </c>
      <c r="K59" s="1379" t="s">
        <v>91</v>
      </c>
      <c r="L59" s="1379" t="s">
        <v>89</v>
      </c>
      <c r="M59" s="1403">
        <v>6</v>
      </c>
      <c r="N59" s="1228">
        <v>6</v>
      </c>
      <c r="O59" s="1379">
        <v>6</v>
      </c>
      <c r="P59" s="1379">
        <v>6</v>
      </c>
      <c r="Q59" s="1228">
        <v>6</v>
      </c>
      <c r="R59" s="1379"/>
      <c r="S59" s="1404"/>
      <c r="T59" s="1382" t="s">
        <v>46</v>
      </c>
      <c r="U59" s="1382" t="s">
        <v>46</v>
      </c>
      <c r="V59" s="1382" t="s">
        <v>46</v>
      </c>
      <c r="W59" s="1382" t="s">
        <v>46</v>
      </c>
      <c r="X59" s="1403" t="s">
        <v>46</v>
      </c>
      <c r="Y59" s="1382"/>
      <c r="Z59" s="1382"/>
      <c r="AA59" s="1405">
        <v>5</v>
      </c>
      <c r="AB59" s="1405">
        <v>5</v>
      </c>
      <c r="AC59" s="1406">
        <v>5</v>
      </c>
      <c r="AD59" s="1406">
        <v>5</v>
      </c>
      <c r="AE59" s="1407">
        <v>5</v>
      </c>
      <c r="AF59" s="1395"/>
    </row>
    <row r="60" spans="1:32" ht="18" customHeight="1">
      <c r="A60" s="1416" t="s">
        <v>105</v>
      </c>
      <c r="B60" s="1076">
        <v>10</v>
      </c>
      <c r="C60" s="1076">
        <v>10</v>
      </c>
      <c r="D60" s="1076" t="s">
        <v>53</v>
      </c>
      <c r="E60" s="1076" t="s">
        <v>53</v>
      </c>
      <c r="F60" s="1076" t="s">
        <v>46</v>
      </c>
      <c r="G60" s="1076" t="s">
        <v>46</v>
      </c>
      <c r="H60" s="1072" t="s">
        <v>46</v>
      </c>
      <c r="I60" s="1072" t="s">
        <v>46</v>
      </c>
      <c r="J60" s="1072" t="s">
        <v>46</v>
      </c>
      <c r="K60" s="1072" t="s">
        <v>86</v>
      </c>
      <c r="L60" s="1072" t="s">
        <v>86</v>
      </c>
      <c r="M60" s="1072">
        <v>7</v>
      </c>
      <c r="N60" s="1076">
        <v>7</v>
      </c>
      <c r="O60" s="1076">
        <v>7</v>
      </c>
      <c r="P60" s="1076">
        <v>7</v>
      </c>
      <c r="Q60" s="1076">
        <v>7</v>
      </c>
      <c r="R60" s="1076"/>
      <c r="S60" s="1072"/>
      <c r="T60" s="1072">
        <v>4</v>
      </c>
      <c r="U60" s="1080">
        <v>4</v>
      </c>
      <c r="V60" s="1080">
        <v>4</v>
      </c>
      <c r="W60" s="1080">
        <v>4</v>
      </c>
      <c r="X60" s="1080">
        <v>4</v>
      </c>
      <c r="Y60" s="1080"/>
      <c r="Z60" s="1080"/>
      <c r="AA60" s="1080">
        <v>3</v>
      </c>
      <c r="AB60" s="1083">
        <v>3</v>
      </c>
      <c r="AC60" s="1083">
        <v>3</v>
      </c>
      <c r="AD60" s="1083">
        <v>3</v>
      </c>
      <c r="AE60" s="1083">
        <v>3</v>
      </c>
      <c r="AF60" s="1127"/>
    </row>
    <row r="61" spans="1:32" ht="18" customHeight="1">
      <c r="A61" s="1423" t="s">
        <v>134</v>
      </c>
      <c r="B61" s="1104">
        <v>11</v>
      </c>
      <c r="C61" s="1104">
        <v>11</v>
      </c>
      <c r="D61" s="1104" t="s">
        <v>87</v>
      </c>
      <c r="E61" s="1133" t="s">
        <v>87</v>
      </c>
      <c r="F61" s="1133" t="s">
        <v>46</v>
      </c>
      <c r="G61" s="1133" t="s">
        <v>46</v>
      </c>
      <c r="H61" s="1133" t="s">
        <v>46</v>
      </c>
      <c r="I61" s="1133" t="s">
        <v>46</v>
      </c>
      <c r="J61" s="1105" t="s">
        <v>46</v>
      </c>
      <c r="K61" s="1104" t="s">
        <v>89</v>
      </c>
      <c r="L61" s="1104" t="s">
        <v>89</v>
      </c>
      <c r="M61" s="1104">
        <v>8</v>
      </c>
      <c r="N61" s="1134">
        <v>8</v>
      </c>
      <c r="O61" s="1134">
        <v>8</v>
      </c>
      <c r="P61" s="1134">
        <v>8</v>
      </c>
      <c r="Q61" s="1134">
        <v>8</v>
      </c>
      <c r="R61" s="1134"/>
      <c r="S61" s="1134"/>
      <c r="T61" s="1134" t="s">
        <v>46</v>
      </c>
      <c r="U61" s="1104" t="s">
        <v>46</v>
      </c>
      <c r="V61" s="1104" t="s">
        <v>46</v>
      </c>
      <c r="W61" s="1104" t="s">
        <v>46</v>
      </c>
      <c r="X61" s="1105" t="s">
        <v>46</v>
      </c>
      <c r="Y61" s="1104"/>
      <c r="Z61" s="1104"/>
      <c r="AA61" s="1104">
        <v>1</v>
      </c>
      <c r="AB61" s="1104">
        <v>1</v>
      </c>
      <c r="AC61" s="1104">
        <v>1</v>
      </c>
      <c r="AD61" s="1105">
        <v>1</v>
      </c>
      <c r="AE61" s="1105">
        <v>1</v>
      </c>
      <c r="AF61" s="1135"/>
    </row>
    <row r="62" spans="1:32" ht="18" customHeight="1">
      <c r="A62" s="1274"/>
      <c r="B62" s="1136"/>
      <c r="C62" s="1136"/>
      <c r="D62" s="1136"/>
      <c r="E62" s="1137"/>
      <c r="F62" s="1137"/>
      <c r="G62" s="1137"/>
      <c r="H62" s="1137"/>
      <c r="I62" s="1137"/>
      <c r="J62" s="1138"/>
      <c r="K62" s="1136"/>
      <c r="L62" s="1136"/>
      <c r="M62" s="1136"/>
      <c r="N62" s="1139"/>
      <c r="O62" s="1139"/>
      <c r="P62" s="1139"/>
      <c r="Q62" s="1139"/>
      <c r="R62" s="1139"/>
      <c r="S62" s="1139"/>
      <c r="T62" s="1139"/>
      <c r="U62" s="1136"/>
      <c r="V62" s="1136"/>
      <c r="W62" s="1136"/>
      <c r="X62" s="1138"/>
      <c r="Y62" s="1136"/>
      <c r="Z62" s="1136"/>
      <c r="AA62" s="1136"/>
      <c r="AB62" s="1136"/>
      <c r="AC62" s="1136"/>
      <c r="AD62" s="1138"/>
      <c r="AE62" s="1138"/>
      <c r="AF62" s="1140"/>
    </row>
    <row r="63" spans="1:32" ht="18" customHeight="1">
      <c r="A63" s="1274"/>
      <c r="B63" s="1141"/>
      <c r="C63" s="1141"/>
      <c r="D63" s="1141"/>
      <c r="E63" s="1141"/>
      <c r="F63" s="1141"/>
      <c r="G63" s="4863"/>
      <c r="H63" s="4863"/>
      <c r="I63" s="1137"/>
      <c r="J63" s="1138"/>
      <c r="K63" s="1136"/>
      <c r="L63" s="1136"/>
      <c r="M63" s="1136"/>
      <c r="N63" s="1139"/>
      <c r="O63" s="1139"/>
      <c r="P63" s="1139"/>
      <c r="Q63" s="1139"/>
      <c r="R63" s="1139"/>
      <c r="S63" s="1139"/>
      <c r="T63" s="1139"/>
      <c r="U63" s="1136"/>
      <c r="V63" s="1136"/>
      <c r="W63" s="1136"/>
      <c r="X63" s="1138"/>
      <c r="Y63" s="1136"/>
      <c r="Z63" s="1136"/>
      <c r="AA63" s="1136"/>
      <c r="AB63" s="1136"/>
      <c r="AC63" s="1136"/>
      <c r="AD63" s="1138"/>
      <c r="AE63" s="1138"/>
      <c r="AF63" s="1140"/>
    </row>
    <row r="64" spans="1:32" ht="18" customHeight="1">
      <c r="A64" s="1274"/>
      <c r="B64" s="1141"/>
      <c r="C64" s="1142"/>
      <c r="D64" s="1142"/>
      <c r="E64" s="1142"/>
      <c r="F64" s="1142"/>
      <c r="G64" s="4863"/>
      <c r="H64" s="4863"/>
      <c r="I64" s="1137"/>
      <c r="J64" s="1138"/>
      <c r="K64" s="1136"/>
      <c r="L64" s="1136"/>
      <c r="M64" s="1136"/>
      <c r="N64" s="1139"/>
      <c r="O64" s="1139"/>
      <c r="P64" s="1139"/>
      <c r="Q64" s="1139"/>
      <c r="R64" s="1139"/>
      <c r="S64" s="1139"/>
      <c r="T64" s="1139"/>
      <c r="U64" s="1136"/>
      <c r="V64" s="1136"/>
      <c r="W64" s="1136"/>
      <c r="X64" s="1138"/>
      <c r="Y64" s="1136"/>
      <c r="Z64" s="1136"/>
      <c r="AA64" s="1136"/>
      <c r="AB64" s="1136"/>
      <c r="AC64" s="1136"/>
      <c r="AD64" s="1138"/>
      <c r="AE64" s="1138"/>
      <c r="AF64" s="1140"/>
    </row>
    <row r="65" spans="1:32" ht="18" customHeight="1">
      <c r="A65" s="111"/>
      <c r="B65" s="1143"/>
      <c r="C65" s="1137"/>
      <c r="D65" s="1137"/>
      <c r="E65" s="1137"/>
      <c r="F65" s="1052"/>
      <c r="G65" s="1052"/>
      <c r="H65" s="1052"/>
      <c r="I65" s="1052"/>
      <c r="J65" s="1051"/>
      <c r="K65" s="1139"/>
      <c r="L65" s="1139"/>
      <c r="M65" s="1052"/>
      <c r="N65" s="1052"/>
      <c r="O65" s="1139"/>
      <c r="P65" s="1139"/>
      <c r="Q65" s="1139"/>
      <c r="R65" s="1052"/>
      <c r="S65" s="1052"/>
      <c r="T65" s="1143"/>
      <c r="U65" s="1143"/>
      <c r="V65" s="1139"/>
      <c r="W65" s="1139"/>
      <c r="X65" s="1136"/>
      <c r="Y65" s="1136"/>
      <c r="Z65" s="1136"/>
      <c r="AA65" s="1136"/>
      <c r="AB65" s="1136"/>
      <c r="AC65" s="1136"/>
      <c r="AD65" s="1136"/>
      <c r="AE65" s="1136"/>
      <c r="AF65" s="1051"/>
    </row>
    <row r="66" spans="1:32" ht="18" customHeight="1">
      <c r="A66" s="1036" t="s">
        <v>537</v>
      </c>
      <c r="B66" s="1046">
        <v>1</v>
      </c>
      <c r="C66" s="1047">
        <v>2</v>
      </c>
      <c r="D66" s="1046">
        <v>3</v>
      </c>
      <c r="E66" s="1046">
        <v>4</v>
      </c>
      <c r="F66" s="1047">
        <v>5</v>
      </c>
      <c r="G66" s="1047">
        <v>6</v>
      </c>
      <c r="H66" s="1047">
        <v>7</v>
      </c>
      <c r="I66" s="1047">
        <v>8</v>
      </c>
      <c r="J66" s="1047">
        <v>9</v>
      </c>
      <c r="K66" s="1046">
        <v>10</v>
      </c>
      <c r="L66" s="1046">
        <v>11</v>
      </c>
      <c r="M66" s="1047">
        <v>12</v>
      </c>
      <c r="N66" s="1047">
        <v>13</v>
      </c>
      <c r="O66" s="1047">
        <v>14</v>
      </c>
      <c r="P66" s="1047">
        <v>15</v>
      </c>
      <c r="Q66" s="1047">
        <v>16</v>
      </c>
      <c r="R66" s="1046">
        <v>17</v>
      </c>
      <c r="S66" s="1046">
        <v>18</v>
      </c>
      <c r="T66" s="1047">
        <v>19</v>
      </c>
      <c r="U66" s="1047">
        <v>20</v>
      </c>
      <c r="V66" s="1047">
        <v>21</v>
      </c>
      <c r="W66" s="1047">
        <v>22</v>
      </c>
      <c r="X66" s="1047">
        <v>23</v>
      </c>
      <c r="Y66" s="1046">
        <v>24</v>
      </c>
      <c r="Z66" s="1046">
        <v>25</v>
      </c>
      <c r="AA66" s="1047">
        <v>26</v>
      </c>
      <c r="AB66" s="1047">
        <v>27</v>
      </c>
      <c r="AC66" s="1047">
        <v>28</v>
      </c>
      <c r="AD66" s="1047">
        <v>29</v>
      </c>
      <c r="AE66" s="1047">
        <v>30</v>
      </c>
      <c r="AF66" s="1048">
        <v>31</v>
      </c>
    </row>
    <row r="67" spans="1:32" ht="18" customHeight="1">
      <c r="A67" s="1275" t="s">
        <v>112</v>
      </c>
      <c r="B67" s="1144"/>
      <c r="C67" s="1145" t="s">
        <v>475</v>
      </c>
      <c r="D67" s="1144"/>
      <c r="E67" s="1144"/>
      <c r="F67" s="1146" t="s">
        <v>475</v>
      </c>
      <c r="G67" s="1146" t="s">
        <v>475</v>
      </c>
      <c r="H67" s="1146" t="s">
        <v>475</v>
      </c>
      <c r="I67" s="1146" t="s">
        <v>475</v>
      </c>
      <c r="J67" s="1146" t="s">
        <v>475</v>
      </c>
      <c r="K67" s="1147"/>
      <c r="L67" s="1147"/>
      <c r="M67" s="1146" t="s">
        <v>475</v>
      </c>
      <c r="N67" s="1146" t="s">
        <v>475</v>
      </c>
      <c r="O67" s="1146" t="s">
        <v>475</v>
      </c>
      <c r="P67" s="1146" t="s">
        <v>475</v>
      </c>
      <c r="Q67" s="1146" t="s">
        <v>475</v>
      </c>
      <c r="R67" s="1148"/>
      <c r="S67" s="1144"/>
      <c r="T67" s="1146" t="s">
        <v>418</v>
      </c>
      <c r="U67" s="1146" t="s">
        <v>475</v>
      </c>
      <c r="V67" s="1146" t="s">
        <v>475</v>
      </c>
      <c r="W67" s="1146" t="s">
        <v>475</v>
      </c>
      <c r="X67" s="1146" t="s">
        <v>475</v>
      </c>
      <c r="Y67" s="1144" t="s">
        <v>104</v>
      </c>
      <c r="Z67" s="1144"/>
      <c r="AA67" s="1146" t="s">
        <v>475</v>
      </c>
      <c r="AB67" s="1146" t="s">
        <v>475</v>
      </c>
      <c r="AC67" s="1146" t="s">
        <v>475</v>
      </c>
      <c r="AD67" s="1146" t="s">
        <v>475</v>
      </c>
      <c r="AE67" s="1146" t="s">
        <v>475</v>
      </c>
      <c r="AF67" s="1149"/>
    </row>
    <row r="68" spans="1:32" ht="18" customHeight="1">
      <c r="A68" s="4864" t="s">
        <v>114</v>
      </c>
      <c r="B68" s="4830" t="s">
        <v>113</v>
      </c>
      <c r="C68" s="4865" t="s">
        <v>373</v>
      </c>
      <c r="D68" s="4866" t="s">
        <v>551</v>
      </c>
      <c r="E68" s="4831" t="s">
        <v>429</v>
      </c>
      <c r="F68" s="4867" t="s">
        <v>46</v>
      </c>
      <c r="G68" s="4867" t="s">
        <v>46</v>
      </c>
      <c r="H68" s="4867" t="s">
        <v>46</v>
      </c>
      <c r="I68" s="4867" t="s">
        <v>46</v>
      </c>
      <c r="J68" s="4867" t="s">
        <v>46</v>
      </c>
      <c r="K68" s="4867"/>
      <c r="L68" s="4867" t="s">
        <v>0</v>
      </c>
      <c r="M68" s="4868" t="s">
        <v>40</v>
      </c>
      <c r="N68" s="4868" t="s">
        <v>40</v>
      </c>
      <c r="O68" s="4868" t="s">
        <v>40</v>
      </c>
      <c r="P68" s="4868" t="s">
        <v>40</v>
      </c>
      <c r="Q68" s="4868" t="s">
        <v>40</v>
      </c>
      <c r="R68" s="1132"/>
      <c r="S68" s="4869">
        <v>23</v>
      </c>
      <c r="T68" s="4807" t="s">
        <v>46</v>
      </c>
      <c r="U68" s="4807" t="s">
        <v>130</v>
      </c>
      <c r="V68" s="4807" t="s">
        <v>40</v>
      </c>
      <c r="W68" s="4807" t="s">
        <v>257</v>
      </c>
      <c r="X68" s="4807" t="s">
        <v>257</v>
      </c>
      <c r="Y68" s="4792"/>
      <c r="Z68" s="4811"/>
      <c r="AA68" s="4868" t="s">
        <v>40</v>
      </c>
      <c r="AB68" s="4868" t="s">
        <v>40</v>
      </c>
      <c r="AC68" s="4868" t="s">
        <v>40</v>
      </c>
      <c r="AD68" s="4868" t="s">
        <v>40</v>
      </c>
      <c r="AE68" s="4868" t="s">
        <v>40</v>
      </c>
      <c r="AF68" s="4870"/>
    </row>
    <row r="69" spans="1:32" ht="18" customHeight="1">
      <c r="A69" s="4864" t="s">
        <v>115</v>
      </c>
      <c r="B69" s="4871"/>
      <c r="C69" s="4871" t="s">
        <v>40</v>
      </c>
      <c r="D69" s="4871"/>
      <c r="E69" s="4871"/>
      <c r="F69" s="4871" t="s">
        <v>40</v>
      </c>
      <c r="G69" s="4871" t="s">
        <v>40</v>
      </c>
      <c r="H69" s="4871" t="s">
        <v>40</v>
      </c>
      <c r="I69" s="4871" t="s">
        <v>40</v>
      </c>
      <c r="J69" s="4871" t="s">
        <v>40</v>
      </c>
      <c r="K69" s="4871"/>
      <c r="L69" s="4871"/>
      <c r="M69" s="4871" t="s">
        <v>40</v>
      </c>
      <c r="N69" s="4872" t="s">
        <v>40</v>
      </c>
      <c r="O69" s="4872" t="s">
        <v>40</v>
      </c>
      <c r="P69" s="4872" t="s">
        <v>40</v>
      </c>
      <c r="Q69" s="4873" t="s">
        <v>40</v>
      </c>
      <c r="R69" s="4874"/>
      <c r="S69" s="4874"/>
      <c r="T69" s="4874" t="s">
        <v>40</v>
      </c>
      <c r="U69" s="4869" t="s">
        <v>40</v>
      </c>
      <c r="V69" s="4869" t="s">
        <v>40</v>
      </c>
      <c r="W69" s="4869" t="s">
        <v>40</v>
      </c>
      <c r="X69" s="4869" t="s">
        <v>40</v>
      </c>
      <c r="Y69" s="4875"/>
      <c r="Z69" s="4874"/>
      <c r="AA69" s="4874" t="s">
        <v>40</v>
      </c>
      <c r="AB69" s="4869" t="s">
        <v>40</v>
      </c>
      <c r="AC69" s="4869" t="s">
        <v>40</v>
      </c>
      <c r="AD69" s="4869" t="s">
        <v>40</v>
      </c>
      <c r="AE69" s="4874" t="s">
        <v>40</v>
      </c>
      <c r="AF69" s="4870"/>
    </row>
    <row r="70" spans="1:32" ht="18" customHeight="1">
      <c r="A70" s="4864" t="s">
        <v>117</v>
      </c>
      <c r="B70" s="4876"/>
      <c r="C70" s="4877" t="s">
        <v>40</v>
      </c>
      <c r="D70" s="4878" t="s">
        <v>104</v>
      </c>
      <c r="E70" s="4876" t="s">
        <v>104</v>
      </c>
      <c r="F70" s="4874" t="s">
        <v>40</v>
      </c>
      <c r="G70" s="4874" t="s">
        <v>40</v>
      </c>
      <c r="H70" s="4871" t="s">
        <v>40</v>
      </c>
      <c r="I70" s="4871" t="s">
        <v>40</v>
      </c>
      <c r="J70" s="4871" t="s">
        <v>40</v>
      </c>
      <c r="K70" s="4879"/>
      <c r="L70" s="4879"/>
      <c r="M70" s="4812" t="s">
        <v>40</v>
      </c>
      <c r="N70" s="4812" t="s">
        <v>40</v>
      </c>
      <c r="O70" s="4880" t="s">
        <v>40</v>
      </c>
      <c r="P70" s="4880" t="s">
        <v>40</v>
      </c>
      <c r="Q70" s="4880" t="s">
        <v>40</v>
      </c>
      <c r="R70" s="4794"/>
      <c r="S70" s="1196">
        <v>23</v>
      </c>
      <c r="T70" s="1196" t="s">
        <v>118</v>
      </c>
      <c r="U70" s="4867" t="s">
        <v>46</v>
      </c>
      <c r="V70" s="4867" t="s">
        <v>46</v>
      </c>
      <c r="W70" s="4867" t="s">
        <v>46</v>
      </c>
      <c r="X70" s="4867" t="s">
        <v>46</v>
      </c>
      <c r="Y70" s="1107" t="s">
        <v>61</v>
      </c>
      <c r="Z70" s="4794"/>
      <c r="AA70" s="4794">
        <v>5</v>
      </c>
      <c r="AB70" s="4811">
        <v>5</v>
      </c>
      <c r="AC70" s="4811">
        <v>5</v>
      </c>
      <c r="AD70" s="4794">
        <v>5</v>
      </c>
      <c r="AE70" s="4794">
        <v>5</v>
      </c>
      <c r="AF70" s="1108" t="s">
        <v>61</v>
      </c>
    </row>
    <row r="71" spans="1:32" ht="18" customHeight="1">
      <c r="A71" s="4864" t="s">
        <v>622</v>
      </c>
      <c r="B71" s="4878"/>
      <c r="C71" s="4812" t="s">
        <v>257</v>
      </c>
      <c r="D71" s="4878" t="s">
        <v>0</v>
      </c>
      <c r="E71" s="4876" t="s">
        <v>0</v>
      </c>
      <c r="F71" s="4812" t="s">
        <v>40</v>
      </c>
      <c r="G71" s="4812">
        <v>8</v>
      </c>
      <c r="H71" s="4812">
        <v>1</v>
      </c>
      <c r="I71" s="4812" t="s">
        <v>40</v>
      </c>
      <c r="J71" s="4812" t="s">
        <v>40</v>
      </c>
      <c r="K71" s="4812"/>
      <c r="L71" s="4881"/>
      <c r="M71" s="4827" t="s">
        <v>40</v>
      </c>
      <c r="N71" s="4882" t="s">
        <v>144</v>
      </c>
      <c r="O71" s="4882" t="s">
        <v>40</v>
      </c>
      <c r="P71" s="4827" t="s">
        <v>40</v>
      </c>
      <c r="Q71" s="4792" t="s">
        <v>40</v>
      </c>
      <c r="R71" s="4792"/>
      <c r="S71" s="1110" t="s">
        <v>0</v>
      </c>
      <c r="T71" s="4794" t="s">
        <v>40</v>
      </c>
      <c r="U71" s="4794" t="s">
        <v>40</v>
      </c>
      <c r="V71" s="4794" t="s">
        <v>40</v>
      </c>
      <c r="W71" s="4794" t="s">
        <v>40</v>
      </c>
      <c r="X71" s="4794" t="s">
        <v>46</v>
      </c>
      <c r="Y71" s="1083" t="s">
        <v>91</v>
      </c>
      <c r="Z71" s="1083" t="s">
        <v>89</v>
      </c>
      <c r="AA71" s="4827" t="s">
        <v>40</v>
      </c>
      <c r="AB71" s="4827" t="s">
        <v>46</v>
      </c>
      <c r="AC71" s="4827" t="s">
        <v>131</v>
      </c>
      <c r="AD71" s="4827" t="s">
        <v>131</v>
      </c>
      <c r="AE71" s="4830" t="s">
        <v>373</v>
      </c>
      <c r="AF71" s="4883"/>
    </row>
    <row r="72" spans="1:32" ht="18" customHeight="1">
      <c r="A72" s="4864" t="s">
        <v>122</v>
      </c>
      <c r="B72" s="4812"/>
      <c r="C72" s="4867" t="s">
        <v>46</v>
      </c>
      <c r="D72" s="4830" t="s">
        <v>373</v>
      </c>
      <c r="E72" s="4830" t="s">
        <v>113</v>
      </c>
      <c r="F72" s="4867" t="s">
        <v>46</v>
      </c>
      <c r="G72" s="4867" t="s">
        <v>46</v>
      </c>
      <c r="H72" s="4867" t="s">
        <v>46</v>
      </c>
      <c r="I72" s="4812" t="s">
        <v>40</v>
      </c>
      <c r="J72" s="4812" t="s">
        <v>40</v>
      </c>
      <c r="K72" s="4812"/>
      <c r="L72" s="4884"/>
      <c r="M72" s="4811" t="s">
        <v>46</v>
      </c>
      <c r="N72" s="4811" t="s">
        <v>46</v>
      </c>
      <c r="O72" s="4794" t="s">
        <v>40</v>
      </c>
      <c r="P72" s="4794" t="s">
        <v>40</v>
      </c>
      <c r="Q72" s="4811" t="s">
        <v>40</v>
      </c>
      <c r="R72" s="4811"/>
      <c r="S72" s="4811"/>
      <c r="T72" s="4885">
        <v>22</v>
      </c>
      <c r="U72" s="1150">
        <v>22</v>
      </c>
      <c r="V72" s="1104">
        <v>22</v>
      </c>
      <c r="W72" s="1105">
        <v>22</v>
      </c>
      <c r="X72" s="1105">
        <v>22</v>
      </c>
      <c r="Y72" s="1104">
        <v>22</v>
      </c>
      <c r="Z72" s="1105">
        <v>22</v>
      </c>
      <c r="AA72" s="4867" t="s">
        <v>46</v>
      </c>
      <c r="AB72" s="4867" t="s">
        <v>46</v>
      </c>
      <c r="AC72" s="4867" t="s">
        <v>46</v>
      </c>
      <c r="AD72" s="4867" t="s">
        <v>46</v>
      </c>
      <c r="AE72" s="4867" t="s">
        <v>46</v>
      </c>
      <c r="AF72" s="4883"/>
    </row>
    <row r="73" spans="1:32" ht="18" customHeight="1">
      <c r="A73" s="4864" t="s">
        <v>129</v>
      </c>
      <c r="B73" s="4876"/>
      <c r="C73" s="4876" t="s">
        <v>40</v>
      </c>
      <c r="D73" s="4876"/>
      <c r="E73" s="4876"/>
      <c r="F73" s="4867">
        <v>25</v>
      </c>
      <c r="G73" s="4867">
        <v>25</v>
      </c>
      <c r="H73" s="4867">
        <v>25</v>
      </c>
      <c r="I73" s="4867">
        <v>25</v>
      </c>
      <c r="J73" s="4867">
        <v>25</v>
      </c>
      <c r="K73" s="1083" t="s">
        <v>0</v>
      </c>
      <c r="L73" s="1083" t="s">
        <v>137</v>
      </c>
      <c r="M73" s="4807" t="s">
        <v>46</v>
      </c>
      <c r="N73" s="4807" t="s">
        <v>46</v>
      </c>
      <c r="O73" s="4807" t="s">
        <v>46</v>
      </c>
      <c r="P73" s="4807" t="s">
        <v>46</v>
      </c>
      <c r="Q73" s="4807" t="s">
        <v>46</v>
      </c>
      <c r="R73" s="4827"/>
      <c r="S73" s="4827"/>
      <c r="T73" s="1151">
        <v>23</v>
      </c>
      <c r="U73" s="1151">
        <v>23</v>
      </c>
      <c r="V73" s="1151">
        <v>23</v>
      </c>
      <c r="W73" s="1151">
        <v>23</v>
      </c>
      <c r="X73" s="1107">
        <v>23</v>
      </c>
      <c r="Y73" s="1152">
        <v>23</v>
      </c>
      <c r="Z73" s="1107">
        <v>23</v>
      </c>
      <c r="AA73" s="4807" t="s">
        <v>46</v>
      </c>
      <c r="AB73" s="4807" t="s">
        <v>46</v>
      </c>
      <c r="AC73" s="4807">
        <v>25</v>
      </c>
      <c r="AD73" s="4807" t="s">
        <v>46</v>
      </c>
      <c r="AE73" s="4807" t="s">
        <v>46</v>
      </c>
      <c r="AF73" s="4883"/>
    </row>
    <row r="74" spans="1:32" ht="18" customHeight="1">
      <c r="A74" s="4886" t="s">
        <v>140</v>
      </c>
      <c r="B74" s="4812"/>
      <c r="C74" s="4881" t="s">
        <v>144</v>
      </c>
      <c r="D74" s="4887"/>
      <c r="E74" s="4881"/>
      <c r="F74" s="1285">
        <v>9</v>
      </c>
      <c r="G74" s="1153">
        <v>21</v>
      </c>
      <c r="H74" s="1153">
        <v>21</v>
      </c>
      <c r="I74" s="1153">
        <v>21</v>
      </c>
      <c r="J74" s="1153">
        <v>21</v>
      </c>
      <c r="K74" s="1285">
        <v>21</v>
      </c>
      <c r="L74" s="1153" t="s">
        <v>139</v>
      </c>
      <c r="M74" s="4867" t="s">
        <v>46</v>
      </c>
      <c r="N74" s="4867" t="s">
        <v>46</v>
      </c>
      <c r="O74" s="4867" t="s">
        <v>46</v>
      </c>
      <c r="P74" s="4867" t="s">
        <v>46</v>
      </c>
      <c r="Q74" s="4867" t="s">
        <v>46</v>
      </c>
      <c r="R74" s="4806"/>
      <c r="S74" s="4827"/>
      <c r="T74" s="4831" t="s">
        <v>123</v>
      </c>
      <c r="U74" s="4831" t="s">
        <v>123</v>
      </c>
      <c r="V74" s="4831" t="s">
        <v>123</v>
      </c>
      <c r="W74" s="4831" t="s">
        <v>123</v>
      </c>
      <c r="X74" s="4831" t="s">
        <v>123</v>
      </c>
      <c r="Y74" s="4811"/>
      <c r="Z74" s="4811"/>
      <c r="AA74" s="4831" t="s">
        <v>123</v>
      </c>
      <c r="AB74" s="4831" t="s">
        <v>123</v>
      </c>
      <c r="AC74" s="4831" t="s">
        <v>123</v>
      </c>
      <c r="AD74" s="4831" t="s">
        <v>123</v>
      </c>
      <c r="AE74" s="4831" t="s">
        <v>123</v>
      </c>
      <c r="AF74" s="4883"/>
    </row>
    <row r="75" spans="1:32" ht="18" customHeight="1">
      <c r="A75" s="4888" t="s">
        <v>478</v>
      </c>
      <c r="B75" s="4792"/>
      <c r="C75" s="4792" t="s">
        <v>40</v>
      </c>
      <c r="D75" s="4792"/>
      <c r="E75" s="4792"/>
      <c r="F75" s="4889" t="s">
        <v>40</v>
      </c>
      <c r="G75" s="4889" t="s">
        <v>40</v>
      </c>
      <c r="H75" s="4889" t="s">
        <v>40</v>
      </c>
      <c r="I75" s="4889" t="s">
        <v>40</v>
      </c>
      <c r="J75" s="4889" t="s">
        <v>40</v>
      </c>
      <c r="K75" s="4792"/>
      <c r="L75" s="4792"/>
      <c r="M75" s="4792" t="s">
        <v>152</v>
      </c>
      <c r="N75" s="4792" t="s">
        <v>40</v>
      </c>
      <c r="O75" s="4792">
        <v>69</v>
      </c>
      <c r="P75" s="4792" t="s">
        <v>40</v>
      </c>
      <c r="Q75" s="4792" t="s">
        <v>40</v>
      </c>
      <c r="R75" s="4792"/>
      <c r="S75" s="4792" t="s">
        <v>104</v>
      </c>
      <c r="T75" s="4830" t="s">
        <v>113</v>
      </c>
      <c r="U75" s="4890" t="s">
        <v>40</v>
      </c>
      <c r="V75" s="4890" t="s">
        <v>40</v>
      </c>
      <c r="W75" s="4890" t="s">
        <v>40</v>
      </c>
      <c r="X75" s="4890" t="s">
        <v>40</v>
      </c>
      <c r="Y75" s="4792"/>
      <c r="Z75" s="4792"/>
      <c r="AA75" s="4830" t="s">
        <v>46</v>
      </c>
      <c r="AB75" s="4891" t="s">
        <v>113</v>
      </c>
      <c r="AC75" s="4891" t="s">
        <v>113</v>
      </c>
      <c r="AD75" s="4891" t="s">
        <v>113</v>
      </c>
      <c r="AE75" s="4830" t="s">
        <v>46</v>
      </c>
      <c r="AF75" s="4892" t="s">
        <v>429</v>
      </c>
    </row>
    <row r="76" spans="1:32" ht="18" customHeight="1">
      <c r="A76" s="4886" t="s">
        <v>479</v>
      </c>
      <c r="B76" s="4827"/>
      <c r="C76" s="4827" t="s">
        <v>145</v>
      </c>
      <c r="D76" s="4827"/>
      <c r="E76" s="4827"/>
      <c r="F76" s="1154">
        <v>9</v>
      </c>
      <c r="G76" s="1154">
        <v>9</v>
      </c>
      <c r="H76" s="1154">
        <v>9</v>
      </c>
      <c r="I76" s="1154">
        <v>9</v>
      </c>
      <c r="J76" s="1124">
        <v>9</v>
      </c>
      <c r="K76" s="1124" t="s">
        <v>623</v>
      </c>
      <c r="L76" s="1332" t="s">
        <v>52</v>
      </c>
      <c r="M76" s="4867" t="s">
        <v>46</v>
      </c>
      <c r="N76" s="4867" t="s">
        <v>46</v>
      </c>
      <c r="O76" s="4867" t="s">
        <v>46</v>
      </c>
      <c r="P76" s="4867" t="s">
        <v>46</v>
      </c>
      <c r="Q76" s="4867" t="s">
        <v>46</v>
      </c>
      <c r="R76" s="1107"/>
      <c r="S76" s="4827"/>
      <c r="T76" s="4890" t="s">
        <v>40</v>
      </c>
      <c r="U76" s="4890" t="s">
        <v>40</v>
      </c>
      <c r="V76" s="4890" t="s">
        <v>40</v>
      </c>
      <c r="W76" s="4890" t="s">
        <v>40</v>
      </c>
      <c r="X76" s="4890" t="s">
        <v>40</v>
      </c>
      <c r="Y76" s="4794"/>
      <c r="Z76" s="4794"/>
      <c r="AA76" s="4794">
        <v>4</v>
      </c>
      <c r="AB76" s="4806">
        <v>4</v>
      </c>
      <c r="AC76" s="4827" t="s">
        <v>148</v>
      </c>
      <c r="AD76" s="4827" t="s">
        <v>148</v>
      </c>
      <c r="AE76" s="4827" t="s">
        <v>148</v>
      </c>
      <c r="AF76" s="4883"/>
    </row>
    <row r="77" spans="1:32" ht="18" customHeight="1">
      <c r="A77" s="4893" t="s">
        <v>564</v>
      </c>
      <c r="B77" s="4827"/>
      <c r="C77" s="4827" t="s">
        <v>126</v>
      </c>
      <c r="D77" s="4827" t="s">
        <v>126</v>
      </c>
      <c r="E77" s="4827" t="s">
        <v>126</v>
      </c>
      <c r="F77" s="4807" t="s">
        <v>46</v>
      </c>
      <c r="G77" s="4807" t="s">
        <v>46</v>
      </c>
      <c r="H77" s="4894" t="s">
        <v>46</v>
      </c>
      <c r="I77" s="4807" t="s">
        <v>46</v>
      </c>
      <c r="J77" s="4807" t="s">
        <v>46</v>
      </c>
      <c r="K77" s="4827"/>
      <c r="L77" s="4827"/>
      <c r="M77" s="4827" t="s">
        <v>40</v>
      </c>
      <c r="N77" s="4895" t="s">
        <v>104</v>
      </c>
      <c r="O77" s="4889" t="s">
        <v>40</v>
      </c>
      <c r="P77" s="4889" t="s">
        <v>40</v>
      </c>
      <c r="Q77" s="1128" t="s">
        <v>139</v>
      </c>
      <c r="R77" s="1128" t="s">
        <v>139</v>
      </c>
      <c r="S77" s="1107" t="s">
        <v>139</v>
      </c>
      <c r="T77" s="4807" t="s">
        <v>46</v>
      </c>
      <c r="U77" s="4807" t="s">
        <v>46</v>
      </c>
      <c r="V77" s="4807" t="s">
        <v>46</v>
      </c>
      <c r="W77" s="4896" t="s">
        <v>113</v>
      </c>
      <c r="X77" s="4896" t="s">
        <v>373</v>
      </c>
      <c r="Y77" s="4794"/>
      <c r="Z77" s="4794"/>
      <c r="AA77" s="4890" t="s">
        <v>40</v>
      </c>
      <c r="AB77" s="4890" t="s">
        <v>40</v>
      </c>
      <c r="AC77" s="4890" t="s">
        <v>40</v>
      </c>
      <c r="AD77" s="4890" t="s">
        <v>40</v>
      </c>
      <c r="AE77" s="4890" t="s">
        <v>40</v>
      </c>
      <c r="AF77" s="4883"/>
    </row>
    <row r="78" spans="1:32" ht="18" customHeight="1">
      <c r="A78" s="4897" t="s">
        <v>565</v>
      </c>
      <c r="B78" s="4827"/>
      <c r="C78" s="4827" t="s">
        <v>104</v>
      </c>
      <c r="D78" s="4827"/>
      <c r="E78" s="4827"/>
      <c r="F78" s="4898" t="s">
        <v>46</v>
      </c>
      <c r="G78" s="4890" t="s">
        <v>40</v>
      </c>
      <c r="H78" s="4890" t="s">
        <v>40</v>
      </c>
      <c r="I78" s="4890" t="s">
        <v>40</v>
      </c>
      <c r="J78" s="4890" t="s">
        <v>40</v>
      </c>
      <c r="K78" s="4827"/>
      <c r="L78" s="4827"/>
      <c r="M78" s="4832" t="s">
        <v>418</v>
      </c>
      <c r="N78" s="4832" t="s">
        <v>418</v>
      </c>
      <c r="O78" s="4867" t="s">
        <v>46</v>
      </c>
      <c r="P78" s="4867" t="s">
        <v>46</v>
      </c>
      <c r="Q78" s="4867" t="s">
        <v>46</v>
      </c>
      <c r="R78" s="4827"/>
      <c r="S78" s="4827" t="s">
        <v>0</v>
      </c>
      <c r="T78" s="4899" t="s">
        <v>40</v>
      </c>
      <c r="U78" s="4890" t="s">
        <v>40</v>
      </c>
      <c r="V78" s="4890" t="s">
        <v>40</v>
      </c>
      <c r="W78" s="4890" t="s">
        <v>40</v>
      </c>
      <c r="X78" s="4890" t="s">
        <v>40</v>
      </c>
      <c r="Y78" s="4794"/>
      <c r="Z78" s="4794"/>
      <c r="AA78" s="4794" t="s">
        <v>40</v>
      </c>
      <c r="AB78" s="4806" t="s">
        <v>40</v>
      </c>
      <c r="AC78" s="4827" t="s">
        <v>40</v>
      </c>
      <c r="AD78" s="4827" t="s">
        <v>40</v>
      </c>
      <c r="AE78" s="4827" t="s">
        <v>40</v>
      </c>
      <c r="AF78" s="4883"/>
    </row>
    <row r="79" spans="1:32" ht="18" customHeight="1">
      <c r="A79" s="4897" t="s">
        <v>540</v>
      </c>
      <c r="B79" s="4827" t="s">
        <v>61</v>
      </c>
      <c r="C79" s="1155" t="s">
        <v>46</v>
      </c>
      <c r="D79" s="1155" t="s">
        <v>139</v>
      </c>
      <c r="E79" s="1155" t="s">
        <v>139</v>
      </c>
      <c r="F79" s="1156" t="s">
        <v>61</v>
      </c>
      <c r="G79" s="1156" t="s">
        <v>61</v>
      </c>
      <c r="H79" s="1156" t="s">
        <v>61</v>
      </c>
      <c r="I79" s="1155" t="s">
        <v>46</v>
      </c>
      <c r="J79" s="1155" t="s">
        <v>46</v>
      </c>
      <c r="K79" s="1156"/>
      <c r="L79" s="1155" t="s">
        <v>61</v>
      </c>
      <c r="M79" s="1156" t="s">
        <v>61</v>
      </c>
      <c r="N79" s="1156" t="s">
        <v>61</v>
      </c>
      <c r="O79" s="4900" t="s">
        <v>46</v>
      </c>
      <c r="P79" s="4900" t="s">
        <v>46</v>
      </c>
      <c r="Q79" s="4900" t="s">
        <v>46</v>
      </c>
      <c r="R79" s="1155" t="s">
        <v>61</v>
      </c>
      <c r="S79" s="4827"/>
      <c r="T79" s="4899" t="s">
        <v>40</v>
      </c>
      <c r="U79" s="1157" t="s">
        <v>46</v>
      </c>
      <c r="V79" s="1155" t="s">
        <v>46</v>
      </c>
      <c r="W79" s="1155" t="s">
        <v>46</v>
      </c>
      <c r="X79" s="1155" t="s">
        <v>46</v>
      </c>
      <c r="Y79" s="1156" t="s">
        <v>0</v>
      </c>
      <c r="Z79" s="1156" t="s">
        <v>61</v>
      </c>
      <c r="AA79" s="1156" t="s">
        <v>61</v>
      </c>
      <c r="AB79" s="1156" t="s">
        <v>61</v>
      </c>
      <c r="AC79" s="1158" t="s">
        <v>46</v>
      </c>
      <c r="AD79" s="1158" t="s">
        <v>46</v>
      </c>
      <c r="AE79" s="1158" t="s">
        <v>46</v>
      </c>
      <c r="AF79" s="1158" t="s">
        <v>46</v>
      </c>
    </row>
    <row r="80" spans="1:32" ht="18" customHeight="1">
      <c r="A80" s="707" t="s">
        <v>591</v>
      </c>
      <c r="B80" s="4802"/>
      <c r="C80" s="4901" t="s">
        <v>373</v>
      </c>
      <c r="D80" s="4902" t="s">
        <v>429</v>
      </c>
      <c r="E80" s="4802"/>
      <c r="F80" s="4903" t="s">
        <v>139</v>
      </c>
      <c r="G80" s="4903" t="s">
        <v>139</v>
      </c>
      <c r="H80" s="4903">
        <v>23</v>
      </c>
      <c r="I80" s="4904">
        <v>23</v>
      </c>
      <c r="J80" s="4904">
        <v>23</v>
      </c>
      <c r="K80" s="4905"/>
      <c r="L80" s="4905"/>
      <c r="M80" s="4830" t="s">
        <v>113</v>
      </c>
      <c r="N80" s="4830" t="s">
        <v>113</v>
      </c>
      <c r="O80" s="4906" t="s">
        <v>46</v>
      </c>
      <c r="P80" s="4906" t="s">
        <v>46</v>
      </c>
      <c r="Q80" s="4906" t="s">
        <v>46</v>
      </c>
      <c r="R80" s="4828" t="s">
        <v>429</v>
      </c>
      <c r="S80" s="1454" t="s">
        <v>591</v>
      </c>
      <c r="T80" s="4906" t="s">
        <v>46</v>
      </c>
      <c r="U80" s="4906" t="s">
        <v>46</v>
      </c>
      <c r="V80" s="4906" t="s">
        <v>46</v>
      </c>
      <c r="W80" s="4906" t="s">
        <v>46</v>
      </c>
      <c r="X80" s="4906" t="s">
        <v>46</v>
      </c>
      <c r="Y80" s="4802"/>
      <c r="Z80" s="4802"/>
      <c r="AA80" s="4828" t="s">
        <v>418</v>
      </c>
      <c r="AB80" s="4828" t="s">
        <v>418</v>
      </c>
      <c r="AC80" s="4906" t="s">
        <v>46</v>
      </c>
      <c r="AD80" s="4906" t="s">
        <v>46</v>
      </c>
      <c r="AE80" s="4906" t="s">
        <v>46</v>
      </c>
      <c r="AF80" s="1159" t="s">
        <v>373</v>
      </c>
    </row>
    <row r="81" spans="1:32" ht="18" customHeight="1">
      <c r="A81" s="115"/>
      <c r="B81" s="1160"/>
      <c r="C81" s="1160"/>
      <c r="D81" s="1160"/>
      <c r="E81" s="1161"/>
      <c r="F81" s="1161"/>
      <c r="G81" s="1162"/>
      <c r="H81" s="1162"/>
      <c r="I81" s="1162"/>
      <c r="J81" s="1163"/>
      <c r="K81" s="1163"/>
      <c r="L81" s="1162"/>
      <c r="M81" s="1162"/>
      <c r="N81" s="1162"/>
      <c r="O81" s="1162"/>
      <c r="P81" s="1162"/>
      <c r="Q81" s="1162"/>
      <c r="R81" s="1162"/>
      <c r="S81" s="1163"/>
      <c r="T81" s="1162"/>
      <c r="U81" s="1161"/>
      <c r="V81" s="1161"/>
      <c r="W81" s="1161"/>
      <c r="X81" s="1161"/>
      <c r="Y81" s="1161"/>
      <c r="Z81" s="1161"/>
      <c r="AA81" s="1161"/>
      <c r="AB81" s="1161"/>
      <c r="AC81" s="1160"/>
      <c r="AD81" s="1160"/>
      <c r="AE81" s="1164"/>
      <c r="AF81" s="1165"/>
    </row>
    <row r="82" spans="1:32" ht="18" customHeight="1">
      <c r="A82" s="1408" t="s">
        <v>154</v>
      </c>
      <c r="B82" s="1067">
        <v>1</v>
      </c>
      <c r="C82" s="1068">
        <v>2</v>
      </c>
      <c r="D82" s="1067">
        <v>3</v>
      </c>
      <c r="E82" s="1067">
        <v>4</v>
      </c>
      <c r="F82" s="1068">
        <v>5</v>
      </c>
      <c r="G82" s="1068">
        <v>6</v>
      </c>
      <c r="H82" s="1068">
        <v>7</v>
      </c>
      <c r="I82" s="1068">
        <v>8</v>
      </c>
      <c r="J82" s="1068">
        <v>9</v>
      </c>
      <c r="K82" s="1067">
        <v>10</v>
      </c>
      <c r="L82" s="1067">
        <v>11</v>
      </c>
      <c r="M82" s="1068">
        <v>12</v>
      </c>
      <c r="N82" s="1068">
        <v>13</v>
      </c>
      <c r="O82" s="1068">
        <v>14</v>
      </c>
      <c r="P82" s="1068">
        <v>15</v>
      </c>
      <c r="Q82" s="1068">
        <v>16</v>
      </c>
      <c r="R82" s="1067">
        <v>17</v>
      </c>
      <c r="S82" s="1067">
        <v>18</v>
      </c>
      <c r="T82" s="1068">
        <v>19</v>
      </c>
      <c r="U82" s="1068">
        <v>20</v>
      </c>
      <c r="V82" s="1068">
        <v>21</v>
      </c>
      <c r="W82" s="1068">
        <v>22</v>
      </c>
      <c r="X82" s="1068">
        <v>23</v>
      </c>
      <c r="Y82" s="1067">
        <v>24</v>
      </c>
      <c r="Z82" s="1067">
        <v>25</v>
      </c>
      <c r="AA82" s="1068">
        <v>26</v>
      </c>
      <c r="AB82" s="1068">
        <v>27</v>
      </c>
      <c r="AC82" s="1068">
        <v>28</v>
      </c>
      <c r="AD82" s="1068">
        <v>29</v>
      </c>
      <c r="AE82" s="1068">
        <v>30</v>
      </c>
      <c r="AF82" s="1069">
        <v>31</v>
      </c>
    </row>
    <row r="83" spans="1:32" ht="18" customHeight="1" thickBot="1">
      <c r="A83" s="4907" t="s">
        <v>624</v>
      </c>
      <c r="B83" s="4827"/>
      <c r="C83" s="4827" t="s">
        <v>40</v>
      </c>
      <c r="D83" s="4827"/>
      <c r="E83" s="4794"/>
      <c r="F83" s="4794" t="s">
        <v>40</v>
      </c>
      <c r="G83" s="4811" t="s">
        <v>40</v>
      </c>
      <c r="H83" s="4811" t="s">
        <v>40</v>
      </c>
      <c r="I83" s="4811" t="s">
        <v>40</v>
      </c>
      <c r="J83" s="4815" t="s">
        <v>40</v>
      </c>
      <c r="K83" s="4815"/>
      <c r="L83" s="4811"/>
      <c r="M83" s="4811" t="s">
        <v>40</v>
      </c>
      <c r="N83" s="4889" t="s">
        <v>159</v>
      </c>
      <c r="O83" s="4889">
        <v>79</v>
      </c>
      <c r="P83" s="4896" t="s">
        <v>113</v>
      </c>
      <c r="Q83" s="4896" t="s">
        <v>373</v>
      </c>
      <c r="R83" s="4811"/>
      <c r="S83" s="4815"/>
      <c r="T83" s="4867" t="s">
        <v>46</v>
      </c>
      <c r="U83" s="1166" t="s">
        <v>61</v>
      </c>
      <c r="V83" s="1166" t="s">
        <v>61</v>
      </c>
      <c r="W83" s="1166" t="s">
        <v>61</v>
      </c>
      <c r="X83" s="4867" t="s">
        <v>46</v>
      </c>
      <c r="Y83" s="4794"/>
      <c r="Z83" s="4896" t="s">
        <v>139</v>
      </c>
      <c r="AA83" s="4896" t="s">
        <v>139</v>
      </c>
      <c r="AB83" s="4896" t="s">
        <v>139</v>
      </c>
      <c r="AC83" s="4867" t="s">
        <v>46</v>
      </c>
      <c r="AD83" s="4867" t="s">
        <v>46</v>
      </c>
      <c r="AE83" s="4867" t="s">
        <v>46</v>
      </c>
      <c r="AF83" s="4908"/>
    </row>
    <row r="84" spans="1:32" ht="18" customHeight="1" thickBot="1">
      <c r="A84" s="4888" t="s">
        <v>625</v>
      </c>
      <c r="B84" s="4909"/>
      <c r="C84" s="4909" t="s">
        <v>40</v>
      </c>
      <c r="D84" s="4909"/>
      <c r="E84" s="4909"/>
      <c r="F84" s="4909" t="s">
        <v>40</v>
      </c>
      <c r="G84" s="4910" t="s">
        <v>40</v>
      </c>
      <c r="H84" s="4910" t="s">
        <v>40</v>
      </c>
      <c r="I84" s="4910" t="s">
        <v>40</v>
      </c>
      <c r="J84" s="4910" t="s">
        <v>40</v>
      </c>
      <c r="K84" s="4910"/>
      <c r="L84" s="4910"/>
      <c r="M84" s="4811" t="s">
        <v>40</v>
      </c>
      <c r="N84" s="4911">
        <v>79</v>
      </c>
      <c r="O84" s="4911" t="s">
        <v>159</v>
      </c>
      <c r="P84" s="1166" t="s">
        <v>61</v>
      </c>
      <c r="Q84" s="1166" t="s">
        <v>61</v>
      </c>
      <c r="R84" s="4910"/>
      <c r="S84" s="1110" t="s">
        <v>61</v>
      </c>
      <c r="T84" s="4867" t="s">
        <v>46</v>
      </c>
      <c r="U84" s="4867" t="s">
        <v>46</v>
      </c>
      <c r="V84" s="4896" t="s">
        <v>139</v>
      </c>
      <c r="W84" s="4896" t="s">
        <v>139</v>
      </c>
      <c r="X84" s="1128" t="s">
        <v>118</v>
      </c>
      <c r="Y84" s="4911" t="s">
        <v>118</v>
      </c>
      <c r="Z84" s="4794"/>
      <c r="AA84" s="4867" t="s">
        <v>46</v>
      </c>
      <c r="AB84" s="4824" t="s">
        <v>118</v>
      </c>
      <c r="AC84" s="4824" t="s">
        <v>118</v>
      </c>
      <c r="AD84" s="4824" t="s">
        <v>118</v>
      </c>
      <c r="AE84" s="4824" t="s">
        <v>118</v>
      </c>
      <c r="AF84" s="4824" t="s">
        <v>118</v>
      </c>
    </row>
    <row r="85" spans="1:32" ht="18" customHeight="1" thickBot="1">
      <c r="A85" s="1413" t="s">
        <v>626</v>
      </c>
      <c r="B85" s="1067">
        <v>1</v>
      </c>
      <c r="C85" s="1068">
        <v>2</v>
      </c>
      <c r="D85" s="1067">
        <v>3</v>
      </c>
      <c r="E85" s="1067">
        <v>4</v>
      </c>
      <c r="F85" s="1068">
        <v>5</v>
      </c>
      <c r="G85" s="1068">
        <v>6</v>
      </c>
      <c r="H85" s="1068">
        <v>7</v>
      </c>
      <c r="I85" s="1068">
        <v>8</v>
      </c>
      <c r="J85" s="1068">
        <v>9</v>
      </c>
      <c r="K85" s="1067">
        <v>10</v>
      </c>
      <c r="L85" s="1067">
        <v>11</v>
      </c>
      <c r="M85" s="1068">
        <v>12</v>
      </c>
      <c r="N85" s="1068">
        <v>13</v>
      </c>
      <c r="O85" s="1068">
        <v>14</v>
      </c>
      <c r="P85" s="1068">
        <v>15</v>
      </c>
      <c r="Q85" s="1068">
        <v>16</v>
      </c>
      <c r="R85" s="1067">
        <v>17</v>
      </c>
      <c r="S85" s="1067">
        <v>18</v>
      </c>
      <c r="T85" s="1068">
        <v>19</v>
      </c>
      <c r="U85" s="1068">
        <v>20</v>
      </c>
      <c r="V85" s="1068">
        <v>21</v>
      </c>
      <c r="W85" s="1068">
        <v>22</v>
      </c>
      <c r="X85" s="1068">
        <v>23</v>
      </c>
      <c r="Y85" s="1067">
        <v>24</v>
      </c>
      <c r="Z85" s="1067">
        <v>25</v>
      </c>
      <c r="AA85" s="1068">
        <v>26</v>
      </c>
      <c r="AB85" s="1068">
        <v>27</v>
      </c>
      <c r="AC85" s="1068">
        <v>28</v>
      </c>
      <c r="AD85" s="1068">
        <v>29</v>
      </c>
      <c r="AE85" s="1068">
        <v>30</v>
      </c>
      <c r="AF85" s="1069">
        <v>31</v>
      </c>
    </row>
    <row r="86" spans="1:32" ht="18" customHeight="1">
      <c r="A86" s="4886" t="s">
        <v>157</v>
      </c>
      <c r="B86" s="4827"/>
      <c r="C86" s="4827" t="s">
        <v>46</v>
      </c>
      <c r="D86" s="4827"/>
      <c r="E86" s="4827"/>
      <c r="F86" s="4827" t="s">
        <v>40</v>
      </c>
      <c r="G86" s="4912" t="s">
        <v>325</v>
      </c>
      <c r="H86" s="4913" t="s">
        <v>118</v>
      </c>
      <c r="I86" s="4912" t="s">
        <v>118</v>
      </c>
      <c r="J86" s="4914" t="s">
        <v>46</v>
      </c>
      <c r="K86" s="4914"/>
      <c r="L86" s="4914">
        <v>21</v>
      </c>
      <c r="M86" s="4914" t="s">
        <v>40</v>
      </c>
      <c r="N86" s="4914" t="s">
        <v>40</v>
      </c>
      <c r="O86" s="4914" t="s">
        <v>40</v>
      </c>
      <c r="P86" s="4914" t="s">
        <v>40</v>
      </c>
      <c r="Q86" s="4914" t="s">
        <v>40</v>
      </c>
      <c r="R86" s="4914"/>
      <c r="S86" s="4914">
        <v>21</v>
      </c>
      <c r="T86" s="4880" t="s">
        <v>46</v>
      </c>
      <c r="U86" s="4915" t="s">
        <v>46</v>
      </c>
      <c r="V86" s="4794" t="s">
        <v>40</v>
      </c>
      <c r="W86" s="4794" t="s">
        <v>40</v>
      </c>
      <c r="X86" s="4794" t="s">
        <v>40</v>
      </c>
      <c r="Y86" s="4794" t="s">
        <v>104</v>
      </c>
      <c r="Z86" s="4794" t="s">
        <v>104</v>
      </c>
      <c r="AA86" s="4794" t="s">
        <v>40</v>
      </c>
      <c r="AB86" s="4794">
        <v>22</v>
      </c>
      <c r="AC86" s="4794">
        <v>22</v>
      </c>
      <c r="AD86" s="4794">
        <v>22</v>
      </c>
      <c r="AE86" s="4794">
        <v>22</v>
      </c>
      <c r="AF86" s="4794" t="s">
        <v>0</v>
      </c>
    </row>
    <row r="87" spans="1:32" ht="18" customHeight="1">
      <c r="A87" s="750" t="s">
        <v>544</v>
      </c>
      <c r="B87" s="1080">
        <v>7</v>
      </c>
      <c r="C87" s="1080">
        <v>7</v>
      </c>
      <c r="D87" s="1080"/>
      <c r="E87" s="1080"/>
      <c r="F87" s="1080">
        <v>4</v>
      </c>
      <c r="G87" s="1080">
        <v>4</v>
      </c>
      <c r="H87" s="1080">
        <v>4</v>
      </c>
      <c r="I87" s="1080">
        <v>4</v>
      </c>
      <c r="J87" s="1080">
        <v>4</v>
      </c>
      <c r="K87" s="1080"/>
      <c r="L87" s="1080"/>
      <c r="M87" s="1080">
        <v>3</v>
      </c>
      <c r="N87" s="1080">
        <v>3</v>
      </c>
      <c r="O87" s="1080">
        <v>3</v>
      </c>
      <c r="P87" s="1080">
        <v>3</v>
      </c>
      <c r="Q87" s="1080">
        <v>3</v>
      </c>
      <c r="R87" s="1080"/>
      <c r="S87" s="1080"/>
      <c r="T87" s="1084">
        <v>11</v>
      </c>
      <c r="U87" s="1084">
        <v>11</v>
      </c>
      <c r="V87" s="1084">
        <v>11</v>
      </c>
      <c r="W87" s="1084">
        <v>11</v>
      </c>
      <c r="X87" s="1084">
        <v>11</v>
      </c>
      <c r="Y87" s="1084" t="s">
        <v>87</v>
      </c>
      <c r="Z87" s="1084" t="s">
        <v>87</v>
      </c>
      <c r="AA87" s="1080" t="s">
        <v>46</v>
      </c>
      <c r="AB87" s="1080" t="s">
        <v>46</v>
      </c>
      <c r="AC87" s="1080" t="s">
        <v>46</v>
      </c>
      <c r="AD87" s="1080" t="s">
        <v>46</v>
      </c>
      <c r="AE87" s="1080" t="s">
        <v>46</v>
      </c>
      <c r="AF87" s="1121" t="s">
        <v>89</v>
      </c>
    </row>
    <row r="88" spans="1:32" ht="18" customHeight="1">
      <c r="A88" s="1276" t="s">
        <v>481</v>
      </c>
      <c r="B88" s="1081" t="s">
        <v>46</v>
      </c>
      <c r="C88" s="1076" t="s">
        <v>46</v>
      </c>
      <c r="D88" s="1083"/>
      <c r="E88" s="1083"/>
      <c r="F88" s="1167">
        <v>1</v>
      </c>
      <c r="G88" s="1167" t="s">
        <v>40</v>
      </c>
      <c r="H88" s="1167" t="s">
        <v>40</v>
      </c>
      <c r="I88" s="1167" t="s">
        <v>40</v>
      </c>
      <c r="J88" s="1167" t="s">
        <v>40</v>
      </c>
      <c r="K88" s="1167"/>
      <c r="L88" s="1167"/>
      <c r="M88" s="1076" t="s">
        <v>46</v>
      </c>
      <c r="N88" s="1076" t="s">
        <v>46</v>
      </c>
      <c r="O88" s="1076" t="s">
        <v>46</v>
      </c>
      <c r="P88" s="1076" t="s">
        <v>46</v>
      </c>
      <c r="Q88" s="1083" t="s">
        <v>46</v>
      </c>
      <c r="R88" s="1083" t="s">
        <v>91</v>
      </c>
      <c r="S88" s="1083" t="s">
        <v>89</v>
      </c>
      <c r="T88" s="1083">
        <v>6</v>
      </c>
      <c r="U88" s="1076">
        <v>6</v>
      </c>
      <c r="V88" s="1076">
        <v>6</v>
      </c>
      <c r="W88" s="1081">
        <v>6</v>
      </c>
      <c r="X88" s="1083">
        <v>6</v>
      </c>
      <c r="Y88" s="1083"/>
      <c r="Z88" s="1083"/>
      <c r="AA88" s="1083" t="s">
        <v>46</v>
      </c>
      <c r="AB88" s="1125" t="s">
        <v>46</v>
      </c>
      <c r="AC88" s="1083" t="s">
        <v>46</v>
      </c>
      <c r="AD88" s="1083" t="s">
        <v>46</v>
      </c>
      <c r="AE88" s="1083" t="s">
        <v>46</v>
      </c>
      <c r="AF88" s="1127"/>
    </row>
    <row r="89" spans="1:32" ht="18" customHeight="1">
      <c r="A89" s="1414" t="s">
        <v>160</v>
      </c>
      <c r="B89" s="1496">
        <v>1</v>
      </c>
      <c r="C89" s="1497">
        <v>2</v>
      </c>
      <c r="D89" s="1496">
        <v>3</v>
      </c>
      <c r="E89" s="1496">
        <v>4</v>
      </c>
      <c r="F89" s="1497">
        <v>5</v>
      </c>
      <c r="G89" s="1497">
        <v>6</v>
      </c>
      <c r="H89" s="1497">
        <v>7</v>
      </c>
      <c r="I89" s="1497">
        <v>8</v>
      </c>
      <c r="J89" s="1497">
        <v>9</v>
      </c>
      <c r="K89" s="1496">
        <v>10</v>
      </c>
      <c r="L89" s="1496">
        <v>11</v>
      </c>
      <c r="M89" s="1497">
        <v>12</v>
      </c>
      <c r="N89" s="1497">
        <v>13</v>
      </c>
      <c r="O89" s="1497">
        <v>14</v>
      </c>
      <c r="P89" s="1497">
        <v>15</v>
      </c>
      <c r="Q89" s="1497">
        <v>16</v>
      </c>
      <c r="R89" s="1496">
        <v>17</v>
      </c>
      <c r="S89" s="1496">
        <v>18</v>
      </c>
      <c r="T89" s="1497">
        <v>19</v>
      </c>
      <c r="U89" s="1497">
        <v>20</v>
      </c>
      <c r="V89" s="1497">
        <v>21</v>
      </c>
      <c r="W89" s="1497">
        <v>22</v>
      </c>
      <c r="X89" s="1497">
        <v>23</v>
      </c>
      <c r="Y89" s="1496">
        <v>24</v>
      </c>
      <c r="Z89" s="1496">
        <v>25</v>
      </c>
      <c r="AA89" s="1497">
        <v>26</v>
      </c>
      <c r="AB89" s="1497">
        <v>27</v>
      </c>
      <c r="AC89" s="1497">
        <v>28</v>
      </c>
      <c r="AD89" s="1497">
        <v>29</v>
      </c>
      <c r="AE89" s="1497">
        <v>30</v>
      </c>
      <c r="AF89" s="1471">
        <v>31</v>
      </c>
    </row>
    <row r="90" spans="1:32" ht="18" customHeight="1">
      <c r="A90" s="355"/>
      <c r="B90" s="2987"/>
      <c r="C90" s="4916"/>
      <c r="D90" s="2987"/>
      <c r="E90" s="2987"/>
      <c r="F90" s="2987"/>
      <c r="G90" s="2987"/>
      <c r="H90" s="2987"/>
      <c r="I90" s="2987"/>
      <c r="J90" s="2987"/>
      <c r="K90" s="2987"/>
      <c r="L90" s="2987"/>
      <c r="M90" s="2987"/>
      <c r="N90" s="2987"/>
      <c r="O90" s="2987"/>
      <c r="P90" s="2987"/>
      <c r="Q90" s="2987"/>
      <c r="R90" s="2987"/>
      <c r="S90" s="2987"/>
      <c r="T90" s="2987"/>
      <c r="U90" s="2987"/>
      <c r="V90" s="2987"/>
      <c r="W90" s="2987"/>
      <c r="X90" s="2987"/>
      <c r="Y90" s="2987"/>
      <c r="Z90" s="2987"/>
      <c r="AA90" s="2987"/>
      <c r="AB90" s="2987"/>
      <c r="AC90" s="2987"/>
      <c r="AD90" s="2987"/>
      <c r="AE90" s="2987"/>
      <c r="AF90" s="4908"/>
    </row>
    <row r="91" spans="1:32" ht="18" customHeight="1" thickBot="1">
      <c r="A91" s="4796"/>
      <c r="B91" s="4906"/>
      <c r="C91" s="4906"/>
      <c r="D91" s="4906"/>
      <c r="E91" s="4906"/>
      <c r="F91" s="4906"/>
      <c r="G91" s="4906"/>
      <c r="H91" s="4906"/>
      <c r="I91" s="4906"/>
      <c r="J91" s="4906"/>
      <c r="K91" s="4906"/>
      <c r="L91" s="4906"/>
      <c r="M91" s="4906"/>
      <c r="N91" s="4906"/>
      <c r="O91" s="4906"/>
      <c r="P91" s="4906"/>
      <c r="Q91" s="4906"/>
      <c r="R91" s="4906"/>
      <c r="S91" s="4906"/>
      <c r="T91" s="4906"/>
      <c r="U91" s="4906"/>
      <c r="V91" s="4906"/>
      <c r="W91" s="4906"/>
      <c r="X91" s="4906"/>
      <c r="Y91" s="4906"/>
      <c r="Z91" s="4906"/>
      <c r="AA91" s="4906"/>
      <c r="AB91" s="4906"/>
      <c r="AC91" s="4906"/>
      <c r="AD91" s="4906"/>
      <c r="AE91" s="4906"/>
      <c r="AF91" s="4917"/>
    </row>
    <row r="92" spans="1:32" ht="18" customHeight="1">
      <c r="A92" s="115"/>
      <c r="B92" s="1168"/>
      <c r="C92" s="1168"/>
      <c r="D92" s="1168"/>
      <c r="E92" s="1168"/>
      <c r="F92" s="1168"/>
      <c r="G92" s="1168"/>
      <c r="H92" s="1168"/>
      <c r="I92" s="1168"/>
      <c r="J92" s="1168"/>
      <c r="K92" s="1168"/>
      <c r="L92" s="1168"/>
      <c r="M92" s="1168"/>
      <c r="N92" s="1168"/>
      <c r="O92" s="1168"/>
      <c r="P92" s="1168"/>
      <c r="Q92" s="1168"/>
      <c r="R92" s="1168"/>
      <c r="S92" s="1168"/>
      <c r="T92" s="1168"/>
      <c r="U92" s="1168"/>
      <c r="V92" s="1168"/>
      <c r="W92" s="1168"/>
      <c r="X92" s="1168"/>
      <c r="Y92" s="1168"/>
      <c r="Z92" s="1168"/>
      <c r="AA92" s="1168"/>
      <c r="AB92" s="1168"/>
      <c r="AC92" s="1168"/>
      <c r="AD92" s="1168"/>
      <c r="AE92" s="1168"/>
    </row>
    <row r="93" spans="1:32" ht="18" customHeight="1" thickBot="1">
      <c r="A93" s="115"/>
      <c r="B93" s="1168"/>
      <c r="C93" s="1168"/>
      <c r="D93" s="1168"/>
      <c r="E93" s="1168"/>
      <c r="F93" s="1168"/>
      <c r="G93" s="1168"/>
      <c r="H93" s="1168"/>
      <c r="I93" s="1168"/>
      <c r="J93" s="1168"/>
      <c r="K93" s="1168"/>
      <c r="L93" s="1168"/>
      <c r="M93" s="1168"/>
      <c r="N93" s="1168"/>
      <c r="O93" s="1168"/>
      <c r="P93" s="1168"/>
      <c r="Q93" s="1168"/>
      <c r="R93" s="1168"/>
      <c r="S93" s="1168"/>
      <c r="T93" s="1168"/>
      <c r="U93" s="1168"/>
      <c r="V93" s="1168"/>
      <c r="W93" s="1168"/>
      <c r="X93" s="1168"/>
      <c r="Y93" s="1168"/>
      <c r="Z93" s="1168"/>
      <c r="AA93" s="1168"/>
      <c r="AB93" s="1168"/>
      <c r="AC93" s="1168"/>
      <c r="AD93" s="1168"/>
      <c r="AE93" s="1168"/>
    </row>
    <row r="94" spans="1:32" ht="18" customHeight="1">
      <c r="A94" s="1413" t="s">
        <v>483</v>
      </c>
      <c r="B94" s="1046">
        <v>1</v>
      </c>
      <c r="C94" s="1047">
        <v>2</v>
      </c>
      <c r="D94" s="1046">
        <v>3</v>
      </c>
      <c r="E94" s="1046">
        <v>4</v>
      </c>
      <c r="F94" s="1047">
        <v>5</v>
      </c>
      <c r="G94" s="1047">
        <v>6</v>
      </c>
      <c r="H94" s="1047">
        <v>7</v>
      </c>
      <c r="I94" s="1047">
        <v>8</v>
      </c>
      <c r="J94" s="1047">
        <v>9</v>
      </c>
      <c r="K94" s="1046">
        <v>10</v>
      </c>
      <c r="L94" s="1046">
        <v>11</v>
      </c>
      <c r="M94" s="1047">
        <v>12</v>
      </c>
      <c r="N94" s="1047">
        <v>13</v>
      </c>
      <c r="O94" s="1047">
        <v>14</v>
      </c>
      <c r="P94" s="1047">
        <v>15</v>
      </c>
      <c r="Q94" s="1047">
        <v>16</v>
      </c>
      <c r="R94" s="1046">
        <v>17</v>
      </c>
      <c r="S94" s="1046">
        <v>18</v>
      </c>
      <c r="T94" s="1047">
        <v>19</v>
      </c>
      <c r="U94" s="1047">
        <v>20</v>
      </c>
      <c r="V94" s="1047">
        <v>21</v>
      </c>
      <c r="W94" s="1047">
        <v>22</v>
      </c>
      <c r="X94" s="1047">
        <v>23</v>
      </c>
      <c r="Y94" s="1046">
        <v>24</v>
      </c>
      <c r="Z94" s="1046">
        <v>25</v>
      </c>
      <c r="AA94" s="1047">
        <v>26</v>
      </c>
      <c r="AB94" s="1047">
        <v>27</v>
      </c>
      <c r="AC94" s="1047">
        <v>28</v>
      </c>
      <c r="AD94" s="1047">
        <v>29</v>
      </c>
      <c r="AE94" s="1047">
        <v>30</v>
      </c>
      <c r="AF94" s="1048">
        <v>31</v>
      </c>
    </row>
    <row r="95" spans="1:32" ht="18" customHeight="1">
      <c r="A95" s="364" t="s">
        <v>484</v>
      </c>
      <c r="B95" s="1169" t="s">
        <v>592</v>
      </c>
      <c r="C95" s="1169" t="s">
        <v>592</v>
      </c>
      <c r="D95" s="1169" t="s">
        <v>592</v>
      </c>
      <c r="E95" s="1169" t="s">
        <v>592</v>
      </c>
      <c r="F95" s="1169" t="s">
        <v>592</v>
      </c>
      <c r="G95" s="1169" t="s">
        <v>592</v>
      </c>
      <c r="H95" s="1169" t="s">
        <v>592</v>
      </c>
      <c r="I95" s="1169" t="s">
        <v>592</v>
      </c>
      <c r="J95" s="1169" t="s">
        <v>592</v>
      </c>
      <c r="K95" s="1169" t="s">
        <v>592</v>
      </c>
      <c r="L95" s="1169" t="s">
        <v>592</v>
      </c>
      <c r="M95" s="1169" t="s">
        <v>592</v>
      </c>
      <c r="N95" s="1169" t="s">
        <v>592</v>
      </c>
      <c r="O95" s="1169" t="s">
        <v>592</v>
      </c>
      <c r="P95" s="1169" t="s">
        <v>592</v>
      </c>
      <c r="Q95" s="1169" t="s">
        <v>592</v>
      </c>
      <c r="R95" s="1169" t="s">
        <v>592</v>
      </c>
      <c r="S95" s="1169" t="s">
        <v>592</v>
      </c>
      <c r="T95" s="1169" t="s">
        <v>592</v>
      </c>
      <c r="U95" s="1169" t="s">
        <v>592</v>
      </c>
      <c r="V95" s="1169" t="s">
        <v>592</v>
      </c>
      <c r="W95" s="1169" t="s">
        <v>592</v>
      </c>
      <c r="X95" s="1169" t="s">
        <v>592</v>
      </c>
      <c r="Y95" s="1170" t="s">
        <v>592</v>
      </c>
      <c r="Z95" s="1171" t="s">
        <v>592</v>
      </c>
      <c r="AA95" s="1171" t="s">
        <v>592</v>
      </c>
      <c r="AB95" s="1172" t="s">
        <v>592</v>
      </c>
      <c r="AC95" s="1169" t="s">
        <v>592</v>
      </c>
      <c r="AD95" s="1169" t="s">
        <v>592</v>
      </c>
      <c r="AE95" s="1169" t="s">
        <v>592</v>
      </c>
      <c r="AF95" s="1169" t="s">
        <v>592</v>
      </c>
    </row>
    <row r="96" spans="1:32" ht="18" customHeight="1">
      <c r="A96" s="893" t="s">
        <v>493</v>
      </c>
      <c r="B96" s="1173"/>
      <c r="C96" s="1173"/>
      <c r="D96" s="1173"/>
      <c r="E96" s="1174"/>
      <c r="F96" s="1175" t="s">
        <v>593</v>
      </c>
      <c r="G96" s="1176" t="s">
        <v>487</v>
      </c>
      <c r="H96" s="1175" t="s">
        <v>593</v>
      </c>
      <c r="I96" s="1175" t="s">
        <v>593</v>
      </c>
      <c r="J96" s="1175" t="s">
        <v>593</v>
      </c>
      <c r="K96" s="1176"/>
      <c r="L96" s="1176"/>
      <c r="M96" s="1176" t="s">
        <v>487</v>
      </c>
      <c r="N96" s="1176" t="s">
        <v>593</v>
      </c>
      <c r="O96" s="1176" t="s">
        <v>487</v>
      </c>
      <c r="P96" s="1176" t="s">
        <v>593</v>
      </c>
      <c r="Q96" s="1176" t="s">
        <v>593</v>
      </c>
      <c r="R96" s="1176"/>
      <c r="S96" s="1177"/>
      <c r="T96" s="1177" t="s">
        <v>627</v>
      </c>
      <c r="U96" s="1177" t="s">
        <v>627</v>
      </c>
      <c r="V96" s="1177" t="s">
        <v>627</v>
      </c>
      <c r="W96" s="1177" t="s">
        <v>627</v>
      </c>
      <c r="X96" s="1177" t="s">
        <v>627</v>
      </c>
      <c r="Y96" s="1178"/>
      <c r="Z96" s="1179"/>
      <c r="AA96" s="1179"/>
      <c r="AB96" s="1180"/>
      <c r="AC96" s="1176"/>
      <c r="AD96" s="1176"/>
      <c r="AE96" s="1181"/>
      <c r="AF96" s="1107"/>
    </row>
    <row r="97" spans="1:33" ht="18" customHeight="1">
      <c r="A97" s="68"/>
      <c r="B97" s="1183"/>
      <c r="C97" s="1183"/>
      <c r="D97" s="1183"/>
      <c r="E97" s="1183"/>
      <c r="F97" s="1183"/>
      <c r="G97" s="1183"/>
      <c r="H97" s="1183"/>
      <c r="I97" s="1183"/>
      <c r="J97" s="1183"/>
      <c r="K97" s="1183"/>
      <c r="L97" s="1183"/>
      <c r="M97" s="1183"/>
      <c r="N97" s="1183"/>
      <c r="O97" s="1183"/>
      <c r="P97" s="1183"/>
      <c r="Q97" s="1183"/>
      <c r="R97" s="1183"/>
      <c r="S97" s="1183"/>
      <c r="T97" s="1183"/>
      <c r="U97" s="1183"/>
      <c r="V97" s="1183"/>
      <c r="W97" s="1183"/>
      <c r="X97" s="1183"/>
      <c r="Y97" s="1183"/>
      <c r="Z97" s="1183"/>
      <c r="AA97" s="1183"/>
      <c r="AB97" s="1183"/>
      <c r="AC97" s="1183"/>
      <c r="AD97" s="1183"/>
      <c r="AE97" s="1183"/>
    </row>
    <row r="98" spans="1:33" ht="18" customHeight="1" thickBot="1">
      <c r="B98" s="1184"/>
      <c r="C98" s="1184"/>
      <c r="D98" s="1184"/>
      <c r="E98" s="1184"/>
      <c r="F98" s="1184"/>
      <c r="G98" s="1184"/>
      <c r="H98" s="1184"/>
      <c r="I98" s="1184"/>
      <c r="J98" s="1184"/>
      <c r="K98" s="1184"/>
      <c r="L98" s="1184"/>
      <c r="M98" s="1184"/>
      <c r="N98" s="1184"/>
      <c r="O98" s="1184"/>
      <c r="P98" s="1184"/>
      <c r="Q98" s="1184"/>
      <c r="R98" s="1184"/>
      <c r="S98" s="1184"/>
      <c r="T98" s="1184"/>
      <c r="U98" s="1184"/>
      <c r="V98" s="1184"/>
      <c r="W98" s="1184"/>
      <c r="X98" s="1184"/>
      <c r="Y98" s="1184"/>
      <c r="Z98" s="1184"/>
      <c r="AA98" s="1184"/>
      <c r="AB98" s="1184"/>
      <c r="AC98" s="1184"/>
      <c r="AD98" s="1184"/>
      <c r="AE98" s="1184"/>
    </row>
    <row r="99" spans="1:33" ht="18" customHeight="1">
      <c r="A99" s="1277" t="s">
        <v>161</v>
      </c>
      <c r="B99" s="1185"/>
      <c r="C99" s="1061" t="s">
        <v>19</v>
      </c>
      <c r="D99" s="1060"/>
      <c r="E99" s="1060"/>
      <c r="F99" s="1061" t="s">
        <v>20</v>
      </c>
      <c r="G99" s="1060"/>
      <c r="H99" s="1060"/>
      <c r="I99" s="1061" t="s">
        <v>21</v>
      </c>
      <c r="J99" s="1060"/>
      <c r="K99" s="1060"/>
      <c r="L99" s="1061" t="s">
        <v>22</v>
      </c>
      <c r="M99" s="1060"/>
      <c r="N99" s="1060"/>
      <c r="O99" s="1061" t="s">
        <v>23</v>
      </c>
      <c r="P99" s="1060"/>
      <c r="Q99" s="1058"/>
      <c r="R99" s="1056" t="s">
        <v>24</v>
      </c>
      <c r="S99" s="1060"/>
      <c r="T99" s="1060"/>
      <c r="U99" s="1061" t="s">
        <v>25</v>
      </c>
      <c r="V99" s="1149"/>
      <c r="W99" s="1182"/>
      <c r="X99" s="1182"/>
      <c r="Y99" s="1182"/>
      <c r="Z99" s="1182"/>
      <c r="AA99" s="1182"/>
      <c r="AB99" s="1182"/>
      <c r="AC99" s="1182"/>
      <c r="AD99" s="1182"/>
      <c r="AE99" s="1182"/>
    </row>
    <row r="100" spans="1:33" ht="18" customHeight="1">
      <c r="A100" s="1278" t="s">
        <v>162</v>
      </c>
      <c r="B100" s="4918" t="s">
        <v>163</v>
      </c>
      <c r="C100" s="4919"/>
      <c r="D100" s="4919"/>
      <c r="E100" s="4918" t="s">
        <v>163</v>
      </c>
      <c r="F100" s="4919"/>
      <c r="G100" s="4919"/>
      <c r="H100" s="4918" t="s">
        <v>163</v>
      </c>
      <c r="I100" s="4919"/>
      <c r="J100" s="4919"/>
      <c r="K100" s="4918" t="s">
        <v>163</v>
      </c>
      <c r="L100" s="4919"/>
      <c r="M100" s="4919"/>
      <c r="N100" s="4918" t="s">
        <v>163</v>
      </c>
      <c r="O100" s="4919"/>
      <c r="P100" s="4919"/>
      <c r="Q100" s="4920"/>
      <c r="R100" s="4919"/>
      <c r="S100" s="4919"/>
      <c r="T100" s="4920" t="s">
        <v>164</v>
      </c>
      <c r="U100" s="4919"/>
      <c r="V100" s="4921"/>
      <c r="W100" s="1182"/>
      <c r="X100" s="1182"/>
      <c r="Y100" s="1182"/>
      <c r="Z100" s="1182"/>
      <c r="AA100" s="1182"/>
      <c r="AB100" s="1182"/>
      <c r="AC100" s="1182"/>
      <c r="AD100" s="1182"/>
      <c r="AE100" s="1182"/>
    </row>
    <row r="101" spans="1:33" ht="18" customHeight="1">
      <c r="A101" s="4922" t="s">
        <v>165</v>
      </c>
      <c r="B101" s="4923" t="s">
        <v>166</v>
      </c>
      <c r="C101" s="4924"/>
      <c r="D101" s="4924"/>
      <c r="E101" s="4923" t="s">
        <v>167</v>
      </c>
      <c r="F101" s="4924"/>
      <c r="G101" s="4924"/>
      <c r="H101" s="4923" t="s">
        <v>167</v>
      </c>
      <c r="I101" s="4924"/>
      <c r="J101" s="4924"/>
      <c r="K101" s="4923" t="s">
        <v>167</v>
      </c>
      <c r="L101" s="4924"/>
      <c r="M101" s="4924"/>
      <c r="N101" s="4923" t="s">
        <v>168</v>
      </c>
      <c r="O101" s="4924"/>
      <c r="P101" s="4924"/>
      <c r="Q101" s="1186"/>
      <c r="R101" s="1187"/>
      <c r="S101" s="4925"/>
      <c r="T101" s="1186"/>
      <c r="U101" s="1187"/>
      <c r="V101" s="4921"/>
      <c r="W101" s="1182"/>
      <c r="X101" s="1182"/>
      <c r="Y101" s="1182"/>
      <c r="Z101" s="1182"/>
      <c r="AA101" s="1182"/>
      <c r="AB101" s="1182"/>
      <c r="AC101" s="1182"/>
      <c r="AD101" s="1182"/>
      <c r="AE101" s="1182"/>
    </row>
    <row r="102" spans="1:33" ht="18" customHeight="1">
      <c r="A102" s="4922" t="s">
        <v>169</v>
      </c>
      <c r="B102" s="4926" t="s">
        <v>170</v>
      </c>
      <c r="C102" s="4846"/>
      <c r="D102" s="4846"/>
      <c r="E102" s="4926" t="s">
        <v>171</v>
      </c>
      <c r="F102" s="4854"/>
      <c r="G102" s="4846"/>
      <c r="H102" s="4926" t="s">
        <v>171</v>
      </c>
      <c r="I102" s="4767"/>
      <c r="J102" s="4766"/>
      <c r="K102" s="4927" t="s">
        <v>172</v>
      </c>
      <c r="L102" s="4767"/>
      <c r="M102" s="4928"/>
      <c r="N102" s="4926" t="s">
        <v>172</v>
      </c>
      <c r="O102" s="4846"/>
      <c r="P102" s="4846"/>
      <c r="Q102" s="4927" t="s">
        <v>173</v>
      </c>
      <c r="R102" s="4767"/>
      <c r="S102" s="4766"/>
      <c r="T102" s="4927" t="s">
        <v>173</v>
      </c>
      <c r="U102" s="4767"/>
      <c r="V102" s="4769"/>
      <c r="W102" s="1182"/>
      <c r="X102" s="1182"/>
      <c r="Y102" s="1182"/>
      <c r="Z102" s="1182"/>
      <c r="AA102" s="1182"/>
      <c r="AB102" s="1182"/>
      <c r="AC102" s="1182"/>
      <c r="AD102" s="1182"/>
      <c r="AE102" s="1182"/>
    </row>
    <row r="103" spans="1:33" ht="18" customHeight="1">
      <c r="A103" s="4929" t="s">
        <v>174</v>
      </c>
      <c r="B103" s="4930" t="s">
        <v>46</v>
      </c>
      <c r="C103" s="4931"/>
      <c r="D103" s="4931"/>
      <c r="E103" s="4930" t="s">
        <v>46</v>
      </c>
      <c r="F103" s="4932"/>
      <c r="G103" s="4931"/>
      <c r="H103" s="4933" t="s">
        <v>46</v>
      </c>
      <c r="I103" s="4781"/>
      <c r="J103" s="4782"/>
      <c r="K103" s="4933" t="s">
        <v>46</v>
      </c>
      <c r="L103" s="4781"/>
      <c r="M103" s="4934"/>
      <c r="N103" s="4930" t="s">
        <v>46</v>
      </c>
      <c r="O103" s="4931"/>
      <c r="P103" s="4931"/>
      <c r="Q103" s="4933"/>
      <c r="R103" s="4781"/>
      <c r="S103" s="4782"/>
      <c r="T103" s="4933"/>
      <c r="U103" s="4781"/>
      <c r="V103" s="4784"/>
      <c r="W103" s="1182"/>
      <c r="X103" s="1182"/>
      <c r="Y103" s="1182"/>
      <c r="Z103" s="1182"/>
      <c r="AA103" s="1182"/>
      <c r="AB103" s="1182"/>
      <c r="AC103" s="1182"/>
      <c r="AD103" s="1182"/>
      <c r="AE103" s="1182"/>
    </row>
    <row r="104" spans="1:33" ht="18" customHeight="1">
      <c r="A104" s="1279"/>
      <c r="B104" s="1188"/>
      <c r="C104" s="1051"/>
      <c r="D104" s="1051"/>
      <c r="E104" s="1188"/>
      <c r="F104" s="1118"/>
      <c r="G104" s="1051"/>
      <c r="H104" s="1118"/>
      <c r="I104" s="1051"/>
      <c r="J104" s="1051"/>
      <c r="K104" s="1118"/>
      <c r="L104" s="1051"/>
      <c r="M104" s="1189"/>
      <c r="N104" s="1188"/>
      <c r="O104" s="1051"/>
      <c r="P104" s="1051"/>
      <c r="Q104" s="1118"/>
      <c r="R104" s="1051"/>
      <c r="S104" s="1051"/>
      <c r="T104" s="1118"/>
      <c r="U104" s="1051"/>
      <c r="V104" s="1051"/>
      <c r="W104" s="1182"/>
      <c r="X104" s="1182"/>
      <c r="Y104" s="1182"/>
      <c r="Z104" s="1182"/>
      <c r="AA104" s="1182"/>
      <c r="AB104" s="1182"/>
      <c r="AC104" s="1182"/>
      <c r="AD104" s="1182"/>
      <c r="AE104" s="1182"/>
    </row>
    <row r="105" spans="1:33" ht="18" customHeight="1" thickBot="1">
      <c r="A105" s="363" t="s">
        <v>161</v>
      </c>
      <c r="B105" s="1067">
        <v>1</v>
      </c>
      <c r="C105" s="1068">
        <v>2</v>
      </c>
      <c r="D105" s="1067">
        <v>3</v>
      </c>
      <c r="E105" s="1067">
        <v>4</v>
      </c>
      <c r="F105" s="1068">
        <v>5</v>
      </c>
      <c r="G105" s="1068">
        <v>6</v>
      </c>
      <c r="H105" s="1068">
        <v>7</v>
      </c>
      <c r="I105" s="1068">
        <v>8</v>
      </c>
      <c r="J105" s="1068">
        <v>9</v>
      </c>
      <c r="K105" s="1067">
        <v>10</v>
      </c>
      <c r="L105" s="1067">
        <v>11</v>
      </c>
      <c r="M105" s="1068">
        <v>12</v>
      </c>
      <c r="N105" s="1068">
        <v>13</v>
      </c>
      <c r="O105" s="1068">
        <v>14</v>
      </c>
      <c r="P105" s="1068">
        <v>15</v>
      </c>
      <c r="Q105" s="1068">
        <v>16</v>
      </c>
      <c r="R105" s="1067">
        <v>17</v>
      </c>
      <c r="S105" s="1067">
        <v>18</v>
      </c>
      <c r="T105" s="1068">
        <v>19</v>
      </c>
      <c r="U105" s="1068">
        <v>20</v>
      </c>
      <c r="V105" s="1068">
        <v>21</v>
      </c>
      <c r="W105" s="1068">
        <v>22</v>
      </c>
      <c r="X105" s="1068">
        <v>23</v>
      </c>
      <c r="Y105" s="1067">
        <v>24</v>
      </c>
      <c r="Z105" s="1067">
        <v>25</v>
      </c>
      <c r="AA105" s="1068">
        <v>26</v>
      </c>
      <c r="AB105" s="1068">
        <v>27</v>
      </c>
      <c r="AC105" s="1068">
        <v>28</v>
      </c>
      <c r="AD105" s="1068">
        <v>29</v>
      </c>
      <c r="AE105" s="1068">
        <v>30</v>
      </c>
      <c r="AF105" s="1069">
        <v>31</v>
      </c>
    </row>
    <row r="106" spans="1:33" ht="18" customHeight="1">
      <c r="A106" s="4935" t="s">
        <v>175</v>
      </c>
      <c r="B106" s="1190" t="s">
        <v>121</v>
      </c>
      <c r="C106" s="1190" t="s">
        <v>121</v>
      </c>
      <c r="D106" s="4867" t="s">
        <v>120</v>
      </c>
      <c r="E106" s="4812" t="s">
        <v>120</v>
      </c>
      <c r="F106" s="4812" t="s">
        <v>46</v>
      </c>
      <c r="G106" s="4812" t="s">
        <v>46</v>
      </c>
      <c r="H106" s="4812" t="s">
        <v>46</v>
      </c>
      <c r="I106" s="4867" t="s">
        <v>46</v>
      </c>
      <c r="J106" s="4867" t="s">
        <v>46</v>
      </c>
      <c r="K106" s="4867"/>
      <c r="L106" s="4867"/>
      <c r="M106" s="4867">
        <v>25</v>
      </c>
      <c r="N106" s="4867">
        <v>25</v>
      </c>
      <c r="O106" s="4867">
        <v>25</v>
      </c>
      <c r="P106" s="4867">
        <v>25</v>
      </c>
      <c r="Q106" s="4867">
        <v>25</v>
      </c>
      <c r="R106" s="4867"/>
      <c r="S106" s="4867">
        <v>26</v>
      </c>
      <c r="T106" s="4867">
        <v>26</v>
      </c>
      <c r="U106" s="4867">
        <v>26</v>
      </c>
      <c r="V106" s="4867">
        <v>26</v>
      </c>
      <c r="W106" s="4867">
        <v>26</v>
      </c>
      <c r="X106" s="4867">
        <v>26</v>
      </c>
      <c r="Y106" s="1190"/>
      <c r="Z106" s="1190"/>
      <c r="AA106" s="1190" t="s">
        <v>121</v>
      </c>
      <c r="AB106" s="1190" t="s">
        <v>121</v>
      </c>
      <c r="AC106" s="1190" t="s">
        <v>121</v>
      </c>
      <c r="AD106" s="1190" t="s">
        <v>121</v>
      </c>
      <c r="AE106" s="1190" t="s">
        <v>121</v>
      </c>
      <c r="AF106" s="4936" t="s">
        <v>120</v>
      </c>
    </row>
    <row r="107" spans="1:33" ht="18" customHeight="1">
      <c r="A107" s="4907" t="s">
        <v>176</v>
      </c>
      <c r="B107" s="4937" t="s">
        <v>46</v>
      </c>
      <c r="C107" s="4937" t="s">
        <v>143</v>
      </c>
      <c r="D107" s="4867"/>
      <c r="E107" s="4867"/>
      <c r="F107" s="4819">
        <v>25</v>
      </c>
      <c r="G107" s="4819">
        <v>25</v>
      </c>
      <c r="H107" s="4819">
        <v>25</v>
      </c>
      <c r="I107" s="4819">
        <v>25</v>
      </c>
      <c r="J107" s="4819">
        <v>25</v>
      </c>
      <c r="K107" s="4819"/>
      <c r="L107" s="4819">
        <v>26</v>
      </c>
      <c r="M107" s="4938">
        <v>26</v>
      </c>
      <c r="N107" s="4938">
        <v>26</v>
      </c>
      <c r="O107" s="4938">
        <v>26</v>
      </c>
      <c r="P107" s="4939">
        <v>26</v>
      </c>
      <c r="Q107" s="4938">
        <v>26</v>
      </c>
      <c r="R107" s="1190"/>
      <c r="S107" s="1190"/>
      <c r="T107" s="1190" t="s">
        <v>121</v>
      </c>
      <c r="U107" s="1190" t="s">
        <v>121</v>
      </c>
      <c r="V107" s="1190" t="s">
        <v>121</v>
      </c>
      <c r="W107" s="1190" t="s">
        <v>121</v>
      </c>
      <c r="X107" s="1190" t="s">
        <v>121</v>
      </c>
      <c r="Y107" s="4867" t="s">
        <v>120</v>
      </c>
      <c r="Z107" s="4867" t="s">
        <v>120</v>
      </c>
      <c r="AA107" s="4867" t="s">
        <v>46</v>
      </c>
      <c r="AB107" s="4867" t="s">
        <v>46</v>
      </c>
      <c r="AC107" s="4867" t="s">
        <v>46</v>
      </c>
      <c r="AD107" s="4867" t="s">
        <v>46</v>
      </c>
      <c r="AE107" s="4867" t="s">
        <v>46</v>
      </c>
      <c r="AF107" s="4883"/>
    </row>
    <row r="108" spans="1:33" ht="18" customHeight="1">
      <c r="A108" s="4940" t="s">
        <v>135</v>
      </c>
      <c r="B108" s="4867">
        <v>25</v>
      </c>
      <c r="C108" s="4867">
        <v>25</v>
      </c>
      <c r="D108" s="4867"/>
      <c r="E108" s="4867">
        <v>26</v>
      </c>
      <c r="F108" s="4867">
        <v>26</v>
      </c>
      <c r="G108" s="4867">
        <v>26</v>
      </c>
      <c r="H108" s="4867">
        <v>26</v>
      </c>
      <c r="I108" s="4867">
        <v>26</v>
      </c>
      <c r="J108" s="4867">
        <v>26</v>
      </c>
      <c r="K108" s="4867"/>
      <c r="L108" s="4867"/>
      <c r="M108" s="4867" t="s">
        <v>121</v>
      </c>
      <c r="N108" s="4941" t="s">
        <v>121</v>
      </c>
      <c r="O108" s="4938" t="s">
        <v>121</v>
      </c>
      <c r="P108" s="4939" t="s">
        <v>121</v>
      </c>
      <c r="Q108" s="4867" t="s">
        <v>121</v>
      </c>
      <c r="R108" s="4867" t="s">
        <v>120</v>
      </c>
      <c r="S108" s="4867" t="s">
        <v>120</v>
      </c>
      <c r="T108" s="4867" t="s">
        <v>46</v>
      </c>
      <c r="U108" s="4867" t="s">
        <v>46</v>
      </c>
      <c r="V108" s="4867" t="s">
        <v>46</v>
      </c>
      <c r="W108" s="4867" t="s">
        <v>46</v>
      </c>
      <c r="X108" s="4867" t="s">
        <v>46</v>
      </c>
      <c r="Y108" s="4867"/>
      <c r="Z108" s="4867"/>
      <c r="AA108" s="4867">
        <v>25</v>
      </c>
      <c r="AB108" s="4867">
        <v>25</v>
      </c>
      <c r="AC108" s="4942">
        <v>25</v>
      </c>
      <c r="AD108" s="4867">
        <v>25</v>
      </c>
      <c r="AE108" s="4867">
        <v>25</v>
      </c>
      <c r="AF108" s="4883"/>
    </row>
    <row r="109" spans="1:33" ht="18" customHeight="1" thickBot="1">
      <c r="A109" s="462" t="s">
        <v>146</v>
      </c>
      <c r="B109" s="4906">
        <v>26</v>
      </c>
      <c r="C109" s="4906">
        <v>26</v>
      </c>
      <c r="D109" s="4906"/>
      <c r="E109" s="4906"/>
      <c r="F109" s="4906" t="s">
        <v>121</v>
      </c>
      <c r="G109" s="4906" t="s">
        <v>121</v>
      </c>
      <c r="H109" s="4906" t="s">
        <v>121</v>
      </c>
      <c r="I109" s="4906" t="s">
        <v>121</v>
      </c>
      <c r="J109" s="4906" t="s">
        <v>121</v>
      </c>
      <c r="K109" s="4906" t="s">
        <v>120</v>
      </c>
      <c r="L109" s="4906" t="s">
        <v>120</v>
      </c>
      <c r="M109" s="4906" t="s">
        <v>46</v>
      </c>
      <c r="N109" s="4906" t="s">
        <v>46</v>
      </c>
      <c r="O109" s="4906" t="s">
        <v>46</v>
      </c>
      <c r="P109" s="4906" t="s">
        <v>46</v>
      </c>
      <c r="Q109" s="4906" t="s">
        <v>46</v>
      </c>
      <c r="R109" s="4906"/>
      <c r="S109" s="4906"/>
      <c r="T109" s="4906">
        <v>25</v>
      </c>
      <c r="U109" s="4906">
        <v>25</v>
      </c>
      <c r="V109" s="4906">
        <v>25</v>
      </c>
      <c r="W109" s="4906">
        <v>25</v>
      </c>
      <c r="X109" s="4906">
        <v>25</v>
      </c>
      <c r="Y109" s="4906"/>
      <c r="Z109" s="4906">
        <v>26</v>
      </c>
      <c r="AA109" s="4906">
        <v>26</v>
      </c>
      <c r="AB109" s="4906">
        <v>26</v>
      </c>
      <c r="AC109" s="4906">
        <v>26</v>
      </c>
      <c r="AD109" s="4906">
        <v>26</v>
      </c>
      <c r="AE109" s="4906">
        <v>26</v>
      </c>
      <c r="AF109" s="4917"/>
    </row>
    <row r="110" spans="1:33" ht="18" customHeight="1" thickBot="1">
      <c r="A110" s="115"/>
      <c r="B110" s="1168"/>
      <c r="C110" s="1168"/>
      <c r="D110" s="1168"/>
      <c r="E110" s="1168"/>
      <c r="F110" s="1168"/>
      <c r="G110" s="1168"/>
      <c r="H110" s="1168"/>
      <c r="I110" s="1168"/>
      <c r="J110" s="1168"/>
      <c r="K110" s="1168"/>
      <c r="L110" s="1168"/>
      <c r="M110" s="1168"/>
      <c r="N110" s="1168"/>
      <c r="O110" s="1168"/>
      <c r="P110" s="1168"/>
      <c r="Q110" s="1168"/>
      <c r="R110" s="1168"/>
      <c r="S110" s="1168"/>
      <c r="T110" s="1168"/>
      <c r="U110" s="1168"/>
      <c r="V110" s="1168"/>
      <c r="W110" s="1168"/>
      <c r="X110" s="1168"/>
      <c r="Y110" s="1168"/>
      <c r="Z110" s="1168"/>
      <c r="AA110" s="1168"/>
      <c r="AB110" s="1168"/>
      <c r="AC110" s="1168"/>
      <c r="AD110" s="1168"/>
      <c r="AE110" s="1168"/>
    </row>
    <row r="111" spans="1:33" ht="18" customHeight="1" thickBot="1">
      <c r="A111" s="134" t="s">
        <v>180</v>
      </c>
      <c r="B111" s="1191"/>
      <c r="C111" s="1191"/>
      <c r="D111" s="1192" t="s">
        <v>181</v>
      </c>
      <c r="E111" s="1191"/>
      <c r="F111" s="1191"/>
      <c r="G111" s="1191"/>
      <c r="H111" s="1191"/>
      <c r="I111" s="1191"/>
      <c r="J111" s="1191" t="s">
        <v>0</v>
      </c>
      <c r="K111" s="1191"/>
      <c r="L111" s="1191"/>
      <c r="M111" s="1191"/>
      <c r="N111" s="1191"/>
      <c r="O111" s="1191"/>
      <c r="P111" s="1191"/>
      <c r="Q111" s="1193" t="s">
        <v>0</v>
      </c>
      <c r="R111" s="1193"/>
      <c r="S111" s="1193"/>
      <c r="T111" s="1194"/>
      <c r="U111" s="1194"/>
      <c r="V111" s="1194"/>
      <c r="W111" s="1194"/>
      <c r="X111" s="1194"/>
      <c r="Y111" s="1194"/>
      <c r="Z111" s="1194"/>
      <c r="AA111" s="1194"/>
      <c r="AB111" s="1194"/>
      <c r="AC111" s="1194"/>
      <c r="AD111" s="1194"/>
      <c r="AE111" s="1194"/>
    </row>
    <row r="112" spans="1:33" ht="18" customHeight="1">
      <c r="A112" s="1412" t="s">
        <v>178</v>
      </c>
      <c r="B112" s="1046">
        <v>1</v>
      </c>
      <c r="C112" s="1047">
        <v>2</v>
      </c>
      <c r="D112" s="1046">
        <v>3</v>
      </c>
      <c r="E112" s="1046">
        <v>4</v>
      </c>
      <c r="F112" s="1047">
        <v>5</v>
      </c>
      <c r="G112" s="1047">
        <v>6</v>
      </c>
      <c r="H112" s="1047">
        <v>7</v>
      </c>
      <c r="I112" s="1047">
        <v>8</v>
      </c>
      <c r="J112" s="1047">
        <v>9</v>
      </c>
      <c r="K112" s="1046">
        <v>10</v>
      </c>
      <c r="L112" s="1046">
        <v>11</v>
      </c>
      <c r="M112" s="1047">
        <v>12</v>
      </c>
      <c r="N112" s="1047">
        <v>13</v>
      </c>
      <c r="O112" s="1047">
        <v>14</v>
      </c>
      <c r="P112" s="1047">
        <v>15</v>
      </c>
      <c r="Q112" s="1047">
        <v>16</v>
      </c>
      <c r="R112" s="1046">
        <v>17</v>
      </c>
      <c r="S112" s="1046">
        <v>18</v>
      </c>
      <c r="T112" s="1047">
        <v>19</v>
      </c>
      <c r="U112" s="1047">
        <v>20</v>
      </c>
      <c r="V112" s="1047">
        <v>21</v>
      </c>
      <c r="W112" s="1047">
        <v>22</v>
      </c>
      <c r="X112" s="1047">
        <v>23</v>
      </c>
      <c r="Y112" s="1046">
        <v>24</v>
      </c>
      <c r="Z112" s="1046">
        <v>25</v>
      </c>
      <c r="AA112" s="1047">
        <v>26</v>
      </c>
      <c r="AB112" s="1047">
        <v>27</v>
      </c>
      <c r="AC112" s="1047">
        <v>28</v>
      </c>
      <c r="AD112" s="1047">
        <v>29</v>
      </c>
      <c r="AE112" s="1047">
        <v>30</v>
      </c>
      <c r="AF112" s="1048">
        <v>31</v>
      </c>
      <c r="AG112" s="1049" t="s">
        <v>0</v>
      </c>
    </row>
    <row r="113" spans="1:33" ht="18" customHeight="1">
      <c r="A113" s="392" t="s">
        <v>184</v>
      </c>
      <c r="B113" s="1109" t="s">
        <v>118</v>
      </c>
      <c r="C113" s="1109" t="s">
        <v>118</v>
      </c>
      <c r="D113" s="1109" t="s">
        <v>46</v>
      </c>
      <c r="E113" s="1109" t="s">
        <v>46</v>
      </c>
      <c r="F113" s="1109" t="s">
        <v>46</v>
      </c>
      <c r="G113" s="1109" t="s">
        <v>46</v>
      </c>
      <c r="H113" s="1109" t="s">
        <v>46</v>
      </c>
      <c r="I113" s="1109" t="s">
        <v>46</v>
      </c>
      <c r="J113" s="1109" t="s">
        <v>118</v>
      </c>
      <c r="K113" s="1109" t="s">
        <v>118</v>
      </c>
      <c r="L113" s="1109" t="s">
        <v>118</v>
      </c>
      <c r="M113" s="1196" t="s">
        <v>186</v>
      </c>
      <c r="N113" s="1322" t="s">
        <v>118</v>
      </c>
      <c r="O113" s="1322" t="s">
        <v>118</v>
      </c>
      <c r="P113" s="1109" t="s">
        <v>46</v>
      </c>
      <c r="Q113" s="1109" t="s">
        <v>46</v>
      </c>
      <c r="R113" s="1109" t="s">
        <v>46</v>
      </c>
      <c r="S113" s="1109" t="s">
        <v>46</v>
      </c>
      <c r="T113" s="1195" t="s">
        <v>46</v>
      </c>
      <c r="U113" s="1109" t="s">
        <v>46</v>
      </c>
      <c r="V113" s="1109" t="s">
        <v>118</v>
      </c>
      <c r="W113" s="1109" t="s">
        <v>118</v>
      </c>
      <c r="X113" s="1129" t="s">
        <v>118</v>
      </c>
      <c r="Y113" s="1129" t="s">
        <v>118</v>
      </c>
      <c r="Z113" s="1109" t="s">
        <v>118</v>
      </c>
      <c r="AA113" s="1109" t="s">
        <v>118</v>
      </c>
      <c r="AB113" s="1109" t="s">
        <v>46</v>
      </c>
      <c r="AC113" s="1109" t="s">
        <v>46</v>
      </c>
      <c r="AD113" s="1109" t="s">
        <v>46</v>
      </c>
      <c r="AE113" s="1109" t="s">
        <v>46</v>
      </c>
      <c r="AF113" s="1109" t="s">
        <v>46</v>
      </c>
    </row>
    <row r="114" spans="1:33" ht="18" customHeight="1">
      <c r="A114" s="366" t="s">
        <v>195</v>
      </c>
      <c r="B114" s="1109" t="s">
        <v>46</v>
      </c>
      <c r="C114" s="1109" t="s">
        <v>46</v>
      </c>
      <c r="D114" s="1109" t="s">
        <v>118</v>
      </c>
      <c r="E114" s="1109" t="s">
        <v>118</v>
      </c>
      <c r="F114" s="1109" t="s">
        <v>118</v>
      </c>
      <c r="G114" s="1109" t="s">
        <v>118</v>
      </c>
      <c r="H114" s="1129" t="s">
        <v>118</v>
      </c>
      <c r="I114" s="1196" t="s">
        <v>118</v>
      </c>
      <c r="J114" s="1109" t="s">
        <v>46</v>
      </c>
      <c r="K114" s="1109" t="s">
        <v>46</v>
      </c>
      <c r="L114" s="1109" t="s">
        <v>46</v>
      </c>
      <c r="M114" s="1109" t="s">
        <v>46</v>
      </c>
      <c r="N114" s="1109" t="s">
        <v>46</v>
      </c>
      <c r="O114" s="1109" t="s">
        <v>46</v>
      </c>
      <c r="P114" s="1109" t="s">
        <v>118</v>
      </c>
      <c r="Q114" s="1109" t="s">
        <v>118</v>
      </c>
      <c r="R114" s="1109" t="s">
        <v>118</v>
      </c>
      <c r="S114" s="1109" t="s">
        <v>118</v>
      </c>
      <c r="T114" s="1195" t="s">
        <v>118</v>
      </c>
      <c r="U114" s="1109" t="s">
        <v>118</v>
      </c>
      <c r="V114" s="1109" t="s">
        <v>46</v>
      </c>
      <c r="W114" s="1109" t="s">
        <v>46</v>
      </c>
      <c r="X114" s="1109" t="s">
        <v>46</v>
      </c>
      <c r="Y114" s="1109" t="s">
        <v>46</v>
      </c>
      <c r="Z114" s="1109" t="s">
        <v>46</v>
      </c>
      <c r="AA114" s="1109" t="s">
        <v>46</v>
      </c>
      <c r="AB114" s="1109" t="s">
        <v>46</v>
      </c>
      <c r="AC114" s="1109" t="s">
        <v>46</v>
      </c>
      <c r="AD114" s="1109" t="s">
        <v>46</v>
      </c>
      <c r="AE114" s="1109" t="s">
        <v>46</v>
      </c>
      <c r="AF114" s="1197" t="s">
        <v>46</v>
      </c>
    </row>
    <row r="115" spans="1:33" ht="18" customHeight="1" thickBot="1">
      <c r="A115" s="394"/>
      <c r="B115" s="1198"/>
      <c r="C115" s="1198"/>
      <c r="D115" s="1198"/>
      <c r="E115" s="1198"/>
      <c r="F115" s="1198"/>
      <c r="G115" s="1198"/>
      <c r="H115" s="1198"/>
      <c r="I115" s="1198"/>
      <c r="J115" s="1198"/>
      <c r="K115" s="1198"/>
      <c r="L115" s="1198"/>
      <c r="M115" s="1198"/>
      <c r="N115" s="1198"/>
      <c r="O115" s="1198"/>
      <c r="P115" s="1198"/>
      <c r="Q115" s="1198"/>
      <c r="R115" s="1198"/>
      <c r="S115" s="1198"/>
      <c r="T115" s="1199"/>
      <c r="U115" s="1198"/>
      <c r="V115" s="1198"/>
      <c r="W115" s="1198"/>
      <c r="X115" s="1198"/>
      <c r="Y115" s="1198"/>
      <c r="Z115" s="1198"/>
      <c r="AA115" s="1198"/>
      <c r="AB115" s="1198"/>
      <c r="AC115" s="1198"/>
      <c r="AD115" s="1198"/>
      <c r="AE115" s="1198"/>
      <c r="AF115" s="1200"/>
    </row>
    <row r="116" spans="1:33" ht="18" customHeight="1">
      <c r="K116" s="1051"/>
      <c r="L116" s="1051"/>
      <c r="M116" s="1051"/>
      <c r="N116" s="1051"/>
      <c r="O116" s="1051"/>
      <c r="P116" s="1051"/>
      <c r="Q116" s="1051"/>
    </row>
    <row r="117" spans="1:33" ht="18" customHeight="1">
      <c r="A117" s="1280" t="s">
        <v>595</v>
      </c>
      <c r="B117" s="1201"/>
      <c r="C117" s="1201"/>
      <c r="D117" s="1202" t="s">
        <v>189</v>
      </c>
      <c r="E117" s="1201"/>
      <c r="F117" s="1201"/>
      <c r="G117" s="1201"/>
      <c r="H117" s="1201"/>
      <c r="I117" s="1201" t="s">
        <v>180</v>
      </c>
      <c r="J117" s="1203" t="s">
        <v>0</v>
      </c>
      <c r="K117" s="1204"/>
      <c r="L117" s="1051"/>
      <c r="M117" s="1205"/>
      <c r="N117" s="1205"/>
      <c r="O117" s="1205"/>
      <c r="P117" s="1205"/>
      <c r="Q117" s="1205" t="s">
        <v>0</v>
      </c>
      <c r="R117" s="1194"/>
      <c r="S117" s="1194"/>
      <c r="T117" s="1194"/>
      <c r="U117" s="1194"/>
    </row>
    <row r="118" spans="1:33" ht="18" customHeight="1" thickBot="1">
      <c r="A118" s="1036" t="s">
        <v>188</v>
      </c>
      <c r="B118" s="4943">
        <v>1</v>
      </c>
      <c r="C118" s="4944">
        <v>2</v>
      </c>
      <c r="D118" s="4943">
        <v>3</v>
      </c>
      <c r="E118" s="4943">
        <v>4</v>
      </c>
      <c r="F118" s="4944">
        <v>5</v>
      </c>
      <c r="G118" s="4944">
        <v>6</v>
      </c>
      <c r="H118" s="4944">
        <v>7</v>
      </c>
      <c r="I118" s="4944">
        <v>8</v>
      </c>
      <c r="J118" s="4944">
        <v>9</v>
      </c>
      <c r="K118" s="4943">
        <v>10</v>
      </c>
      <c r="L118" s="4943">
        <v>11</v>
      </c>
      <c r="M118" s="4944">
        <v>12</v>
      </c>
      <c r="N118" s="4944">
        <v>13</v>
      </c>
      <c r="O118" s="4944">
        <v>14</v>
      </c>
      <c r="P118" s="4944">
        <v>15</v>
      </c>
      <c r="Q118" s="4944">
        <v>16</v>
      </c>
      <c r="R118" s="4943">
        <v>17</v>
      </c>
      <c r="S118" s="4943">
        <v>18</v>
      </c>
      <c r="T118" s="4944">
        <v>19</v>
      </c>
      <c r="U118" s="4944">
        <v>20</v>
      </c>
      <c r="V118" s="4944">
        <v>21</v>
      </c>
      <c r="W118" s="4944">
        <v>22</v>
      </c>
      <c r="X118" s="4944">
        <v>23</v>
      </c>
      <c r="Y118" s="4943">
        <v>24</v>
      </c>
      <c r="Z118" s="4943">
        <v>25</v>
      </c>
      <c r="AA118" s="4944">
        <v>26</v>
      </c>
      <c r="AB118" s="4944">
        <v>27</v>
      </c>
      <c r="AC118" s="4944">
        <v>28</v>
      </c>
      <c r="AD118" s="4944">
        <v>29</v>
      </c>
      <c r="AE118" s="4944">
        <v>30</v>
      </c>
      <c r="AF118" s="4943">
        <v>31</v>
      </c>
      <c r="AG118" s="1049" t="s">
        <v>0</v>
      </c>
    </row>
    <row r="119" spans="1:33" ht="18" customHeight="1" thickBot="1">
      <c r="A119" s="475"/>
      <c r="B119" s="1155" t="s">
        <v>61</v>
      </c>
      <c r="C119" s="1155" t="s">
        <v>46</v>
      </c>
      <c r="D119" s="1155" t="s">
        <v>46</v>
      </c>
      <c r="E119" s="1155" t="s">
        <v>46</v>
      </c>
      <c r="F119" s="1156" t="s">
        <v>61</v>
      </c>
      <c r="G119" s="1156" t="s">
        <v>61</v>
      </c>
      <c r="H119" s="1156" t="s">
        <v>61</v>
      </c>
      <c r="I119" s="1155" t="s">
        <v>46</v>
      </c>
      <c r="J119" s="1155" t="s">
        <v>46</v>
      </c>
      <c r="K119" s="1156"/>
      <c r="L119" s="1155" t="s">
        <v>61</v>
      </c>
      <c r="M119" s="1156" t="s">
        <v>61</v>
      </c>
      <c r="N119" s="1156" t="s">
        <v>61</v>
      </c>
      <c r="O119" s="4900" t="s">
        <v>46</v>
      </c>
      <c r="P119" s="4900" t="s">
        <v>46</v>
      </c>
      <c r="Q119" s="4900" t="s">
        <v>46</v>
      </c>
      <c r="R119" s="1155" t="s">
        <v>61</v>
      </c>
      <c r="S119" s="1206" t="s">
        <v>61</v>
      </c>
      <c r="T119" s="1207" t="s">
        <v>61</v>
      </c>
      <c r="U119" s="1157" t="s">
        <v>46</v>
      </c>
      <c r="V119" s="1155" t="s">
        <v>46</v>
      </c>
      <c r="W119" s="1155" t="s">
        <v>46</v>
      </c>
      <c r="X119" s="1155" t="s">
        <v>46</v>
      </c>
      <c r="Y119" s="1156"/>
      <c r="Z119" s="1156" t="s">
        <v>61</v>
      </c>
      <c r="AA119" s="1156" t="s">
        <v>61</v>
      </c>
      <c r="AB119" s="1156" t="s">
        <v>61</v>
      </c>
      <c r="AC119" s="1158" t="s">
        <v>46</v>
      </c>
      <c r="AD119" s="1158" t="s">
        <v>46</v>
      </c>
      <c r="AE119" s="1158" t="s">
        <v>46</v>
      </c>
      <c r="AF119" s="1158" t="s">
        <v>46</v>
      </c>
    </row>
    <row r="120" spans="1:33" ht="18" customHeight="1" thickBot="1">
      <c r="A120" s="476" t="s">
        <v>191</v>
      </c>
      <c r="B120" s="4900" t="s">
        <v>46</v>
      </c>
      <c r="C120" s="4830" t="s">
        <v>61</v>
      </c>
      <c r="D120" s="4830" t="s">
        <v>61</v>
      </c>
      <c r="E120" s="4830" t="s">
        <v>61</v>
      </c>
      <c r="F120" s="4830" t="s">
        <v>628</v>
      </c>
      <c r="G120" s="4830" t="s">
        <v>46</v>
      </c>
      <c r="H120" s="4830" t="s">
        <v>46</v>
      </c>
      <c r="I120" s="4828" t="s">
        <v>61</v>
      </c>
      <c r="J120" s="4828" t="s">
        <v>61</v>
      </c>
      <c r="K120" s="4828" t="s">
        <v>61</v>
      </c>
      <c r="L120" s="4828" t="s">
        <v>628</v>
      </c>
      <c r="M120" s="4828" t="s">
        <v>46</v>
      </c>
      <c r="N120" s="4900" t="s">
        <v>46</v>
      </c>
      <c r="O120" s="1155" t="s">
        <v>61</v>
      </c>
      <c r="P120" s="1208" t="s">
        <v>61</v>
      </c>
      <c r="Q120" s="1208" t="s">
        <v>61</v>
      </c>
      <c r="R120" s="4945"/>
      <c r="S120" s="4946"/>
      <c r="T120" s="1207" t="s">
        <v>46</v>
      </c>
      <c r="U120" s="4947" t="s">
        <v>61</v>
      </c>
      <c r="V120" s="4948" t="s">
        <v>61</v>
      </c>
      <c r="W120" s="4948" t="s">
        <v>61</v>
      </c>
      <c r="X120" s="4828" t="s">
        <v>61</v>
      </c>
      <c r="Y120" s="4828" t="s">
        <v>46</v>
      </c>
      <c r="Z120" s="4828" t="s">
        <v>628</v>
      </c>
      <c r="AA120" s="4828" t="s">
        <v>46</v>
      </c>
      <c r="AB120" s="4900" t="s">
        <v>46</v>
      </c>
      <c r="AC120" s="1156" t="s">
        <v>61</v>
      </c>
      <c r="AD120" s="1156" t="s">
        <v>61</v>
      </c>
      <c r="AE120" s="1156" t="s">
        <v>61</v>
      </c>
      <c r="AF120" s="1158" t="s">
        <v>46</v>
      </c>
    </row>
    <row r="121" spans="1:33" ht="18" customHeight="1">
      <c r="A121" s="157" t="s">
        <v>0</v>
      </c>
      <c r="B121" s="1138" t="s">
        <v>0</v>
      </c>
      <c r="C121" s="1138" t="s">
        <v>0</v>
      </c>
      <c r="D121" s="1138" t="s">
        <v>0</v>
      </c>
      <c r="E121" s="1138" t="s">
        <v>0</v>
      </c>
      <c r="F121" s="1138" t="s">
        <v>0</v>
      </c>
      <c r="G121" s="1138" t="s">
        <v>0</v>
      </c>
      <c r="H121" s="1138" t="s">
        <v>0</v>
      </c>
      <c r="I121" s="1138" t="s">
        <v>0</v>
      </c>
      <c r="J121" s="1138" t="s">
        <v>0</v>
      </c>
      <c r="K121" s="1138" t="s">
        <v>0</v>
      </c>
      <c r="L121" s="1138" t="s">
        <v>0</v>
      </c>
      <c r="M121" s="1138" t="s">
        <v>0</v>
      </c>
      <c r="N121" s="1138" t="s">
        <v>0</v>
      </c>
      <c r="O121" s="1138" t="s">
        <v>0</v>
      </c>
      <c r="P121" s="1138" t="s">
        <v>0</v>
      </c>
      <c r="Q121" s="1138" t="s">
        <v>0</v>
      </c>
      <c r="R121" s="1138" t="s">
        <v>0</v>
      </c>
      <c r="S121" s="1138" t="s">
        <v>0</v>
      </c>
      <c r="T121" s="1138" t="s">
        <v>0</v>
      </c>
      <c r="U121" s="1138" t="s">
        <v>0</v>
      </c>
      <c r="V121" s="1138" t="s">
        <v>0</v>
      </c>
      <c r="W121" s="1138" t="s">
        <v>0</v>
      </c>
      <c r="X121" s="1138" t="s">
        <v>0</v>
      </c>
      <c r="Y121" s="1138" t="s">
        <v>0</v>
      </c>
      <c r="Z121" s="1138" t="s">
        <v>0</v>
      </c>
      <c r="AA121" s="1138" t="s">
        <v>0</v>
      </c>
      <c r="AB121" s="1138" t="s">
        <v>0</v>
      </c>
      <c r="AC121" s="1138" t="s">
        <v>0</v>
      </c>
      <c r="AD121" s="1138" t="s">
        <v>0</v>
      </c>
      <c r="AE121" s="1138" t="s">
        <v>0</v>
      </c>
    </row>
    <row r="122" spans="1:33" ht="18" customHeight="1">
      <c r="A122" s="1281" t="s">
        <v>629</v>
      </c>
      <c r="B122" s="1204"/>
      <c r="C122" s="1204"/>
      <c r="D122" s="1209"/>
      <c r="E122" s="1204"/>
      <c r="F122" s="1204"/>
      <c r="G122" s="1204"/>
      <c r="H122" s="1205"/>
      <c r="I122" s="1205"/>
      <c r="J122" s="1205" t="s">
        <v>0</v>
      </c>
      <c r="K122" s="1205"/>
      <c r="L122" s="1205"/>
      <c r="M122" s="1205"/>
      <c r="N122" s="1205"/>
      <c r="O122" s="1205"/>
      <c r="P122" s="1205"/>
      <c r="Q122" s="1205" t="s">
        <v>0</v>
      </c>
      <c r="R122" s="1205"/>
      <c r="S122" s="1205"/>
      <c r="T122" s="1205"/>
      <c r="U122" s="1205"/>
    </row>
    <row r="123" spans="1:33" ht="18" customHeight="1">
      <c r="A123" s="363" t="s">
        <v>192</v>
      </c>
      <c r="B123" s="1067">
        <v>1</v>
      </c>
      <c r="C123" s="1068">
        <v>2</v>
      </c>
      <c r="D123" s="1067">
        <v>3</v>
      </c>
      <c r="E123" s="1067">
        <v>4</v>
      </c>
      <c r="F123" s="1068">
        <v>5</v>
      </c>
      <c r="G123" s="1068">
        <v>6</v>
      </c>
      <c r="H123" s="1068">
        <v>7</v>
      </c>
      <c r="I123" s="1068">
        <v>8</v>
      </c>
      <c r="J123" s="1068">
        <v>9</v>
      </c>
      <c r="K123" s="1067">
        <v>10</v>
      </c>
      <c r="L123" s="1067">
        <v>11</v>
      </c>
      <c r="M123" s="1068">
        <v>12</v>
      </c>
      <c r="N123" s="1068">
        <v>13</v>
      </c>
      <c r="O123" s="1068">
        <v>14</v>
      </c>
      <c r="P123" s="1068">
        <v>15</v>
      </c>
      <c r="Q123" s="1068">
        <v>16</v>
      </c>
      <c r="R123" s="1067">
        <v>17</v>
      </c>
      <c r="S123" s="1067">
        <v>18</v>
      </c>
      <c r="T123" s="1068">
        <v>19</v>
      </c>
      <c r="U123" s="1068">
        <v>20</v>
      </c>
      <c r="V123" s="1068">
        <v>21</v>
      </c>
      <c r="W123" s="1068">
        <v>22</v>
      </c>
      <c r="X123" s="1068">
        <v>23</v>
      </c>
      <c r="Y123" s="1067">
        <v>24</v>
      </c>
      <c r="Z123" s="1067">
        <v>25</v>
      </c>
      <c r="AA123" s="1068">
        <v>26</v>
      </c>
      <c r="AB123" s="1068">
        <v>27</v>
      </c>
      <c r="AC123" s="1068">
        <v>28</v>
      </c>
      <c r="AD123" s="1068">
        <v>29</v>
      </c>
      <c r="AE123" s="1068">
        <v>30</v>
      </c>
      <c r="AF123" s="1069">
        <v>31</v>
      </c>
    </row>
    <row r="124" spans="1:33" ht="18" customHeight="1">
      <c r="A124" s="1498" t="s">
        <v>194</v>
      </c>
      <c r="B124" s="1499" t="s">
        <v>46</v>
      </c>
      <c r="C124" s="1500" t="s">
        <v>46</v>
      </c>
      <c r="D124" s="1500" t="s">
        <v>46</v>
      </c>
      <c r="E124" s="1495" t="s">
        <v>46</v>
      </c>
      <c r="F124" s="1501" t="s">
        <v>139</v>
      </c>
      <c r="G124" s="1210" t="s">
        <v>139</v>
      </c>
      <c r="H124" s="1211" t="s">
        <v>139</v>
      </c>
      <c r="I124" s="1495" t="s">
        <v>46</v>
      </c>
      <c r="J124" s="1495" t="s">
        <v>46</v>
      </c>
      <c r="K124" s="1495" t="s">
        <v>46</v>
      </c>
      <c r="L124" s="1502" t="s">
        <v>628</v>
      </c>
      <c r="M124" s="1502" t="s">
        <v>46</v>
      </c>
      <c r="N124" s="1502" t="s">
        <v>628</v>
      </c>
      <c r="O124" s="1502" t="s">
        <v>628</v>
      </c>
      <c r="P124" s="1502" t="s">
        <v>46</v>
      </c>
      <c r="Q124" s="1501" t="s">
        <v>139</v>
      </c>
      <c r="R124" s="1501" t="s">
        <v>139</v>
      </c>
      <c r="S124" s="1495" t="s">
        <v>139</v>
      </c>
      <c r="T124" s="1212" t="s">
        <v>46</v>
      </c>
      <c r="U124" s="1495" t="s">
        <v>46</v>
      </c>
      <c r="V124" s="1495" t="s">
        <v>46</v>
      </c>
      <c r="W124" s="1501" t="s">
        <v>139</v>
      </c>
      <c r="X124" s="1495" t="s">
        <v>139</v>
      </c>
      <c r="Y124" s="1495" t="s">
        <v>139</v>
      </c>
      <c r="Z124" s="1502" t="s">
        <v>628</v>
      </c>
      <c r="AA124" s="1502" t="s">
        <v>46</v>
      </c>
      <c r="AB124" s="1502" t="s">
        <v>46</v>
      </c>
      <c r="AC124" s="1502" t="s">
        <v>139</v>
      </c>
      <c r="AD124" s="1502" t="s">
        <v>139</v>
      </c>
      <c r="AE124" s="1495" t="s">
        <v>139</v>
      </c>
      <c r="AF124" s="1503" t="s">
        <v>628</v>
      </c>
    </row>
    <row r="125" spans="1:33" ht="18" customHeight="1">
      <c r="A125" s="397" t="s">
        <v>185</v>
      </c>
      <c r="B125" s="4828" t="s">
        <v>139</v>
      </c>
      <c r="C125" s="1213" t="s">
        <v>139</v>
      </c>
      <c r="D125" s="1213" t="s">
        <v>46</v>
      </c>
      <c r="E125" s="4830" t="s">
        <v>628</v>
      </c>
      <c r="F125" s="4830" t="s">
        <v>628</v>
      </c>
      <c r="G125" s="4830" t="s">
        <v>46</v>
      </c>
      <c r="H125" s="4830" t="s">
        <v>46</v>
      </c>
      <c r="I125" s="4830" t="s">
        <v>139</v>
      </c>
      <c r="J125" s="4828" t="s">
        <v>139</v>
      </c>
      <c r="K125" s="4828" t="s">
        <v>139</v>
      </c>
      <c r="L125" s="4828" t="s">
        <v>628</v>
      </c>
      <c r="M125" s="4828" t="s">
        <v>46</v>
      </c>
      <c r="N125" s="1213" t="s">
        <v>139</v>
      </c>
      <c r="O125" s="1213" t="s">
        <v>139</v>
      </c>
      <c r="P125" s="1213" t="s">
        <v>139</v>
      </c>
      <c r="Q125" s="4828" t="s">
        <v>628</v>
      </c>
      <c r="R125" s="4828" t="s">
        <v>628</v>
      </c>
      <c r="S125" s="4830" t="s">
        <v>46</v>
      </c>
      <c r="T125" s="4949" t="s">
        <v>139</v>
      </c>
      <c r="U125" s="4830" t="s">
        <v>139</v>
      </c>
      <c r="V125" s="4948" t="s">
        <v>139</v>
      </c>
      <c r="W125" s="4830" t="s">
        <v>46</v>
      </c>
      <c r="X125" s="4828" t="s">
        <v>46</v>
      </c>
      <c r="Y125" s="4828" t="s">
        <v>46</v>
      </c>
      <c r="Z125" s="4948" t="s">
        <v>139</v>
      </c>
      <c r="AA125" s="1214" t="s">
        <v>139</v>
      </c>
      <c r="AB125" s="1214" t="s">
        <v>139</v>
      </c>
      <c r="AC125" s="4828" t="s">
        <v>46</v>
      </c>
      <c r="AD125" s="4828" t="s">
        <v>46</v>
      </c>
      <c r="AE125" s="4828" t="s">
        <v>46</v>
      </c>
      <c r="AF125" s="1215" t="s">
        <v>139</v>
      </c>
    </row>
    <row r="126" spans="1:33" ht="18" customHeight="1"/>
    <row r="127" spans="1:33" ht="18" customHeight="1">
      <c r="A127" s="1411" t="s">
        <v>196</v>
      </c>
      <c r="B127" s="4950" t="s">
        <v>19</v>
      </c>
      <c r="C127" s="4951"/>
      <c r="D127" s="4951"/>
      <c r="E127" s="4951" t="s">
        <v>20</v>
      </c>
      <c r="F127" s="4951"/>
      <c r="G127" s="4951"/>
      <c r="H127" s="4951" t="s">
        <v>21</v>
      </c>
      <c r="I127" s="4951"/>
      <c r="J127" s="4951"/>
      <c r="K127" s="4952" t="s">
        <v>22</v>
      </c>
      <c r="L127" s="4952"/>
      <c r="M127" s="4952"/>
      <c r="N127" s="4952" t="s">
        <v>23</v>
      </c>
      <c r="O127" s="4952"/>
      <c r="P127" s="4952"/>
      <c r="Q127" s="4952" t="s">
        <v>24</v>
      </c>
      <c r="R127" s="4952"/>
      <c r="S127" s="4952"/>
      <c r="T127" s="4952" t="s">
        <v>25</v>
      </c>
      <c r="U127" s="4952"/>
      <c r="V127" s="4953"/>
    </row>
    <row r="128" spans="1:33" ht="18" customHeight="1">
      <c r="A128" s="1409" t="s">
        <v>630</v>
      </c>
      <c r="B128" s="4954" t="s">
        <v>631</v>
      </c>
      <c r="C128" s="4955"/>
      <c r="D128" s="4955"/>
      <c r="E128" s="4955" t="s">
        <v>631</v>
      </c>
      <c r="F128" s="4955"/>
      <c r="G128" s="4955"/>
      <c r="H128" s="4955" t="s">
        <v>631</v>
      </c>
      <c r="I128" s="4955"/>
      <c r="J128" s="4955"/>
      <c r="K128" s="4955" t="s">
        <v>631</v>
      </c>
      <c r="L128" s="4955"/>
      <c r="M128" s="4955"/>
      <c r="N128" s="4955" t="s">
        <v>631</v>
      </c>
      <c r="O128" s="4955"/>
      <c r="P128" s="4955"/>
      <c r="Q128" s="4956" t="s">
        <v>632</v>
      </c>
      <c r="R128" s="4956"/>
      <c r="S128" s="4956"/>
      <c r="T128" s="4956" t="s">
        <v>632</v>
      </c>
      <c r="U128" s="4956"/>
      <c r="V128" s="4957"/>
    </row>
    <row r="129" spans="1:33" ht="18" customHeight="1">
      <c r="A129" s="1410" t="s">
        <v>630</v>
      </c>
      <c r="B129" s="4958" t="s">
        <v>633</v>
      </c>
      <c r="C129" s="4959"/>
      <c r="D129" s="4959"/>
      <c r="E129" s="4959" t="s">
        <v>633</v>
      </c>
      <c r="F129" s="4959"/>
      <c r="G129" s="4959"/>
      <c r="H129" s="4959" t="s">
        <v>633</v>
      </c>
      <c r="I129" s="4959"/>
      <c r="J129" s="4959"/>
      <c r="K129" s="4959" t="s">
        <v>633</v>
      </c>
      <c r="L129" s="4959"/>
      <c r="M129" s="4959"/>
      <c r="N129" s="4960" t="s">
        <v>634</v>
      </c>
      <c r="O129" s="4960"/>
      <c r="P129" s="4960"/>
      <c r="Q129" s="4960" t="s">
        <v>634</v>
      </c>
      <c r="R129" s="4960"/>
      <c r="S129" s="4960"/>
      <c r="T129" s="4959" t="s">
        <v>633</v>
      </c>
      <c r="U129" s="4959"/>
      <c r="V129" s="4961"/>
    </row>
    <row r="131" spans="1:33" ht="18" customHeight="1">
      <c r="A131" s="887" t="s">
        <v>635</v>
      </c>
      <c r="B131" s="1067">
        <v>1</v>
      </c>
      <c r="C131" s="1068">
        <v>2</v>
      </c>
      <c r="D131" s="1067">
        <v>3</v>
      </c>
      <c r="E131" s="1067">
        <v>4</v>
      </c>
      <c r="F131" s="1068">
        <v>5</v>
      </c>
      <c r="G131" s="1068">
        <v>6</v>
      </c>
      <c r="H131" s="1068">
        <v>7</v>
      </c>
      <c r="I131" s="1068">
        <v>8</v>
      </c>
      <c r="J131" s="1068">
        <v>9</v>
      </c>
      <c r="K131" s="1067">
        <v>10</v>
      </c>
      <c r="L131" s="1067">
        <v>11</v>
      </c>
      <c r="M131" s="1068">
        <v>12</v>
      </c>
      <c r="N131" s="1068">
        <v>13</v>
      </c>
      <c r="O131" s="1068">
        <v>14</v>
      </c>
      <c r="P131" s="1068">
        <v>15</v>
      </c>
      <c r="Q131" s="1068">
        <v>16</v>
      </c>
      <c r="R131" s="1067">
        <v>17</v>
      </c>
      <c r="S131" s="1067">
        <v>18</v>
      </c>
      <c r="T131" s="1216">
        <v>19</v>
      </c>
      <c r="U131" s="1068">
        <v>20</v>
      </c>
      <c r="V131" s="1068">
        <v>21</v>
      </c>
      <c r="W131" s="1068">
        <v>22</v>
      </c>
      <c r="X131" s="1068">
        <v>23</v>
      </c>
      <c r="Y131" s="1067">
        <v>24</v>
      </c>
      <c r="Z131" s="1067">
        <v>25</v>
      </c>
      <c r="AA131" s="1068">
        <v>26</v>
      </c>
      <c r="AB131" s="1068">
        <v>27</v>
      </c>
      <c r="AC131" s="1068">
        <v>28</v>
      </c>
      <c r="AD131" s="1068">
        <v>29</v>
      </c>
      <c r="AE131" s="1068">
        <v>30</v>
      </c>
      <c r="AF131" s="1069">
        <v>31</v>
      </c>
    </row>
    <row r="132" spans="1:33" ht="18" customHeight="1">
      <c r="A132" s="1498" t="s">
        <v>392</v>
      </c>
      <c r="B132" s="4962" t="s">
        <v>418</v>
      </c>
      <c r="C132" s="4831" t="s">
        <v>418</v>
      </c>
      <c r="D132" s="4831" t="s">
        <v>46</v>
      </c>
      <c r="E132" s="4831" t="s">
        <v>46</v>
      </c>
      <c r="F132" s="4963" t="s">
        <v>418</v>
      </c>
      <c r="G132" s="4829" t="s">
        <v>418</v>
      </c>
      <c r="H132" s="4829" t="s">
        <v>418</v>
      </c>
      <c r="I132" s="4829" t="s">
        <v>418</v>
      </c>
      <c r="J132" s="4829" t="s">
        <v>418</v>
      </c>
      <c r="K132" s="4829" t="s">
        <v>429</v>
      </c>
      <c r="L132" s="4831" t="s">
        <v>429</v>
      </c>
      <c r="M132" s="4831" t="s">
        <v>46</v>
      </c>
      <c r="N132" s="4831" t="s">
        <v>628</v>
      </c>
      <c r="O132" s="4831" t="s">
        <v>418</v>
      </c>
      <c r="P132" s="4831" t="s">
        <v>418</v>
      </c>
      <c r="Q132" s="4831" t="s">
        <v>418</v>
      </c>
      <c r="R132" s="4831" t="s">
        <v>628</v>
      </c>
      <c r="S132" s="4964" t="s">
        <v>46</v>
      </c>
      <c r="T132" s="1217" t="s">
        <v>418</v>
      </c>
      <c r="U132" s="4832" t="s">
        <v>418</v>
      </c>
      <c r="V132" s="4829" t="s">
        <v>418</v>
      </c>
      <c r="W132" s="4829" t="s">
        <v>418</v>
      </c>
      <c r="X132" s="4829" t="s">
        <v>418</v>
      </c>
      <c r="Y132" s="4829" t="s">
        <v>429</v>
      </c>
      <c r="Z132" s="4831" t="s">
        <v>429</v>
      </c>
      <c r="AA132" s="4831" t="s">
        <v>46</v>
      </c>
      <c r="AB132" s="4831" t="s">
        <v>46</v>
      </c>
      <c r="AC132" s="4831" t="s">
        <v>418</v>
      </c>
      <c r="AD132" s="4831" t="s">
        <v>418</v>
      </c>
      <c r="AE132" s="4831" t="s">
        <v>418</v>
      </c>
      <c r="AF132" s="4965" t="s">
        <v>46</v>
      </c>
    </row>
    <row r="133" spans="1:33" ht="18" customHeight="1" thickBot="1">
      <c r="A133" s="431" t="s">
        <v>155</v>
      </c>
      <c r="B133" s="4828" t="s">
        <v>46</v>
      </c>
      <c r="C133" s="4828" t="s">
        <v>46</v>
      </c>
      <c r="D133" s="4828" t="s">
        <v>46</v>
      </c>
      <c r="E133" s="4828" t="s">
        <v>46</v>
      </c>
      <c r="F133" s="4830" t="s">
        <v>113</v>
      </c>
      <c r="G133" s="4830" t="s">
        <v>113</v>
      </c>
      <c r="H133" s="4830" t="s">
        <v>113</v>
      </c>
      <c r="I133" s="4830" t="s">
        <v>113</v>
      </c>
      <c r="J133" s="4830" t="s">
        <v>373</v>
      </c>
      <c r="K133" s="4830" t="s">
        <v>373</v>
      </c>
      <c r="L133" s="4830" t="s">
        <v>113</v>
      </c>
      <c r="M133" s="4828" t="s">
        <v>46</v>
      </c>
      <c r="N133" s="4828" t="s">
        <v>46</v>
      </c>
      <c r="O133" s="4830" t="s">
        <v>113</v>
      </c>
      <c r="P133" s="4948" t="s">
        <v>113</v>
      </c>
      <c r="Q133" s="4948" t="s">
        <v>373</v>
      </c>
      <c r="R133" s="4828" t="s">
        <v>628</v>
      </c>
      <c r="S133" s="4828" t="s">
        <v>46</v>
      </c>
      <c r="T133" s="1218" t="s">
        <v>46</v>
      </c>
      <c r="U133" s="4830" t="s">
        <v>113</v>
      </c>
      <c r="V133" s="4830" t="s">
        <v>113</v>
      </c>
      <c r="W133" s="4948" t="s">
        <v>113</v>
      </c>
      <c r="X133" s="4948" t="s">
        <v>373</v>
      </c>
      <c r="Y133" s="4830" t="s">
        <v>373</v>
      </c>
      <c r="Z133" s="4830" t="s">
        <v>113</v>
      </c>
      <c r="AA133" s="4828" t="s">
        <v>113</v>
      </c>
      <c r="AB133" s="4828" t="s">
        <v>46</v>
      </c>
      <c r="AC133" s="4828" t="s">
        <v>46</v>
      </c>
      <c r="AD133" s="4828" t="s">
        <v>46</v>
      </c>
      <c r="AE133" s="4828" t="s">
        <v>46</v>
      </c>
      <c r="AF133" s="1219" t="s">
        <v>46</v>
      </c>
      <c r="AG133" s="1049" t="s">
        <v>0</v>
      </c>
    </row>
    <row r="134" spans="1:33" ht="18" customHeight="1" thickBot="1">
      <c r="A134" s="157"/>
      <c r="B134" s="1138"/>
      <c r="C134" s="1138"/>
      <c r="D134" s="1138"/>
      <c r="E134" s="1138"/>
      <c r="F134" s="1136"/>
      <c r="G134" s="1136"/>
      <c r="H134" s="1136"/>
      <c r="I134" s="1136"/>
      <c r="J134" s="1136"/>
      <c r="K134" s="1136"/>
      <c r="L134" s="1136"/>
      <c r="M134" s="1138"/>
      <c r="N134" s="1138"/>
      <c r="O134" s="1138"/>
      <c r="P134" s="1138"/>
      <c r="Q134" s="1138"/>
      <c r="R134" s="1138"/>
      <c r="S134" s="1138"/>
      <c r="T134" s="1136"/>
      <c r="U134" s="1136"/>
      <c r="V134" s="1136"/>
      <c r="W134" s="1136"/>
      <c r="X134" s="1136"/>
      <c r="Y134" s="1136"/>
      <c r="Z134" s="1136"/>
      <c r="AA134" s="1138"/>
      <c r="AB134" s="1138"/>
      <c r="AC134" s="1138"/>
      <c r="AD134" s="1138"/>
      <c r="AE134" s="1138"/>
      <c r="AF134" s="1138"/>
    </row>
    <row r="135" spans="1:33" ht="18" customHeight="1">
      <c r="A135" s="2764" t="s">
        <v>201</v>
      </c>
      <c r="B135" s="4966"/>
      <c r="C135" s="4967" t="s">
        <v>19</v>
      </c>
      <c r="D135" s="4968"/>
      <c r="E135" s="4966"/>
      <c r="F135" s="4969" t="s">
        <v>20</v>
      </c>
      <c r="G135" s="4970"/>
      <c r="H135" s="4971"/>
      <c r="I135" s="4969" t="s">
        <v>21</v>
      </c>
      <c r="J135" s="4972"/>
      <c r="K135" s="4971"/>
      <c r="L135" s="4973" t="s">
        <v>22</v>
      </c>
      <c r="M135" s="4972"/>
      <c r="N135" s="4971"/>
      <c r="O135" s="4969" t="s">
        <v>23</v>
      </c>
      <c r="P135" s="4974"/>
      <c r="Q135" s="4971"/>
      <c r="R135" s="4969" t="s">
        <v>24</v>
      </c>
      <c r="S135" s="4975"/>
      <c r="T135" s="4971"/>
      <c r="U135" s="4969" t="s">
        <v>25</v>
      </c>
      <c r="V135" s="4974"/>
      <c r="W135" s="4976" t="s">
        <v>202</v>
      </c>
      <c r="X135" s="4977"/>
      <c r="Y135" s="4977"/>
      <c r="Z135" s="4978"/>
      <c r="AA135" s="4979" t="s">
        <v>108</v>
      </c>
      <c r="AB135" s="4980"/>
      <c r="AC135" s="4980"/>
      <c r="AD135" s="4981"/>
      <c r="AE135" s="4981"/>
      <c r="AF135" s="1220"/>
    </row>
    <row r="136" spans="1:33" ht="18" customHeight="1">
      <c r="A136" s="4982" t="s">
        <v>203</v>
      </c>
      <c r="B136" s="4983" t="s">
        <v>204</v>
      </c>
      <c r="C136" s="4984"/>
      <c r="D136" s="4985"/>
      <c r="E136" s="4983" t="s">
        <v>204</v>
      </c>
      <c r="F136" s="4984"/>
      <c r="G136" s="4985"/>
      <c r="H136" s="4983" t="s">
        <v>204</v>
      </c>
      <c r="I136" s="4984"/>
      <c r="J136" s="4985"/>
      <c r="K136" s="4983" t="s">
        <v>204</v>
      </c>
      <c r="L136" s="4984"/>
      <c r="M136" s="4985"/>
      <c r="N136" s="4983" t="s">
        <v>205</v>
      </c>
      <c r="O136" s="4984"/>
      <c r="P136" s="4985"/>
      <c r="Q136" s="4983"/>
      <c r="R136" s="4984"/>
      <c r="S136" s="4985"/>
      <c r="T136" s="4983"/>
      <c r="U136" s="4984"/>
      <c r="V136" s="4985"/>
      <c r="W136" s="4983"/>
      <c r="X136" s="4986"/>
      <c r="Y136" s="4986"/>
      <c r="Z136" s="4986"/>
      <c r="AA136" s="4987"/>
      <c r="AB136" s="4986"/>
      <c r="AC136" s="4986"/>
      <c r="AD136" s="4986"/>
      <c r="AE136" s="4986"/>
      <c r="AF136" s="1220"/>
    </row>
    <row r="137" spans="1:33" ht="12.75" thickBot="1"/>
    <row r="138" spans="1:33" ht="18" customHeight="1" thickBot="1">
      <c r="A138" s="363" t="s">
        <v>201</v>
      </c>
      <c r="B138" s="1067">
        <v>1</v>
      </c>
      <c r="C138" s="1068">
        <v>2</v>
      </c>
      <c r="D138" s="1067">
        <v>3</v>
      </c>
      <c r="E138" s="1067">
        <v>4</v>
      </c>
      <c r="F138" s="1068">
        <v>5</v>
      </c>
      <c r="G138" s="1068">
        <v>6</v>
      </c>
      <c r="H138" s="1068">
        <v>7</v>
      </c>
      <c r="I138" s="1068">
        <v>8</v>
      </c>
      <c r="J138" s="1068">
        <v>9</v>
      </c>
      <c r="K138" s="1067">
        <v>10</v>
      </c>
      <c r="L138" s="1067">
        <v>11</v>
      </c>
      <c r="M138" s="1068">
        <v>12</v>
      </c>
      <c r="N138" s="1068">
        <v>13</v>
      </c>
      <c r="O138" s="1068">
        <v>14</v>
      </c>
      <c r="P138" s="1068">
        <v>15</v>
      </c>
      <c r="Q138" s="1068">
        <v>16</v>
      </c>
      <c r="R138" s="1067">
        <v>17</v>
      </c>
      <c r="S138" s="1067">
        <v>18</v>
      </c>
      <c r="T138" s="1068">
        <v>19</v>
      </c>
      <c r="U138" s="1068">
        <v>20</v>
      </c>
      <c r="V138" s="1068">
        <v>21</v>
      </c>
      <c r="W138" s="1068">
        <v>22</v>
      </c>
      <c r="X138" s="1068">
        <v>23</v>
      </c>
      <c r="Y138" s="1067">
        <v>24</v>
      </c>
      <c r="Z138" s="1067">
        <v>25</v>
      </c>
      <c r="AA138" s="1068">
        <v>26</v>
      </c>
      <c r="AB138" s="1068">
        <v>27</v>
      </c>
      <c r="AC138" s="1068">
        <v>28</v>
      </c>
      <c r="AD138" s="1068">
        <v>29</v>
      </c>
      <c r="AE138" s="1068">
        <v>30</v>
      </c>
      <c r="AF138" s="1048">
        <v>31</v>
      </c>
    </row>
    <row r="139" spans="1:33" ht="18" customHeight="1" thickBot="1">
      <c r="A139" s="4988" t="s">
        <v>206</v>
      </c>
      <c r="B139" s="4989" t="s">
        <v>207</v>
      </c>
      <c r="C139" s="4990" t="s">
        <v>207</v>
      </c>
      <c r="D139" s="4989"/>
      <c r="E139" s="4989"/>
      <c r="F139" s="4989" t="s">
        <v>207</v>
      </c>
      <c r="G139" s="4989" t="s">
        <v>207</v>
      </c>
      <c r="H139" s="4989" t="s">
        <v>207</v>
      </c>
      <c r="I139" s="4989" t="s">
        <v>207</v>
      </c>
      <c r="J139" s="4989" t="s">
        <v>207</v>
      </c>
      <c r="K139" s="4989"/>
      <c r="L139" s="4989"/>
      <c r="M139" s="4989" t="s">
        <v>207</v>
      </c>
      <c r="N139" s="4989" t="s">
        <v>207</v>
      </c>
      <c r="O139" s="4989" t="s">
        <v>207</v>
      </c>
      <c r="P139" s="4989" t="s">
        <v>207</v>
      </c>
      <c r="Q139" s="4989" t="s">
        <v>207</v>
      </c>
      <c r="R139" s="4989"/>
      <c r="S139" s="4989"/>
      <c r="T139" s="4989" t="s">
        <v>207</v>
      </c>
      <c r="U139" s="4989" t="s">
        <v>207</v>
      </c>
      <c r="V139" s="4989" t="s">
        <v>207</v>
      </c>
      <c r="W139" s="4989" t="s">
        <v>207</v>
      </c>
      <c r="X139" s="4989" t="s">
        <v>207</v>
      </c>
      <c r="Y139" s="4989"/>
      <c r="Z139" s="4989"/>
      <c r="AA139" s="4989" t="s">
        <v>207</v>
      </c>
      <c r="AB139" s="4989" t="s">
        <v>207</v>
      </c>
      <c r="AC139" s="4989" t="s">
        <v>207</v>
      </c>
      <c r="AD139" s="4989" t="s">
        <v>207</v>
      </c>
      <c r="AE139" s="4991" t="s">
        <v>207</v>
      </c>
      <c r="AF139" s="1135"/>
    </row>
    <row r="140" spans="1:33" ht="18" customHeight="1">
      <c r="A140" s="121"/>
      <c r="B140" s="1138"/>
      <c r="C140" s="1138"/>
      <c r="D140" s="1138"/>
      <c r="E140" s="1138"/>
      <c r="F140" s="1138"/>
      <c r="G140" s="1138"/>
      <c r="H140" s="1138"/>
      <c r="I140" s="1138"/>
      <c r="J140" s="1138"/>
      <c r="K140" s="1138"/>
      <c r="L140" s="1138"/>
      <c r="M140" s="1138"/>
      <c r="N140" s="1138"/>
      <c r="O140" s="1138"/>
      <c r="P140" s="1138"/>
      <c r="Q140" s="1138"/>
      <c r="R140" s="1138"/>
      <c r="S140" s="1138"/>
      <c r="T140" s="1138"/>
      <c r="U140" s="1138"/>
      <c r="V140" s="1138"/>
      <c r="W140" s="1138"/>
      <c r="X140" s="1138"/>
      <c r="Y140" s="1138"/>
      <c r="Z140" s="1138"/>
      <c r="AA140" s="1138"/>
      <c r="AB140" s="1138"/>
      <c r="AC140" s="1138"/>
      <c r="AD140" s="1138"/>
      <c r="AE140" s="1138"/>
      <c r="AF140" s="1220"/>
    </row>
    <row r="141" spans="1:33" ht="18" customHeight="1">
      <c r="A141" s="2764" t="s">
        <v>208</v>
      </c>
      <c r="B141" s="4992"/>
      <c r="C141" s="4993" t="s">
        <v>19</v>
      </c>
      <c r="D141" s="4994"/>
      <c r="E141" s="4995"/>
      <c r="F141" s="4992"/>
      <c r="G141" s="4993" t="s">
        <v>20</v>
      </c>
      <c r="H141" s="4994"/>
      <c r="I141" s="4995"/>
      <c r="J141" s="4992"/>
      <c r="K141" s="4993" t="s">
        <v>21</v>
      </c>
      <c r="L141" s="4994"/>
      <c r="M141" s="4995"/>
      <c r="N141" s="4992"/>
      <c r="O141" s="4993" t="s">
        <v>22</v>
      </c>
      <c r="P141" s="4994"/>
      <c r="Q141" s="4995"/>
      <c r="R141" s="4992"/>
      <c r="S141" s="4993" t="s">
        <v>23</v>
      </c>
      <c r="T141" s="4994"/>
      <c r="U141" s="4995"/>
      <c r="V141" s="4992"/>
      <c r="W141" s="4993" t="s">
        <v>24</v>
      </c>
      <c r="X141" s="4994"/>
      <c r="Y141" s="4995"/>
      <c r="Z141" s="4992"/>
      <c r="AA141" s="4993" t="s">
        <v>25</v>
      </c>
      <c r="AB141" s="4994"/>
      <c r="AC141" s="4994"/>
      <c r="AD141" s="4996" t="s">
        <v>108</v>
      </c>
      <c r="AE141" s="4994"/>
      <c r="AF141" s="4997"/>
    </row>
    <row r="142" spans="1:33" ht="18" customHeight="1">
      <c r="A142" s="4998" t="s">
        <v>210</v>
      </c>
      <c r="B142" s="4999">
        <v>69</v>
      </c>
      <c r="C142" s="5000" t="s">
        <v>211</v>
      </c>
      <c r="D142" s="5000"/>
      <c r="E142" s="5001"/>
      <c r="F142" s="4999">
        <v>69</v>
      </c>
      <c r="G142" s="5000" t="s">
        <v>211</v>
      </c>
      <c r="H142" s="5000"/>
      <c r="I142" s="5001"/>
      <c r="J142" s="4999">
        <v>69</v>
      </c>
      <c r="K142" s="5000" t="s">
        <v>211</v>
      </c>
      <c r="L142" s="5000"/>
      <c r="M142" s="5001"/>
      <c r="N142" s="4999">
        <v>69</v>
      </c>
      <c r="O142" s="5000" t="s">
        <v>211</v>
      </c>
      <c r="P142" s="5000"/>
      <c r="Q142" s="5001"/>
      <c r="R142" s="4999">
        <v>69</v>
      </c>
      <c r="S142" s="5000" t="s">
        <v>211</v>
      </c>
      <c r="T142" s="5000"/>
      <c r="U142" s="5001"/>
      <c r="V142" s="4999"/>
      <c r="W142" s="5002"/>
      <c r="X142" s="5002"/>
      <c r="Y142" s="5003"/>
      <c r="Z142" s="4999"/>
      <c r="AA142" s="5000"/>
      <c r="AB142" s="5000"/>
      <c r="AC142" s="4919"/>
      <c r="AD142" s="5004">
        <v>35</v>
      </c>
      <c r="AE142" s="5000"/>
      <c r="AF142" s="5005"/>
    </row>
    <row r="143" spans="1:33" ht="18" customHeight="1">
      <c r="A143" s="4998" t="s">
        <v>212</v>
      </c>
      <c r="B143" s="4999">
        <v>79</v>
      </c>
      <c r="C143" s="5000" t="s">
        <v>213</v>
      </c>
      <c r="D143" s="5000"/>
      <c r="E143" s="5001"/>
      <c r="F143" s="4999">
        <v>79</v>
      </c>
      <c r="G143" s="5000" t="s">
        <v>213</v>
      </c>
      <c r="H143" s="5000"/>
      <c r="I143" s="5001"/>
      <c r="J143" s="4999">
        <v>79</v>
      </c>
      <c r="K143" s="5000" t="s">
        <v>213</v>
      </c>
      <c r="L143" s="5000"/>
      <c r="M143" s="5001"/>
      <c r="N143" s="4999">
        <v>79</v>
      </c>
      <c r="O143" s="5000" t="s">
        <v>213</v>
      </c>
      <c r="P143" s="5000"/>
      <c r="Q143" s="5001"/>
      <c r="R143" s="4999">
        <v>79</v>
      </c>
      <c r="S143" s="5000" t="s">
        <v>213</v>
      </c>
      <c r="T143" s="5000"/>
      <c r="U143" s="5001"/>
      <c r="V143" s="4999"/>
      <c r="W143" s="5000"/>
      <c r="X143" s="5000"/>
      <c r="Y143" s="5001"/>
      <c r="Z143" s="5000"/>
      <c r="AA143" s="5000"/>
      <c r="AB143" s="5000"/>
      <c r="AC143" s="4919"/>
      <c r="AD143" s="5004">
        <v>40</v>
      </c>
      <c r="AE143" s="5000"/>
      <c r="AF143" s="5005"/>
    </row>
    <row r="144" spans="1:33" ht="18" customHeight="1">
      <c r="A144" s="4998" t="s">
        <v>214</v>
      </c>
      <c r="B144" s="4999">
        <v>89</v>
      </c>
      <c r="C144" s="5000" t="s">
        <v>215</v>
      </c>
      <c r="D144" s="5000"/>
      <c r="E144" s="5001"/>
      <c r="F144" s="4999">
        <v>89</v>
      </c>
      <c r="G144" s="5000" t="s">
        <v>215</v>
      </c>
      <c r="H144" s="5000"/>
      <c r="I144" s="5001"/>
      <c r="J144" s="4999">
        <v>89</v>
      </c>
      <c r="K144" s="5000" t="s">
        <v>215</v>
      </c>
      <c r="L144" s="5000"/>
      <c r="M144" s="5001"/>
      <c r="N144" s="4999">
        <v>89</v>
      </c>
      <c r="O144" s="5000" t="s">
        <v>215</v>
      </c>
      <c r="P144" s="5000"/>
      <c r="Q144" s="5001"/>
      <c r="R144" s="4999">
        <v>89</v>
      </c>
      <c r="S144" s="5000" t="s">
        <v>216</v>
      </c>
      <c r="T144" s="5000"/>
      <c r="U144" s="5001"/>
      <c r="V144" s="5006"/>
      <c r="W144" s="5007" t="s">
        <v>217</v>
      </c>
      <c r="X144" s="5007"/>
      <c r="Y144" s="4925"/>
      <c r="Z144" s="5006"/>
      <c r="AA144" s="5007"/>
      <c r="AB144" s="5007"/>
      <c r="AC144" s="4924"/>
      <c r="AD144" s="5004">
        <v>44</v>
      </c>
      <c r="AE144" s="5000"/>
      <c r="AF144" s="5005"/>
    </row>
    <row r="145" spans="1:32" ht="18" customHeight="1">
      <c r="A145" s="19" t="s">
        <v>218</v>
      </c>
      <c r="B145" s="5006">
        <v>99</v>
      </c>
      <c r="C145" s="5007" t="s">
        <v>219</v>
      </c>
      <c r="D145" s="5007"/>
      <c r="E145" s="4925"/>
      <c r="F145" s="5006">
        <v>99</v>
      </c>
      <c r="G145" s="5007" t="s">
        <v>219</v>
      </c>
      <c r="H145" s="5007"/>
      <c r="I145" s="4925"/>
      <c r="J145" s="5006">
        <v>99</v>
      </c>
      <c r="K145" s="5007" t="s">
        <v>219</v>
      </c>
      <c r="L145" s="5007"/>
      <c r="M145" s="4925"/>
      <c r="N145" s="5006">
        <v>99</v>
      </c>
      <c r="O145" s="5007" t="s">
        <v>219</v>
      </c>
      <c r="P145" s="5007"/>
      <c r="Q145" s="4925"/>
      <c r="R145" s="5006">
        <v>99</v>
      </c>
      <c r="S145" s="5007" t="s">
        <v>220</v>
      </c>
      <c r="T145" s="5007"/>
      <c r="U145" s="4924"/>
      <c r="V145" s="4923"/>
      <c r="W145" s="4924"/>
      <c r="X145" s="5007"/>
      <c r="Y145" s="4925"/>
      <c r="Z145" s="4923"/>
      <c r="AA145" s="4924"/>
      <c r="AB145" s="5007"/>
      <c r="AC145" s="4925"/>
      <c r="AD145" s="5008">
        <v>28</v>
      </c>
      <c r="AE145" s="5007"/>
      <c r="AF145" s="5009"/>
    </row>
    <row r="146" spans="1:32" ht="18" customHeight="1" thickBot="1">
      <c r="A146" s="5010" t="s">
        <v>221</v>
      </c>
      <c r="B146" s="5011" t="s">
        <v>159</v>
      </c>
      <c r="C146" s="5012" t="s">
        <v>222</v>
      </c>
      <c r="D146" s="5013"/>
      <c r="E146" s="4858"/>
      <c r="F146" s="5011" t="s">
        <v>159</v>
      </c>
      <c r="G146" s="5012" t="s">
        <v>222</v>
      </c>
      <c r="H146" s="4856"/>
      <c r="I146" s="5013"/>
      <c r="J146" s="5011" t="s">
        <v>159</v>
      </c>
      <c r="K146" s="5012" t="s">
        <v>222</v>
      </c>
      <c r="L146" s="5013"/>
      <c r="M146" s="5014"/>
      <c r="N146" s="5011" t="s">
        <v>159</v>
      </c>
      <c r="O146" s="5012" t="s">
        <v>222</v>
      </c>
      <c r="P146" s="5013"/>
      <c r="Q146" s="5012"/>
      <c r="R146" s="5011" t="s">
        <v>159</v>
      </c>
      <c r="S146" s="4860" t="s">
        <v>223</v>
      </c>
      <c r="T146" s="5012"/>
      <c r="U146" s="5014"/>
      <c r="V146" s="5013"/>
      <c r="W146" s="5012"/>
      <c r="X146" s="5012"/>
      <c r="Y146" s="5012"/>
      <c r="Z146" s="5015"/>
      <c r="AA146" s="5016"/>
      <c r="AB146" s="5012"/>
      <c r="AC146" s="5017"/>
      <c r="AD146" s="5012"/>
      <c r="AE146" s="5012"/>
      <c r="AF146" s="5018"/>
    </row>
    <row r="147" spans="1:32" ht="18" customHeight="1" thickBot="1">
      <c r="A147" s="100"/>
      <c r="B147" s="1222"/>
      <c r="C147" s="1222"/>
      <c r="D147" s="1222"/>
      <c r="E147" s="1222"/>
      <c r="F147" s="1222"/>
      <c r="G147" s="1222"/>
      <c r="H147" s="1222"/>
      <c r="I147" s="1222"/>
      <c r="J147" s="1222"/>
      <c r="K147" s="1222"/>
      <c r="L147" s="1222"/>
      <c r="M147" s="1222"/>
      <c r="N147" s="1222"/>
      <c r="O147" s="1222"/>
      <c r="P147" s="1222"/>
      <c r="Q147" s="1222"/>
      <c r="R147" s="1222"/>
      <c r="S147" s="1222"/>
      <c r="T147" s="1222"/>
      <c r="U147" s="1222"/>
      <c r="V147" s="1222"/>
      <c r="W147" s="1222"/>
      <c r="X147" s="1222"/>
      <c r="Y147" s="1222"/>
      <c r="Z147" s="1222"/>
      <c r="AA147" s="1222"/>
      <c r="AB147" s="1222"/>
      <c r="AC147" s="1222"/>
      <c r="AD147" s="1222"/>
      <c r="AE147" s="1222"/>
      <c r="AF147" s="1194"/>
    </row>
    <row r="148" spans="1:32" ht="18" customHeight="1" thickBot="1">
      <c r="A148" s="363" t="s">
        <v>208</v>
      </c>
      <c r="B148" s="1067">
        <v>1</v>
      </c>
      <c r="C148" s="1068">
        <v>2</v>
      </c>
      <c r="D148" s="1067">
        <v>3</v>
      </c>
      <c r="E148" s="1067">
        <v>4</v>
      </c>
      <c r="F148" s="1068">
        <v>5</v>
      </c>
      <c r="G148" s="1068">
        <v>6</v>
      </c>
      <c r="H148" s="1068">
        <v>7</v>
      </c>
      <c r="I148" s="1068">
        <v>8</v>
      </c>
      <c r="J148" s="1068">
        <v>9</v>
      </c>
      <c r="K148" s="1067">
        <v>10</v>
      </c>
      <c r="L148" s="1067">
        <v>11</v>
      </c>
      <c r="M148" s="1068">
        <v>12</v>
      </c>
      <c r="N148" s="1068">
        <v>13</v>
      </c>
      <c r="O148" s="1068">
        <v>14</v>
      </c>
      <c r="P148" s="1068">
        <v>15</v>
      </c>
      <c r="Q148" s="1068">
        <v>16</v>
      </c>
      <c r="R148" s="1067">
        <v>17</v>
      </c>
      <c r="S148" s="1067">
        <v>18</v>
      </c>
      <c r="T148" s="1068">
        <v>19</v>
      </c>
      <c r="U148" s="1068">
        <v>20</v>
      </c>
      <c r="V148" s="1068">
        <v>21</v>
      </c>
      <c r="W148" s="1068">
        <v>22</v>
      </c>
      <c r="X148" s="1068">
        <v>23</v>
      </c>
      <c r="Y148" s="1067">
        <v>24</v>
      </c>
      <c r="Z148" s="1067">
        <v>25</v>
      </c>
      <c r="AA148" s="1068">
        <v>26</v>
      </c>
      <c r="AB148" s="1068">
        <v>27</v>
      </c>
      <c r="AC148" s="1068">
        <v>28</v>
      </c>
      <c r="AD148" s="1068">
        <v>29</v>
      </c>
      <c r="AE148" s="1068">
        <v>30</v>
      </c>
      <c r="AF148" s="1069">
        <v>31</v>
      </c>
    </row>
    <row r="149" spans="1:32" ht="18" customHeight="1">
      <c r="A149" s="4611" t="s">
        <v>224</v>
      </c>
      <c r="B149" s="5019"/>
      <c r="C149" s="5020">
        <v>69</v>
      </c>
      <c r="D149" s="2987"/>
      <c r="E149" s="2987"/>
      <c r="F149" s="5021">
        <v>79</v>
      </c>
      <c r="G149" s="5019">
        <v>79</v>
      </c>
      <c r="H149" s="5021">
        <v>79</v>
      </c>
      <c r="I149" s="5021">
        <v>79</v>
      </c>
      <c r="J149" s="5019">
        <v>79</v>
      </c>
      <c r="K149" s="5021"/>
      <c r="L149" s="2987"/>
      <c r="M149" s="5021">
        <v>89</v>
      </c>
      <c r="N149" s="5019">
        <v>89</v>
      </c>
      <c r="O149" s="5019">
        <v>89</v>
      </c>
      <c r="P149" s="5019">
        <v>89</v>
      </c>
      <c r="Q149" s="5019">
        <v>89</v>
      </c>
      <c r="R149" s="2987">
        <v>89</v>
      </c>
      <c r="S149" s="2987"/>
      <c r="T149" s="5019">
        <v>99</v>
      </c>
      <c r="U149" s="5019">
        <v>99</v>
      </c>
      <c r="V149" s="5019">
        <v>99</v>
      </c>
      <c r="W149" s="5019">
        <v>99</v>
      </c>
      <c r="X149" s="5019" t="s">
        <v>46</v>
      </c>
      <c r="Y149" s="5019"/>
      <c r="Z149" s="5021"/>
      <c r="AA149" s="5019" t="s">
        <v>159</v>
      </c>
      <c r="AB149" s="5019" t="s">
        <v>159</v>
      </c>
      <c r="AC149" s="5019" t="s">
        <v>159</v>
      </c>
      <c r="AD149" s="5019" t="s">
        <v>159</v>
      </c>
      <c r="AE149" s="5021" t="s">
        <v>159</v>
      </c>
      <c r="AF149" s="5022"/>
    </row>
    <row r="150" spans="1:32" ht="18" customHeight="1">
      <c r="A150" s="5023" t="s">
        <v>225</v>
      </c>
      <c r="B150" s="4792"/>
      <c r="C150" s="5024">
        <v>79</v>
      </c>
      <c r="D150" s="4792"/>
      <c r="E150" s="4792"/>
      <c r="F150" s="4792">
        <v>89</v>
      </c>
      <c r="G150" s="4827">
        <v>89</v>
      </c>
      <c r="H150" s="4807">
        <v>89</v>
      </c>
      <c r="I150" s="4827">
        <v>89</v>
      </c>
      <c r="J150" s="4827">
        <v>89</v>
      </c>
      <c r="K150" s="4811">
        <v>89</v>
      </c>
      <c r="L150" s="4811"/>
      <c r="M150" s="4827">
        <v>99</v>
      </c>
      <c r="N150" s="4794">
        <v>99</v>
      </c>
      <c r="O150" s="4827">
        <v>99</v>
      </c>
      <c r="P150" s="4827">
        <v>99</v>
      </c>
      <c r="Q150" s="4807" t="s">
        <v>46</v>
      </c>
      <c r="R150" s="4827"/>
      <c r="S150" s="4811"/>
      <c r="T150" s="4827" t="s">
        <v>159</v>
      </c>
      <c r="U150" s="4827" t="s">
        <v>159</v>
      </c>
      <c r="V150" s="4827" t="s">
        <v>159</v>
      </c>
      <c r="W150" s="4827" t="s">
        <v>159</v>
      </c>
      <c r="X150" s="4827" t="s">
        <v>159</v>
      </c>
      <c r="Y150" s="4827"/>
      <c r="Z150" s="4811"/>
      <c r="AA150" s="4807">
        <v>69</v>
      </c>
      <c r="AB150" s="4794">
        <v>69</v>
      </c>
      <c r="AC150" s="4794">
        <v>69</v>
      </c>
      <c r="AD150" s="4794">
        <v>69</v>
      </c>
      <c r="AE150" s="4794">
        <v>69</v>
      </c>
      <c r="AF150" s="5025"/>
    </row>
    <row r="151" spans="1:32" ht="18" customHeight="1">
      <c r="A151" s="4864" t="s">
        <v>124</v>
      </c>
      <c r="B151" s="5026"/>
      <c r="C151" s="4811">
        <v>89</v>
      </c>
      <c r="D151" s="4792">
        <v>89</v>
      </c>
      <c r="E151" s="5026"/>
      <c r="F151" s="5027">
        <v>99</v>
      </c>
      <c r="G151" s="4815">
        <v>99</v>
      </c>
      <c r="H151" s="4807">
        <v>99</v>
      </c>
      <c r="I151" s="5026">
        <v>99</v>
      </c>
      <c r="J151" s="5026" t="s">
        <v>46</v>
      </c>
      <c r="K151" s="5026"/>
      <c r="L151" s="5026"/>
      <c r="M151" s="4827" t="s">
        <v>159</v>
      </c>
      <c r="N151" s="5028" t="s">
        <v>159</v>
      </c>
      <c r="O151" s="5028" t="s">
        <v>159</v>
      </c>
      <c r="P151" s="4794" t="s">
        <v>159</v>
      </c>
      <c r="Q151" s="4794" t="s">
        <v>159</v>
      </c>
      <c r="R151" s="4794"/>
      <c r="S151" s="4794"/>
      <c r="T151" s="4794">
        <v>69</v>
      </c>
      <c r="U151" s="4794">
        <v>69</v>
      </c>
      <c r="V151" s="4794">
        <v>69</v>
      </c>
      <c r="W151" s="4794">
        <v>69</v>
      </c>
      <c r="X151" s="5026">
        <v>69</v>
      </c>
      <c r="Y151" s="5026"/>
      <c r="Z151" s="5026"/>
      <c r="AA151" s="5026">
        <v>79</v>
      </c>
      <c r="AB151" s="5026">
        <v>79</v>
      </c>
      <c r="AC151" s="5026">
        <v>79</v>
      </c>
      <c r="AD151" s="5026">
        <v>79</v>
      </c>
      <c r="AE151" s="5026">
        <v>79</v>
      </c>
      <c r="AF151" s="5029"/>
    </row>
    <row r="152" spans="1:32" ht="18" customHeight="1">
      <c r="A152" s="5023" t="s">
        <v>226</v>
      </c>
      <c r="B152" s="4811"/>
      <c r="C152" s="4811" t="s">
        <v>46</v>
      </c>
      <c r="D152" s="4811"/>
      <c r="E152" s="4811"/>
      <c r="F152" s="4811" t="s">
        <v>159</v>
      </c>
      <c r="G152" s="4811" t="s">
        <v>159</v>
      </c>
      <c r="H152" s="4811" t="s">
        <v>159</v>
      </c>
      <c r="I152" s="4811" t="s">
        <v>159</v>
      </c>
      <c r="J152" s="4811" t="s">
        <v>64</v>
      </c>
      <c r="K152" s="4811"/>
      <c r="L152" s="4811"/>
      <c r="M152" s="5030">
        <v>69</v>
      </c>
      <c r="N152" s="5031">
        <v>69</v>
      </c>
      <c r="O152" s="5031">
        <v>69</v>
      </c>
      <c r="P152" s="4867">
        <v>69</v>
      </c>
      <c r="Q152" s="4867">
        <v>69</v>
      </c>
      <c r="R152" s="4811"/>
      <c r="S152" s="4811"/>
      <c r="T152" s="4811">
        <v>79</v>
      </c>
      <c r="U152" s="4811">
        <v>79</v>
      </c>
      <c r="V152" s="4811">
        <v>79</v>
      </c>
      <c r="W152" s="4811">
        <v>79</v>
      </c>
      <c r="X152" s="4867">
        <v>79</v>
      </c>
      <c r="Y152" s="4867"/>
      <c r="Z152" s="4811"/>
      <c r="AA152" s="4811">
        <v>89</v>
      </c>
      <c r="AB152" s="4811">
        <v>89</v>
      </c>
      <c r="AC152" s="5031">
        <v>89</v>
      </c>
      <c r="AD152" s="5031">
        <v>89</v>
      </c>
      <c r="AE152" s="4811">
        <v>89</v>
      </c>
      <c r="AF152" s="4813">
        <v>89</v>
      </c>
    </row>
    <row r="153" spans="1:32" ht="18" customHeight="1" thickBot="1">
      <c r="A153" s="5032" t="s">
        <v>227</v>
      </c>
      <c r="B153" s="4906"/>
      <c r="C153" s="4906" t="s">
        <v>159</v>
      </c>
      <c r="D153" s="5033"/>
      <c r="E153" s="4802"/>
      <c r="F153" s="4802">
        <v>69</v>
      </c>
      <c r="G153" s="5034">
        <v>69</v>
      </c>
      <c r="H153" s="5034">
        <v>69</v>
      </c>
      <c r="I153" s="5034">
        <v>69</v>
      </c>
      <c r="J153" s="5034">
        <v>69</v>
      </c>
      <c r="K153" s="5033"/>
      <c r="L153" s="5033"/>
      <c r="M153" s="5034">
        <v>79</v>
      </c>
      <c r="N153" s="5035">
        <v>79</v>
      </c>
      <c r="O153" s="5035">
        <v>79</v>
      </c>
      <c r="P153" s="4906">
        <v>79</v>
      </c>
      <c r="Q153" s="4906">
        <v>79</v>
      </c>
      <c r="R153" s="5033"/>
      <c r="S153" s="4798"/>
      <c r="T153" s="4906">
        <v>89</v>
      </c>
      <c r="U153" s="4906">
        <v>89</v>
      </c>
      <c r="V153" s="4906">
        <v>89</v>
      </c>
      <c r="W153" s="4906">
        <v>89</v>
      </c>
      <c r="X153" s="4906">
        <v>89</v>
      </c>
      <c r="Y153" s="4906">
        <v>89</v>
      </c>
      <c r="Z153" s="4802"/>
      <c r="AA153" s="4906">
        <v>99</v>
      </c>
      <c r="AB153" s="5033">
        <v>99</v>
      </c>
      <c r="AC153" s="5033">
        <v>99</v>
      </c>
      <c r="AD153" s="5033">
        <v>99</v>
      </c>
      <c r="AE153" s="5033" t="s">
        <v>46</v>
      </c>
      <c r="AF153" s="5036"/>
    </row>
    <row r="154" spans="1:32" ht="18" customHeight="1">
      <c r="A154" s="68"/>
      <c r="B154" s="1223"/>
      <c r="C154" s="1223"/>
      <c r="D154" s="1223"/>
      <c r="E154" s="1223"/>
      <c r="F154" s="1223"/>
      <c r="G154" s="1223"/>
      <c r="H154" s="1223"/>
      <c r="I154" s="1223"/>
      <c r="J154" s="1223"/>
      <c r="K154" s="1223"/>
      <c r="L154" s="1223"/>
      <c r="M154" s="1223"/>
      <c r="N154" s="1223"/>
      <c r="O154" s="1223"/>
      <c r="P154" s="1223"/>
      <c r="Q154" s="1223"/>
      <c r="R154" s="1223"/>
      <c r="S154" s="1223"/>
      <c r="T154" s="1223"/>
      <c r="U154" s="1223"/>
      <c r="V154" s="1223"/>
      <c r="W154" s="1223"/>
      <c r="X154" s="1223"/>
      <c r="Y154" s="1223"/>
      <c r="Z154" s="1223"/>
      <c r="AA154" s="1223"/>
      <c r="AB154" s="1223"/>
      <c r="AC154" s="1223"/>
      <c r="AD154" s="1223"/>
      <c r="AE154" s="1223"/>
      <c r="AF154" s="1224"/>
    </row>
    <row r="155" spans="1:32" ht="18" customHeight="1">
      <c r="A155" s="2764" t="s">
        <v>608</v>
      </c>
      <c r="B155" s="4992"/>
      <c r="C155" s="4993" t="s">
        <v>19</v>
      </c>
      <c r="D155" s="4994"/>
      <c r="E155" s="4995"/>
      <c r="F155" s="4992"/>
      <c r="G155" s="4993" t="s">
        <v>20</v>
      </c>
      <c r="H155" s="4994"/>
      <c r="I155" s="4995"/>
      <c r="J155" s="4992"/>
      <c r="K155" s="4993" t="s">
        <v>21</v>
      </c>
      <c r="L155" s="4994"/>
      <c r="M155" s="4995"/>
      <c r="N155" s="4992"/>
      <c r="O155" s="4993" t="s">
        <v>22</v>
      </c>
      <c r="P155" s="4994"/>
      <c r="Q155" s="4995"/>
      <c r="R155" s="4992"/>
      <c r="S155" s="4993" t="s">
        <v>23</v>
      </c>
      <c r="T155" s="4994"/>
      <c r="U155" s="4995"/>
      <c r="V155" s="4992"/>
      <c r="W155" s="4993" t="s">
        <v>24</v>
      </c>
      <c r="X155" s="4994"/>
      <c r="Y155" s="4995"/>
      <c r="Z155" s="4992"/>
      <c r="AA155" s="4993" t="s">
        <v>25</v>
      </c>
      <c r="AB155" s="4994"/>
      <c r="AC155" s="4994"/>
      <c r="AD155" s="4996" t="s">
        <v>108</v>
      </c>
      <c r="AE155" s="4994"/>
      <c r="AF155" s="4997"/>
    </row>
    <row r="156" spans="1:32" ht="18" customHeight="1">
      <c r="A156" s="4998" t="s">
        <v>229</v>
      </c>
      <c r="B156" s="4920" t="s">
        <v>230</v>
      </c>
      <c r="C156" s="5000"/>
      <c r="D156" s="5000"/>
      <c r="E156" s="5001"/>
      <c r="F156" s="4920" t="s">
        <v>230</v>
      </c>
      <c r="G156" s="5000"/>
      <c r="H156" s="5000"/>
      <c r="I156" s="5001"/>
      <c r="J156" s="4920" t="s">
        <v>230</v>
      </c>
      <c r="K156" s="5000"/>
      <c r="L156" s="5000"/>
      <c r="M156" s="5001"/>
      <c r="N156" s="4920" t="s">
        <v>231</v>
      </c>
      <c r="O156" s="5000"/>
      <c r="P156" s="5000"/>
      <c r="Q156" s="5001"/>
      <c r="R156" s="4920" t="s">
        <v>232</v>
      </c>
      <c r="S156" s="5000"/>
      <c r="T156" s="5000"/>
      <c r="U156" s="5001"/>
      <c r="V156" s="4920" t="s">
        <v>233</v>
      </c>
      <c r="W156" s="5002"/>
      <c r="X156" s="5002"/>
      <c r="Y156" s="5003"/>
      <c r="Z156" s="4920" t="s">
        <v>233</v>
      </c>
      <c r="AA156" s="5000"/>
      <c r="AB156" s="5000"/>
      <c r="AC156" s="4919"/>
      <c r="AD156" s="5004">
        <v>68</v>
      </c>
      <c r="AE156" s="1225"/>
      <c r="AF156" s="1226"/>
    </row>
    <row r="157" spans="1:32" ht="18" customHeight="1">
      <c r="A157" s="4998"/>
      <c r="B157" s="4920" t="s">
        <v>220</v>
      </c>
      <c r="C157" s="5000"/>
      <c r="D157" s="5000"/>
      <c r="E157" s="5001"/>
      <c r="F157" s="4920" t="s">
        <v>220</v>
      </c>
      <c r="G157" s="5000"/>
      <c r="H157" s="5000"/>
      <c r="I157" s="5001"/>
      <c r="J157" s="4920" t="s">
        <v>220</v>
      </c>
      <c r="K157" s="5000"/>
      <c r="L157" s="5000"/>
      <c r="M157" s="5001"/>
      <c r="N157" s="4920" t="s">
        <v>220</v>
      </c>
      <c r="O157" s="5000"/>
      <c r="P157" s="5000"/>
      <c r="Q157" s="5001"/>
      <c r="R157" s="4920" t="s">
        <v>220</v>
      </c>
      <c r="S157" s="5000"/>
      <c r="T157" s="5000"/>
      <c r="U157" s="5001"/>
      <c r="V157" s="4920" t="s">
        <v>220</v>
      </c>
      <c r="W157" s="5000"/>
      <c r="X157" s="5000"/>
      <c r="Y157" s="5001"/>
      <c r="Z157" s="5000" t="s">
        <v>220</v>
      </c>
      <c r="AA157" s="5000"/>
      <c r="AB157" s="5000"/>
      <c r="AC157" s="4919"/>
      <c r="AD157" s="5004">
        <v>0</v>
      </c>
      <c r="AE157" s="1225"/>
      <c r="AF157" s="1226"/>
    </row>
    <row r="158" spans="1:32" ht="18" customHeight="1">
      <c r="A158" s="4998" t="s">
        <v>234</v>
      </c>
      <c r="B158" s="4920" t="s">
        <v>231</v>
      </c>
      <c r="C158" s="5000"/>
      <c r="D158" s="5000"/>
      <c r="E158" s="5001"/>
      <c r="F158" s="4920" t="s">
        <v>231</v>
      </c>
      <c r="G158" s="5000"/>
      <c r="H158" s="5000"/>
      <c r="I158" s="5001"/>
      <c r="J158" s="4920" t="s">
        <v>231</v>
      </c>
      <c r="K158" s="5000"/>
      <c r="L158" s="5000"/>
      <c r="M158" s="5001"/>
      <c r="N158" s="4920" t="s">
        <v>230</v>
      </c>
      <c r="O158" s="5000"/>
      <c r="P158" s="5000"/>
      <c r="Q158" s="5001"/>
      <c r="R158" s="4920" t="s">
        <v>230</v>
      </c>
      <c r="S158" s="5000"/>
      <c r="T158" s="5000"/>
      <c r="U158" s="5001"/>
      <c r="V158" s="4920" t="s">
        <v>232</v>
      </c>
      <c r="W158" s="5002"/>
      <c r="X158" s="5002"/>
      <c r="Y158" s="5003"/>
      <c r="Z158" s="4920" t="s">
        <v>232</v>
      </c>
      <c r="AA158" s="5000"/>
      <c r="AB158" s="5000"/>
      <c r="AC158" s="4919"/>
      <c r="AD158" s="5004">
        <v>68</v>
      </c>
      <c r="AE158" s="5000"/>
      <c r="AF158" s="5005"/>
    </row>
    <row r="159" spans="1:32" ht="18" customHeight="1">
      <c r="A159" s="4998"/>
      <c r="B159" s="4920" t="s">
        <v>220</v>
      </c>
      <c r="C159" s="5000"/>
      <c r="D159" s="5000"/>
      <c r="E159" s="5001"/>
      <c r="F159" s="4920" t="s">
        <v>220</v>
      </c>
      <c r="G159" s="5000"/>
      <c r="H159" s="5000"/>
      <c r="I159" s="5001"/>
      <c r="J159" s="4920" t="s">
        <v>220</v>
      </c>
      <c r="K159" s="5000"/>
      <c r="L159" s="5000"/>
      <c r="M159" s="5001"/>
      <c r="N159" s="4920" t="s">
        <v>220</v>
      </c>
      <c r="O159" s="5000"/>
      <c r="P159" s="5000"/>
      <c r="Q159" s="5001"/>
      <c r="R159" s="4920" t="s">
        <v>220</v>
      </c>
      <c r="S159" s="5000"/>
      <c r="T159" s="5000"/>
      <c r="U159" s="5001"/>
      <c r="V159" s="4920" t="s">
        <v>220</v>
      </c>
      <c r="W159" s="5000"/>
      <c r="X159" s="5000"/>
      <c r="Y159" s="5001"/>
      <c r="Z159" s="5000" t="s">
        <v>220</v>
      </c>
      <c r="AA159" s="5000"/>
      <c r="AB159" s="5000"/>
      <c r="AC159" s="4919"/>
      <c r="AD159" s="5004">
        <v>0</v>
      </c>
      <c r="AE159" s="5000"/>
      <c r="AF159" s="5005"/>
    </row>
    <row r="160" spans="1:32" ht="18" customHeight="1">
      <c r="A160" s="4998" t="s">
        <v>235</v>
      </c>
      <c r="B160" s="4920" t="s">
        <v>230</v>
      </c>
      <c r="C160" s="5000"/>
      <c r="D160" s="5000"/>
      <c r="E160" s="5001"/>
      <c r="F160" s="4920" t="s">
        <v>230</v>
      </c>
      <c r="G160" s="5000"/>
      <c r="H160" s="5000"/>
      <c r="I160" s="5001"/>
      <c r="J160" s="4920" t="s">
        <v>230</v>
      </c>
      <c r="K160" s="5000"/>
      <c r="L160" s="5000"/>
      <c r="M160" s="5001"/>
      <c r="N160" s="4920" t="s">
        <v>230</v>
      </c>
      <c r="O160" s="5000"/>
      <c r="P160" s="5000"/>
      <c r="Q160" s="5001"/>
      <c r="R160" s="4920" t="s">
        <v>230</v>
      </c>
      <c r="S160" s="5000"/>
      <c r="T160" s="5000"/>
      <c r="U160" s="5001"/>
      <c r="V160" s="4920" t="s">
        <v>236</v>
      </c>
      <c r="W160" s="5007"/>
      <c r="X160" s="5007"/>
      <c r="Y160" s="4925"/>
      <c r="Z160" s="4920" t="s">
        <v>236</v>
      </c>
      <c r="AA160" s="5007"/>
      <c r="AB160" s="5007"/>
      <c r="AC160" s="4924"/>
      <c r="AD160" s="5004">
        <v>68</v>
      </c>
      <c r="AE160" s="5000"/>
      <c r="AF160" s="5005"/>
    </row>
    <row r="161" spans="1:32" ht="18" customHeight="1" thickBot="1">
      <c r="A161" s="4998"/>
      <c r="B161" s="5037" t="s">
        <v>220</v>
      </c>
      <c r="C161" s="5038"/>
      <c r="D161" s="5038"/>
      <c r="E161" s="5039"/>
      <c r="F161" s="5037" t="s">
        <v>220</v>
      </c>
      <c r="G161" s="5038"/>
      <c r="H161" s="5038"/>
      <c r="I161" s="5039"/>
      <c r="J161" s="5037" t="s">
        <v>220</v>
      </c>
      <c r="K161" s="5038"/>
      <c r="L161" s="5038"/>
      <c r="M161" s="5039"/>
      <c r="N161" s="5037" t="s">
        <v>220</v>
      </c>
      <c r="O161" s="5038"/>
      <c r="P161" s="5038"/>
      <c r="Q161" s="5039"/>
      <c r="R161" s="5037" t="s">
        <v>220</v>
      </c>
      <c r="S161" s="5038"/>
      <c r="T161" s="5038"/>
      <c r="U161" s="5040"/>
      <c r="V161" s="5037" t="s">
        <v>220</v>
      </c>
      <c r="W161" s="5040"/>
      <c r="X161" s="5038"/>
      <c r="Y161" s="5039"/>
      <c r="Z161" s="5037" t="s">
        <v>220</v>
      </c>
      <c r="AA161" s="5040"/>
      <c r="AB161" s="5038"/>
      <c r="AC161" s="5039"/>
      <c r="AD161" s="5041">
        <v>0</v>
      </c>
      <c r="AE161" s="5038"/>
      <c r="AF161" s="5018"/>
    </row>
    <row r="162" spans="1:32" ht="18" customHeight="1" thickBot="1">
      <c r="A162" s="100"/>
      <c r="B162" s="1222"/>
      <c r="C162" s="1222"/>
      <c r="D162" s="1222"/>
      <c r="E162" s="1222"/>
      <c r="F162" s="1222"/>
      <c r="G162" s="1222"/>
      <c r="H162" s="1222"/>
      <c r="I162" s="1222"/>
      <c r="J162" s="1222"/>
      <c r="K162" s="1222"/>
      <c r="L162" s="1222"/>
      <c r="M162" s="1222"/>
      <c r="N162" s="1222"/>
      <c r="O162" s="1222"/>
      <c r="P162" s="1222"/>
      <c r="Q162" s="1222"/>
      <c r="R162" s="1222"/>
      <c r="S162" s="1222"/>
      <c r="T162" s="1222"/>
      <c r="U162" s="1222"/>
      <c r="V162" s="1222"/>
      <c r="W162" s="1222"/>
      <c r="X162" s="1222"/>
      <c r="Y162" s="1222"/>
      <c r="Z162" s="1222"/>
      <c r="AA162" s="1222"/>
      <c r="AB162" s="1222"/>
      <c r="AC162" s="1222"/>
      <c r="AD162" s="1222"/>
      <c r="AE162" s="1222"/>
      <c r="AF162" s="1194"/>
    </row>
    <row r="163" spans="1:32" ht="18" customHeight="1">
      <c r="A163" s="371" t="s">
        <v>228</v>
      </c>
      <c r="B163" s="1227">
        <v>1</v>
      </c>
      <c r="C163" s="1228">
        <v>2</v>
      </c>
      <c r="D163" s="1227">
        <v>3</v>
      </c>
      <c r="E163" s="1227">
        <v>4</v>
      </c>
      <c r="F163" s="1228">
        <v>5</v>
      </c>
      <c r="G163" s="1228">
        <v>6</v>
      </c>
      <c r="H163" s="1228">
        <v>7</v>
      </c>
      <c r="I163" s="1228">
        <v>8</v>
      </c>
      <c r="J163" s="1228">
        <v>9</v>
      </c>
      <c r="K163" s="1227">
        <v>10</v>
      </c>
      <c r="L163" s="1227">
        <v>11</v>
      </c>
      <c r="M163" s="1228">
        <v>12</v>
      </c>
      <c r="N163" s="1228">
        <v>13</v>
      </c>
      <c r="O163" s="1228">
        <v>14</v>
      </c>
      <c r="P163" s="1228">
        <v>15</v>
      </c>
      <c r="Q163" s="1228">
        <v>16</v>
      </c>
      <c r="R163" s="1227">
        <v>17</v>
      </c>
      <c r="S163" s="1227">
        <v>18</v>
      </c>
      <c r="T163" s="1228">
        <v>19</v>
      </c>
      <c r="U163" s="1228">
        <v>20</v>
      </c>
      <c r="V163" s="1228">
        <v>21</v>
      </c>
      <c r="W163" s="1228">
        <v>22</v>
      </c>
      <c r="X163" s="1228">
        <v>23</v>
      </c>
      <c r="Y163" s="1227">
        <v>24</v>
      </c>
      <c r="Z163" s="1227">
        <v>25</v>
      </c>
      <c r="AA163" s="1228">
        <v>26</v>
      </c>
      <c r="AB163" s="1228">
        <v>27</v>
      </c>
      <c r="AC163" s="1228">
        <v>28</v>
      </c>
      <c r="AD163" s="1228">
        <v>29</v>
      </c>
      <c r="AE163" s="1228">
        <v>30</v>
      </c>
      <c r="AF163" s="1229">
        <v>31</v>
      </c>
    </row>
    <row r="164" spans="1:32" ht="18" customHeight="1">
      <c r="A164" s="364" t="s">
        <v>237</v>
      </c>
      <c r="B164" s="1107">
        <v>22</v>
      </c>
      <c r="C164" s="1230">
        <v>22</v>
      </c>
      <c r="D164" s="1230">
        <v>22</v>
      </c>
      <c r="E164" s="1230">
        <v>22</v>
      </c>
      <c r="F164" s="1231" t="s">
        <v>46</v>
      </c>
      <c r="G164" s="1107" t="s">
        <v>46</v>
      </c>
      <c r="H164" s="1107" t="s">
        <v>46</v>
      </c>
      <c r="I164" s="1107" t="s">
        <v>46</v>
      </c>
      <c r="J164" s="1232" t="s">
        <v>46</v>
      </c>
      <c r="K164" s="1232"/>
      <c r="L164" s="1232"/>
      <c r="M164" s="1231">
        <v>23</v>
      </c>
      <c r="N164" s="1231">
        <v>23</v>
      </c>
      <c r="O164" s="1231">
        <v>23</v>
      </c>
      <c r="P164" s="1231">
        <v>23</v>
      </c>
      <c r="Q164" s="1231">
        <v>23</v>
      </c>
      <c r="R164" s="1453">
        <v>23</v>
      </c>
      <c r="S164" s="1231">
        <v>23</v>
      </c>
      <c r="T164" s="1212" t="s">
        <v>46</v>
      </c>
      <c r="U164" s="1107" t="s">
        <v>46</v>
      </c>
      <c r="V164" s="1081" t="s">
        <v>46</v>
      </c>
      <c r="W164" s="1081" t="s">
        <v>46</v>
      </c>
      <c r="X164" s="1081" t="s">
        <v>46</v>
      </c>
      <c r="Y164" s="1081"/>
      <c r="Z164" s="1081"/>
      <c r="AA164" s="1081">
        <v>21</v>
      </c>
      <c r="AB164" s="1076">
        <v>21</v>
      </c>
      <c r="AC164" s="1076">
        <v>21</v>
      </c>
      <c r="AD164" s="1076">
        <v>21</v>
      </c>
      <c r="AE164" s="1081">
        <v>21</v>
      </c>
      <c r="AF164" s="1233">
        <v>21</v>
      </c>
    </row>
    <row r="165" spans="1:32" ht="18" customHeight="1">
      <c r="A165" s="364" t="s">
        <v>238</v>
      </c>
      <c r="B165" s="1107">
        <v>23</v>
      </c>
      <c r="C165" s="1081">
        <v>23</v>
      </c>
      <c r="D165" s="1083">
        <v>23</v>
      </c>
      <c r="E165" s="1076">
        <v>23</v>
      </c>
      <c r="F165" s="1234" t="s">
        <v>46</v>
      </c>
      <c r="G165" s="1234" t="s">
        <v>46</v>
      </c>
      <c r="H165" s="1234" t="s">
        <v>46</v>
      </c>
      <c r="I165" s="1234" t="s">
        <v>46</v>
      </c>
      <c r="J165" s="1232" t="s">
        <v>46</v>
      </c>
      <c r="K165" s="1232"/>
      <c r="L165" s="1232"/>
      <c r="M165" s="1231">
        <v>21</v>
      </c>
      <c r="N165" s="1231">
        <v>21</v>
      </c>
      <c r="O165" s="1231">
        <v>21</v>
      </c>
      <c r="P165" s="1231">
        <v>21</v>
      </c>
      <c r="Q165" s="1107">
        <v>21</v>
      </c>
      <c r="R165" s="1152">
        <v>21</v>
      </c>
      <c r="S165" s="1234">
        <v>21</v>
      </c>
      <c r="T165" s="1212" t="s">
        <v>46</v>
      </c>
      <c r="U165" s="1234" t="s">
        <v>46</v>
      </c>
      <c r="V165" s="1076" t="s">
        <v>46</v>
      </c>
      <c r="W165" s="1076" t="s">
        <v>46</v>
      </c>
      <c r="X165" s="1081" t="s">
        <v>46</v>
      </c>
      <c r="Y165" s="1081"/>
      <c r="Z165" s="1081"/>
      <c r="AA165" s="1081">
        <v>22</v>
      </c>
      <c r="AB165" s="1076">
        <v>22</v>
      </c>
      <c r="AC165" s="1076">
        <v>22</v>
      </c>
      <c r="AD165" s="1076">
        <v>22</v>
      </c>
      <c r="AE165" s="1076">
        <v>22</v>
      </c>
      <c r="AF165" s="1235">
        <v>22</v>
      </c>
    </row>
    <row r="166" spans="1:32" ht="18" customHeight="1">
      <c r="A166" s="364" t="s">
        <v>239</v>
      </c>
      <c r="B166" s="1107">
        <v>21</v>
      </c>
      <c r="C166" s="1236">
        <v>21</v>
      </c>
      <c r="D166" s="1236">
        <v>21</v>
      </c>
      <c r="E166" s="1236">
        <v>21</v>
      </c>
      <c r="F166" s="1231" t="s">
        <v>46</v>
      </c>
      <c r="G166" s="1231" t="s">
        <v>46</v>
      </c>
      <c r="H166" s="1107" t="s">
        <v>46</v>
      </c>
      <c r="I166" s="1107" t="s">
        <v>46</v>
      </c>
      <c r="J166" s="1232" t="s">
        <v>46</v>
      </c>
      <c r="K166" s="1232"/>
      <c r="L166" s="1232"/>
      <c r="M166" s="1231">
        <v>22</v>
      </c>
      <c r="N166" s="1236">
        <v>22</v>
      </c>
      <c r="O166" s="1236">
        <v>22</v>
      </c>
      <c r="P166" s="1236">
        <v>22</v>
      </c>
      <c r="Q166" s="1132">
        <v>22</v>
      </c>
      <c r="R166" s="1131">
        <v>22</v>
      </c>
      <c r="S166" s="1107">
        <v>22</v>
      </c>
      <c r="T166" s="1212" t="s">
        <v>46</v>
      </c>
      <c r="U166" s="1107" t="s">
        <v>46</v>
      </c>
      <c r="V166" s="1081" t="s">
        <v>46</v>
      </c>
      <c r="W166" s="1081" t="s">
        <v>46</v>
      </c>
      <c r="X166" s="1081" t="s">
        <v>46</v>
      </c>
      <c r="Y166" s="1081"/>
      <c r="Z166" s="1081"/>
      <c r="AA166" s="1081">
        <v>23</v>
      </c>
      <c r="AB166" s="1076">
        <v>23</v>
      </c>
      <c r="AC166" s="1076">
        <v>23</v>
      </c>
      <c r="AD166" s="1076">
        <v>23</v>
      </c>
      <c r="AE166" s="1081">
        <v>23</v>
      </c>
      <c r="AF166" s="1233">
        <v>23</v>
      </c>
    </row>
    <row r="167" spans="1:32" ht="18" customHeight="1">
      <c r="A167" s="1282" t="s">
        <v>240</v>
      </c>
      <c r="B167" s="1107" t="s">
        <v>46</v>
      </c>
      <c r="C167" s="1232" t="s">
        <v>46</v>
      </c>
      <c r="D167" s="1232"/>
      <c r="E167" s="1232"/>
      <c r="F167" s="1231">
        <v>22</v>
      </c>
      <c r="G167" s="1231">
        <v>22</v>
      </c>
      <c r="H167" s="1231">
        <v>22</v>
      </c>
      <c r="I167" s="1231">
        <v>22</v>
      </c>
      <c r="J167" s="1231">
        <v>22</v>
      </c>
      <c r="K167" s="1231">
        <v>22</v>
      </c>
      <c r="L167" s="1231">
        <v>22</v>
      </c>
      <c r="M167" s="1231" t="s">
        <v>46</v>
      </c>
      <c r="N167" s="1231" t="s">
        <v>46</v>
      </c>
      <c r="O167" s="1107" t="s">
        <v>46</v>
      </c>
      <c r="P167" s="1107" t="s">
        <v>46</v>
      </c>
      <c r="Q167" s="1237" t="s">
        <v>46</v>
      </c>
      <c r="R167" s="1237"/>
      <c r="S167" s="1107"/>
      <c r="T167" s="1238">
        <v>23</v>
      </c>
      <c r="U167" s="1084">
        <v>23</v>
      </c>
      <c r="V167" s="1084">
        <v>23</v>
      </c>
      <c r="W167" s="1084">
        <v>23</v>
      </c>
      <c r="X167" s="1084">
        <v>23</v>
      </c>
      <c r="Y167" s="1084">
        <v>23</v>
      </c>
      <c r="Z167" s="1084">
        <v>23</v>
      </c>
      <c r="AA167" s="1080" t="s">
        <v>46</v>
      </c>
      <c r="AB167" s="1081" t="s">
        <v>46</v>
      </c>
      <c r="AC167" s="1081" t="s">
        <v>46</v>
      </c>
      <c r="AD167" s="1081" t="s">
        <v>46</v>
      </c>
      <c r="AE167" s="1081" t="s">
        <v>46</v>
      </c>
      <c r="AF167" s="1233" t="s">
        <v>46</v>
      </c>
    </row>
    <row r="168" spans="1:32" ht="18" customHeight="1">
      <c r="A168" s="1282" t="s">
        <v>242</v>
      </c>
      <c r="B168" s="1231" t="s">
        <v>46</v>
      </c>
      <c r="C168" s="1151" t="s">
        <v>46</v>
      </c>
      <c r="D168" s="1151"/>
      <c r="E168" s="1151"/>
      <c r="F168" s="1151">
        <v>23</v>
      </c>
      <c r="G168" s="1151">
        <v>23</v>
      </c>
      <c r="H168" s="1129">
        <v>23</v>
      </c>
      <c r="I168" s="1129">
        <v>23</v>
      </c>
      <c r="J168" s="1129">
        <v>23</v>
      </c>
      <c r="K168" s="1152">
        <v>23</v>
      </c>
      <c r="L168" s="1107">
        <v>23</v>
      </c>
      <c r="M168" s="1107" t="s">
        <v>46</v>
      </c>
      <c r="N168" s="1107" t="s">
        <v>46</v>
      </c>
      <c r="O168" s="1107" t="s">
        <v>46</v>
      </c>
      <c r="P168" s="1107" t="s">
        <v>46</v>
      </c>
      <c r="Q168" s="1237" t="s">
        <v>46</v>
      </c>
      <c r="R168" s="1237"/>
      <c r="S168" s="1107"/>
      <c r="T168" s="1212">
        <v>21</v>
      </c>
      <c r="U168" s="1234">
        <v>21</v>
      </c>
      <c r="V168" s="1083">
        <v>21</v>
      </c>
      <c r="W168" s="1081">
        <v>21</v>
      </c>
      <c r="X168" s="1081">
        <v>21</v>
      </c>
      <c r="Y168" s="1107">
        <v>21</v>
      </c>
      <c r="Z168" s="1107">
        <v>21</v>
      </c>
      <c r="AA168" s="1076" t="s">
        <v>46</v>
      </c>
      <c r="AB168" s="1076" t="s">
        <v>46</v>
      </c>
      <c r="AC168" s="1076" t="s">
        <v>46</v>
      </c>
      <c r="AD168" s="1076" t="s">
        <v>46</v>
      </c>
      <c r="AE168" s="1081" t="s">
        <v>46</v>
      </c>
      <c r="AF168" s="1233" t="s">
        <v>46</v>
      </c>
    </row>
    <row r="169" spans="1:32" ht="18" customHeight="1" thickBot="1">
      <c r="A169" s="401"/>
      <c r="B169" s="1110" t="s">
        <v>46</v>
      </c>
      <c r="C169" s="1175" t="s">
        <v>46</v>
      </c>
      <c r="D169" s="1175"/>
      <c r="E169" s="1175"/>
      <c r="F169" s="1153">
        <v>21</v>
      </c>
      <c r="G169" s="1153">
        <v>21</v>
      </c>
      <c r="H169" s="1153">
        <v>21</v>
      </c>
      <c r="I169" s="1153">
        <v>21</v>
      </c>
      <c r="J169" s="1153">
        <v>21</v>
      </c>
      <c r="K169" s="1153">
        <v>21</v>
      </c>
      <c r="L169" s="1153">
        <v>21</v>
      </c>
      <c r="M169" s="1110" t="s">
        <v>46</v>
      </c>
      <c r="N169" s="1110" t="s">
        <v>46</v>
      </c>
      <c r="O169" s="1110" t="s">
        <v>46</v>
      </c>
      <c r="P169" s="1110" t="s">
        <v>46</v>
      </c>
      <c r="Q169" s="1239" t="s">
        <v>46</v>
      </c>
      <c r="R169" s="1239"/>
      <c r="S169" s="1110"/>
      <c r="T169" s="1212">
        <v>22</v>
      </c>
      <c r="U169" s="1150">
        <v>22</v>
      </c>
      <c r="V169" s="1104">
        <v>22</v>
      </c>
      <c r="W169" s="1105">
        <v>22</v>
      </c>
      <c r="X169" s="1105">
        <v>22</v>
      </c>
      <c r="Y169" s="1104">
        <v>22</v>
      </c>
      <c r="Z169" s="1105">
        <v>22</v>
      </c>
      <c r="AA169" s="1105" t="s">
        <v>46</v>
      </c>
      <c r="AB169" s="1105" t="s">
        <v>46</v>
      </c>
      <c r="AC169" s="1105" t="s">
        <v>46</v>
      </c>
      <c r="AD169" s="1105" t="s">
        <v>46</v>
      </c>
      <c r="AE169" s="1105" t="s">
        <v>46</v>
      </c>
      <c r="AF169" s="1240" t="s">
        <v>46</v>
      </c>
    </row>
    <row r="170" spans="1:32" ht="18" customHeight="1" thickBot="1">
      <c r="C170" s="1113"/>
      <c r="D170" s="1113"/>
      <c r="E170" s="1113"/>
      <c r="F170" s="63"/>
      <c r="G170" s="1113"/>
      <c r="H170" s="1113"/>
      <c r="I170" s="1113"/>
      <c r="J170" s="1113"/>
      <c r="K170" s="1113"/>
      <c r="L170" s="1113"/>
      <c r="M170" s="1113"/>
      <c r="N170" s="1113"/>
      <c r="O170" s="1113"/>
      <c r="P170" s="1113"/>
      <c r="Q170" s="1113"/>
      <c r="R170" s="1113"/>
      <c r="S170" s="1113"/>
      <c r="T170" s="1113"/>
      <c r="U170" s="1113"/>
      <c r="V170" s="1113"/>
      <c r="W170" s="1113"/>
      <c r="X170" s="1113"/>
      <c r="Y170" s="1113"/>
      <c r="Z170" s="1113"/>
      <c r="AA170" s="1113"/>
      <c r="AB170" s="1113"/>
      <c r="AC170" s="1113"/>
      <c r="AD170" s="1113"/>
      <c r="AE170" s="1113"/>
    </row>
    <row r="171" spans="1:32" ht="18" customHeight="1">
      <c r="A171" s="2764" t="s">
        <v>636</v>
      </c>
      <c r="B171" s="4966"/>
      <c r="C171" s="4993" t="s">
        <v>19</v>
      </c>
      <c r="D171" s="4841"/>
      <c r="E171" s="4970"/>
      <c r="F171" s="4966"/>
      <c r="G171" s="4993" t="s">
        <v>20</v>
      </c>
      <c r="H171" s="4841"/>
      <c r="I171" s="4970"/>
      <c r="J171" s="4966"/>
      <c r="K171" s="4993" t="s">
        <v>21</v>
      </c>
      <c r="L171" s="4841"/>
      <c r="M171" s="4970"/>
      <c r="N171" s="4966"/>
      <c r="O171" s="4993" t="s">
        <v>22</v>
      </c>
      <c r="P171" s="4841"/>
      <c r="Q171" s="4970"/>
      <c r="R171" s="4966"/>
      <c r="S171" s="4993" t="s">
        <v>23</v>
      </c>
      <c r="T171" s="4841"/>
      <c r="U171" s="4970"/>
      <c r="V171" s="4966"/>
      <c r="W171" s="4993" t="s">
        <v>24</v>
      </c>
      <c r="X171" s="4841"/>
      <c r="Y171" s="4970"/>
      <c r="Z171" s="4966"/>
      <c r="AA171" s="4993" t="s">
        <v>25</v>
      </c>
      <c r="AB171" s="4841"/>
      <c r="AC171" s="4841"/>
      <c r="AD171" s="4996" t="s">
        <v>108</v>
      </c>
      <c r="AE171" s="4841"/>
      <c r="AF171" s="5042"/>
    </row>
    <row r="172" spans="1:32" ht="18" customHeight="1">
      <c r="A172" s="4998" t="s">
        <v>210</v>
      </c>
      <c r="B172" s="4920" t="s">
        <v>211</v>
      </c>
      <c r="C172" s="4846"/>
      <c r="D172" s="4846"/>
      <c r="E172" s="5001"/>
      <c r="F172" s="4920" t="s">
        <v>211</v>
      </c>
      <c r="G172" s="4846"/>
      <c r="H172" s="4846"/>
      <c r="I172" s="5001"/>
      <c r="J172" s="4920" t="s">
        <v>211</v>
      </c>
      <c r="K172" s="4846"/>
      <c r="L172" s="4846"/>
      <c r="M172" s="5001"/>
      <c r="N172" s="4920" t="s">
        <v>245</v>
      </c>
      <c r="O172" s="4846"/>
      <c r="P172" s="4846"/>
      <c r="Q172" s="5001"/>
      <c r="R172" s="4920" t="s">
        <v>220</v>
      </c>
      <c r="S172" s="4846"/>
      <c r="T172" s="4846"/>
      <c r="U172" s="5001"/>
      <c r="V172" s="5043"/>
      <c r="W172" s="5044"/>
      <c r="X172" s="5044"/>
      <c r="Y172" s="5003"/>
      <c r="Z172" s="4999"/>
      <c r="AA172" s="4846"/>
      <c r="AB172" s="4846"/>
      <c r="AC172" s="4919"/>
      <c r="AD172" s="5004">
        <v>27</v>
      </c>
      <c r="AE172" s="4846"/>
      <c r="AF172" s="5045"/>
    </row>
    <row r="173" spans="1:32" ht="18" customHeight="1">
      <c r="A173" s="4998" t="s">
        <v>212</v>
      </c>
      <c r="B173" s="4920" t="s">
        <v>246</v>
      </c>
      <c r="C173" s="4846"/>
      <c r="D173" s="4846"/>
      <c r="E173" s="5001"/>
      <c r="F173" s="4920" t="s">
        <v>246</v>
      </c>
      <c r="G173" s="4846"/>
      <c r="H173" s="4846"/>
      <c r="I173" s="5001"/>
      <c r="J173" s="4920" t="s">
        <v>246</v>
      </c>
      <c r="K173" s="4846"/>
      <c r="L173" s="4846"/>
      <c r="M173" s="5001"/>
      <c r="N173" s="4920" t="s">
        <v>246</v>
      </c>
      <c r="O173" s="4846"/>
      <c r="P173" s="4846"/>
      <c r="Q173" s="5001"/>
      <c r="R173" s="4920" t="s">
        <v>211</v>
      </c>
      <c r="S173" s="4846"/>
      <c r="T173" s="4846"/>
      <c r="U173" s="5001"/>
      <c r="V173" s="4920"/>
      <c r="W173" s="4846"/>
      <c r="X173" s="4846"/>
      <c r="Y173" s="5001"/>
      <c r="Z173" s="4846"/>
      <c r="AA173" s="4846"/>
      <c r="AB173" s="4846"/>
      <c r="AC173" s="4919"/>
      <c r="AD173" s="5004">
        <v>39</v>
      </c>
      <c r="AE173" s="4846"/>
      <c r="AF173" s="5045"/>
    </row>
    <row r="174" spans="1:32" ht="18" customHeight="1">
      <c r="A174" s="4998" t="s">
        <v>214</v>
      </c>
      <c r="B174" s="4920" t="s">
        <v>246</v>
      </c>
      <c r="C174" s="4846"/>
      <c r="D174" s="4846"/>
      <c r="E174" s="5001"/>
      <c r="F174" s="4920" t="s">
        <v>246</v>
      </c>
      <c r="G174" s="4846"/>
      <c r="H174" s="4846"/>
      <c r="I174" s="5001"/>
      <c r="J174" s="4920" t="s">
        <v>246</v>
      </c>
      <c r="K174" s="4846"/>
      <c r="L174" s="4846"/>
      <c r="M174" s="5001"/>
      <c r="N174" s="4920" t="s">
        <v>246</v>
      </c>
      <c r="O174" s="4846"/>
      <c r="P174" s="4846"/>
      <c r="Q174" s="5001"/>
      <c r="R174" s="4920" t="s">
        <v>246</v>
      </c>
      <c r="S174" s="4846"/>
      <c r="T174" s="4846"/>
      <c r="U174" s="5001"/>
      <c r="V174" s="4923" t="s">
        <v>217</v>
      </c>
      <c r="W174" s="4843"/>
      <c r="X174" s="4843"/>
      <c r="Y174" s="4925"/>
      <c r="Z174" s="5006"/>
      <c r="AA174" s="4843"/>
      <c r="AB174" s="4843"/>
      <c r="AC174" s="4924"/>
      <c r="AD174" s="5004">
        <v>45</v>
      </c>
      <c r="AE174" s="4846"/>
      <c r="AF174" s="5045"/>
    </row>
    <row r="175" spans="1:32" ht="18" customHeight="1" thickBot="1">
      <c r="A175" s="1484" t="s">
        <v>218</v>
      </c>
      <c r="B175" s="5037"/>
      <c r="C175" s="4856"/>
      <c r="D175" s="4856"/>
      <c r="E175" s="5039"/>
      <c r="F175" s="5037"/>
      <c r="G175" s="4856"/>
      <c r="H175" s="4856"/>
      <c r="I175" s="5039"/>
      <c r="J175" s="5037"/>
      <c r="K175" s="4856"/>
      <c r="L175" s="4856"/>
      <c r="M175" s="5039"/>
      <c r="N175" s="5037"/>
      <c r="O175" s="4856"/>
      <c r="P175" s="4856"/>
      <c r="Q175" s="5039"/>
      <c r="R175" s="5037"/>
      <c r="S175" s="4856"/>
      <c r="T175" s="4856"/>
      <c r="U175" s="5040"/>
      <c r="V175" s="5037"/>
      <c r="W175" s="5040"/>
      <c r="X175" s="4856"/>
      <c r="Y175" s="5039"/>
      <c r="Z175" s="5037"/>
      <c r="AA175" s="5040"/>
      <c r="AB175" s="4856"/>
      <c r="AC175" s="5039"/>
      <c r="AD175" s="5046"/>
      <c r="AE175" s="4856"/>
      <c r="AF175" s="5047"/>
    </row>
    <row r="176" spans="1:32" ht="18" customHeight="1" thickBot="1">
      <c r="A176" s="1"/>
      <c r="B176" s="1113"/>
      <c r="C176" s="1113"/>
      <c r="D176" s="1113"/>
      <c r="E176" s="1113"/>
      <c r="F176" s="1113"/>
      <c r="G176" s="1113"/>
      <c r="H176" s="1113"/>
      <c r="I176" s="1113"/>
      <c r="J176" s="1113"/>
      <c r="K176" s="1113"/>
      <c r="L176" s="1113"/>
      <c r="M176" s="1113"/>
      <c r="N176" s="1113"/>
      <c r="O176" s="1113"/>
      <c r="P176" s="1113"/>
      <c r="Q176" s="1113"/>
      <c r="R176" s="1113"/>
      <c r="S176" s="1113"/>
      <c r="T176" s="1113"/>
      <c r="U176" s="1113"/>
      <c r="V176" s="1113"/>
      <c r="W176" s="1113"/>
      <c r="X176" s="1113"/>
      <c r="Y176" s="1113"/>
      <c r="Z176" s="1113"/>
      <c r="AA176" s="1113"/>
      <c r="AB176" s="1113"/>
      <c r="AC176" s="1113"/>
      <c r="AD176" s="1113"/>
      <c r="AE176" s="1113"/>
    </row>
    <row r="177" spans="1:32" ht="18" customHeight="1" thickBot="1">
      <c r="A177" s="363" t="s">
        <v>609</v>
      </c>
      <c r="B177" s="1241">
        <v>1</v>
      </c>
      <c r="C177" s="1068">
        <v>2</v>
      </c>
      <c r="D177" s="1067">
        <v>3</v>
      </c>
      <c r="E177" s="1067">
        <v>4</v>
      </c>
      <c r="F177" s="1068">
        <v>5</v>
      </c>
      <c r="G177" s="1068">
        <v>6</v>
      </c>
      <c r="H177" s="1068">
        <v>7</v>
      </c>
      <c r="I177" s="1068">
        <v>8</v>
      </c>
      <c r="J177" s="1068">
        <v>9</v>
      </c>
      <c r="K177" s="1067">
        <v>10</v>
      </c>
      <c r="L177" s="1067">
        <v>11</v>
      </c>
      <c r="M177" s="1068">
        <v>12</v>
      </c>
      <c r="N177" s="1068">
        <v>13</v>
      </c>
      <c r="O177" s="1068">
        <v>14</v>
      </c>
      <c r="P177" s="1068">
        <v>15</v>
      </c>
      <c r="Q177" s="1068">
        <v>16</v>
      </c>
      <c r="R177" s="1067">
        <v>17</v>
      </c>
      <c r="S177" s="1067">
        <v>18</v>
      </c>
      <c r="T177" s="1068">
        <v>19</v>
      </c>
      <c r="U177" s="1068">
        <v>20</v>
      </c>
      <c r="V177" s="1068">
        <v>21</v>
      </c>
      <c r="W177" s="1068">
        <v>22</v>
      </c>
      <c r="X177" s="1068">
        <v>23</v>
      </c>
      <c r="Y177" s="1067">
        <v>24</v>
      </c>
      <c r="Z177" s="1067">
        <v>25</v>
      </c>
      <c r="AA177" s="1068">
        <v>26</v>
      </c>
      <c r="AB177" s="1068">
        <v>27</v>
      </c>
      <c r="AC177" s="1068">
        <v>28</v>
      </c>
      <c r="AD177" s="1068">
        <v>29</v>
      </c>
      <c r="AE177" s="1068">
        <v>30</v>
      </c>
      <c r="AF177" s="1069">
        <v>31</v>
      </c>
    </row>
    <row r="178" spans="1:32" ht="18" customHeight="1">
      <c r="A178" s="1283" t="s">
        <v>247</v>
      </c>
      <c r="B178" s="2987"/>
      <c r="C178" s="2987" t="s">
        <v>40</v>
      </c>
      <c r="D178" s="2987" t="s">
        <v>248</v>
      </c>
      <c r="E178" s="2987"/>
      <c r="F178" s="2987" t="s">
        <v>40</v>
      </c>
      <c r="G178" s="2987" t="s">
        <v>40</v>
      </c>
      <c r="H178" s="2987" t="s">
        <v>40</v>
      </c>
      <c r="I178" s="2987" t="s">
        <v>40</v>
      </c>
      <c r="J178" s="2987" t="s">
        <v>40</v>
      </c>
      <c r="K178" s="4788"/>
      <c r="L178" s="2987"/>
      <c r="M178" s="2987" t="s">
        <v>40</v>
      </c>
      <c r="N178" s="2987" t="s">
        <v>40</v>
      </c>
      <c r="O178" s="2987" t="s">
        <v>40</v>
      </c>
      <c r="P178" s="2987" t="s">
        <v>40</v>
      </c>
      <c r="Q178" s="2987" t="s">
        <v>40</v>
      </c>
      <c r="R178" s="2987"/>
      <c r="S178" s="2987"/>
      <c r="T178" s="2987" t="s">
        <v>40</v>
      </c>
      <c r="U178" s="4788" t="s">
        <v>40</v>
      </c>
      <c r="V178" s="2987" t="s">
        <v>40</v>
      </c>
      <c r="W178" s="2987" t="s">
        <v>40</v>
      </c>
      <c r="X178" s="2987" t="s">
        <v>40</v>
      </c>
      <c r="Y178" s="2987" t="s">
        <v>248</v>
      </c>
      <c r="Z178" s="2987"/>
      <c r="AA178" s="2987" t="s">
        <v>40</v>
      </c>
      <c r="AB178" s="2987" t="s">
        <v>40</v>
      </c>
      <c r="AC178" s="2987" t="s">
        <v>40</v>
      </c>
      <c r="AD178" s="2987" t="s">
        <v>40</v>
      </c>
      <c r="AE178" s="2987" t="s">
        <v>40</v>
      </c>
      <c r="AF178" s="5048"/>
    </row>
    <row r="179" spans="1:32" ht="18" customHeight="1">
      <c r="A179" s="5049" t="s">
        <v>249</v>
      </c>
      <c r="B179" s="4811"/>
      <c r="C179" s="4811" t="s">
        <v>46</v>
      </c>
      <c r="D179" s="4811"/>
      <c r="E179" s="4811"/>
      <c r="F179" s="4811" t="s">
        <v>250</v>
      </c>
      <c r="G179" s="4811" t="s">
        <v>250</v>
      </c>
      <c r="H179" s="4811" t="s">
        <v>250</v>
      </c>
      <c r="I179" s="4811" t="s">
        <v>250</v>
      </c>
      <c r="J179" s="4811" t="s">
        <v>250</v>
      </c>
      <c r="K179" s="4811"/>
      <c r="L179" s="4811"/>
      <c r="M179" s="4811" t="s">
        <v>248</v>
      </c>
      <c r="N179" s="4811" t="s">
        <v>248</v>
      </c>
      <c r="O179" s="4811" t="s">
        <v>248</v>
      </c>
      <c r="P179" s="4811" t="s">
        <v>248</v>
      </c>
      <c r="Q179" s="4811" t="s">
        <v>248</v>
      </c>
      <c r="R179" s="4811" t="s">
        <v>248</v>
      </c>
      <c r="S179" s="4811"/>
      <c r="T179" s="4811" t="s">
        <v>251</v>
      </c>
      <c r="U179" s="4811" t="s">
        <v>251</v>
      </c>
      <c r="V179" s="4811" t="s">
        <v>251</v>
      </c>
      <c r="W179" s="4811" t="s">
        <v>251</v>
      </c>
      <c r="X179" s="4811" t="s">
        <v>46</v>
      </c>
      <c r="Y179" s="4811"/>
      <c r="Z179" s="4811"/>
      <c r="AA179" s="5024" t="s">
        <v>250</v>
      </c>
      <c r="AB179" s="4811" t="s">
        <v>250</v>
      </c>
      <c r="AC179" s="4811" t="s">
        <v>250</v>
      </c>
      <c r="AD179" s="4811" t="s">
        <v>250</v>
      </c>
      <c r="AE179" s="4811" t="s">
        <v>250</v>
      </c>
      <c r="AF179" s="4820"/>
    </row>
    <row r="180" spans="1:32" ht="18" customHeight="1">
      <c r="A180" s="5050" t="s">
        <v>512</v>
      </c>
      <c r="B180" s="4811"/>
      <c r="C180" s="4811" t="s">
        <v>250</v>
      </c>
      <c r="D180" s="4794"/>
      <c r="E180" s="4811"/>
      <c r="F180" s="4811" t="s">
        <v>248</v>
      </c>
      <c r="G180" s="4794" t="s">
        <v>248</v>
      </c>
      <c r="H180" s="4794" t="s">
        <v>248</v>
      </c>
      <c r="I180" s="4811" t="s">
        <v>248</v>
      </c>
      <c r="J180" s="4811" t="s">
        <v>248</v>
      </c>
      <c r="K180" s="4811" t="s">
        <v>248</v>
      </c>
      <c r="L180" s="4811"/>
      <c r="M180" s="4811" t="s">
        <v>251</v>
      </c>
      <c r="N180" s="4811" t="s">
        <v>251</v>
      </c>
      <c r="O180" s="4811" t="s">
        <v>251</v>
      </c>
      <c r="P180" s="4811" t="s">
        <v>251</v>
      </c>
      <c r="Q180" s="4811" t="s">
        <v>46</v>
      </c>
      <c r="R180" s="4794"/>
      <c r="S180" s="4794"/>
      <c r="T180" s="4811" t="s">
        <v>250</v>
      </c>
      <c r="U180" s="4811" t="s">
        <v>250</v>
      </c>
      <c r="V180" s="4811" t="s">
        <v>250</v>
      </c>
      <c r="W180" s="4811" t="s">
        <v>250</v>
      </c>
      <c r="X180" s="4811" t="s">
        <v>250</v>
      </c>
      <c r="Y180" s="4794"/>
      <c r="Z180" s="4811"/>
      <c r="AA180" s="4811" t="s">
        <v>248</v>
      </c>
      <c r="AB180" s="4794" t="s">
        <v>248</v>
      </c>
      <c r="AC180" s="4794" t="s">
        <v>248</v>
      </c>
      <c r="AD180" s="4811" t="s">
        <v>248</v>
      </c>
      <c r="AE180" s="4811" t="s">
        <v>248</v>
      </c>
      <c r="AF180" s="4813" t="s">
        <v>248</v>
      </c>
    </row>
    <row r="181" spans="1:32" ht="18" customHeight="1" thickBot="1">
      <c r="A181" s="5051" t="s">
        <v>253</v>
      </c>
      <c r="B181" s="5033"/>
      <c r="C181" s="5033"/>
      <c r="D181" s="5033"/>
      <c r="E181" s="5033"/>
      <c r="F181" s="5033"/>
      <c r="G181" s="5033"/>
      <c r="H181" s="5033"/>
      <c r="I181" s="5033"/>
      <c r="J181" s="5033"/>
      <c r="K181" s="5033"/>
      <c r="L181" s="5033"/>
      <c r="M181" s="5033"/>
      <c r="N181" s="5033"/>
      <c r="O181" s="5033"/>
      <c r="P181" s="5033"/>
      <c r="Q181" s="5033"/>
      <c r="R181" s="4797"/>
      <c r="S181" s="5033"/>
      <c r="T181" s="5033"/>
      <c r="U181" s="5033"/>
      <c r="V181" s="5033"/>
      <c r="W181" s="5033"/>
      <c r="X181" s="5033"/>
      <c r="Y181" s="5033"/>
      <c r="Z181" s="5033"/>
      <c r="AA181" s="5033"/>
      <c r="AB181" s="5033"/>
      <c r="AC181" s="5033"/>
      <c r="AD181" s="5033"/>
      <c r="AE181" s="5033"/>
      <c r="AF181" s="4809"/>
    </row>
    <row r="182" spans="1:32" ht="18" customHeight="1">
      <c r="A182" s="115"/>
      <c r="B182" s="1138"/>
      <c r="C182" s="1138"/>
      <c r="D182" s="1138"/>
      <c r="E182" s="1138"/>
      <c r="F182" s="1138"/>
      <c r="G182" s="1138"/>
      <c r="H182" s="1138"/>
      <c r="I182" s="1138"/>
      <c r="J182" s="1138"/>
      <c r="K182" s="1138"/>
      <c r="L182" s="1138"/>
      <c r="M182" s="1138"/>
      <c r="N182" s="1138"/>
      <c r="O182" s="1138"/>
      <c r="P182" s="1138"/>
      <c r="Q182" s="1138"/>
      <c r="R182" s="1138"/>
      <c r="S182" s="1138"/>
      <c r="T182" s="1138"/>
      <c r="U182" s="1138"/>
      <c r="V182" s="1138"/>
      <c r="W182" s="1138"/>
      <c r="X182" s="1138"/>
      <c r="Y182" s="1138"/>
      <c r="Z182" s="1138"/>
      <c r="AA182" s="1138"/>
      <c r="AB182" s="1138"/>
      <c r="AC182" s="1138"/>
      <c r="AD182" s="1138"/>
      <c r="AE182" s="1138"/>
      <c r="AF182" s="1224"/>
    </row>
    <row r="183" spans="1:32" ht="18" customHeight="1" thickBot="1">
      <c r="B183" s="1184"/>
      <c r="E183" s="1184"/>
      <c r="H183" s="1184"/>
      <c r="I183" s="1184"/>
      <c r="K183" s="1184"/>
      <c r="N183" s="1184"/>
      <c r="P183" s="1184"/>
      <c r="Q183" s="1184"/>
      <c r="T183" s="1184"/>
      <c r="V183" s="1184"/>
      <c r="W183" s="1184"/>
      <c r="AD183" s="1184"/>
      <c r="AF183" s="1224"/>
    </row>
    <row r="184" spans="1:32" ht="18" customHeight="1">
      <c r="A184" s="648" t="s">
        <v>637</v>
      </c>
      <c r="B184" s="1242"/>
      <c r="C184" s="1243" t="s">
        <v>19</v>
      </c>
      <c r="D184" s="1244"/>
      <c r="E184" s="1055"/>
      <c r="F184" s="1245"/>
      <c r="G184" s="1243" t="s">
        <v>20</v>
      </c>
      <c r="H184" s="1244"/>
      <c r="I184" s="1055"/>
      <c r="J184" s="1245"/>
      <c r="K184" s="1243" t="s">
        <v>21</v>
      </c>
      <c r="L184" s="1244"/>
      <c r="M184" s="1055"/>
      <c r="N184" s="1245"/>
      <c r="O184" s="1243" t="s">
        <v>22</v>
      </c>
      <c r="P184" s="1244"/>
      <c r="Q184" s="1055"/>
      <c r="R184" s="1245"/>
      <c r="S184" s="1243" t="s">
        <v>23</v>
      </c>
      <c r="T184" s="1244"/>
      <c r="U184" s="1246"/>
      <c r="V184" s="1051"/>
      <c r="W184" s="133"/>
      <c r="X184" s="1051"/>
      <c r="Y184" s="1051"/>
      <c r="Z184" s="1051"/>
      <c r="AA184" s="133"/>
      <c r="AB184" s="1051"/>
      <c r="AC184" s="1051"/>
      <c r="AD184" s="133"/>
      <c r="AE184" s="1051"/>
      <c r="AF184" s="1051"/>
    </row>
    <row r="185" spans="1:32" ht="18" customHeight="1">
      <c r="A185" s="4770" t="s">
        <v>638</v>
      </c>
      <c r="B185" s="5052" t="s">
        <v>515</v>
      </c>
      <c r="C185" s="5053" t="s">
        <v>639</v>
      </c>
      <c r="D185" s="5053"/>
      <c r="E185" s="5054"/>
      <c r="F185" s="5055" t="s">
        <v>640</v>
      </c>
      <c r="G185" s="5053"/>
      <c r="H185" s="5053"/>
      <c r="I185" s="5054"/>
      <c r="J185" s="5055" t="s">
        <v>639</v>
      </c>
      <c r="K185" s="5053"/>
      <c r="L185" s="5053"/>
      <c r="M185" s="5054"/>
      <c r="N185" s="5055" t="s">
        <v>641</v>
      </c>
      <c r="O185" s="5053"/>
      <c r="P185" s="5053"/>
      <c r="Q185" s="5054"/>
      <c r="R185" s="5055" t="s">
        <v>642</v>
      </c>
      <c r="S185" s="5053"/>
      <c r="T185" s="5053"/>
      <c r="U185" s="5056"/>
      <c r="V185" s="1051"/>
      <c r="W185" s="133"/>
      <c r="X185" s="1051"/>
      <c r="Y185" s="1051"/>
      <c r="Z185" s="1051"/>
      <c r="AA185" s="133"/>
      <c r="AB185" s="1051"/>
      <c r="AC185" s="1051"/>
      <c r="AD185" s="133"/>
      <c r="AE185" s="1051"/>
      <c r="AF185" s="1051"/>
    </row>
    <row r="186" spans="1:32" ht="18" customHeight="1">
      <c r="A186" s="4770" t="s">
        <v>643</v>
      </c>
      <c r="B186" s="5052" t="s">
        <v>152</v>
      </c>
      <c r="C186" s="5053" t="s">
        <v>644</v>
      </c>
      <c r="D186" s="5053"/>
      <c r="E186" s="5054"/>
      <c r="F186" s="5055" t="s">
        <v>644</v>
      </c>
      <c r="G186" s="5053"/>
      <c r="H186" s="5053"/>
      <c r="I186" s="5054"/>
      <c r="J186" s="5055" t="s">
        <v>644</v>
      </c>
      <c r="K186" s="5053"/>
      <c r="L186" s="5053"/>
      <c r="M186" s="5054"/>
      <c r="N186" s="5055" t="s">
        <v>645</v>
      </c>
      <c r="O186" s="5053"/>
      <c r="P186" s="5053"/>
      <c r="Q186" s="5054"/>
      <c r="R186" s="5055" t="s">
        <v>646</v>
      </c>
      <c r="S186" s="5053"/>
      <c r="T186" s="5053"/>
      <c r="U186" s="5056"/>
      <c r="V186" s="1247"/>
      <c r="W186" s="1051"/>
      <c r="X186" s="1051"/>
      <c r="Y186" s="1052"/>
      <c r="Z186" s="1247"/>
      <c r="AA186" s="1051"/>
      <c r="AB186" s="1051"/>
      <c r="AC186" s="1051"/>
      <c r="AD186" s="1247"/>
      <c r="AE186" s="1051"/>
      <c r="AF186" s="1248"/>
    </row>
    <row r="187" spans="1:32" ht="18" customHeight="1">
      <c r="A187" s="4770" t="s">
        <v>647</v>
      </c>
      <c r="B187" s="5052" t="s">
        <v>130</v>
      </c>
      <c r="C187" s="5053" t="s">
        <v>644</v>
      </c>
      <c r="D187" s="5053"/>
      <c r="E187" s="5054"/>
      <c r="F187" s="5055" t="s">
        <v>644</v>
      </c>
      <c r="G187" s="5053"/>
      <c r="H187" s="5053"/>
      <c r="I187" s="5054"/>
      <c r="J187" s="5055" t="s">
        <v>648</v>
      </c>
      <c r="K187" s="5053"/>
      <c r="L187" s="5053"/>
      <c r="M187" s="5054"/>
      <c r="N187" s="5055" t="s">
        <v>649</v>
      </c>
      <c r="O187" s="5053"/>
      <c r="P187" s="5053"/>
      <c r="Q187" s="5054"/>
      <c r="R187" s="5055" t="s">
        <v>650</v>
      </c>
      <c r="S187" s="5053"/>
      <c r="T187" s="5053"/>
      <c r="U187" s="5056"/>
      <c r="V187" s="1247"/>
      <c r="W187" s="1051"/>
      <c r="X187" s="1051"/>
      <c r="Y187" s="1052"/>
      <c r="Z187" s="1247"/>
      <c r="AA187" s="1051"/>
      <c r="AB187" s="1051"/>
      <c r="AC187" s="1051"/>
      <c r="AD187" s="1247"/>
      <c r="AE187" s="1051"/>
      <c r="AF187" s="1248"/>
    </row>
    <row r="188" spans="1:32" ht="18" customHeight="1">
      <c r="A188" s="4770" t="s">
        <v>651</v>
      </c>
      <c r="B188" s="5052" t="s">
        <v>153</v>
      </c>
      <c r="C188" s="5053" t="s">
        <v>652</v>
      </c>
      <c r="D188" s="5053"/>
      <c r="E188" s="5054"/>
      <c r="F188" s="5055" t="s">
        <v>652</v>
      </c>
      <c r="G188" s="5053"/>
      <c r="H188" s="5053"/>
      <c r="I188" s="5054"/>
      <c r="J188" s="5055" t="s">
        <v>652</v>
      </c>
      <c r="K188" s="5053"/>
      <c r="L188" s="5053"/>
      <c r="M188" s="5054"/>
      <c r="N188" s="5055" t="s">
        <v>653</v>
      </c>
      <c r="O188" s="5053"/>
      <c r="P188" s="5053"/>
      <c r="Q188" s="5054"/>
      <c r="R188" s="5055" t="s">
        <v>650</v>
      </c>
      <c r="S188" s="5053"/>
      <c r="T188" s="5053"/>
      <c r="U188" s="5056"/>
      <c r="V188" s="1247"/>
      <c r="W188" s="1051"/>
      <c r="X188" s="1051"/>
      <c r="Y188" s="1052"/>
      <c r="Z188" s="1247"/>
      <c r="AA188" s="1051"/>
      <c r="AB188" s="1051"/>
      <c r="AC188" s="1051"/>
      <c r="AD188" s="1247"/>
      <c r="AE188" s="1051"/>
      <c r="AF188" s="1248"/>
    </row>
    <row r="189" spans="1:32" ht="18" customHeight="1">
      <c r="A189" s="5057" t="s">
        <v>654</v>
      </c>
      <c r="B189" s="5052" t="s">
        <v>128</v>
      </c>
      <c r="C189" s="5053" t="s">
        <v>655</v>
      </c>
      <c r="D189" s="5053"/>
      <c r="E189" s="5054"/>
      <c r="F189" s="5055" t="s">
        <v>655</v>
      </c>
      <c r="G189" s="5053"/>
      <c r="H189" s="5053"/>
      <c r="I189" s="5054"/>
      <c r="J189" s="5055" t="s">
        <v>655</v>
      </c>
      <c r="K189" s="5053"/>
      <c r="L189" s="5053"/>
      <c r="M189" s="5054"/>
      <c r="N189" s="5055" t="s">
        <v>656</v>
      </c>
      <c r="O189" s="5053"/>
      <c r="P189" s="5053"/>
      <c r="Q189" s="5054"/>
      <c r="R189" s="5055" t="s">
        <v>650</v>
      </c>
      <c r="S189" s="5053"/>
      <c r="T189" s="5053"/>
      <c r="U189" s="5056"/>
      <c r="V189" s="1249"/>
      <c r="W189" s="1051"/>
      <c r="X189" s="1051"/>
      <c r="Y189" s="1051"/>
      <c r="Z189" s="1249"/>
      <c r="AA189" s="1051"/>
      <c r="AB189" s="1051"/>
      <c r="AC189" s="1051"/>
      <c r="AD189" s="1249"/>
      <c r="AE189" s="1051"/>
      <c r="AF189" s="1248"/>
    </row>
    <row r="190" spans="1:32" ht="18" customHeight="1">
      <c r="A190" s="4770" t="s">
        <v>657</v>
      </c>
      <c r="B190" s="5052" t="s">
        <v>127</v>
      </c>
      <c r="C190" s="5053" t="s">
        <v>658</v>
      </c>
      <c r="D190" s="5053"/>
      <c r="E190" s="5054"/>
      <c r="F190" s="5055" t="s">
        <v>639</v>
      </c>
      <c r="G190" s="5053"/>
      <c r="H190" s="5053"/>
      <c r="I190" s="5054"/>
      <c r="J190" s="5055" t="s">
        <v>639</v>
      </c>
      <c r="K190" s="5053"/>
      <c r="L190" s="5053"/>
      <c r="M190" s="5054"/>
      <c r="N190" s="5055" t="s">
        <v>659</v>
      </c>
      <c r="O190" s="5053"/>
      <c r="P190" s="5053"/>
      <c r="Q190" s="5054"/>
      <c r="R190" s="5055" t="s">
        <v>650</v>
      </c>
      <c r="S190" s="5053"/>
      <c r="T190" s="5053"/>
      <c r="U190" s="5056"/>
      <c r="V190" s="1247"/>
      <c r="W190" s="1051"/>
      <c r="X190" s="1051"/>
      <c r="Y190" s="1051"/>
      <c r="Z190" s="1247"/>
      <c r="AA190" s="1051"/>
      <c r="AB190" s="1051"/>
      <c r="AC190" s="1051"/>
      <c r="AD190" s="1247"/>
      <c r="AE190" s="1051"/>
      <c r="AF190" s="1248"/>
    </row>
    <row r="191" spans="1:32" ht="18" customHeight="1" thickBot="1">
      <c r="A191" s="420" t="s">
        <v>660</v>
      </c>
      <c r="B191" s="5058" t="s">
        <v>123</v>
      </c>
      <c r="C191" s="5059" t="s">
        <v>661</v>
      </c>
      <c r="D191" s="5059"/>
      <c r="E191" s="5060"/>
      <c r="F191" s="5061" t="s">
        <v>661</v>
      </c>
      <c r="G191" s="5059"/>
      <c r="H191" s="5059"/>
      <c r="I191" s="5060"/>
      <c r="J191" s="5061" t="s">
        <v>661</v>
      </c>
      <c r="K191" s="5059"/>
      <c r="L191" s="5059"/>
      <c r="M191" s="5060"/>
      <c r="N191" s="5061" t="s">
        <v>662</v>
      </c>
      <c r="O191" s="5059"/>
      <c r="P191" s="5059"/>
      <c r="Q191" s="5060"/>
      <c r="R191" s="5061" t="s">
        <v>663</v>
      </c>
      <c r="S191" s="5059"/>
      <c r="T191" s="5059"/>
      <c r="U191" s="5062"/>
      <c r="V191" s="1051"/>
      <c r="W191" s="1051"/>
      <c r="X191" s="1051"/>
      <c r="Y191" s="1051"/>
      <c r="Z191" s="1249"/>
      <c r="AA191" s="1051"/>
      <c r="AB191" s="1051"/>
      <c r="AC191" s="1051"/>
      <c r="AD191" s="1249"/>
      <c r="AE191" s="1051"/>
      <c r="AF191" s="1248"/>
    </row>
    <row r="192" spans="1:32" ht="18" customHeight="1" thickBot="1">
      <c r="B192" s="1184"/>
      <c r="E192" s="1184"/>
      <c r="H192" s="1184"/>
      <c r="I192" s="1184"/>
      <c r="K192" s="1184"/>
      <c r="N192" s="1184"/>
      <c r="P192" s="1184"/>
      <c r="Q192" s="1184"/>
      <c r="T192" s="1184"/>
      <c r="V192" s="1184"/>
      <c r="W192" s="1184"/>
      <c r="AD192" s="1184"/>
      <c r="AF192" s="1224"/>
    </row>
    <row r="193" spans="1:33" ht="18" customHeight="1">
      <c r="A193" s="648" t="s">
        <v>664</v>
      </c>
      <c r="B193" s="1250"/>
      <c r="C193" s="1243" t="s">
        <v>19</v>
      </c>
      <c r="D193" s="1244"/>
      <c r="E193" s="1055"/>
      <c r="F193" s="1245"/>
      <c r="G193" s="1243" t="s">
        <v>20</v>
      </c>
      <c r="H193" s="1244"/>
      <c r="I193" s="1055"/>
      <c r="J193" s="1245"/>
      <c r="K193" s="1243" t="s">
        <v>21</v>
      </c>
      <c r="L193" s="1244"/>
      <c r="M193" s="1055"/>
      <c r="N193" s="1245"/>
      <c r="O193" s="1243" t="s">
        <v>22</v>
      </c>
      <c r="P193" s="1244"/>
      <c r="Q193" s="1055"/>
      <c r="R193" s="1245"/>
      <c r="S193" s="1243" t="s">
        <v>23</v>
      </c>
      <c r="T193" s="1244"/>
      <c r="U193" s="1246"/>
      <c r="V193" s="1051"/>
      <c r="W193" s="133"/>
      <c r="X193" s="1051"/>
      <c r="Y193" s="1051"/>
      <c r="Z193" s="1051"/>
      <c r="AA193" s="133"/>
      <c r="AB193" s="1051"/>
      <c r="AC193" s="1051"/>
      <c r="AD193" s="133"/>
      <c r="AE193" s="1051"/>
      <c r="AF193" s="1051"/>
      <c r="AG193" s="1051"/>
    </row>
    <row r="194" spans="1:33" ht="18" customHeight="1">
      <c r="A194" s="4770" t="s">
        <v>665</v>
      </c>
      <c r="B194" s="5052" t="s">
        <v>515</v>
      </c>
      <c r="C194" s="5063" t="s">
        <v>639</v>
      </c>
      <c r="D194" s="5063"/>
      <c r="E194" s="5064"/>
      <c r="F194" s="5055" t="s">
        <v>639</v>
      </c>
      <c r="G194" s="5053"/>
      <c r="H194" s="5053"/>
      <c r="I194" s="5054"/>
      <c r="J194" s="5055" t="s">
        <v>639</v>
      </c>
      <c r="K194" s="5053"/>
      <c r="L194" s="5053"/>
      <c r="M194" s="5054"/>
      <c r="N194" s="5055" t="s">
        <v>641</v>
      </c>
      <c r="O194" s="5053"/>
      <c r="P194" s="5053"/>
      <c r="Q194" s="5054"/>
      <c r="R194" s="5055" t="s">
        <v>642</v>
      </c>
      <c r="S194" s="5053"/>
      <c r="T194" s="5053"/>
      <c r="U194" s="5056"/>
      <c r="V194" s="1051"/>
      <c r="W194" s="133"/>
      <c r="X194" s="1051"/>
      <c r="Y194" s="1051"/>
      <c r="Z194" s="1051"/>
      <c r="AA194" s="133"/>
      <c r="AB194" s="1051"/>
      <c r="AC194" s="1051"/>
      <c r="AD194" s="133"/>
      <c r="AE194" s="1051"/>
      <c r="AF194" s="1051"/>
      <c r="AG194" s="1051"/>
    </row>
    <row r="195" spans="1:33" ht="18" customHeight="1">
      <c r="A195" s="4770" t="s">
        <v>666</v>
      </c>
      <c r="B195" s="5052" t="s">
        <v>152</v>
      </c>
      <c r="C195" s="5063" t="s">
        <v>667</v>
      </c>
      <c r="D195" s="5063"/>
      <c r="E195" s="5064"/>
      <c r="F195" s="5055" t="s">
        <v>667</v>
      </c>
      <c r="G195" s="5053"/>
      <c r="H195" s="5053"/>
      <c r="I195" s="5054"/>
      <c r="J195" s="5055" t="s">
        <v>667</v>
      </c>
      <c r="K195" s="5053"/>
      <c r="L195" s="5053"/>
      <c r="M195" s="5054"/>
      <c r="N195" s="5055" t="s">
        <v>668</v>
      </c>
      <c r="O195" s="5053"/>
      <c r="P195" s="5053"/>
      <c r="Q195" s="5054"/>
      <c r="R195" s="5055" t="s">
        <v>669</v>
      </c>
      <c r="S195" s="5053"/>
      <c r="T195" s="5053"/>
      <c r="U195" s="5056"/>
      <c r="V195" s="1249"/>
      <c r="W195" s="1051"/>
      <c r="X195" s="1051"/>
      <c r="Z195" s="1249"/>
      <c r="AA195" s="1051"/>
      <c r="AB195" s="1051"/>
      <c r="AC195" s="1051"/>
      <c r="AD195" s="1249"/>
      <c r="AE195" s="1051"/>
      <c r="AF195" s="1248"/>
      <c r="AG195" s="1051"/>
    </row>
    <row r="196" spans="1:33" ht="18" customHeight="1">
      <c r="A196" s="4770" t="s">
        <v>261</v>
      </c>
      <c r="B196" s="5052" t="s">
        <v>130</v>
      </c>
      <c r="C196" s="5063" t="s">
        <v>667</v>
      </c>
      <c r="D196" s="5063"/>
      <c r="E196" s="5064"/>
      <c r="F196" s="5055" t="s">
        <v>667</v>
      </c>
      <c r="G196" s="5053"/>
      <c r="H196" s="5053"/>
      <c r="I196" s="5054"/>
      <c r="J196" s="5055" t="s">
        <v>648</v>
      </c>
      <c r="K196" s="5053"/>
      <c r="L196" s="5053"/>
      <c r="M196" s="5054"/>
      <c r="N196" s="5055" t="s">
        <v>670</v>
      </c>
      <c r="O196" s="5053"/>
      <c r="P196" s="5053"/>
      <c r="Q196" s="5054"/>
      <c r="R196" s="5055" t="s">
        <v>650</v>
      </c>
      <c r="S196" s="5053"/>
      <c r="T196" s="5053"/>
      <c r="U196" s="5056"/>
      <c r="V196" s="1249"/>
      <c r="W196" s="1051"/>
      <c r="X196" s="1051"/>
      <c r="Y196" s="1051"/>
      <c r="Z196" s="1249"/>
      <c r="AA196" s="1051"/>
      <c r="AB196" s="1051"/>
      <c r="AC196" s="1051"/>
      <c r="AD196" s="1249"/>
      <c r="AE196" s="1051"/>
      <c r="AF196" s="1248"/>
      <c r="AG196" s="1051"/>
    </row>
    <row r="197" spans="1:33" ht="18" customHeight="1">
      <c r="A197" s="4770" t="s">
        <v>265</v>
      </c>
      <c r="B197" s="5052" t="s">
        <v>153</v>
      </c>
      <c r="C197" s="5065" t="s">
        <v>667</v>
      </c>
      <c r="D197" s="5066"/>
      <c r="E197" s="5067"/>
      <c r="F197" s="5055" t="s">
        <v>667</v>
      </c>
      <c r="G197" s="5053"/>
      <c r="H197" s="5053"/>
      <c r="I197" s="5054"/>
      <c r="J197" s="5055" t="s">
        <v>667</v>
      </c>
      <c r="K197" s="5053"/>
      <c r="L197" s="5053"/>
      <c r="M197" s="5054"/>
      <c r="N197" s="5055" t="s">
        <v>671</v>
      </c>
      <c r="O197" s="5053"/>
      <c r="P197" s="5053"/>
      <c r="Q197" s="5054"/>
      <c r="R197" s="5055" t="s">
        <v>650</v>
      </c>
      <c r="S197" s="5053"/>
      <c r="T197" s="5053"/>
      <c r="U197" s="5056"/>
      <c r="V197" s="1249"/>
      <c r="W197" s="1051"/>
      <c r="X197" s="1051"/>
      <c r="Y197" s="1051"/>
      <c r="Z197" s="1249"/>
      <c r="AA197" s="1051"/>
      <c r="AB197" s="1051"/>
      <c r="AC197" s="1051"/>
      <c r="AD197" s="1249"/>
      <c r="AE197" s="1051"/>
      <c r="AF197" s="1248"/>
      <c r="AG197" s="1051"/>
    </row>
    <row r="198" spans="1:33" ht="18" customHeight="1">
      <c r="A198" s="5057" t="s">
        <v>272</v>
      </c>
      <c r="B198" s="5052" t="s">
        <v>128</v>
      </c>
      <c r="C198" s="5065" t="s">
        <v>667</v>
      </c>
      <c r="D198" s="5066"/>
      <c r="E198" s="5067"/>
      <c r="F198" s="5055" t="s">
        <v>667</v>
      </c>
      <c r="G198" s="5053"/>
      <c r="H198" s="5053"/>
      <c r="I198" s="5054"/>
      <c r="J198" s="5055" t="s">
        <v>667</v>
      </c>
      <c r="K198" s="5053"/>
      <c r="L198" s="5053"/>
      <c r="M198" s="5054"/>
      <c r="N198" s="5055" t="s">
        <v>671</v>
      </c>
      <c r="O198" s="5053"/>
      <c r="P198" s="5053"/>
      <c r="Q198" s="5054"/>
      <c r="R198" s="5055" t="s">
        <v>650</v>
      </c>
      <c r="S198" s="5053"/>
      <c r="T198" s="5053"/>
      <c r="U198" s="5056"/>
      <c r="V198" s="1249"/>
      <c r="W198" s="1051"/>
      <c r="X198" s="1051"/>
      <c r="Y198" s="1051"/>
      <c r="Z198" s="1249"/>
      <c r="AA198" s="1051"/>
      <c r="AB198" s="1051"/>
      <c r="AC198" s="1051"/>
      <c r="AD198" s="1249"/>
      <c r="AE198" s="1051"/>
      <c r="AF198" s="1248"/>
      <c r="AG198" s="1051"/>
    </row>
    <row r="199" spans="1:33" ht="18" customHeight="1">
      <c r="A199" s="4770" t="s">
        <v>275</v>
      </c>
      <c r="B199" s="5052" t="s">
        <v>127</v>
      </c>
      <c r="C199" s="5065" t="s">
        <v>667</v>
      </c>
      <c r="D199" s="5066"/>
      <c r="E199" s="5067"/>
      <c r="F199" s="5055" t="s">
        <v>667</v>
      </c>
      <c r="G199" s="5053"/>
      <c r="H199" s="5053"/>
      <c r="I199" s="5054"/>
      <c r="J199" s="5055" t="s">
        <v>667</v>
      </c>
      <c r="K199" s="5053"/>
      <c r="L199" s="5053"/>
      <c r="M199" s="5054"/>
      <c r="N199" s="5055" t="s">
        <v>668</v>
      </c>
      <c r="O199" s="5053"/>
      <c r="P199" s="5053"/>
      <c r="Q199" s="5054"/>
      <c r="R199" s="5055" t="s">
        <v>669</v>
      </c>
      <c r="S199" s="5053"/>
      <c r="T199" s="5053"/>
      <c r="U199" s="5056"/>
      <c r="V199" s="1249"/>
      <c r="W199" s="1051"/>
      <c r="X199" s="1051"/>
      <c r="Y199" s="1051"/>
      <c r="Z199" s="1249"/>
      <c r="AA199" s="1051"/>
      <c r="AB199" s="1051"/>
      <c r="AC199" s="1051"/>
      <c r="AD199" s="1249"/>
      <c r="AE199" s="1051"/>
      <c r="AF199" s="1248"/>
      <c r="AG199" s="1051"/>
    </row>
    <row r="200" spans="1:33" ht="18" customHeight="1" thickBot="1">
      <c r="A200" s="420" t="s">
        <v>280</v>
      </c>
      <c r="B200" s="5058" t="s">
        <v>123</v>
      </c>
      <c r="C200" s="5068" t="s">
        <v>661</v>
      </c>
      <c r="D200" s="5069"/>
      <c r="E200" s="5070"/>
      <c r="F200" s="5061" t="s">
        <v>661</v>
      </c>
      <c r="G200" s="5059"/>
      <c r="H200" s="5059"/>
      <c r="I200" s="5060"/>
      <c r="J200" s="5061" t="s">
        <v>661</v>
      </c>
      <c r="K200" s="5059"/>
      <c r="L200" s="5059"/>
      <c r="M200" s="5060"/>
      <c r="N200" s="5061" t="s">
        <v>662</v>
      </c>
      <c r="O200" s="5059"/>
      <c r="P200" s="5059"/>
      <c r="Q200" s="5060"/>
      <c r="R200" s="5061" t="s">
        <v>663</v>
      </c>
      <c r="S200" s="5059"/>
      <c r="T200" s="5059"/>
      <c r="U200" s="5062"/>
      <c r="V200" s="1051"/>
      <c r="W200" s="1051"/>
      <c r="X200" s="1051"/>
      <c r="Y200" s="1051"/>
      <c r="Z200" s="1249"/>
      <c r="AA200" s="1051"/>
      <c r="AB200" s="1051"/>
      <c r="AC200" s="1051"/>
      <c r="AD200" s="1249"/>
      <c r="AE200" s="1051"/>
      <c r="AF200" s="1248"/>
      <c r="AG200" s="1051"/>
    </row>
    <row r="201" spans="1:33" ht="18" customHeight="1" thickBot="1">
      <c r="A201" s="119"/>
      <c r="B201" s="1249"/>
      <c r="C201" s="1221"/>
      <c r="D201" s="1052"/>
      <c r="E201" s="1052"/>
      <c r="F201" s="1247"/>
      <c r="G201" s="1221"/>
      <c r="H201" s="1052"/>
      <c r="I201" s="1052"/>
      <c r="J201" s="1247"/>
      <c r="K201" s="1221"/>
      <c r="L201" s="1052"/>
      <c r="M201" s="1052"/>
      <c r="N201" s="1247"/>
      <c r="O201" s="1118"/>
      <c r="P201" s="1052"/>
      <c r="Q201" s="1052"/>
      <c r="R201" s="1247"/>
      <c r="S201" s="1118"/>
      <c r="T201" s="1052"/>
      <c r="U201" s="1052"/>
      <c r="V201" s="1052"/>
      <c r="W201" s="1052"/>
      <c r="X201" s="1052"/>
      <c r="Y201" s="1052"/>
      <c r="Z201" s="1247"/>
      <c r="AA201" s="1052"/>
      <c r="AB201" s="1052"/>
      <c r="AC201" s="1052"/>
      <c r="AD201" s="1247"/>
      <c r="AE201" s="1052"/>
      <c r="AF201" s="1248"/>
    </row>
    <row r="202" spans="1:33" ht="18" customHeight="1" thickBot="1">
      <c r="A202" s="433" t="s">
        <v>613</v>
      </c>
      <c r="B202" s="1251">
        <v>1</v>
      </c>
      <c r="C202" s="1216">
        <v>2</v>
      </c>
      <c r="D202" s="1251">
        <v>3</v>
      </c>
      <c r="E202" s="1251">
        <v>4</v>
      </c>
      <c r="F202" s="1216">
        <v>5</v>
      </c>
      <c r="G202" s="1216">
        <v>6</v>
      </c>
      <c r="H202" s="1216">
        <v>7</v>
      </c>
      <c r="I202" s="1216">
        <v>8</v>
      </c>
      <c r="J202" s="1216">
        <v>9</v>
      </c>
      <c r="K202" s="1251">
        <v>10</v>
      </c>
      <c r="L202" s="1251">
        <v>11</v>
      </c>
      <c r="M202" s="1216">
        <v>12</v>
      </c>
      <c r="N202" s="1216">
        <v>13</v>
      </c>
      <c r="O202" s="1216">
        <v>14</v>
      </c>
      <c r="P202" s="1216">
        <v>15</v>
      </c>
      <c r="Q202" s="1216">
        <v>16</v>
      </c>
      <c r="R202" s="1251">
        <v>17</v>
      </c>
      <c r="S202" s="1251">
        <v>18</v>
      </c>
      <c r="T202" s="1216">
        <v>19</v>
      </c>
      <c r="U202" s="1216">
        <v>20</v>
      </c>
      <c r="V202" s="1216">
        <v>21</v>
      </c>
      <c r="W202" s="1216">
        <v>22</v>
      </c>
      <c r="X202" s="1216">
        <v>23</v>
      </c>
      <c r="Y202" s="1251">
        <v>24</v>
      </c>
      <c r="Z202" s="1251">
        <v>25</v>
      </c>
      <c r="AA202" s="1216">
        <v>26</v>
      </c>
      <c r="AB202" s="1216">
        <v>27</v>
      </c>
      <c r="AC202" s="1216">
        <v>28</v>
      </c>
      <c r="AD202" s="1216">
        <v>29</v>
      </c>
      <c r="AE202" s="1216">
        <v>30</v>
      </c>
      <c r="AF202" s="1252">
        <v>31</v>
      </c>
    </row>
    <row r="203" spans="1:33" ht="18" customHeight="1">
      <c r="A203" s="5071" t="s">
        <v>672</v>
      </c>
      <c r="B203" s="4831"/>
      <c r="C203" s="5072" t="s">
        <v>257</v>
      </c>
      <c r="D203" s="4831"/>
      <c r="E203" s="4831"/>
      <c r="F203" s="4831" t="s">
        <v>257</v>
      </c>
      <c r="G203" s="4831" t="s">
        <v>257</v>
      </c>
      <c r="H203" s="4831" t="s">
        <v>257</v>
      </c>
      <c r="I203" s="4831" t="s">
        <v>257</v>
      </c>
      <c r="J203" s="4831" t="s">
        <v>257</v>
      </c>
      <c r="K203" s="4831"/>
      <c r="L203" s="4831"/>
      <c r="M203" s="4831" t="s">
        <v>257</v>
      </c>
      <c r="N203" s="4831" t="s">
        <v>257</v>
      </c>
      <c r="O203" s="4831" t="s">
        <v>257</v>
      </c>
      <c r="P203" s="4831" t="s">
        <v>257</v>
      </c>
      <c r="Q203" s="4831" t="s">
        <v>257</v>
      </c>
      <c r="R203" s="4831"/>
      <c r="S203" s="4831"/>
      <c r="T203" s="4831" t="s">
        <v>257</v>
      </c>
      <c r="U203" s="4831" t="s">
        <v>257</v>
      </c>
      <c r="V203" s="4831" t="s">
        <v>257</v>
      </c>
      <c r="W203" s="5072" t="s">
        <v>257</v>
      </c>
      <c r="X203" s="5072" t="s">
        <v>257</v>
      </c>
      <c r="Y203" s="5072"/>
      <c r="Z203" s="5072"/>
      <c r="AA203" s="5072" t="s">
        <v>257</v>
      </c>
      <c r="AB203" s="5072" t="s">
        <v>257</v>
      </c>
      <c r="AC203" s="5072" t="s">
        <v>257</v>
      </c>
      <c r="AD203" s="5072" t="s">
        <v>257</v>
      </c>
      <c r="AE203" s="5072" t="s">
        <v>257</v>
      </c>
      <c r="AF203" s="5073"/>
    </row>
    <row r="204" spans="1:33" ht="18" customHeight="1">
      <c r="A204" s="5074" t="s">
        <v>293</v>
      </c>
      <c r="B204" s="4831"/>
      <c r="C204" s="5072" t="s">
        <v>152</v>
      </c>
      <c r="D204" s="4831"/>
      <c r="E204" s="4831"/>
      <c r="F204" s="4831" t="s">
        <v>152</v>
      </c>
      <c r="G204" s="4831" t="s">
        <v>152</v>
      </c>
      <c r="H204" s="4831" t="s">
        <v>152</v>
      </c>
      <c r="I204" s="4831" t="s">
        <v>152</v>
      </c>
      <c r="J204" s="4831" t="s">
        <v>152</v>
      </c>
      <c r="K204" s="4831"/>
      <c r="L204" s="4831"/>
      <c r="M204" s="4831" t="s">
        <v>152</v>
      </c>
      <c r="N204" s="4831" t="s">
        <v>152</v>
      </c>
      <c r="O204" s="4831" t="s">
        <v>152</v>
      </c>
      <c r="P204" s="4831" t="s">
        <v>152</v>
      </c>
      <c r="Q204" s="4831" t="s">
        <v>152</v>
      </c>
      <c r="R204" s="4831"/>
      <c r="S204" s="4831"/>
      <c r="T204" s="4831" t="s">
        <v>152</v>
      </c>
      <c r="U204" s="4831" t="s">
        <v>152</v>
      </c>
      <c r="V204" s="4831" t="s">
        <v>152</v>
      </c>
      <c r="W204" s="4831" t="s">
        <v>152</v>
      </c>
      <c r="X204" s="4831" t="s">
        <v>152</v>
      </c>
      <c r="Y204" s="4831"/>
      <c r="Z204" s="4831"/>
      <c r="AA204" s="4831" t="s">
        <v>152</v>
      </c>
      <c r="AB204" s="4831" t="s">
        <v>152</v>
      </c>
      <c r="AC204" s="4831" t="s">
        <v>152</v>
      </c>
      <c r="AD204" s="4831" t="s">
        <v>152</v>
      </c>
      <c r="AE204" s="4831" t="s">
        <v>152</v>
      </c>
      <c r="AF204" s="1253"/>
    </row>
    <row r="205" spans="1:33" ht="18" customHeight="1">
      <c r="A205" s="5075" t="s">
        <v>575</v>
      </c>
      <c r="B205" s="4831"/>
      <c r="C205" s="5076" t="s">
        <v>130</v>
      </c>
      <c r="D205" s="5077"/>
      <c r="E205" s="5077"/>
      <c r="F205" s="5077" t="s">
        <v>130</v>
      </c>
      <c r="G205" s="5077" t="s">
        <v>130</v>
      </c>
      <c r="H205" s="5078" t="s">
        <v>130</v>
      </c>
      <c r="I205" s="5079" t="s">
        <v>130</v>
      </c>
      <c r="J205" s="5079" t="s">
        <v>130</v>
      </c>
      <c r="K205" s="5079"/>
      <c r="L205" s="5079"/>
      <c r="M205" s="5079" t="s">
        <v>130</v>
      </c>
      <c r="N205" s="5079" t="s">
        <v>130</v>
      </c>
      <c r="O205" s="5079" t="s">
        <v>130</v>
      </c>
      <c r="P205" s="5079" t="s">
        <v>130</v>
      </c>
      <c r="Q205" s="5077" t="s">
        <v>130</v>
      </c>
      <c r="R205" s="5077"/>
      <c r="S205" s="5077"/>
      <c r="T205" s="5077" t="s">
        <v>130</v>
      </c>
      <c r="U205" s="5080" t="s">
        <v>130</v>
      </c>
      <c r="V205" s="5080" t="s">
        <v>130</v>
      </c>
      <c r="W205" s="5077" t="s">
        <v>130</v>
      </c>
      <c r="X205" s="5077" t="s">
        <v>130</v>
      </c>
      <c r="Y205" s="5077"/>
      <c r="Z205" s="5077"/>
      <c r="AA205" s="5077" t="s">
        <v>130</v>
      </c>
      <c r="AB205" s="5077" t="s">
        <v>130</v>
      </c>
      <c r="AC205" s="5077" t="s">
        <v>130</v>
      </c>
      <c r="AD205" s="5077" t="s">
        <v>130</v>
      </c>
      <c r="AE205" s="5077" t="s">
        <v>130</v>
      </c>
      <c r="AF205" s="5081"/>
    </row>
    <row r="206" spans="1:33" ht="18" customHeight="1">
      <c r="A206" s="5082" t="s">
        <v>295</v>
      </c>
      <c r="B206" s="4831"/>
      <c r="C206" s="5072" t="s">
        <v>153</v>
      </c>
      <c r="D206" s="4831"/>
      <c r="E206" s="4831"/>
      <c r="F206" s="4831" t="s">
        <v>153</v>
      </c>
      <c r="G206" s="4831" t="s">
        <v>153</v>
      </c>
      <c r="H206" s="4831" t="s">
        <v>153</v>
      </c>
      <c r="I206" s="4831" t="s">
        <v>153</v>
      </c>
      <c r="J206" s="4831" t="s">
        <v>153</v>
      </c>
      <c r="K206" s="4831"/>
      <c r="L206" s="4831"/>
      <c r="M206" s="4831" t="s">
        <v>153</v>
      </c>
      <c r="N206" s="4831" t="s">
        <v>153</v>
      </c>
      <c r="O206" s="4831" t="s">
        <v>153</v>
      </c>
      <c r="P206" s="4831" t="s">
        <v>153</v>
      </c>
      <c r="Q206" s="4831" t="s">
        <v>153</v>
      </c>
      <c r="R206" s="4831"/>
      <c r="S206" s="4831"/>
      <c r="T206" s="4831" t="s">
        <v>153</v>
      </c>
      <c r="U206" s="4831" t="s">
        <v>153</v>
      </c>
      <c r="V206" s="4831" t="s">
        <v>153</v>
      </c>
      <c r="W206" s="4831" t="s">
        <v>153</v>
      </c>
      <c r="X206" s="4831" t="s">
        <v>153</v>
      </c>
      <c r="Y206" s="4831"/>
      <c r="Z206" s="4831"/>
      <c r="AA206" s="4831" t="s">
        <v>153</v>
      </c>
      <c r="AB206" s="4831" t="s">
        <v>153</v>
      </c>
      <c r="AC206" s="4831" t="s">
        <v>153</v>
      </c>
      <c r="AD206" s="4831" t="s">
        <v>153</v>
      </c>
      <c r="AE206" s="4831" t="s">
        <v>153</v>
      </c>
      <c r="AF206" s="5081"/>
    </row>
    <row r="207" spans="1:33" ht="18" customHeight="1">
      <c r="A207" s="5083" t="s">
        <v>553</v>
      </c>
      <c r="B207" s="4831"/>
      <c r="C207" s="5072" t="s">
        <v>128</v>
      </c>
      <c r="D207" s="4831"/>
      <c r="E207" s="4831"/>
      <c r="F207" s="4831" t="s">
        <v>128</v>
      </c>
      <c r="G207" s="4831" t="s">
        <v>128</v>
      </c>
      <c r="H207" s="4831" t="s">
        <v>128</v>
      </c>
      <c r="I207" s="4831" t="s">
        <v>128</v>
      </c>
      <c r="J207" s="4831" t="s">
        <v>128</v>
      </c>
      <c r="K207" s="4831"/>
      <c r="L207" s="4831"/>
      <c r="M207" s="4831" t="s">
        <v>128</v>
      </c>
      <c r="N207" s="4831" t="s">
        <v>128</v>
      </c>
      <c r="O207" s="4831" t="s">
        <v>128</v>
      </c>
      <c r="P207" s="4831" t="s">
        <v>128</v>
      </c>
      <c r="Q207" s="4831" t="s">
        <v>128</v>
      </c>
      <c r="R207" s="4831"/>
      <c r="S207" s="4831"/>
      <c r="T207" s="4831" t="s">
        <v>128</v>
      </c>
      <c r="U207" s="4831" t="s">
        <v>128</v>
      </c>
      <c r="V207" s="4831" t="s">
        <v>128</v>
      </c>
      <c r="W207" s="4831" t="s">
        <v>128</v>
      </c>
      <c r="X207" s="4831" t="s">
        <v>128</v>
      </c>
      <c r="Y207" s="4831"/>
      <c r="Z207" s="4831"/>
      <c r="AA207" s="4831" t="s">
        <v>128</v>
      </c>
      <c r="AB207" s="4831" t="s">
        <v>128</v>
      </c>
      <c r="AC207" s="4831" t="s">
        <v>128</v>
      </c>
      <c r="AD207" s="4831" t="s">
        <v>128</v>
      </c>
      <c r="AE207" s="4831" t="s">
        <v>128</v>
      </c>
      <c r="AF207" s="5081"/>
    </row>
    <row r="208" spans="1:33" ht="18" customHeight="1">
      <c r="A208" s="5084" t="s">
        <v>298</v>
      </c>
      <c r="B208" s="4831"/>
      <c r="C208" s="4831" t="s">
        <v>127</v>
      </c>
      <c r="D208" s="4831"/>
      <c r="E208" s="4831"/>
      <c r="F208" s="4831" t="s">
        <v>127</v>
      </c>
      <c r="G208" s="4831" t="s">
        <v>127</v>
      </c>
      <c r="H208" s="4831" t="s">
        <v>127</v>
      </c>
      <c r="I208" s="4831" t="s">
        <v>127</v>
      </c>
      <c r="J208" s="4831" t="s">
        <v>127</v>
      </c>
      <c r="K208" s="4831"/>
      <c r="L208" s="4831"/>
      <c r="M208" s="4831" t="s">
        <v>127</v>
      </c>
      <c r="N208" s="4831" t="s">
        <v>127</v>
      </c>
      <c r="O208" s="4831" t="s">
        <v>127</v>
      </c>
      <c r="P208" s="4831" t="s">
        <v>127</v>
      </c>
      <c r="Q208" s="5085" t="s">
        <v>127</v>
      </c>
      <c r="R208" s="4831"/>
      <c r="S208" s="4831"/>
      <c r="T208" s="5085" t="s">
        <v>127</v>
      </c>
      <c r="U208" s="5085" t="s">
        <v>127</v>
      </c>
      <c r="V208" s="5085" t="s">
        <v>127</v>
      </c>
      <c r="W208" s="5086" t="s">
        <v>127</v>
      </c>
      <c r="X208" s="5085" t="s">
        <v>127</v>
      </c>
      <c r="Y208" s="4831"/>
      <c r="Z208" s="4831"/>
      <c r="AA208" s="4831" t="s">
        <v>127</v>
      </c>
      <c r="AB208" s="4831" t="s">
        <v>127</v>
      </c>
      <c r="AC208" s="4831" t="s">
        <v>127</v>
      </c>
      <c r="AD208" s="4831" t="s">
        <v>127</v>
      </c>
      <c r="AE208" s="4831" t="s">
        <v>127</v>
      </c>
      <c r="AF208" s="5081"/>
    </row>
    <row r="209" spans="1:32" ht="18" customHeight="1">
      <c r="A209" s="4897" t="s">
        <v>299</v>
      </c>
      <c r="B209" s="4831"/>
      <c r="C209" s="4831" t="s">
        <v>123</v>
      </c>
      <c r="D209" s="4831"/>
      <c r="E209" s="4831"/>
      <c r="F209" s="4831" t="s">
        <v>123</v>
      </c>
      <c r="G209" s="4831" t="s">
        <v>123</v>
      </c>
      <c r="H209" s="4831" t="s">
        <v>123</v>
      </c>
      <c r="I209" s="4831" t="s">
        <v>123</v>
      </c>
      <c r="J209" s="4831" t="s">
        <v>123</v>
      </c>
      <c r="K209" s="4831"/>
      <c r="L209" s="4831"/>
      <c r="M209" s="4831" t="s">
        <v>123</v>
      </c>
      <c r="N209" s="4831" t="s">
        <v>123</v>
      </c>
      <c r="O209" s="4831" t="s">
        <v>123</v>
      </c>
      <c r="P209" s="4831" t="s">
        <v>123</v>
      </c>
      <c r="Q209" s="4831" t="s">
        <v>123</v>
      </c>
      <c r="R209" s="4831"/>
      <c r="S209" s="4831"/>
      <c r="T209" s="5087" t="s">
        <v>123</v>
      </c>
      <c r="U209" s="5087" t="s">
        <v>123</v>
      </c>
      <c r="V209" s="5087" t="s">
        <v>123</v>
      </c>
      <c r="W209" s="5087" t="s">
        <v>123</v>
      </c>
      <c r="X209" s="5087" t="s">
        <v>123</v>
      </c>
      <c r="Y209" s="5087"/>
      <c r="Z209" s="5087"/>
      <c r="AA209" s="5087" t="s">
        <v>123</v>
      </c>
      <c r="AB209" s="5087" t="s">
        <v>123</v>
      </c>
      <c r="AC209" s="5087" t="s">
        <v>123</v>
      </c>
      <c r="AD209" s="5087" t="s">
        <v>123</v>
      </c>
      <c r="AE209" s="5087" t="s">
        <v>123</v>
      </c>
      <c r="AF209" s="5088"/>
    </row>
    <row r="210" spans="1:32" ht="18" customHeight="1" thickBot="1"/>
    <row r="211" spans="1:32" ht="18" customHeight="1">
      <c r="A211" s="2908" t="s">
        <v>615</v>
      </c>
      <c r="B211" s="4966"/>
      <c r="C211" s="4993" t="s">
        <v>19</v>
      </c>
      <c r="D211" s="4841"/>
      <c r="E211" s="4970"/>
      <c r="F211" s="4966"/>
      <c r="G211" s="4993" t="s">
        <v>20</v>
      </c>
      <c r="H211" s="4841"/>
      <c r="I211" s="4970"/>
      <c r="J211" s="4966"/>
      <c r="K211" s="4993" t="s">
        <v>21</v>
      </c>
      <c r="L211" s="4841"/>
      <c r="M211" s="4970"/>
      <c r="N211" s="4966"/>
      <c r="O211" s="4993" t="s">
        <v>22</v>
      </c>
      <c r="P211" s="4841"/>
      <c r="Q211" s="4970"/>
      <c r="R211" s="4966"/>
      <c r="S211" s="4993" t="s">
        <v>23</v>
      </c>
      <c r="T211" s="4841"/>
      <c r="U211" s="4970"/>
      <c r="V211" s="4966"/>
      <c r="W211" s="4993" t="s">
        <v>24</v>
      </c>
      <c r="X211" s="4841"/>
      <c r="Y211" s="4970"/>
      <c r="Z211" s="4966"/>
      <c r="AA211" s="4993" t="s">
        <v>25</v>
      </c>
      <c r="AB211" s="4841"/>
      <c r="AC211" s="4841"/>
      <c r="AD211" s="4996"/>
      <c r="AE211" s="4841"/>
      <c r="AF211" s="4841"/>
    </row>
    <row r="212" spans="1:32" ht="18" customHeight="1">
      <c r="A212" s="5089" t="s">
        <v>210</v>
      </c>
      <c r="B212" s="1254" t="s">
        <v>332</v>
      </c>
      <c r="C212" s="1255"/>
      <c r="D212" s="1256"/>
      <c r="E212" s="1257"/>
      <c r="F212" s="1254" t="s">
        <v>332</v>
      </c>
      <c r="G212" s="1255"/>
      <c r="H212" s="1256"/>
      <c r="I212" s="1257"/>
      <c r="J212" s="1254" t="s">
        <v>332</v>
      </c>
      <c r="K212" s="1255"/>
      <c r="L212" s="1256"/>
      <c r="M212" s="1257"/>
      <c r="N212" s="1254" t="s">
        <v>332</v>
      </c>
      <c r="O212" s="1258"/>
      <c r="P212" s="1256"/>
      <c r="Q212" s="1257"/>
      <c r="R212" s="1259" t="s">
        <v>333</v>
      </c>
      <c r="S212" s="1255"/>
      <c r="T212" s="1256"/>
      <c r="U212" s="1257"/>
      <c r="V212" s="1260"/>
      <c r="W212" s="1255"/>
      <c r="X212" s="1261"/>
      <c r="Y212" s="1262"/>
      <c r="Z212" s="1260"/>
      <c r="AA212" s="1255"/>
      <c r="AB212" s="1261"/>
      <c r="AC212" s="1261"/>
      <c r="AD212" s="1263"/>
      <c r="AE212" s="1261"/>
      <c r="AF212" s="1264"/>
    </row>
    <row r="213" spans="1:32" ht="18" customHeight="1">
      <c r="A213" s="5089" t="s">
        <v>212</v>
      </c>
      <c r="B213" s="1254" t="s">
        <v>334</v>
      </c>
      <c r="C213" s="1255"/>
      <c r="D213" s="1256"/>
      <c r="E213" s="1257"/>
      <c r="F213" s="1254" t="s">
        <v>334</v>
      </c>
      <c r="G213" s="1255"/>
      <c r="H213" s="1256"/>
      <c r="I213" s="1257"/>
      <c r="J213" s="1254" t="s">
        <v>334</v>
      </c>
      <c r="K213" s="1255"/>
      <c r="L213" s="1256"/>
      <c r="M213" s="1257"/>
      <c r="N213" s="1254" t="s">
        <v>334</v>
      </c>
      <c r="O213" s="1255"/>
      <c r="P213" s="1256"/>
      <c r="Q213" s="1257"/>
      <c r="R213" s="1254" t="s">
        <v>335</v>
      </c>
      <c r="S213" s="1255"/>
      <c r="T213" s="1256"/>
      <c r="U213" s="1257"/>
      <c r="V213" s="1260"/>
      <c r="W213" s="1255"/>
      <c r="X213" s="1261"/>
      <c r="Y213" s="1262"/>
      <c r="Z213" s="1260"/>
      <c r="AA213" s="1255"/>
      <c r="AB213" s="1261"/>
      <c r="AC213" s="1261"/>
      <c r="AD213" s="1263"/>
      <c r="AE213" s="1261"/>
      <c r="AF213" s="1264"/>
    </row>
    <row r="214" spans="1:32" ht="18" customHeight="1" thickBot="1">
      <c r="A214" s="5090" t="s">
        <v>336</v>
      </c>
      <c r="B214" s="5043" t="s">
        <v>334</v>
      </c>
      <c r="C214" s="5091"/>
      <c r="D214" s="1256"/>
      <c r="E214" s="1257"/>
      <c r="F214" s="5043" t="s">
        <v>334</v>
      </c>
      <c r="G214" s="5091"/>
      <c r="H214" s="1256"/>
      <c r="I214" s="1257"/>
      <c r="J214" s="5043" t="s">
        <v>334</v>
      </c>
      <c r="K214" s="5091"/>
      <c r="L214" s="1256"/>
      <c r="M214" s="1257"/>
      <c r="N214" s="5043" t="s">
        <v>334</v>
      </c>
      <c r="O214" s="5091"/>
      <c r="P214" s="1256"/>
      <c r="Q214" s="1257"/>
      <c r="R214" s="5043" t="s">
        <v>335</v>
      </c>
      <c r="S214" s="1255"/>
      <c r="T214" s="1256"/>
      <c r="U214" s="1257"/>
      <c r="V214" s="1260"/>
      <c r="W214" s="1255"/>
      <c r="X214" s="1261"/>
      <c r="Y214" s="1262"/>
      <c r="Z214" s="1260"/>
      <c r="AA214" s="1255"/>
      <c r="AB214" s="1261"/>
      <c r="AC214" s="1261"/>
      <c r="AD214" s="1263"/>
      <c r="AE214" s="1261"/>
      <c r="AF214" s="1264"/>
    </row>
    <row r="215" spans="1:32" ht="18" customHeight="1">
      <c r="A215" s="37"/>
      <c r="B215" s="3"/>
      <c r="C215" s="66"/>
      <c r="F215" s="3"/>
      <c r="G215" s="66"/>
      <c r="J215" s="3"/>
      <c r="K215" s="66"/>
      <c r="N215" s="3"/>
      <c r="O215" s="66"/>
      <c r="R215" s="3"/>
      <c r="S215" s="3"/>
      <c r="W215" s="3"/>
      <c r="AA215" s="3"/>
      <c r="AD215" s="3"/>
    </row>
    <row r="216" spans="1:32" ht="18" customHeight="1" thickBot="1">
      <c r="A216" s="310" t="s">
        <v>337</v>
      </c>
    </row>
    <row r="217" spans="1:32" ht="18" customHeight="1" thickBot="1">
      <c r="A217" s="5092" t="s">
        <v>615</v>
      </c>
      <c r="B217" s="5093">
        <v>1</v>
      </c>
      <c r="C217" s="5094">
        <v>2</v>
      </c>
      <c r="D217" s="5093">
        <v>3</v>
      </c>
      <c r="E217" s="5093">
        <v>4</v>
      </c>
      <c r="F217" s="5094">
        <v>5</v>
      </c>
      <c r="G217" s="5094">
        <v>6</v>
      </c>
      <c r="H217" s="5094">
        <v>7</v>
      </c>
      <c r="I217" s="5094">
        <v>8</v>
      </c>
      <c r="J217" s="5094">
        <v>9</v>
      </c>
      <c r="K217" s="5093">
        <v>10</v>
      </c>
      <c r="L217" s="5093">
        <v>11</v>
      </c>
      <c r="M217" s="5094">
        <v>12</v>
      </c>
      <c r="N217" s="5094">
        <v>13</v>
      </c>
      <c r="O217" s="5094">
        <v>14</v>
      </c>
      <c r="P217" s="5094">
        <v>15</v>
      </c>
      <c r="Q217" s="5094">
        <v>16</v>
      </c>
      <c r="R217" s="5093">
        <v>17</v>
      </c>
      <c r="S217" s="5093">
        <v>18</v>
      </c>
      <c r="T217" s="5094">
        <v>19</v>
      </c>
      <c r="U217" s="5094">
        <v>20</v>
      </c>
      <c r="V217" s="5094">
        <v>21</v>
      </c>
      <c r="W217" s="5094">
        <v>22</v>
      </c>
      <c r="X217" s="5094">
        <v>23</v>
      </c>
      <c r="Y217" s="5093">
        <v>24</v>
      </c>
      <c r="Z217" s="5093">
        <v>25</v>
      </c>
      <c r="AA217" s="5094">
        <v>26</v>
      </c>
      <c r="AB217" s="5094">
        <v>27</v>
      </c>
      <c r="AC217" s="5094">
        <v>28</v>
      </c>
      <c r="AD217" s="5094">
        <v>29</v>
      </c>
      <c r="AE217" s="5094">
        <v>30</v>
      </c>
      <c r="AF217" s="5093">
        <v>31</v>
      </c>
    </row>
    <row r="218" spans="1:32" ht="18" customHeight="1">
      <c r="A218" s="2913" t="s">
        <v>338</v>
      </c>
      <c r="B218" s="2987"/>
      <c r="C218" s="2987" t="s">
        <v>40</v>
      </c>
      <c r="D218" s="2987"/>
      <c r="E218" s="2987"/>
      <c r="F218" s="2987" t="s">
        <v>40</v>
      </c>
      <c r="G218" s="2987" t="s">
        <v>40</v>
      </c>
      <c r="H218" s="2987" t="s">
        <v>40</v>
      </c>
      <c r="I218" s="2987" t="s">
        <v>40</v>
      </c>
      <c r="J218" s="2987" t="s">
        <v>40</v>
      </c>
      <c r="K218" s="2987"/>
      <c r="L218" s="2987"/>
      <c r="M218" s="2987" t="s">
        <v>40</v>
      </c>
      <c r="N218" s="2987" t="s">
        <v>40</v>
      </c>
      <c r="O218" s="2987" t="s">
        <v>40</v>
      </c>
      <c r="P218" s="2987" t="s">
        <v>40</v>
      </c>
      <c r="Q218" s="2987" t="s">
        <v>40</v>
      </c>
      <c r="R218" s="2987"/>
      <c r="S218" s="2987"/>
      <c r="T218" s="2987" t="s">
        <v>40</v>
      </c>
      <c r="U218" s="2987" t="s">
        <v>40</v>
      </c>
      <c r="V218" s="2987" t="s">
        <v>40</v>
      </c>
      <c r="W218" s="2987" t="s">
        <v>40</v>
      </c>
      <c r="X218" s="2987" t="s">
        <v>40</v>
      </c>
      <c r="Y218" s="2987"/>
      <c r="Z218" s="2987"/>
      <c r="AA218" s="2987" t="s">
        <v>40</v>
      </c>
      <c r="AB218" s="2987" t="s">
        <v>40</v>
      </c>
      <c r="AC218" s="2987" t="s">
        <v>40</v>
      </c>
      <c r="AD218" s="2987" t="s">
        <v>40</v>
      </c>
      <c r="AE218" s="2987" t="s">
        <v>40</v>
      </c>
      <c r="AF218" s="2987"/>
    </row>
    <row r="219" spans="1:32" ht="18" customHeight="1">
      <c r="A219" s="5095" t="s">
        <v>339</v>
      </c>
      <c r="B219" s="5096"/>
      <c r="C219" s="5096"/>
      <c r="D219" s="5096"/>
      <c r="E219" s="5096"/>
      <c r="F219" s="5096"/>
      <c r="G219" s="5096"/>
      <c r="H219" s="5096"/>
      <c r="I219" s="5096"/>
      <c r="J219" s="5096"/>
      <c r="K219" s="5096"/>
      <c r="L219" s="5096"/>
      <c r="M219" s="5096"/>
      <c r="N219" s="5096"/>
      <c r="O219" s="5096"/>
      <c r="P219" s="5096"/>
      <c r="Q219" s="5096"/>
      <c r="R219" s="5096"/>
      <c r="S219" s="5096"/>
      <c r="T219" s="5096"/>
      <c r="U219" s="5096"/>
      <c r="V219" s="5096"/>
      <c r="W219" s="5096"/>
      <c r="X219" s="5096"/>
      <c r="Y219" s="5096"/>
      <c r="Z219" s="5096"/>
      <c r="AA219" s="5096"/>
      <c r="AB219" s="5096"/>
      <c r="AC219" s="5096"/>
      <c r="AD219" s="5096"/>
      <c r="AE219" s="5096"/>
      <c r="AF219" s="5096"/>
    </row>
    <row r="220" spans="1:32" ht="18" customHeight="1">
      <c r="A220" s="5097" t="s">
        <v>340</v>
      </c>
      <c r="B220" s="4827"/>
      <c r="C220" s="4875" t="s">
        <v>341</v>
      </c>
      <c r="D220" s="4827"/>
      <c r="E220" s="4827"/>
      <c r="F220" s="4794" t="s">
        <v>341</v>
      </c>
      <c r="G220" s="4794" t="s">
        <v>341</v>
      </c>
      <c r="H220" s="4794" t="s">
        <v>341</v>
      </c>
      <c r="I220" s="4794" t="s">
        <v>341</v>
      </c>
      <c r="J220" s="4794" t="s">
        <v>341</v>
      </c>
      <c r="K220" s="4827"/>
      <c r="L220" s="4827"/>
      <c r="M220" s="4794" t="s">
        <v>341</v>
      </c>
      <c r="N220" s="4794" t="s">
        <v>341</v>
      </c>
      <c r="O220" s="4794" t="s">
        <v>341</v>
      </c>
      <c r="P220" s="4794" t="s">
        <v>341</v>
      </c>
      <c r="Q220" s="4794" t="s">
        <v>341</v>
      </c>
      <c r="R220" s="4827"/>
      <c r="S220" s="4827"/>
      <c r="T220" s="4794" t="s">
        <v>341</v>
      </c>
      <c r="U220" s="4794" t="s">
        <v>341</v>
      </c>
      <c r="V220" s="4794" t="s">
        <v>341</v>
      </c>
      <c r="W220" s="4794" t="s">
        <v>341</v>
      </c>
      <c r="X220" s="4794" t="s">
        <v>341</v>
      </c>
      <c r="Y220" s="4827"/>
      <c r="Z220" s="4827"/>
      <c r="AA220" s="4794" t="s">
        <v>341</v>
      </c>
      <c r="AB220" s="4794" t="s">
        <v>341</v>
      </c>
      <c r="AC220" s="4794" t="s">
        <v>341</v>
      </c>
      <c r="AD220" s="4794" t="s">
        <v>341</v>
      </c>
      <c r="AE220" s="4794" t="s">
        <v>341</v>
      </c>
      <c r="AF220" s="4794"/>
    </row>
    <row r="221" spans="1:32" ht="18" customHeight="1">
      <c r="A221" s="5097" t="s">
        <v>343</v>
      </c>
      <c r="B221" s="4827"/>
      <c r="C221" s="4827" t="s">
        <v>342</v>
      </c>
      <c r="D221" s="4827"/>
      <c r="E221" s="4827"/>
      <c r="F221" s="4827" t="s">
        <v>342</v>
      </c>
      <c r="G221" s="4827" t="s">
        <v>342</v>
      </c>
      <c r="H221" s="4827" t="s">
        <v>342</v>
      </c>
      <c r="I221" s="4827" t="s">
        <v>342</v>
      </c>
      <c r="J221" s="4827" t="s">
        <v>342</v>
      </c>
      <c r="K221" s="4827"/>
      <c r="L221" s="4827"/>
      <c r="M221" s="4827" t="s">
        <v>342</v>
      </c>
      <c r="N221" s="4827" t="s">
        <v>342</v>
      </c>
      <c r="O221" s="4827" t="s">
        <v>342</v>
      </c>
      <c r="P221" s="4827" t="s">
        <v>342</v>
      </c>
      <c r="Q221" s="4827" t="s">
        <v>342</v>
      </c>
      <c r="R221" s="4827"/>
      <c r="S221" s="4827"/>
      <c r="T221" s="4827" t="s">
        <v>342</v>
      </c>
      <c r="U221" s="4827" t="s">
        <v>342</v>
      </c>
      <c r="V221" s="4827" t="s">
        <v>342</v>
      </c>
      <c r="W221" s="4827" t="s">
        <v>342</v>
      </c>
      <c r="X221" s="4827" t="s">
        <v>342</v>
      </c>
      <c r="Y221" s="4827"/>
      <c r="Z221" s="4827"/>
      <c r="AA221" s="4827" t="s">
        <v>342</v>
      </c>
      <c r="AB221" s="4827" t="s">
        <v>342</v>
      </c>
      <c r="AC221" s="4827" t="s">
        <v>342</v>
      </c>
      <c r="AD221" s="4827" t="s">
        <v>342</v>
      </c>
      <c r="AE221" s="4827" t="s">
        <v>342</v>
      </c>
      <c r="AF221" s="4827"/>
    </row>
    <row r="222" spans="1:32" ht="18" customHeight="1" thickBot="1">
      <c r="A222" s="5098" t="s">
        <v>0</v>
      </c>
      <c r="B222" s="5099"/>
      <c r="C222" s="5099"/>
      <c r="D222" s="5099"/>
      <c r="E222" s="5099"/>
      <c r="F222" s="5099"/>
      <c r="G222" s="5099"/>
      <c r="H222" s="5099"/>
      <c r="I222" s="5099"/>
      <c r="J222" s="5099"/>
      <c r="K222" s="5099"/>
      <c r="L222" s="5099"/>
      <c r="M222" s="5099"/>
      <c r="N222" s="5099"/>
      <c r="O222" s="5099"/>
      <c r="P222" s="5099"/>
      <c r="Q222" s="5099"/>
      <c r="R222" s="5099"/>
      <c r="S222" s="5099"/>
      <c r="T222" s="5099"/>
      <c r="U222" s="5099"/>
      <c r="V222" s="5099"/>
      <c r="W222" s="5099"/>
      <c r="X222" s="5099"/>
      <c r="Y222" s="5099"/>
      <c r="Z222" s="5099"/>
      <c r="AA222" s="5099"/>
      <c r="AB222" s="5099"/>
      <c r="AC222" s="5099"/>
      <c r="AD222" s="5099"/>
      <c r="AE222" s="5099"/>
      <c r="AF222" s="5099"/>
    </row>
    <row r="223" spans="1:32" ht="18" customHeight="1" thickBot="1">
      <c r="B223" s="1265"/>
      <c r="C223" s="1265"/>
      <c r="D223" s="1265"/>
      <c r="E223" s="1265"/>
      <c r="F223" s="1265"/>
      <c r="G223" s="1265"/>
      <c r="H223" s="1265"/>
      <c r="I223" s="1265"/>
      <c r="J223" s="1265"/>
      <c r="K223" s="1265"/>
      <c r="L223" s="1265"/>
      <c r="M223" s="1265"/>
      <c r="N223" s="1265"/>
      <c r="O223" s="1265"/>
      <c r="P223" s="1265"/>
      <c r="Q223" s="1265"/>
      <c r="R223" s="1265"/>
      <c r="S223" s="1265"/>
      <c r="T223" s="1265"/>
      <c r="U223" s="1265"/>
      <c r="V223" s="1265"/>
      <c r="W223" s="1265"/>
      <c r="X223" s="1265"/>
      <c r="Y223" s="1265"/>
      <c r="Z223" s="1265"/>
      <c r="AA223" s="1265"/>
      <c r="AB223" s="1265"/>
      <c r="AC223" s="1265"/>
      <c r="AD223" s="1265"/>
      <c r="AE223" s="1265"/>
    </row>
    <row r="224" spans="1:32" ht="18" customHeight="1" thickBot="1">
      <c r="A224" s="669" t="s">
        <v>614</v>
      </c>
      <c r="B224" s="1266">
        <v>1</v>
      </c>
      <c r="C224" s="1216">
        <v>2</v>
      </c>
      <c r="D224" s="1267">
        <v>3</v>
      </c>
      <c r="E224" s="1267">
        <v>4</v>
      </c>
      <c r="F224" s="1216">
        <v>5</v>
      </c>
      <c r="G224" s="1216">
        <v>6</v>
      </c>
      <c r="H224" s="1216">
        <v>7</v>
      </c>
      <c r="I224" s="1216">
        <v>8</v>
      </c>
      <c r="J224" s="1216">
        <v>9</v>
      </c>
      <c r="K224" s="1268">
        <v>10</v>
      </c>
      <c r="L224" s="1268">
        <v>11</v>
      </c>
      <c r="M224" s="1216">
        <v>12</v>
      </c>
      <c r="N224" s="1216">
        <v>13</v>
      </c>
      <c r="O224" s="1216">
        <v>14</v>
      </c>
      <c r="P224" s="1216">
        <v>15</v>
      </c>
      <c r="Q224" s="1216">
        <v>16</v>
      </c>
      <c r="R224" s="1268">
        <v>17</v>
      </c>
      <c r="S224" s="1268">
        <v>18</v>
      </c>
      <c r="T224" s="1216">
        <v>19</v>
      </c>
      <c r="U224" s="1216">
        <v>20</v>
      </c>
      <c r="V224" s="1216">
        <v>21</v>
      </c>
      <c r="W224" s="1216">
        <v>22</v>
      </c>
      <c r="X224" s="1216">
        <v>23</v>
      </c>
      <c r="Y224" s="1268">
        <v>24</v>
      </c>
      <c r="Z224" s="1268">
        <v>25</v>
      </c>
      <c r="AA224" s="1216">
        <v>26</v>
      </c>
      <c r="AB224" s="1216">
        <v>27</v>
      </c>
      <c r="AC224" s="1216">
        <v>28</v>
      </c>
      <c r="AD224" s="1216">
        <v>29</v>
      </c>
      <c r="AE224" s="1119">
        <v>30</v>
      </c>
      <c r="AF224" s="1269">
        <v>31</v>
      </c>
    </row>
    <row r="225" spans="1:32" ht="12.75">
      <c r="A225" s="5100" t="s">
        <v>312</v>
      </c>
      <c r="B225" s="5101"/>
      <c r="C225" s="5101"/>
      <c r="D225" s="5096"/>
      <c r="E225" s="5096"/>
      <c r="F225" s="5102"/>
      <c r="G225" s="5102"/>
      <c r="H225" s="5101"/>
      <c r="I225" s="5101"/>
      <c r="J225" s="5101"/>
      <c r="K225" s="5101"/>
      <c r="L225" s="5101"/>
      <c r="M225" s="5101"/>
      <c r="N225" s="5101"/>
      <c r="O225" s="5101"/>
      <c r="P225" s="5102"/>
      <c r="Q225" s="5102"/>
      <c r="R225" s="5101"/>
      <c r="S225" s="5101"/>
      <c r="T225" s="5101"/>
      <c r="U225" s="5101"/>
      <c r="V225" s="5101"/>
      <c r="W225" s="5101"/>
      <c r="X225" s="5101"/>
      <c r="Y225" s="5096"/>
      <c r="Z225" s="5096"/>
      <c r="AA225" s="5102"/>
      <c r="AB225" s="5102"/>
      <c r="AC225" s="5101"/>
      <c r="AD225" s="5101"/>
      <c r="AE225" s="1270"/>
      <c r="AF225" s="1271"/>
    </row>
    <row r="226" spans="1:32" ht="18" customHeight="1">
      <c r="A226" s="5103" t="s">
        <v>313</v>
      </c>
      <c r="B226" s="4827"/>
      <c r="C226" s="5104" t="s">
        <v>40</v>
      </c>
      <c r="D226" s="4811"/>
      <c r="E226" s="4811"/>
      <c r="F226" s="4794" t="s">
        <v>40</v>
      </c>
      <c r="G226" s="4794" t="s">
        <v>40</v>
      </c>
      <c r="H226" s="4827" t="s">
        <v>673</v>
      </c>
      <c r="I226" s="4827" t="s">
        <v>673</v>
      </c>
      <c r="J226" s="4827" t="s">
        <v>40</v>
      </c>
      <c r="K226" s="4827"/>
      <c r="L226" s="4827"/>
      <c r="M226" s="4827" t="s">
        <v>40</v>
      </c>
      <c r="N226" s="4827" t="s">
        <v>40</v>
      </c>
      <c r="O226" s="4827" t="s">
        <v>40</v>
      </c>
      <c r="P226" s="4827" t="s">
        <v>40</v>
      </c>
      <c r="Q226" s="4794" t="s">
        <v>40</v>
      </c>
      <c r="R226" s="4827"/>
      <c r="S226" s="4827"/>
      <c r="T226" s="4827" t="s">
        <v>40</v>
      </c>
      <c r="U226" s="4827" t="s">
        <v>40</v>
      </c>
      <c r="V226" s="4827" t="s">
        <v>40</v>
      </c>
      <c r="W226" s="4827" t="s">
        <v>40</v>
      </c>
      <c r="X226" s="4827" t="s">
        <v>40</v>
      </c>
      <c r="Y226" s="4811"/>
      <c r="Z226" s="4811"/>
      <c r="AA226" s="4794" t="s">
        <v>40</v>
      </c>
      <c r="AB226" s="4794" t="s">
        <v>40</v>
      </c>
      <c r="AC226" s="4827" t="s">
        <v>40</v>
      </c>
      <c r="AD226" s="4827" t="s">
        <v>40</v>
      </c>
      <c r="AE226" s="4794" t="s">
        <v>40</v>
      </c>
      <c r="AF226" s="1233"/>
    </row>
    <row r="227" spans="1:32" ht="12.75">
      <c r="A227" s="5105" t="s">
        <v>314</v>
      </c>
      <c r="B227" s="5106"/>
      <c r="C227" s="5106"/>
      <c r="D227" s="5106"/>
      <c r="E227" s="5107"/>
      <c r="F227" s="5107"/>
      <c r="G227" s="5107"/>
      <c r="H227" s="5106"/>
      <c r="I227" s="5106"/>
      <c r="J227" s="5106"/>
      <c r="K227" s="5106"/>
      <c r="L227" s="5107"/>
      <c r="M227" s="5107"/>
      <c r="N227" s="5107"/>
      <c r="O227" s="5107"/>
      <c r="P227" s="5107"/>
      <c r="Q227" s="5106"/>
      <c r="R227" s="5106"/>
      <c r="S227" s="5107"/>
      <c r="T227" s="5107"/>
      <c r="U227" s="5107"/>
      <c r="V227" s="5107"/>
      <c r="W227" s="5107"/>
      <c r="X227" s="5106"/>
      <c r="Y227" s="5106"/>
      <c r="Z227" s="5107"/>
      <c r="AA227" s="5107"/>
      <c r="AB227" s="5107"/>
      <c r="AC227" s="5107"/>
      <c r="AD227" s="5107"/>
      <c r="AE227" s="5107"/>
      <c r="AF227" s="1271"/>
    </row>
    <row r="228" spans="1:32" ht="15.75" customHeight="1">
      <c r="A228" s="5082" t="s">
        <v>315</v>
      </c>
      <c r="B228" s="4827"/>
      <c r="C228" s="5104" t="s">
        <v>40</v>
      </c>
      <c r="D228" s="4811"/>
      <c r="E228" s="4811"/>
      <c r="F228" s="4794" t="s">
        <v>40</v>
      </c>
      <c r="G228" s="4794" t="s">
        <v>40</v>
      </c>
      <c r="H228" s="4827" t="s">
        <v>40</v>
      </c>
      <c r="I228" s="4827" t="s">
        <v>673</v>
      </c>
      <c r="J228" s="4827" t="s">
        <v>40</v>
      </c>
      <c r="K228" s="4827"/>
      <c r="L228" s="4827"/>
      <c r="M228" s="4827" t="s">
        <v>40</v>
      </c>
      <c r="N228" s="4827" t="s">
        <v>40</v>
      </c>
      <c r="O228" s="4827" t="s">
        <v>40</v>
      </c>
      <c r="P228" s="4827" t="s">
        <v>40</v>
      </c>
      <c r="Q228" s="4794" t="s">
        <v>40</v>
      </c>
      <c r="R228" s="4827"/>
      <c r="S228" s="4827"/>
      <c r="T228" s="4827" t="s">
        <v>40</v>
      </c>
      <c r="U228" s="4827" t="s">
        <v>40</v>
      </c>
      <c r="V228" s="4827" t="s">
        <v>40</v>
      </c>
      <c r="W228" s="4827" t="s">
        <v>40</v>
      </c>
      <c r="X228" s="4827" t="s">
        <v>40</v>
      </c>
      <c r="Y228" s="4811"/>
      <c r="Z228" s="4811"/>
      <c r="AA228" s="4794" t="s">
        <v>40</v>
      </c>
      <c r="AB228" s="4794" t="s">
        <v>40</v>
      </c>
      <c r="AC228" s="4827" t="s">
        <v>40</v>
      </c>
      <c r="AD228" s="4827" t="s">
        <v>40</v>
      </c>
      <c r="AE228" s="4794" t="s">
        <v>40</v>
      </c>
      <c r="AF228" s="1233"/>
    </row>
    <row r="229" spans="1:32" ht="16.5" customHeight="1">
      <c r="A229" s="5082" t="s">
        <v>316</v>
      </c>
      <c r="B229" s="4827"/>
      <c r="C229" s="4819" t="s">
        <v>40</v>
      </c>
      <c r="D229" s="4811"/>
      <c r="E229" s="4811"/>
      <c r="F229" s="4819" t="s">
        <v>40</v>
      </c>
      <c r="G229" s="4819" t="s">
        <v>40</v>
      </c>
      <c r="H229" s="4819" t="s">
        <v>40</v>
      </c>
      <c r="I229" s="4819" t="s">
        <v>40</v>
      </c>
      <c r="J229" s="4819" t="s">
        <v>40</v>
      </c>
      <c r="K229" s="4827"/>
      <c r="L229" s="4827"/>
      <c r="M229" s="4827" t="s">
        <v>40</v>
      </c>
      <c r="N229" s="4827" t="s">
        <v>40</v>
      </c>
      <c r="O229" s="4827" t="s">
        <v>40</v>
      </c>
      <c r="P229" s="4827" t="s">
        <v>40</v>
      </c>
      <c r="Q229" s="4794" t="s">
        <v>40</v>
      </c>
      <c r="R229" s="4827"/>
      <c r="S229" s="4827"/>
      <c r="T229" s="4827" t="s">
        <v>40</v>
      </c>
      <c r="U229" s="4827" t="s">
        <v>40</v>
      </c>
      <c r="V229" s="4827" t="s">
        <v>40</v>
      </c>
      <c r="W229" s="4827" t="s">
        <v>40</v>
      </c>
      <c r="X229" s="4827" t="s">
        <v>40</v>
      </c>
      <c r="Y229" s="4811"/>
      <c r="Z229" s="4811"/>
      <c r="AA229" s="4794" t="s">
        <v>40</v>
      </c>
      <c r="AB229" s="4794" t="s">
        <v>40</v>
      </c>
      <c r="AC229" s="4827" t="s">
        <v>40</v>
      </c>
      <c r="AD229" s="4827" t="s">
        <v>40</v>
      </c>
      <c r="AE229" s="4794" t="s">
        <v>40</v>
      </c>
      <c r="AF229" s="1233"/>
    </row>
    <row r="230" spans="1:32" ht="16.5" customHeight="1">
      <c r="A230" s="5082" t="s">
        <v>317</v>
      </c>
      <c r="B230" s="4827"/>
      <c r="C230" s="4819" t="s">
        <v>40</v>
      </c>
      <c r="D230" s="4811"/>
      <c r="E230" s="4811"/>
      <c r="F230" s="4794" t="s">
        <v>40</v>
      </c>
      <c r="G230" s="4794" t="s">
        <v>40</v>
      </c>
      <c r="H230" s="4827" t="s">
        <v>40</v>
      </c>
      <c r="I230" s="4827" t="s">
        <v>40</v>
      </c>
      <c r="J230" s="4827" t="s">
        <v>40</v>
      </c>
      <c r="K230" s="4827"/>
      <c r="L230" s="4827"/>
      <c r="M230" s="4827" t="s">
        <v>40</v>
      </c>
      <c r="N230" s="4827" t="s">
        <v>40</v>
      </c>
      <c r="O230" s="5108" t="s">
        <v>40</v>
      </c>
      <c r="P230" s="4827" t="s">
        <v>40</v>
      </c>
      <c r="Q230" s="4794" t="s">
        <v>40</v>
      </c>
      <c r="R230" s="4827" t="s">
        <v>40</v>
      </c>
      <c r="S230" s="4827" t="s">
        <v>376</v>
      </c>
      <c r="T230" s="4827" t="s">
        <v>40</v>
      </c>
      <c r="U230" s="4827" t="s">
        <v>40</v>
      </c>
      <c r="V230" s="4827" t="s">
        <v>40</v>
      </c>
      <c r="W230" s="4827" t="s">
        <v>40</v>
      </c>
      <c r="X230" s="4827" t="s">
        <v>40</v>
      </c>
      <c r="Y230" s="4811"/>
      <c r="Z230" s="4811"/>
      <c r="AA230" s="4794" t="s">
        <v>40</v>
      </c>
      <c r="AB230" s="4794" t="s">
        <v>40</v>
      </c>
      <c r="AC230" s="4827" t="s">
        <v>40</v>
      </c>
      <c r="AD230" s="4827" t="s">
        <v>40</v>
      </c>
      <c r="AE230" s="4794" t="s">
        <v>40</v>
      </c>
      <c r="AF230" s="1233"/>
    </row>
    <row r="231" spans="1:32" ht="12.75">
      <c r="A231" s="5105" t="s">
        <v>318</v>
      </c>
      <c r="B231" s="5106"/>
      <c r="C231" s="5106"/>
      <c r="D231" s="5106"/>
      <c r="E231" s="5107"/>
      <c r="F231" s="5107"/>
      <c r="G231" s="5107"/>
      <c r="H231" s="5106"/>
      <c r="I231" s="5106"/>
      <c r="J231" s="5106"/>
      <c r="K231" s="5106"/>
      <c r="L231" s="5107"/>
      <c r="M231" s="5107"/>
      <c r="N231" s="5107"/>
      <c r="O231" s="5107"/>
      <c r="P231" s="5107"/>
      <c r="Q231" s="5106"/>
      <c r="R231" s="5106"/>
      <c r="S231" s="5107"/>
      <c r="T231" s="5107"/>
      <c r="U231" s="5107"/>
      <c r="V231" s="5107"/>
      <c r="W231" s="5107"/>
      <c r="X231" s="5106"/>
      <c r="Y231" s="5106"/>
      <c r="Z231" s="5107"/>
      <c r="AA231" s="5107"/>
      <c r="AB231" s="5107"/>
      <c r="AC231" s="5107"/>
      <c r="AD231" s="5107"/>
      <c r="AE231" s="5107"/>
      <c r="AF231" s="1271"/>
    </row>
    <row r="232" spans="1:32" ht="18" customHeight="1">
      <c r="A232" s="5082" t="s">
        <v>319</v>
      </c>
      <c r="B232" s="4827"/>
      <c r="C232" s="4819" t="s">
        <v>40</v>
      </c>
      <c r="D232" s="4811"/>
      <c r="E232" s="4811"/>
      <c r="F232" s="4794" t="s">
        <v>40</v>
      </c>
      <c r="G232" s="4794" t="s">
        <v>40</v>
      </c>
      <c r="H232" s="4827" t="s">
        <v>40</v>
      </c>
      <c r="I232" s="4827" t="s">
        <v>40</v>
      </c>
      <c r="J232" s="4827" t="s">
        <v>40</v>
      </c>
      <c r="K232" s="4827"/>
      <c r="L232" s="4827"/>
      <c r="M232" s="4827" t="s">
        <v>40</v>
      </c>
      <c r="N232" s="4827" t="s">
        <v>40</v>
      </c>
      <c r="O232" s="4827" t="s">
        <v>40</v>
      </c>
      <c r="P232" s="4827" t="s">
        <v>40</v>
      </c>
      <c r="Q232" s="4794" t="s">
        <v>40</v>
      </c>
      <c r="R232" s="4827"/>
      <c r="S232" s="4827"/>
      <c r="T232" s="4827" t="s">
        <v>40</v>
      </c>
      <c r="U232" s="4827" t="s">
        <v>40</v>
      </c>
      <c r="V232" s="4827" t="s">
        <v>40</v>
      </c>
      <c r="W232" s="4827" t="s">
        <v>40</v>
      </c>
      <c r="X232" s="4827" t="s">
        <v>40</v>
      </c>
      <c r="Y232" s="4811"/>
      <c r="Z232" s="4811"/>
      <c r="AA232" s="4794" t="s">
        <v>40</v>
      </c>
      <c r="AB232" s="4794" t="s">
        <v>40</v>
      </c>
      <c r="AC232" s="4827" t="s">
        <v>40</v>
      </c>
      <c r="AD232" s="4827" t="s">
        <v>40</v>
      </c>
      <c r="AE232" s="4794" t="s">
        <v>40</v>
      </c>
      <c r="AF232" s="1233"/>
    </row>
    <row r="233" spans="1:32" ht="17.25" customHeight="1">
      <c r="A233" s="5082" t="s">
        <v>320</v>
      </c>
      <c r="B233" s="4827"/>
      <c r="C233" s="4819" t="s">
        <v>40</v>
      </c>
      <c r="D233" s="4811"/>
      <c r="E233" s="4811"/>
      <c r="F233" s="4794" t="s">
        <v>40</v>
      </c>
      <c r="G233" s="4794" t="s">
        <v>40</v>
      </c>
      <c r="H233" s="4827" t="s">
        <v>40</v>
      </c>
      <c r="I233" s="4827" t="s">
        <v>40</v>
      </c>
      <c r="J233" s="4827" t="s">
        <v>40</v>
      </c>
      <c r="K233" s="4827"/>
      <c r="L233" s="4827"/>
      <c r="M233" s="4827" t="s">
        <v>40</v>
      </c>
      <c r="N233" s="4827" t="s">
        <v>40</v>
      </c>
      <c r="O233" s="4827" t="s">
        <v>40</v>
      </c>
      <c r="P233" s="4827" t="s">
        <v>40</v>
      </c>
      <c r="Q233" s="4794" t="s">
        <v>40</v>
      </c>
      <c r="R233" s="4827"/>
      <c r="S233" s="4827"/>
      <c r="T233" s="4827" t="s">
        <v>40</v>
      </c>
      <c r="U233" s="4827" t="s">
        <v>40</v>
      </c>
      <c r="V233" s="4827" t="s">
        <v>40</v>
      </c>
      <c r="W233" s="4827" t="s">
        <v>40</v>
      </c>
      <c r="X233" s="4827" t="s">
        <v>40</v>
      </c>
      <c r="Y233" s="4811"/>
      <c r="Z233" s="4811"/>
      <c r="AA233" s="4794" t="s">
        <v>40</v>
      </c>
      <c r="AB233" s="4794" t="s">
        <v>40</v>
      </c>
      <c r="AC233" s="4827" t="s">
        <v>40</v>
      </c>
      <c r="AD233" s="4827" t="s">
        <v>40</v>
      </c>
      <c r="AE233" s="4794" t="s">
        <v>40</v>
      </c>
      <c r="AF233" s="1233"/>
    </row>
    <row r="234" spans="1:32" ht="20.25" customHeight="1">
      <c r="A234" s="5082" t="s">
        <v>321</v>
      </c>
      <c r="B234" s="4827"/>
      <c r="C234" s="4819" t="s">
        <v>40</v>
      </c>
      <c r="D234" s="4811"/>
      <c r="E234" s="4811"/>
      <c r="F234" s="4794" t="s">
        <v>40</v>
      </c>
      <c r="G234" s="4794" t="s">
        <v>40</v>
      </c>
      <c r="H234" s="4827" t="s">
        <v>40</v>
      </c>
      <c r="I234" s="4827" t="s">
        <v>40</v>
      </c>
      <c r="J234" s="4827" t="s">
        <v>40</v>
      </c>
      <c r="K234" s="4827"/>
      <c r="L234" s="4827"/>
      <c r="M234" s="4827" t="s">
        <v>40</v>
      </c>
      <c r="N234" s="4827" t="s">
        <v>40</v>
      </c>
      <c r="O234" s="4827" t="s">
        <v>40</v>
      </c>
      <c r="P234" s="4827" t="s">
        <v>40</v>
      </c>
      <c r="Q234" s="4794" t="s">
        <v>40</v>
      </c>
      <c r="R234" s="4827"/>
      <c r="S234" s="4827"/>
      <c r="T234" s="4827" t="s">
        <v>40</v>
      </c>
      <c r="U234" s="4827" t="s">
        <v>40</v>
      </c>
      <c r="V234" s="4827" t="s">
        <v>40</v>
      </c>
      <c r="W234" s="4827" t="s">
        <v>40</v>
      </c>
      <c r="X234" s="4827" t="s">
        <v>40</v>
      </c>
      <c r="Y234" s="4811"/>
      <c r="Z234" s="4811"/>
      <c r="AA234" s="4794" t="s">
        <v>40</v>
      </c>
      <c r="AB234" s="4794" t="s">
        <v>40</v>
      </c>
      <c r="AC234" s="4827" t="s">
        <v>40</v>
      </c>
      <c r="AD234" s="4827" t="s">
        <v>40</v>
      </c>
      <c r="AE234" s="4794" t="s">
        <v>40</v>
      </c>
      <c r="AF234" s="1233"/>
    </row>
    <row r="235" spans="1:32" ht="18" customHeight="1">
      <c r="A235" s="5082" t="s">
        <v>322</v>
      </c>
      <c r="B235" s="4827"/>
      <c r="C235" s="4819" t="s">
        <v>40</v>
      </c>
      <c r="D235" s="4811"/>
      <c r="E235" s="4811"/>
      <c r="F235" s="4794" t="s">
        <v>40</v>
      </c>
      <c r="G235" s="4794" t="s">
        <v>40</v>
      </c>
      <c r="H235" s="4827" t="s">
        <v>40</v>
      </c>
      <c r="I235" s="4827" t="s">
        <v>40</v>
      </c>
      <c r="J235" s="4792" t="s">
        <v>40</v>
      </c>
      <c r="K235" s="4792"/>
      <c r="L235" s="5027"/>
      <c r="M235" s="4827" t="s">
        <v>40</v>
      </c>
      <c r="N235" s="4827" t="s">
        <v>40</v>
      </c>
      <c r="O235" s="4827" t="s">
        <v>40</v>
      </c>
      <c r="P235" s="4827" t="s">
        <v>40</v>
      </c>
      <c r="Q235" s="4794" t="s">
        <v>40</v>
      </c>
      <c r="R235" s="4827"/>
      <c r="S235" s="4827"/>
      <c r="T235" s="4827" t="s">
        <v>40</v>
      </c>
      <c r="U235" s="4827" t="s">
        <v>40</v>
      </c>
      <c r="V235" s="4827" t="s">
        <v>40</v>
      </c>
      <c r="W235" s="4827" t="s">
        <v>40</v>
      </c>
      <c r="X235" s="4827" t="s">
        <v>40</v>
      </c>
      <c r="Y235" s="4811"/>
      <c r="Z235" s="4811"/>
      <c r="AA235" s="4794" t="s">
        <v>40</v>
      </c>
      <c r="AB235" s="4794" t="s">
        <v>40</v>
      </c>
      <c r="AC235" s="4827" t="s">
        <v>40</v>
      </c>
      <c r="AD235" s="4827" t="s">
        <v>40</v>
      </c>
      <c r="AE235" s="4794" t="s">
        <v>40</v>
      </c>
      <c r="AF235" s="1233"/>
    </row>
    <row r="236" spans="1:32" ht="18" customHeight="1">
      <c r="A236" s="5082" t="s">
        <v>323</v>
      </c>
      <c r="B236" s="4827"/>
      <c r="C236" s="4819" t="s">
        <v>40</v>
      </c>
      <c r="D236" s="4811"/>
      <c r="E236" s="4811"/>
      <c r="F236" s="4794" t="s">
        <v>40</v>
      </c>
      <c r="G236" s="4794" t="s">
        <v>40</v>
      </c>
      <c r="H236" s="4827" t="s">
        <v>40</v>
      </c>
      <c r="I236" s="4827" t="s">
        <v>40</v>
      </c>
      <c r="J236" s="4827" t="s">
        <v>40</v>
      </c>
      <c r="K236" s="4827"/>
      <c r="L236" s="4827"/>
      <c r="M236" s="4827" t="s">
        <v>40</v>
      </c>
      <c r="N236" s="4827" t="s">
        <v>40</v>
      </c>
      <c r="O236" s="4827" t="s">
        <v>40</v>
      </c>
      <c r="P236" s="4827" t="s">
        <v>40</v>
      </c>
      <c r="Q236" s="4792" t="s">
        <v>40</v>
      </c>
      <c r="R236" s="4792"/>
      <c r="S236" s="4792"/>
      <c r="T236" s="4827" t="s">
        <v>40</v>
      </c>
      <c r="U236" s="4827" t="s">
        <v>40</v>
      </c>
      <c r="V236" s="4827" t="s">
        <v>40</v>
      </c>
      <c r="W236" s="4827" t="s">
        <v>40</v>
      </c>
      <c r="X236" s="4827" t="s">
        <v>40</v>
      </c>
      <c r="Y236" s="4811"/>
      <c r="Z236" s="4811"/>
      <c r="AA236" s="4794" t="s">
        <v>40</v>
      </c>
      <c r="AB236" s="4794" t="s">
        <v>40</v>
      </c>
      <c r="AC236" s="4827" t="s">
        <v>40</v>
      </c>
      <c r="AD236" s="4827" t="s">
        <v>40</v>
      </c>
      <c r="AE236" s="4794" t="s">
        <v>40</v>
      </c>
      <c r="AF236" s="1233"/>
    </row>
    <row r="237" spans="1:32" ht="18.75" customHeight="1">
      <c r="A237" s="5082" t="s">
        <v>324</v>
      </c>
      <c r="B237" s="4827"/>
      <c r="C237" s="4819" t="s">
        <v>40</v>
      </c>
      <c r="D237" s="4811"/>
      <c r="E237" s="4811"/>
      <c r="F237" s="4794" t="s">
        <v>40</v>
      </c>
      <c r="G237" s="4794" t="s">
        <v>40</v>
      </c>
      <c r="H237" s="4827" t="s">
        <v>40</v>
      </c>
      <c r="I237" s="4827" t="s">
        <v>40</v>
      </c>
      <c r="J237" s="4827" t="s">
        <v>40</v>
      </c>
      <c r="K237" s="4827"/>
      <c r="L237" s="4827"/>
      <c r="M237" s="4827" t="s">
        <v>40</v>
      </c>
      <c r="N237" s="4827" t="s">
        <v>40</v>
      </c>
      <c r="O237" s="4827" t="s">
        <v>40</v>
      </c>
      <c r="P237" s="4827" t="s">
        <v>40</v>
      </c>
      <c r="Q237" s="4794" t="s">
        <v>40</v>
      </c>
      <c r="R237" s="4827"/>
      <c r="S237" s="4827"/>
      <c r="T237" s="4827" t="s">
        <v>40</v>
      </c>
      <c r="U237" s="4827" t="s">
        <v>40</v>
      </c>
      <c r="V237" s="4827" t="s">
        <v>40</v>
      </c>
      <c r="W237" s="4827" t="s">
        <v>40</v>
      </c>
      <c r="X237" s="4827" t="s">
        <v>40</v>
      </c>
      <c r="Y237" s="4811"/>
      <c r="Z237" s="4811"/>
      <c r="AA237" s="4794" t="s">
        <v>40</v>
      </c>
      <c r="AB237" s="4794" t="s">
        <v>40</v>
      </c>
      <c r="AC237" s="4827" t="s">
        <v>40</v>
      </c>
      <c r="AD237" s="4827" t="s">
        <v>40</v>
      </c>
      <c r="AE237" s="4794" t="s">
        <v>40</v>
      </c>
      <c r="AF237" s="1233"/>
    </row>
    <row r="238" spans="1:32" ht="17.25" customHeight="1">
      <c r="A238" s="5082" t="s">
        <v>326</v>
      </c>
      <c r="B238" s="4827"/>
      <c r="C238" s="4819" t="s">
        <v>40</v>
      </c>
      <c r="D238" s="4792"/>
      <c r="E238" s="4792"/>
      <c r="F238" s="4792" t="s">
        <v>40</v>
      </c>
      <c r="G238" s="4794" t="s">
        <v>40</v>
      </c>
      <c r="H238" s="4827" t="s">
        <v>40</v>
      </c>
      <c r="I238" s="4827" t="s">
        <v>40</v>
      </c>
      <c r="J238" s="4827" t="s">
        <v>40</v>
      </c>
      <c r="K238" s="4827"/>
      <c r="L238" s="4827"/>
      <c r="M238" s="4827" t="s">
        <v>40</v>
      </c>
      <c r="N238" s="4827" t="s">
        <v>40</v>
      </c>
      <c r="O238" s="4827" t="s">
        <v>40</v>
      </c>
      <c r="P238" s="4827" t="s">
        <v>40</v>
      </c>
      <c r="Q238" s="4794" t="s">
        <v>40</v>
      </c>
      <c r="R238" s="4827"/>
      <c r="S238" s="4827"/>
      <c r="T238" s="4827" t="s">
        <v>40</v>
      </c>
      <c r="U238" s="4827" t="s">
        <v>40</v>
      </c>
      <c r="V238" s="4827" t="s">
        <v>40</v>
      </c>
      <c r="W238" s="4827" t="s">
        <v>40</v>
      </c>
      <c r="X238" s="4827" t="s">
        <v>40</v>
      </c>
      <c r="Y238" s="4811"/>
      <c r="Z238" s="4811"/>
      <c r="AA238" s="4794" t="s">
        <v>40</v>
      </c>
      <c r="AB238" s="4794" t="s">
        <v>40</v>
      </c>
      <c r="AC238" s="4827" t="s">
        <v>40</v>
      </c>
      <c r="AD238" s="4827" t="s">
        <v>40</v>
      </c>
      <c r="AE238" s="4794" t="s">
        <v>40</v>
      </c>
      <c r="AF238" s="1233"/>
    </row>
    <row r="239" spans="1:32" ht="12.75">
      <c r="A239" s="5105" t="s">
        <v>327</v>
      </c>
      <c r="B239" s="5106"/>
      <c r="C239" s="5106"/>
      <c r="D239" s="5106"/>
      <c r="E239" s="5107"/>
      <c r="F239" s="5107"/>
      <c r="G239" s="5107"/>
      <c r="H239" s="5106"/>
      <c r="I239" s="5106"/>
      <c r="J239" s="5106"/>
      <c r="K239" s="5106"/>
      <c r="L239" s="5107"/>
      <c r="M239" s="5107"/>
      <c r="N239" s="5107"/>
      <c r="O239" s="5107"/>
      <c r="P239" s="5107"/>
      <c r="Q239" s="5106"/>
      <c r="R239" s="5106"/>
      <c r="S239" s="5107"/>
      <c r="T239" s="5107"/>
      <c r="U239" s="5107"/>
      <c r="V239" s="5107"/>
      <c r="W239" s="5107"/>
      <c r="X239" s="5106"/>
      <c r="Y239" s="5106"/>
      <c r="Z239" s="5107"/>
      <c r="AA239" s="5107"/>
      <c r="AB239" s="5107"/>
      <c r="AC239" s="5107"/>
      <c r="AD239" s="5107"/>
      <c r="AE239" s="5107"/>
      <c r="AF239" s="1271"/>
    </row>
    <row r="240" spans="1:32" ht="15.75" customHeight="1">
      <c r="A240" s="5082" t="s">
        <v>328</v>
      </c>
      <c r="B240" s="4827"/>
      <c r="C240" s="4819" t="s">
        <v>40</v>
      </c>
      <c r="D240" s="5109"/>
      <c r="E240" s="5109"/>
      <c r="F240" s="5109" t="s">
        <v>40</v>
      </c>
      <c r="G240" s="5110" t="s">
        <v>40</v>
      </c>
      <c r="H240" s="5111" t="s">
        <v>40</v>
      </c>
      <c r="I240" s="4827" t="s">
        <v>40</v>
      </c>
      <c r="J240" s="4827" t="s">
        <v>40</v>
      </c>
      <c r="K240" s="4827"/>
      <c r="L240" s="4827"/>
      <c r="M240" s="4827" t="s">
        <v>40</v>
      </c>
      <c r="N240" s="4827" t="s">
        <v>40</v>
      </c>
      <c r="O240" s="4827" t="s">
        <v>40</v>
      </c>
      <c r="P240" s="4827" t="s">
        <v>40</v>
      </c>
      <c r="Q240" s="4794" t="s">
        <v>40</v>
      </c>
      <c r="R240" s="4827"/>
      <c r="S240" s="4827"/>
      <c r="T240" s="4827" t="s">
        <v>40</v>
      </c>
      <c r="U240" s="4827" t="s">
        <v>40</v>
      </c>
      <c r="V240" s="4827" t="s">
        <v>40</v>
      </c>
      <c r="W240" s="4827" t="s">
        <v>40</v>
      </c>
      <c r="X240" s="4792" t="s">
        <v>40</v>
      </c>
      <c r="Y240" s="4792"/>
      <c r="Z240" s="4811"/>
      <c r="AA240" s="4794" t="s">
        <v>40</v>
      </c>
      <c r="AB240" s="4794" t="s">
        <v>40</v>
      </c>
      <c r="AC240" s="4827" t="s">
        <v>40</v>
      </c>
      <c r="AD240" s="4827" t="s">
        <v>40</v>
      </c>
      <c r="AE240" s="4794" t="s">
        <v>40</v>
      </c>
      <c r="AF240" s="1233"/>
    </row>
    <row r="241" spans="1:32" ht="19.5" customHeight="1" thickBot="1">
      <c r="A241" s="965" t="s">
        <v>329</v>
      </c>
      <c r="B241" s="5034"/>
      <c r="C241" s="5112" t="s">
        <v>40</v>
      </c>
      <c r="D241" s="5033"/>
      <c r="E241" s="5033"/>
      <c r="F241" s="4802" t="s">
        <v>40</v>
      </c>
      <c r="G241" s="4802" t="s">
        <v>40</v>
      </c>
      <c r="H241" s="5034" t="s">
        <v>40</v>
      </c>
      <c r="I241" s="5034" t="s">
        <v>40</v>
      </c>
      <c r="J241" s="5113" t="s">
        <v>40</v>
      </c>
      <c r="K241" s="5113"/>
      <c r="L241" s="5113"/>
      <c r="M241" s="5114" t="s">
        <v>325</v>
      </c>
      <c r="N241" s="5034" t="s">
        <v>40</v>
      </c>
      <c r="O241" s="5034" t="s">
        <v>40</v>
      </c>
      <c r="P241" s="5034" t="s">
        <v>40</v>
      </c>
      <c r="Q241" s="4802" t="s">
        <v>40</v>
      </c>
      <c r="R241" s="4802"/>
      <c r="S241" s="4802"/>
      <c r="T241" s="4802" t="s">
        <v>40</v>
      </c>
      <c r="U241" s="4802" t="s">
        <v>40</v>
      </c>
      <c r="V241" s="4802" t="s">
        <v>40</v>
      </c>
      <c r="W241" s="4802" t="s">
        <v>40</v>
      </c>
      <c r="X241" s="5034" t="s">
        <v>40</v>
      </c>
      <c r="Y241" s="5033"/>
      <c r="Z241" s="5033"/>
      <c r="AA241" s="4802" t="s">
        <v>40</v>
      </c>
      <c r="AB241" s="4802" t="s">
        <v>40</v>
      </c>
      <c r="AC241" s="4802" t="s">
        <v>40</v>
      </c>
      <c r="AD241" s="4802" t="s">
        <v>40</v>
      </c>
      <c r="AE241" s="4802" t="s">
        <v>40</v>
      </c>
      <c r="AF241" s="1240"/>
    </row>
  </sheetData>
  <sheetProtection sheet="1" objects="1" scenarios="1"/>
  <protectedRanges>
    <protectedRange algorithmName="SHA-512" hashValue="Q5LeWj4todAnf+r/WsjvqcEdbiVuqEUf7g8iRgWLe9Cwh9uBEh3MFELZfjgcQSaYyPlSyJMfqoxQF22eirT6zA==" saltValue="Tzokoji+zbBMfr+o4sqwAw==" spinCount="100000" sqref="B29:AF30 B28:N28 P28:AF28 B11:AF27" name="Område1"/>
  </protectedRanges>
  <mergeCells count="94">
    <mergeCell ref="G63:H64"/>
    <mergeCell ref="E2:F2"/>
    <mergeCell ref="AC2:AF2"/>
    <mergeCell ref="G2:I2"/>
    <mergeCell ref="R2:T2"/>
    <mergeCell ref="U2:V2"/>
    <mergeCell ref="W2:X2"/>
    <mergeCell ref="R188:U188"/>
    <mergeCell ref="N187:Q187"/>
    <mergeCell ref="R185:U185"/>
    <mergeCell ref="N186:Q186"/>
    <mergeCell ref="N185:Q185"/>
    <mergeCell ref="R186:U186"/>
    <mergeCell ref="R187:U187"/>
    <mergeCell ref="N188:Q188"/>
    <mergeCell ref="C190:E190"/>
    <mergeCell ref="C191:E191"/>
    <mergeCell ref="J187:M187"/>
    <mergeCell ref="F185:I185"/>
    <mergeCell ref="F186:I186"/>
    <mergeCell ref="F187:I187"/>
    <mergeCell ref="J186:M186"/>
    <mergeCell ref="J185:M185"/>
    <mergeCell ref="F188:I188"/>
    <mergeCell ref="F189:I189"/>
    <mergeCell ref="F190:I190"/>
    <mergeCell ref="F191:I191"/>
    <mergeCell ref="R189:U189"/>
    <mergeCell ref="R190:U190"/>
    <mergeCell ref="R191:U191"/>
    <mergeCell ref="R194:U194"/>
    <mergeCell ref="N195:Q195"/>
    <mergeCell ref="R195:U195"/>
    <mergeCell ref="N191:Q191"/>
    <mergeCell ref="N190:Q190"/>
    <mergeCell ref="N189:Q189"/>
    <mergeCell ref="J198:M198"/>
    <mergeCell ref="J199:M199"/>
    <mergeCell ref="J200:M200"/>
    <mergeCell ref="N194:Q194"/>
    <mergeCell ref="N196:Q196"/>
    <mergeCell ref="N197:Q197"/>
    <mergeCell ref="N198:Q198"/>
    <mergeCell ref="N199:Q199"/>
    <mergeCell ref="N200:Q200"/>
    <mergeCell ref="J197:M197"/>
    <mergeCell ref="J196:M196"/>
    <mergeCell ref="J195:M195"/>
    <mergeCell ref="J194:M194"/>
    <mergeCell ref="R196:U196"/>
    <mergeCell ref="R197:U197"/>
    <mergeCell ref="R198:U198"/>
    <mergeCell ref="R199:U199"/>
    <mergeCell ref="R200:U200"/>
    <mergeCell ref="C196:E196"/>
    <mergeCell ref="F200:I200"/>
    <mergeCell ref="F199:I199"/>
    <mergeCell ref="F198:I198"/>
    <mergeCell ref="F197:I197"/>
    <mergeCell ref="F196:I196"/>
    <mergeCell ref="B129:D129"/>
    <mergeCell ref="E129:G129"/>
    <mergeCell ref="H129:J129"/>
    <mergeCell ref="F195:I195"/>
    <mergeCell ref="F194:I194"/>
    <mergeCell ref="C195:E195"/>
    <mergeCell ref="C194:E194"/>
    <mergeCell ref="J188:M188"/>
    <mergeCell ref="J189:M189"/>
    <mergeCell ref="J190:M190"/>
    <mergeCell ref="J191:M191"/>
    <mergeCell ref="C185:E185"/>
    <mergeCell ref="C186:E186"/>
    <mergeCell ref="C187:E187"/>
    <mergeCell ref="C188:E188"/>
    <mergeCell ref="C189:E189"/>
    <mergeCell ref="K127:M127"/>
    <mergeCell ref="N127:P127"/>
    <mergeCell ref="Q127:S127"/>
    <mergeCell ref="T127:V127"/>
    <mergeCell ref="B128:D128"/>
    <mergeCell ref="E128:G128"/>
    <mergeCell ref="H128:J128"/>
    <mergeCell ref="K128:M128"/>
    <mergeCell ref="B127:D127"/>
    <mergeCell ref="E127:G127"/>
    <mergeCell ref="H127:J127"/>
    <mergeCell ref="K129:M129"/>
    <mergeCell ref="N128:P128"/>
    <mergeCell ref="Q128:S128"/>
    <mergeCell ref="T128:V128"/>
    <mergeCell ref="N129:P129"/>
    <mergeCell ref="Q129:S129"/>
    <mergeCell ref="T129:V129"/>
  </mergeCells>
  <phoneticPr fontId="10" type="noConversion"/>
  <pageMargins left="0.7" right="0.7" top="0.75" bottom="0.75" header="0.3" footer="0.3"/>
  <pageSetup paperSize="9" scale="10" orientation="landscape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26DA9D-1F07-4021-B5A8-7A3746AE774E}">
  <sheetPr codeName="Ark25">
    <pageSetUpPr fitToPage="1"/>
  </sheetPr>
  <dimension ref="A1:AF237"/>
  <sheetViews>
    <sheetView zoomScaleNormal="100" workbookViewId="0">
      <pane xSplit="1" ySplit="1" topLeftCell="B56" activePane="bottomRight" state="frozen"/>
      <selection pane="bottomRight" activeCell="C70" sqref="C70"/>
      <selection pane="bottomLeft" activeCell="A2" sqref="A2"/>
      <selection pane="topRight" activeCell="B1" sqref="B1"/>
    </sheetView>
  </sheetViews>
  <sheetFormatPr defaultRowHeight="12"/>
  <cols>
    <col min="1" max="1" width="31.28515625" customWidth="1"/>
    <col min="2" max="29" width="4.5703125" customWidth="1"/>
  </cols>
  <sheetData>
    <row r="1" spans="1:30" ht="15.75" thickBot="1">
      <c r="A1" s="674" t="s">
        <v>674</v>
      </c>
      <c r="B1" s="434">
        <v>1</v>
      </c>
      <c r="C1" s="435">
        <v>2</v>
      </c>
      <c r="D1" s="675">
        <v>3</v>
      </c>
      <c r="E1" s="675">
        <v>4</v>
      </c>
      <c r="F1" s="435">
        <v>5</v>
      </c>
      <c r="G1" s="435">
        <v>6</v>
      </c>
      <c r="H1" s="676">
        <v>7</v>
      </c>
      <c r="I1" s="676">
        <v>8</v>
      </c>
      <c r="J1" s="435">
        <v>9</v>
      </c>
      <c r="K1" s="675">
        <v>10</v>
      </c>
      <c r="L1" s="675">
        <v>11</v>
      </c>
      <c r="M1" s="435">
        <v>12</v>
      </c>
      <c r="N1" s="435">
        <v>13</v>
      </c>
      <c r="O1" s="676">
        <v>14</v>
      </c>
      <c r="P1" s="676">
        <v>15</v>
      </c>
      <c r="Q1" s="435">
        <v>16</v>
      </c>
      <c r="R1" s="675">
        <v>17</v>
      </c>
      <c r="S1" s="675">
        <v>18</v>
      </c>
      <c r="T1" s="435">
        <v>19</v>
      </c>
      <c r="U1" s="435">
        <v>20</v>
      </c>
      <c r="V1" s="676">
        <v>21</v>
      </c>
      <c r="W1" s="676">
        <v>22</v>
      </c>
      <c r="X1" s="435">
        <v>23</v>
      </c>
      <c r="Y1" s="675">
        <v>24</v>
      </c>
      <c r="Z1" s="675">
        <v>25</v>
      </c>
      <c r="AA1" s="435">
        <v>26</v>
      </c>
      <c r="AB1" s="435">
        <v>27</v>
      </c>
      <c r="AC1" s="677">
        <v>28</v>
      </c>
    </row>
    <row r="2" spans="1:30" ht="20.25" customHeight="1">
      <c r="A2" s="1" t="s">
        <v>1</v>
      </c>
      <c r="B2" s="1354" t="s">
        <v>2</v>
      </c>
      <c r="C2" s="1348"/>
      <c r="D2" s="1349"/>
      <c r="E2" s="5115" t="s">
        <v>3</v>
      </c>
      <c r="F2" s="5116"/>
      <c r="G2" s="5117" t="s">
        <v>579</v>
      </c>
      <c r="H2" s="5117"/>
      <c r="I2" s="5117"/>
      <c r="J2" s="1350" t="s">
        <v>5</v>
      </c>
      <c r="K2" s="1351" t="s">
        <v>580</v>
      </c>
      <c r="L2" s="970"/>
      <c r="M2" s="971"/>
      <c r="N2" s="972" t="s">
        <v>7</v>
      </c>
      <c r="O2" s="973"/>
      <c r="P2" s="1352" t="s">
        <v>8</v>
      </c>
      <c r="Q2" s="975"/>
      <c r="R2" s="5118" t="s">
        <v>9</v>
      </c>
      <c r="S2" s="5118"/>
      <c r="T2" s="5118"/>
      <c r="U2" s="5119" t="s">
        <v>11</v>
      </c>
      <c r="V2" s="5119"/>
      <c r="W2" s="5120" t="s">
        <v>12</v>
      </c>
      <c r="X2" s="5120"/>
      <c r="Y2" s="1353" t="s">
        <v>581</v>
      </c>
      <c r="Z2" s="977"/>
      <c r="AA2" s="978" t="s">
        <v>15</v>
      </c>
      <c r="AB2" s="979"/>
      <c r="AC2" s="5121" t="s">
        <v>582</v>
      </c>
      <c r="AD2" s="5122"/>
    </row>
    <row r="3" spans="1:30" ht="18" customHeight="1" thickBot="1">
      <c r="A3" s="310"/>
      <c r="B3" s="4"/>
      <c r="C3" s="48"/>
      <c r="D3" s="48"/>
      <c r="E3" s="48"/>
      <c r="F3" s="48"/>
      <c r="G3" s="4"/>
      <c r="H3" s="48"/>
      <c r="I3" s="48"/>
      <c r="J3" s="6"/>
      <c r="K3" s="48"/>
      <c r="L3" s="6"/>
      <c r="M3" s="6"/>
      <c r="N3" s="48"/>
      <c r="O3" s="48"/>
      <c r="P3" s="48"/>
      <c r="Q3" s="48"/>
      <c r="S3" s="6"/>
      <c r="T3" s="4"/>
      <c r="V3" s="48"/>
      <c r="W3" s="48"/>
      <c r="X3" s="4"/>
      <c r="Y3" s="48"/>
      <c r="AA3" s="48"/>
      <c r="AB3" s="48"/>
      <c r="AC3" s="48"/>
    </row>
    <row r="4" spans="1:30" ht="18" customHeight="1">
      <c r="A4" s="498" t="s">
        <v>18</v>
      </c>
      <c r="B4" s="415"/>
      <c r="C4" s="413" t="s">
        <v>19</v>
      </c>
      <c r="D4" s="414"/>
      <c r="E4" s="415"/>
      <c r="F4" s="413" t="s">
        <v>20</v>
      </c>
      <c r="G4" s="414"/>
      <c r="H4" s="415"/>
      <c r="I4" s="413" t="s">
        <v>21</v>
      </c>
      <c r="J4" s="414"/>
      <c r="K4" s="415"/>
      <c r="L4" s="413" t="s">
        <v>22</v>
      </c>
      <c r="M4" s="414"/>
      <c r="N4" s="415"/>
      <c r="O4" s="413" t="s">
        <v>23</v>
      </c>
      <c r="P4" s="414"/>
      <c r="Q4" s="415"/>
      <c r="R4" s="413" t="s">
        <v>24</v>
      </c>
      <c r="S4" s="416"/>
      <c r="T4" s="417"/>
      <c r="U4" s="418" t="s">
        <v>25</v>
      </c>
      <c r="V4" s="419"/>
    </row>
    <row r="5" spans="1:30" ht="18" customHeight="1">
      <c r="A5" s="5123" t="s">
        <v>26</v>
      </c>
      <c r="B5" s="4461" t="s">
        <v>27</v>
      </c>
      <c r="C5" s="4462"/>
      <c r="D5" s="4463"/>
      <c r="E5" s="4461" t="s">
        <v>27</v>
      </c>
      <c r="F5" s="4464"/>
      <c r="G5" s="4464"/>
      <c r="H5" s="4461" t="s">
        <v>27</v>
      </c>
      <c r="I5" s="4464"/>
      <c r="J5" s="4463"/>
      <c r="K5" s="4461" t="s">
        <v>27</v>
      </c>
      <c r="L5" s="4464"/>
      <c r="M5" s="4463"/>
      <c r="N5" s="4461" t="s">
        <v>28</v>
      </c>
      <c r="O5" s="4464"/>
      <c r="P5" s="4463"/>
      <c r="Q5" s="4464"/>
      <c r="R5" s="4464"/>
      <c r="S5" s="4464"/>
      <c r="T5" s="4460"/>
      <c r="U5" s="4464"/>
      <c r="V5" s="5124"/>
      <c r="W5" s="111"/>
      <c r="X5" s="111"/>
      <c r="Y5" s="111"/>
      <c r="Z5" s="111"/>
      <c r="AA5" s="409"/>
      <c r="AB5" s="111"/>
      <c r="AC5" s="111"/>
    </row>
    <row r="6" spans="1:30" ht="18" customHeight="1">
      <c r="A6" s="5123" t="s">
        <v>29</v>
      </c>
      <c r="B6" s="4466" t="s">
        <v>30</v>
      </c>
      <c r="C6" s="4467"/>
      <c r="D6" s="4468"/>
      <c r="E6" s="4466" t="s">
        <v>30</v>
      </c>
      <c r="F6" s="4467"/>
      <c r="G6" s="4467"/>
      <c r="H6" s="4466" t="s">
        <v>30</v>
      </c>
      <c r="I6" s="4467"/>
      <c r="J6" s="4468"/>
      <c r="K6" s="4466" t="s">
        <v>30</v>
      </c>
      <c r="L6" s="4467"/>
      <c r="M6" s="4467"/>
      <c r="N6" s="4466" t="s">
        <v>30</v>
      </c>
      <c r="O6" s="4467"/>
      <c r="P6" s="4468"/>
      <c r="Q6" s="4469" t="s">
        <v>31</v>
      </c>
      <c r="R6" s="4470"/>
      <c r="S6" s="4470"/>
      <c r="T6" s="4471" t="s">
        <v>31</v>
      </c>
      <c r="U6" s="4470"/>
      <c r="V6" s="5125"/>
      <c r="W6" s="111"/>
      <c r="X6" s="111"/>
      <c r="Y6" s="111"/>
      <c r="Z6" s="111"/>
      <c r="AA6" s="410"/>
      <c r="AB6" s="111"/>
      <c r="AC6" s="111"/>
    </row>
    <row r="7" spans="1:30" ht="18" customHeight="1" thickBot="1">
      <c r="A7" s="420" t="s">
        <v>32</v>
      </c>
      <c r="B7" s="5126" t="s">
        <v>33</v>
      </c>
      <c r="C7" s="5127"/>
      <c r="D7" s="5128"/>
      <c r="E7" s="5126" t="s">
        <v>33</v>
      </c>
      <c r="F7" s="5129"/>
      <c r="G7" s="5129"/>
      <c r="H7" s="5126" t="s">
        <v>33</v>
      </c>
      <c r="I7" s="5129"/>
      <c r="J7" s="5130"/>
      <c r="K7" s="5126" t="s">
        <v>33</v>
      </c>
      <c r="L7" s="5129"/>
      <c r="M7" s="5130"/>
      <c r="N7" s="5126" t="s">
        <v>33</v>
      </c>
      <c r="O7" s="5129"/>
      <c r="P7" s="5130"/>
      <c r="Q7" s="5131" t="s">
        <v>34</v>
      </c>
      <c r="R7" s="5129"/>
      <c r="S7" s="5129"/>
      <c r="T7" s="5126" t="s">
        <v>35</v>
      </c>
      <c r="U7" s="5129"/>
      <c r="V7" s="5132"/>
      <c r="W7" s="111"/>
      <c r="X7" s="111"/>
      <c r="Y7" s="111"/>
      <c r="Z7" s="111"/>
      <c r="AA7" s="410"/>
      <c r="AB7" s="111"/>
      <c r="AC7" s="111"/>
    </row>
    <row r="8" spans="1:30" ht="18" customHeight="1">
      <c r="W8" s="111"/>
      <c r="X8" s="111"/>
      <c r="Y8" s="111"/>
      <c r="Z8" s="111"/>
      <c r="AA8" s="111"/>
      <c r="AB8" s="111"/>
      <c r="AC8" s="111"/>
    </row>
    <row r="9" spans="1:30" ht="18" customHeight="1" thickBot="1">
      <c r="A9" s="60" t="s">
        <v>36</v>
      </c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</row>
    <row r="10" spans="1:30" ht="18" customHeight="1" thickBot="1">
      <c r="A10" s="869" t="s">
        <v>617</v>
      </c>
      <c r="B10" s="866">
        <v>1</v>
      </c>
      <c r="C10" s="865">
        <v>2</v>
      </c>
      <c r="D10" s="865">
        <v>3</v>
      </c>
      <c r="E10" s="865">
        <v>4</v>
      </c>
      <c r="F10" s="865">
        <v>5</v>
      </c>
      <c r="G10" s="865">
        <v>6</v>
      </c>
      <c r="H10" s="866">
        <v>7</v>
      </c>
      <c r="I10" s="866">
        <v>8</v>
      </c>
      <c r="J10" s="865">
        <v>9</v>
      </c>
      <c r="K10" s="865">
        <v>10</v>
      </c>
      <c r="L10" s="865">
        <v>11</v>
      </c>
      <c r="M10" s="865">
        <v>12</v>
      </c>
      <c r="N10" s="865">
        <v>13</v>
      </c>
      <c r="O10" s="866">
        <v>14</v>
      </c>
      <c r="P10" s="866">
        <v>15</v>
      </c>
      <c r="Q10" s="865">
        <v>16</v>
      </c>
      <c r="R10" s="865">
        <v>17</v>
      </c>
      <c r="S10" s="865">
        <v>18</v>
      </c>
      <c r="T10" s="865">
        <v>19</v>
      </c>
      <c r="U10" s="865">
        <v>20</v>
      </c>
      <c r="V10" s="866">
        <v>21</v>
      </c>
      <c r="W10" s="866">
        <v>22</v>
      </c>
      <c r="X10" s="865">
        <v>23</v>
      </c>
      <c r="Y10" s="865">
        <v>24</v>
      </c>
      <c r="Z10" s="865">
        <v>25</v>
      </c>
      <c r="AA10" s="865">
        <v>26</v>
      </c>
      <c r="AB10" s="865">
        <v>27</v>
      </c>
      <c r="AC10" s="868">
        <v>28</v>
      </c>
    </row>
    <row r="11" spans="1:30" ht="18" customHeight="1">
      <c r="A11" s="4785" t="s">
        <v>39</v>
      </c>
      <c r="B11" s="2989"/>
      <c r="C11" s="2990" t="s">
        <v>40</v>
      </c>
      <c r="D11" s="2990" t="s">
        <v>40</v>
      </c>
      <c r="E11" s="2990" t="s">
        <v>40</v>
      </c>
      <c r="F11" s="2990" t="s">
        <v>40</v>
      </c>
      <c r="G11" s="2990" t="s">
        <v>40</v>
      </c>
      <c r="H11" s="2848"/>
      <c r="I11" s="2989"/>
      <c r="J11" s="2990" t="s">
        <v>40</v>
      </c>
      <c r="K11" s="2990" t="s">
        <v>40</v>
      </c>
      <c r="L11" s="2990" t="s">
        <v>40</v>
      </c>
      <c r="M11" s="2990" t="s">
        <v>40</v>
      </c>
      <c r="N11" s="2990" t="s">
        <v>40</v>
      </c>
      <c r="O11" s="2848"/>
      <c r="P11" s="2989"/>
      <c r="Q11" s="2990" t="s">
        <v>40</v>
      </c>
      <c r="R11" s="2990" t="s">
        <v>40</v>
      </c>
      <c r="S11" s="2990" t="s">
        <v>40</v>
      </c>
      <c r="T11" s="2990" t="s">
        <v>40</v>
      </c>
      <c r="U11" s="2990" t="s">
        <v>40</v>
      </c>
      <c r="V11" s="2848"/>
      <c r="W11" s="2989"/>
      <c r="X11" s="2990" t="s">
        <v>40</v>
      </c>
      <c r="Y11" s="2990" t="s">
        <v>40</v>
      </c>
      <c r="Z11" s="2990" t="s">
        <v>40</v>
      </c>
      <c r="AA11" s="2990" t="s">
        <v>40</v>
      </c>
      <c r="AB11" s="2990" t="s">
        <v>40</v>
      </c>
      <c r="AC11" s="4670"/>
    </row>
    <row r="12" spans="1:30" ht="18" customHeight="1">
      <c r="A12" s="5133" t="s">
        <v>41</v>
      </c>
      <c r="B12" s="3418"/>
      <c r="C12" s="3419" t="s">
        <v>40</v>
      </c>
      <c r="D12" s="3419" t="s">
        <v>40</v>
      </c>
      <c r="E12" s="3419" t="s">
        <v>40</v>
      </c>
      <c r="F12" s="3419" t="s">
        <v>40</v>
      </c>
      <c r="G12" s="3419" t="s">
        <v>40</v>
      </c>
      <c r="H12" s="4475"/>
      <c r="I12" s="3418"/>
      <c r="J12" s="3494" t="s">
        <v>40</v>
      </c>
      <c r="K12" s="3494" t="s">
        <v>40</v>
      </c>
      <c r="L12" s="3494" t="s">
        <v>40</v>
      </c>
      <c r="M12" s="3494" t="s">
        <v>40</v>
      </c>
      <c r="N12" s="3494" t="s">
        <v>40</v>
      </c>
      <c r="O12" s="3494"/>
      <c r="P12" s="3494"/>
      <c r="Q12" s="3419" t="s">
        <v>40</v>
      </c>
      <c r="R12" s="3419" t="s">
        <v>40</v>
      </c>
      <c r="S12" s="3419" t="s">
        <v>40</v>
      </c>
      <c r="T12" s="3419" t="s">
        <v>40</v>
      </c>
      <c r="U12" s="3419" t="s">
        <v>40</v>
      </c>
      <c r="V12" s="4475"/>
      <c r="W12" s="3418"/>
      <c r="X12" s="3419" t="s">
        <v>40</v>
      </c>
      <c r="Y12" s="3419" t="s">
        <v>40</v>
      </c>
      <c r="Z12" s="3419" t="s">
        <v>40</v>
      </c>
      <c r="AA12" s="3419" t="s">
        <v>40</v>
      </c>
      <c r="AB12" s="3419" t="s">
        <v>40</v>
      </c>
      <c r="AC12" s="5134"/>
    </row>
    <row r="13" spans="1:30" ht="18" customHeight="1" thickBot="1">
      <c r="A13" s="5133" t="s">
        <v>472</v>
      </c>
      <c r="B13" s="3523"/>
      <c r="C13" s="3419" t="s">
        <v>40</v>
      </c>
      <c r="D13" s="3419" t="s">
        <v>40</v>
      </c>
      <c r="E13" s="3419" t="s">
        <v>40</v>
      </c>
      <c r="F13" s="3419" t="s">
        <v>40</v>
      </c>
      <c r="G13" s="3419" t="s">
        <v>40</v>
      </c>
      <c r="H13" s="4475"/>
      <c r="I13" s="3418"/>
      <c r="J13" s="3419" t="s">
        <v>40</v>
      </c>
      <c r="K13" s="3419" t="s">
        <v>40</v>
      </c>
      <c r="L13" s="3419" t="s">
        <v>40</v>
      </c>
      <c r="M13" s="3419" t="s">
        <v>40</v>
      </c>
      <c r="N13" s="3419" t="s">
        <v>40</v>
      </c>
      <c r="O13" s="4475"/>
      <c r="P13" s="3418"/>
      <c r="Q13" s="3419" t="s">
        <v>40</v>
      </c>
      <c r="R13" s="3419" t="s">
        <v>40</v>
      </c>
      <c r="S13" s="3419" t="s">
        <v>40</v>
      </c>
      <c r="T13" s="3419" t="s">
        <v>40</v>
      </c>
      <c r="U13" s="3419" t="s">
        <v>40</v>
      </c>
      <c r="V13" s="4475"/>
      <c r="W13" s="3418"/>
      <c r="X13" s="3419" t="s">
        <v>40</v>
      </c>
      <c r="Y13" s="3419" t="s">
        <v>40</v>
      </c>
      <c r="Z13" s="3419" t="s">
        <v>40</v>
      </c>
      <c r="AA13" s="3419" t="s">
        <v>40</v>
      </c>
      <c r="AB13" s="3419" t="s">
        <v>40</v>
      </c>
      <c r="AC13" s="5135"/>
    </row>
    <row r="14" spans="1:30" ht="18" customHeight="1" thickBot="1">
      <c r="A14" s="495" t="s">
        <v>44</v>
      </c>
      <c r="B14" s="496"/>
      <c r="C14" s="496"/>
      <c r="D14" s="496"/>
      <c r="E14" s="496"/>
      <c r="F14" s="496"/>
      <c r="G14" s="496"/>
      <c r="H14" s="496"/>
      <c r="I14" s="496"/>
      <c r="J14" s="496"/>
      <c r="K14" s="496"/>
      <c r="L14" s="496"/>
      <c r="M14" s="496"/>
      <c r="N14" s="496"/>
      <c r="O14" s="496"/>
      <c r="P14" s="496"/>
      <c r="Q14" s="496"/>
      <c r="R14" s="496"/>
      <c r="S14" s="496"/>
      <c r="T14" s="496"/>
      <c r="U14" s="496"/>
      <c r="V14" s="496"/>
      <c r="W14" s="496"/>
      <c r="X14" s="496"/>
      <c r="Y14" s="496"/>
      <c r="Z14" s="496"/>
      <c r="AA14" s="496"/>
      <c r="AB14" s="496"/>
      <c r="AC14" s="497"/>
    </row>
    <row r="15" spans="1:30" ht="18" customHeight="1" thickBot="1">
      <c r="A15" s="5136" t="s">
        <v>97</v>
      </c>
      <c r="B15" s="3450"/>
      <c r="C15" s="578" t="s">
        <v>46</v>
      </c>
      <c r="D15" s="509" t="s">
        <v>46</v>
      </c>
      <c r="E15" s="578" t="s">
        <v>46</v>
      </c>
      <c r="F15" s="578" t="s">
        <v>46</v>
      </c>
      <c r="G15" s="578" t="s">
        <v>46</v>
      </c>
      <c r="H15" s="578" t="s">
        <v>47</v>
      </c>
      <c r="I15" s="508" t="s">
        <v>47</v>
      </c>
      <c r="J15" s="578" t="s">
        <v>26</v>
      </c>
      <c r="K15" s="578" t="s">
        <v>26</v>
      </c>
      <c r="L15" s="578" t="s">
        <v>26</v>
      </c>
      <c r="M15" s="578" t="s">
        <v>26</v>
      </c>
      <c r="N15" s="578" t="s">
        <v>26</v>
      </c>
      <c r="O15" s="578" t="s">
        <v>0</v>
      </c>
      <c r="P15" s="578"/>
      <c r="Q15" s="578" t="s">
        <v>43</v>
      </c>
      <c r="R15" s="578" t="s">
        <v>43</v>
      </c>
      <c r="S15" s="578" t="s">
        <v>43</v>
      </c>
      <c r="T15" s="578" t="s">
        <v>43</v>
      </c>
      <c r="U15" s="578" t="s">
        <v>43</v>
      </c>
      <c r="V15" s="592"/>
      <c r="W15" s="592"/>
      <c r="X15" s="578" t="s">
        <v>46</v>
      </c>
      <c r="Y15" s="578" t="s">
        <v>46</v>
      </c>
      <c r="Z15" s="578" t="s">
        <v>46</v>
      </c>
      <c r="AA15" s="578" t="s">
        <v>46</v>
      </c>
      <c r="AB15" s="578" t="s">
        <v>46</v>
      </c>
      <c r="AC15" s="564" t="s">
        <v>49</v>
      </c>
    </row>
    <row r="16" spans="1:30" ht="18" customHeight="1">
      <c r="A16" s="5137" t="s">
        <v>51</v>
      </c>
      <c r="B16" s="3432" t="s">
        <v>47</v>
      </c>
      <c r="C16" s="3432" t="s">
        <v>26</v>
      </c>
      <c r="D16" s="3432" t="s">
        <v>26</v>
      </c>
      <c r="E16" s="3432" t="s">
        <v>26</v>
      </c>
      <c r="F16" s="3432" t="s">
        <v>26</v>
      </c>
      <c r="G16" s="3432" t="s">
        <v>26</v>
      </c>
      <c r="H16" s="4457"/>
      <c r="I16" s="4457"/>
      <c r="J16" s="3432" t="s">
        <v>43</v>
      </c>
      <c r="K16" s="3432" t="s">
        <v>43</v>
      </c>
      <c r="L16" s="3432" t="s">
        <v>43</v>
      </c>
      <c r="M16" s="3432" t="s">
        <v>43</v>
      </c>
      <c r="N16" s="3432" t="s">
        <v>43</v>
      </c>
      <c r="O16" s="3432"/>
      <c r="P16" s="3432"/>
      <c r="Q16" s="3432" t="s">
        <v>46</v>
      </c>
      <c r="R16" s="3432" t="s">
        <v>46</v>
      </c>
      <c r="S16" s="5138" t="s">
        <v>46</v>
      </c>
      <c r="T16" s="5138" t="s">
        <v>46</v>
      </c>
      <c r="U16" s="5138" t="s">
        <v>46</v>
      </c>
      <c r="V16" s="3432" t="s">
        <v>49</v>
      </c>
      <c r="W16" s="3432" t="s">
        <v>49</v>
      </c>
      <c r="X16" s="3432" t="s">
        <v>50</v>
      </c>
      <c r="Y16" s="3432" t="s">
        <v>50</v>
      </c>
      <c r="Z16" s="3432" t="s">
        <v>50</v>
      </c>
      <c r="AA16" s="3432" t="s">
        <v>50</v>
      </c>
      <c r="AB16" s="3432" t="s">
        <v>50</v>
      </c>
      <c r="AC16" s="5139"/>
    </row>
    <row r="17" spans="1:32" ht="18" customHeight="1">
      <c r="A17" s="5137" t="s">
        <v>54</v>
      </c>
      <c r="B17" s="3423"/>
      <c r="C17" s="3423" t="s">
        <v>43</v>
      </c>
      <c r="D17" s="3422" t="s">
        <v>43</v>
      </c>
      <c r="E17" s="3423" t="s">
        <v>43</v>
      </c>
      <c r="F17" s="3423" t="s">
        <v>43</v>
      </c>
      <c r="G17" s="3423" t="s">
        <v>43</v>
      </c>
      <c r="H17" s="3423"/>
      <c r="I17" s="3423"/>
      <c r="J17" s="3423" t="s">
        <v>46</v>
      </c>
      <c r="K17" s="3423" t="s">
        <v>46</v>
      </c>
      <c r="L17" s="3432" t="s">
        <v>46</v>
      </c>
      <c r="M17" s="3432" t="s">
        <v>46</v>
      </c>
      <c r="N17" s="3422" t="s">
        <v>46</v>
      </c>
      <c r="O17" s="3422" t="s">
        <v>49</v>
      </c>
      <c r="P17" s="3422" t="s">
        <v>49</v>
      </c>
      <c r="Q17" s="3423" t="s">
        <v>50</v>
      </c>
      <c r="R17" s="3423" t="s">
        <v>50</v>
      </c>
      <c r="S17" s="5140" t="s">
        <v>50</v>
      </c>
      <c r="T17" s="5140" t="s">
        <v>50</v>
      </c>
      <c r="U17" s="5141" t="s">
        <v>50</v>
      </c>
      <c r="V17" s="4457"/>
      <c r="W17" s="4457"/>
      <c r="X17" s="3437" t="s">
        <v>46</v>
      </c>
      <c r="Y17" s="3437" t="s">
        <v>46</v>
      </c>
      <c r="Z17" s="3437" t="s">
        <v>46</v>
      </c>
      <c r="AA17" s="3437" t="s">
        <v>46</v>
      </c>
      <c r="AB17" s="3437" t="s">
        <v>46</v>
      </c>
      <c r="AC17" s="5142" t="s">
        <v>47</v>
      </c>
    </row>
    <row r="18" spans="1:32" ht="18" customHeight="1">
      <c r="A18" s="5133" t="s">
        <v>56</v>
      </c>
      <c r="B18" s="3418"/>
      <c r="C18" s="3423" t="s">
        <v>46</v>
      </c>
      <c r="D18" s="3441" t="s">
        <v>46</v>
      </c>
      <c r="E18" s="3418" t="s">
        <v>46</v>
      </c>
      <c r="F18" s="3423" t="s">
        <v>46</v>
      </c>
      <c r="G18" s="3418" t="s">
        <v>46</v>
      </c>
      <c r="H18" s="3422" t="s">
        <v>49</v>
      </c>
      <c r="I18" s="3422" t="s">
        <v>49</v>
      </c>
      <c r="J18" s="3423" t="s">
        <v>50</v>
      </c>
      <c r="K18" s="3422" t="s">
        <v>50</v>
      </c>
      <c r="L18" s="3422" t="s">
        <v>50</v>
      </c>
      <c r="M18" s="3423" t="s">
        <v>50</v>
      </c>
      <c r="N18" s="3422" t="s">
        <v>50</v>
      </c>
      <c r="O18" s="3422"/>
      <c r="Q18" s="3422" t="s">
        <v>46</v>
      </c>
      <c r="R18" s="3422" t="s">
        <v>46</v>
      </c>
      <c r="S18" s="5138" t="s">
        <v>46</v>
      </c>
      <c r="T18" s="5138" t="s">
        <v>46</v>
      </c>
      <c r="U18" s="5140" t="s">
        <v>46</v>
      </c>
      <c r="V18" s="3432" t="s">
        <v>47</v>
      </c>
      <c r="W18" s="3432" t="s">
        <v>47</v>
      </c>
      <c r="X18" s="3437" t="s">
        <v>26</v>
      </c>
      <c r="Y18" s="3437" t="s">
        <v>26</v>
      </c>
      <c r="Z18" s="3437" t="s">
        <v>26</v>
      </c>
      <c r="AA18" s="3437" t="s">
        <v>26</v>
      </c>
      <c r="AB18" s="3437" t="s">
        <v>26</v>
      </c>
      <c r="AC18" s="5143"/>
    </row>
    <row r="19" spans="1:32" ht="18" customHeight="1" thickBot="1">
      <c r="A19" s="5133" t="s">
        <v>0</v>
      </c>
      <c r="B19" s="3423" t="s">
        <v>0</v>
      </c>
      <c r="C19" s="3423" t="s">
        <v>50</v>
      </c>
      <c r="D19" s="3423" t="s">
        <v>50</v>
      </c>
      <c r="E19" s="3441" t="s">
        <v>50</v>
      </c>
      <c r="F19" s="3423" t="s">
        <v>50</v>
      </c>
      <c r="G19" s="3423" t="s">
        <v>50</v>
      </c>
      <c r="H19" s="4457"/>
      <c r="I19" s="3423"/>
      <c r="J19" s="3423" t="s">
        <v>46</v>
      </c>
      <c r="K19" s="3419" t="s">
        <v>46</v>
      </c>
      <c r="L19" s="3503" t="s">
        <v>46</v>
      </c>
      <c r="M19" s="3419" t="s">
        <v>46</v>
      </c>
      <c r="N19" s="3419" t="s">
        <v>46</v>
      </c>
      <c r="O19" s="3423" t="s">
        <v>47</v>
      </c>
      <c r="P19" s="3422" t="s">
        <v>47</v>
      </c>
      <c r="Q19" s="3423" t="s">
        <v>26</v>
      </c>
      <c r="R19" s="3423" t="s">
        <v>26</v>
      </c>
      <c r="S19" s="5144" t="s">
        <v>26</v>
      </c>
      <c r="T19" s="5144" t="s">
        <v>26</v>
      </c>
      <c r="U19" s="5144" t="s">
        <v>26</v>
      </c>
      <c r="V19" s="4457"/>
      <c r="W19" s="4457"/>
      <c r="X19" s="3423" t="s">
        <v>43</v>
      </c>
      <c r="Y19" s="3423" t="s">
        <v>43</v>
      </c>
      <c r="Z19" s="3423" t="s">
        <v>43</v>
      </c>
      <c r="AA19" s="3440" t="s">
        <v>43</v>
      </c>
      <c r="AB19" s="3423" t="s">
        <v>43</v>
      </c>
      <c r="AC19" s="5145"/>
    </row>
    <row r="20" spans="1:32" ht="18" customHeight="1" thickBot="1">
      <c r="A20" s="1291" t="s">
        <v>618</v>
      </c>
      <c r="B20" s="4187"/>
      <c r="C20" s="4187"/>
      <c r="D20" s="4187"/>
      <c r="E20" s="4187"/>
      <c r="F20" s="4187"/>
      <c r="G20" s="4187"/>
      <c r="H20" s="4187"/>
      <c r="I20" s="4187"/>
      <c r="J20" s="4187"/>
      <c r="K20" s="4187"/>
      <c r="L20" s="4187"/>
      <c r="M20" s="4187"/>
      <c r="N20" s="4187"/>
      <c r="O20" s="4187"/>
      <c r="P20" s="4187"/>
      <c r="Q20" s="4187"/>
      <c r="R20" s="4187"/>
      <c r="S20" s="4187"/>
      <c r="T20" s="4187"/>
      <c r="U20" s="4187"/>
      <c r="V20" s="4187"/>
      <c r="W20" s="4187"/>
      <c r="X20" s="4187"/>
      <c r="Y20" s="4187"/>
      <c r="Z20" s="4187"/>
      <c r="AA20" s="4187"/>
      <c r="AB20" s="4187"/>
      <c r="AC20" s="5146"/>
    </row>
    <row r="21" spans="1:32" ht="18" customHeight="1">
      <c r="A21" s="1293" t="s">
        <v>59</v>
      </c>
      <c r="B21" s="1294"/>
      <c r="C21" s="882" t="s">
        <v>40</v>
      </c>
      <c r="D21" s="882" t="s">
        <v>40</v>
      </c>
      <c r="E21" s="882" t="s">
        <v>40</v>
      </c>
      <c r="F21" s="882" t="s">
        <v>40</v>
      </c>
      <c r="G21" s="882" t="s">
        <v>40</v>
      </c>
      <c r="H21" s="882"/>
      <c r="I21" s="882"/>
      <c r="J21" s="1295" t="s">
        <v>40</v>
      </c>
      <c r="K21" s="1295" t="s">
        <v>40</v>
      </c>
      <c r="L21" s="1295" t="s">
        <v>40</v>
      </c>
      <c r="M21" s="1296" t="s">
        <v>40</v>
      </c>
      <c r="N21" s="1296" t="s">
        <v>40</v>
      </c>
      <c r="O21" s="882"/>
      <c r="P21" s="882"/>
      <c r="Q21" s="882" t="s">
        <v>40</v>
      </c>
      <c r="R21" s="882" t="s">
        <v>40</v>
      </c>
      <c r="S21" s="882" t="s">
        <v>40</v>
      </c>
      <c r="T21" s="882" t="s">
        <v>40</v>
      </c>
      <c r="U21" s="882" t="s">
        <v>40</v>
      </c>
      <c r="V21" s="882"/>
      <c r="W21" s="882"/>
      <c r="X21" s="882" t="s">
        <v>40</v>
      </c>
      <c r="Y21" s="882" t="s">
        <v>40</v>
      </c>
      <c r="Z21" s="882" t="s">
        <v>40</v>
      </c>
      <c r="AA21" s="882" t="s">
        <v>40</v>
      </c>
      <c r="AB21" s="882" t="s">
        <v>40</v>
      </c>
      <c r="AC21" s="884"/>
    </row>
    <row r="22" spans="1:32" ht="18" customHeight="1">
      <c r="A22" s="1297" t="s">
        <v>522</v>
      </c>
      <c r="B22" s="4528"/>
      <c r="C22" s="3423" t="s">
        <v>40</v>
      </c>
      <c r="D22" s="3423" t="s">
        <v>40</v>
      </c>
      <c r="E22" s="3423" t="s">
        <v>40</v>
      </c>
      <c r="F22" s="3423" t="s">
        <v>40</v>
      </c>
      <c r="G22" s="3423" t="s">
        <v>40</v>
      </c>
      <c r="H22" s="3422"/>
      <c r="I22" s="3432"/>
      <c r="J22" s="5147" t="s">
        <v>50</v>
      </c>
      <c r="K22" s="3432" t="s">
        <v>46</v>
      </c>
      <c r="L22" s="3432" t="s">
        <v>40</v>
      </c>
      <c r="M22" s="3432" t="s">
        <v>40</v>
      </c>
      <c r="N22" s="3432" t="s">
        <v>40</v>
      </c>
      <c r="O22" s="3423"/>
      <c r="P22" s="3423"/>
      <c r="Q22" s="3440" t="s">
        <v>40</v>
      </c>
      <c r="R22" s="3440" t="s">
        <v>40</v>
      </c>
      <c r="S22" s="3440" t="s">
        <v>40</v>
      </c>
      <c r="T22" s="3440" t="s">
        <v>40</v>
      </c>
      <c r="U22" s="3440" t="s">
        <v>40</v>
      </c>
      <c r="V22" s="3423"/>
      <c r="W22" s="3423"/>
      <c r="X22" s="3423" t="s">
        <v>40</v>
      </c>
      <c r="Y22" s="3423" t="s">
        <v>40</v>
      </c>
      <c r="Z22" s="3423" t="s">
        <v>40</v>
      </c>
      <c r="AA22" s="3423" t="s">
        <v>40</v>
      </c>
      <c r="AB22" s="3423" t="s">
        <v>40</v>
      </c>
      <c r="AC22" s="5148"/>
    </row>
    <row r="23" spans="1:32" ht="18" customHeight="1" thickBot="1">
      <c r="A23" s="512" t="s">
        <v>58</v>
      </c>
      <c r="B23" s="1303"/>
      <c r="C23" s="1303"/>
      <c r="D23" s="1303"/>
      <c r="E23" s="1303"/>
      <c r="F23" s="1303"/>
      <c r="G23" s="1303"/>
      <c r="H23" s="1303"/>
      <c r="I23" s="1303"/>
      <c r="J23" s="1304"/>
      <c r="K23" s="1304"/>
      <c r="L23" s="1304"/>
      <c r="M23" s="1305"/>
      <c r="N23" s="1305"/>
      <c r="O23" s="1303"/>
      <c r="P23" s="1303"/>
      <c r="Q23" s="1303"/>
      <c r="R23" s="1303"/>
      <c r="S23" s="1303"/>
      <c r="T23" s="1303"/>
      <c r="U23" s="1303"/>
      <c r="V23" s="1303"/>
      <c r="W23" s="1303"/>
      <c r="X23" s="1303"/>
      <c r="Y23" s="1303"/>
      <c r="Z23" s="1303"/>
      <c r="AA23" s="1303"/>
      <c r="AB23" s="1303"/>
      <c r="AC23" s="1306"/>
    </row>
    <row r="24" spans="1:32" ht="18" customHeight="1">
      <c r="A24" s="1297" t="s">
        <v>364</v>
      </c>
      <c r="B24" s="3423" t="s">
        <v>49</v>
      </c>
      <c r="C24" s="3423" t="s">
        <v>50</v>
      </c>
      <c r="D24" s="3423" t="s">
        <v>50</v>
      </c>
      <c r="E24" s="3441" t="s">
        <v>50</v>
      </c>
      <c r="F24" s="3423" t="s">
        <v>50</v>
      </c>
      <c r="G24" s="3423" t="s">
        <v>50</v>
      </c>
      <c r="H24" s="3422"/>
      <c r="I24" s="3432"/>
      <c r="J24" s="343" t="s">
        <v>418</v>
      </c>
      <c r="K24" s="343" t="s">
        <v>418</v>
      </c>
      <c r="L24" s="3423" t="s">
        <v>46</v>
      </c>
      <c r="M24" s="3423" t="s">
        <v>46</v>
      </c>
      <c r="N24" s="3423" t="s">
        <v>40</v>
      </c>
      <c r="O24" s="3423"/>
      <c r="P24" s="3423"/>
      <c r="Q24" s="3440" t="s">
        <v>40</v>
      </c>
      <c r="R24" s="3423" t="s">
        <v>40</v>
      </c>
      <c r="S24" s="3423" t="s">
        <v>40</v>
      </c>
      <c r="T24" s="3423" t="s">
        <v>40</v>
      </c>
      <c r="U24" s="3423" t="s">
        <v>40</v>
      </c>
      <c r="V24" s="3423"/>
      <c r="W24" s="3423"/>
      <c r="X24" s="3423" t="s">
        <v>43</v>
      </c>
      <c r="Y24" s="3423" t="s">
        <v>43</v>
      </c>
      <c r="Z24" s="3423" t="s">
        <v>43</v>
      </c>
      <c r="AA24" s="3440" t="s">
        <v>43</v>
      </c>
      <c r="AB24" s="3423" t="s">
        <v>43</v>
      </c>
      <c r="AC24" s="5148"/>
    </row>
    <row r="25" spans="1:32" ht="18" customHeight="1" thickBot="1">
      <c r="A25" s="1276" t="s">
        <v>88</v>
      </c>
      <c r="B25" s="5149"/>
      <c r="C25" s="1298" t="s">
        <v>40</v>
      </c>
      <c r="D25" s="1299" t="s">
        <v>40</v>
      </c>
      <c r="E25" s="1298" t="s">
        <v>40</v>
      </c>
      <c r="F25" s="1298" t="s">
        <v>40</v>
      </c>
      <c r="G25" s="1298" t="s">
        <v>40</v>
      </c>
      <c r="H25" s="1298"/>
      <c r="I25" s="1300"/>
      <c r="J25" s="1298" t="s">
        <v>40</v>
      </c>
      <c r="K25" s="1298" t="s">
        <v>40</v>
      </c>
      <c r="L25" s="1298" t="s">
        <v>40</v>
      </c>
      <c r="M25" s="1298" t="s">
        <v>40</v>
      </c>
      <c r="N25" s="1298" t="s">
        <v>40</v>
      </c>
      <c r="O25" s="5150" t="s">
        <v>47</v>
      </c>
      <c r="P25" s="5151" t="s">
        <v>47</v>
      </c>
      <c r="Q25" s="5150" t="s">
        <v>26</v>
      </c>
      <c r="R25" s="5150" t="s">
        <v>26</v>
      </c>
      <c r="S25" s="5152" t="s">
        <v>26</v>
      </c>
      <c r="T25" s="5152" t="s">
        <v>26</v>
      </c>
      <c r="U25" s="5152" t="s">
        <v>26</v>
      </c>
      <c r="V25" s="1301"/>
      <c r="W25" s="1301"/>
      <c r="X25" s="1298" t="s">
        <v>40</v>
      </c>
      <c r="Y25" s="1298" t="s">
        <v>40</v>
      </c>
      <c r="Z25" s="1298" t="s">
        <v>40</v>
      </c>
      <c r="AA25" s="1298" t="s">
        <v>40</v>
      </c>
      <c r="AB25" s="1298" t="s">
        <v>40</v>
      </c>
      <c r="AC25" s="1302"/>
    </row>
    <row r="26" spans="1:32" ht="18" customHeight="1">
      <c r="A26" s="461" t="s">
        <v>619</v>
      </c>
      <c r="B26" s="678"/>
      <c r="C26" s="678"/>
      <c r="D26" s="678"/>
      <c r="E26" s="679"/>
      <c r="F26" s="680"/>
      <c r="G26" s="678"/>
      <c r="H26" s="681"/>
      <c r="I26" s="678"/>
      <c r="J26" s="678"/>
      <c r="K26" s="678"/>
      <c r="L26" s="680"/>
      <c r="M26" s="680"/>
      <c r="N26" s="678"/>
      <c r="O26" s="681"/>
      <c r="P26" s="682"/>
      <c r="Q26" s="678"/>
      <c r="R26" s="678"/>
      <c r="S26" s="680"/>
      <c r="T26" s="680"/>
      <c r="U26" s="678"/>
      <c r="V26" s="678"/>
      <c r="W26" s="678"/>
      <c r="X26" s="678"/>
      <c r="Y26" s="678"/>
      <c r="Z26" s="680"/>
      <c r="AA26" s="680"/>
      <c r="AB26" s="680"/>
      <c r="AC26" s="1292"/>
      <c r="AD26" s="182"/>
      <c r="AE26" s="182"/>
      <c r="AF26" s="182"/>
    </row>
    <row r="27" spans="1:32" ht="18" customHeight="1" thickBot="1">
      <c r="A27" s="707" t="s">
        <v>297</v>
      </c>
      <c r="B27" s="382"/>
      <c r="C27" s="382"/>
      <c r="D27" s="382"/>
      <c r="E27" s="376"/>
      <c r="F27" s="378"/>
      <c r="G27" s="378"/>
      <c r="H27" s="378"/>
      <c r="I27" s="378"/>
      <c r="J27" s="378"/>
      <c r="K27" s="382"/>
      <c r="L27" s="378"/>
      <c r="M27" s="378"/>
      <c r="N27" s="378"/>
      <c r="O27" s="378"/>
      <c r="P27" s="378"/>
      <c r="Q27" s="378"/>
      <c r="R27" s="382"/>
      <c r="S27" s="378"/>
      <c r="T27" s="378"/>
      <c r="U27" s="378"/>
      <c r="V27" s="378"/>
      <c r="W27" s="378"/>
      <c r="X27" s="378"/>
      <c r="Y27" s="382"/>
      <c r="Z27" s="378"/>
      <c r="AA27" s="378"/>
      <c r="AB27" s="378"/>
      <c r="AC27" s="402"/>
      <c r="AD27" s="111"/>
      <c r="AE27" s="111"/>
      <c r="AF27" s="182"/>
    </row>
    <row r="28" spans="1:32" ht="18" customHeight="1" thickBot="1">
      <c r="A28" s="1009" t="s">
        <v>620</v>
      </c>
      <c r="B28" s="1010"/>
      <c r="C28" s="1011"/>
      <c r="D28" s="1011"/>
      <c r="E28" s="1010"/>
      <c r="F28" s="1010"/>
      <c r="G28" s="1012"/>
      <c r="H28" s="1012"/>
      <c r="I28" s="1012"/>
      <c r="J28" s="1011"/>
      <c r="K28" s="1011"/>
      <c r="L28" s="1011"/>
      <c r="M28" s="1010"/>
      <c r="N28" s="1010"/>
      <c r="O28" s="1010"/>
      <c r="P28" s="1010"/>
      <c r="Q28" s="1011"/>
      <c r="R28" s="1011"/>
      <c r="S28" s="1011"/>
      <c r="T28" s="1011"/>
      <c r="U28" s="1011"/>
      <c r="V28" s="1010"/>
      <c r="W28" s="1010"/>
      <c r="X28" s="1011"/>
      <c r="Y28" s="1011"/>
      <c r="Z28" s="1010"/>
      <c r="AA28" s="1010"/>
      <c r="AB28" s="1010"/>
      <c r="AC28" s="1013"/>
    </row>
    <row r="29" spans="1:32" ht="18" customHeight="1" thickBot="1">
      <c r="A29" s="930" t="s">
        <v>65</v>
      </c>
      <c r="B29" s="513"/>
      <c r="C29" s="406" t="s">
        <v>40</v>
      </c>
      <c r="D29" s="1027" t="s">
        <v>40</v>
      </c>
      <c r="E29" s="408" t="s">
        <v>40</v>
      </c>
      <c r="F29" s="407" t="s">
        <v>40</v>
      </c>
      <c r="G29" s="407" t="s">
        <v>40</v>
      </c>
      <c r="H29" s="407"/>
      <c r="I29" s="406"/>
      <c r="J29" s="406" t="s">
        <v>40</v>
      </c>
      <c r="K29" s="407" t="s">
        <v>40</v>
      </c>
      <c r="L29" s="408" t="s">
        <v>40</v>
      </c>
      <c r="M29" s="514" t="s">
        <v>40</v>
      </c>
      <c r="N29" s="407" t="s">
        <v>40</v>
      </c>
      <c r="O29" s="407"/>
      <c r="P29" s="406"/>
      <c r="Q29" s="406" t="s">
        <v>40</v>
      </c>
      <c r="R29" s="407" t="s">
        <v>40</v>
      </c>
      <c r="S29" s="407" t="s">
        <v>40</v>
      </c>
      <c r="T29" s="407" t="s">
        <v>40</v>
      </c>
      <c r="U29" s="407" t="s">
        <v>40</v>
      </c>
      <c r="V29" s="407"/>
      <c r="W29" s="406"/>
      <c r="X29" s="406" t="s">
        <v>40</v>
      </c>
      <c r="Y29" s="406" t="s">
        <v>40</v>
      </c>
      <c r="Z29" s="408" t="s">
        <v>40</v>
      </c>
      <c r="AA29" s="407" t="s">
        <v>40</v>
      </c>
      <c r="AB29" s="407" t="s">
        <v>40</v>
      </c>
      <c r="AC29" s="515" t="s">
        <v>40</v>
      </c>
    </row>
    <row r="31" spans="1:32" ht="15">
      <c r="A31" s="362" t="s">
        <v>584</v>
      </c>
      <c r="B31" s="389">
        <v>1</v>
      </c>
      <c r="C31" s="390">
        <v>2</v>
      </c>
      <c r="D31" s="415">
        <v>3</v>
      </c>
      <c r="E31" s="415">
        <v>4</v>
      </c>
      <c r="F31" s="390">
        <v>5</v>
      </c>
      <c r="G31" s="390">
        <v>6</v>
      </c>
      <c r="H31" s="1427">
        <v>7</v>
      </c>
      <c r="I31" s="1427">
        <v>8</v>
      </c>
      <c r="J31" s="390">
        <v>9</v>
      </c>
      <c r="K31" s="415">
        <v>10</v>
      </c>
      <c r="L31" s="415">
        <v>11</v>
      </c>
      <c r="M31" s="415">
        <v>12</v>
      </c>
      <c r="N31" s="415">
        <v>13</v>
      </c>
      <c r="O31" s="1427">
        <v>14</v>
      </c>
      <c r="P31" s="1427">
        <v>15</v>
      </c>
      <c r="Q31" s="415">
        <v>16</v>
      </c>
      <c r="R31" s="415">
        <v>17</v>
      </c>
      <c r="S31" s="415">
        <v>18</v>
      </c>
      <c r="T31" s="415">
        <v>19</v>
      </c>
      <c r="U31" s="415">
        <v>20</v>
      </c>
      <c r="V31" s="1427">
        <v>21</v>
      </c>
      <c r="W31" s="1427">
        <v>22</v>
      </c>
      <c r="X31" s="415">
        <v>23</v>
      </c>
      <c r="Y31" s="415">
        <v>24</v>
      </c>
      <c r="Z31" s="415">
        <v>25</v>
      </c>
      <c r="AA31" s="415">
        <v>26</v>
      </c>
      <c r="AB31" s="390">
        <v>27</v>
      </c>
      <c r="AC31" s="1428">
        <v>28</v>
      </c>
    </row>
    <row r="32" spans="1:32">
      <c r="A32" s="1425"/>
      <c r="B32" s="1429"/>
      <c r="C32" s="783"/>
      <c r="D32" s="783"/>
      <c r="E32" s="783"/>
      <c r="F32" s="783"/>
      <c r="G32" s="783"/>
      <c r="H32" s="783"/>
      <c r="I32" s="783"/>
      <c r="J32" s="783"/>
      <c r="K32" s="783" t="s">
        <v>0</v>
      </c>
      <c r="L32" s="783"/>
      <c r="M32" s="783"/>
      <c r="N32" s="783"/>
      <c r="O32" s="783"/>
      <c r="P32" s="783"/>
      <c r="Q32" s="783"/>
      <c r="R32" s="783"/>
      <c r="S32" s="783"/>
      <c r="T32" s="783"/>
      <c r="U32" s="783"/>
      <c r="V32" s="783"/>
      <c r="W32" s="783"/>
      <c r="X32" s="783"/>
      <c r="Y32" s="783"/>
      <c r="Z32" s="783"/>
      <c r="AA32" s="783"/>
      <c r="AB32" s="783"/>
      <c r="AC32" s="784"/>
    </row>
    <row r="33" spans="1:29">
      <c r="A33" s="1425"/>
      <c r="B33" s="356" t="s">
        <v>0</v>
      </c>
      <c r="C33" s="343"/>
      <c r="D33" s="343"/>
      <c r="E33" s="343"/>
      <c r="F33" s="343"/>
      <c r="G33" s="343"/>
      <c r="H33" s="343"/>
      <c r="I33" s="343"/>
      <c r="J33" s="343"/>
      <c r="K33" s="343"/>
      <c r="L33" s="343"/>
      <c r="M33" s="343"/>
      <c r="N33" s="343"/>
      <c r="O33" s="343"/>
      <c r="P33" s="343"/>
      <c r="Q33" s="343"/>
      <c r="R33" s="343"/>
      <c r="S33" s="343"/>
      <c r="T33" s="343"/>
      <c r="U33" s="343"/>
      <c r="V33" s="343"/>
      <c r="W33" s="343"/>
      <c r="X33" s="343"/>
      <c r="Y33" s="343"/>
      <c r="Z33" s="343"/>
      <c r="AA33" s="343"/>
      <c r="AB33" s="343"/>
      <c r="AC33" s="357"/>
    </row>
    <row r="34" spans="1:29">
      <c r="A34" s="1425"/>
      <c r="B34" s="356" t="s">
        <v>0</v>
      </c>
      <c r="C34" s="343"/>
      <c r="D34" s="343"/>
      <c r="E34" s="343"/>
      <c r="F34" s="343"/>
      <c r="G34" s="343"/>
      <c r="H34" s="343"/>
      <c r="I34" s="343"/>
      <c r="J34" s="343"/>
      <c r="K34" s="343"/>
      <c r="L34" s="343"/>
      <c r="M34" s="343"/>
      <c r="N34" s="343"/>
      <c r="O34" s="343"/>
      <c r="P34" s="343"/>
      <c r="Q34" s="343"/>
      <c r="R34" s="343"/>
      <c r="S34" s="343"/>
      <c r="T34" s="343"/>
      <c r="U34" s="343"/>
      <c r="V34" s="343"/>
      <c r="W34" s="343"/>
      <c r="X34" s="343"/>
      <c r="Y34" s="343"/>
      <c r="Z34" s="343"/>
      <c r="AA34" s="343"/>
      <c r="AB34" s="343"/>
      <c r="AC34" s="357"/>
    </row>
    <row r="35" spans="1:29">
      <c r="A35" s="1425"/>
      <c r="B35" s="356"/>
      <c r="C35" s="343"/>
      <c r="D35" s="343"/>
      <c r="E35" s="343"/>
      <c r="F35" s="343"/>
      <c r="G35" s="343"/>
      <c r="H35" s="343"/>
      <c r="I35" s="343"/>
      <c r="J35" s="343"/>
      <c r="K35" s="343"/>
      <c r="L35" s="343"/>
      <c r="M35" s="343"/>
      <c r="N35" s="343"/>
      <c r="O35" s="343"/>
      <c r="P35" s="343"/>
      <c r="Q35" s="343"/>
      <c r="R35" s="343"/>
      <c r="S35" s="343"/>
      <c r="T35" s="343"/>
      <c r="U35" s="343"/>
      <c r="V35" s="343"/>
      <c r="W35" s="343"/>
      <c r="X35" s="343"/>
      <c r="Y35" s="343"/>
      <c r="Z35" s="343"/>
      <c r="AA35" s="343"/>
      <c r="AB35" s="343"/>
      <c r="AC35" s="357"/>
    </row>
    <row r="36" spans="1:29">
      <c r="A36" s="1426"/>
      <c r="B36" s="358"/>
      <c r="C36" s="359"/>
      <c r="D36" s="359"/>
      <c r="E36" s="359"/>
      <c r="F36" s="359"/>
      <c r="G36" s="359"/>
      <c r="H36" s="359"/>
      <c r="I36" s="359"/>
      <c r="J36" s="359"/>
      <c r="K36" s="359"/>
      <c r="L36" s="359"/>
      <c r="M36" s="359"/>
      <c r="N36" s="359"/>
      <c r="O36" s="359"/>
      <c r="P36" s="359"/>
      <c r="Q36" s="359"/>
      <c r="R36" s="359"/>
      <c r="S36" s="359"/>
      <c r="T36" s="359"/>
      <c r="U36" s="359"/>
      <c r="V36" s="359"/>
      <c r="W36" s="359"/>
      <c r="X36" s="359"/>
      <c r="Y36" s="359"/>
      <c r="Z36" s="359"/>
      <c r="AA36" s="359"/>
      <c r="AB36" s="359"/>
      <c r="AC36" s="360"/>
    </row>
    <row r="37" spans="1:29" ht="18" customHeight="1">
      <c r="A37" s="96" t="s">
        <v>66</v>
      </c>
      <c r="D37" s="48"/>
      <c r="E37" s="48"/>
      <c r="F37" s="48"/>
      <c r="G37" s="48"/>
      <c r="H37" s="48"/>
      <c r="I37" s="48"/>
      <c r="J37" s="48"/>
      <c r="K37" s="48"/>
      <c r="L37" s="48"/>
      <c r="M37" s="48"/>
      <c r="N37" s="48"/>
      <c r="O37" s="48" t="s">
        <v>0</v>
      </c>
      <c r="P37" s="48"/>
      <c r="Q37" s="48" t="s">
        <v>67</v>
      </c>
      <c r="R37" s="48" t="s">
        <v>0</v>
      </c>
      <c r="S37" s="48" t="s">
        <v>68</v>
      </c>
      <c r="T37" s="48"/>
      <c r="U37" s="48"/>
      <c r="V37" s="48"/>
      <c r="W37" s="48"/>
      <c r="X37" s="48"/>
      <c r="Y37" s="48"/>
      <c r="Z37" s="48"/>
      <c r="AA37" s="48"/>
      <c r="AB37" s="48"/>
      <c r="AC37" s="48"/>
    </row>
    <row r="38" spans="1:29" ht="18" customHeight="1">
      <c r="A38" s="3056" t="s">
        <v>69</v>
      </c>
      <c r="B38" s="3057"/>
      <c r="C38" s="3057"/>
      <c r="D38" s="3058" t="s">
        <v>70</v>
      </c>
      <c r="E38" s="3059"/>
      <c r="F38" s="3059"/>
      <c r="G38" s="3059"/>
      <c r="H38" s="3059"/>
      <c r="I38" s="3059"/>
      <c r="J38" s="3059"/>
      <c r="K38" s="3059"/>
      <c r="L38" s="3059"/>
      <c r="M38" s="3060" t="s">
        <v>71</v>
      </c>
      <c r="N38" s="3059"/>
      <c r="O38" s="3059"/>
      <c r="P38" s="3059"/>
      <c r="Q38" s="3059"/>
      <c r="R38" s="3059"/>
      <c r="S38" s="3061"/>
      <c r="T38" s="3062" t="s">
        <v>72</v>
      </c>
      <c r="U38" s="3062"/>
      <c r="V38" s="3062"/>
      <c r="W38" s="3062"/>
      <c r="X38" s="3062"/>
      <c r="Y38" s="3062"/>
      <c r="Z38" s="3062"/>
      <c r="AA38" s="5153" t="s">
        <v>675</v>
      </c>
      <c r="AB38" s="3064"/>
      <c r="AC38" s="3064"/>
    </row>
    <row r="39" spans="1:29" ht="18" customHeight="1">
      <c r="A39" s="3469" t="s">
        <v>74</v>
      </c>
      <c r="B39" s="3470"/>
      <c r="C39" s="3470"/>
      <c r="D39" s="3471" t="s">
        <v>75</v>
      </c>
      <c r="E39" s="3472"/>
      <c r="F39" s="4505"/>
      <c r="G39" s="4505"/>
      <c r="H39" s="4505"/>
      <c r="I39" s="4505"/>
      <c r="J39" s="4505"/>
      <c r="K39" s="4505"/>
      <c r="L39" s="3473"/>
      <c r="M39" s="3474" t="s">
        <v>76</v>
      </c>
      <c r="N39" s="3470"/>
      <c r="O39" s="3475"/>
      <c r="P39" s="3470"/>
      <c r="Q39" s="3470"/>
      <c r="R39" s="3470"/>
      <c r="S39" s="3476"/>
      <c r="T39" s="3471" t="s">
        <v>77</v>
      </c>
      <c r="U39" s="4505"/>
      <c r="V39" s="3472"/>
      <c r="W39" s="4505"/>
      <c r="X39" s="4505"/>
      <c r="Y39" s="4505"/>
      <c r="Z39" s="3473"/>
      <c r="AA39" s="517" t="s">
        <v>676</v>
      </c>
    </row>
    <row r="40" spans="1:29" ht="18" customHeight="1">
      <c r="A40" s="3477" t="s">
        <v>79</v>
      </c>
      <c r="B40" s="4505"/>
      <c r="C40" s="4505"/>
      <c r="D40" s="3478"/>
      <c r="E40" s="4505"/>
      <c r="F40" s="4505"/>
      <c r="G40" s="3473"/>
      <c r="H40" s="3479" t="s">
        <v>80</v>
      </c>
      <c r="I40" s="4505"/>
      <c r="J40" s="4505"/>
      <c r="K40" s="4505"/>
      <c r="L40" s="4505"/>
      <c r="M40" s="3480"/>
      <c r="N40" s="4505"/>
      <c r="O40" s="4505"/>
      <c r="P40" s="4505"/>
      <c r="Q40" s="4505"/>
      <c r="R40" s="4505"/>
      <c r="S40" s="4505"/>
      <c r="T40" s="3478"/>
      <c r="U40" s="96" t="s">
        <v>81</v>
      </c>
      <c r="AA40" s="3475"/>
      <c r="AB40" s="3470"/>
      <c r="AC40" s="3470"/>
    </row>
    <row r="41" spans="1:29" ht="18" customHeight="1" thickBot="1">
      <c r="A41" s="3481" t="s">
        <v>82</v>
      </c>
      <c r="B41" s="3482"/>
      <c r="C41" s="3482"/>
      <c r="D41" s="3483"/>
      <c r="E41" s="3482"/>
      <c r="F41" s="3482"/>
      <c r="G41" s="3484"/>
      <c r="H41" s="3485" t="s">
        <v>83</v>
      </c>
      <c r="I41" s="3484"/>
      <c r="J41" s="3482"/>
      <c r="K41" s="3482"/>
      <c r="L41" s="3482"/>
      <c r="M41" s="3486"/>
      <c r="N41" s="3482"/>
      <c r="O41" s="3482"/>
      <c r="P41" s="3482"/>
      <c r="Q41" s="3487"/>
      <c r="R41" s="3487"/>
      <c r="S41" s="3487"/>
      <c r="T41" s="3483"/>
      <c r="U41" s="3488" t="s">
        <v>84</v>
      </c>
      <c r="V41" s="3482"/>
      <c r="W41" s="3482"/>
      <c r="X41" s="3482"/>
      <c r="Y41" s="3482"/>
      <c r="Z41" s="3482"/>
      <c r="AA41" s="3482"/>
      <c r="AB41" s="3482"/>
      <c r="AC41" s="3482"/>
    </row>
    <row r="42" spans="1:29" ht="18" customHeight="1" thickBot="1">
      <c r="A42" s="62" t="s">
        <v>36</v>
      </c>
      <c r="B42" s="48"/>
      <c r="C42" s="48"/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  <c r="AA42" s="48"/>
      <c r="AB42" s="48"/>
      <c r="AC42" s="48"/>
    </row>
    <row r="43" spans="1:29" ht="18" customHeight="1" thickBot="1">
      <c r="A43" s="426" t="s">
        <v>523</v>
      </c>
      <c r="B43" s="2986">
        <v>1</v>
      </c>
      <c r="C43" s="2985">
        <v>2</v>
      </c>
      <c r="D43" s="2985">
        <v>3</v>
      </c>
      <c r="E43" s="2985">
        <v>4</v>
      </c>
      <c r="F43" s="2985">
        <v>5</v>
      </c>
      <c r="G43" s="2985">
        <v>6</v>
      </c>
      <c r="H43" s="2986">
        <v>7</v>
      </c>
      <c r="I43" s="2986">
        <v>8</v>
      </c>
      <c r="J43" s="2985">
        <v>9</v>
      </c>
      <c r="K43" s="2985">
        <v>10</v>
      </c>
      <c r="L43" s="2985">
        <v>11</v>
      </c>
      <c r="M43" s="2985">
        <v>12</v>
      </c>
      <c r="N43" s="2985">
        <v>13</v>
      </c>
      <c r="O43" s="2986">
        <v>14</v>
      </c>
      <c r="P43" s="2986">
        <v>15</v>
      </c>
      <c r="Q43" s="2985">
        <v>16</v>
      </c>
      <c r="R43" s="2985">
        <v>17</v>
      </c>
      <c r="S43" s="2985">
        <v>18</v>
      </c>
      <c r="T43" s="2985">
        <v>19</v>
      </c>
      <c r="U43" s="2985">
        <v>20</v>
      </c>
      <c r="V43" s="2986">
        <v>21</v>
      </c>
      <c r="W43" s="2986">
        <v>22</v>
      </c>
      <c r="X43" s="2985">
        <v>23</v>
      </c>
      <c r="Y43" s="2985">
        <v>24</v>
      </c>
      <c r="Z43" s="2985">
        <v>25</v>
      </c>
      <c r="AA43" s="2985">
        <v>26</v>
      </c>
      <c r="AB43" s="2985">
        <v>27</v>
      </c>
      <c r="AC43" s="2986">
        <v>28</v>
      </c>
    </row>
    <row r="44" spans="1:29" ht="18" customHeight="1" thickBot="1">
      <c r="A44" s="4466" t="s">
        <v>85</v>
      </c>
      <c r="B44" s="3088" t="s">
        <v>52</v>
      </c>
      <c r="C44" s="3089" t="s">
        <v>46</v>
      </c>
      <c r="D44" s="3088" t="s">
        <v>46</v>
      </c>
      <c r="E44" s="3088" t="s">
        <v>46</v>
      </c>
      <c r="F44" s="3088" t="s">
        <v>46</v>
      </c>
      <c r="G44" s="3088" t="s">
        <v>46</v>
      </c>
      <c r="H44" s="3088" t="s">
        <v>91</v>
      </c>
      <c r="I44" s="3427" t="s">
        <v>89</v>
      </c>
      <c r="J44" s="3088">
        <v>6</v>
      </c>
      <c r="K44" s="2817">
        <v>6</v>
      </c>
      <c r="L44" s="3088">
        <v>6</v>
      </c>
      <c r="M44" s="3088">
        <v>6</v>
      </c>
      <c r="N44" s="3089">
        <v>6</v>
      </c>
      <c r="O44" s="3088"/>
      <c r="P44" s="3090"/>
      <c r="Q44" s="3089" t="s">
        <v>46</v>
      </c>
      <c r="R44" s="3088" t="s">
        <v>46</v>
      </c>
      <c r="S44" s="3088" t="s">
        <v>46</v>
      </c>
      <c r="T44" s="3088" t="s">
        <v>46</v>
      </c>
      <c r="U44" s="3088" t="s">
        <v>46</v>
      </c>
      <c r="V44" s="3088"/>
      <c r="W44" s="3090"/>
      <c r="X44" s="3090">
        <v>5</v>
      </c>
      <c r="Y44" s="3088">
        <v>5</v>
      </c>
      <c r="Z44" s="3088">
        <v>5</v>
      </c>
      <c r="AA44" s="3090">
        <v>5</v>
      </c>
      <c r="AB44" s="3090">
        <v>5</v>
      </c>
      <c r="AC44" s="3090"/>
    </row>
    <row r="45" spans="1:29" ht="18" customHeight="1">
      <c r="A45" s="3417" t="s">
        <v>177</v>
      </c>
      <c r="B45" s="3421" t="s">
        <v>53</v>
      </c>
      <c r="C45" s="3421" t="s">
        <v>46</v>
      </c>
      <c r="D45" s="3421" t="s">
        <v>46</v>
      </c>
      <c r="E45" s="3421" t="s">
        <v>46</v>
      </c>
      <c r="F45" s="3421" t="s">
        <v>46</v>
      </c>
      <c r="G45" s="3421" t="s">
        <v>46</v>
      </c>
      <c r="H45" s="3421" t="s">
        <v>86</v>
      </c>
      <c r="I45" s="3421" t="s">
        <v>86</v>
      </c>
      <c r="J45" s="3421">
        <v>7</v>
      </c>
      <c r="K45" s="3421">
        <v>7</v>
      </c>
      <c r="L45" s="3421">
        <v>7</v>
      </c>
      <c r="M45" s="3421">
        <v>7</v>
      </c>
      <c r="N45" s="3421">
        <v>7</v>
      </c>
      <c r="O45" s="3421"/>
      <c r="P45" s="3421"/>
      <c r="Q45" s="3421">
        <v>4</v>
      </c>
      <c r="R45" s="3421">
        <v>4</v>
      </c>
      <c r="S45" s="3421">
        <v>4</v>
      </c>
      <c r="T45" s="3421">
        <v>4</v>
      </c>
      <c r="U45" s="3421">
        <v>4</v>
      </c>
      <c r="V45" s="3421"/>
      <c r="W45" s="3421"/>
      <c r="X45" s="3421">
        <v>3</v>
      </c>
      <c r="Y45" s="3421">
        <v>3</v>
      </c>
      <c r="Z45" s="3421">
        <v>3</v>
      </c>
      <c r="AA45" s="3421">
        <v>3</v>
      </c>
      <c r="AB45" s="3421">
        <v>3</v>
      </c>
      <c r="AC45" s="3421"/>
    </row>
    <row r="46" spans="1:29" ht="18" customHeight="1" thickBot="1">
      <c r="A46" s="3424" t="s">
        <v>90</v>
      </c>
      <c r="B46" s="3496" t="s">
        <v>87</v>
      </c>
      <c r="C46" s="3496" t="s">
        <v>46</v>
      </c>
      <c r="D46" s="3598" t="s">
        <v>46</v>
      </c>
      <c r="E46" s="3496" t="s">
        <v>46</v>
      </c>
      <c r="F46" s="3496" t="s">
        <v>46</v>
      </c>
      <c r="G46" s="3496" t="s">
        <v>46</v>
      </c>
      <c r="H46" s="3496" t="s">
        <v>89</v>
      </c>
      <c r="I46" s="3496" t="s">
        <v>89</v>
      </c>
      <c r="J46" s="3496">
        <v>8</v>
      </c>
      <c r="K46" s="3496">
        <v>8</v>
      </c>
      <c r="L46" s="3427">
        <v>8</v>
      </c>
      <c r="M46" s="3496">
        <v>8</v>
      </c>
      <c r="N46" s="3496">
        <v>8</v>
      </c>
      <c r="O46" s="3496"/>
      <c r="P46" s="3496"/>
      <c r="Q46" s="3496" t="s">
        <v>46</v>
      </c>
      <c r="R46" s="3496" t="s">
        <v>46</v>
      </c>
      <c r="S46" s="3425" t="s">
        <v>46</v>
      </c>
      <c r="T46" s="3496" t="s">
        <v>46</v>
      </c>
      <c r="U46" s="3496" t="s">
        <v>46</v>
      </c>
      <c r="V46" s="3496"/>
      <c r="W46" s="3496"/>
      <c r="X46" s="3496">
        <v>1</v>
      </c>
      <c r="Y46" s="3496">
        <v>1</v>
      </c>
      <c r="Z46" s="3496">
        <v>1</v>
      </c>
      <c r="AA46" s="3496">
        <v>1</v>
      </c>
      <c r="AB46" s="3496">
        <v>1</v>
      </c>
      <c r="AC46" s="3496"/>
    </row>
    <row r="47" spans="1:29" ht="18" customHeight="1">
      <c r="A47" s="1041" t="s">
        <v>92</v>
      </c>
      <c r="B47" s="1037" t="s">
        <v>89</v>
      </c>
      <c r="C47" s="1042">
        <v>6</v>
      </c>
      <c r="D47" s="1042">
        <v>6</v>
      </c>
      <c r="E47" s="1042">
        <v>6</v>
      </c>
      <c r="F47" s="1042">
        <v>6</v>
      </c>
      <c r="G47" s="1043">
        <v>6</v>
      </c>
      <c r="H47" s="1043"/>
      <c r="I47" s="1030"/>
      <c r="J47" s="1030" t="s">
        <v>46</v>
      </c>
      <c r="K47" s="1043" t="s">
        <v>46</v>
      </c>
      <c r="L47" s="1043" t="s">
        <v>46</v>
      </c>
      <c r="M47" s="1043" t="s">
        <v>46</v>
      </c>
      <c r="N47" s="1038" t="s">
        <v>46</v>
      </c>
      <c r="O47" s="1043"/>
      <c r="P47" s="1038"/>
      <c r="Q47" s="1038">
        <v>5</v>
      </c>
      <c r="R47" s="1030">
        <v>5</v>
      </c>
      <c r="S47" s="1038">
        <v>5</v>
      </c>
      <c r="T47" s="1038">
        <v>5</v>
      </c>
      <c r="U47" s="1038">
        <v>5</v>
      </c>
      <c r="V47" s="1038"/>
      <c r="W47" s="1038"/>
      <c r="X47" s="1043">
        <v>10</v>
      </c>
      <c r="Y47" s="1043">
        <v>10</v>
      </c>
      <c r="Z47" s="1043">
        <v>10</v>
      </c>
      <c r="AA47" s="1043">
        <v>10</v>
      </c>
      <c r="AB47" s="1038">
        <v>10</v>
      </c>
      <c r="AC47" s="1044" t="s">
        <v>53</v>
      </c>
    </row>
    <row r="48" spans="1:29" ht="18" customHeight="1">
      <c r="A48" s="5133" t="s">
        <v>243</v>
      </c>
      <c r="B48" s="3441" t="s">
        <v>86</v>
      </c>
      <c r="C48" s="3423">
        <v>7</v>
      </c>
      <c r="D48" s="3423">
        <v>7</v>
      </c>
      <c r="E48" s="3423">
        <v>7</v>
      </c>
      <c r="F48" s="3423">
        <v>7</v>
      </c>
      <c r="G48" s="3423">
        <v>7</v>
      </c>
      <c r="H48" s="3423"/>
      <c r="I48" s="3423"/>
      <c r="J48" s="3423">
        <v>4</v>
      </c>
      <c r="K48" s="3423">
        <v>4</v>
      </c>
      <c r="L48" s="3423">
        <v>4</v>
      </c>
      <c r="M48" s="3423">
        <v>4</v>
      </c>
      <c r="N48" s="3504">
        <v>4</v>
      </c>
      <c r="O48" s="3419"/>
      <c r="P48" s="3419"/>
      <c r="Q48" s="250">
        <v>3</v>
      </c>
      <c r="R48" s="250">
        <v>3</v>
      </c>
      <c r="S48" s="250">
        <v>3</v>
      </c>
      <c r="T48" s="250">
        <v>3</v>
      </c>
      <c r="U48" s="250">
        <v>3</v>
      </c>
      <c r="V48" s="3432"/>
      <c r="W48" s="3432"/>
      <c r="X48" s="3432">
        <v>11</v>
      </c>
      <c r="Y48" s="3432">
        <v>11</v>
      </c>
      <c r="Z48" s="3432">
        <v>11</v>
      </c>
      <c r="AA48" s="3432">
        <v>11</v>
      </c>
      <c r="AB48" s="3432">
        <v>11</v>
      </c>
      <c r="AC48" s="5143" t="s">
        <v>87</v>
      </c>
    </row>
    <row r="49" spans="1:31" ht="18" customHeight="1" thickBot="1">
      <c r="A49" s="5154" t="s">
        <v>94</v>
      </c>
      <c r="B49" s="5155" t="s">
        <v>89</v>
      </c>
      <c r="C49" s="5155">
        <v>8</v>
      </c>
      <c r="D49" s="5155">
        <v>8</v>
      </c>
      <c r="E49" s="5155">
        <v>8</v>
      </c>
      <c r="F49" s="5155">
        <v>8</v>
      </c>
      <c r="G49" s="5155">
        <v>8</v>
      </c>
      <c r="H49" s="5155"/>
      <c r="I49" s="5155"/>
      <c r="J49" s="359" t="s">
        <v>46</v>
      </c>
      <c r="K49" s="359" t="s">
        <v>628</v>
      </c>
      <c r="L49" s="5155" t="s">
        <v>46</v>
      </c>
      <c r="M49" s="5155" t="s">
        <v>46</v>
      </c>
      <c r="N49" s="5155" t="s">
        <v>46</v>
      </c>
      <c r="O49" s="5155"/>
      <c r="P49" s="5155"/>
      <c r="Q49" s="5155">
        <v>1</v>
      </c>
      <c r="R49" s="5155">
        <v>1</v>
      </c>
      <c r="S49" s="5155">
        <v>1</v>
      </c>
      <c r="T49" s="5155">
        <v>1</v>
      </c>
      <c r="U49" s="5155">
        <v>1</v>
      </c>
      <c r="V49" s="343"/>
      <c r="W49" s="343"/>
      <c r="X49" s="5156">
        <v>9</v>
      </c>
      <c r="Y49" s="5156">
        <v>9</v>
      </c>
      <c r="Z49" s="5156">
        <v>9</v>
      </c>
      <c r="AA49" s="5156">
        <v>9</v>
      </c>
      <c r="AB49" s="5156">
        <v>9</v>
      </c>
      <c r="AC49" s="5157" t="s">
        <v>52</v>
      </c>
    </row>
    <row r="50" spans="1:31" ht="18" customHeight="1">
      <c r="A50" s="3104" t="s">
        <v>95</v>
      </c>
      <c r="B50" s="501"/>
      <c r="C50" s="508" t="s">
        <v>46</v>
      </c>
      <c r="D50" s="504" t="s">
        <v>46</v>
      </c>
      <c r="E50" s="504" t="s">
        <v>46</v>
      </c>
      <c r="F50" s="504" t="s">
        <v>46</v>
      </c>
      <c r="G50" s="504" t="s">
        <v>46</v>
      </c>
      <c r="H50" s="504"/>
      <c r="I50" s="508"/>
      <c r="J50" s="508">
        <v>5</v>
      </c>
      <c r="K50" s="508">
        <v>5</v>
      </c>
      <c r="L50" s="508">
        <v>5</v>
      </c>
      <c r="M50" s="508">
        <v>5</v>
      </c>
      <c r="N50" s="508">
        <v>5</v>
      </c>
      <c r="O50" s="508"/>
      <c r="P50" s="508"/>
      <c r="Q50" s="504">
        <v>10</v>
      </c>
      <c r="R50" s="504">
        <v>10</v>
      </c>
      <c r="S50" s="504">
        <v>10</v>
      </c>
      <c r="T50" s="504">
        <v>10</v>
      </c>
      <c r="U50" s="508">
        <v>10</v>
      </c>
      <c r="V50" s="508" t="s">
        <v>53</v>
      </c>
      <c r="W50" s="501" t="s">
        <v>53</v>
      </c>
      <c r="X50" s="504" t="s">
        <v>46</v>
      </c>
      <c r="Y50" s="504" t="s">
        <v>46</v>
      </c>
      <c r="Z50" s="504" t="s">
        <v>46</v>
      </c>
      <c r="AA50" s="504" t="s">
        <v>46</v>
      </c>
      <c r="AB50" s="509" t="s">
        <v>46</v>
      </c>
      <c r="AC50" s="504" t="s">
        <v>86</v>
      </c>
      <c r="AE50" s="1026" t="s">
        <v>0</v>
      </c>
    </row>
    <row r="51" spans="1:31" ht="18" customHeight="1">
      <c r="A51" s="3417" t="s">
        <v>96</v>
      </c>
      <c r="B51" s="3418"/>
      <c r="C51" s="3418">
        <v>4</v>
      </c>
      <c r="D51" s="3418">
        <v>4</v>
      </c>
      <c r="E51" s="3418">
        <v>4</v>
      </c>
      <c r="F51" s="3418">
        <v>4</v>
      </c>
      <c r="G51" s="3418">
        <v>4</v>
      </c>
      <c r="H51" s="3418"/>
      <c r="I51" s="3418"/>
      <c r="J51" s="3418">
        <v>3</v>
      </c>
      <c r="K51" s="3418">
        <v>3</v>
      </c>
      <c r="L51" s="3418">
        <v>3</v>
      </c>
      <c r="M51" s="3418">
        <v>3</v>
      </c>
      <c r="N51" s="3418">
        <v>3</v>
      </c>
      <c r="O51" s="3418"/>
      <c r="P51" s="3418"/>
      <c r="Q51" s="3418">
        <v>11</v>
      </c>
      <c r="R51" s="3418">
        <v>11</v>
      </c>
      <c r="S51" s="3418">
        <v>11</v>
      </c>
      <c r="T51" s="3418">
        <v>11</v>
      </c>
      <c r="U51" s="3418">
        <v>11</v>
      </c>
      <c r="V51" s="3418" t="s">
        <v>87</v>
      </c>
      <c r="W51" s="3418" t="s">
        <v>87</v>
      </c>
      <c r="X51" s="3503" t="s">
        <v>46</v>
      </c>
      <c r="Y51" s="3503" t="s">
        <v>46</v>
      </c>
      <c r="Z51" s="3503" t="s">
        <v>46</v>
      </c>
      <c r="AA51" s="3503" t="s">
        <v>46</v>
      </c>
      <c r="AB51" s="3503" t="s">
        <v>46</v>
      </c>
      <c r="AC51" s="3422" t="s">
        <v>89</v>
      </c>
    </row>
    <row r="52" spans="1:31" ht="18" customHeight="1" thickBot="1">
      <c r="A52" s="3424" t="s">
        <v>147</v>
      </c>
      <c r="B52" s="3451"/>
      <c r="C52" s="3451" t="s">
        <v>46</v>
      </c>
      <c r="D52" s="3496" t="s">
        <v>46</v>
      </c>
      <c r="E52" s="3496" t="s">
        <v>46</v>
      </c>
      <c r="F52" s="3496" t="s">
        <v>46</v>
      </c>
      <c r="G52" s="3496" t="s">
        <v>46</v>
      </c>
      <c r="H52" s="3496"/>
      <c r="I52" s="3451"/>
      <c r="J52" s="3496">
        <v>1</v>
      </c>
      <c r="K52" s="3450">
        <v>1</v>
      </c>
      <c r="L52" s="3496">
        <v>1</v>
      </c>
      <c r="M52" s="3450">
        <v>1</v>
      </c>
      <c r="N52" s="3450">
        <v>1</v>
      </c>
      <c r="O52" s="3450"/>
      <c r="P52" s="3496"/>
      <c r="Q52" s="3496">
        <v>9</v>
      </c>
      <c r="R52" s="3496">
        <v>9</v>
      </c>
      <c r="S52" s="3496">
        <v>9</v>
      </c>
      <c r="T52" s="3496">
        <v>9</v>
      </c>
      <c r="U52" s="3496">
        <v>9</v>
      </c>
      <c r="V52" s="3496" t="s">
        <v>52</v>
      </c>
      <c r="W52" s="3496" t="s">
        <v>52</v>
      </c>
      <c r="X52" s="3451" t="s">
        <v>46</v>
      </c>
      <c r="Y52" s="3496" t="s">
        <v>46</v>
      </c>
      <c r="Z52" s="3496" t="s">
        <v>46</v>
      </c>
      <c r="AA52" s="3496" t="s">
        <v>46</v>
      </c>
      <c r="AB52" s="3496" t="s">
        <v>46</v>
      </c>
      <c r="AC52" s="3496" t="s">
        <v>91</v>
      </c>
    </row>
    <row r="53" spans="1:31" ht="18" customHeight="1">
      <c r="A53" s="3035"/>
      <c r="B53" s="501"/>
      <c r="C53" s="508">
        <v>5</v>
      </c>
      <c r="D53" s="504">
        <v>5</v>
      </c>
      <c r="E53" s="504">
        <v>5</v>
      </c>
      <c r="F53" s="504">
        <v>5</v>
      </c>
      <c r="G53" s="504">
        <v>5</v>
      </c>
      <c r="H53" s="504"/>
      <c r="I53" s="508"/>
      <c r="J53" s="508">
        <v>10</v>
      </c>
      <c r="K53" s="508">
        <v>10</v>
      </c>
      <c r="L53" s="508">
        <v>10</v>
      </c>
      <c r="M53" s="508">
        <v>10</v>
      </c>
      <c r="N53" s="508">
        <v>10</v>
      </c>
      <c r="O53" s="508" t="s">
        <v>53</v>
      </c>
      <c r="P53" s="508" t="s">
        <v>53</v>
      </c>
      <c r="Q53" s="504" t="s">
        <v>46</v>
      </c>
      <c r="R53" s="504" t="s">
        <v>46</v>
      </c>
      <c r="S53" s="504" t="s">
        <v>46</v>
      </c>
      <c r="T53" s="504" t="s">
        <v>46</v>
      </c>
      <c r="U53" s="508" t="s">
        <v>46</v>
      </c>
      <c r="V53" s="508" t="s">
        <v>86</v>
      </c>
      <c r="W53" s="501" t="s">
        <v>86</v>
      </c>
      <c r="X53" s="504">
        <v>7</v>
      </c>
      <c r="Y53" s="504">
        <v>7</v>
      </c>
      <c r="Z53" s="504">
        <v>7</v>
      </c>
      <c r="AA53" s="504">
        <v>7</v>
      </c>
      <c r="AB53" s="509">
        <v>7</v>
      </c>
      <c r="AC53" s="504"/>
    </row>
    <row r="54" spans="1:31" ht="18" customHeight="1">
      <c r="A54" s="3417" t="s">
        <v>101</v>
      </c>
      <c r="B54" s="3494"/>
      <c r="C54" s="3418">
        <v>3</v>
      </c>
      <c r="D54" s="3418">
        <v>3</v>
      </c>
      <c r="E54" s="3418">
        <v>3</v>
      </c>
      <c r="F54" s="3418">
        <v>3</v>
      </c>
      <c r="G54" s="3418">
        <v>3</v>
      </c>
      <c r="H54" s="3419"/>
      <c r="I54" s="3418"/>
      <c r="J54" s="3418">
        <v>11</v>
      </c>
      <c r="K54" s="3418">
        <v>11</v>
      </c>
      <c r="L54" s="3418">
        <v>11</v>
      </c>
      <c r="M54" s="3422">
        <v>11</v>
      </c>
      <c r="N54" s="3418">
        <v>11</v>
      </c>
      <c r="O54" s="3418" t="s">
        <v>87</v>
      </c>
      <c r="P54" s="3418" t="s">
        <v>87</v>
      </c>
      <c r="Q54" s="3418" t="s">
        <v>46</v>
      </c>
      <c r="R54" s="3418" t="s">
        <v>46</v>
      </c>
      <c r="S54" s="3418" t="s">
        <v>46</v>
      </c>
      <c r="T54" s="3418" t="s">
        <v>46</v>
      </c>
      <c r="U54" s="3503" t="s">
        <v>46</v>
      </c>
      <c r="V54" s="3503" t="s">
        <v>89</v>
      </c>
      <c r="W54" s="3432" t="s">
        <v>89</v>
      </c>
      <c r="X54" s="3503">
        <v>8</v>
      </c>
      <c r="Y54" s="3503">
        <v>8</v>
      </c>
      <c r="Z54" s="3503">
        <v>8</v>
      </c>
      <c r="AA54" s="3503">
        <v>8</v>
      </c>
      <c r="AB54" s="3503">
        <v>8</v>
      </c>
      <c r="AC54" s="3422"/>
    </row>
    <row r="55" spans="1:31" ht="18" customHeight="1" thickBot="1">
      <c r="A55" s="3424" t="s">
        <v>102</v>
      </c>
      <c r="B55" s="3451"/>
      <c r="C55" s="3451">
        <v>1</v>
      </c>
      <c r="D55" s="3496">
        <v>1</v>
      </c>
      <c r="E55" s="3496">
        <v>1</v>
      </c>
      <c r="F55" s="3496">
        <v>1</v>
      </c>
      <c r="G55" s="3496">
        <v>1</v>
      </c>
      <c r="H55" s="3496"/>
      <c r="I55" s="3451"/>
      <c r="J55" s="3496">
        <v>9</v>
      </c>
      <c r="K55" s="3450">
        <v>9</v>
      </c>
      <c r="L55" s="3496">
        <v>9</v>
      </c>
      <c r="M55" s="3450">
        <v>9</v>
      </c>
      <c r="N55" s="3450">
        <v>9</v>
      </c>
      <c r="O55" s="3450" t="s">
        <v>52</v>
      </c>
      <c r="P55" s="3496" t="s">
        <v>52</v>
      </c>
      <c r="Q55" s="3496" t="s">
        <v>46</v>
      </c>
      <c r="R55" s="3496" t="s">
        <v>46</v>
      </c>
      <c r="S55" s="3496" t="s">
        <v>46</v>
      </c>
      <c r="T55" s="3496" t="s">
        <v>46</v>
      </c>
      <c r="U55" s="3496" t="s">
        <v>46</v>
      </c>
      <c r="V55" s="3496" t="s">
        <v>91</v>
      </c>
      <c r="W55" s="3427" t="s">
        <v>89</v>
      </c>
      <c r="X55" s="3451">
        <v>6</v>
      </c>
      <c r="Y55" s="3496">
        <v>6</v>
      </c>
      <c r="Z55" s="3496">
        <v>6</v>
      </c>
      <c r="AA55" s="3496">
        <v>6</v>
      </c>
      <c r="AB55" s="3496">
        <v>6</v>
      </c>
      <c r="AC55" s="3496"/>
    </row>
    <row r="56" spans="1:31" ht="18" customHeight="1">
      <c r="A56" s="3417" t="s">
        <v>190</v>
      </c>
      <c r="B56" s="3089"/>
      <c r="C56" s="2989">
        <v>10</v>
      </c>
      <c r="D56" s="2989">
        <v>10</v>
      </c>
      <c r="E56" s="2989">
        <v>10</v>
      </c>
      <c r="F56" s="2989">
        <v>10</v>
      </c>
      <c r="G56" s="2989">
        <v>10</v>
      </c>
      <c r="H56" s="2989" t="s">
        <v>53</v>
      </c>
      <c r="I56" s="2989" t="s">
        <v>53</v>
      </c>
      <c r="J56" s="3088" t="s">
        <v>46</v>
      </c>
      <c r="K56" s="3088" t="s">
        <v>46</v>
      </c>
      <c r="L56" s="3088" t="s">
        <v>46</v>
      </c>
      <c r="M56" s="3112" t="s">
        <v>46</v>
      </c>
      <c r="N56" s="3089" t="s">
        <v>46</v>
      </c>
      <c r="O56" s="3088" t="s">
        <v>86</v>
      </c>
      <c r="P56" s="3088" t="s">
        <v>86</v>
      </c>
      <c r="Q56" s="3089">
        <v>7</v>
      </c>
      <c r="R56" s="3088">
        <v>7</v>
      </c>
      <c r="S56" s="3088">
        <v>7</v>
      </c>
      <c r="T56" s="3090">
        <v>7</v>
      </c>
      <c r="U56" s="3090">
        <v>7</v>
      </c>
      <c r="V56" s="3090"/>
      <c r="W56" s="3090"/>
      <c r="X56" s="3112">
        <v>4</v>
      </c>
      <c r="Y56" s="3090">
        <v>4</v>
      </c>
      <c r="Z56" s="3090">
        <v>4</v>
      </c>
      <c r="AA56" s="3090">
        <v>4</v>
      </c>
      <c r="AB56" s="3090">
        <v>4</v>
      </c>
      <c r="AC56" s="3088"/>
    </row>
    <row r="57" spans="1:31" ht="18" customHeight="1">
      <c r="A57" s="3417" t="s">
        <v>105</v>
      </c>
      <c r="B57" s="3422"/>
      <c r="C57" s="3422">
        <v>11</v>
      </c>
      <c r="D57" s="3422">
        <v>11</v>
      </c>
      <c r="E57" s="3422">
        <v>11</v>
      </c>
      <c r="F57" s="3422">
        <v>11</v>
      </c>
      <c r="G57" s="3422">
        <v>11</v>
      </c>
      <c r="H57" s="3419" t="s">
        <v>87</v>
      </c>
      <c r="I57" s="3419" t="s">
        <v>87</v>
      </c>
      <c r="J57" s="3419" t="s">
        <v>46</v>
      </c>
      <c r="K57" s="3419" t="s">
        <v>46</v>
      </c>
      <c r="L57" s="3419" t="s">
        <v>46</v>
      </c>
      <c r="M57" s="3419" t="s">
        <v>46</v>
      </c>
      <c r="N57" s="3422" t="s">
        <v>46</v>
      </c>
      <c r="O57" s="3439" t="s">
        <v>89</v>
      </c>
      <c r="P57" s="3439" t="s">
        <v>89</v>
      </c>
      <c r="Q57" s="3494">
        <v>8</v>
      </c>
      <c r="R57" s="3494">
        <v>8</v>
      </c>
      <c r="S57" s="3494">
        <v>8</v>
      </c>
      <c r="T57" s="3494">
        <v>8</v>
      </c>
      <c r="U57" s="3494">
        <v>8</v>
      </c>
      <c r="V57" s="3494"/>
      <c r="W57" s="3494"/>
      <c r="X57" s="3418" t="s">
        <v>46</v>
      </c>
      <c r="Y57" s="3418" t="s">
        <v>46</v>
      </c>
      <c r="Z57" s="3418" t="s">
        <v>46</v>
      </c>
      <c r="AA57" s="3418" t="s">
        <v>46</v>
      </c>
      <c r="AB57" s="3503" t="s">
        <v>46</v>
      </c>
      <c r="AC57" s="3503"/>
    </row>
    <row r="58" spans="1:31" ht="18" customHeight="1" thickBot="1">
      <c r="A58" s="3424" t="s">
        <v>134</v>
      </c>
      <c r="B58" s="3496"/>
      <c r="C58" s="3496">
        <v>9</v>
      </c>
      <c r="D58" s="3496">
        <v>9</v>
      </c>
      <c r="E58" s="3450">
        <v>9</v>
      </c>
      <c r="F58" s="3450">
        <v>9</v>
      </c>
      <c r="G58" s="5158">
        <v>9</v>
      </c>
      <c r="H58" s="5158" t="s">
        <v>52</v>
      </c>
      <c r="I58" s="5158" t="s">
        <v>52</v>
      </c>
      <c r="J58" s="3451" t="s">
        <v>46</v>
      </c>
      <c r="K58" s="3496" t="s">
        <v>46</v>
      </c>
      <c r="L58" s="3496" t="s">
        <v>46</v>
      </c>
      <c r="M58" s="3496" t="s">
        <v>46</v>
      </c>
      <c r="N58" s="3427" t="s">
        <v>46</v>
      </c>
      <c r="O58" s="3427" t="s">
        <v>91</v>
      </c>
      <c r="P58" s="3427" t="s">
        <v>89</v>
      </c>
      <c r="Q58" s="3427">
        <v>6</v>
      </c>
      <c r="R58" s="3427">
        <v>6</v>
      </c>
      <c r="S58" s="3427">
        <v>6</v>
      </c>
      <c r="T58" s="3427">
        <v>6</v>
      </c>
      <c r="U58" s="3496">
        <v>6</v>
      </c>
      <c r="V58" s="3496"/>
      <c r="W58" s="3496"/>
      <c r="X58" s="3451" t="s">
        <v>46</v>
      </c>
      <c r="Y58" s="3496" t="s">
        <v>46</v>
      </c>
      <c r="Z58" s="3496" t="s">
        <v>46</v>
      </c>
      <c r="AA58" s="3496" t="s">
        <v>46</v>
      </c>
      <c r="AB58" s="3496" t="s">
        <v>46</v>
      </c>
      <c r="AC58" s="3496"/>
    </row>
    <row r="59" spans="1:31" ht="18" customHeight="1">
      <c r="A59" s="42"/>
      <c r="C59" s="64"/>
      <c r="D59" s="64"/>
      <c r="E59" s="64"/>
      <c r="F59" s="64"/>
      <c r="G59" s="64"/>
      <c r="H59" s="64"/>
      <c r="I59" s="64"/>
      <c r="J59" s="64"/>
      <c r="K59" s="64"/>
      <c r="L59" s="64"/>
      <c r="M59" s="64"/>
      <c r="N59" s="64"/>
      <c r="O59" s="64"/>
      <c r="P59" s="64"/>
      <c r="Q59" s="64"/>
      <c r="R59" s="64"/>
      <c r="S59" s="64"/>
      <c r="T59" s="64"/>
      <c r="U59" s="64"/>
      <c r="V59" s="64"/>
      <c r="W59" s="64"/>
      <c r="X59" s="64"/>
      <c r="Y59" s="64"/>
      <c r="Z59" s="64"/>
      <c r="AA59" s="64"/>
      <c r="AB59" s="64"/>
      <c r="AC59" s="64"/>
    </row>
    <row r="60" spans="1:31" s="111" customFormat="1" ht="18" customHeight="1">
      <c r="A60" s="499"/>
      <c r="B60" s="1307"/>
      <c r="C60" s="1307"/>
      <c r="D60" s="1307"/>
      <c r="E60" s="1307"/>
      <c r="F60" s="1307"/>
      <c r="G60" s="1307"/>
      <c r="H60" s="1045"/>
      <c r="I60" s="1045"/>
      <c r="J60" s="1045"/>
      <c r="K60" s="1045"/>
      <c r="L60" s="1045"/>
      <c r="M60" s="1045"/>
      <c r="N60" s="1045"/>
      <c r="O60" s="1045"/>
      <c r="P60" s="1045"/>
      <c r="Q60" s="123"/>
      <c r="R60" s="123"/>
      <c r="S60" s="123"/>
      <c r="T60" s="123"/>
      <c r="U60" s="123"/>
      <c r="V60" s="123"/>
      <c r="W60" s="123"/>
      <c r="X60" s="123"/>
      <c r="Y60" s="123"/>
      <c r="Z60" s="123"/>
      <c r="AA60" s="123"/>
      <c r="AB60" s="123"/>
      <c r="AC60" s="123"/>
    </row>
    <row r="61" spans="1:31" ht="18" customHeight="1">
      <c r="A61" s="42"/>
      <c r="C61" s="64"/>
      <c r="D61" s="64"/>
      <c r="E61" s="64"/>
      <c r="F61" s="64"/>
      <c r="G61" s="64"/>
      <c r="H61" s="64"/>
      <c r="I61" s="64"/>
      <c r="J61" s="64"/>
      <c r="K61" s="64"/>
      <c r="L61" s="64"/>
      <c r="M61" s="64"/>
      <c r="N61" s="64"/>
      <c r="O61" s="64"/>
      <c r="P61" s="64"/>
      <c r="Q61" s="64"/>
      <c r="R61" s="64"/>
      <c r="S61" s="64"/>
      <c r="T61" s="64"/>
      <c r="U61" s="64"/>
      <c r="V61" s="64"/>
      <c r="W61" s="64"/>
      <c r="X61" s="64"/>
      <c r="Y61" s="64"/>
      <c r="Z61" s="64"/>
      <c r="AA61" s="64"/>
      <c r="AB61" s="64"/>
      <c r="AC61" s="64"/>
    </row>
    <row r="62" spans="1:31" ht="17.25" customHeight="1"/>
    <row r="63" spans="1:31" ht="18" customHeight="1">
      <c r="A63" s="1036" t="s">
        <v>537</v>
      </c>
      <c r="B63" s="389">
        <v>1</v>
      </c>
      <c r="C63" s="390">
        <v>2</v>
      </c>
      <c r="D63" s="390">
        <v>3</v>
      </c>
      <c r="E63" s="390">
        <v>4</v>
      </c>
      <c r="F63" s="390">
        <v>5</v>
      </c>
      <c r="G63" s="390">
        <v>6</v>
      </c>
      <c r="H63" s="389">
        <v>7</v>
      </c>
      <c r="I63" s="389">
        <v>8</v>
      </c>
      <c r="J63" s="390">
        <v>9</v>
      </c>
      <c r="K63" s="390">
        <v>10</v>
      </c>
      <c r="L63" s="390">
        <v>11</v>
      </c>
      <c r="M63" s="390">
        <v>12</v>
      </c>
      <c r="N63" s="390">
        <v>13</v>
      </c>
      <c r="O63" s="389">
        <v>14</v>
      </c>
      <c r="P63" s="389">
        <v>15</v>
      </c>
      <c r="Q63" s="390">
        <v>16</v>
      </c>
      <c r="R63" s="390">
        <v>17</v>
      </c>
      <c r="S63" s="390">
        <v>18</v>
      </c>
      <c r="T63" s="390">
        <v>19</v>
      </c>
      <c r="U63" s="390">
        <v>20</v>
      </c>
      <c r="V63" s="389">
        <v>21</v>
      </c>
      <c r="W63" s="389">
        <v>22</v>
      </c>
      <c r="X63" s="390">
        <v>23</v>
      </c>
      <c r="Y63" s="390">
        <v>24</v>
      </c>
      <c r="Z63" s="390">
        <v>25</v>
      </c>
      <c r="AA63" s="390">
        <v>26</v>
      </c>
      <c r="AB63" s="390">
        <v>27</v>
      </c>
      <c r="AC63" s="391">
        <v>28</v>
      </c>
    </row>
    <row r="64" spans="1:31" ht="18" customHeight="1">
      <c r="A64" s="1308" t="s">
        <v>112</v>
      </c>
      <c r="B64" s="1029" t="s">
        <v>677</v>
      </c>
      <c r="C64" s="1029" t="s">
        <v>677</v>
      </c>
      <c r="D64" s="1029" t="s">
        <v>677</v>
      </c>
      <c r="E64" s="1029" t="s">
        <v>677</v>
      </c>
      <c r="F64" s="1029" t="s">
        <v>677</v>
      </c>
      <c r="G64" s="1444" t="s">
        <v>677</v>
      </c>
      <c r="H64" s="1333"/>
      <c r="I64" s="1030"/>
      <c r="J64" s="1030" t="s">
        <v>628</v>
      </c>
      <c r="K64" s="1031" t="s">
        <v>46</v>
      </c>
      <c r="L64" s="1029" t="s">
        <v>677</v>
      </c>
      <c r="M64" s="1029" t="s">
        <v>677</v>
      </c>
      <c r="N64" s="1029" t="s">
        <v>677</v>
      </c>
      <c r="P64" s="1031"/>
      <c r="Q64" s="1032" t="s">
        <v>40</v>
      </c>
      <c r="R64" s="1032" t="s">
        <v>40</v>
      </c>
      <c r="S64" s="1032" t="s">
        <v>40</v>
      </c>
      <c r="T64" s="1032" t="s">
        <v>40</v>
      </c>
      <c r="U64" s="1032" t="s">
        <v>40</v>
      </c>
      <c r="V64" s="1032"/>
      <c r="W64" s="1032"/>
      <c r="X64" s="1032" t="s">
        <v>40</v>
      </c>
      <c r="Y64" s="1032" t="s">
        <v>40</v>
      </c>
      <c r="Z64" s="1032" t="s">
        <v>40</v>
      </c>
      <c r="AA64" s="1032" t="s">
        <v>40</v>
      </c>
      <c r="AB64" s="1032" t="s">
        <v>40</v>
      </c>
      <c r="AC64" s="1033"/>
    </row>
    <row r="65" spans="1:29" ht="18" customHeight="1">
      <c r="A65" s="5159" t="s">
        <v>114</v>
      </c>
      <c r="B65" s="3422"/>
      <c r="C65" s="3423" t="s">
        <v>257</v>
      </c>
      <c r="D65" s="3422" t="s">
        <v>257</v>
      </c>
      <c r="E65" s="3422" t="s">
        <v>46</v>
      </c>
      <c r="F65" s="3422" t="s">
        <v>46</v>
      </c>
      <c r="G65" s="3422">
        <v>9</v>
      </c>
      <c r="H65" s="3422" t="s">
        <v>52</v>
      </c>
      <c r="I65" s="3432" t="s">
        <v>52</v>
      </c>
      <c r="J65" s="3432" t="s">
        <v>628</v>
      </c>
      <c r="K65" s="3423" t="s">
        <v>46</v>
      </c>
      <c r="L65" s="3423" t="s">
        <v>46</v>
      </c>
      <c r="M65" s="3423" t="s">
        <v>46</v>
      </c>
      <c r="N65" s="3423" t="s">
        <v>40</v>
      </c>
      <c r="O65" s="3496" t="s">
        <v>89</v>
      </c>
      <c r="P65" s="3496" t="s">
        <v>89</v>
      </c>
      <c r="Q65" s="3496">
        <v>8</v>
      </c>
      <c r="R65" s="3496">
        <v>8</v>
      </c>
      <c r="S65" s="3427">
        <v>8</v>
      </c>
      <c r="T65" s="3496">
        <v>8</v>
      </c>
      <c r="U65" s="3496">
        <v>8</v>
      </c>
      <c r="V65" s="3423"/>
      <c r="W65" s="3423"/>
      <c r="X65" s="3423" t="s">
        <v>40</v>
      </c>
      <c r="Y65" s="3423" t="s">
        <v>40</v>
      </c>
      <c r="Z65" s="3422" t="s">
        <v>40</v>
      </c>
      <c r="AA65" s="3422" t="s">
        <v>40</v>
      </c>
      <c r="AB65" s="3423" t="s">
        <v>40</v>
      </c>
      <c r="AC65" s="5148"/>
    </row>
    <row r="66" spans="1:29" ht="18" customHeight="1" thickBot="1">
      <c r="A66" s="5159" t="s">
        <v>117</v>
      </c>
      <c r="B66" s="3422" t="s">
        <v>61</v>
      </c>
      <c r="C66" s="3088" t="s">
        <v>46</v>
      </c>
      <c r="D66" s="3088" t="s">
        <v>46</v>
      </c>
      <c r="E66" s="3088" t="s">
        <v>46</v>
      </c>
      <c r="F66" s="3088" t="s">
        <v>46</v>
      </c>
      <c r="G66" s="3088" t="s">
        <v>46</v>
      </c>
      <c r="H66" s="3422" t="s">
        <v>139</v>
      </c>
      <c r="I66" s="5160" t="s">
        <v>139</v>
      </c>
      <c r="J66" s="5160" t="s">
        <v>139</v>
      </c>
      <c r="K66" s="5160" t="s">
        <v>139</v>
      </c>
      <c r="L66" s="3088" t="s">
        <v>46</v>
      </c>
      <c r="M66" s="3088" t="s">
        <v>46</v>
      </c>
      <c r="N66" s="3088" t="s">
        <v>46</v>
      </c>
      <c r="O66" s="343" t="s">
        <v>373</v>
      </c>
      <c r="P66" s="343" t="s">
        <v>113</v>
      </c>
      <c r="Q66" s="3440" t="s">
        <v>46</v>
      </c>
      <c r="R66" s="3423" t="s">
        <v>46</v>
      </c>
      <c r="S66" s="3423" t="s">
        <v>40</v>
      </c>
      <c r="T66" s="3423" t="s">
        <v>40</v>
      </c>
      <c r="U66" s="3423" t="s">
        <v>40</v>
      </c>
      <c r="V66" s="3423"/>
      <c r="W66" s="3423"/>
      <c r="X66" s="3423" t="s">
        <v>40</v>
      </c>
      <c r="Y66" s="3423" t="s">
        <v>40</v>
      </c>
      <c r="Z66" s="3422" t="s">
        <v>40</v>
      </c>
      <c r="AA66" s="3422" t="s">
        <v>40</v>
      </c>
      <c r="AB66" s="3423" t="s">
        <v>40</v>
      </c>
      <c r="AC66" s="5148"/>
    </row>
    <row r="67" spans="1:29" ht="18" customHeight="1">
      <c r="A67" s="5159" t="s">
        <v>622</v>
      </c>
      <c r="B67" s="3422"/>
      <c r="C67" s="3423" t="s">
        <v>40</v>
      </c>
      <c r="D67" s="3422" t="s">
        <v>40</v>
      </c>
      <c r="E67" s="3422">
        <v>99</v>
      </c>
      <c r="F67" s="3422" t="s">
        <v>40</v>
      </c>
      <c r="G67" s="3422" t="s">
        <v>40</v>
      </c>
      <c r="H67" s="3422"/>
      <c r="I67" s="3432"/>
      <c r="J67" s="3589" t="s">
        <v>40</v>
      </c>
      <c r="K67" s="5161">
        <v>6</v>
      </c>
      <c r="L67" s="5161" t="s">
        <v>113</v>
      </c>
      <c r="M67" s="5161" t="s">
        <v>113</v>
      </c>
      <c r="N67" s="5161" t="s">
        <v>373</v>
      </c>
      <c r="O67" s="3423" t="s">
        <v>628</v>
      </c>
      <c r="P67" s="3423" t="s">
        <v>46</v>
      </c>
      <c r="Q67" s="343" t="s">
        <v>40</v>
      </c>
      <c r="R67" s="343" t="s">
        <v>40</v>
      </c>
      <c r="S67" s="343" t="s">
        <v>113</v>
      </c>
      <c r="T67" s="343" t="s">
        <v>113</v>
      </c>
      <c r="U67" s="343" t="s">
        <v>373</v>
      </c>
      <c r="V67" s="3423"/>
      <c r="W67" s="3423"/>
      <c r="X67" s="3423" t="s">
        <v>40</v>
      </c>
      <c r="Y67" s="3423" t="s">
        <v>40</v>
      </c>
      <c r="Z67" s="3422" t="s">
        <v>40</v>
      </c>
      <c r="AA67" s="3422" t="s">
        <v>40</v>
      </c>
      <c r="AB67" s="3423" t="s">
        <v>40</v>
      </c>
      <c r="AC67" s="5148" t="s">
        <v>104</v>
      </c>
    </row>
    <row r="68" spans="1:29" ht="18" customHeight="1">
      <c r="A68" s="5159" t="s">
        <v>122</v>
      </c>
      <c r="B68" s="3422" t="s">
        <v>113</v>
      </c>
      <c r="C68" s="3423" t="s">
        <v>46</v>
      </c>
      <c r="D68" s="3422" t="s">
        <v>40</v>
      </c>
      <c r="E68" s="3422" t="s">
        <v>40</v>
      </c>
      <c r="F68" s="3422" t="s">
        <v>40</v>
      </c>
      <c r="G68" s="3422" t="s">
        <v>40</v>
      </c>
      <c r="H68" s="3422"/>
      <c r="I68" s="5162"/>
      <c r="J68" s="1443" t="s">
        <v>40</v>
      </c>
      <c r="K68" s="1443" t="s">
        <v>40</v>
      </c>
      <c r="L68" s="343" t="s">
        <v>40</v>
      </c>
      <c r="M68" s="343" t="s">
        <v>40</v>
      </c>
      <c r="N68" s="343" t="s">
        <v>40</v>
      </c>
      <c r="O68" s="5163"/>
      <c r="P68" s="3423"/>
      <c r="Q68" s="3440" t="s">
        <v>40</v>
      </c>
      <c r="R68" s="3440" t="s">
        <v>40</v>
      </c>
      <c r="S68" s="3440" t="s">
        <v>40</v>
      </c>
      <c r="T68" s="3440" t="s">
        <v>40</v>
      </c>
      <c r="U68" s="2830" t="s">
        <v>40</v>
      </c>
      <c r="V68" s="343" t="s">
        <v>373</v>
      </c>
      <c r="W68" s="343" t="s">
        <v>113</v>
      </c>
      <c r="X68" s="480" t="s">
        <v>46</v>
      </c>
      <c r="Y68" s="480" t="s">
        <v>46</v>
      </c>
      <c r="Z68" s="480" t="s">
        <v>413</v>
      </c>
      <c r="AA68" s="480" t="s">
        <v>413</v>
      </c>
      <c r="AB68" s="480" t="s">
        <v>413</v>
      </c>
      <c r="AC68" s="5148"/>
    </row>
    <row r="69" spans="1:29" ht="18" customHeight="1">
      <c r="A69" s="5159" t="s">
        <v>129</v>
      </c>
      <c r="B69" s="3422"/>
      <c r="C69" s="3423" t="s">
        <v>40</v>
      </c>
      <c r="D69" s="3422" t="s">
        <v>40</v>
      </c>
      <c r="E69" s="3422" t="s">
        <v>40</v>
      </c>
      <c r="F69" s="3422" t="s">
        <v>40</v>
      </c>
      <c r="G69" s="3422" t="s">
        <v>40</v>
      </c>
      <c r="H69" s="3422"/>
      <c r="I69" s="3432"/>
      <c r="J69" s="857" t="s">
        <v>130</v>
      </c>
      <c r="K69" s="857" t="s">
        <v>130</v>
      </c>
      <c r="L69" s="857" t="s">
        <v>130</v>
      </c>
      <c r="M69" s="857" t="s">
        <v>130</v>
      </c>
      <c r="N69" s="857" t="s">
        <v>130</v>
      </c>
      <c r="O69" s="3423"/>
      <c r="P69" s="3423"/>
      <c r="Q69" s="3440" t="s">
        <v>40</v>
      </c>
      <c r="R69" s="3423" t="s">
        <v>40</v>
      </c>
      <c r="S69" s="3423" t="s">
        <v>40</v>
      </c>
      <c r="T69" s="3423" t="s">
        <v>40</v>
      </c>
      <c r="U69" s="3423">
        <v>22</v>
      </c>
      <c r="V69" s="3423">
        <v>22</v>
      </c>
      <c r="W69" s="3423">
        <v>22</v>
      </c>
      <c r="X69" s="343" t="s">
        <v>113</v>
      </c>
      <c r="Y69" s="343" t="s">
        <v>113</v>
      </c>
      <c r="Z69" s="3422" t="s">
        <v>40</v>
      </c>
      <c r="AA69" s="3422" t="s">
        <v>40</v>
      </c>
      <c r="AB69" s="5164" t="s">
        <v>46</v>
      </c>
      <c r="AC69" s="357" t="s">
        <v>373</v>
      </c>
    </row>
    <row r="70" spans="1:29" ht="18" customHeight="1">
      <c r="A70" s="5159" t="s">
        <v>140</v>
      </c>
      <c r="B70" s="3422"/>
      <c r="C70" s="3423" t="s">
        <v>40</v>
      </c>
      <c r="D70" s="3423" t="s">
        <v>40</v>
      </c>
      <c r="E70" s="3423" t="s">
        <v>40</v>
      </c>
      <c r="F70" s="3423" t="s">
        <v>40</v>
      </c>
      <c r="G70" s="3423" t="s">
        <v>40</v>
      </c>
      <c r="H70" s="3422"/>
      <c r="I70" s="3432"/>
      <c r="J70" s="3423" t="s">
        <v>40</v>
      </c>
      <c r="K70" s="3423" t="s">
        <v>40</v>
      </c>
      <c r="L70" s="3423" t="s">
        <v>40</v>
      </c>
      <c r="M70" s="3423" t="s">
        <v>40</v>
      </c>
      <c r="N70" s="3423" t="s">
        <v>40</v>
      </c>
      <c r="O70" s="3423"/>
      <c r="P70" s="3423"/>
      <c r="Q70" s="3423" t="s">
        <v>40</v>
      </c>
      <c r="R70" s="3423" t="s">
        <v>40</v>
      </c>
      <c r="S70" s="3423" t="s">
        <v>40</v>
      </c>
      <c r="T70" s="3423" t="s">
        <v>40</v>
      </c>
      <c r="U70" s="3423" t="s">
        <v>40</v>
      </c>
      <c r="V70" s="3423" t="s">
        <v>0</v>
      </c>
      <c r="W70" s="3423" t="s">
        <v>0</v>
      </c>
      <c r="X70" s="3423" t="s">
        <v>40</v>
      </c>
      <c r="Y70" s="3423" t="s">
        <v>40</v>
      </c>
      <c r="Z70" s="3423" t="s">
        <v>40</v>
      </c>
      <c r="AA70" s="3423" t="s">
        <v>40</v>
      </c>
      <c r="AB70" s="3423" t="s">
        <v>40</v>
      </c>
      <c r="AC70" s="5148"/>
    </row>
    <row r="71" spans="1:29" ht="18" customHeight="1">
      <c r="A71" s="5159" t="s">
        <v>478</v>
      </c>
      <c r="B71" s="3422" t="s">
        <v>429</v>
      </c>
      <c r="C71" s="3088" t="s">
        <v>46</v>
      </c>
      <c r="D71" s="3088" t="s">
        <v>46</v>
      </c>
      <c r="E71" s="3088" t="s">
        <v>46</v>
      </c>
      <c r="F71" s="3088" t="s">
        <v>46</v>
      </c>
      <c r="G71" s="3088" t="s">
        <v>46</v>
      </c>
      <c r="H71" s="3422"/>
      <c r="I71" s="3432"/>
      <c r="J71" s="3432" t="s">
        <v>113</v>
      </c>
      <c r="K71" s="3423" t="s">
        <v>113</v>
      </c>
      <c r="L71" s="4552" t="s">
        <v>40</v>
      </c>
      <c r="M71" s="4552" t="s">
        <v>40</v>
      </c>
      <c r="N71" s="4552" t="s">
        <v>40</v>
      </c>
      <c r="O71" s="1031" t="s">
        <v>429</v>
      </c>
      <c r="P71" s="3423"/>
      <c r="Q71" s="3527" t="s">
        <v>113</v>
      </c>
      <c r="R71" s="3527" t="s">
        <v>113</v>
      </c>
      <c r="S71" s="3444" t="s">
        <v>40</v>
      </c>
      <c r="T71" s="3444" t="s">
        <v>40</v>
      </c>
      <c r="U71" s="3444" t="s">
        <v>40</v>
      </c>
      <c r="V71" s="3423"/>
      <c r="W71" s="3423"/>
      <c r="X71" s="343" t="s">
        <v>418</v>
      </c>
      <c r="Y71" s="343" t="s">
        <v>418</v>
      </c>
      <c r="Z71" s="3422" t="s">
        <v>40</v>
      </c>
      <c r="AA71" s="3422" t="s">
        <v>40</v>
      </c>
      <c r="AB71" s="3423" t="s">
        <v>46</v>
      </c>
      <c r="AC71" s="357" t="s">
        <v>429</v>
      </c>
    </row>
    <row r="72" spans="1:29" ht="18" customHeight="1">
      <c r="A72" s="5165" t="s">
        <v>479</v>
      </c>
      <c r="B72" s="3422"/>
      <c r="C72" s="3444" t="s">
        <v>40</v>
      </c>
      <c r="D72" s="3444" t="s">
        <v>40</v>
      </c>
      <c r="E72" s="3444" t="s">
        <v>40</v>
      </c>
      <c r="F72" s="3444" t="s">
        <v>40</v>
      </c>
      <c r="G72" s="3444" t="s">
        <v>40</v>
      </c>
      <c r="H72" s="3422"/>
      <c r="I72" s="3432"/>
      <c r="J72" s="3526">
        <v>79</v>
      </c>
      <c r="K72" s="3526">
        <v>79</v>
      </c>
      <c r="L72" s="3432">
        <v>79</v>
      </c>
      <c r="M72" s="3432">
        <v>79</v>
      </c>
      <c r="N72" s="3432">
        <v>79</v>
      </c>
      <c r="O72" s="3423"/>
      <c r="P72" s="3423"/>
      <c r="Q72" s="4552" t="s">
        <v>40</v>
      </c>
      <c r="R72" s="4552" t="s">
        <v>40</v>
      </c>
      <c r="S72" s="4552" t="s">
        <v>40</v>
      </c>
      <c r="T72" s="4552" t="s">
        <v>40</v>
      </c>
      <c r="U72" s="4552" t="s">
        <v>40</v>
      </c>
      <c r="V72" s="3423" t="s">
        <v>104</v>
      </c>
      <c r="W72" s="3423"/>
      <c r="X72" s="3423" t="s">
        <v>40</v>
      </c>
      <c r="Y72" s="3423" t="s">
        <v>40</v>
      </c>
      <c r="Z72" s="3422" t="s">
        <v>40</v>
      </c>
      <c r="AA72" s="3422" t="s">
        <v>40</v>
      </c>
      <c r="AB72" s="3423" t="s">
        <v>40</v>
      </c>
      <c r="AC72" s="5148"/>
    </row>
    <row r="73" spans="1:29" ht="18" customHeight="1">
      <c r="A73" s="5165" t="s">
        <v>564</v>
      </c>
      <c r="B73" s="5160"/>
      <c r="C73" s="5166">
        <v>23</v>
      </c>
      <c r="D73" s="5166">
        <v>23</v>
      </c>
      <c r="E73" s="5166">
        <v>23</v>
      </c>
      <c r="F73" s="5167">
        <v>23</v>
      </c>
      <c r="G73" s="5167">
        <v>23</v>
      </c>
      <c r="H73" s="5167">
        <v>23</v>
      </c>
      <c r="I73" s="5167">
        <v>23</v>
      </c>
      <c r="J73" s="5167" t="s">
        <v>46</v>
      </c>
      <c r="K73" s="5167" t="s">
        <v>46</v>
      </c>
      <c r="L73" s="5167" t="s">
        <v>46</v>
      </c>
      <c r="M73" s="5160" t="s">
        <v>46</v>
      </c>
      <c r="N73" s="5160" t="s">
        <v>46</v>
      </c>
      <c r="O73" s="5160"/>
      <c r="P73" s="5160"/>
      <c r="Q73" s="5168">
        <v>21</v>
      </c>
      <c r="R73" s="5168">
        <v>21</v>
      </c>
      <c r="S73" s="5160">
        <v>21</v>
      </c>
      <c r="T73" s="5169">
        <v>21</v>
      </c>
      <c r="U73" s="5169">
        <v>21</v>
      </c>
      <c r="V73" s="5170">
        <v>21</v>
      </c>
      <c r="W73" s="5160">
        <v>21</v>
      </c>
      <c r="X73" s="5160" t="s">
        <v>46</v>
      </c>
      <c r="Y73" s="5170" t="s">
        <v>46</v>
      </c>
      <c r="Z73" s="5160" t="s">
        <v>46</v>
      </c>
      <c r="AA73" s="5160" t="s">
        <v>46</v>
      </c>
      <c r="AB73" s="5160" t="s">
        <v>46</v>
      </c>
      <c r="AC73" s="398"/>
    </row>
    <row r="74" spans="1:29" ht="18" customHeight="1">
      <c r="A74" s="5171" t="s">
        <v>565</v>
      </c>
      <c r="B74" s="3422" t="s">
        <v>0</v>
      </c>
      <c r="C74" s="3444" t="s">
        <v>677</v>
      </c>
      <c r="D74" s="3444" t="s">
        <v>677</v>
      </c>
      <c r="E74" s="3444" t="s">
        <v>677</v>
      </c>
      <c r="F74" s="3444" t="s">
        <v>677</v>
      </c>
      <c r="G74" s="3527" t="s">
        <v>677</v>
      </c>
      <c r="H74" s="3527" t="s">
        <v>677</v>
      </c>
      <c r="I74" s="480" t="s">
        <v>46</v>
      </c>
      <c r="J74" s="480" t="s">
        <v>46</v>
      </c>
      <c r="K74" s="480" t="s">
        <v>46</v>
      </c>
      <c r="L74" s="480" t="s">
        <v>46</v>
      </c>
      <c r="M74" s="480" t="s">
        <v>46</v>
      </c>
      <c r="N74" s="480" t="s">
        <v>46</v>
      </c>
      <c r="O74" s="3423" t="s">
        <v>677</v>
      </c>
      <c r="P74" s="3423" t="s">
        <v>677</v>
      </c>
      <c r="Q74" s="3423" t="s">
        <v>677</v>
      </c>
      <c r="R74" s="3423" t="s">
        <v>677</v>
      </c>
      <c r="S74" s="3423" t="s">
        <v>677</v>
      </c>
      <c r="T74" s="3423" t="s">
        <v>677</v>
      </c>
      <c r="U74" s="3423" t="s">
        <v>46</v>
      </c>
      <c r="V74" s="480" t="s">
        <v>46</v>
      </c>
      <c r="W74" s="480" t="s">
        <v>46</v>
      </c>
      <c r="X74" s="480" t="s">
        <v>46</v>
      </c>
      <c r="Y74" s="480" t="s">
        <v>46</v>
      </c>
      <c r="Z74" s="480" t="s">
        <v>46</v>
      </c>
      <c r="AA74" s="5150" t="s">
        <v>677</v>
      </c>
      <c r="AB74" s="3423" t="s">
        <v>677</v>
      </c>
      <c r="AC74" s="5143" t="s">
        <v>677</v>
      </c>
    </row>
    <row r="75" spans="1:29" ht="18" customHeight="1">
      <c r="A75" s="5171" t="s">
        <v>540</v>
      </c>
      <c r="B75" s="480" t="s">
        <v>628</v>
      </c>
      <c r="C75" s="480" t="s">
        <v>61</v>
      </c>
      <c r="D75" s="480" t="s">
        <v>61</v>
      </c>
      <c r="E75" s="480" t="s">
        <v>61</v>
      </c>
      <c r="F75" s="480" t="s">
        <v>46</v>
      </c>
      <c r="G75" s="480" t="s">
        <v>46</v>
      </c>
      <c r="H75" s="484" t="s">
        <v>46</v>
      </c>
      <c r="I75" s="484" t="s">
        <v>46</v>
      </c>
      <c r="J75" s="484" t="s">
        <v>628</v>
      </c>
      <c r="K75" s="484" t="s">
        <v>628</v>
      </c>
      <c r="L75" s="484" t="s">
        <v>46</v>
      </c>
      <c r="M75" s="480" t="s">
        <v>46</v>
      </c>
      <c r="N75" s="480" t="s">
        <v>61</v>
      </c>
      <c r="O75" s="480" t="s">
        <v>61</v>
      </c>
      <c r="P75" s="480" t="s">
        <v>61</v>
      </c>
      <c r="Q75" s="480" t="s">
        <v>46</v>
      </c>
      <c r="R75" s="480" t="s">
        <v>46</v>
      </c>
      <c r="S75" s="480" t="s">
        <v>46</v>
      </c>
      <c r="T75" s="480" t="s">
        <v>61</v>
      </c>
      <c r="U75" s="480" t="s">
        <v>61</v>
      </c>
      <c r="V75" s="484" t="s">
        <v>61</v>
      </c>
      <c r="W75" s="484" t="s">
        <v>46</v>
      </c>
      <c r="X75" s="484" t="s">
        <v>628</v>
      </c>
      <c r="Y75" s="484" t="s">
        <v>46</v>
      </c>
      <c r="Z75" s="484" t="s">
        <v>61</v>
      </c>
      <c r="AA75" s="480" t="s">
        <v>61</v>
      </c>
      <c r="AB75" s="480" t="s">
        <v>61</v>
      </c>
      <c r="AC75" s="645" t="s">
        <v>46</v>
      </c>
    </row>
    <row r="76" spans="1:29" ht="18" customHeight="1">
      <c r="B76" s="113"/>
      <c r="C76" s="963"/>
      <c r="D76" s="113"/>
      <c r="E76" s="113"/>
      <c r="F76" s="113"/>
      <c r="G76" s="113"/>
      <c r="H76" s="113"/>
      <c r="I76" s="116"/>
      <c r="J76" s="116"/>
      <c r="K76" s="963"/>
      <c r="L76" s="963"/>
      <c r="M76" s="963"/>
      <c r="N76" s="963"/>
      <c r="O76" s="963"/>
      <c r="P76" s="963"/>
      <c r="Q76" s="964"/>
      <c r="R76" s="963"/>
      <c r="S76" s="963"/>
      <c r="T76" s="963"/>
      <c r="U76" s="963"/>
      <c r="V76" s="963"/>
      <c r="W76" s="963"/>
      <c r="X76" s="963"/>
      <c r="Y76" s="963"/>
      <c r="Z76" s="113"/>
      <c r="AA76" s="113"/>
      <c r="AB76" s="963"/>
      <c r="AC76" s="113"/>
    </row>
    <row r="77" spans="1:29" ht="18" customHeight="1">
      <c r="A77" s="1408" t="s">
        <v>154</v>
      </c>
      <c r="B77" s="866">
        <v>1</v>
      </c>
      <c r="C77" s="865">
        <v>2</v>
      </c>
      <c r="D77" s="865">
        <v>3</v>
      </c>
      <c r="E77" s="865">
        <v>4</v>
      </c>
      <c r="F77" s="865">
        <v>5</v>
      </c>
      <c r="G77" s="865">
        <v>6</v>
      </c>
      <c r="H77" s="866">
        <v>7</v>
      </c>
      <c r="I77" s="866">
        <v>8</v>
      </c>
      <c r="J77" s="865">
        <v>9</v>
      </c>
      <c r="K77" s="865">
        <v>10</v>
      </c>
      <c r="L77" s="865">
        <v>11</v>
      </c>
      <c r="M77" s="865">
        <v>12</v>
      </c>
      <c r="N77" s="865">
        <v>13</v>
      </c>
      <c r="O77" s="866">
        <v>14</v>
      </c>
      <c r="P77" s="866">
        <v>15</v>
      </c>
      <c r="Q77" s="865">
        <v>16</v>
      </c>
      <c r="R77" s="865">
        <v>17</v>
      </c>
      <c r="S77" s="865">
        <v>18</v>
      </c>
      <c r="T77" s="865">
        <v>19</v>
      </c>
      <c r="U77" s="865">
        <v>20</v>
      </c>
      <c r="V77" s="866">
        <v>21</v>
      </c>
      <c r="W77" s="866">
        <v>22</v>
      </c>
      <c r="X77" s="865">
        <v>23</v>
      </c>
      <c r="Y77" s="865">
        <v>24</v>
      </c>
      <c r="Z77" s="865">
        <v>25</v>
      </c>
      <c r="AA77" s="865">
        <v>26</v>
      </c>
      <c r="AB77" s="865">
        <v>27</v>
      </c>
      <c r="AC77" s="868">
        <v>28</v>
      </c>
    </row>
    <row r="78" spans="1:29" ht="18" customHeight="1" thickBot="1">
      <c r="A78" s="4907" t="s">
        <v>624</v>
      </c>
      <c r="B78" s="3422"/>
      <c r="C78" s="4558">
        <v>6</v>
      </c>
      <c r="D78" s="5172">
        <v>6</v>
      </c>
      <c r="E78" s="5172">
        <v>6</v>
      </c>
      <c r="F78" s="5172">
        <v>6</v>
      </c>
      <c r="G78" s="3422" t="s">
        <v>46</v>
      </c>
      <c r="H78" s="3422"/>
      <c r="I78" s="3432" t="s">
        <v>61</v>
      </c>
      <c r="J78" s="3432" t="s">
        <v>61</v>
      </c>
      <c r="K78" s="3423" t="s">
        <v>628</v>
      </c>
      <c r="L78" s="3423" t="s">
        <v>46</v>
      </c>
      <c r="M78" s="3423" t="s">
        <v>40</v>
      </c>
      <c r="N78" s="3423" t="s">
        <v>40</v>
      </c>
      <c r="O78" s="3423"/>
      <c r="P78" s="3423" t="s">
        <v>429</v>
      </c>
      <c r="Q78" s="3440">
        <v>22</v>
      </c>
      <c r="R78" s="3423">
        <v>22</v>
      </c>
      <c r="S78" s="3423">
        <v>22</v>
      </c>
      <c r="T78" s="3423">
        <v>22</v>
      </c>
      <c r="U78" s="3423" t="s">
        <v>46</v>
      </c>
      <c r="V78" s="3423"/>
      <c r="W78" s="1504" t="s">
        <v>139</v>
      </c>
      <c r="X78" s="1504" t="s">
        <v>139</v>
      </c>
      <c r="Y78" s="480" t="s">
        <v>46</v>
      </c>
      <c r="Z78" s="480" t="s">
        <v>46</v>
      </c>
      <c r="AA78" s="3422" t="s">
        <v>46</v>
      </c>
      <c r="AB78" s="3423" t="s">
        <v>40</v>
      </c>
      <c r="AC78" s="5148"/>
    </row>
    <row r="79" spans="1:29" ht="18" customHeight="1">
      <c r="A79" s="5173" t="s">
        <v>625</v>
      </c>
      <c r="B79" s="3422" t="s">
        <v>118</v>
      </c>
      <c r="C79" s="484" t="s">
        <v>46</v>
      </c>
      <c r="D79" s="484" t="s">
        <v>46</v>
      </c>
      <c r="E79" s="484" t="s">
        <v>46</v>
      </c>
      <c r="F79" s="484" t="s">
        <v>46</v>
      </c>
      <c r="G79" s="484" t="s">
        <v>46</v>
      </c>
      <c r="H79" s="3422"/>
      <c r="I79" s="3432"/>
      <c r="J79" s="480" t="s">
        <v>46</v>
      </c>
      <c r="K79" s="480" t="s">
        <v>46</v>
      </c>
      <c r="L79" s="1505" t="s">
        <v>139</v>
      </c>
      <c r="M79" s="1505" t="s">
        <v>139</v>
      </c>
      <c r="N79" s="1505" t="s">
        <v>139</v>
      </c>
      <c r="O79" s="1505" t="s">
        <v>139</v>
      </c>
      <c r="P79" s="1505" t="s">
        <v>139</v>
      </c>
      <c r="Q79" s="480" t="s">
        <v>46</v>
      </c>
      <c r="R79" s="480" t="s">
        <v>46</v>
      </c>
      <c r="S79" s="480" t="s">
        <v>46</v>
      </c>
      <c r="T79" s="480" t="s">
        <v>46</v>
      </c>
      <c r="U79" s="480" t="s">
        <v>46</v>
      </c>
      <c r="V79" s="3423"/>
      <c r="W79" s="3423"/>
      <c r="X79" s="3423" t="s">
        <v>40</v>
      </c>
      <c r="Y79" s="3423" t="s">
        <v>40</v>
      </c>
      <c r="Z79" s="3422" t="s">
        <v>40</v>
      </c>
      <c r="AA79" s="3422" t="s">
        <v>40</v>
      </c>
      <c r="AB79" s="3423" t="s">
        <v>40</v>
      </c>
      <c r="AC79" s="5148"/>
    </row>
    <row r="80" spans="1:29" ht="18" customHeight="1">
      <c r="A80" s="1309" t="s">
        <v>591</v>
      </c>
      <c r="B80" s="1034"/>
      <c r="C80" s="1034" t="s">
        <v>46</v>
      </c>
      <c r="D80" s="717" t="s">
        <v>46</v>
      </c>
      <c r="E80" s="717" t="s">
        <v>46</v>
      </c>
      <c r="F80" s="717" t="s">
        <v>46</v>
      </c>
      <c r="G80" s="717" t="s">
        <v>46</v>
      </c>
      <c r="H80" s="717" t="s">
        <v>46</v>
      </c>
      <c r="I80" s="5174" t="s">
        <v>677</v>
      </c>
      <c r="J80" s="5174" t="s">
        <v>677</v>
      </c>
      <c r="K80" s="5174" t="s">
        <v>677</v>
      </c>
      <c r="L80" s="5174" t="s">
        <v>677</v>
      </c>
      <c r="M80" s="5174" t="s">
        <v>677</v>
      </c>
      <c r="N80" s="5174" t="s">
        <v>677</v>
      </c>
      <c r="O80" s="717" t="s">
        <v>46</v>
      </c>
      <c r="P80" s="717" t="s">
        <v>46</v>
      </c>
      <c r="Q80" s="717" t="s">
        <v>46</v>
      </c>
      <c r="R80" s="717" t="s">
        <v>46</v>
      </c>
      <c r="S80" s="717" t="s">
        <v>46</v>
      </c>
      <c r="T80" s="717" t="s">
        <v>46</v>
      </c>
      <c r="U80" s="3423" t="s">
        <v>677</v>
      </c>
      <c r="V80" s="5150" t="s">
        <v>677</v>
      </c>
      <c r="W80" s="5150" t="s">
        <v>677</v>
      </c>
      <c r="X80" s="5150" t="s">
        <v>677</v>
      </c>
      <c r="Y80" s="5150" t="s">
        <v>677</v>
      </c>
      <c r="Z80" s="5150" t="s">
        <v>677</v>
      </c>
      <c r="AA80" s="5150" t="s">
        <v>46</v>
      </c>
      <c r="AB80" s="717" t="s">
        <v>46</v>
      </c>
      <c r="AC80" s="1035" t="s">
        <v>46</v>
      </c>
    </row>
    <row r="81" spans="1:29" ht="18" customHeight="1">
      <c r="A81" s="5175" t="s">
        <v>626</v>
      </c>
      <c r="B81" s="2986">
        <v>1</v>
      </c>
      <c r="C81" s="2985">
        <v>2</v>
      </c>
      <c r="D81" s="2985">
        <v>3</v>
      </c>
      <c r="E81" s="2985">
        <v>4</v>
      </c>
      <c r="F81" s="2985">
        <v>5</v>
      </c>
      <c r="G81" s="2985">
        <v>6</v>
      </c>
      <c r="H81" s="2986">
        <v>7</v>
      </c>
      <c r="I81" s="2986">
        <v>8</v>
      </c>
      <c r="J81" s="2985">
        <v>9</v>
      </c>
      <c r="K81" s="2985">
        <v>10</v>
      </c>
      <c r="L81" s="2985">
        <v>11</v>
      </c>
      <c r="M81" s="2985">
        <v>12</v>
      </c>
      <c r="N81" s="2985">
        <v>13</v>
      </c>
      <c r="O81" s="2986">
        <v>14</v>
      </c>
      <c r="P81" s="2986">
        <v>15</v>
      </c>
      <c r="Q81" s="2985">
        <v>16</v>
      </c>
      <c r="R81" s="2985">
        <v>17</v>
      </c>
      <c r="S81" s="2985">
        <v>18</v>
      </c>
      <c r="T81" s="2985">
        <v>19</v>
      </c>
      <c r="U81" s="2985">
        <v>20</v>
      </c>
      <c r="V81" s="2986">
        <v>21</v>
      </c>
      <c r="W81" s="2986">
        <v>22</v>
      </c>
      <c r="X81" s="2985">
        <v>23</v>
      </c>
      <c r="Y81" s="2985">
        <v>24</v>
      </c>
      <c r="Z81" s="2985">
        <v>25</v>
      </c>
      <c r="AA81" s="2985">
        <v>26</v>
      </c>
      <c r="AB81" s="2985">
        <v>27</v>
      </c>
      <c r="AC81" s="5176">
        <v>28</v>
      </c>
    </row>
    <row r="82" spans="1:29" ht="18" customHeight="1">
      <c r="A82" s="4886" t="s">
        <v>157</v>
      </c>
      <c r="B82" s="3422"/>
      <c r="C82" s="3423" t="s">
        <v>46</v>
      </c>
      <c r="D82" s="3423" t="s">
        <v>46</v>
      </c>
      <c r="E82" s="3423" t="s">
        <v>46</v>
      </c>
      <c r="F82" s="3423" t="s">
        <v>0</v>
      </c>
      <c r="G82" s="3423" t="s">
        <v>0</v>
      </c>
      <c r="H82" s="3422"/>
      <c r="I82" s="3432"/>
      <c r="J82" s="3526" t="s">
        <v>0</v>
      </c>
      <c r="K82" s="3526" t="s">
        <v>0</v>
      </c>
      <c r="L82" s="3432" t="s">
        <v>0</v>
      </c>
      <c r="M82" s="3432" t="s">
        <v>0</v>
      </c>
      <c r="N82" s="3432" t="s">
        <v>0</v>
      </c>
      <c r="O82" s="3423"/>
      <c r="P82" s="3423"/>
      <c r="Q82" s="2831" t="s">
        <v>0</v>
      </c>
      <c r="R82" s="2831" t="s">
        <v>0</v>
      </c>
      <c r="S82" s="2831" t="s">
        <v>0</v>
      </c>
      <c r="T82" s="2830" t="s">
        <v>0</v>
      </c>
      <c r="U82" s="2830" t="s">
        <v>0</v>
      </c>
      <c r="V82" s="2830" t="s">
        <v>0</v>
      </c>
      <c r="W82" s="2830" t="s">
        <v>0</v>
      </c>
      <c r="X82" s="480" t="s">
        <v>0</v>
      </c>
      <c r="Y82" s="480" t="s">
        <v>0</v>
      </c>
      <c r="Z82" s="480" t="s">
        <v>0</v>
      </c>
      <c r="AA82" s="480" t="s">
        <v>0</v>
      </c>
      <c r="AB82" s="480" t="s">
        <v>0</v>
      </c>
      <c r="AC82" s="5148"/>
    </row>
    <row r="83" spans="1:29" ht="18" customHeight="1" thickBot="1">
      <c r="A83" s="364" t="s">
        <v>544</v>
      </c>
      <c r="B83" s="3427" t="s">
        <v>89</v>
      </c>
      <c r="C83" s="3427">
        <v>8</v>
      </c>
      <c r="D83" s="3427">
        <v>8</v>
      </c>
      <c r="E83" s="3427">
        <v>8</v>
      </c>
      <c r="F83" s="3427">
        <v>8</v>
      </c>
      <c r="G83" s="3427">
        <v>8</v>
      </c>
      <c r="H83" s="3427"/>
      <c r="I83" s="3427"/>
      <c r="J83" s="3427" t="s">
        <v>46</v>
      </c>
      <c r="K83" s="3427" t="s">
        <v>46</v>
      </c>
      <c r="L83" s="3427" t="s">
        <v>46</v>
      </c>
      <c r="M83" s="3427" t="s">
        <v>46</v>
      </c>
      <c r="N83" s="3427" t="s">
        <v>46</v>
      </c>
      <c r="O83" s="3427"/>
      <c r="P83" s="3427"/>
      <c r="Q83" s="3427">
        <v>1</v>
      </c>
      <c r="R83" s="3427">
        <v>1</v>
      </c>
      <c r="S83" s="3427">
        <v>1</v>
      </c>
      <c r="T83" s="3427">
        <v>1</v>
      </c>
      <c r="U83" s="3427">
        <v>1</v>
      </c>
      <c r="V83" s="3427"/>
      <c r="W83" s="3427"/>
      <c r="X83" s="3502">
        <v>9</v>
      </c>
      <c r="Y83" s="3502">
        <v>9</v>
      </c>
      <c r="Z83" s="3502">
        <v>9</v>
      </c>
      <c r="AA83" s="3502">
        <v>9</v>
      </c>
      <c r="AB83" s="3502">
        <v>9</v>
      </c>
      <c r="AC83" s="3502" t="s">
        <v>52</v>
      </c>
    </row>
    <row r="84" spans="1:29" ht="18" customHeight="1" thickBot="1">
      <c r="A84" s="469" t="s">
        <v>481</v>
      </c>
      <c r="B84" s="250"/>
      <c r="C84" s="508">
        <v>5</v>
      </c>
      <c r="D84" s="504">
        <v>5</v>
      </c>
      <c r="E84" s="504">
        <v>5</v>
      </c>
      <c r="F84" s="504">
        <v>5</v>
      </c>
      <c r="G84" s="504">
        <v>5</v>
      </c>
      <c r="H84" s="504"/>
      <c r="I84" s="508"/>
      <c r="J84" s="508">
        <v>10</v>
      </c>
      <c r="K84" s="508">
        <v>10</v>
      </c>
      <c r="L84" s="508">
        <v>10</v>
      </c>
      <c r="M84" s="508">
        <v>10</v>
      </c>
      <c r="N84" s="508">
        <v>10</v>
      </c>
      <c r="O84" s="508" t="s">
        <v>53</v>
      </c>
      <c r="P84" s="508" t="s">
        <v>53</v>
      </c>
      <c r="Q84" s="504" t="s">
        <v>46</v>
      </c>
      <c r="R84" s="504" t="s">
        <v>46</v>
      </c>
      <c r="S84" s="504" t="s">
        <v>46</v>
      </c>
      <c r="T84" s="504" t="s">
        <v>46</v>
      </c>
      <c r="U84" s="508" t="s">
        <v>46</v>
      </c>
      <c r="V84" s="508" t="s">
        <v>86</v>
      </c>
      <c r="W84" s="501" t="s">
        <v>86</v>
      </c>
      <c r="X84" s="504">
        <v>7</v>
      </c>
      <c r="Y84" s="504">
        <v>7</v>
      </c>
      <c r="Z84" s="504">
        <v>7</v>
      </c>
      <c r="AA84" s="504">
        <v>7</v>
      </c>
      <c r="AB84" s="509">
        <v>7</v>
      </c>
      <c r="AC84" s="640"/>
    </row>
    <row r="85" spans="1:29" ht="18" customHeight="1" thickBot="1">
      <c r="A85" s="641" t="s">
        <v>160</v>
      </c>
      <c r="B85" s="2986">
        <v>1</v>
      </c>
      <c r="C85" s="2985">
        <v>2</v>
      </c>
      <c r="D85" s="2985">
        <v>3</v>
      </c>
      <c r="E85" s="2985">
        <v>4</v>
      </c>
      <c r="F85" s="2985">
        <v>5</v>
      </c>
      <c r="G85" s="2985">
        <v>6</v>
      </c>
      <c r="H85" s="2986">
        <v>7</v>
      </c>
      <c r="I85" s="2986">
        <v>8</v>
      </c>
      <c r="J85" s="2985">
        <v>9</v>
      </c>
      <c r="K85" s="2985">
        <v>10</v>
      </c>
      <c r="L85" s="2985">
        <v>11</v>
      </c>
      <c r="M85" s="2985">
        <v>12</v>
      </c>
      <c r="N85" s="2985">
        <v>13</v>
      </c>
      <c r="O85" s="2986">
        <v>14</v>
      </c>
      <c r="P85" s="2986">
        <v>15</v>
      </c>
      <c r="Q85" s="2985">
        <v>16</v>
      </c>
      <c r="R85" s="2985">
        <v>17</v>
      </c>
      <c r="S85" s="2985">
        <v>18</v>
      </c>
      <c r="T85" s="2985">
        <v>19</v>
      </c>
      <c r="U85" s="2985">
        <v>20</v>
      </c>
      <c r="V85" s="2986">
        <v>21</v>
      </c>
      <c r="W85" s="2986">
        <v>22</v>
      </c>
      <c r="X85" s="2985">
        <v>23</v>
      </c>
      <c r="Y85" s="2985">
        <v>24</v>
      </c>
      <c r="Z85" s="2985">
        <v>25</v>
      </c>
      <c r="AA85" s="2985">
        <v>26</v>
      </c>
      <c r="AB85" s="2985">
        <v>27</v>
      </c>
      <c r="AC85" s="5176">
        <v>28</v>
      </c>
    </row>
    <row r="86" spans="1:29" ht="18" customHeight="1">
      <c r="A86" s="5177" t="s">
        <v>160</v>
      </c>
      <c r="B86" s="3089"/>
      <c r="C86" s="3190"/>
      <c r="D86" s="3089"/>
      <c r="E86" s="3089"/>
      <c r="F86" s="3089"/>
      <c r="G86" s="3089"/>
      <c r="H86" s="3089"/>
      <c r="I86" s="3089"/>
      <c r="J86" s="3089"/>
      <c r="K86" s="3089"/>
      <c r="L86" s="3089"/>
      <c r="M86" s="3089"/>
      <c r="N86" s="3089"/>
      <c r="O86" s="3089"/>
      <c r="P86" s="3089"/>
      <c r="Q86" s="3089"/>
      <c r="R86" s="3089"/>
      <c r="S86" s="3089"/>
      <c r="T86" s="3089"/>
      <c r="U86" s="3089"/>
      <c r="V86" s="3089"/>
      <c r="W86" s="3089"/>
      <c r="X86" s="3089"/>
      <c r="Y86" s="3089"/>
      <c r="Z86" s="3089"/>
      <c r="AA86" s="3089"/>
      <c r="AB86" s="3089"/>
      <c r="AC86" s="5178"/>
    </row>
    <row r="87" spans="1:29" ht="18" customHeight="1" thickBot="1">
      <c r="A87" s="5179"/>
      <c r="B87" s="5180"/>
      <c r="C87" s="5180"/>
      <c r="D87" s="5180"/>
      <c r="E87" s="5181"/>
      <c r="F87" s="5181"/>
      <c r="G87" s="5180"/>
      <c r="H87" s="5180"/>
      <c r="I87" s="5180"/>
      <c r="J87" s="5180"/>
      <c r="K87" s="5180"/>
      <c r="L87" s="5180"/>
      <c r="M87" s="5180"/>
      <c r="N87" s="5180"/>
      <c r="O87" s="5180"/>
      <c r="P87" s="5180"/>
      <c r="Q87" s="5180"/>
      <c r="R87" s="5180"/>
      <c r="S87" s="5182"/>
      <c r="T87" s="5180"/>
      <c r="U87" s="5180"/>
      <c r="V87" s="5180"/>
      <c r="W87" s="5180"/>
      <c r="X87" s="5180"/>
      <c r="Y87" s="5180"/>
      <c r="Z87" s="5180"/>
      <c r="AA87" s="5180"/>
      <c r="AB87" s="5180"/>
      <c r="AC87" s="5183"/>
    </row>
    <row r="88" spans="1:29" ht="18" customHeight="1" thickBot="1">
      <c r="A88" s="115"/>
      <c r="B88" s="126"/>
      <c r="C88" s="126"/>
      <c r="D88" s="126"/>
      <c r="E88" s="126"/>
      <c r="F88" s="126"/>
      <c r="G88" s="126"/>
      <c r="H88" s="126"/>
      <c r="I88" s="126"/>
      <c r="J88" s="126"/>
      <c r="K88" s="126"/>
      <c r="L88" s="126"/>
      <c r="M88" s="126"/>
      <c r="N88" s="126"/>
      <c r="O88" s="126"/>
      <c r="P88" s="126"/>
      <c r="Q88" s="126"/>
      <c r="R88" s="126"/>
      <c r="S88" s="126"/>
      <c r="T88" s="126"/>
      <c r="U88" s="126"/>
      <c r="V88" s="126"/>
      <c r="W88" s="126"/>
      <c r="X88" s="126"/>
      <c r="Y88" s="126"/>
      <c r="Z88" s="126"/>
      <c r="AA88" s="126"/>
      <c r="AB88" s="126"/>
      <c r="AC88" s="126"/>
    </row>
    <row r="89" spans="1:29" ht="18" customHeight="1">
      <c r="A89" s="672" t="s">
        <v>678</v>
      </c>
      <c r="B89" s="417"/>
      <c r="C89" s="418" t="s">
        <v>19</v>
      </c>
      <c r="D89" s="417"/>
      <c r="E89" s="417"/>
      <c r="F89" s="418" t="s">
        <v>20</v>
      </c>
      <c r="G89" s="417"/>
      <c r="H89" s="417"/>
      <c r="I89" s="418" t="s">
        <v>21</v>
      </c>
      <c r="J89" s="417"/>
      <c r="K89" s="417"/>
      <c r="L89" s="418" t="s">
        <v>22</v>
      </c>
      <c r="M89" s="417"/>
      <c r="N89" s="417"/>
      <c r="O89" s="418" t="s">
        <v>23</v>
      </c>
      <c r="P89" s="417"/>
      <c r="Q89" s="415"/>
      <c r="R89" s="413" t="s">
        <v>24</v>
      </c>
      <c r="S89" s="417"/>
      <c r="T89" s="417"/>
      <c r="U89" s="418" t="s">
        <v>25</v>
      </c>
      <c r="V89" s="673"/>
      <c r="W89" s="68"/>
      <c r="X89" s="68"/>
      <c r="Y89" s="68"/>
      <c r="Z89" s="68"/>
      <c r="AA89" s="68"/>
      <c r="AB89" s="68"/>
      <c r="AC89" s="68"/>
    </row>
    <row r="90" spans="1:29" ht="18" customHeight="1">
      <c r="A90" s="5184" t="s">
        <v>162</v>
      </c>
      <c r="B90" s="3619" t="s">
        <v>163</v>
      </c>
      <c r="C90" s="3620"/>
      <c r="D90" s="3620"/>
      <c r="E90" s="3619" t="s">
        <v>163</v>
      </c>
      <c r="F90" s="3620"/>
      <c r="G90" s="3620"/>
      <c r="H90" s="3619" t="s">
        <v>163</v>
      </c>
      <c r="I90" s="3620"/>
      <c r="J90" s="3620"/>
      <c r="K90" s="3619" t="s">
        <v>163</v>
      </c>
      <c r="L90" s="3620"/>
      <c r="M90" s="3620"/>
      <c r="N90" s="3619" t="s">
        <v>163</v>
      </c>
      <c r="O90" s="3620"/>
      <c r="P90" s="3620"/>
      <c r="Q90" s="3621"/>
      <c r="R90" s="3620"/>
      <c r="S90" s="3620"/>
      <c r="T90" s="3621" t="s">
        <v>164</v>
      </c>
      <c r="U90" s="3620"/>
      <c r="V90" s="5185"/>
      <c r="W90" s="68"/>
      <c r="X90" s="68"/>
      <c r="Y90" s="68"/>
      <c r="Z90" s="68"/>
      <c r="AA90" s="68"/>
      <c r="AB90" s="68"/>
      <c r="AC90" s="68"/>
    </row>
    <row r="91" spans="1:29" ht="18" customHeight="1">
      <c r="A91" s="5184" t="s">
        <v>165</v>
      </c>
      <c r="B91" s="3623" t="s">
        <v>166</v>
      </c>
      <c r="C91" s="3624"/>
      <c r="D91" s="3624"/>
      <c r="E91" s="3623" t="s">
        <v>167</v>
      </c>
      <c r="F91" s="3624"/>
      <c r="G91" s="3624"/>
      <c r="H91" s="3623" t="s">
        <v>167</v>
      </c>
      <c r="I91" s="3624"/>
      <c r="J91" s="3624"/>
      <c r="K91" s="3623" t="s">
        <v>167</v>
      </c>
      <c r="L91" s="3624"/>
      <c r="M91" s="3624"/>
      <c r="N91" s="3623" t="s">
        <v>168</v>
      </c>
      <c r="O91" s="3624"/>
      <c r="P91" s="3624"/>
      <c r="Q91" s="242"/>
      <c r="R91" s="131"/>
      <c r="S91" s="3622"/>
      <c r="T91" s="242"/>
      <c r="U91" s="131"/>
      <c r="V91" s="5185"/>
      <c r="W91" s="68"/>
      <c r="X91" s="68"/>
      <c r="Y91" s="68"/>
      <c r="Z91" s="68"/>
      <c r="AA91" s="68"/>
      <c r="AB91" s="68"/>
      <c r="AC91" s="68"/>
    </row>
    <row r="92" spans="1:29" ht="18" customHeight="1">
      <c r="A92" s="5184" t="s">
        <v>169</v>
      </c>
      <c r="B92" s="3577" t="s">
        <v>170</v>
      </c>
      <c r="C92" s="4505"/>
      <c r="D92" s="4505"/>
      <c r="E92" s="3577" t="s">
        <v>171</v>
      </c>
      <c r="F92" s="3480"/>
      <c r="G92" s="4505"/>
      <c r="H92" s="3577" t="s">
        <v>171</v>
      </c>
      <c r="I92" s="4464"/>
      <c r="J92" s="4463"/>
      <c r="K92" s="4557" t="s">
        <v>172</v>
      </c>
      <c r="L92" s="4464"/>
      <c r="M92" s="4563"/>
      <c r="N92" s="3577" t="s">
        <v>172</v>
      </c>
      <c r="O92" s="4505"/>
      <c r="P92" s="4505"/>
      <c r="Q92" s="4557" t="s">
        <v>173</v>
      </c>
      <c r="R92" s="4464"/>
      <c r="S92" s="4463"/>
      <c r="T92" s="4557" t="s">
        <v>173</v>
      </c>
      <c r="U92" s="4464"/>
      <c r="V92" s="5124"/>
      <c r="W92" s="68"/>
      <c r="X92" s="68"/>
      <c r="Y92" s="68"/>
      <c r="Z92" s="68"/>
      <c r="AA92" s="68"/>
      <c r="AB92" s="68"/>
      <c r="AC92" s="68"/>
    </row>
    <row r="93" spans="1:29" ht="18" customHeight="1" thickBot="1">
      <c r="A93" s="5186" t="s">
        <v>174</v>
      </c>
      <c r="B93" s="5187" t="s">
        <v>46</v>
      </c>
      <c r="C93" s="5188"/>
      <c r="D93" s="5188"/>
      <c r="E93" s="5187" t="s">
        <v>46</v>
      </c>
      <c r="F93" s="5189"/>
      <c r="G93" s="5188"/>
      <c r="H93" s="5190" t="s">
        <v>46</v>
      </c>
      <c r="I93" s="5129"/>
      <c r="J93" s="5130"/>
      <c r="K93" s="5190" t="s">
        <v>46</v>
      </c>
      <c r="L93" s="5129"/>
      <c r="M93" s="5191"/>
      <c r="N93" s="5187" t="s">
        <v>46</v>
      </c>
      <c r="O93" s="5188"/>
      <c r="P93" s="5188"/>
      <c r="Q93" s="5190"/>
      <c r="R93" s="5129"/>
      <c r="S93" s="5130"/>
      <c r="T93" s="5190"/>
      <c r="U93" s="5129"/>
      <c r="V93" s="5132"/>
      <c r="W93" s="68"/>
      <c r="X93" s="68"/>
      <c r="Y93" s="68"/>
      <c r="Z93" s="68"/>
      <c r="AA93" s="68"/>
      <c r="AB93" s="68"/>
      <c r="AC93" s="68"/>
    </row>
    <row r="94" spans="1:29" ht="18" customHeight="1" thickBot="1">
      <c r="A94" s="243"/>
      <c r="B94" s="244"/>
      <c r="C94" s="111"/>
      <c r="D94" s="111"/>
      <c r="E94" s="244"/>
      <c r="F94" s="115"/>
      <c r="G94" s="111"/>
      <c r="H94" s="115"/>
      <c r="I94" s="111"/>
      <c r="J94" s="111"/>
      <c r="K94" s="115"/>
      <c r="L94" s="111"/>
      <c r="M94" s="32"/>
      <c r="N94" s="244"/>
      <c r="O94" s="111"/>
      <c r="P94" s="111"/>
      <c r="Q94" s="115"/>
      <c r="R94" s="111"/>
      <c r="S94" s="111"/>
      <c r="T94" s="115"/>
      <c r="U94" s="111"/>
      <c r="V94" s="111"/>
      <c r="W94" s="68"/>
      <c r="X94" s="68"/>
      <c r="Y94" s="68"/>
      <c r="Z94" s="68"/>
      <c r="AA94" s="68"/>
      <c r="AB94" s="68"/>
      <c r="AC94" s="68"/>
    </row>
    <row r="95" spans="1:29" ht="18" customHeight="1" thickBot="1">
      <c r="A95" s="870" t="s">
        <v>678</v>
      </c>
      <c r="B95" s="866">
        <v>1</v>
      </c>
      <c r="C95" s="865">
        <v>2</v>
      </c>
      <c r="D95" s="865">
        <v>3</v>
      </c>
      <c r="E95" s="865">
        <v>4</v>
      </c>
      <c r="F95" s="865">
        <v>5</v>
      </c>
      <c r="G95" s="865">
        <v>6</v>
      </c>
      <c r="H95" s="866">
        <v>7</v>
      </c>
      <c r="I95" s="866">
        <v>8</v>
      </c>
      <c r="J95" s="865">
        <v>9</v>
      </c>
      <c r="K95" s="865">
        <v>10</v>
      </c>
      <c r="L95" s="865">
        <v>11</v>
      </c>
      <c r="M95" s="865">
        <v>12</v>
      </c>
      <c r="N95" s="865">
        <v>13</v>
      </c>
      <c r="O95" s="866">
        <v>14</v>
      </c>
      <c r="P95" s="866">
        <v>15</v>
      </c>
      <c r="Q95" s="865">
        <v>16</v>
      </c>
      <c r="R95" s="865">
        <v>17</v>
      </c>
      <c r="S95" s="865">
        <v>18</v>
      </c>
      <c r="T95" s="865">
        <v>19</v>
      </c>
      <c r="U95" s="865">
        <v>20</v>
      </c>
      <c r="V95" s="866">
        <v>21</v>
      </c>
      <c r="W95" s="866">
        <v>22</v>
      </c>
      <c r="X95" s="865">
        <v>23</v>
      </c>
      <c r="Y95" s="865">
        <v>24</v>
      </c>
      <c r="Z95" s="865">
        <v>25</v>
      </c>
      <c r="AA95" s="865">
        <v>26</v>
      </c>
      <c r="AB95" s="865">
        <v>27</v>
      </c>
      <c r="AC95" s="868">
        <v>28</v>
      </c>
    </row>
    <row r="96" spans="1:29" ht="18" customHeight="1">
      <c r="A96" s="5192" t="s">
        <v>175</v>
      </c>
      <c r="B96" s="4457" t="s">
        <v>120</v>
      </c>
      <c r="C96" s="4457" t="s">
        <v>46</v>
      </c>
      <c r="D96" s="4457" t="s">
        <v>46</v>
      </c>
      <c r="E96" s="4457" t="s">
        <v>46</v>
      </c>
      <c r="F96" s="3526" t="s">
        <v>46</v>
      </c>
      <c r="G96" s="3526" t="s">
        <v>46</v>
      </c>
      <c r="H96" s="3526"/>
      <c r="I96" s="3526"/>
      <c r="J96" s="3526">
        <v>25</v>
      </c>
      <c r="K96" s="3526">
        <v>25</v>
      </c>
      <c r="L96" s="3526">
        <v>25</v>
      </c>
      <c r="M96" s="3526">
        <v>25</v>
      </c>
      <c r="N96" s="3526">
        <v>25</v>
      </c>
      <c r="O96" s="3526"/>
      <c r="P96" s="3526">
        <v>26</v>
      </c>
      <c r="Q96" s="3526">
        <v>26</v>
      </c>
      <c r="R96" s="3526">
        <v>26</v>
      </c>
      <c r="S96" s="3526">
        <v>26</v>
      </c>
      <c r="T96" s="3526">
        <v>26</v>
      </c>
      <c r="U96" s="3526">
        <v>26</v>
      </c>
      <c r="V96" s="585"/>
      <c r="W96" s="585"/>
      <c r="X96" s="585" t="s">
        <v>121</v>
      </c>
      <c r="Y96" s="585" t="s">
        <v>121</v>
      </c>
      <c r="Z96" s="585" t="s">
        <v>121</v>
      </c>
      <c r="AA96" s="585" t="s">
        <v>121</v>
      </c>
      <c r="AB96" s="585" t="s">
        <v>121</v>
      </c>
      <c r="AC96" s="5193" t="s">
        <v>120</v>
      </c>
    </row>
    <row r="97" spans="1:29" ht="18" customHeight="1">
      <c r="A97" s="4907" t="s">
        <v>176</v>
      </c>
      <c r="B97" s="3526"/>
      <c r="C97" s="3526">
        <v>25</v>
      </c>
      <c r="D97" s="3526">
        <v>25</v>
      </c>
      <c r="E97" s="3526">
        <v>25</v>
      </c>
      <c r="F97" s="3526">
        <v>25</v>
      </c>
      <c r="G97" s="3526">
        <v>25</v>
      </c>
      <c r="H97" s="3526"/>
      <c r="I97" s="3526">
        <v>26</v>
      </c>
      <c r="J97" s="3526">
        <v>26</v>
      </c>
      <c r="K97" s="3526">
        <v>26</v>
      </c>
      <c r="L97" s="3526">
        <v>26</v>
      </c>
      <c r="M97" s="3526">
        <v>26</v>
      </c>
      <c r="N97" s="3526">
        <v>26</v>
      </c>
      <c r="O97" s="585"/>
      <c r="P97" s="585"/>
      <c r="Q97" s="585" t="s">
        <v>121</v>
      </c>
      <c r="R97" s="585" t="s">
        <v>121</v>
      </c>
      <c r="S97" s="585" t="s">
        <v>121</v>
      </c>
      <c r="T97" s="585" t="s">
        <v>121</v>
      </c>
      <c r="U97" s="585" t="s">
        <v>121</v>
      </c>
      <c r="V97" s="3526" t="s">
        <v>120</v>
      </c>
      <c r="W97" s="3526" t="s">
        <v>120</v>
      </c>
      <c r="X97" s="3526" t="s">
        <v>46</v>
      </c>
      <c r="Y97" s="3526" t="s">
        <v>46</v>
      </c>
      <c r="Z97" s="3526" t="s">
        <v>46</v>
      </c>
      <c r="AA97" s="3526" t="s">
        <v>46</v>
      </c>
      <c r="AB97" s="3526" t="s">
        <v>46</v>
      </c>
      <c r="AC97" s="5193"/>
    </row>
    <row r="98" spans="1:29" ht="18" customHeight="1">
      <c r="A98" s="5194" t="s">
        <v>135</v>
      </c>
      <c r="B98" s="3526">
        <v>26</v>
      </c>
      <c r="C98" s="3526">
        <v>26</v>
      </c>
      <c r="D98" s="3526">
        <v>26</v>
      </c>
      <c r="E98" s="3526">
        <v>26</v>
      </c>
      <c r="F98" s="3526">
        <v>26</v>
      </c>
      <c r="G98" s="3526">
        <v>26</v>
      </c>
      <c r="H98" s="3526"/>
      <c r="I98" s="3526"/>
      <c r="J98" s="3526" t="s">
        <v>121</v>
      </c>
      <c r="K98" s="3526" t="s">
        <v>121</v>
      </c>
      <c r="L98" s="3526" t="s">
        <v>121</v>
      </c>
      <c r="M98" s="3526" t="s">
        <v>121</v>
      </c>
      <c r="N98" s="3526" t="s">
        <v>121</v>
      </c>
      <c r="O98" s="3526" t="s">
        <v>120</v>
      </c>
      <c r="P98" s="3526" t="s">
        <v>120</v>
      </c>
      <c r="Q98" s="3526" t="s">
        <v>46</v>
      </c>
      <c r="R98" s="3526" t="s">
        <v>46</v>
      </c>
      <c r="S98" s="3526" t="s">
        <v>46</v>
      </c>
      <c r="T98" s="3526" t="s">
        <v>46</v>
      </c>
      <c r="U98" s="3526" t="s">
        <v>46</v>
      </c>
      <c r="V98" s="3526"/>
      <c r="W98" s="3526"/>
      <c r="X98" s="3526">
        <v>25</v>
      </c>
      <c r="Y98" s="3526">
        <v>25</v>
      </c>
      <c r="Z98" s="3526">
        <v>25</v>
      </c>
      <c r="AA98" s="3526">
        <v>25</v>
      </c>
      <c r="AB98" s="3526">
        <v>25</v>
      </c>
      <c r="AC98" s="5193"/>
    </row>
    <row r="99" spans="1:29" ht="18" customHeight="1" thickBot="1">
      <c r="A99" s="462" t="s">
        <v>146</v>
      </c>
      <c r="B99" s="5180"/>
      <c r="C99" s="5180" t="s">
        <v>121</v>
      </c>
      <c r="D99" s="5180" t="s">
        <v>121</v>
      </c>
      <c r="E99" s="5180" t="s">
        <v>121</v>
      </c>
      <c r="F99" s="5180" t="s">
        <v>121</v>
      </c>
      <c r="G99" s="5180" t="s">
        <v>121</v>
      </c>
      <c r="H99" s="5180" t="s">
        <v>120</v>
      </c>
      <c r="I99" s="5180" t="s">
        <v>120</v>
      </c>
      <c r="J99" s="5180" t="s">
        <v>46</v>
      </c>
      <c r="K99" s="5180" t="s">
        <v>46</v>
      </c>
      <c r="L99" s="5180" t="s">
        <v>46</v>
      </c>
      <c r="M99" s="5180" t="s">
        <v>46</v>
      </c>
      <c r="N99" s="5180" t="s">
        <v>46</v>
      </c>
      <c r="O99" s="5180"/>
      <c r="P99" s="5180"/>
      <c r="Q99" s="5180">
        <v>25</v>
      </c>
      <c r="R99" s="5180">
        <v>25</v>
      </c>
      <c r="S99" s="5180">
        <v>25</v>
      </c>
      <c r="T99" s="5180">
        <v>25</v>
      </c>
      <c r="U99" s="5180">
        <v>25</v>
      </c>
      <c r="V99" s="5180"/>
      <c r="W99" s="5180">
        <v>26</v>
      </c>
      <c r="X99" s="5180">
        <v>26</v>
      </c>
      <c r="Y99" s="5180">
        <v>26</v>
      </c>
      <c r="Z99" s="5180">
        <v>26</v>
      </c>
      <c r="AA99" s="5180">
        <v>26</v>
      </c>
      <c r="AB99" s="5180">
        <v>26</v>
      </c>
      <c r="AC99" s="5183"/>
    </row>
    <row r="100" spans="1:29" ht="18" customHeight="1" thickBot="1">
      <c r="A100" s="115"/>
      <c r="B100" s="126"/>
      <c r="C100" s="126"/>
      <c r="D100" s="126"/>
      <c r="E100" s="126"/>
      <c r="F100" s="126"/>
      <c r="G100" s="126"/>
      <c r="H100" s="126"/>
      <c r="I100" s="126"/>
      <c r="J100" s="126"/>
      <c r="K100" s="126"/>
      <c r="L100" s="126"/>
      <c r="M100" s="126"/>
      <c r="N100" s="126"/>
      <c r="O100" s="126"/>
      <c r="P100" s="126"/>
      <c r="Q100" s="126"/>
      <c r="R100" s="126"/>
      <c r="S100" s="126"/>
      <c r="T100" s="126"/>
      <c r="U100" s="126"/>
      <c r="V100" s="126"/>
      <c r="W100" s="126"/>
      <c r="X100" s="126"/>
      <c r="Y100" s="126"/>
      <c r="Z100" s="126"/>
      <c r="AA100" s="126"/>
      <c r="AB100" s="126"/>
      <c r="AC100" s="126"/>
    </row>
    <row r="101" spans="1:29" ht="18" customHeight="1" thickBot="1">
      <c r="A101" s="134" t="s">
        <v>180</v>
      </c>
      <c r="B101" s="135"/>
      <c r="C101" s="135"/>
      <c r="D101" s="136" t="s">
        <v>181</v>
      </c>
      <c r="E101" s="135"/>
      <c r="F101" s="135"/>
      <c r="G101" s="135"/>
      <c r="H101" s="135"/>
      <c r="I101" s="135"/>
      <c r="J101" s="135" t="s">
        <v>0</v>
      </c>
      <c r="K101" s="135"/>
      <c r="L101" s="135"/>
      <c r="M101" s="135"/>
      <c r="N101" s="135"/>
      <c r="O101" s="135"/>
      <c r="P101" s="135"/>
      <c r="Q101" s="147" t="s">
        <v>0</v>
      </c>
      <c r="R101" s="147"/>
      <c r="S101" s="147"/>
      <c r="T101" s="101"/>
      <c r="U101" s="101"/>
      <c r="V101" s="101"/>
      <c r="W101" s="101"/>
      <c r="X101" s="101"/>
      <c r="Y101" s="101"/>
      <c r="Z101" s="101"/>
      <c r="AA101" s="101"/>
      <c r="AB101" s="101"/>
      <c r="AC101" s="101"/>
    </row>
    <row r="102" spans="1:29" ht="18" customHeight="1" thickBot="1">
      <c r="A102" s="938" t="s">
        <v>679</v>
      </c>
      <c r="B102" s="866">
        <v>1</v>
      </c>
      <c r="C102" s="865">
        <v>2</v>
      </c>
      <c r="D102" s="865">
        <v>3</v>
      </c>
      <c r="E102" s="865">
        <v>4</v>
      </c>
      <c r="F102" s="865">
        <v>5</v>
      </c>
      <c r="G102" s="865">
        <v>6</v>
      </c>
      <c r="H102" s="866">
        <v>7</v>
      </c>
      <c r="I102" s="866">
        <v>8</v>
      </c>
      <c r="J102" s="865">
        <v>9</v>
      </c>
      <c r="K102" s="865">
        <v>10</v>
      </c>
      <c r="L102" s="865">
        <v>11</v>
      </c>
      <c r="M102" s="865">
        <v>12</v>
      </c>
      <c r="N102" s="865">
        <v>13</v>
      </c>
      <c r="O102" s="866">
        <v>14</v>
      </c>
      <c r="P102" s="866">
        <v>15</v>
      </c>
      <c r="Q102" s="865">
        <v>16</v>
      </c>
      <c r="R102" s="865">
        <v>17</v>
      </c>
      <c r="S102" s="865">
        <v>18</v>
      </c>
      <c r="T102" s="865">
        <v>19</v>
      </c>
      <c r="U102" s="865">
        <v>20</v>
      </c>
      <c r="V102" s="866">
        <v>21</v>
      </c>
      <c r="W102" s="866">
        <v>22</v>
      </c>
      <c r="X102" s="865">
        <v>23</v>
      </c>
      <c r="Y102" s="865">
        <v>24</v>
      </c>
      <c r="Z102" s="865">
        <v>25</v>
      </c>
      <c r="AA102" s="865">
        <v>26</v>
      </c>
      <c r="AB102" s="865">
        <v>27</v>
      </c>
      <c r="AC102" s="868">
        <v>28</v>
      </c>
    </row>
    <row r="103" spans="1:29" ht="18" customHeight="1">
      <c r="A103" s="1506" t="s">
        <v>184</v>
      </c>
      <c r="B103" s="4339" t="s">
        <v>628</v>
      </c>
      <c r="C103" s="4339" t="s">
        <v>46</v>
      </c>
      <c r="D103" s="4339" t="s">
        <v>46</v>
      </c>
      <c r="E103" s="4339" t="s">
        <v>46</v>
      </c>
      <c r="F103" s="4339" t="s">
        <v>46</v>
      </c>
      <c r="G103" s="4339" t="s">
        <v>46</v>
      </c>
      <c r="H103" s="4339" t="s">
        <v>46</v>
      </c>
      <c r="I103" s="4339" t="s">
        <v>118</v>
      </c>
      <c r="J103" s="4339" t="s">
        <v>118</v>
      </c>
      <c r="K103" s="4339" t="s">
        <v>118</v>
      </c>
      <c r="L103" s="4339" t="s">
        <v>118</v>
      </c>
      <c r="M103" s="4339" t="s">
        <v>118</v>
      </c>
      <c r="N103" s="4339" t="s">
        <v>118</v>
      </c>
      <c r="O103" s="4339" t="s">
        <v>46</v>
      </c>
      <c r="P103" s="4339" t="s">
        <v>46</v>
      </c>
      <c r="Q103" s="4339" t="s">
        <v>46</v>
      </c>
      <c r="R103" s="4339" t="s">
        <v>46</v>
      </c>
      <c r="S103" s="4339" t="s">
        <v>46</v>
      </c>
      <c r="T103" s="4339" t="s">
        <v>46</v>
      </c>
      <c r="U103" s="4339" t="s">
        <v>118</v>
      </c>
      <c r="V103" s="4339" t="s">
        <v>118</v>
      </c>
      <c r="W103" s="4339" t="s">
        <v>118</v>
      </c>
      <c r="X103" s="4339" t="s">
        <v>118</v>
      </c>
      <c r="Y103" s="4339" t="s">
        <v>118</v>
      </c>
      <c r="Z103" s="4339" t="s">
        <v>118</v>
      </c>
      <c r="AA103" s="4339" t="s">
        <v>46</v>
      </c>
      <c r="AB103" s="4339" t="s">
        <v>46</v>
      </c>
      <c r="AC103" s="5195" t="s">
        <v>46</v>
      </c>
    </row>
    <row r="104" spans="1:29" ht="18" customHeight="1" thickBot="1">
      <c r="A104" s="476" t="s">
        <v>195</v>
      </c>
      <c r="B104" s="5196" t="s">
        <v>628</v>
      </c>
      <c r="C104" s="5196" t="s">
        <v>118</v>
      </c>
      <c r="D104" s="5196" t="s">
        <v>118</v>
      </c>
      <c r="E104" s="5196" t="s">
        <v>118</v>
      </c>
      <c r="F104" s="5196" t="s">
        <v>118</v>
      </c>
      <c r="G104" s="5196" t="s">
        <v>118</v>
      </c>
      <c r="H104" s="5196" t="s">
        <v>118</v>
      </c>
      <c r="I104" s="5196" t="s">
        <v>46</v>
      </c>
      <c r="J104" s="5196" t="s">
        <v>46</v>
      </c>
      <c r="K104" s="5196" t="s">
        <v>46</v>
      </c>
      <c r="L104" s="5196" t="s">
        <v>46</v>
      </c>
      <c r="M104" s="5196" t="s">
        <v>46</v>
      </c>
      <c r="N104" s="5196" t="s">
        <v>46</v>
      </c>
      <c r="O104" s="5196" t="s">
        <v>118</v>
      </c>
      <c r="P104" s="5196" t="s">
        <v>118</v>
      </c>
      <c r="Q104" s="5196" t="s">
        <v>118</v>
      </c>
      <c r="R104" s="5196" t="s">
        <v>118</v>
      </c>
      <c r="S104" s="5196" t="s">
        <v>118</v>
      </c>
      <c r="T104" s="5196" t="s">
        <v>118</v>
      </c>
      <c r="U104" s="5196" t="s">
        <v>46</v>
      </c>
      <c r="V104" s="5196" t="s">
        <v>628</v>
      </c>
      <c r="W104" s="5196" t="s">
        <v>46</v>
      </c>
      <c r="X104" s="5196" t="s">
        <v>46</v>
      </c>
      <c r="Y104" s="5196" t="s">
        <v>46</v>
      </c>
      <c r="Z104" s="5196" t="s">
        <v>46</v>
      </c>
      <c r="AA104" s="5196" t="s">
        <v>118</v>
      </c>
      <c r="AB104" s="5196" t="s">
        <v>118</v>
      </c>
      <c r="AC104" s="642" t="s">
        <v>118</v>
      </c>
    </row>
    <row r="105" spans="1:29" ht="18" customHeight="1" thickBot="1">
      <c r="A105" s="643"/>
      <c r="B105" s="644"/>
      <c r="C105" s="644"/>
      <c r="D105" s="644"/>
      <c r="E105" s="644"/>
      <c r="F105" s="644"/>
      <c r="G105" s="644"/>
      <c r="H105" s="644"/>
      <c r="I105" s="644"/>
      <c r="J105" s="644"/>
      <c r="K105" s="644"/>
      <c r="L105" s="644"/>
      <c r="M105" s="644"/>
      <c r="N105" s="644"/>
      <c r="O105" s="644"/>
      <c r="P105" s="644"/>
      <c r="Q105" s="644"/>
      <c r="R105" s="644"/>
      <c r="S105" s="644"/>
      <c r="T105" s="644"/>
      <c r="U105" s="644"/>
      <c r="V105" s="644"/>
      <c r="W105" s="644"/>
      <c r="X105" s="644"/>
      <c r="Y105" s="644"/>
      <c r="Z105" s="644"/>
      <c r="AA105" s="644"/>
      <c r="AB105" s="644"/>
      <c r="AC105" s="644"/>
    </row>
    <row r="106" spans="1:29" ht="18" customHeight="1" thickBot="1"/>
    <row r="107" spans="1:29" ht="18" customHeight="1" thickBot="1">
      <c r="A107" s="134" t="s">
        <v>180</v>
      </c>
      <c r="B107" s="135"/>
      <c r="C107" s="135"/>
      <c r="D107" s="136" t="s">
        <v>189</v>
      </c>
      <c r="E107" s="135"/>
      <c r="F107" s="135"/>
      <c r="G107" s="135"/>
      <c r="H107" s="135"/>
      <c r="I107" s="135"/>
      <c r="J107" s="135" t="s">
        <v>0</v>
      </c>
      <c r="K107" s="135"/>
      <c r="L107" s="135"/>
      <c r="M107" s="135"/>
      <c r="N107" s="135"/>
      <c r="O107" s="135"/>
      <c r="P107" s="135"/>
      <c r="Q107" s="147" t="s">
        <v>0</v>
      </c>
      <c r="R107" s="147"/>
      <c r="S107" s="147"/>
      <c r="T107" s="101"/>
      <c r="U107" s="101"/>
    </row>
    <row r="108" spans="1:29" ht="18" customHeight="1" thickBot="1">
      <c r="A108" s="691" t="s">
        <v>595</v>
      </c>
      <c r="B108" s="866">
        <v>1</v>
      </c>
      <c r="C108" s="865">
        <v>2</v>
      </c>
      <c r="D108" s="865">
        <v>3</v>
      </c>
      <c r="E108" s="865">
        <v>4</v>
      </c>
      <c r="F108" s="865">
        <v>5</v>
      </c>
      <c r="G108" s="865">
        <v>6</v>
      </c>
      <c r="H108" s="866">
        <v>7</v>
      </c>
      <c r="I108" s="866">
        <v>8</v>
      </c>
      <c r="J108" s="865">
        <v>9</v>
      </c>
      <c r="K108" s="865">
        <v>10</v>
      </c>
      <c r="L108" s="865">
        <v>11</v>
      </c>
      <c r="M108" s="865">
        <v>12</v>
      </c>
      <c r="N108" s="865">
        <v>13</v>
      </c>
      <c r="O108" s="866">
        <v>14</v>
      </c>
      <c r="P108" s="866">
        <v>15</v>
      </c>
      <c r="Q108" s="865">
        <v>16</v>
      </c>
      <c r="R108" s="865">
        <v>17</v>
      </c>
      <c r="S108" s="865">
        <v>18</v>
      </c>
      <c r="T108" s="865">
        <v>19</v>
      </c>
      <c r="U108" s="865">
        <v>20</v>
      </c>
      <c r="V108" s="866">
        <v>21</v>
      </c>
      <c r="W108" s="866">
        <v>22</v>
      </c>
      <c r="X108" s="865">
        <v>23</v>
      </c>
      <c r="Y108" s="865">
        <v>24</v>
      </c>
      <c r="Z108" s="865">
        <v>25</v>
      </c>
      <c r="AA108" s="865">
        <v>26</v>
      </c>
      <c r="AB108" s="865">
        <v>27</v>
      </c>
      <c r="AC108" s="868">
        <v>28</v>
      </c>
    </row>
    <row r="109" spans="1:29" ht="18" customHeight="1">
      <c r="A109" s="5197"/>
      <c r="B109" s="480" t="s">
        <v>628</v>
      </c>
      <c r="C109" s="480" t="s">
        <v>61</v>
      </c>
      <c r="D109" s="480" t="s">
        <v>61</v>
      </c>
      <c r="E109" s="480" t="s">
        <v>61</v>
      </c>
      <c r="F109" s="480" t="s">
        <v>46</v>
      </c>
      <c r="G109" s="480" t="s">
        <v>46</v>
      </c>
      <c r="H109" s="484" t="s">
        <v>46</v>
      </c>
      <c r="I109" s="484" t="s">
        <v>46</v>
      </c>
      <c r="J109" s="484" t="s">
        <v>628</v>
      </c>
      <c r="K109" s="484" t="s">
        <v>628</v>
      </c>
      <c r="L109" s="484" t="s">
        <v>46</v>
      </c>
      <c r="M109" s="480" t="s">
        <v>46</v>
      </c>
      <c r="N109" s="480" t="s">
        <v>61</v>
      </c>
      <c r="O109" s="480" t="s">
        <v>61</v>
      </c>
      <c r="P109" s="480" t="s">
        <v>61</v>
      </c>
      <c r="Q109" s="480" t="s">
        <v>46</v>
      </c>
      <c r="R109" s="480" t="s">
        <v>46</v>
      </c>
      <c r="S109" s="480" t="s">
        <v>46</v>
      </c>
      <c r="T109" s="480" t="s">
        <v>61</v>
      </c>
      <c r="U109" s="480" t="s">
        <v>61</v>
      </c>
      <c r="V109" s="484" t="s">
        <v>61</v>
      </c>
      <c r="W109" s="484" t="s">
        <v>46</v>
      </c>
      <c r="X109" s="484" t="s">
        <v>628</v>
      </c>
      <c r="Y109" s="484" t="s">
        <v>46</v>
      </c>
      <c r="Z109" s="484" t="s">
        <v>61</v>
      </c>
      <c r="AA109" s="480" t="s">
        <v>61</v>
      </c>
      <c r="AB109" s="480" t="s">
        <v>61</v>
      </c>
      <c r="AC109" s="645" t="s">
        <v>46</v>
      </c>
    </row>
    <row r="110" spans="1:29" ht="18" customHeight="1" thickBot="1">
      <c r="A110" s="476" t="s">
        <v>191</v>
      </c>
      <c r="B110" s="5169" t="s">
        <v>628</v>
      </c>
      <c r="C110" s="5170" t="s">
        <v>46</v>
      </c>
      <c r="D110" s="5170" t="s">
        <v>46</v>
      </c>
      <c r="E110" s="5170" t="s">
        <v>46</v>
      </c>
      <c r="F110" s="5160" t="s">
        <v>61</v>
      </c>
      <c r="G110" s="5160" t="s">
        <v>61</v>
      </c>
      <c r="H110" s="5160" t="s">
        <v>61</v>
      </c>
      <c r="I110" s="5160" t="s">
        <v>46</v>
      </c>
      <c r="J110" s="5160" t="s">
        <v>46</v>
      </c>
      <c r="K110" s="5167" t="s">
        <v>61</v>
      </c>
      <c r="L110" s="5167" t="s">
        <v>61</v>
      </c>
      <c r="M110" s="5167" t="s">
        <v>61</v>
      </c>
      <c r="N110" s="5167" t="s">
        <v>46</v>
      </c>
      <c r="O110" s="5168" t="s">
        <v>46</v>
      </c>
      <c r="P110" s="5169" t="s">
        <v>46</v>
      </c>
      <c r="Q110" s="5170" t="s">
        <v>61</v>
      </c>
      <c r="R110" s="5170" t="s">
        <v>61</v>
      </c>
      <c r="S110" s="5170" t="s">
        <v>61</v>
      </c>
      <c r="T110" s="5160" t="s">
        <v>46</v>
      </c>
      <c r="U110" s="5160" t="s">
        <v>46</v>
      </c>
      <c r="V110" s="5160" t="s">
        <v>628</v>
      </c>
      <c r="W110" s="5160" t="s">
        <v>61</v>
      </c>
      <c r="X110" s="5160" t="s">
        <v>61</v>
      </c>
      <c r="Y110" s="5167" t="s">
        <v>61</v>
      </c>
      <c r="Z110" s="5167" t="s">
        <v>46</v>
      </c>
      <c r="AA110" s="5167" t="s">
        <v>46</v>
      </c>
      <c r="AB110" s="5167" t="s">
        <v>46</v>
      </c>
      <c r="AC110" s="646" t="s">
        <v>61</v>
      </c>
    </row>
    <row r="111" spans="1:29" ht="18" customHeight="1" thickBot="1">
      <c r="A111" s="157" t="s">
        <v>0</v>
      </c>
      <c r="B111" s="116" t="s">
        <v>0</v>
      </c>
      <c r="C111" s="116" t="s">
        <v>0</v>
      </c>
      <c r="D111" s="116" t="s">
        <v>0</v>
      </c>
      <c r="E111" s="116" t="s">
        <v>0</v>
      </c>
      <c r="F111" s="116" t="s">
        <v>0</v>
      </c>
      <c r="G111" s="116" t="s">
        <v>0</v>
      </c>
      <c r="H111" s="116" t="s">
        <v>0</v>
      </c>
      <c r="I111" s="116" t="s">
        <v>0</v>
      </c>
      <c r="J111" s="116" t="s">
        <v>0</v>
      </c>
      <c r="K111" s="116" t="s">
        <v>0</v>
      </c>
      <c r="L111" s="116" t="s">
        <v>0</v>
      </c>
      <c r="M111" s="116" t="s">
        <v>0</v>
      </c>
      <c r="N111" s="116" t="s">
        <v>0</v>
      </c>
      <c r="O111" s="116" t="s">
        <v>0</v>
      </c>
      <c r="P111" s="116" t="s">
        <v>0</v>
      </c>
      <c r="Q111" s="116" t="s">
        <v>0</v>
      </c>
      <c r="R111" s="116" t="s">
        <v>0</v>
      </c>
      <c r="S111" s="116" t="s">
        <v>0</v>
      </c>
      <c r="T111" s="116" t="s">
        <v>0</v>
      </c>
      <c r="U111" s="116" t="s">
        <v>0</v>
      </c>
      <c r="V111" s="116" t="s">
        <v>0</v>
      </c>
      <c r="W111" s="116" t="s">
        <v>0</v>
      </c>
      <c r="X111" s="116" t="s">
        <v>0</v>
      </c>
      <c r="Y111" s="116" t="s">
        <v>0</v>
      </c>
      <c r="Z111" s="116" t="s">
        <v>0</v>
      </c>
      <c r="AA111" s="116" t="s">
        <v>0</v>
      </c>
      <c r="AB111" s="116" t="s">
        <v>0</v>
      </c>
      <c r="AC111" s="116" t="s">
        <v>0</v>
      </c>
    </row>
    <row r="112" spans="1:29" ht="18" customHeight="1" thickBot="1">
      <c r="A112" s="134" t="s">
        <v>180</v>
      </c>
      <c r="B112" s="135"/>
      <c r="C112" s="135"/>
      <c r="D112" s="136" t="s">
        <v>193</v>
      </c>
      <c r="E112" s="135"/>
      <c r="F112" s="135"/>
      <c r="G112" s="135"/>
      <c r="H112" s="135"/>
      <c r="I112" s="135"/>
      <c r="J112" s="135" t="s">
        <v>0</v>
      </c>
      <c r="K112" s="135"/>
      <c r="L112" s="135"/>
      <c r="M112" s="135"/>
      <c r="N112" s="135"/>
      <c r="O112" s="135"/>
      <c r="P112" s="135"/>
      <c r="Q112" s="147" t="s">
        <v>0</v>
      </c>
      <c r="R112" s="147"/>
      <c r="S112" s="147"/>
    </row>
    <row r="113" spans="1:29" ht="18" customHeight="1" thickBot="1">
      <c r="A113" s="691" t="s">
        <v>192</v>
      </c>
      <c r="B113" s="866">
        <v>1</v>
      </c>
      <c r="C113" s="865">
        <v>2</v>
      </c>
      <c r="D113" s="865">
        <v>3</v>
      </c>
      <c r="E113" s="865">
        <v>4</v>
      </c>
      <c r="F113" s="865">
        <v>5</v>
      </c>
      <c r="G113" s="865">
        <v>6</v>
      </c>
      <c r="H113" s="866">
        <v>7</v>
      </c>
      <c r="I113" s="866">
        <v>8</v>
      </c>
      <c r="J113" s="865">
        <v>9</v>
      </c>
      <c r="K113" s="865">
        <v>10</v>
      </c>
      <c r="L113" s="865">
        <v>11</v>
      </c>
      <c r="M113" s="865">
        <v>12</v>
      </c>
      <c r="N113" s="865">
        <v>13</v>
      </c>
      <c r="O113" s="866">
        <v>14</v>
      </c>
      <c r="P113" s="866">
        <v>15</v>
      </c>
      <c r="Q113" s="865">
        <v>16</v>
      </c>
      <c r="R113" s="865">
        <v>17</v>
      </c>
      <c r="S113" s="865">
        <v>18</v>
      </c>
      <c r="T113" s="865">
        <v>19</v>
      </c>
      <c r="U113" s="865">
        <v>20</v>
      </c>
      <c r="V113" s="866">
        <v>21</v>
      </c>
      <c r="W113" s="866">
        <v>22</v>
      </c>
      <c r="X113" s="865">
        <v>23</v>
      </c>
      <c r="Y113" s="865">
        <v>24</v>
      </c>
      <c r="Z113" s="865">
        <v>25</v>
      </c>
      <c r="AA113" s="865">
        <v>26</v>
      </c>
      <c r="AB113" s="865">
        <v>27</v>
      </c>
      <c r="AC113" s="868">
        <v>28</v>
      </c>
    </row>
    <row r="114" spans="1:29" ht="18" customHeight="1">
      <c r="A114" s="1498" t="s">
        <v>194</v>
      </c>
      <c r="B114" s="3521" t="s">
        <v>628</v>
      </c>
      <c r="C114" s="1505" t="s">
        <v>46</v>
      </c>
      <c r="D114" s="1505" t="s">
        <v>139</v>
      </c>
      <c r="E114" s="1505" t="s">
        <v>139</v>
      </c>
      <c r="F114" s="1505" t="s">
        <v>139</v>
      </c>
      <c r="G114" s="1505" t="s">
        <v>139</v>
      </c>
      <c r="H114" s="1505" t="s">
        <v>46</v>
      </c>
      <c r="I114" s="1504" t="s">
        <v>46</v>
      </c>
      <c r="J114" s="1507" t="s">
        <v>628</v>
      </c>
      <c r="K114" s="1507" t="s">
        <v>628</v>
      </c>
      <c r="L114" s="1507" t="s">
        <v>139</v>
      </c>
      <c r="M114" s="1507" t="s">
        <v>139</v>
      </c>
      <c r="N114" s="1507" t="s">
        <v>139</v>
      </c>
      <c r="O114" s="1507" t="s">
        <v>628</v>
      </c>
      <c r="P114" s="1507" t="s">
        <v>46</v>
      </c>
      <c r="Q114" s="1505" t="s">
        <v>46</v>
      </c>
      <c r="R114" s="1505" t="s">
        <v>46</v>
      </c>
      <c r="S114" s="1505" t="s">
        <v>46</v>
      </c>
      <c r="T114" s="1505" t="s">
        <v>139</v>
      </c>
      <c r="U114" s="1505" t="s">
        <v>139</v>
      </c>
      <c r="V114" s="1505" t="s">
        <v>139</v>
      </c>
      <c r="W114" s="1504" t="s">
        <v>46</v>
      </c>
      <c r="X114" s="1504" t="s">
        <v>46</v>
      </c>
      <c r="Y114" s="1504" t="s">
        <v>139</v>
      </c>
      <c r="Z114" s="1504" t="s">
        <v>139</v>
      </c>
      <c r="AA114" s="1504" t="s">
        <v>139</v>
      </c>
      <c r="AB114" s="1505" t="s">
        <v>46</v>
      </c>
      <c r="AC114" s="1508" t="s">
        <v>46</v>
      </c>
    </row>
    <row r="115" spans="1:29" ht="18" customHeight="1" thickBot="1">
      <c r="A115" s="397" t="s">
        <v>185</v>
      </c>
      <c r="B115" s="5170" t="s">
        <v>139</v>
      </c>
      <c r="C115" s="5170" t="s">
        <v>139</v>
      </c>
      <c r="D115" s="5170" t="s">
        <v>46</v>
      </c>
      <c r="E115" s="5170" t="s">
        <v>46</v>
      </c>
      <c r="F115" s="5170" t="s">
        <v>628</v>
      </c>
      <c r="G115" s="5160" t="s">
        <v>46</v>
      </c>
      <c r="H115" s="5160" t="s">
        <v>46</v>
      </c>
      <c r="I115" s="3436" t="s">
        <v>677</v>
      </c>
      <c r="J115" s="3436" t="s">
        <v>677</v>
      </c>
      <c r="K115" s="3436" t="s">
        <v>677</v>
      </c>
      <c r="L115" s="5160" t="s">
        <v>46</v>
      </c>
      <c r="M115" s="5160" t="s">
        <v>46</v>
      </c>
      <c r="N115" s="5160" t="s">
        <v>628</v>
      </c>
      <c r="O115" s="5160" t="s">
        <v>680</v>
      </c>
      <c r="P115" s="5170" t="s">
        <v>46</v>
      </c>
      <c r="Q115" s="5170" t="s">
        <v>139</v>
      </c>
      <c r="R115" s="5170" t="s">
        <v>139</v>
      </c>
      <c r="S115" s="5170" t="s">
        <v>139</v>
      </c>
      <c r="T115" s="5170" t="s">
        <v>46</v>
      </c>
      <c r="U115" s="5160" t="s">
        <v>46</v>
      </c>
      <c r="V115" s="5160" t="s">
        <v>628</v>
      </c>
      <c r="W115" s="5160" t="s">
        <v>46</v>
      </c>
      <c r="X115" s="5160" t="s">
        <v>46</v>
      </c>
      <c r="Y115" s="5160" t="s">
        <v>46</v>
      </c>
      <c r="Z115" s="5160" t="s">
        <v>628</v>
      </c>
      <c r="AA115" s="5160" t="s">
        <v>46</v>
      </c>
      <c r="AB115" s="5160" t="s">
        <v>139</v>
      </c>
      <c r="AC115" s="398" t="s">
        <v>139</v>
      </c>
    </row>
    <row r="116" spans="1:29" ht="18" customHeight="1"/>
    <row r="117" spans="1:29" ht="18" customHeight="1">
      <c r="A117" s="1411" t="s">
        <v>196</v>
      </c>
      <c r="B117" s="4950" t="s">
        <v>19</v>
      </c>
      <c r="C117" s="4951"/>
      <c r="D117" s="4951"/>
      <c r="E117" s="4951" t="s">
        <v>20</v>
      </c>
      <c r="F117" s="4951"/>
      <c r="G117" s="4951"/>
      <c r="H117" s="4951" t="s">
        <v>21</v>
      </c>
      <c r="I117" s="4951"/>
      <c r="J117" s="4951"/>
      <c r="K117" s="4952" t="s">
        <v>22</v>
      </c>
      <c r="L117" s="4952"/>
      <c r="M117" s="4952"/>
      <c r="N117" s="4952" t="s">
        <v>23</v>
      </c>
      <c r="O117" s="4952"/>
      <c r="P117" s="4952"/>
      <c r="Q117" s="4952" t="s">
        <v>24</v>
      </c>
      <c r="R117" s="4952"/>
      <c r="S117" s="4952"/>
      <c r="T117" s="4952" t="s">
        <v>25</v>
      </c>
      <c r="U117" s="4952"/>
      <c r="V117" s="4953"/>
    </row>
    <row r="118" spans="1:29" ht="18" customHeight="1">
      <c r="A118" s="1409" t="s">
        <v>630</v>
      </c>
      <c r="B118" s="4954" t="s">
        <v>631</v>
      </c>
      <c r="C118" s="4955"/>
      <c r="D118" s="4955"/>
      <c r="E118" s="4955" t="s">
        <v>631</v>
      </c>
      <c r="F118" s="4955"/>
      <c r="G118" s="4955"/>
      <c r="H118" s="4955" t="s">
        <v>631</v>
      </c>
      <c r="I118" s="4955"/>
      <c r="J118" s="4955"/>
      <c r="K118" s="4955" t="s">
        <v>631</v>
      </c>
      <c r="L118" s="4955"/>
      <c r="M118" s="4955"/>
      <c r="N118" s="4955" t="s">
        <v>631</v>
      </c>
      <c r="O118" s="4955"/>
      <c r="P118" s="4955"/>
      <c r="Q118" s="4956" t="s">
        <v>632</v>
      </c>
      <c r="R118" s="4956"/>
      <c r="S118" s="4956"/>
      <c r="T118" s="4956" t="s">
        <v>632</v>
      </c>
      <c r="U118" s="4956"/>
      <c r="V118" s="4957"/>
    </row>
    <row r="119" spans="1:29" ht="18" customHeight="1">
      <c r="A119" s="1410" t="s">
        <v>630</v>
      </c>
      <c r="B119" s="4958" t="s">
        <v>633</v>
      </c>
      <c r="C119" s="4959"/>
      <c r="D119" s="4959"/>
      <c r="E119" s="4959" t="s">
        <v>633</v>
      </c>
      <c r="F119" s="4959"/>
      <c r="G119" s="4959"/>
      <c r="H119" s="4959" t="s">
        <v>633</v>
      </c>
      <c r="I119" s="4959"/>
      <c r="J119" s="4959"/>
      <c r="K119" s="4959" t="s">
        <v>633</v>
      </c>
      <c r="L119" s="4959"/>
      <c r="M119" s="4959"/>
      <c r="N119" s="4960" t="s">
        <v>634</v>
      </c>
      <c r="O119" s="4960"/>
      <c r="P119" s="4960"/>
      <c r="Q119" s="4960" t="s">
        <v>634</v>
      </c>
      <c r="R119" s="4960"/>
      <c r="S119" s="4960"/>
      <c r="T119" s="4959" t="s">
        <v>633</v>
      </c>
      <c r="U119" s="4959"/>
      <c r="V119" s="4961"/>
    </row>
    <row r="120" spans="1:29" ht="18" customHeight="1">
      <c r="A120" s="157"/>
      <c r="B120" s="1424"/>
      <c r="C120" s="157"/>
      <c r="D120" s="157"/>
      <c r="E120" s="157"/>
      <c r="F120" s="157"/>
      <c r="G120" s="157"/>
      <c r="H120" s="157"/>
      <c r="I120" s="157"/>
      <c r="J120" s="157"/>
      <c r="K120" s="157"/>
      <c r="L120" s="157"/>
      <c r="M120" s="157"/>
      <c r="N120" s="157"/>
      <c r="O120" s="157"/>
      <c r="P120" s="157"/>
      <c r="Q120" s="157"/>
      <c r="R120" s="157"/>
      <c r="S120" s="157"/>
      <c r="T120" s="111"/>
    </row>
    <row r="121" spans="1:29" ht="18" customHeight="1">
      <c r="A121" s="691" t="s">
        <v>196</v>
      </c>
      <c r="B121" s="866">
        <v>1</v>
      </c>
      <c r="C121" s="865">
        <v>2</v>
      </c>
      <c r="D121" s="865">
        <v>3</v>
      </c>
      <c r="E121" s="865">
        <v>4</v>
      </c>
      <c r="F121" s="865">
        <v>5</v>
      </c>
      <c r="G121" s="865">
        <v>6</v>
      </c>
      <c r="H121" s="866">
        <v>7</v>
      </c>
      <c r="I121" s="866">
        <v>8</v>
      </c>
      <c r="J121" s="865">
        <v>9</v>
      </c>
      <c r="K121" s="865">
        <v>10</v>
      </c>
      <c r="L121" s="865">
        <v>11</v>
      </c>
      <c r="M121" s="865">
        <v>12</v>
      </c>
      <c r="N121" s="865">
        <v>13</v>
      </c>
      <c r="O121" s="866">
        <v>14</v>
      </c>
      <c r="P121" s="866">
        <v>15</v>
      </c>
      <c r="Q121" s="865">
        <v>16</v>
      </c>
      <c r="R121" s="865">
        <v>17</v>
      </c>
      <c r="S121" s="865">
        <v>18</v>
      </c>
      <c r="T121" s="865">
        <v>19</v>
      </c>
      <c r="U121" s="865">
        <v>20</v>
      </c>
      <c r="V121" s="866">
        <v>21</v>
      </c>
      <c r="W121" s="866">
        <v>22</v>
      </c>
      <c r="X121" s="865">
        <v>23</v>
      </c>
      <c r="Y121" s="865">
        <v>24</v>
      </c>
      <c r="Z121" s="865">
        <v>25</v>
      </c>
      <c r="AA121" s="865">
        <v>26</v>
      </c>
      <c r="AB121" s="865">
        <v>27</v>
      </c>
      <c r="AC121" s="868">
        <v>28</v>
      </c>
    </row>
    <row r="122" spans="1:29" ht="18" customHeight="1">
      <c r="A122" s="1498" t="s">
        <v>392</v>
      </c>
      <c r="B122" s="3525" t="s">
        <v>628</v>
      </c>
      <c r="C122" s="3525" t="s">
        <v>418</v>
      </c>
      <c r="D122" s="3525" t="s">
        <v>418</v>
      </c>
      <c r="E122" s="3525" t="s">
        <v>418</v>
      </c>
      <c r="F122" s="3525" t="s">
        <v>418</v>
      </c>
      <c r="G122" s="3525" t="s">
        <v>418</v>
      </c>
      <c r="H122" s="3525" t="s">
        <v>429</v>
      </c>
      <c r="I122" s="3521" t="s">
        <v>429</v>
      </c>
      <c r="J122" s="5198" t="s">
        <v>628</v>
      </c>
      <c r="K122" s="5198" t="s">
        <v>46</v>
      </c>
      <c r="L122" s="5198" t="s">
        <v>46</v>
      </c>
      <c r="M122" s="5198" t="s">
        <v>46</v>
      </c>
      <c r="N122" s="5198" t="s">
        <v>628</v>
      </c>
      <c r="O122" s="5198" t="s">
        <v>628</v>
      </c>
      <c r="P122" s="5198" t="s">
        <v>46</v>
      </c>
      <c r="Q122" s="5198" t="s">
        <v>113</v>
      </c>
      <c r="R122" s="5198" t="s">
        <v>113</v>
      </c>
      <c r="S122" s="5198" t="s">
        <v>113</v>
      </c>
      <c r="T122" s="5198" t="s">
        <v>113</v>
      </c>
      <c r="U122" s="5198" t="s">
        <v>373</v>
      </c>
      <c r="V122" s="5198" t="s">
        <v>373</v>
      </c>
      <c r="W122" s="5198" t="s">
        <v>113</v>
      </c>
      <c r="X122" s="3521" t="s">
        <v>628</v>
      </c>
      <c r="Y122" s="3521" t="s">
        <v>46</v>
      </c>
      <c r="Z122" s="3521" t="s">
        <v>113</v>
      </c>
      <c r="AA122" s="3521" t="s">
        <v>113</v>
      </c>
      <c r="AB122" s="3521" t="s">
        <v>373</v>
      </c>
      <c r="AC122" s="5199" t="s">
        <v>46</v>
      </c>
    </row>
    <row r="123" spans="1:29" ht="18" customHeight="1">
      <c r="A123" s="431" t="s">
        <v>155</v>
      </c>
      <c r="B123" s="5160" t="s">
        <v>628</v>
      </c>
      <c r="C123" s="5170" t="s">
        <v>113</v>
      </c>
      <c r="D123" s="5170" t="s">
        <v>113</v>
      </c>
      <c r="E123" s="5170" t="s">
        <v>113</v>
      </c>
      <c r="F123" s="5170" t="s">
        <v>113</v>
      </c>
      <c r="G123" s="5170" t="s">
        <v>373</v>
      </c>
      <c r="H123" s="5170" t="s">
        <v>373</v>
      </c>
      <c r="I123" s="5170" t="s">
        <v>113</v>
      </c>
      <c r="J123" s="5160" t="s">
        <v>46</v>
      </c>
      <c r="K123" s="5160" t="s">
        <v>46</v>
      </c>
      <c r="L123" s="5160" t="s">
        <v>418</v>
      </c>
      <c r="M123" s="5160" t="s">
        <v>418</v>
      </c>
      <c r="N123" s="5160" t="s">
        <v>418</v>
      </c>
      <c r="O123" s="5160" t="s">
        <v>628</v>
      </c>
      <c r="P123" s="5160" t="s">
        <v>46</v>
      </c>
      <c r="Q123" s="5170" t="s">
        <v>418</v>
      </c>
      <c r="R123" s="5170" t="s">
        <v>418</v>
      </c>
      <c r="S123" s="5170" t="s">
        <v>418</v>
      </c>
      <c r="T123" s="5170" t="s">
        <v>418</v>
      </c>
      <c r="U123" s="5170" t="s">
        <v>418</v>
      </c>
      <c r="V123" s="5170" t="s">
        <v>429</v>
      </c>
      <c r="W123" s="5170" t="s">
        <v>429</v>
      </c>
      <c r="X123" s="5160" t="s">
        <v>46</v>
      </c>
      <c r="Y123" s="5160" t="s">
        <v>46</v>
      </c>
      <c r="Z123" s="5160" t="s">
        <v>418</v>
      </c>
      <c r="AA123" s="5160" t="s">
        <v>418</v>
      </c>
      <c r="AB123" s="5160" t="s">
        <v>418</v>
      </c>
      <c r="AC123" s="398" t="s">
        <v>46</v>
      </c>
    </row>
    <row r="124" spans="1:29" ht="18" customHeight="1">
      <c r="A124" s="157"/>
      <c r="B124" s="116"/>
      <c r="C124" s="124"/>
      <c r="D124" s="124"/>
      <c r="E124" s="124"/>
      <c r="F124" s="124"/>
      <c r="G124" s="124"/>
      <c r="H124" s="124"/>
      <c r="I124" s="124"/>
      <c r="J124" s="116"/>
      <c r="K124" s="116"/>
      <c r="L124" s="116"/>
      <c r="M124" s="116"/>
      <c r="N124" s="116"/>
      <c r="O124" s="116"/>
      <c r="P124" s="116"/>
      <c r="Q124" s="124"/>
      <c r="R124" s="124"/>
      <c r="S124" s="124"/>
      <c r="T124" s="124"/>
      <c r="U124" s="124"/>
      <c r="V124" s="124"/>
      <c r="W124" s="124"/>
      <c r="X124" s="116"/>
      <c r="Y124" s="116"/>
      <c r="Z124" s="116"/>
      <c r="AA124" s="116"/>
      <c r="AB124" s="116"/>
      <c r="AC124" s="116"/>
    </row>
    <row r="125" spans="1:29" ht="18" customHeight="1" thickBot="1">
      <c r="A125" s="691" t="s">
        <v>681</v>
      </c>
      <c r="B125" s="866">
        <v>1</v>
      </c>
      <c r="C125" s="865">
        <v>2</v>
      </c>
      <c r="D125" s="865">
        <v>3</v>
      </c>
      <c r="E125" s="865">
        <v>4</v>
      </c>
      <c r="F125" s="865">
        <v>5</v>
      </c>
      <c r="G125" s="865">
        <v>6</v>
      </c>
      <c r="H125" s="866">
        <v>7</v>
      </c>
      <c r="I125" s="866">
        <v>8</v>
      </c>
      <c r="J125" s="865">
        <v>9</v>
      </c>
      <c r="K125" s="865">
        <v>10</v>
      </c>
      <c r="L125" s="865">
        <v>11</v>
      </c>
      <c r="M125" s="865">
        <v>12</v>
      </c>
      <c r="N125" s="865">
        <v>13</v>
      </c>
      <c r="O125" s="866">
        <v>14</v>
      </c>
      <c r="P125" s="866">
        <v>15</v>
      </c>
      <c r="Q125" s="865">
        <v>16</v>
      </c>
      <c r="R125" s="865">
        <v>17</v>
      </c>
      <c r="S125" s="865">
        <v>18</v>
      </c>
      <c r="T125" s="865">
        <v>19</v>
      </c>
      <c r="U125" s="865">
        <v>20</v>
      </c>
      <c r="V125" s="866">
        <v>21</v>
      </c>
      <c r="W125" s="866">
        <v>22</v>
      </c>
      <c r="X125" s="865">
        <v>23</v>
      </c>
      <c r="Y125" s="865">
        <v>24</v>
      </c>
      <c r="Z125" s="865">
        <v>25</v>
      </c>
      <c r="AA125" s="865">
        <v>26</v>
      </c>
      <c r="AB125" s="865">
        <v>27</v>
      </c>
      <c r="AC125" s="868">
        <v>28</v>
      </c>
    </row>
    <row r="126" spans="1:29" ht="18" customHeight="1" thickBot="1">
      <c r="A126" s="5197"/>
      <c r="B126" s="4339" t="s">
        <v>628</v>
      </c>
      <c r="C126" s="4339" t="s">
        <v>46</v>
      </c>
      <c r="D126" s="4339" t="s">
        <v>46</v>
      </c>
      <c r="E126" s="4339" t="s">
        <v>46</v>
      </c>
      <c r="F126" s="4339" t="s">
        <v>46</v>
      </c>
      <c r="G126" s="4339" t="s">
        <v>46</v>
      </c>
      <c r="H126" s="4339" t="s">
        <v>46</v>
      </c>
      <c r="I126" s="5196" t="s">
        <v>677</v>
      </c>
      <c r="J126" s="5196" t="s">
        <v>677</v>
      </c>
      <c r="K126" s="5196" t="s">
        <v>677</v>
      </c>
      <c r="L126" s="5196" t="s">
        <v>677</v>
      </c>
      <c r="M126" s="5196" t="s">
        <v>677</v>
      </c>
      <c r="N126" s="5196" t="s">
        <v>677</v>
      </c>
      <c r="O126" s="4339" t="s">
        <v>46</v>
      </c>
      <c r="P126" s="4339" t="s">
        <v>46</v>
      </c>
      <c r="Q126" s="4339" t="s">
        <v>46</v>
      </c>
      <c r="R126" s="4339" t="s">
        <v>46</v>
      </c>
      <c r="S126" s="4339" t="s">
        <v>46</v>
      </c>
      <c r="T126" s="4339" t="s">
        <v>46</v>
      </c>
      <c r="U126" s="5196" t="s">
        <v>677</v>
      </c>
      <c r="V126" s="5196" t="s">
        <v>677</v>
      </c>
      <c r="W126" s="5196" t="s">
        <v>677</v>
      </c>
      <c r="X126" s="4339" t="s">
        <v>677</v>
      </c>
      <c r="Y126" s="5196" t="s">
        <v>677</v>
      </c>
      <c r="Z126" s="5196" t="s">
        <v>677</v>
      </c>
      <c r="AA126" s="4339" t="s">
        <v>46</v>
      </c>
      <c r="AB126" s="4339" t="s">
        <v>46</v>
      </c>
      <c r="AC126" s="5195" t="s">
        <v>46</v>
      </c>
    </row>
    <row r="127" spans="1:29" ht="18" customHeight="1" thickBot="1">
      <c r="A127" s="476" t="s">
        <v>0</v>
      </c>
      <c r="B127" s="5196" t="s">
        <v>628</v>
      </c>
      <c r="C127" s="5196" t="s">
        <v>682</v>
      </c>
      <c r="D127" s="5196" t="s">
        <v>677</v>
      </c>
      <c r="E127" s="5196" t="s">
        <v>677</v>
      </c>
      <c r="F127" s="5196" t="s">
        <v>677</v>
      </c>
      <c r="G127" s="5196" t="s">
        <v>677</v>
      </c>
      <c r="H127" s="5196" t="s">
        <v>677</v>
      </c>
      <c r="I127" s="5196" t="s">
        <v>46</v>
      </c>
      <c r="J127" s="5196" t="s">
        <v>46</v>
      </c>
      <c r="K127" s="5196" t="s">
        <v>46</v>
      </c>
      <c r="L127" s="5196" t="s">
        <v>46</v>
      </c>
      <c r="M127" s="5196" t="s">
        <v>46</v>
      </c>
      <c r="N127" s="5196" t="s">
        <v>46</v>
      </c>
      <c r="O127" s="5196" t="s">
        <v>677</v>
      </c>
      <c r="P127" s="5196" t="s">
        <v>677</v>
      </c>
      <c r="Q127" s="5196" t="s">
        <v>677</v>
      </c>
      <c r="R127" s="5196" t="s">
        <v>677</v>
      </c>
      <c r="S127" s="5196" t="s">
        <v>677</v>
      </c>
      <c r="T127" s="5196" t="s">
        <v>677</v>
      </c>
      <c r="U127" s="5196" t="s">
        <v>46</v>
      </c>
      <c r="V127" s="5196" t="s">
        <v>628</v>
      </c>
      <c r="W127" s="5196" t="s">
        <v>46</v>
      </c>
      <c r="X127" s="5196" t="s">
        <v>46</v>
      </c>
      <c r="Y127" s="5196" t="s">
        <v>46</v>
      </c>
      <c r="Z127" s="5196" t="s">
        <v>46</v>
      </c>
      <c r="AA127" s="5196" t="s">
        <v>677</v>
      </c>
      <c r="AB127" s="5196" t="s">
        <v>677</v>
      </c>
      <c r="AC127" s="5196" t="s">
        <v>677</v>
      </c>
    </row>
    <row r="128" spans="1:29" ht="18" customHeight="1">
      <c r="A128" s="157"/>
      <c r="B128" s="116"/>
      <c r="C128" s="124"/>
      <c r="D128" s="124"/>
      <c r="E128" s="124"/>
      <c r="F128" s="124"/>
      <c r="G128" s="124"/>
      <c r="H128" s="124"/>
      <c r="I128" s="124"/>
      <c r="J128" s="116"/>
      <c r="K128" s="116"/>
      <c r="L128" s="116"/>
      <c r="M128" s="116"/>
      <c r="N128" s="116"/>
      <c r="O128" s="116"/>
      <c r="P128" s="116"/>
      <c r="Q128" s="124"/>
      <c r="R128" s="124"/>
      <c r="S128" s="124"/>
      <c r="T128" s="124"/>
      <c r="U128" s="124"/>
      <c r="V128" s="124"/>
      <c r="W128" s="124"/>
      <c r="X128" s="116"/>
      <c r="Y128" s="116"/>
      <c r="Z128" s="116"/>
      <c r="AA128" s="116"/>
      <c r="AB128" s="116"/>
      <c r="AC128" s="116"/>
    </row>
    <row r="129" spans="1:29" ht="18" customHeight="1" thickBot="1">
      <c r="A129" s="157"/>
      <c r="B129" s="116"/>
      <c r="C129" s="124"/>
      <c r="D129" s="124"/>
      <c r="E129" s="124"/>
      <c r="F129" s="124"/>
      <c r="G129" s="124"/>
      <c r="H129" s="124"/>
      <c r="I129" s="124"/>
      <c r="J129" s="116"/>
      <c r="K129" s="116"/>
      <c r="L129" s="116"/>
      <c r="M129" s="116"/>
      <c r="N129" s="116"/>
      <c r="O129" s="116"/>
      <c r="P129" s="116"/>
      <c r="Q129" s="124"/>
      <c r="R129" s="124"/>
      <c r="S129" s="124"/>
      <c r="T129" s="124"/>
      <c r="U129" s="124"/>
      <c r="V129" s="124"/>
      <c r="W129" s="124"/>
      <c r="X129" s="116"/>
      <c r="Y129" s="116"/>
      <c r="Z129" s="116"/>
      <c r="AA129" s="116"/>
      <c r="AB129" s="116"/>
      <c r="AC129" s="116"/>
    </row>
    <row r="130" spans="1:29" ht="18" customHeight="1">
      <c r="A130" s="2764" t="s">
        <v>201</v>
      </c>
      <c r="B130" s="2765"/>
      <c r="C130" s="2766" t="s">
        <v>19</v>
      </c>
      <c r="D130" s="2767"/>
      <c r="E130" s="2765"/>
      <c r="F130" s="2768" t="s">
        <v>20</v>
      </c>
      <c r="G130" s="2769"/>
      <c r="H130" s="2770"/>
      <c r="I130" s="2768" t="s">
        <v>21</v>
      </c>
      <c r="J130" s="2771"/>
      <c r="K130" s="2770"/>
      <c r="L130" s="2772" t="s">
        <v>22</v>
      </c>
      <c r="M130" s="2771"/>
      <c r="N130" s="2770"/>
      <c r="O130" s="2768" t="s">
        <v>23</v>
      </c>
      <c r="P130" s="2773"/>
      <c r="Q130" s="2770"/>
      <c r="R130" s="2768" t="s">
        <v>24</v>
      </c>
      <c r="S130" s="2774"/>
      <c r="T130" s="2770"/>
      <c r="U130" s="2768" t="s">
        <v>25</v>
      </c>
      <c r="V130" s="2773"/>
      <c r="W130" s="2775" t="s">
        <v>202</v>
      </c>
      <c r="X130" s="2776"/>
      <c r="Y130" s="2776"/>
      <c r="Z130" s="2777"/>
      <c r="AA130" s="2778" t="s">
        <v>108</v>
      </c>
      <c r="AB130" s="2779"/>
      <c r="AC130" s="2779"/>
    </row>
    <row r="131" spans="1:29" ht="18" customHeight="1">
      <c r="A131" s="5200" t="s">
        <v>203</v>
      </c>
      <c r="B131" s="5201" t="s">
        <v>204</v>
      </c>
      <c r="C131" s="5202"/>
      <c r="D131" s="5203"/>
      <c r="E131" s="5201" t="s">
        <v>204</v>
      </c>
      <c r="F131" s="5202"/>
      <c r="G131" s="5203"/>
      <c r="H131" s="5201" t="s">
        <v>204</v>
      </c>
      <c r="I131" s="5202"/>
      <c r="J131" s="5203"/>
      <c r="K131" s="5201" t="s">
        <v>204</v>
      </c>
      <c r="L131" s="5202"/>
      <c r="M131" s="5203"/>
      <c r="N131" s="5201" t="s">
        <v>205</v>
      </c>
      <c r="O131" s="5202"/>
      <c r="P131" s="5203"/>
      <c r="Q131" s="5201"/>
      <c r="R131" s="5202"/>
      <c r="S131" s="5203"/>
      <c r="T131" s="5201"/>
      <c r="U131" s="5202"/>
      <c r="V131" s="5203"/>
      <c r="W131" s="5201"/>
      <c r="X131" s="5204"/>
      <c r="Y131" s="5204"/>
      <c r="Z131" s="5204"/>
      <c r="AA131" s="5205"/>
      <c r="AB131" s="5204"/>
      <c r="AC131" s="5204"/>
    </row>
    <row r="133" spans="1:29" ht="18" customHeight="1" thickBot="1">
      <c r="A133" s="647" t="s">
        <v>201</v>
      </c>
      <c r="B133" s="866">
        <v>1</v>
      </c>
      <c r="C133" s="865">
        <v>2</v>
      </c>
      <c r="D133" s="865">
        <v>3</v>
      </c>
      <c r="E133" s="865">
        <v>4</v>
      </c>
      <c r="F133" s="865">
        <v>5</v>
      </c>
      <c r="G133" s="865">
        <v>6</v>
      </c>
      <c r="H133" s="866">
        <v>7</v>
      </c>
      <c r="I133" s="866">
        <v>8</v>
      </c>
      <c r="J133" s="865">
        <v>9</v>
      </c>
      <c r="K133" s="865">
        <v>10</v>
      </c>
      <c r="L133" s="865">
        <v>11</v>
      </c>
      <c r="M133" s="865">
        <v>12</v>
      </c>
      <c r="N133" s="865">
        <v>13</v>
      </c>
      <c r="O133" s="866">
        <v>14</v>
      </c>
      <c r="P133" s="866">
        <v>15</v>
      </c>
      <c r="Q133" s="865">
        <v>16</v>
      </c>
      <c r="R133" s="865">
        <v>17</v>
      </c>
      <c r="S133" s="865">
        <v>18</v>
      </c>
      <c r="T133" s="865">
        <v>19</v>
      </c>
      <c r="U133" s="865">
        <v>20</v>
      </c>
      <c r="V133" s="866">
        <v>21</v>
      </c>
      <c r="W133" s="866">
        <v>22</v>
      </c>
      <c r="X133" s="865">
        <v>23</v>
      </c>
      <c r="Y133" s="865">
        <v>24</v>
      </c>
      <c r="Z133" s="865">
        <v>25</v>
      </c>
      <c r="AA133" s="865">
        <v>26</v>
      </c>
      <c r="AB133" s="865">
        <v>27</v>
      </c>
      <c r="AC133" s="868">
        <v>28</v>
      </c>
    </row>
    <row r="134" spans="1:29" ht="18" customHeight="1" thickBot="1">
      <c r="A134" s="4988" t="s">
        <v>206</v>
      </c>
      <c r="B134" s="4560"/>
      <c r="C134" s="4560" t="s">
        <v>207</v>
      </c>
      <c r="D134" s="4560" t="s">
        <v>207</v>
      </c>
      <c r="E134" s="4560" t="s">
        <v>207</v>
      </c>
      <c r="F134" s="4560" t="s">
        <v>207</v>
      </c>
      <c r="G134" s="4560" t="s">
        <v>207</v>
      </c>
      <c r="H134" s="4560"/>
      <c r="I134" s="4560"/>
      <c r="J134" s="4560" t="s">
        <v>207</v>
      </c>
      <c r="K134" s="4560" t="s">
        <v>207</v>
      </c>
      <c r="L134" s="4560" t="s">
        <v>207</v>
      </c>
      <c r="M134" s="5206" t="s">
        <v>370</v>
      </c>
      <c r="N134" s="4560" t="s">
        <v>207</v>
      </c>
      <c r="O134" s="4560"/>
      <c r="P134" s="4560"/>
      <c r="Q134" s="4560" t="s">
        <v>207</v>
      </c>
      <c r="R134" s="4560" t="s">
        <v>207</v>
      </c>
      <c r="S134" s="4560" t="s">
        <v>207</v>
      </c>
      <c r="T134" s="4560" t="s">
        <v>207</v>
      </c>
      <c r="U134" s="4560" t="s">
        <v>207</v>
      </c>
      <c r="V134" s="4560"/>
      <c r="W134" s="4560"/>
      <c r="X134" s="4560" t="s">
        <v>207</v>
      </c>
      <c r="Y134" s="4560" t="s">
        <v>207</v>
      </c>
      <c r="Z134" s="4560" t="s">
        <v>207</v>
      </c>
      <c r="AA134" s="4560" t="s">
        <v>207</v>
      </c>
      <c r="AB134" s="4560" t="s">
        <v>207</v>
      </c>
      <c r="AC134" s="4562"/>
    </row>
    <row r="135" spans="1:29" ht="18" customHeight="1" thickBot="1">
      <c r="A135" s="121"/>
      <c r="B135" s="116"/>
      <c r="C135" s="116"/>
      <c r="D135" s="116"/>
      <c r="E135" s="116"/>
      <c r="F135" s="116"/>
      <c r="G135" s="116"/>
      <c r="H135" s="116"/>
      <c r="I135" s="116"/>
      <c r="J135" s="116"/>
      <c r="K135" s="116"/>
      <c r="L135" s="116"/>
      <c r="M135" s="116"/>
      <c r="N135" s="116"/>
      <c r="O135" s="116"/>
      <c r="P135" s="116"/>
      <c r="Q135" s="116"/>
      <c r="R135" s="116"/>
      <c r="S135" s="116"/>
      <c r="T135" s="116"/>
      <c r="U135" s="116"/>
      <c r="V135" s="116"/>
      <c r="W135" s="116"/>
      <c r="X135" s="116"/>
      <c r="Y135" s="116"/>
      <c r="Z135" s="116"/>
      <c r="AA135" s="116"/>
      <c r="AB135" s="116"/>
      <c r="AC135" s="116"/>
    </row>
    <row r="136" spans="1:29" ht="18" customHeight="1">
      <c r="A136" s="648" t="s">
        <v>208</v>
      </c>
      <c r="B136" s="649"/>
      <c r="C136" s="650" t="s">
        <v>19</v>
      </c>
      <c r="D136" s="651"/>
      <c r="E136" s="652"/>
      <c r="F136" s="649"/>
      <c r="G136" s="650" t="s">
        <v>20</v>
      </c>
      <c r="H136" s="651"/>
      <c r="I136" s="652"/>
      <c r="J136" s="649"/>
      <c r="K136" s="650" t="s">
        <v>21</v>
      </c>
      <c r="L136" s="651"/>
      <c r="M136" s="652"/>
      <c r="N136" s="649"/>
      <c r="O136" s="650" t="s">
        <v>22</v>
      </c>
      <c r="P136" s="651"/>
      <c r="Q136" s="652"/>
      <c r="R136" s="649"/>
      <c r="S136" s="650" t="s">
        <v>23</v>
      </c>
      <c r="T136" s="651"/>
      <c r="U136" s="652"/>
      <c r="V136" s="649"/>
      <c r="W136" s="650" t="s">
        <v>24</v>
      </c>
      <c r="X136" s="651"/>
      <c r="Y136" s="652"/>
      <c r="Z136" s="649"/>
      <c r="AA136" s="650" t="s">
        <v>25</v>
      </c>
      <c r="AB136" s="651"/>
      <c r="AC136" s="653"/>
    </row>
    <row r="137" spans="1:29" ht="18" customHeight="1">
      <c r="A137" s="5207" t="s">
        <v>210</v>
      </c>
      <c r="B137" s="5208">
        <v>69</v>
      </c>
      <c r="C137" s="5209" t="s">
        <v>211</v>
      </c>
      <c r="D137" s="5209"/>
      <c r="E137" s="5210"/>
      <c r="F137" s="5208">
        <v>69</v>
      </c>
      <c r="G137" s="5209" t="s">
        <v>211</v>
      </c>
      <c r="H137" s="5209"/>
      <c r="I137" s="5210"/>
      <c r="J137" s="5208">
        <v>69</v>
      </c>
      <c r="K137" s="5209" t="s">
        <v>211</v>
      </c>
      <c r="L137" s="5209"/>
      <c r="M137" s="5210"/>
      <c r="N137" s="5208">
        <v>69</v>
      </c>
      <c r="O137" s="5209" t="s">
        <v>211</v>
      </c>
      <c r="P137" s="5209"/>
      <c r="Q137" s="5210"/>
      <c r="R137" s="5208">
        <v>69</v>
      </c>
      <c r="S137" s="5209" t="s">
        <v>211</v>
      </c>
      <c r="T137" s="5209"/>
      <c r="U137" s="5210"/>
      <c r="V137" s="5208"/>
      <c r="W137" s="5211"/>
      <c r="X137" s="5211"/>
      <c r="Y137" s="5212"/>
      <c r="Z137" s="5208"/>
      <c r="AA137" s="5209"/>
      <c r="AB137" s="5209"/>
      <c r="AC137" s="5213"/>
    </row>
    <row r="138" spans="1:29" ht="18" customHeight="1">
      <c r="A138" s="5207" t="s">
        <v>212</v>
      </c>
      <c r="B138" s="5208">
        <v>79</v>
      </c>
      <c r="C138" s="5209" t="s">
        <v>213</v>
      </c>
      <c r="D138" s="5209"/>
      <c r="E138" s="5210"/>
      <c r="F138" s="5208">
        <v>79</v>
      </c>
      <c r="G138" s="5209" t="s">
        <v>213</v>
      </c>
      <c r="H138" s="5209"/>
      <c r="I138" s="5210"/>
      <c r="J138" s="5208">
        <v>79</v>
      </c>
      <c r="K138" s="5209" t="s">
        <v>213</v>
      </c>
      <c r="L138" s="5209"/>
      <c r="M138" s="5210"/>
      <c r="N138" s="5208">
        <v>79</v>
      </c>
      <c r="O138" s="5209" t="s">
        <v>213</v>
      </c>
      <c r="P138" s="5209"/>
      <c r="Q138" s="5210"/>
      <c r="R138" s="5208">
        <v>79</v>
      </c>
      <c r="S138" s="5209" t="s">
        <v>213</v>
      </c>
      <c r="T138" s="5209"/>
      <c r="U138" s="5210"/>
      <c r="V138" s="5208"/>
      <c r="W138" s="5209"/>
      <c r="X138" s="5209"/>
      <c r="Y138" s="5210"/>
      <c r="Z138" s="5209"/>
      <c r="AA138" s="5209"/>
      <c r="AB138" s="5209"/>
      <c r="AC138" s="5213"/>
    </row>
    <row r="139" spans="1:29" ht="18" customHeight="1">
      <c r="A139" s="5207" t="s">
        <v>214</v>
      </c>
      <c r="B139" s="5208">
        <v>89</v>
      </c>
      <c r="C139" s="5209" t="s">
        <v>215</v>
      </c>
      <c r="D139" s="5209"/>
      <c r="E139" s="5210"/>
      <c r="F139" s="5208">
        <v>89</v>
      </c>
      <c r="G139" s="5209" t="s">
        <v>215</v>
      </c>
      <c r="H139" s="5209"/>
      <c r="I139" s="5210"/>
      <c r="J139" s="5208">
        <v>89</v>
      </c>
      <c r="K139" s="5209" t="s">
        <v>215</v>
      </c>
      <c r="L139" s="5209"/>
      <c r="M139" s="5210"/>
      <c r="N139" s="5208">
        <v>89</v>
      </c>
      <c r="O139" s="5209" t="s">
        <v>215</v>
      </c>
      <c r="P139" s="5209"/>
      <c r="Q139" s="5210"/>
      <c r="R139" s="5208">
        <v>89</v>
      </c>
      <c r="S139" s="5209" t="s">
        <v>216</v>
      </c>
      <c r="T139" s="5209"/>
      <c r="U139" s="5210"/>
      <c r="V139" s="5214"/>
      <c r="W139" s="5215" t="s">
        <v>217</v>
      </c>
      <c r="X139" s="5215"/>
      <c r="Y139" s="3622"/>
      <c r="Z139" s="5214"/>
      <c r="AA139" s="5215"/>
      <c r="AB139" s="5215"/>
      <c r="AC139" s="5185"/>
    </row>
    <row r="140" spans="1:29" ht="18" customHeight="1">
      <c r="A140" s="654" t="s">
        <v>218</v>
      </c>
      <c r="B140" s="5214">
        <v>99</v>
      </c>
      <c r="C140" s="5215" t="s">
        <v>219</v>
      </c>
      <c r="D140" s="5215"/>
      <c r="E140" s="3622"/>
      <c r="F140" s="5214">
        <v>99</v>
      </c>
      <c r="G140" s="5215" t="s">
        <v>219</v>
      </c>
      <c r="H140" s="5215"/>
      <c r="I140" s="3622"/>
      <c r="J140" s="5214">
        <v>99</v>
      </c>
      <c r="K140" s="5215" t="s">
        <v>219</v>
      </c>
      <c r="L140" s="5215"/>
      <c r="M140" s="3622"/>
      <c r="N140" s="5214">
        <v>99</v>
      </c>
      <c r="O140" s="5215" t="s">
        <v>219</v>
      </c>
      <c r="P140" s="5215"/>
      <c r="Q140" s="3622"/>
      <c r="R140" s="5214">
        <v>99</v>
      </c>
      <c r="S140" s="5215" t="s">
        <v>220</v>
      </c>
      <c r="T140" s="5215"/>
      <c r="U140" s="3624"/>
      <c r="V140" s="3623"/>
      <c r="W140" s="3624"/>
      <c r="X140" s="5215"/>
      <c r="Y140" s="3622"/>
      <c r="Z140" s="3623"/>
      <c r="AA140" s="3624"/>
      <c r="AB140" s="5215"/>
      <c r="AC140" s="5185"/>
    </row>
    <row r="141" spans="1:29" ht="18" customHeight="1" thickBot="1">
      <c r="A141" s="5216" t="s">
        <v>221</v>
      </c>
      <c r="B141" s="5217" t="s">
        <v>159</v>
      </c>
      <c r="C141" s="5218" t="s">
        <v>222</v>
      </c>
      <c r="D141" s="5219"/>
      <c r="E141" s="5220"/>
      <c r="F141" s="5217" t="s">
        <v>159</v>
      </c>
      <c r="G141" s="5218" t="s">
        <v>222</v>
      </c>
      <c r="H141" s="5188"/>
      <c r="I141" s="5219"/>
      <c r="J141" s="5217" t="s">
        <v>159</v>
      </c>
      <c r="K141" s="5218" t="s">
        <v>222</v>
      </c>
      <c r="L141" s="5219"/>
      <c r="M141" s="5221"/>
      <c r="N141" s="5217" t="s">
        <v>159</v>
      </c>
      <c r="O141" s="5218" t="s">
        <v>222</v>
      </c>
      <c r="P141" s="5219"/>
      <c r="Q141" s="5218"/>
      <c r="R141" s="5217" t="s">
        <v>159</v>
      </c>
      <c r="S141" s="5189" t="s">
        <v>223</v>
      </c>
      <c r="T141" s="5218"/>
      <c r="U141" s="5221"/>
      <c r="V141" s="5219"/>
      <c r="W141" s="5218"/>
      <c r="X141" s="5218"/>
      <c r="Y141" s="5218"/>
      <c r="Z141" s="5222"/>
      <c r="AA141" s="5223"/>
      <c r="AB141" s="5218"/>
      <c r="AC141" s="5224"/>
    </row>
    <row r="142" spans="1:29" ht="18" customHeight="1" thickBot="1">
      <c r="A142" s="100"/>
      <c r="B142" s="102"/>
      <c r="C142" s="102"/>
      <c r="D142" s="102"/>
      <c r="E142" s="102"/>
      <c r="F142" s="102"/>
      <c r="G142" s="102"/>
      <c r="H142" s="102"/>
      <c r="I142" s="102"/>
      <c r="J142" s="102"/>
      <c r="K142" s="102"/>
      <c r="L142" s="102"/>
      <c r="M142" s="102"/>
      <c r="N142" s="102"/>
      <c r="O142" s="102"/>
      <c r="P142" s="102"/>
      <c r="Q142" s="102"/>
      <c r="R142" s="102"/>
      <c r="S142" s="102"/>
      <c r="T142" s="102"/>
      <c r="U142" s="102"/>
      <c r="V142" s="102"/>
      <c r="W142" s="102"/>
      <c r="X142" s="102"/>
      <c r="Y142" s="102"/>
      <c r="Z142" s="102"/>
      <c r="AA142" s="102"/>
      <c r="AB142" s="102"/>
      <c r="AC142" s="102"/>
    </row>
    <row r="143" spans="1:29" ht="18" customHeight="1" thickBot="1">
      <c r="A143" s="647" t="s">
        <v>208</v>
      </c>
      <c r="B143" s="866">
        <v>1</v>
      </c>
      <c r="C143" s="865">
        <v>2</v>
      </c>
      <c r="D143" s="865">
        <v>3</v>
      </c>
      <c r="E143" s="865">
        <v>4</v>
      </c>
      <c r="F143" s="865">
        <v>5</v>
      </c>
      <c r="G143" s="865">
        <v>6</v>
      </c>
      <c r="H143" s="866">
        <v>7</v>
      </c>
      <c r="I143" s="866">
        <v>8</v>
      </c>
      <c r="J143" s="865">
        <v>9</v>
      </c>
      <c r="K143" s="865">
        <v>10</v>
      </c>
      <c r="L143" s="865">
        <v>11</v>
      </c>
      <c r="M143" s="865">
        <v>12</v>
      </c>
      <c r="N143" s="865">
        <v>13</v>
      </c>
      <c r="O143" s="866">
        <v>14</v>
      </c>
      <c r="P143" s="866">
        <v>15</v>
      </c>
      <c r="Q143" s="865">
        <v>16</v>
      </c>
      <c r="R143" s="865">
        <v>17</v>
      </c>
      <c r="S143" s="865">
        <v>18</v>
      </c>
      <c r="T143" s="865">
        <v>19</v>
      </c>
      <c r="U143" s="865">
        <v>20</v>
      </c>
      <c r="V143" s="866">
        <v>21</v>
      </c>
      <c r="W143" s="866">
        <v>22</v>
      </c>
      <c r="X143" s="865">
        <v>23</v>
      </c>
      <c r="Y143" s="865">
        <v>24</v>
      </c>
      <c r="Z143" s="865">
        <v>25</v>
      </c>
      <c r="AA143" s="865">
        <v>26</v>
      </c>
      <c r="AB143" s="865">
        <v>27</v>
      </c>
      <c r="AC143" s="868">
        <v>28</v>
      </c>
    </row>
    <row r="144" spans="1:29" ht="18" customHeight="1">
      <c r="A144" s="4611" t="s">
        <v>224</v>
      </c>
      <c r="B144" s="3088"/>
      <c r="C144" s="2816">
        <v>69</v>
      </c>
      <c r="D144" s="3089">
        <v>69</v>
      </c>
      <c r="E144" s="3089">
        <v>69</v>
      </c>
      <c r="F144" s="3090">
        <v>69</v>
      </c>
      <c r="G144" s="3088">
        <v>69</v>
      </c>
      <c r="H144" s="3090"/>
      <c r="I144" s="3090"/>
      <c r="J144" s="3291">
        <v>79</v>
      </c>
      <c r="K144" s="3291">
        <v>79</v>
      </c>
      <c r="L144" s="3291">
        <v>79</v>
      </c>
      <c r="M144" s="3291">
        <v>79</v>
      </c>
      <c r="N144" s="3291">
        <v>79</v>
      </c>
      <c r="O144" s="3291"/>
      <c r="P144" s="3291"/>
      <c r="Q144" s="3088">
        <v>89</v>
      </c>
      <c r="R144" s="3089">
        <v>89</v>
      </c>
      <c r="S144" s="3089">
        <v>89</v>
      </c>
      <c r="T144" s="3088">
        <v>89</v>
      </c>
      <c r="U144" s="3088">
        <v>89</v>
      </c>
      <c r="V144" s="3088">
        <v>89</v>
      </c>
      <c r="W144" s="3088"/>
      <c r="X144" s="3088">
        <v>99</v>
      </c>
      <c r="Y144" s="3088">
        <v>99</v>
      </c>
      <c r="Z144" s="3090">
        <v>99</v>
      </c>
      <c r="AA144" s="3088">
        <v>99</v>
      </c>
      <c r="AB144" s="3088" t="s">
        <v>46</v>
      </c>
      <c r="AC144" s="5225"/>
    </row>
    <row r="145" spans="1:29" ht="18" customHeight="1">
      <c r="A145" s="5226" t="s">
        <v>225</v>
      </c>
      <c r="B145" s="3419"/>
      <c r="C145" s="3432">
        <v>79</v>
      </c>
      <c r="D145" s="3419">
        <v>79</v>
      </c>
      <c r="E145" s="3419">
        <v>79</v>
      </c>
      <c r="F145" s="3419">
        <v>79</v>
      </c>
      <c r="G145" s="3503">
        <v>79</v>
      </c>
      <c r="H145" s="3422"/>
      <c r="I145" s="3503"/>
      <c r="J145" s="3503">
        <v>89</v>
      </c>
      <c r="K145" s="3432">
        <v>89</v>
      </c>
      <c r="L145" s="3432">
        <v>89</v>
      </c>
      <c r="M145" s="3503">
        <v>89</v>
      </c>
      <c r="N145" s="3418">
        <v>89</v>
      </c>
      <c r="O145" s="3503">
        <v>89</v>
      </c>
      <c r="P145" s="3503"/>
      <c r="Q145" s="3422">
        <v>99</v>
      </c>
      <c r="R145" s="3503">
        <v>99</v>
      </c>
      <c r="S145" s="3432">
        <v>99</v>
      </c>
      <c r="T145" s="3503">
        <v>99</v>
      </c>
      <c r="U145" s="3503" t="s">
        <v>46</v>
      </c>
      <c r="V145" s="3503"/>
      <c r="W145" s="3503"/>
      <c r="X145" s="3503" t="s">
        <v>159</v>
      </c>
      <c r="Y145" s="3503" t="s">
        <v>159</v>
      </c>
      <c r="Z145" s="3432" t="s">
        <v>159</v>
      </c>
      <c r="AA145" s="3422" t="s">
        <v>159</v>
      </c>
      <c r="AB145" s="3418" t="s">
        <v>159</v>
      </c>
      <c r="AC145" s="5227"/>
    </row>
    <row r="146" spans="1:29" ht="18" customHeight="1">
      <c r="A146" s="5228" t="s">
        <v>124</v>
      </c>
      <c r="B146" s="5229"/>
      <c r="C146" s="3432">
        <v>89</v>
      </c>
      <c r="D146" s="3419">
        <v>89</v>
      </c>
      <c r="E146" s="5229">
        <v>89</v>
      </c>
      <c r="F146" s="3615">
        <v>89</v>
      </c>
      <c r="G146" s="3421">
        <v>89</v>
      </c>
      <c r="H146" s="3422">
        <v>89</v>
      </c>
      <c r="I146" s="5229"/>
      <c r="J146" s="5229">
        <v>99</v>
      </c>
      <c r="K146" s="5229">
        <v>99</v>
      </c>
      <c r="L146" s="5229">
        <v>99</v>
      </c>
      <c r="M146" s="3503">
        <v>99</v>
      </c>
      <c r="N146" s="3418" t="s">
        <v>46</v>
      </c>
      <c r="O146" s="3526"/>
      <c r="P146" s="3418"/>
      <c r="Q146" s="3418" t="s">
        <v>159</v>
      </c>
      <c r="R146" s="3418" t="s">
        <v>159</v>
      </c>
      <c r="S146" s="3418" t="s">
        <v>159</v>
      </c>
      <c r="T146" s="3418" t="s">
        <v>159</v>
      </c>
      <c r="U146" s="3418" t="s">
        <v>159</v>
      </c>
      <c r="V146" s="3418"/>
      <c r="W146" s="3418"/>
      <c r="X146" s="5229">
        <v>69</v>
      </c>
      <c r="Y146" s="5229">
        <v>69</v>
      </c>
      <c r="Z146" s="5229">
        <v>69</v>
      </c>
      <c r="AA146" s="5229">
        <v>69</v>
      </c>
      <c r="AB146" s="5229">
        <v>69</v>
      </c>
      <c r="AC146" s="5230"/>
    </row>
    <row r="147" spans="1:29" ht="18" customHeight="1">
      <c r="A147" s="5226" t="s">
        <v>226</v>
      </c>
      <c r="B147" s="3432"/>
      <c r="C147" s="3432">
        <v>99</v>
      </c>
      <c r="D147" s="3432">
        <v>99</v>
      </c>
      <c r="E147" s="3612">
        <v>99</v>
      </c>
      <c r="F147" s="3432">
        <v>99</v>
      </c>
      <c r="G147" s="3432" t="s">
        <v>46</v>
      </c>
      <c r="H147" s="3422"/>
      <c r="I147" s="3432"/>
      <c r="J147" s="3432" t="s">
        <v>159</v>
      </c>
      <c r="K147" s="3432" t="s">
        <v>159</v>
      </c>
      <c r="L147" s="3432" t="s">
        <v>159</v>
      </c>
      <c r="M147" s="3503" t="s">
        <v>64</v>
      </c>
      <c r="N147" s="3432" t="s">
        <v>64</v>
      </c>
      <c r="O147" s="3432"/>
      <c r="P147" s="3526"/>
      <c r="Q147" s="3526">
        <v>69</v>
      </c>
      <c r="R147" s="3432">
        <v>69</v>
      </c>
      <c r="S147" s="3432">
        <v>69</v>
      </c>
      <c r="T147" s="3432">
        <v>69</v>
      </c>
      <c r="U147" s="3432">
        <v>69</v>
      </c>
      <c r="V147" s="3432"/>
      <c r="W147" s="3432"/>
      <c r="X147" s="3526">
        <v>79</v>
      </c>
      <c r="Y147" s="3526">
        <v>79</v>
      </c>
      <c r="Z147" s="3432">
        <v>79</v>
      </c>
      <c r="AA147" s="3432">
        <v>79</v>
      </c>
      <c r="AB147" s="3432">
        <v>79</v>
      </c>
      <c r="AC147" s="5139"/>
    </row>
    <row r="148" spans="1:29" ht="18" customHeight="1" thickBot="1">
      <c r="A148" s="5154" t="s">
        <v>227</v>
      </c>
      <c r="B148" s="5180"/>
      <c r="C148" s="5180" t="s">
        <v>159</v>
      </c>
      <c r="D148" s="5182" t="s">
        <v>159</v>
      </c>
      <c r="E148" s="5155" t="s">
        <v>159</v>
      </c>
      <c r="F148" s="5155" t="s">
        <v>159</v>
      </c>
      <c r="G148" s="5206" t="s">
        <v>159</v>
      </c>
      <c r="H148" s="5206"/>
      <c r="I148" s="5206"/>
      <c r="J148" s="5206">
        <v>69</v>
      </c>
      <c r="K148" s="5182">
        <v>69</v>
      </c>
      <c r="L148" s="5182">
        <v>69</v>
      </c>
      <c r="M148" s="5206">
        <v>69</v>
      </c>
      <c r="N148" s="5180">
        <v>69</v>
      </c>
      <c r="O148" s="5180"/>
      <c r="P148" s="5180"/>
      <c r="Q148" s="5180">
        <v>79</v>
      </c>
      <c r="R148" s="5182">
        <v>79</v>
      </c>
      <c r="S148" s="5231">
        <v>79</v>
      </c>
      <c r="T148" s="5180">
        <v>79</v>
      </c>
      <c r="U148" s="5180">
        <v>79</v>
      </c>
      <c r="V148" s="5180"/>
      <c r="W148" s="5180"/>
      <c r="X148" s="5180">
        <v>89</v>
      </c>
      <c r="Y148" s="5180">
        <v>89</v>
      </c>
      <c r="Z148" s="5155">
        <v>89</v>
      </c>
      <c r="AA148" s="5180">
        <v>89</v>
      </c>
      <c r="AB148" s="5182">
        <v>89</v>
      </c>
      <c r="AC148" s="5232">
        <v>89</v>
      </c>
    </row>
    <row r="149" spans="1:29" ht="18" customHeight="1" thickBot="1">
      <c r="A149" s="125"/>
      <c r="B149" s="126"/>
      <c r="C149" s="126"/>
      <c r="D149" s="126"/>
      <c r="E149" s="116"/>
      <c r="F149" s="124"/>
      <c r="G149" s="124"/>
      <c r="H149" s="124"/>
      <c r="I149" s="124"/>
      <c r="J149" s="124"/>
      <c r="K149" s="116"/>
      <c r="L149" s="116"/>
      <c r="M149" s="126"/>
      <c r="N149" s="126"/>
      <c r="O149" s="126"/>
      <c r="P149" s="126"/>
      <c r="Q149" s="126"/>
      <c r="R149" s="116"/>
      <c r="S149" s="127"/>
      <c r="T149" s="126"/>
      <c r="U149" s="126"/>
      <c r="V149" s="126"/>
      <c r="W149" s="126"/>
      <c r="X149" s="126"/>
      <c r="Y149" s="128"/>
      <c r="Z149" s="128"/>
      <c r="AA149" s="126"/>
      <c r="AB149" s="126"/>
      <c r="AC149" s="126"/>
    </row>
    <row r="150" spans="1:29" ht="18" customHeight="1">
      <c r="A150" s="648" t="s">
        <v>228</v>
      </c>
      <c r="B150" s="649"/>
      <c r="C150" s="650" t="s">
        <v>19</v>
      </c>
      <c r="D150" s="651"/>
      <c r="E150" s="652"/>
      <c r="F150" s="649"/>
      <c r="G150" s="650" t="s">
        <v>20</v>
      </c>
      <c r="H150" s="651"/>
      <c r="I150" s="652"/>
      <c r="J150" s="649"/>
      <c r="K150" s="650" t="s">
        <v>21</v>
      </c>
      <c r="L150" s="651"/>
      <c r="M150" s="652"/>
      <c r="N150" s="649"/>
      <c r="O150" s="650" t="s">
        <v>22</v>
      </c>
      <c r="P150" s="651"/>
      <c r="Q150" s="652"/>
      <c r="R150" s="649"/>
      <c r="S150" s="650" t="s">
        <v>23</v>
      </c>
      <c r="T150" s="651"/>
      <c r="U150" s="652"/>
      <c r="V150" s="649"/>
      <c r="W150" s="650" t="s">
        <v>24</v>
      </c>
      <c r="X150" s="651"/>
      <c r="Y150" s="652"/>
      <c r="Z150" s="649"/>
      <c r="AA150" s="650" t="s">
        <v>25</v>
      </c>
      <c r="AB150" s="651"/>
      <c r="AC150" s="653"/>
    </row>
    <row r="151" spans="1:29" ht="18" customHeight="1">
      <c r="A151" s="5207" t="s">
        <v>229</v>
      </c>
      <c r="B151" s="3621" t="s">
        <v>230</v>
      </c>
      <c r="C151" s="5209"/>
      <c r="D151" s="5209"/>
      <c r="E151" s="5210"/>
      <c r="F151" s="3621" t="s">
        <v>230</v>
      </c>
      <c r="G151" s="5209"/>
      <c r="H151" s="5209"/>
      <c r="I151" s="5210"/>
      <c r="J151" s="3621" t="s">
        <v>230</v>
      </c>
      <c r="K151" s="5209"/>
      <c r="L151" s="5209"/>
      <c r="M151" s="5210"/>
      <c r="N151" s="3621" t="s">
        <v>231</v>
      </c>
      <c r="O151" s="5209"/>
      <c r="P151" s="5209"/>
      <c r="Q151" s="5210"/>
      <c r="R151" s="3621" t="s">
        <v>232</v>
      </c>
      <c r="S151" s="5209"/>
      <c r="T151" s="5209"/>
      <c r="U151" s="5210"/>
      <c r="V151" s="3621" t="s">
        <v>233</v>
      </c>
      <c r="W151" s="5211"/>
      <c r="X151" s="5211"/>
      <c r="Y151" s="5212"/>
      <c r="Z151" s="3621" t="s">
        <v>233</v>
      </c>
      <c r="AA151" s="5209"/>
      <c r="AB151" s="5209"/>
      <c r="AC151" s="5213"/>
    </row>
    <row r="152" spans="1:29" ht="18" customHeight="1">
      <c r="A152" s="5207"/>
      <c r="B152" s="3621" t="s">
        <v>220</v>
      </c>
      <c r="C152" s="5209"/>
      <c r="D152" s="5209"/>
      <c r="E152" s="5210"/>
      <c r="F152" s="3621" t="s">
        <v>220</v>
      </c>
      <c r="G152" s="5209"/>
      <c r="H152" s="5209"/>
      <c r="I152" s="5210"/>
      <c r="J152" s="3621" t="s">
        <v>220</v>
      </c>
      <c r="K152" s="5209"/>
      <c r="L152" s="5209"/>
      <c r="M152" s="5210"/>
      <c r="N152" s="3621" t="s">
        <v>220</v>
      </c>
      <c r="O152" s="5209"/>
      <c r="P152" s="5209"/>
      <c r="Q152" s="5210"/>
      <c r="R152" s="3621" t="s">
        <v>220</v>
      </c>
      <c r="S152" s="5209"/>
      <c r="T152" s="5209"/>
      <c r="U152" s="5210"/>
      <c r="V152" s="3621" t="s">
        <v>220</v>
      </c>
      <c r="W152" s="5209"/>
      <c r="X152" s="5209"/>
      <c r="Y152" s="5210"/>
      <c r="Z152" s="5209" t="s">
        <v>220</v>
      </c>
      <c r="AA152" s="5209"/>
      <c r="AB152" s="5209"/>
      <c r="AC152" s="5213"/>
    </row>
    <row r="153" spans="1:29" ht="18" customHeight="1">
      <c r="A153" s="5207" t="s">
        <v>234</v>
      </c>
      <c r="B153" s="3621" t="s">
        <v>231</v>
      </c>
      <c r="C153" s="5209"/>
      <c r="D153" s="5209"/>
      <c r="E153" s="5210"/>
      <c r="F153" s="3621" t="s">
        <v>231</v>
      </c>
      <c r="G153" s="5209"/>
      <c r="H153" s="5209"/>
      <c r="I153" s="5210"/>
      <c r="J153" s="3621" t="s">
        <v>231</v>
      </c>
      <c r="K153" s="5209"/>
      <c r="L153" s="5209"/>
      <c r="M153" s="5210"/>
      <c r="N153" s="3621" t="s">
        <v>230</v>
      </c>
      <c r="O153" s="5209"/>
      <c r="P153" s="5209"/>
      <c r="Q153" s="5210"/>
      <c r="R153" s="3621" t="s">
        <v>230</v>
      </c>
      <c r="S153" s="5209"/>
      <c r="T153" s="5209"/>
      <c r="U153" s="5210"/>
      <c r="V153" s="3621" t="s">
        <v>232</v>
      </c>
      <c r="W153" s="5211"/>
      <c r="X153" s="5211"/>
      <c r="Y153" s="5212"/>
      <c r="Z153" s="3621" t="s">
        <v>232</v>
      </c>
      <c r="AA153" s="5209"/>
      <c r="AB153" s="5209"/>
      <c r="AC153" s="5213"/>
    </row>
    <row r="154" spans="1:29" ht="18" customHeight="1">
      <c r="A154" s="5207"/>
      <c r="B154" s="3621" t="s">
        <v>220</v>
      </c>
      <c r="C154" s="5209"/>
      <c r="D154" s="5209"/>
      <c r="E154" s="5210"/>
      <c r="F154" s="3621" t="s">
        <v>220</v>
      </c>
      <c r="G154" s="5209"/>
      <c r="H154" s="5209"/>
      <c r="I154" s="5210"/>
      <c r="J154" s="3621" t="s">
        <v>220</v>
      </c>
      <c r="K154" s="5209"/>
      <c r="L154" s="5209"/>
      <c r="M154" s="5210"/>
      <c r="N154" s="3621" t="s">
        <v>220</v>
      </c>
      <c r="O154" s="5209"/>
      <c r="P154" s="5209"/>
      <c r="Q154" s="5210"/>
      <c r="R154" s="3621" t="s">
        <v>220</v>
      </c>
      <c r="S154" s="5209"/>
      <c r="T154" s="5209"/>
      <c r="U154" s="5210"/>
      <c r="V154" s="3621" t="s">
        <v>220</v>
      </c>
      <c r="W154" s="5209"/>
      <c r="X154" s="5209"/>
      <c r="Y154" s="5210"/>
      <c r="Z154" s="5209" t="s">
        <v>220</v>
      </c>
      <c r="AA154" s="5209"/>
      <c r="AB154" s="5209"/>
      <c r="AC154" s="5213"/>
    </row>
    <row r="155" spans="1:29" ht="18" customHeight="1">
      <c r="A155" s="5207" t="s">
        <v>235</v>
      </c>
      <c r="B155" s="3621" t="s">
        <v>230</v>
      </c>
      <c r="C155" s="5209"/>
      <c r="D155" s="5209"/>
      <c r="E155" s="5210"/>
      <c r="F155" s="3621" t="s">
        <v>230</v>
      </c>
      <c r="G155" s="5209"/>
      <c r="H155" s="5209"/>
      <c r="I155" s="5210"/>
      <c r="J155" s="3621" t="s">
        <v>230</v>
      </c>
      <c r="K155" s="5209"/>
      <c r="L155" s="5209"/>
      <c r="M155" s="5210"/>
      <c r="N155" s="3621" t="s">
        <v>230</v>
      </c>
      <c r="O155" s="5209"/>
      <c r="P155" s="5209"/>
      <c r="Q155" s="5210"/>
      <c r="R155" s="3621" t="s">
        <v>230</v>
      </c>
      <c r="S155" s="5209"/>
      <c r="T155" s="5209"/>
      <c r="U155" s="5210"/>
      <c r="V155" s="3621" t="s">
        <v>236</v>
      </c>
      <c r="W155" s="5215"/>
      <c r="X155" s="5215"/>
      <c r="Y155" s="3622"/>
      <c r="Z155" s="3621" t="s">
        <v>236</v>
      </c>
      <c r="AA155" s="5215"/>
      <c r="AB155" s="5215"/>
      <c r="AC155" s="5185"/>
    </row>
    <row r="156" spans="1:29" ht="18" customHeight="1" thickBot="1">
      <c r="A156" s="5216"/>
      <c r="B156" s="5233" t="s">
        <v>220</v>
      </c>
      <c r="C156" s="5234"/>
      <c r="D156" s="5234"/>
      <c r="E156" s="5235"/>
      <c r="F156" s="5233" t="s">
        <v>220</v>
      </c>
      <c r="G156" s="5234"/>
      <c r="H156" s="5234"/>
      <c r="I156" s="5235"/>
      <c r="J156" s="5233" t="s">
        <v>220</v>
      </c>
      <c r="K156" s="5234"/>
      <c r="L156" s="5234"/>
      <c r="M156" s="5235"/>
      <c r="N156" s="5233" t="s">
        <v>220</v>
      </c>
      <c r="O156" s="5234"/>
      <c r="P156" s="5234"/>
      <c r="Q156" s="5235"/>
      <c r="R156" s="5233" t="s">
        <v>220</v>
      </c>
      <c r="S156" s="5234"/>
      <c r="T156" s="5234"/>
      <c r="U156" s="5236"/>
      <c r="V156" s="5233" t="s">
        <v>220</v>
      </c>
      <c r="W156" s="5236"/>
      <c r="X156" s="5234"/>
      <c r="Y156" s="5235"/>
      <c r="Z156" s="5233" t="s">
        <v>220</v>
      </c>
      <c r="AA156" s="5236"/>
      <c r="AB156" s="5234"/>
      <c r="AC156" s="5237"/>
    </row>
    <row r="157" spans="1:29" ht="18" customHeight="1" thickBot="1">
      <c r="A157" s="100"/>
      <c r="B157" s="102"/>
      <c r="C157" s="102"/>
      <c r="D157" s="102"/>
      <c r="E157" s="102"/>
      <c r="F157" s="102"/>
      <c r="G157" s="102"/>
      <c r="H157" s="102"/>
      <c r="I157" s="102"/>
      <c r="J157" s="102"/>
      <c r="K157" s="102"/>
      <c r="L157" s="102"/>
      <c r="M157" s="102"/>
      <c r="N157" s="102"/>
      <c r="O157" s="102"/>
      <c r="P157" s="102"/>
      <c r="Q157" s="102"/>
      <c r="R157" s="102"/>
      <c r="S157" s="102"/>
      <c r="T157" s="102"/>
      <c r="U157" s="102"/>
      <c r="V157" s="102"/>
      <c r="W157" s="102"/>
      <c r="X157" s="102"/>
      <c r="Y157" s="102"/>
      <c r="Z157" s="102"/>
      <c r="AA157" s="102"/>
      <c r="AB157" s="102"/>
      <c r="AC157" s="102"/>
    </row>
    <row r="158" spans="1:29" ht="18" customHeight="1" thickBot="1">
      <c r="A158" s="647" t="s">
        <v>228</v>
      </c>
      <c r="B158" s="866">
        <v>1</v>
      </c>
      <c r="C158" s="865">
        <v>2</v>
      </c>
      <c r="D158" s="865">
        <v>3</v>
      </c>
      <c r="E158" s="865">
        <v>4</v>
      </c>
      <c r="F158" s="865">
        <v>5</v>
      </c>
      <c r="G158" s="865">
        <v>6</v>
      </c>
      <c r="H158" s="866">
        <v>7</v>
      </c>
      <c r="I158" s="866">
        <v>8</v>
      </c>
      <c r="J158" s="865">
        <v>9</v>
      </c>
      <c r="K158" s="865">
        <v>10</v>
      </c>
      <c r="L158" s="865">
        <v>11</v>
      </c>
      <c r="M158" s="865">
        <v>12</v>
      </c>
      <c r="N158" s="865">
        <v>13</v>
      </c>
      <c r="O158" s="866">
        <v>14</v>
      </c>
      <c r="P158" s="866">
        <v>15</v>
      </c>
      <c r="Q158" s="865">
        <v>16</v>
      </c>
      <c r="R158" s="865">
        <v>17</v>
      </c>
      <c r="S158" s="865">
        <v>18</v>
      </c>
      <c r="T158" s="865">
        <v>19</v>
      </c>
      <c r="U158" s="865">
        <v>20</v>
      </c>
      <c r="V158" s="866">
        <v>21</v>
      </c>
      <c r="W158" s="866">
        <v>22</v>
      </c>
      <c r="X158" s="865">
        <v>23</v>
      </c>
      <c r="Y158" s="865">
        <v>24</v>
      </c>
      <c r="Z158" s="865">
        <v>25</v>
      </c>
      <c r="AA158" s="865">
        <v>26</v>
      </c>
      <c r="AB158" s="865">
        <v>27</v>
      </c>
      <c r="AC158" s="868">
        <v>28</v>
      </c>
    </row>
    <row r="159" spans="1:29" ht="18" customHeight="1">
      <c r="A159" s="4886" t="s">
        <v>237</v>
      </c>
      <c r="B159" s="2829">
        <v>21</v>
      </c>
      <c r="C159" s="2830" t="s">
        <v>46</v>
      </c>
      <c r="D159" s="2830" t="s">
        <v>46</v>
      </c>
      <c r="E159" s="2830" t="s">
        <v>46</v>
      </c>
      <c r="F159" s="2830" t="s">
        <v>46</v>
      </c>
      <c r="G159" s="2829" t="s">
        <v>46</v>
      </c>
      <c r="H159" s="2829"/>
      <c r="I159" s="2829"/>
      <c r="J159" s="2831">
        <v>22</v>
      </c>
      <c r="K159" s="2831">
        <v>22</v>
      </c>
      <c r="L159" s="2831">
        <v>22</v>
      </c>
      <c r="M159" s="2830">
        <v>22</v>
      </c>
      <c r="N159" s="2830">
        <v>22</v>
      </c>
      <c r="O159" s="2830">
        <v>22</v>
      </c>
      <c r="P159" s="2830">
        <v>22</v>
      </c>
      <c r="Q159" s="2830" t="s">
        <v>46</v>
      </c>
      <c r="R159" s="2830" t="s">
        <v>46</v>
      </c>
      <c r="S159" s="2830" t="s">
        <v>46</v>
      </c>
      <c r="T159" s="2830" t="s">
        <v>46</v>
      </c>
      <c r="U159" s="2829" t="s">
        <v>46</v>
      </c>
      <c r="V159" s="2829"/>
      <c r="W159" s="2829"/>
      <c r="X159" s="2829">
        <v>23</v>
      </c>
      <c r="Y159" s="2829">
        <v>23</v>
      </c>
      <c r="Z159" s="2829">
        <v>23</v>
      </c>
      <c r="AA159" s="2829">
        <v>23</v>
      </c>
      <c r="AB159" s="2832">
        <v>23</v>
      </c>
      <c r="AC159" s="5238">
        <v>23</v>
      </c>
    </row>
    <row r="160" spans="1:29" ht="18" customHeight="1">
      <c r="A160" s="4886" t="s">
        <v>238</v>
      </c>
      <c r="B160" s="3525">
        <v>22</v>
      </c>
      <c r="C160" s="3525" t="s">
        <v>46</v>
      </c>
      <c r="D160" s="3521" t="s">
        <v>46</v>
      </c>
      <c r="E160" s="3544" t="s">
        <v>46</v>
      </c>
      <c r="F160" s="3544" t="s">
        <v>46</v>
      </c>
      <c r="G160" s="3544" t="s">
        <v>46</v>
      </c>
      <c r="H160" s="3544"/>
      <c r="I160" s="3544"/>
      <c r="J160" s="3554">
        <v>23</v>
      </c>
      <c r="K160" s="3554">
        <v>23</v>
      </c>
      <c r="L160" s="3554">
        <v>23</v>
      </c>
      <c r="M160" s="3550">
        <v>23</v>
      </c>
      <c r="N160" s="3550">
        <v>23</v>
      </c>
      <c r="O160" s="3550">
        <v>23</v>
      </c>
      <c r="P160" s="3550">
        <v>23</v>
      </c>
      <c r="Q160" s="3525" t="s">
        <v>46</v>
      </c>
      <c r="R160" s="3521" t="s">
        <v>46</v>
      </c>
      <c r="S160" s="3544" t="s">
        <v>46</v>
      </c>
      <c r="T160" s="3544" t="s">
        <v>46</v>
      </c>
      <c r="U160" s="3544" t="s">
        <v>46</v>
      </c>
      <c r="V160" s="3544"/>
      <c r="W160" s="3544"/>
      <c r="X160" s="3525">
        <v>21</v>
      </c>
      <c r="Y160" s="3525">
        <v>21</v>
      </c>
      <c r="Z160" s="3525">
        <v>21</v>
      </c>
      <c r="AA160" s="3525">
        <v>21</v>
      </c>
      <c r="AB160" s="3544">
        <v>21</v>
      </c>
      <c r="AC160" s="5239">
        <v>21</v>
      </c>
    </row>
    <row r="161" spans="1:29" ht="18" customHeight="1">
      <c r="A161" s="4886" t="s">
        <v>239</v>
      </c>
      <c r="B161" s="3525">
        <v>23</v>
      </c>
      <c r="C161" s="3550" t="s">
        <v>46</v>
      </c>
      <c r="D161" s="3550" t="s">
        <v>46</v>
      </c>
      <c r="E161" s="3550" t="s">
        <v>46</v>
      </c>
      <c r="F161" s="3550" t="s">
        <v>46</v>
      </c>
      <c r="G161" s="3550" t="s">
        <v>46</v>
      </c>
      <c r="H161" s="3525"/>
      <c r="I161" s="3525"/>
      <c r="J161" s="3554">
        <v>21</v>
      </c>
      <c r="K161" s="3554">
        <v>21</v>
      </c>
      <c r="L161" s="3554">
        <v>21</v>
      </c>
      <c r="M161" s="3550">
        <v>21</v>
      </c>
      <c r="N161" s="3550">
        <v>21</v>
      </c>
      <c r="O161" s="3550">
        <v>21</v>
      </c>
      <c r="P161" s="3550">
        <v>21</v>
      </c>
      <c r="Q161" s="3525" t="s">
        <v>46</v>
      </c>
      <c r="R161" s="3521" t="s">
        <v>46</v>
      </c>
      <c r="S161" s="3525" t="s">
        <v>46</v>
      </c>
      <c r="T161" s="3525" t="s">
        <v>46</v>
      </c>
      <c r="U161" s="3525" t="s">
        <v>46</v>
      </c>
      <c r="V161" s="3525"/>
      <c r="W161" s="3525"/>
      <c r="X161" s="3525">
        <v>22</v>
      </c>
      <c r="Y161" s="3525">
        <v>22</v>
      </c>
      <c r="Z161" s="3525">
        <v>22</v>
      </c>
      <c r="AA161" s="3525">
        <v>22</v>
      </c>
      <c r="AB161" s="3544">
        <v>22</v>
      </c>
      <c r="AC161" s="5239">
        <v>22</v>
      </c>
    </row>
    <row r="162" spans="1:29" ht="18" customHeight="1">
      <c r="A162" s="655" t="s">
        <v>240</v>
      </c>
      <c r="B162" s="3525"/>
      <c r="C162" s="3554">
        <v>21</v>
      </c>
      <c r="D162" s="3554">
        <v>21</v>
      </c>
      <c r="E162" s="3554">
        <v>21</v>
      </c>
      <c r="F162" s="3550">
        <v>21</v>
      </c>
      <c r="G162" s="3550">
        <v>21</v>
      </c>
      <c r="H162" s="3550">
        <v>21</v>
      </c>
      <c r="I162" s="3550">
        <v>21</v>
      </c>
      <c r="J162" s="3550" t="s">
        <v>46</v>
      </c>
      <c r="K162" s="3550" t="s">
        <v>46</v>
      </c>
      <c r="L162" s="3550" t="s">
        <v>46</v>
      </c>
      <c r="M162" s="3550" t="s">
        <v>46</v>
      </c>
      <c r="N162" s="3550" t="s">
        <v>46</v>
      </c>
      <c r="O162" s="3525"/>
      <c r="P162" s="3525"/>
      <c r="Q162" s="5198">
        <v>22</v>
      </c>
      <c r="R162" s="5198">
        <v>22</v>
      </c>
      <c r="S162" s="5198">
        <v>22</v>
      </c>
      <c r="T162" s="5198">
        <v>22</v>
      </c>
      <c r="U162" s="5198">
        <v>22</v>
      </c>
      <c r="V162" s="5198">
        <v>22</v>
      </c>
      <c r="W162" s="5198">
        <v>22</v>
      </c>
      <c r="X162" s="3550" t="s">
        <v>46</v>
      </c>
      <c r="Y162" s="3550" t="s">
        <v>46</v>
      </c>
      <c r="Z162" s="3550" t="s">
        <v>46</v>
      </c>
      <c r="AA162" s="3550" t="s">
        <v>46</v>
      </c>
      <c r="AB162" s="3525" t="s">
        <v>46</v>
      </c>
      <c r="AC162" s="5240"/>
    </row>
    <row r="163" spans="1:29" ht="18" customHeight="1">
      <c r="A163" s="5241" t="s">
        <v>242</v>
      </c>
      <c r="B163" s="3550"/>
      <c r="C163" s="5242">
        <v>22</v>
      </c>
      <c r="D163" s="5242">
        <v>22</v>
      </c>
      <c r="E163" s="5242">
        <v>22</v>
      </c>
      <c r="F163" s="5242">
        <v>22</v>
      </c>
      <c r="G163" s="5242">
        <v>22</v>
      </c>
      <c r="H163" s="5242">
        <v>22</v>
      </c>
      <c r="I163" s="5242">
        <v>22</v>
      </c>
      <c r="J163" s="3525" t="s">
        <v>46</v>
      </c>
      <c r="K163" s="3521" t="s">
        <v>46</v>
      </c>
      <c r="L163" s="3525" t="s">
        <v>46</v>
      </c>
      <c r="M163" s="3525" t="s">
        <v>46</v>
      </c>
      <c r="N163" s="3525" t="s">
        <v>46</v>
      </c>
      <c r="O163" s="3525"/>
      <c r="P163" s="3525"/>
      <c r="Q163" s="5243">
        <v>23</v>
      </c>
      <c r="R163" s="5243">
        <v>23</v>
      </c>
      <c r="S163" s="3525">
        <v>23</v>
      </c>
      <c r="T163" s="3544">
        <v>23</v>
      </c>
      <c r="U163" s="3544">
        <v>23</v>
      </c>
      <c r="V163" s="3521">
        <v>23</v>
      </c>
      <c r="W163" s="3525">
        <v>23</v>
      </c>
      <c r="X163" s="3525" t="s">
        <v>46</v>
      </c>
      <c r="Y163" s="3521" t="s">
        <v>46</v>
      </c>
      <c r="Z163" s="3544" t="s">
        <v>46</v>
      </c>
      <c r="AA163" s="3544" t="s">
        <v>46</v>
      </c>
      <c r="AB163" s="3544" t="s">
        <v>46</v>
      </c>
      <c r="AC163" s="5239"/>
    </row>
    <row r="164" spans="1:29" ht="18" customHeight="1" thickBot="1">
      <c r="A164" s="656"/>
      <c r="B164" s="5160"/>
      <c r="C164" s="5166">
        <v>23</v>
      </c>
      <c r="D164" s="5166">
        <v>23</v>
      </c>
      <c r="E164" s="5166">
        <v>23</v>
      </c>
      <c r="F164" s="5167">
        <v>23</v>
      </c>
      <c r="G164" s="5167">
        <v>23</v>
      </c>
      <c r="H164" s="5167">
        <v>23</v>
      </c>
      <c r="I164" s="5167">
        <v>23</v>
      </c>
      <c r="J164" s="5167" t="s">
        <v>46</v>
      </c>
      <c r="K164" s="5167" t="s">
        <v>46</v>
      </c>
      <c r="L164" s="5167" t="s">
        <v>46</v>
      </c>
      <c r="M164" s="5160" t="s">
        <v>46</v>
      </c>
      <c r="N164" s="5160" t="s">
        <v>46</v>
      </c>
      <c r="O164" s="5160"/>
      <c r="P164" s="5160"/>
      <c r="Q164" s="5168">
        <v>21</v>
      </c>
      <c r="R164" s="5168">
        <v>21</v>
      </c>
      <c r="S164" s="5160">
        <v>21</v>
      </c>
      <c r="T164" s="5169">
        <v>21</v>
      </c>
      <c r="U164" s="5169">
        <v>21</v>
      </c>
      <c r="V164" s="5170">
        <v>21</v>
      </c>
      <c r="W164" s="5160">
        <v>21</v>
      </c>
      <c r="X164" s="5160" t="s">
        <v>46</v>
      </c>
      <c r="Y164" s="5170" t="s">
        <v>46</v>
      </c>
      <c r="Z164" s="5160" t="s">
        <v>46</v>
      </c>
      <c r="AA164" s="5160" t="s">
        <v>46</v>
      </c>
      <c r="AB164" s="5160" t="s">
        <v>46</v>
      </c>
      <c r="AC164" s="398"/>
    </row>
    <row r="165" spans="1:29" ht="18" customHeight="1" thickBot="1">
      <c r="A165" s="115"/>
      <c r="B165" s="116"/>
      <c r="C165" s="116"/>
      <c r="D165" s="124"/>
      <c r="E165" s="116"/>
      <c r="F165" s="116"/>
      <c r="G165" s="129"/>
      <c r="H165" s="129"/>
      <c r="I165" s="129"/>
      <c r="J165" s="129"/>
      <c r="K165" s="129"/>
      <c r="L165" s="129"/>
      <c r="M165" s="113"/>
      <c r="N165" s="113"/>
      <c r="O165" s="124"/>
      <c r="P165" s="116"/>
      <c r="Q165" s="116"/>
      <c r="R165" s="124"/>
      <c r="S165" s="116"/>
      <c r="T165" s="116"/>
      <c r="U165" s="116"/>
      <c r="V165" s="116"/>
      <c r="W165" s="116"/>
      <c r="X165" s="116"/>
      <c r="Y165" s="116"/>
      <c r="Z165" s="116"/>
      <c r="AA165" s="113"/>
      <c r="AB165" s="113"/>
      <c r="AC165" s="124"/>
    </row>
    <row r="166" spans="1:29" ht="18" customHeight="1">
      <c r="A166" s="648" t="s">
        <v>609</v>
      </c>
      <c r="B166" s="657"/>
      <c r="C166" s="650" t="s">
        <v>19</v>
      </c>
      <c r="D166" s="658"/>
      <c r="E166" s="659"/>
      <c r="F166" s="657"/>
      <c r="G166" s="650" t="s">
        <v>20</v>
      </c>
      <c r="H166" s="658"/>
      <c r="I166" s="659"/>
      <c r="J166" s="657"/>
      <c r="K166" s="650" t="s">
        <v>21</v>
      </c>
      <c r="L166" s="658"/>
      <c r="M166" s="659"/>
      <c r="N166" s="657"/>
      <c r="O166" s="650" t="s">
        <v>22</v>
      </c>
      <c r="P166" s="658"/>
      <c r="Q166" s="659"/>
      <c r="R166" s="657"/>
      <c r="S166" s="650" t="s">
        <v>23</v>
      </c>
      <c r="T166" s="658"/>
      <c r="U166" s="659"/>
      <c r="V166" s="657"/>
      <c r="W166" s="650" t="s">
        <v>24</v>
      </c>
      <c r="X166" s="658"/>
      <c r="Y166" s="659"/>
      <c r="Z166" s="657"/>
      <c r="AA166" s="650" t="s">
        <v>25</v>
      </c>
      <c r="AB166" s="658"/>
      <c r="AC166" s="660"/>
    </row>
    <row r="167" spans="1:29" ht="18" customHeight="1">
      <c r="A167" s="5207" t="s">
        <v>210</v>
      </c>
      <c r="B167" s="3621" t="s">
        <v>211</v>
      </c>
      <c r="C167" s="4505"/>
      <c r="D167" s="4505"/>
      <c r="E167" s="5210"/>
      <c r="F167" s="3621" t="s">
        <v>211</v>
      </c>
      <c r="G167" s="4505"/>
      <c r="H167" s="4505"/>
      <c r="I167" s="5210"/>
      <c r="J167" s="3621" t="s">
        <v>211</v>
      </c>
      <c r="K167" s="4505"/>
      <c r="L167" s="4505"/>
      <c r="M167" s="5210"/>
      <c r="N167" s="3621" t="s">
        <v>245</v>
      </c>
      <c r="O167" s="4505"/>
      <c r="P167" s="4505"/>
      <c r="Q167" s="5210"/>
      <c r="R167" s="3621" t="s">
        <v>220</v>
      </c>
      <c r="S167" s="4505"/>
      <c r="T167" s="4505"/>
      <c r="U167" s="5210"/>
      <c r="V167" s="4381"/>
      <c r="W167" s="4382"/>
      <c r="X167" s="4382"/>
      <c r="Y167" s="5212"/>
      <c r="Z167" s="5208"/>
      <c r="AA167" s="4505"/>
      <c r="AB167" s="4505"/>
      <c r="AC167" s="5213"/>
    </row>
    <row r="168" spans="1:29" ht="18" customHeight="1">
      <c r="A168" s="5207" t="s">
        <v>212</v>
      </c>
      <c r="B168" s="3621" t="s">
        <v>246</v>
      </c>
      <c r="C168" s="4505"/>
      <c r="D168" s="4505"/>
      <c r="E168" s="5210"/>
      <c r="F168" s="3621" t="s">
        <v>246</v>
      </c>
      <c r="G168" s="4505"/>
      <c r="H168" s="4505"/>
      <c r="I168" s="5210"/>
      <c r="J168" s="3621" t="s">
        <v>246</v>
      </c>
      <c r="K168" s="4505"/>
      <c r="L168" s="4505"/>
      <c r="M168" s="5210"/>
      <c r="N168" s="3621" t="s">
        <v>246</v>
      </c>
      <c r="O168" s="4505"/>
      <c r="P168" s="4505"/>
      <c r="Q168" s="5210"/>
      <c r="R168" s="3621" t="s">
        <v>211</v>
      </c>
      <c r="S168" s="4505"/>
      <c r="T168" s="4505"/>
      <c r="U168" s="5210"/>
      <c r="V168" s="3621"/>
      <c r="W168" s="4505"/>
      <c r="X168" s="4505"/>
      <c r="Y168" s="5210"/>
      <c r="Z168" s="4505"/>
      <c r="AA168" s="4505"/>
      <c r="AB168" s="4505"/>
      <c r="AC168" s="5213"/>
    </row>
    <row r="169" spans="1:29" ht="18" customHeight="1">
      <c r="A169" s="5207" t="s">
        <v>214</v>
      </c>
      <c r="B169" s="3621" t="s">
        <v>246</v>
      </c>
      <c r="C169" s="4505"/>
      <c r="D169" s="4505"/>
      <c r="E169" s="5210"/>
      <c r="F169" s="3621" t="s">
        <v>246</v>
      </c>
      <c r="G169" s="4505"/>
      <c r="H169" s="4505"/>
      <c r="I169" s="5210"/>
      <c r="J169" s="3621" t="s">
        <v>246</v>
      </c>
      <c r="K169" s="4505"/>
      <c r="L169" s="4505"/>
      <c r="M169" s="5210"/>
      <c r="N169" s="3621" t="s">
        <v>246</v>
      </c>
      <c r="O169" s="4505"/>
      <c r="P169" s="4505"/>
      <c r="Q169" s="5210"/>
      <c r="R169" s="3621" t="s">
        <v>246</v>
      </c>
      <c r="S169" s="4505"/>
      <c r="T169" s="4505"/>
      <c r="U169" s="5210"/>
      <c r="V169" s="3623" t="s">
        <v>217</v>
      </c>
      <c r="W169" s="3470"/>
      <c r="X169" s="3470"/>
      <c r="Y169" s="3622"/>
      <c r="Z169" s="5214"/>
      <c r="AA169" s="3470"/>
      <c r="AB169" s="3470"/>
      <c r="AC169" s="5185"/>
    </row>
    <row r="170" spans="1:29" ht="18" customHeight="1" thickBot="1">
      <c r="A170" s="661" t="s">
        <v>218</v>
      </c>
      <c r="B170" s="5233"/>
      <c r="C170" s="5188"/>
      <c r="D170" s="5188"/>
      <c r="E170" s="5235"/>
      <c r="F170" s="5233"/>
      <c r="G170" s="5188"/>
      <c r="H170" s="5188"/>
      <c r="I170" s="5235"/>
      <c r="J170" s="5233"/>
      <c r="K170" s="5188"/>
      <c r="L170" s="5188"/>
      <c r="M170" s="5235"/>
      <c r="N170" s="5233"/>
      <c r="O170" s="5188"/>
      <c r="P170" s="5188"/>
      <c r="Q170" s="5235"/>
      <c r="R170" s="5233"/>
      <c r="S170" s="5188"/>
      <c r="T170" s="5188"/>
      <c r="U170" s="5236"/>
      <c r="V170" s="5233"/>
      <c r="W170" s="5236"/>
      <c r="X170" s="5188"/>
      <c r="Y170" s="5235"/>
      <c r="Z170" s="5233"/>
      <c r="AA170" s="5236"/>
      <c r="AB170" s="5188"/>
      <c r="AC170" s="5237"/>
    </row>
    <row r="171" spans="1:29" ht="18" customHeight="1" thickBot="1">
      <c r="A171" s="1"/>
      <c r="B171" s="48"/>
      <c r="C171" s="48"/>
      <c r="D171" s="48"/>
      <c r="E171" s="48"/>
      <c r="F171" s="48"/>
      <c r="G171" s="48"/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Y171" s="48"/>
      <c r="Z171" s="48"/>
      <c r="AA171" s="48"/>
      <c r="AB171" s="48"/>
      <c r="AC171" s="48"/>
    </row>
    <row r="172" spans="1:29" ht="18" customHeight="1" thickBot="1">
      <c r="A172" s="647" t="s">
        <v>609</v>
      </c>
      <c r="B172" s="866">
        <v>1</v>
      </c>
      <c r="C172" s="865">
        <v>2</v>
      </c>
      <c r="D172" s="865">
        <v>3</v>
      </c>
      <c r="E172" s="865">
        <v>4</v>
      </c>
      <c r="F172" s="865">
        <v>5</v>
      </c>
      <c r="G172" s="865">
        <v>6</v>
      </c>
      <c r="H172" s="866">
        <v>7</v>
      </c>
      <c r="I172" s="866">
        <v>8</v>
      </c>
      <c r="J172" s="865">
        <v>9</v>
      </c>
      <c r="K172" s="865">
        <v>10</v>
      </c>
      <c r="L172" s="865">
        <v>11</v>
      </c>
      <c r="M172" s="865">
        <v>12</v>
      </c>
      <c r="N172" s="865">
        <v>13</v>
      </c>
      <c r="O172" s="866">
        <v>14</v>
      </c>
      <c r="P172" s="866">
        <v>15</v>
      </c>
      <c r="Q172" s="865">
        <v>16</v>
      </c>
      <c r="R172" s="865">
        <v>17</v>
      </c>
      <c r="S172" s="865">
        <v>18</v>
      </c>
      <c r="T172" s="865">
        <v>19</v>
      </c>
      <c r="U172" s="865">
        <v>20</v>
      </c>
      <c r="V172" s="866">
        <v>21</v>
      </c>
      <c r="W172" s="866">
        <v>22</v>
      </c>
      <c r="X172" s="865">
        <v>23</v>
      </c>
      <c r="Y172" s="865">
        <v>24</v>
      </c>
      <c r="Z172" s="865">
        <v>25</v>
      </c>
      <c r="AA172" s="865">
        <v>26</v>
      </c>
      <c r="AB172" s="865">
        <v>27</v>
      </c>
      <c r="AC172" s="868">
        <v>28</v>
      </c>
    </row>
    <row r="173" spans="1:29" ht="18" customHeight="1">
      <c r="A173" s="4668" t="s">
        <v>247</v>
      </c>
      <c r="B173" s="3089"/>
      <c r="C173" s="3089" t="s">
        <v>40</v>
      </c>
      <c r="D173" s="3089" t="s">
        <v>40</v>
      </c>
      <c r="E173" s="3089" t="s">
        <v>40</v>
      </c>
      <c r="F173" s="3089" t="s">
        <v>40</v>
      </c>
      <c r="G173" s="3089" t="s">
        <v>40</v>
      </c>
      <c r="H173" s="3089"/>
      <c r="I173" s="3089"/>
      <c r="J173" s="3089" t="s">
        <v>40</v>
      </c>
      <c r="K173" s="2848" t="s">
        <v>40</v>
      </c>
      <c r="L173" s="3089" t="s">
        <v>40</v>
      </c>
      <c r="M173" s="3089" t="s">
        <v>40</v>
      </c>
      <c r="N173" s="3089" t="s">
        <v>40</v>
      </c>
      <c r="O173" s="3089" t="s">
        <v>248</v>
      </c>
      <c r="P173" s="3089"/>
      <c r="Q173" s="3089" t="s">
        <v>40</v>
      </c>
      <c r="R173" s="3089" t="s">
        <v>40</v>
      </c>
      <c r="S173" s="3089" t="s">
        <v>40</v>
      </c>
      <c r="T173" s="3089" t="s">
        <v>40</v>
      </c>
      <c r="U173" s="3089" t="s">
        <v>40</v>
      </c>
      <c r="V173" s="2848"/>
      <c r="W173" s="3089"/>
      <c r="X173" s="3089" t="s">
        <v>40</v>
      </c>
      <c r="Y173" s="3089" t="s">
        <v>40</v>
      </c>
      <c r="Z173" s="3089" t="s">
        <v>40</v>
      </c>
      <c r="AA173" s="3089" t="s">
        <v>40</v>
      </c>
      <c r="AB173" s="3089" t="s">
        <v>40</v>
      </c>
      <c r="AC173" s="5178"/>
    </row>
    <row r="174" spans="1:29" ht="18" customHeight="1">
      <c r="A174" s="5244" t="s">
        <v>249</v>
      </c>
      <c r="B174" s="3432"/>
      <c r="C174" s="3432" t="s">
        <v>248</v>
      </c>
      <c r="D174" s="3432" t="s">
        <v>248</v>
      </c>
      <c r="E174" s="3432" t="s">
        <v>248</v>
      </c>
      <c r="F174" s="3432" t="s">
        <v>248</v>
      </c>
      <c r="G174" s="3432" t="s">
        <v>248</v>
      </c>
      <c r="H174" s="3432" t="s">
        <v>248</v>
      </c>
      <c r="I174" s="3432"/>
      <c r="J174" s="3432" t="s">
        <v>251</v>
      </c>
      <c r="K174" s="3432" t="s">
        <v>251</v>
      </c>
      <c r="L174" s="3432" t="s">
        <v>251</v>
      </c>
      <c r="M174" s="3432" t="s">
        <v>251</v>
      </c>
      <c r="N174" s="3432" t="s">
        <v>46</v>
      </c>
      <c r="O174" s="3432"/>
      <c r="P174" s="3432"/>
      <c r="Q174" s="3432" t="s">
        <v>250</v>
      </c>
      <c r="R174" s="3432" t="s">
        <v>250</v>
      </c>
      <c r="S174" s="3432" t="s">
        <v>250</v>
      </c>
      <c r="T174" s="3432" t="s">
        <v>250</v>
      </c>
      <c r="U174" s="3432" t="s">
        <v>250</v>
      </c>
      <c r="V174" s="3432"/>
      <c r="W174" s="3432"/>
      <c r="X174" s="3432" t="s">
        <v>248</v>
      </c>
      <c r="Y174" s="3432" t="s">
        <v>248</v>
      </c>
      <c r="Z174" s="3432" t="s">
        <v>248</v>
      </c>
      <c r="AA174" s="3432" t="s">
        <v>248</v>
      </c>
      <c r="AB174" s="5245" t="s">
        <v>248</v>
      </c>
      <c r="AC174" s="5139" t="s">
        <v>248</v>
      </c>
    </row>
    <row r="175" spans="1:29" ht="18" customHeight="1">
      <c r="A175" s="5246" t="s">
        <v>512</v>
      </c>
      <c r="B175" s="3432"/>
      <c r="C175" s="3432" t="s">
        <v>251</v>
      </c>
      <c r="D175" s="3432" t="s">
        <v>251</v>
      </c>
      <c r="E175" s="3432" t="s">
        <v>251</v>
      </c>
      <c r="F175" s="3432" t="s">
        <v>251</v>
      </c>
      <c r="G175" s="3432" t="s">
        <v>46</v>
      </c>
      <c r="H175" s="3418"/>
      <c r="I175" s="3418"/>
      <c r="J175" s="3432" t="s">
        <v>250</v>
      </c>
      <c r="K175" s="3432" t="s">
        <v>250</v>
      </c>
      <c r="L175" s="3432" t="s">
        <v>250</v>
      </c>
      <c r="M175" s="3432" t="s">
        <v>250</v>
      </c>
      <c r="N175" s="3432" t="s">
        <v>250</v>
      </c>
      <c r="O175" s="3418"/>
      <c r="P175" s="3432"/>
      <c r="Q175" s="3432" t="s">
        <v>248</v>
      </c>
      <c r="R175" s="3418" t="s">
        <v>248</v>
      </c>
      <c r="S175" s="3418" t="s">
        <v>248</v>
      </c>
      <c r="T175" s="3432" t="s">
        <v>248</v>
      </c>
      <c r="U175" s="3432" t="s">
        <v>248</v>
      </c>
      <c r="V175" s="3432" t="s">
        <v>248</v>
      </c>
      <c r="W175" s="3432"/>
      <c r="X175" s="3432" t="s">
        <v>251</v>
      </c>
      <c r="Y175" s="3432" t="s">
        <v>251</v>
      </c>
      <c r="Z175" s="3432" t="s">
        <v>251</v>
      </c>
      <c r="AA175" s="3432" t="s">
        <v>251</v>
      </c>
      <c r="AB175" s="3432" t="s">
        <v>46</v>
      </c>
      <c r="AC175" s="5227"/>
    </row>
    <row r="176" spans="1:29" ht="18" customHeight="1" thickBot="1">
      <c r="A176" s="5247" t="s">
        <v>253</v>
      </c>
      <c r="B176" s="5182"/>
      <c r="C176" s="5182"/>
      <c r="D176" s="5182"/>
      <c r="E176" s="5182"/>
      <c r="F176" s="5182"/>
      <c r="G176" s="5182"/>
      <c r="H176" s="5181"/>
      <c r="I176" s="5182"/>
      <c r="J176" s="5182"/>
      <c r="K176" s="5182"/>
      <c r="L176" s="5182"/>
      <c r="M176" s="5182"/>
      <c r="N176" s="5182"/>
      <c r="O176" s="5182"/>
      <c r="P176" s="5182"/>
      <c r="Q176" s="5182"/>
      <c r="R176" s="5182"/>
      <c r="S176" s="5182"/>
      <c r="T176" s="5182"/>
      <c r="U176" s="5182"/>
      <c r="V176" s="5182"/>
      <c r="W176" s="5182"/>
      <c r="X176" s="5182"/>
      <c r="Y176" s="5182"/>
      <c r="Z176" s="5182"/>
      <c r="AA176" s="5182"/>
      <c r="AB176" s="5182"/>
      <c r="AC176" s="5248"/>
    </row>
    <row r="177" spans="1:30" ht="18" customHeight="1">
      <c r="A177" s="115"/>
      <c r="B177" s="116"/>
      <c r="C177" s="116"/>
      <c r="D177" s="116"/>
      <c r="E177" s="116"/>
      <c r="F177" s="116"/>
      <c r="G177" s="116"/>
      <c r="H177" s="116"/>
      <c r="I177" s="116"/>
      <c r="J177" s="116"/>
      <c r="K177" s="116"/>
      <c r="L177" s="116"/>
      <c r="M177" s="116"/>
      <c r="N177" s="116"/>
      <c r="O177" s="116"/>
      <c r="P177" s="116"/>
      <c r="Q177" s="116"/>
      <c r="R177" s="116"/>
      <c r="S177" s="116"/>
      <c r="T177" s="116"/>
      <c r="U177" s="116"/>
      <c r="V177" s="116"/>
      <c r="W177" s="116"/>
      <c r="X177" s="116"/>
      <c r="Y177" s="116"/>
      <c r="Z177" s="116"/>
      <c r="AA177" s="116"/>
      <c r="AB177" s="116"/>
      <c r="AC177" s="116"/>
    </row>
    <row r="178" spans="1:30" ht="18" customHeight="1">
      <c r="A178" s="1334"/>
      <c r="B178" s="120"/>
      <c r="C178" s="499"/>
      <c r="D178" s="111"/>
      <c r="E178" s="111"/>
      <c r="F178" s="111"/>
      <c r="G178" s="499"/>
      <c r="H178" s="111"/>
      <c r="I178" s="111"/>
      <c r="J178" s="111"/>
      <c r="K178" s="499"/>
      <c r="L178" s="111"/>
      <c r="M178" s="111"/>
      <c r="N178" s="111"/>
      <c r="O178" s="499"/>
      <c r="P178" s="111"/>
      <c r="Q178" s="111"/>
      <c r="R178" s="111"/>
      <c r="S178" s="499"/>
      <c r="T178" s="111"/>
      <c r="U178" s="111"/>
      <c r="V178" s="111"/>
      <c r="W178" s="499"/>
      <c r="X178" s="111"/>
      <c r="Y178" s="111"/>
      <c r="Z178" s="111"/>
      <c r="AA178" s="499"/>
      <c r="AB178" s="111"/>
      <c r="AC178" s="111"/>
      <c r="AD178" s="111"/>
    </row>
    <row r="179" spans="1:30" ht="18" customHeight="1">
      <c r="A179" s="648" t="s">
        <v>637</v>
      </c>
      <c r="B179" s="1242"/>
      <c r="C179" s="1243" t="s">
        <v>19</v>
      </c>
      <c r="D179" s="1244"/>
      <c r="E179" s="1055"/>
      <c r="F179" s="1245"/>
      <c r="G179" s="1243" t="s">
        <v>20</v>
      </c>
      <c r="H179" s="1244"/>
      <c r="I179" s="1055"/>
      <c r="J179" s="1245"/>
      <c r="K179" s="1243" t="s">
        <v>21</v>
      </c>
      <c r="L179" s="1244"/>
      <c r="M179" s="1055"/>
      <c r="N179" s="1245"/>
      <c r="O179" s="1243" t="s">
        <v>22</v>
      </c>
      <c r="P179" s="1244"/>
      <c r="Q179" s="1055"/>
      <c r="R179" s="1245"/>
      <c r="S179" s="1243" t="s">
        <v>23</v>
      </c>
      <c r="T179" s="1244"/>
      <c r="U179" s="1246"/>
      <c r="V179" s="120"/>
      <c r="W179" s="111"/>
      <c r="X179" s="111"/>
      <c r="Y179" s="111"/>
      <c r="Z179" s="120"/>
      <c r="AA179" s="111"/>
      <c r="AB179" s="111"/>
      <c r="AC179" s="111"/>
      <c r="AD179" s="111"/>
    </row>
    <row r="180" spans="1:30" ht="18" customHeight="1">
      <c r="A180" s="5123" t="s">
        <v>638</v>
      </c>
      <c r="B180" s="5249" t="s">
        <v>515</v>
      </c>
      <c r="C180" s="5250" t="s">
        <v>639</v>
      </c>
      <c r="D180" s="5250"/>
      <c r="E180" s="5251"/>
      <c r="F180" s="5252" t="s">
        <v>640</v>
      </c>
      <c r="G180" s="5250"/>
      <c r="H180" s="5250"/>
      <c r="I180" s="5251"/>
      <c r="J180" s="5252" t="s">
        <v>639</v>
      </c>
      <c r="K180" s="5250"/>
      <c r="L180" s="5250"/>
      <c r="M180" s="5251"/>
      <c r="N180" s="5252" t="s">
        <v>641</v>
      </c>
      <c r="O180" s="5250"/>
      <c r="P180" s="5250"/>
      <c r="Q180" s="5251"/>
      <c r="R180" s="5252" t="s">
        <v>642</v>
      </c>
      <c r="S180" s="5250"/>
      <c r="T180" s="5250"/>
      <c r="U180" s="5253"/>
      <c r="V180" s="120"/>
      <c r="W180" s="111"/>
      <c r="X180" s="111"/>
      <c r="Y180" s="111"/>
      <c r="Z180" s="120"/>
      <c r="AA180" s="111"/>
      <c r="AB180" s="111"/>
      <c r="AC180" s="111"/>
      <c r="AD180" s="111"/>
    </row>
    <row r="181" spans="1:30" ht="18" customHeight="1">
      <c r="A181" s="5123" t="s">
        <v>643</v>
      </c>
      <c r="B181" s="5249" t="s">
        <v>152</v>
      </c>
      <c r="C181" s="5250" t="s">
        <v>644</v>
      </c>
      <c r="D181" s="5250"/>
      <c r="E181" s="5251"/>
      <c r="F181" s="5252" t="s">
        <v>644</v>
      </c>
      <c r="G181" s="5250"/>
      <c r="H181" s="5250"/>
      <c r="I181" s="5251"/>
      <c r="J181" s="5252" t="s">
        <v>644</v>
      </c>
      <c r="K181" s="5250"/>
      <c r="L181" s="5250"/>
      <c r="M181" s="5251"/>
      <c r="N181" s="5252" t="s">
        <v>645</v>
      </c>
      <c r="O181" s="5250"/>
      <c r="P181" s="5250"/>
      <c r="Q181" s="5251"/>
      <c r="R181" s="5252" t="s">
        <v>646</v>
      </c>
      <c r="S181" s="5250"/>
      <c r="T181" s="5250"/>
      <c r="U181" s="5253"/>
      <c r="V181" s="120"/>
      <c r="W181" s="111"/>
      <c r="X181" s="111"/>
      <c r="Y181" s="111"/>
      <c r="Z181" s="120"/>
      <c r="AA181" s="111"/>
      <c r="AB181" s="111"/>
      <c r="AC181" s="111"/>
      <c r="AD181" s="111"/>
    </row>
    <row r="182" spans="1:30" ht="18" customHeight="1">
      <c r="A182" s="5123" t="s">
        <v>647</v>
      </c>
      <c r="B182" s="5249" t="s">
        <v>130</v>
      </c>
      <c r="C182" s="5250" t="s">
        <v>644</v>
      </c>
      <c r="D182" s="5250"/>
      <c r="E182" s="5251"/>
      <c r="F182" s="5252" t="s">
        <v>644</v>
      </c>
      <c r="G182" s="5250"/>
      <c r="H182" s="5250"/>
      <c r="I182" s="5251"/>
      <c r="J182" s="5252" t="s">
        <v>648</v>
      </c>
      <c r="K182" s="5250"/>
      <c r="L182" s="5250"/>
      <c r="M182" s="5251"/>
      <c r="N182" s="5252" t="s">
        <v>649</v>
      </c>
      <c r="O182" s="5250"/>
      <c r="P182" s="5250"/>
      <c r="Q182" s="5251"/>
      <c r="R182" s="5252" t="s">
        <v>650</v>
      </c>
      <c r="S182" s="5250"/>
      <c r="T182" s="5250"/>
      <c r="U182" s="5253"/>
      <c r="V182" s="120"/>
      <c r="W182" s="111"/>
      <c r="X182" s="111"/>
      <c r="Y182" s="111"/>
      <c r="Z182" s="120"/>
      <c r="AA182" s="111"/>
      <c r="AB182" s="111"/>
      <c r="AC182" s="111"/>
      <c r="AD182" s="111"/>
    </row>
    <row r="183" spans="1:30" ht="18" customHeight="1">
      <c r="A183" s="5123" t="s">
        <v>651</v>
      </c>
      <c r="B183" s="5249" t="s">
        <v>153</v>
      </c>
      <c r="C183" s="5250" t="s">
        <v>652</v>
      </c>
      <c r="D183" s="5250"/>
      <c r="E183" s="5251"/>
      <c r="F183" s="5252" t="s">
        <v>652</v>
      </c>
      <c r="G183" s="5250"/>
      <c r="H183" s="5250"/>
      <c r="I183" s="5251"/>
      <c r="J183" s="5252" t="s">
        <v>652</v>
      </c>
      <c r="K183" s="5250"/>
      <c r="L183" s="5250"/>
      <c r="M183" s="5251"/>
      <c r="N183" s="5252" t="s">
        <v>653</v>
      </c>
      <c r="O183" s="5250"/>
      <c r="P183" s="5250"/>
      <c r="Q183" s="5251"/>
      <c r="R183" s="5252" t="s">
        <v>650</v>
      </c>
      <c r="S183" s="5250"/>
      <c r="T183" s="5250"/>
      <c r="U183" s="5253"/>
      <c r="V183" s="120"/>
      <c r="W183" s="111"/>
      <c r="X183" s="111"/>
      <c r="Y183" s="111"/>
      <c r="Z183" s="120"/>
      <c r="AA183" s="111"/>
      <c r="AB183" s="111"/>
      <c r="AC183" s="111"/>
      <c r="AD183" s="111"/>
    </row>
    <row r="184" spans="1:30" ht="18" customHeight="1">
      <c r="A184" s="5254" t="s">
        <v>654</v>
      </c>
      <c r="B184" s="5249" t="s">
        <v>128</v>
      </c>
      <c r="C184" s="5250" t="s">
        <v>655</v>
      </c>
      <c r="D184" s="5250"/>
      <c r="E184" s="5251"/>
      <c r="F184" s="5252" t="s">
        <v>655</v>
      </c>
      <c r="G184" s="5250"/>
      <c r="H184" s="5250"/>
      <c r="I184" s="5251"/>
      <c r="J184" s="5252" t="s">
        <v>655</v>
      </c>
      <c r="K184" s="5250"/>
      <c r="L184" s="5250"/>
      <c r="M184" s="5251"/>
      <c r="N184" s="5252" t="s">
        <v>656</v>
      </c>
      <c r="O184" s="5250"/>
      <c r="P184" s="5250"/>
      <c r="Q184" s="5251"/>
      <c r="R184" s="5252" t="s">
        <v>650</v>
      </c>
      <c r="S184" s="5250"/>
      <c r="T184" s="5250"/>
      <c r="U184" s="5253"/>
      <c r="V184" s="111"/>
      <c r="W184" s="111"/>
      <c r="X184" s="111"/>
      <c r="Y184" s="111"/>
      <c r="Z184" s="120"/>
      <c r="AA184" s="111"/>
      <c r="AB184" s="111"/>
      <c r="AC184" s="111"/>
      <c r="AD184" s="111"/>
    </row>
    <row r="185" spans="1:30" ht="18" customHeight="1">
      <c r="A185" s="5123" t="s">
        <v>657</v>
      </c>
      <c r="B185" s="5249" t="s">
        <v>127</v>
      </c>
      <c r="C185" s="5250" t="s">
        <v>658</v>
      </c>
      <c r="D185" s="5250"/>
      <c r="E185" s="5251"/>
      <c r="F185" s="5252" t="s">
        <v>639</v>
      </c>
      <c r="G185" s="5250"/>
      <c r="H185" s="5250"/>
      <c r="I185" s="5251"/>
      <c r="J185" s="5252" t="s">
        <v>639</v>
      </c>
      <c r="K185" s="5250"/>
      <c r="L185" s="5250"/>
      <c r="M185" s="5251"/>
      <c r="N185" s="5252" t="s">
        <v>659</v>
      </c>
      <c r="O185" s="5250"/>
      <c r="P185" s="5250"/>
      <c r="Q185" s="5251"/>
      <c r="R185" s="5252" t="s">
        <v>650</v>
      </c>
      <c r="S185" s="5250"/>
      <c r="T185" s="5250"/>
      <c r="U185" s="5253"/>
      <c r="V185" s="111"/>
      <c r="W185" s="111"/>
      <c r="X185" s="111"/>
      <c r="Y185" s="111"/>
      <c r="Z185" s="120"/>
      <c r="AA185" s="111"/>
      <c r="AB185" s="111"/>
      <c r="AC185" s="111"/>
      <c r="AD185" s="111"/>
    </row>
    <row r="186" spans="1:30" ht="18" customHeight="1">
      <c r="A186" s="420" t="s">
        <v>660</v>
      </c>
      <c r="B186" s="5058" t="s">
        <v>123</v>
      </c>
      <c r="C186" s="5059" t="s">
        <v>661</v>
      </c>
      <c r="D186" s="5059"/>
      <c r="E186" s="5060"/>
      <c r="F186" s="5061" t="s">
        <v>661</v>
      </c>
      <c r="G186" s="5059"/>
      <c r="H186" s="5059"/>
      <c r="I186" s="5060"/>
      <c r="J186" s="5061" t="s">
        <v>661</v>
      </c>
      <c r="K186" s="5059"/>
      <c r="L186" s="5059"/>
      <c r="M186" s="5060"/>
      <c r="N186" s="5061" t="s">
        <v>662</v>
      </c>
      <c r="O186" s="5059"/>
      <c r="P186" s="5059"/>
      <c r="Q186" s="5060"/>
      <c r="R186" s="5061" t="s">
        <v>663</v>
      </c>
      <c r="S186" s="5059"/>
      <c r="T186" s="5059"/>
      <c r="U186" s="5062"/>
      <c r="V186" s="120"/>
      <c r="W186" s="120"/>
      <c r="X186" s="111"/>
      <c r="Y186" s="111"/>
      <c r="Z186" s="111"/>
      <c r="AA186" s="111"/>
      <c r="AB186" s="111"/>
      <c r="AC186" s="111"/>
      <c r="AD186" s="111"/>
    </row>
    <row r="187" spans="1:30" ht="18" customHeight="1">
      <c r="B187" s="1184"/>
      <c r="C187" s="1049"/>
      <c r="D187" s="1049"/>
      <c r="E187" s="1184"/>
      <c r="F187" s="1049"/>
      <c r="G187" s="1049"/>
      <c r="H187" s="1184"/>
      <c r="I187" s="1184"/>
      <c r="J187" s="1049"/>
      <c r="K187" s="1184"/>
      <c r="L187" s="1049"/>
      <c r="M187" s="1049"/>
      <c r="N187" s="1184"/>
      <c r="O187" s="1049"/>
      <c r="P187" s="1184"/>
      <c r="Q187" s="1184"/>
      <c r="R187" s="1049"/>
      <c r="S187" s="1049"/>
      <c r="T187" s="1184"/>
      <c r="U187" s="1049"/>
      <c r="V187" s="111"/>
      <c r="W187" s="499"/>
      <c r="X187" s="111"/>
      <c r="Y187" s="111"/>
      <c r="Z187" s="111"/>
      <c r="AA187" s="499"/>
      <c r="AB187" s="111"/>
      <c r="AC187" s="111"/>
      <c r="AD187" s="111"/>
    </row>
    <row r="188" spans="1:30" ht="18" customHeight="1">
      <c r="A188" s="648" t="s">
        <v>664</v>
      </c>
      <c r="B188" s="1250"/>
      <c r="C188" s="1243" t="s">
        <v>19</v>
      </c>
      <c r="D188" s="1244"/>
      <c r="E188" s="1055"/>
      <c r="F188" s="1245"/>
      <c r="G188" s="1243" t="s">
        <v>20</v>
      </c>
      <c r="H188" s="1244"/>
      <c r="I188" s="1055"/>
      <c r="J188" s="1245"/>
      <c r="K188" s="1243" t="s">
        <v>21</v>
      </c>
      <c r="L188" s="1244"/>
      <c r="M188" s="1055"/>
      <c r="N188" s="1245"/>
      <c r="O188" s="1243" t="s">
        <v>22</v>
      </c>
      <c r="P188" s="1244"/>
      <c r="Q188" s="1055"/>
      <c r="R188" s="1245"/>
      <c r="S188" s="1243" t="s">
        <v>23</v>
      </c>
      <c r="T188" s="1244"/>
      <c r="U188" s="1246"/>
      <c r="V188" s="111"/>
      <c r="W188" s="499"/>
      <c r="X188" s="111"/>
      <c r="Y188" s="111"/>
      <c r="Z188" s="111"/>
      <c r="AA188" s="499"/>
      <c r="AB188" s="111"/>
      <c r="AC188" s="111"/>
      <c r="AD188" s="111"/>
    </row>
    <row r="189" spans="1:30" ht="18" customHeight="1">
      <c r="A189" s="5123" t="s">
        <v>665</v>
      </c>
      <c r="B189" s="5249" t="s">
        <v>515</v>
      </c>
      <c r="C189" s="5255" t="s">
        <v>639</v>
      </c>
      <c r="D189" s="5255"/>
      <c r="E189" s="5256"/>
      <c r="F189" s="5252" t="s">
        <v>639</v>
      </c>
      <c r="G189" s="5250"/>
      <c r="H189" s="5250"/>
      <c r="I189" s="5251"/>
      <c r="J189" s="5252" t="s">
        <v>639</v>
      </c>
      <c r="K189" s="5250"/>
      <c r="L189" s="5250"/>
      <c r="M189" s="5251"/>
      <c r="N189" s="5252" t="s">
        <v>641</v>
      </c>
      <c r="O189" s="5250"/>
      <c r="P189" s="5250"/>
      <c r="Q189" s="5251"/>
      <c r="R189" s="5252" t="s">
        <v>642</v>
      </c>
      <c r="S189" s="5250"/>
      <c r="T189" s="5250"/>
      <c r="U189" s="5253"/>
      <c r="V189" s="120"/>
      <c r="W189" s="111"/>
      <c r="X189" s="111"/>
      <c r="Y189" s="111"/>
      <c r="Z189" s="120"/>
      <c r="AA189" s="111"/>
      <c r="AB189" s="111"/>
      <c r="AC189" s="111"/>
      <c r="AD189" s="111"/>
    </row>
    <row r="190" spans="1:30" ht="18" customHeight="1">
      <c r="A190" s="5123" t="s">
        <v>666</v>
      </c>
      <c r="B190" s="5249" t="s">
        <v>152</v>
      </c>
      <c r="C190" s="5255" t="s">
        <v>667</v>
      </c>
      <c r="D190" s="5255"/>
      <c r="E190" s="5256"/>
      <c r="F190" s="5252" t="s">
        <v>667</v>
      </c>
      <c r="G190" s="5250"/>
      <c r="H190" s="5250"/>
      <c r="I190" s="5251"/>
      <c r="J190" s="5252" t="s">
        <v>667</v>
      </c>
      <c r="K190" s="5250"/>
      <c r="L190" s="5250"/>
      <c r="M190" s="5251"/>
      <c r="N190" s="5252" t="s">
        <v>668</v>
      </c>
      <c r="O190" s="5250"/>
      <c r="P190" s="5250"/>
      <c r="Q190" s="5251"/>
      <c r="R190" s="5252" t="s">
        <v>669</v>
      </c>
      <c r="S190" s="5250"/>
      <c r="T190" s="5250"/>
      <c r="U190" s="5253"/>
      <c r="V190" s="120"/>
      <c r="W190" s="111"/>
      <c r="X190" s="111"/>
      <c r="Y190" s="111"/>
      <c r="Z190" s="120"/>
      <c r="AA190" s="111"/>
      <c r="AB190" s="111"/>
      <c r="AC190" s="111"/>
      <c r="AD190" s="111"/>
    </row>
    <row r="191" spans="1:30" ht="18" customHeight="1">
      <c r="A191" s="5123" t="s">
        <v>261</v>
      </c>
      <c r="B191" s="5249" t="s">
        <v>130</v>
      </c>
      <c r="C191" s="5255" t="s">
        <v>667</v>
      </c>
      <c r="D191" s="5255"/>
      <c r="E191" s="5256"/>
      <c r="F191" s="5252" t="s">
        <v>667</v>
      </c>
      <c r="G191" s="5250"/>
      <c r="H191" s="5250"/>
      <c r="I191" s="5251"/>
      <c r="J191" s="5252" t="s">
        <v>648</v>
      </c>
      <c r="K191" s="5250"/>
      <c r="L191" s="5250"/>
      <c r="M191" s="5251"/>
      <c r="N191" s="5252" t="s">
        <v>670</v>
      </c>
      <c r="O191" s="5250"/>
      <c r="P191" s="5250"/>
      <c r="Q191" s="5251"/>
      <c r="R191" s="5252" t="s">
        <v>650</v>
      </c>
      <c r="S191" s="5250"/>
      <c r="T191" s="5250"/>
      <c r="U191" s="5253"/>
      <c r="V191" s="120"/>
      <c r="W191" s="111"/>
      <c r="X191" s="111"/>
      <c r="Y191" s="111"/>
      <c r="Z191" s="120"/>
      <c r="AA191" s="111"/>
      <c r="AB191" s="111"/>
      <c r="AC191" s="111"/>
      <c r="AD191" s="111"/>
    </row>
    <row r="192" spans="1:30" ht="18" customHeight="1">
      <c r="A192" s="5123" t="s">
        <v>265</v>
      </c>
      <c r="B192" s="5249" t="s">
        <v>153</v>
      </c>
      <c r="C192" s="5257" t="s">
        <v>667</v>
      </c>
      <c r="D192" s="5258"/>
      <c r="E192" s="5259"/>
      <c r="F192" s="5252" t="s">
        <v>667</v>
      </c>
      <c r="G192" s="5250"/>
      <c r="H192" s="5250"/>
      <c r="I192" s="5251"/>
      <c r="J192" s="5252" t="s">
        <v>667</v>
      </c>
      <c r="K192" s="5250"/>
      <c r="L192" s="5250"/>
      <c r="M192" s="5251"/>
      <c r="N192" s="5252" t="s">
        <v>671</v>
      </c>
      <c r="O192" s="5250"/>
      <c r="P192" s="5250"/>
      <c r="Q192" s="5251"/>
      <c r="R192" s="5252" t="s">
        <v>650</v>
      </c>
      <c r="S192" s="5250"/>
      <c r="T192" s="5250"/>
      <c r="U192" s="5253"/>
      <c r="V192" s="120"/>
      <c r="W192" s="111"/>
      <c r="X192" s="111"/>
      <c r="Y192" s="111"/>
      <c r="Z192" s="120"/>
      <c r="AA192" s="111"/>
      <c r="AB192" s="111"/>
      <c r="AC192" s="111"/>
      <c r="AD192" s="111"/>
    </row>
    <row r="193" spans="1:30" ht="18" customHeight="1">
      <c r="A193" s="5254" t="s">
        <v>272</v>
      </c>
      <c r="B193" s="5249" t="s">
        <v>128</v>
      </c>
      <c r="C193" s="5257" t="s">
        <v>667</v>
      </c>
      <c r="D193" s="5258"/>
      <c r="E193" s="5259"/>
      <c r="F193" s="5252" t="s">
        <v>667</v>
      </c>
      <c r="G193" s="5250"/>
      <c r="H193" s="5250"/>
      <c r="I193" s="5251"/>
      <c r="J193" s="5252" t="s">
        <v>667</v>
      </c>
      <c r="K193" s="5250"/>
      <c r="L193" s="5250"/>
      <c r="M193" s="5251"/>
      <c r="N193" s="5252" t="s">
        <v>671</v>
      </c>
      <c r="O193" s="5250"/>
      <c r="P193" s="5250"/>
      <c r="Q193" s="5251"/>
      <c r="R193" s="5252" t="s">
        <v>650</v>
      </c>
      <c r="S193" s="5250"/>
      <c r="T193" s="5250"/>
      <c r="U193" s="5253"/>
      <c r="V193" s="120"/>
      <c r="W193" s="111"/>
      <c r="X193" s="111"/>
      <c r="Y193" s="111"/>
      <c r="Z193" s="120"/>
      <c r="AA193" s="111"/>
      <c r="AB193" s="111"/>
      <c r="AC193" s="111"/>
      <c r="AD193" s="111"/>
    </row>
    <row r="194" spans="1:30" ht="18" customHeight="1">
      <c r="A194" s="5123" t="s">
        <v>275</v>
      </c>
      <c r="B194" s="5249" t="s">
        <v>127</v>
      </c>
      <c r="C194" s="5257" t="s">
        <v>667</v>
      </c>
      <c r="D194" s="5258"/>
      <c r="E194" s="5259"/>
      <c r="F194" s="5252" t="s">
        <v>667</v>
      </c>
      <c r="G194" s="5250"/>
      <c r="H194" s="5250"/>
      <c r="I194" s="5251"/>
      <c r="J194" s="5252" t="s">
        <v>667</v>
      </c>
      <c r="K194" s="5250"/>
      <c r="L194" s="5250"/>
      <c r="M194" s="5251"/>
      <c r="N194" s="5252" t="s">
        <v>668</v>
      </c>
      <c r="O194" s="5250"/>
      <c r="P194" s="5250"/>
      <c r="Q194" s="5251"/>
      <c r="R194" s="5252" t="s">
        <v>669</v>
      </c>
      <c r="S194" s="5250"/>
      <c r="T194" s="5250"/>
      <c r="U194" s="5253"/>
      <c r="V194" s="111"/>
      <c r="W194" s="111"/>
      <c r="X194" s="111"/>
      <c r="Y194" s="111"/>
      <c r="Z194" s="120"/>
      <c r="AA194" s="111"/>
      <c r="AB194" s="111"/>
      <c r="AC194" s="111"/>
      <c r="AD194" s="111"/>
    </row>
    <row r="195" spans="1:30" ht="18" customHeight="1">
      <c r="A195" s="420" t="s">
        <v>280</v>
      </c>
      <c r="B195" s="5058" t="s">
        <v>123</v>
      </c>
      <c r="C195" s="5068" t="s">
        <v>661</v>
      </c>
      <c r="D195" s="5069"/>
      <c r="E195" s="5070"/>
      <c r="F195" s="5061" t="s">
        <v>661</v>
      </c>
      <c r="G195" s="5059"/>
      <c r="H195" s="5059"/>
      <c r="I195" s="5060"/>
      <c r="J195" s="5061" t="s">
        <v>661</v>
      </c>
      <c r="K195" s="5059"/>
      <c r="L195" s="5059"/>
      <c r="M195" s="5060"/>
      <c r="N195" s="5061" t="s">
        <v>662</v>
      </c>
      <c r="O195" s="5059"/>
      <c r="P195" s="5059"/>
      <c r="Q195" s="5060"/>
      <c r="R195" s="5061" t="s">
        <v>663</v>
      </c>
      <c r="S195" s="5059"/>
      <c r="T195" s="5059"/>
      <c r="U195" s="5062"/>
      <c r="V195" s="111"/>
      <c r="W195" s="111"/>
      <c r="X195" s="111"/>
      <c r="Y195" s="111"/>
      <c r="Z195" s="120"/>
      <c r="AA195" s="111"/>
      <c r="AB195" s="111"/>
      <c r="AC195" s="111"/>
      <c r="AD195" s="111"/>
    </row>
    <row r="196" spans="1:30" ht="18" customHeight="1">
      <c r="A196" s="119"/>
      <c r="B196" s="120"/>
      <c r="C196" s="121"/>
      <c r="D196" s="122"/>
      <c r="E196" s="122"/>
      <c r="F196" s="123"/>
      <c r="G196" s="121"/>
      <c r="H196" s="122"/>
      <c r="I196" s="122"/>
      <c r="J196" s="123"/>
      <c r="K196" s="121"/>
      <c r="L196" s="122"/>
      <c r="M196" s="122"/>
      <c r="N196" s="123"/>
      <c r="O196" s="115"/>
      <c r="P196" s="122"/>
      <c r="Q196" s="122"/>
      <c r="R196" s="123"/>
      <c r="S196" s="115"/>
      <c r="T196" s="122"/>
      <c r="U196" s="122"/>
      <c r="V196" s="122"/>
      <c r="W196" s="122"/>
      <c r="X196" s="122"/>
      <c r="Y196" s="122"/>
      <c r="Z196" s="123"/>
      <c r="AA196" s="122"/>
      <c r="AB196" s="122"/>
      <c r="AC196" s="122"/>
    </row>
    <row r="197" spans="1:30" ht="18" customHeight="1" thickBot="1">
      <c r="A197" s="887" t="s">
        <v>613</v>
      </c>
      <c r="B197" s="866">
        <v>1</v>
      </c>
      <c r="C197" s="865">
        <v>2</v>
      </c>
      <c r="D197" s="865">
        <v>3</v>
      </c>
      <c r="E197" s="865">
        <v>4</v>
      </c>
      <c r="F197" s="865">
        <v>5</v>
      </c>
      <c r="G197" s="865">
        <v>6</v>
      </c>
      <c r="H197" s="866">
        <v>7</v>
      </c>
      <c r="I197" s="866">
        <v>8</v>
      </c>
      <c r="J197" s="865">
        <v>9</v>
      </c>
      <c r="K197" s="865">
        <v>10</v>
      </c>
      <c r="L197" s="865">
        <v>11</v>
      </c>
      <c r="M197" s="865">
        <v>12</v>
      </c>
      <c r="N197" s="865">
        <v>13</v>
      </c>
      <c r="O197" s="866">
        <v>14</v>
      </c>
      <c r="P197" s="866">
        <v>15</v>
      </c>
      <c r="Q197" s="865">
        <v>16</v>
      </c>
      <c r="R197" s="865">
        <v>17</v>
      </c>
      <c r="S197" s="865">
        <v>18</v>
      </c>
      <c r="T197" s="865">
        <v>19</v>
      </c>
      <c r="U197" s="865">
        <v>20</v>
      </c>
      <c r="V197" s="866">
        <v>21</v>
      </c>
      <c r="W197" s="866">
        <v>22</v>
      </c>
      <c r="X197" s="865">
        <v>23</v>
      </c>
      <c r="Y197" s="865">
        <v>24</v>
      </c>
      <c r="Z197" s="865">
        <v>25</v>
      </c>
      <c r="AA197" s="865">
        <v>26</v>
      </c>
      <c r="AB197" s="865">
        <v>27</v>
      </c>
      <c r="AC197" s="868">
        <v>28</v>
      </c>
    </row>
    <row r="198" spans="1:30" ht="18" customHeight="1">
      <c r="A198" s="68" t="s">
        <v>672</v>
      </c>
      <c r="B198" s="3521"/>
      <c r="C198" s="5260" t="s">
        <v>257</v>
      </c>
      <c r="D198" s="5260" t="s">
        <v>257</v>
      </c>
      <c r="E198" s="5260" t="s">
        <v>257</v>
      </c>
      <c r="F198" s="5260" t="s">
        <v>257</v>
      </c>
      <c r="G198" s="5260" t="s">
        <v>257</v>
      </c>
      <c r="J198" s="5260" t="s">
        <v>257</v>
      </c>
      <c r="K198" s="5260" t="s">
        <v>257</v>
      </c>
      <c r="L198" s="5260" t="s">
        <v>257</v>
      </c>
      <c r="M198" s="5260" t="s">
        <v>257</v>
      </c>
      <c r="N198" s="5260" t="s">
        <v>257</v>
      </c>
      <c r="Q198" s="5260" t="s">
        <v>257</v>
      </c>
      <c r="R198" s="5260" t="s">
        <v>257</v>
      </c>
      <c r="S198" s="5260" t="s">
        <v>257</v>
      </c>
      <c r="T198" s="5260" t="s">
        <v>257</v>
      </c>
      <c r="U198" s="5260" t="s">
        <v>257</v>
      </c>
      <c r="X198" s="5260" t="s">
        <v>257</v>
      </c>
      <c r="Y198" s="5260" t="s">
        <v>257</v>
      </c>
      <c r="Z198" s="5260" t="s">
        <v>257</v>
      </c>
      <c r="AA198" s="5260" t="s">
        <v>257</v>
      </c>
      <c r="AB198" s="5260" t="s">
        <v>257</v>
      </c>
      <c r="AC198" s="5199"/>
    </row>
    <row r="199" spans="1:30" ht="18" customHeight="1">
      <c r="A199" s="5075" t="s">
        <v>293</v>
      </c>
      <c r="B199" s="3521"/>
      <c r="C199" s="3521" t="s">
        <v>152</v>
      </c>
      <c r="D199" s="3521" t="s">
        <v>152</v>
      </c>
      <c r="E199" s="3521" t="s">
        <v>152</v>
      </c>
      <c r="F199" s="3521" t="s">
        <v>152</v>
      </c>
      <c r="G199" s="3521" t="s">
        <v>152</v>
      </c>
      <c r="H199" s="3521"/>
      <c r="I199" s="3521"/>
      <c r="J199" s="3521" t="s">
        <v>152</v>
      </c>
      <c r="K199" s="3521" t="s">
        <v>152</v>
      </c>
      <c r="L199" s="3521" t="s">
        <v>152</v>
      </c>
      <c r="M199" s="3521" t="s">
        <v>152</v>
      </c>
      <c r="N199" s="3521" t="s">
        <v>152</v>
      </c>
      <c r="O199" s="3521"/>
      <c r="P199" s="3521"/>
      <c r="Q199" s="3521" t="s">
        <v>152</v>
      </c>
      <c r="R199" s="3521" t="s">
        <v>152</v>
      </c>
      <c r="S199" s="3521" t="s">
        <v>152</v>
      </c>
      <c r="T199" s="3521" t="s">
        <v>152</v>
      </c>
      <c r="U199" s="3521" t="s">
        <v>152</v>
      </c>
      <c r="V199" s="3521"/>
      <c r="W199" s="3521"/>
      <c r="X199" s="3521" t="s">
        <v>152</v>
      </c>
      <c r="Y199" s="3521" t="s">
        <v>152</v>
      </c>
      <c r="Z199" s="3521" t="s">
        <v>152</v>
      </c>
      <c r="AA199" s="3521" t="s">
        <v>152</v>
      </c>
      <c r="AB199" s="3521" t="s">
        <v>152</v>
      </c>
      <c r="AC199" s="5199"/>
    </row>
    <row r="200" spans="1:30" ht="18" customHeight="1">
      <c r="A200" s="5075" t="s">
        <v>683</v>
      </c>
      <c r="B200" s="3554"/>
      <c r="C200" s="3554" t="s">
        <v>130</v>
      </c>
      <c r="D200" s="3554" t="s">
        <v>130</v>
      </c>
      <c r="E200" s="3554" t="s">
        <v>130</v>
      </c>
      <c r="F200" s="3554" t="s">
        <v>130</v>
      </c>
      <c r="G200" s="3554" t="s">
        <v>130</v>
      </c>
      <c r="H200" s="3547"/>
      <c r="I200" s="3547"/>
      <c r="J200" s="5198" t="s">
        <v>130</v>
      </c>
      <c r="K200" s="5198" t="s">
        <v>130</v>
      </c>
      <c r="L200" s="5198" t="s">
        <v>130</v>
      </c>
      <c r="M200" s="5198" t="s">
        <v>130</v>
      </c>
      <c r="N200" s="5198" t="s">
        <v>130</v>
      </c>
      <c r="O200" s="5198"/>
      <c r="P200" s="5198"/>
      <c r="Q200" s="3554" t="s">
        <v>130</v>
      </c>
      <c r="R200" s="3554" t="s">
        <v>130</v>
      </c>
      <c r="S200" s="3554" t="s">
        <v>130</v>
      </c>
      <c r="T200" s="3554" t="s">
        <v>130</v>
      </c>
      <c r="U200" s="3554" t="s">
        <v>130</v>
      </c>
      <c r="V200" s="3554"/>
      <c r="W200" s="3554"/>
      <c r="X200" s="3554" t="s">
        <v>130</v>
      </c>
      <c r="Y200" s="3554" t="s">
        <v>130</v>
      </c>
      <c r="Z200" s="3554" t="s">
        <v>130</v>
      </c>
      <c r="AA200" s="3554" t="s">
        <v>130</v>
      </c>
      <c r="AB200" s="3554" t="s">
        <v>130</v>
      </c>
      <c r="AC200" s="5261"/>
    </row>
    <row r="201" spans="1:30" ht="18" customHeight="1">
      <c r="A201" s="5082" t="s">
        <v>295</v>
      </c>
      <c r="B201" s="3521"/>
      <c r="C201" s="3521" t="s">
        <v>153</v>
      </c>
      <c r="D201" s="3521" t="s">
        <v>153</v>
      </c>
      <c r="E201" s="3521" t="s">
        <v>153</v>
      </c>
      <c r="F201" s="3521" t="s">
        <v>153</v>
      </c>
      <c r="G201" s="3521" t="s">
        <v>153</v>
      </c>
      <c r="H201" s="3521"/>
      <c r="I201" s="3521"/>
      <c r="J201" s="3521" t="s">
        <v>153</v>
      </c>
      <c r="K201" s="3521" t="s">
        <v>153</v>
      </c>
      <c r="L201" s="3521" t="s">
        <v>153</v>
      </c>
      <c r="M201" s="3521" t="s">
        <v>153</v>
      </c>
      <c r="N201" s="3521" t="s">
        <v>153</v>
      </c>
      <c r="O201" s="3521"/>
      <c r="P201" s="3521"/>
      <c r="Q201" s="3521" t="s">
        <v>153</v>
      </c>
      <c r="R201" s="3521" t="s">
        <v>153</v>
      </c>
      <c r="S201" s="3521" t="s">
        <v>153</v>
      </c>
      <c r="T201" s="3521" t="s">
        <v>153</v>
      </c>
      <c r="U201" s="3521" t="s">
        <v>153</v>
      </c>
      <c r="V201" s="3521"/>
      <c r="W201" s="3521"/>
      <c r="X201" s="3521" t="s">
        <v>153</v>
      </c>
      <c r="Y201" s="3521" t="s">
        <v>153</v>
      </c>
      <c r="Z201" s="3521" t="s">
        <v>153</v>
      </c>
      <c r="AA201" s="3521" t="s">
        <v>153</v>
      </c>
      <c r="AB201" s="3521" t="s">
        <v>153</v>
      </c>
      <c r="AC201" s="5199"/>
    </row>
    <row r="202" spans="1:30" ht="18" customHeight="1">
      <c r="A202" s="5083" t="s">
        <v>553</v>
      </c>
      <c r="B202" s="3521"/>
      <c r="C202" s="3521" t="s">
        <v>128</v>
      </c>
      <c r="D202" s="3521" t="s">
        <v>128</v>
      </c>
      <c r="E202" s="3521" t="s">
        <v>128</v>
      </c>
      <c r="F202" s="3521" t="s">
        <v>128</v>
      </c>
      <c r="G202" s="3521" t="s">
        <v>128</v>
      </c>
      <c r="H202" s="3521"/>
      <c r="I202" s="3521"/>
      <c r="J202" s="3521" t="s">
        <v>128</v>
      </c>
      <c r="K202" s="3521" t="s">
        <v>128</v>
      </c>
      <c r="L202" s="3521" t="s">
        <v>128</v>
      </c>
      <c r="M202" s="3521" t="s">
        <v>128</v>
      </c>
      <c r="N202" s="3521" t="s">
        <v>128</v>
      </c>
      <c r="O202" s="3521"/>
      <c r="P202" s="3521"/>
      <c r="Q202" s="3521" t="s">
        <v>128</v>
      </c>
      <c r="R202" s="3521" t="s">
        <v>128</v>
      </c>
      <c r="S202" s="3521" t="s">
        <v>128</v>
      </c>
      <c r="T202" s="3521" t="s">
        <v>128</v>
      </c>
      <c r="U202" s="3521" t="s">
        <v>128</v>
      </c>
      <c r="V202" s="3521"/>
      <c r="W202" s="3521"/>
      <c r="X202" s="3521" t="s">
        <v>128</v>
      </c>
      <c r="Y202" s="3521" t="s">
        <v>128</v>
      </c>
      <c r="Z202" s="3521" t="s">
        <v>128</v>
      </c>
      <c r="AA202" s="3521" t="s">
        <v>128</v>
      </c>
      <c r="AB202" s="3521" t="s">
        <v>128</v>
      </c>
      <c r="AC202" s="5199"/>
    </row>
    <row r="203" spans="1:30" ht="18" customHeight="1">
      <c r="A203" s="5084" t="s">
        <v>298</v>
      </c>
      <c r="B203" s="3521"/>
      <c r="C203" s="3521" t="s">
        <v>127</v>
      </c>
      <c r="D203" s="3521" t="s">
        <v>127</v>
      </c>
      <c r="E203" s="3521" t="s">
        <v>127</v>
      </c>
      <c r="F203" s="3521" t="s">
        <v>127</v>
      </c>
      <c r="G203" s="3521" t="s">
        <v>127</v>
      </c>
      <c r="H203" s="3521"/>
      <c r="I203" s="3521"/>
      <c r="J203" s="3521" t="s">
        <v>127</v>
      </c>
      <c r="K203" s="3521" t="s">
        <v>127</v>
      </c>
      <c r="L203" s="3521" t="s">
        <v>127</v>
      </c>
      <c r="M203" s="3521" t="s">
        <v>127</v>
      </c>
      <c r="N203" s="3521" t="s">
        <v>127</v>
      </c>
      <c r="O203" s="3521"/>
      <c r="P203" s="3521"/>
      <c r="Q203" s="3521" t="s">
        <v>127</v>
      </c>
      <c r="R203" s="3521" t="s">
        <v>127</v>
      </c>
      <c r="S203" s="3521" t="s">
        <v>127</v>
      </c>
      <c r="T203" s="3521" t="s">
        <v>127</v>
      </c>
      <c r="U203" s="3521" t="s">
        <v>127</v>
      </c>
      <c r="V203" s="3521"/>
      <c r="W203" s="3521"/>
      <c r="X203" s="3521" t="s">
        <v>127</v>
      </c>
      <c r="Y203" s="3521" t="s">
        <v>127</v>
      </c>
      <c r="Z203" s="3521" t="s">
        <v>127</v>
      </c>
      <c r="AA203" s="3521" t="s">
        <v>127</v>
      </c>
      <c r="AB203" s="3521" t="s">
        <v>127</v>
      </c>
      <c r="AC203" s="5199"/>
    </row>
    <row r="204" spans="1:30" ht="18" customHeight="1">
      <c r="A204" s="4886" t="s">
        <v>577</v>
      </c>
      <c r="B204" s="3521"/>
      <c r="C204" s="3521" t="s">
        <v>403</v>
      </c>
      <c r="D204" s="3521" t="s">
        <v>403</v>
      </c>
      <c r="E204" s="3521" t="s">
        <v>403</v>
      </c>
      <c r="F204" s="3521" t="s">
        <v>403</v>
      </c>
      <c r="G204" s="3521" t="s">
        <v>403</v>
      </c>
      <c r="H204" s="3521"/>
      <c r="I204" s="3521"/>
      <c r="J204" s="3521" t="s">
        <v>403</v>
      </c>
      <c r="K204" s="3521" t="s">
        <v>403</v>
      </c>
      <c r="L204" s="3521" t="s">
        <v>403</v>
      </c>
      <c r="M204" s="3521" t="s">
        <v>403</v>
      </c>
      <c r="N204" s="3521" t="s">
        <v>403</v>
      </c>
      <c r="O204" s="3521"/>
      <c r="P204" s="3521"/>
      <c r="Q204" s="3521" t="s">
        <v>403</v>
      </c>
      <c r="R204" s="3521" t="s">
        <v>403</v>
      </c>
      <c r="S204" s="3521" t="s">
        <v>403</v>
      </c>
      <c r="T204" s="3521" t="s">
        <v>403</v>
      </c>
      <c r="U204" s="3521" t="s">
        <v>403</v>
      </c>
      <c r="V204" s="3521"/>
      <c r="W204" s="3521"/>
      <c r="X204" s="3521" t="s">
        <v>403</v>
      </c>
      <c r="Y204" s="3521" t="s">
        <v>403</v>
      </c>
      <c r="Z204" s="3521" t="s">
        <v>403</v>
      </c>
      <c r="AA204" s="3521" t="s">
        <v>403</v>
      </c>
      <c r="AB204" s="3521" t="s">
        <v>403</v>
      </c>
      <c r="AC204" s="5199"/>
    </row>
    <row r="205" spans="1:30" ht="18" customHeight="1">
      <c r="A205" s="4897" t="s">
        <v>299</v>
      </c>
      <c r="B205" s="5198"/>
      <c r="C205" s="3521" t="s">
        <v>123</v>
      </c>
      <c r="D205" s="3521" t="s">
        <v>123</v>
      </c>
      <c r="E205" s="3521" t="s">
        <v>123</v>
      </c>
      <c r="F205" s="3521" t="s">
        <v>123</v>
      </c>
      <c r="G205" s="3521" t="s">
        <v>123</v>
      </c>
      <c r="H205" s="3521"/>
      <c r="I205" s="3521"/>
      <c r="J205" s="3521" t="s">
        <v>123</v>
      </c>
      <c r="K205" s="3521" t="s">
        <v>123</v>
      </c>
      <c r="L205" s="3521" t="s">
        <v>123</v>
      </c>
      <c r="M205" s="3521" t="s">
        <v>123</v>
      </c>
      <c r="N205" s="3521" t="s">
        <v>123</v>
      </c>
      <c r="O205" s="3521"/>
      <c r="P205" s="3521"/>
      <c r="Q205" s="3521" t="s">
        <v>123</v>
      </c>
      <c r="R205" s="3521" t="s">
        <v>123</v>
      </c>
      <c r="S205" s="3521" t="s">
        <v>123</v>
      </c>
      <c r="T205" s="3521" t="s">
        <v>123</v>
      </c>
      <c r="U205" s="3521" t="s">
        <v>123</v>
      </c>
      <c r="V205" s="3521"/>
      <c r="W205" s="3521"/>
      <c r="X205" s="3521" t="s">
        <v>123</v>
      </c>
      <c r="Y205" s="3521" t="s">
        <v>123</v>
      </c>
      <c r="Z205" s="3521" t="s">
        <v>123</v>
      </c>
      <c r="AA205" s="3521" t="s">
        <v>123</v>
      </c>
      <c r="AB205" s="3521" t="s">
        <v>123</v>
      </c>
      <c r="AC205" s="5199"/>
    </row>
    <row r="206" spans="1:30" ht="18" customHeight="1" thickBot="1">
      <c r="A206" s="432" t="s">
        <v>672</v>
      </c>
      <c r="B206" s="5262"/>
      <c r="C206" s="5262" t="s">
        <v>257</v>
      </c>
      <c r="D206" s="5262" t="s">
        <v>257</v>
      </c>
      <c r="E206" s="5170" t="s">
        <v>257</v>
      </c>
      <c r="F206" s="5170" t="s">
        <v>257</v>
      </c>
      <c r="G206" s="5170" t="s">
        <v>257</v>
      </c>
      <c r="H206" s="5170"/>
      <c r="I206" s="5170"/>
      <c r="J206" s="5170" t="s">
        <v>257</v>
      </c>
      <c r="K206" s="5170" t="s">
        <v>257</v>
      </c>
      <c r="L206" s="5170" t="s">
        <v>257</v>
      </c>
      <c r="M206" s="5170" t="s">
        <v>257</v>
      </c>
      <c r="N206" s="5170" t="s">
        <v>257</v>
      </c>
      <c r="O206" s="5170"/>
      <c r="P206" s="5170"/>
      <c r="Q206" s="5170" t="s">
        <v>257</v>
      </c>
      <c r="R206" s="5170" t="s">
        <v>257</v>
      </c>
      <c r="S206" s="5170" t="s">
        <v>257</v>
      </c>
      <c r="T206" s="5170" t="s">
        <v>257</v>
      </c>
      <c r="U206" s="5170" t="s">
        <v>257</v>
      </c>
      <c r="V206" s="5170"/>
      <c r="W206" s="5170"/>
      <c r="X206" s="5170" t="s">
        <v>257</v>
      </c>
      <c r="Y206" s="5170" t="s">
        <v>257</v>
      </c>
      <c r="Z206" s="5170" t="s">
        <v>257</v>
      </c>
      <c r="AA206" s="5170" t="s">
        <v>257</v>
      </c>
      <c r="AB206" s="5170" t="s">
        <v>257</v>
      </c>
      <c r="AC206" s="943"/>
    </row>
    <row r="207" spans="1:30" ht="18" customHeight="1" thickBot="1">
      <c r="A207" s="125"/>
      <c r="B207" s="124"/>
      <c r="C207" s="124"/>
      <c r="D207" s="124"/>
      <c r="E207" s="124"/>
      <c r="F207" s="124"/>
      <c r="G207" s="124"/>
      <c r="H207" s="124"/>
      <c r="I207" s="124"/>
      <c r="J207" s="124"/>
      <c r="K207" s="124"/>
      <c r="L207" s="124"/>
      <c r="M207" s="124"/>
      <c r="N207" s="124"/>
      <c r="O207" s="124"/>
      <c r="P207" s="124"/>
      <c r="Q207" s="124"/>
      <c r="R207" s="124"/>
      <c r="S207" s="124"/>
      <c r="T207" s="124"/>
      <c r="U207" s="124"/>
      <c r="V207" s="124"/>
      <c r="W207" s="124"/>
      <c r="X207" s="124"/>
      <c r="Y207" s="124"/>
      <c r="Z207" s="124"/>
      <c r="AA207" s="124"/>
      <c r="AB207" s="124"/>
      <c r="AC207" s="124"/>
    </row>
    <row r="208" spans="1:30" ht="18" customHeight="1">
      <c r="A208" s="2908" t="s">
        <v>615</v>
      </c>
      <c r="B208" s="2765"/>
      <c r="C208" s="2788" t="s">
        <v>19</v>
      </c>
      <c r="D208" s="3064"/>
      <c r="E208" s="2769"/>
      <c r="F208" s="2765"/>
      <c r="G208" s="2788" t="s">
        <v>20</v>
      </c>
      <c r="H208" s="3064"/>
      <c r="I208" s="2769"/>
      <c r="J208" s="2765"/>
      <c r="K208" s="2788" t="s">
        <v>21</v>
      </c>
      <c r="L208" s="3064"/>
      <c r="M208" s="2769"/>
      <c r="N208" s="2765"/>
      <c r="O208" s="2788" t="s">
        <v>22</v>
      </c>
      <c r="P208" s="3064"/>
      <c r="Q208" s="2769"/>
      <c r="R208" s="2765"/>
      <c r="S208" s="2788" t="s">
        <v>23</v>
      </c>
      <c r="T208" s="3064"/>
      <c r="U208" s="2769"/>
      <c r="V208" s="2765"/>
      <c r="W208" s="2788" t="s">
        <v>24</v>
      </c>
      <c r="X208" s="3064"/>
      <c r="Y208" s="2769"/>
      <c r="Z208" s="2765"/>
      <c r="AA208" s="2788" t="s">
        <v>25</v>
      </c>
      <c r="AB208" s="3064"/>
      <c r="AC208" s="3064"/>
    </row>
    <row r="209" spans="1:29" ht="18" customHeight="1">
      <c r="A209" s="4433" t="s">
        <v>210</v>
      </c>
      <c r="B209" s="543" t="s">
        <v>332</v>
      </c>
      <c r="C209" s="539"/>
      <c r="D209" s="544"/>
      <c r="E209" s="545"/>
      <c r="F209" s="543" t="s">
        <v>332</v>
      </c>
      <c r="G209" s="539"/>
      <c r="H209" s="544"/>
      <c r="I209" s="545"/>
      <c r="J209" s="543" t="s">
        <v>332</v>
      </c>
      <c r="K209" s="539"/>
      <c r="L209" s="544"/>
      <c r="M209" s="545"/>
      <c r="N209" s="543" t="s">
        <v>332</v>
      </c>
      <c r="O209" s="546"/>
      <c r="P209" s="544"/>
      <c r="Q209" s="545"/>
      <c r="R209" s="547" t="s">
        <v>333</v>
      </c>
      <c r="S209" s="539"/>
      <c r="T209" s="544"/>
      <c r="U209" s="545"/>
      <c r="V209" s="541"/>
      <c r="W209" s="539"/>
      <c r="X209" s="531"/>
      <c r="Y209" s="540"/>
      <c r="Z209" s="541"/>
      <c r="AA209" s="539"/>
      <c r="AB209" s="531"/>
      <c r="AC209" s="531"/>
    </row>
    <row r="210" spans="1:29" ht="18" customHeight="1">
      <c r="A210" s="4433" t="s">
        <v>212</v>
      </c>
      <c r="B210" s="543" t="s">
        <v>334</v>
      </c>
      <c r="C210" s="539"/>
      <c r="D210" s="544"/>
      <c r="E210" s="545"/>
      <c r="F210" s="543" t="s">
        <v>334</v>
      </c>
      <c r="G210" s="539"/>
      <c r="H210" s="544"/>
      <c r="I210" s="545"/>
      <c r="J210" s="543" t="s">
        <v>334</v>
      </c>
      <c r="K210" s="539"/>
      <c r="L210" s="544"/>
      <c r="M210" s="545"/>
      <c r="N210" s="543" t="s">
        <v>334</v>
      </c>
      <c r="O210" s="539"/>
      <c r="P210" s="544"/>
      <c r="Q210" s="545"/>
      <c r="R210" s="543" t="s">
        <v>335</v>
      </c>
      <c r="S210" s="539"/>
      <c r="T210" s="544"/>
      <c r="U210" s="545"/>
      <c r="V210" s="541"/>
      <c r="W210" s="539"/>
      <c r="X210" s="531"/>
      <c r="Y210" s="540"/>
      <c r="Z210" s="541"/>
      <c r="AA210" s="539"/>
      <c r="AB210" s="531"/>
      <c r="AC210" s="531"/>
    </row>
    <row r="211" spans="1:29" ht="18" customHeight="1" thickBot="1">
      <c r="A211" s="4434" t="s">
        <v>336</v>
      </c>
      <c r="B211" s="4381" t="s">
        <v>334</v>
      </c>
      <c r="C211" s="4435"/>
      <c r="D211" s="544"/>
      <c r="E211" s="545"/>
      <c r="F211" s="4381" t="s">
        <v>334</v>
      </c>
      <c r="G211" s="4435"/>
      <c r="H211" s="544"/>
      <c r="I211" s="545"/>
      <c r="J211" s="4381" t="s">
        <v>334</v>
      </c>
      <c r="K211" s="4435"/>
      <c r="L211" s="544"/>
      <c r="M211" s="545"/>
      <c r="N211" s="4381" t="s">
        <v>334</v>
      </c>
      <c r="O211" s="4435"/>
      <c r="P211" s="544"/>
      <c r="Q211" s="545"/>
      <c r="R211" s="4381" t="s">
        <v>335</v>
      </c>
      <c r="S211" s="539"/>
      <c r="T211" s="544"/>
      <c r="U211" s="545"/>
      <c r="V211" s="541"/>
      <c r="W211" s="539"/>
      <c r="X211" s="531"/>
      <c r="Y211" s="540"/>
      <c r="Z211" s="541"/>
      <c r="AA211" s="539"/>
      <c r="AB211" s="531"/>
      <c r="AC211" s="531"/>
    </row>
    <row r="212" spans="1:29" ht="18" customHeight="1" thickBot="1">
      <c r="A212" s="37"/>
      <c r="B212" s="42"/>
      <c r="C212" s="5"/>
      <c r="F212" s="42"/>
      <c r="G212" s="5"/>
      <c r="J212" s="42"/>
      <c r="K212" s="5"/>
      <c r="N212" s="42"/>
      <c r="O212" s="5"/>
      <c r="R212" s="42"/>
      <c r="S212" s="42"/>
      <c r="W212" s="42"/>
      <c r="AA212" s="42"/>
    </row>
    <row r="213" spans="1:29" ht="18" customHeight="1" thickBot="1">
      <c r="A213" s="5263" t="s">
        <v>615</v>
      </c>
      <c r="B213" s="2986">
        <v>1</v>
      </c>
      <c r="C213" s="2985">
        <v>2</v>
      </c>
      <c r="D213" s="2985">
        <v>3</v>
      </c>
      <c r="E213" s="2985">
        <v>4</v>
      </c>
      <c r="F213" s="2985">
        <v>5</v>
      </c>
      <c r="G213" s="2985">
        <v>6</v>
      </c>
      <c r="H213" s="2986">
        <v>7</v>
      </c>
      <c r="I213" s="2986">
        <v>8</v>
      </c>
      <c r="J213" s="2985">
        <v>9</v>
      </c>
      <c r="K213" s="2985">
        <v>10</v>
      </c>
      <c r="L213" s="2985">
        <v>11</v>
      </c>
      <c r="M213" s="2985">
        <v>12</v>
      </c>
      <c r="N213" s="2985">
        <v>13</v>
      </c>
      <c r="O213" s="2986">
        <v>14</v>
      </c>
      <c r="P213" s="2986">
        <v>15</v>
      </c>
      <c r="Q213" s="2985">
        <v>16</v>
      </c>
      <c r="R213" s="2985">
        <v>17</v>
      </c>
      <c r="S213" s="2985">
        <v>18</v>
      </c>
      <c r="T213" s="2985">
        <v>19</v>
      </c>
      <c r="U213" s="2985">
        <v>20</v>
      </c>
      <c r="V213" s="2986">
        <v>21</v>
      </c>
      <c r="W213" s="2986">
        <v>22</v>
      </c>
      <c r="X213" s="2985">
        <v>23</v>
      </c>
      <c r="Y213" s="2985">
        <v>24</v>
      </c>
      <c r="Z213" s="2985">
        <v>25</v>
      </c>
      <c r="AA213" s="2985">
        <v>26</v>
      </c>
      <c r="AB213" s="2985">
        <v>27</v>
      </c>
      <c r="AC213" s="2986">
        <v>28</v>
      </c>
    </row>
    <row r="214" spans="1:29" ht="18" customHeight="1">
      <c r="A214" s="2913" t="s">
        <v>338</v>
      </c>
      <c r="B214" s="3503"/>
      <c r="C214" s="3503" t="s">
        <v>40</v>
      </c>
      <c r="D214" s="3503" t="s">
        <v>40</v>
      </c>
      <c r="E214" s="3503" t="s">
        <v>40</v>
      </c>
      <c r="F214" s="3503" t="s">
        <v>40</v>
      </c>
      <c r="G214" s="3503" t="s">
        <v>40</v>
      </c>
      <c r="H214" s="3503"/>
      <c r="I214" s="3418"/>
      <c r="J214" s="3418" t="s">
        <v>40</v>
      </c>
      <c r="K214" s="3503" t="s">
        <v>40</v>
      </c>
      <c r="L214" s="3503" t="s">
        <v>40</v>
      </c>
      <c r="M214" s="3503" t="s">
        <v>40</v>
      </c>
      <c r="N214" s="3503" t="s">
        <v>40</v>
      </c>
      <c r="O214" s="3503"/>
      <c r="P214" s="3503"/>
      <c r="Q214" s="3503" t="s">
        <v>40</v>
      </c>
      <c r="R214" s="3432" t="s">
        <v>40</v>
      </c>
      <c r="S214" s="3432" t="s">
        <v>40</v>
      </c>
      <c r="T214" s="3418" t="s">
        <v>40</v>
      </c>
      <c r="U214" s="3418" t="s">
        <v>40</v>
      </c>
      <c r="V214" s="3503"/>
      <c r="W214" s="3503"/>
      <c r="X214" s="3503" t="s">
        <v>40</v>
      </c>
      <c r="Y214" s="3503" t="s">
        <v>40</v>
      </c>
      <c r="Z214" s="3503" t="s">
        <v>40</v>
      </c>
      <c r="AA214" s="3503" t="s">
        <v>40</v>
      </c>
      <c r="AB214" s="3503" t="s">
        <v>40</v>
      </c>
      <c r="AC214" s="3503"/>
    </row>
    <row r="215" spans="1:29" ht="18" customHeight="1">
      <c r="A215" s="4439" t="s">
        <v>339</v>
      </c>
      <c r="B215" s="4440"/>
      <c r="C215" s="4440"/>
      <c r="D215" s="4440"/>
      <c r="E215" s="4440"/>
      <c r="F215" s="4440"/>
      <c r="G215" s="4440"/>
      <c r="H215" s="4440"/>
      <c r="I215" s="4440"/>
      <c r="J215" s="4440"/>
      <c r="K215" s="4440"/>
      <c r="L215" s="4440"/>
      <c r="M215" s="4440"/>
      <c r="N215" s="4440"/>
      <c r="O215" s="4440"/>
      <c r="P215" s="4440"/>
      <c r="Q215" s="4440"/>
      <c r="R215" s="4440"/>
      <c r="S215" s="4440"/>
      <c r="T215" s="4440"/>
      <c r="U215" s="4440"/>
      <c r="V215" s="4440"/>
      <c r="W215" s="4440"/>
      <c r="X215" s="4440"/>
      <c r="Y215" s="4440"/>
      <c r="Z215" s="4440"/>
      <c r="AA215" s="4440"/>
      <c r="AB215" s="4440"/>
      <c r="AC215" s="4440"/>
    </row>
    <row r="216" spans="1:29" ht="18" customHeight="1">
      <c r="A216" s="3417" t="s">
        <v>340</v>
      </c>
      <c r="B216" s="3503"/>
      <c r="C216" s="3503" t="s">
        <v>341</v>
      </c>
      <c r="D216" s="3503" t="s">
        <v>341</v>
      </c>
      <c r="E216" s="3503" t="s">
        <v>341</v>
      </c>
      <c r="F216" s="3418" t="s">
        <v>341</v>
      </c>
      <c r="G216" s="3418" t="s">
        <v>341</v>
      </c>
      <c r="H216" s="3503"/>
      <c r="I216" s="3503"/>
      <c r="J216" s="3503" t="s">
        <v>341</v>
      </c>
      <c r="K216" s="3503" t="s">
        <v>341</v>
      </c>
      <c r="L216" s="3503" t="s">
        <v>341</v>
      </c>
      <c r="M216" s="3418" t="s">
        <v>341</v>
      </c>
      <c r="N216" s="3418" t="s">
        <v>341</v>
      </c>
      <c r="O216" s="3503"/>
      <c r="P216" s="3503"/>
      <c r="Q216" s="3503" t="s">
        <v>341</v>
      </c>
      <c r="R216" s="3503" t="s">
        <v>341</v>
      </c>
      <c r="S216" s="3503" t="s">
        <v>341</v>
      </c>
      <c r="T216" s="3418" t="s">
        <v>341</v>
      </c>
      <c r="U216" s="3418" t="s">
        <v>341</v>
      </c>
      <c r="V216" s="3503"/>
      <c r="W216" s="3503"/>
      <c r="X216" s="3503" t="s">
        <v>341</v>
      </c>
      <c r="Y216" s="3503" t="s">
        <v>341</v>
      </c>
      <c r="Z216" s="3503" t="s">
        <v>341</v>
      </c>
      <c r="AA216" s="3503" t="s">
        <v>341</v>
      </c>
      <c r="AB216" s="3503" t="s">
        <v>341</v>
      </c>
      <c r="AC216" s="3503"/>
    </row>
    <row r="217" spans="1:29" ht="18" customHeight="1">
      <c r="A217" s="3417" t="s">
        <v>343</v>
      </c>
      <c r="B217" s="3503"/>
      <c r="C217" s="3503" t="s">
        <v>342</v>
      </c>
      <c r="D217" s="3503" t="s">
        <v>342</v>
      </c>
      <c r="E217" s="3503" t="s">
        <v>342</v>
      </c>
      <c r="F217" s="3503" t="s">
        <v>342</v>
      </c>
      <c r="G217" s="3503" t="s">
        <v>342</v>
      </c>
      <c r="H217" s="3503"/>
      <c r="I217" s="3503"/>
      <c r="J217" s="3503" t="s">
        <v>342</v>
      </c>
      <c r="K217" s="3503" t="s">
        <v>342</v>
      </c>
      <c r="L217" s="3503" t="s">
        <v>342</v>
      </c>
      <c r="M217" s="3503" t="s">
        <v>342</v>
      </c>
      <c r="N217" s="3503" t="s">
        <v>342</v>
      </c>
      <c r="O217" s="3503"/>
      <c r="P217" s="3503"/>
      <c r="Q217" s="3503" t="s">
        <v>342</v>
      </c>
      <c r="R217" s="3503" t="s">
        <v>342</v>
      </c>
      <c r="S217" s="3503" t="s">
        <v>342</v>
      </c>
      <c r="T217" s="3503" t="s">
        <v>342</v>
      </c>
      <c r="U217" s="3503" t="s">
        <v>342</v>
      </c>
      <c r="V217" s="3503"/>
      <c r="W217" s="3503"/>
      <c r="X217" s="3503" t="s">
        <v>342</v>
      </c>
      <c r="Y217" s="3503" t="s">
        <v>342</v>
      </c>
      <c r="Z217" s="3503" t="s">
        <v>342</v>
      </c>
      <c r="AA217" s="3503" t="s">
        <v>342</v>
      </c>
      <c r="AB217" s="3503" t="s">
        <v>342</v>
      </c>
      <c r="AC217" s="3503"/>
    </row>
    <row r="218" spans="1:29" ht="18" customHeight="1" thickBot="1">
      <c r="A218" s="3424"/>
      <c r="B218" s="3496"/>
      <c r="C218" s="3496"/>
      <c r="D218" s="3496" t="s">
        <v>346</v>
      </c>
      <c r="E218" s="3427" t="s">
        <v>346</v>
      </c>
      <c r="F218" s="3427" t="s">
        <v>346</v>
      </c>
      <c r="G218" s="3427" t="s">
        <v>346</v>
      </c>
      <c r="H218" s="3496"/>
      <c r="I218" s="3496"/>
      <c r="J218" s="3496" t="s">
        <v>346</v>
      </c>
      <c r="K218" s="3496" t="s">
        <v>346</v>
      </c>
      <c r="L218" s="3496" t="s">
        <v>346</v>
      </c>
      <c r="M218" s="3427" t="s">
        <v>346</v>
      </c>
      <c r="N218" s="3427" t="s">
        <v>346</v>
      </c>
      <c r="O218" s="3496"/>
      <c r="P218" s="3496"/>
      <c r="Q218" s="3496" t="s">
        <v>346</v>
      </c>
      <c r="R218" s="3496" t="s">
        <v>346</v>
      </c>
      <c r="S218" s="3496" t="s">
        <v>346</v>
      </c>
      <c r="T218" s="3427" t="s">
        <v>346</v>
      </c>
      <c r="U218" s="3427" t="s">
        <v>346</v>
      </c>
      <c r="V218" s="3496"/>
      <c r="W218" s="3496"/>
      <c r="X218" s="3496" t="s">
        <v>346</v>
      </c>
      <c r="Y218" s="3496" t="s">
        <v>346</v>
      </c>
      <c r="Z218" s="3496" t="s">
        <v>346</v>
      </c>
      <c r="AA218" s="3496" t="s">
        <v>346</v>
      </c>
      <c r="AB218" s="3496" t="s">
        <v>346</v>
      </c>
      <c r="AC218" s="3496"/>
    </row>
    <row r="219" spans="1:29" ht="18" customHeight="1" thickBot="1">
      <c r="B219" s="108"/>
      <c r="C219" s="108"/>
      <c r="D219" s="108"/>
      <c r="E219" s="108"/>
      <c r="F219" s="108"/>
      <c r="G219" s="108"/>
      <c r="H219" s="108"/>
      <c r="I219" s="108"/>
      <c r="J219" s="108"/>
      <c r="K219" s="108"/>
      <c r="L219" s="108"/>
      <c r="M219" s="108"/>
      <c r="N219" s="108"/>
      <c r="O219" s="108"/>
      <c r="P219" s="108"/>
      <c r="Q219" s="108"/>
      <c r="R219" s="108"/>
      <c r="S219" s="108"/>
      <c r="T219" s="108"/>
      <c r="U219" s="108"/>
      <c r="V219" s="108"/>
      <c r="W219" s="108"/>
      <c r="X219" s="108"/>
      <c r="Y219" s="108"/>
      <c r="Z219" s="108"/>
      <c r="AA219" s="108"/>
      <c r="AB219" s="108"/>
      <c r="AC219" s="108"/>
    </row>
    <row r="220" spans="1:29" ht="15.75" thickBot="1">
      <c r="A220" s="990" t="s">
        <v>614</v>
      </c>
      <c r="B220" s="866">
        <v>1</v>
      </c>
      <c r="C220" s="865">
        <v>2</v>
      </c>
      <c r="D220" s="865">
        <v>3</v>
      </c>
      <c r="E220" s="865">
        <v>4</v>
      </c>
      <c r="F220" s="865">
        <v>5</v>
      </c>
      <c r="G220" s="865">
        <v>6</v>
      </c>
      <c r="H220" s="866">
        <v>7</v>
      </c>
      <c r="I220" s="866">
        <v>8</v>
      </c>
      <c r="J220" s="865">
        <v>9</v>
      </c>
      <c r="K220" s="865">
        <v>10</v>
      </c>
      <c r="L220" s="865">
        <v>11</v>
      </c>
      <c r="M220" s="865">
        <v>12</v>
      </c>
      <c r="N220" s="865">
        <v>13</v>
      </c>
      <c r="O220" s="866">
        <v>14</v>
      </c>
      <c r="P220" s="866">
        <v>15</v>
      </c>
      <c r="Q220" s="865">
        <v>16</v>
      </c>
      <c r="R220" s="865">
        <v>17</v>
      </c>
      <c r="S220" s="865">
        <v>18</v>
      </c>
      <c r="T220" s="865">
        <v>19</v>
      </c>
      <c r="U220" s="865">
        <v>20</v>
      </c>
      <c r="V220" s="866">
        <v>21</v>
      </c>
      <c r="W220" s="866">
        <v>22</v>
      </c>
      <c r="X220" s="865">
        <v>23</v>
      </c>
      <c r="Y220" s="865">
        <v>24</v>
      </c>
      <c r="Z220" s="865">
        <v>25</v>
      </c>
      <c r="AA220" s="865">
        <v>26</v>
      </c>
      <c r="AB220" s="865">
        <v>27</v>
      </c>
      <c r="AC220" s="868">
        <v>28</v>
      </c>
    </row>
    <row r="221" spans="1:29" ht="12.75">
      <c r="A221" s="5100" t="s">
        <v>312</v>
      </c>
      <c r="B221" s="5264"/>
      <c r="C221" s="5264"/>
      <c r="D221" s="4440"/>
      <c r="E221" s="4440"/>
      <c r="F221" s="5265"/>
      <c r="G221" s="5265"/>
      <c r="H221" s="5264"/>
      <c r="I221" s="5264"/>
      <c r="J221" s="5264"/>
      <c r="K221" s="5264"/>
      <c r="L221" s="5264"/>
      <c r="M221" s="5264"/>
      <c r="N221" s="5264"/>
      <c r="O221" s="5264"/>
      <c r="P221" s="5265"/>
      <c r="Q221" s="5265"/>
      <c r="R221" s="5264"/>
      <c r="S221" s="5264"/>
      <c r="T221" s="5264"/>
      <c r="U221" s="5264"/>
      <c r="V221" s="5264"/>
      <c r="W221" s="5264"/>
      <c r="X221" s="5264"/>
      <c r="Y221" s="4440"/>
      <c r="Z221" s="4440"/>
      <c r="AA221" s="5265"/>
      <c r="AB221" s="5265"/>
      <c r="AC221" s="5266"/>
    </row>
    <row r="222" spans="1:29">
      <c r="A222" s="5103" t="s">
        <v>313</v>
      </c>
      <c r="B222" s="3503"/>
      <c r="C222" s="5267" t="s">
        <v>40</v>
      </c>
      <c r="D222" s="3432" t="s">
        <v>40</v>
      </c>
      <c r="E222" s="3432" t="s">
        <v>40</v>
      </c>
      <c r="F222" s="3418" t="s">
        <v>40</v>
      </c>
      <c r="G222" s="3418" t="s">
        <v>40</v>
      </c>
      <c r="H222" s="3503"/>
      <c r="I222" s="3503"/>
      <c r="J222" s="3503" t="s">
        <v>40</v>
      </c>
      <c r="K222" s="3503" t="s">
        <v>40</v>
      </c>
      <c r="L222" s="3503" t="s">
        <v>40</v>
      </c>
      <c r="M222" s="3503" t="s">
        <v>40</v>
      </c>
      <c r="N222" s="3503" t="s">
        <v>40</v>
      </c>
      <c r="O222" s="3503"/>
      <c r="P222" s="3503"/>
      <c r="Q222" s="3418" t="s">
        <v>40</v>
      </c>
      <c r="R222" s="3503" t="s">
        <v>40</v>
      </c>
      <c r="S222" s="3503" t="s">
        <v>40</v>
      </c>
      <c r="T222" s="3503" t="s">
        <v>40</v>
      </c>
      <c r="U222" s="3503" t="s">
        <v>40</v>
      </c>
      <c r="V222" s="3503"/>
      <c r="W222" s="3503"/>
      <c r="X222" s="3503" t="s">
        <v>40</v>
      </c>
      <c r="Y222" s="3432" t="s">
        <v>40</v>
      </c>
      <c r="Z222" s="3432" t="s">
        <v>40</v>
      </c>
      <c r="AA222" s="3418" t="s">
        <v>40</v>
      </c>
      <c r="AB222" s="3418" t="s">
        <v>40</v>
      </c>
      <c r="AC222" s="5268"/>
    </row>
    <row r="223" spans="1:29" ht="12.75">
      <c r="A223" s="5105" t="s">
        <v>314</v>
      </c>
      <c r="B223" s="4428"/>
      <c r="C223" s="4428"/>
      <c r="D223" s="4428"/>
      <c r="E223" s="4429"/>
      <c r="F223" s="4429"/>
      <c r="G223" s="4429"/>
      <c r="H223" s="4428"/>
      <c r="I223" s="4428"/>
      <c r="J223" s="4428"/>
      <c r="K223" s="4428"/>
      <c r="L223" s="4429"/>
      <c r="M223" s="4429"/>
      <c r="N223" s="4429"/>
      <c r="O223" s="4429"/>
      <c r="P223" s="4429"/>
      <c r="Q223" s="4428"/>
      <c r="R223" s="4428"/>
      <c r="S223" s="4429"/>
      <c r="T223" s="4429"/>
      <c r="U223" s="4429"/>
      <c r="V223" s="4429"/>
      <c r="W223" s="4429"/>
      <c r="X223" s="4428"/>
      <c r="Y223" s="4428"/>
      <c r="Z223" s="4429"/>
      <c r="AA223" s="4429"/>
      <c r="AB223" s="4429"/>
      <c r="AC223" s="5269"/>
    </row>
    <row r="224" spans="1:29">
      <c r="A224" s="5082" t="s">
        <v>315</v>
      </c>
      <c r="B224" s="3503"/>
      <c r="C224" s="5267" t="s">
        <v>40</v>
      </c>
      <c r="D224" s="3432" t="s">
        <v>40</v>
      </c>
      <c r="E224" s="3432" t="s">
        <v>40</v>
      </c>
      <c r="F224" s="3418" t="s">
        <v>40</v>
      </c>
      <c r="G224" s="3418" t="s">
        <v>40</v>
      </c>
      <c r="H224" s="3503"/>
      <c r="I224" s="3503"/>
      <c r="J224" s="3503" t="s">
        <v>40</v>
      </c>
      <c r="K224" s="3503" t="s">
        <v>40</v>
      </c>
      <c r="L224" s="3503" t="s">
        <v>40</v>
      </c>
      <c r="M224" s="3503" t="s">
        <v>40</v>
      </c>
      <c r="N224" s="3503" t="s">
        <v>40</v>
      </c>
      <c r="O224" s="3503"/>
      <c r="P224" s="3503"/>
      <c r="Q224" s="3418" t="s">
        <v>40</v>
      </c>
      <c r="R224" s="3503" t="s">
        <v>40</v>
      </c>
      <c r="S224" s="3503" t="s">
        <v>40</v>
      </c>
      <c r="T224" s="3503" t="s">
        <v>40</v>
      </c>
      <c r="U224" s="3503" t="s">
        <v>40</v>
      </c>
      <c r="V224" s="3503"/>
      <c r="W224" s="3503"/>
      <c r="X224" s="3503" t="s">
        <v>40</v>
      </c>
      <c r="Y224" s="3432" t="s">
        <v>40</v>
      </c>
      <c r="Z224" s="3432" t="s">
        <v>40</v>
      </c>
      <c r="AA224" s="3418" t="s">
        <v>40</v>
      </c>
      <c r="AB224" s="3418" t="s">
        <v>40</v>
      </c>
      <c r="AC224" s="5268"/>
    </row>
    <row r="225" spans="1:29">
      <c r="A225" s="5082" t="s">
        <v>316</v>
      </c>
      <c r="B225" s="3503"/>
      <c r="C225" s="5270" t="s">
        <v>40</v>
      </c>
      <c r="D225" s="4457" t="s">
        <v>40</v>
      </c>
      <c r="E225" s="4457" t="s">
        <v>40</v>
      </c>
      <c r="F225" s="5270" t="s">
        <v>40</v>
      </c>
      <c r="G225" s="5270" t="s">
        <v>40</v>
      </c>
      <c r="H225" s="5270"/>
      <c r="I225" s="5270"/>
      <c r="J225" s="5270" t="s">
        <v>40</v>
      </c>
      <c r="K225" s="3503" t="s">
        <v>40</v>
      </c>
      <c r="L225" s="3503" t="s">
        <v>40</v>
      </c>
      <c r="M225" s="3503" t="s">
        <v>40</v>
      </c>
      <c r="N225" s="3503" t="s">
        <v>40</v>
      </c>
      <c r="O225" s="3503"/>
      <c r="P225" s="3503"/>
      <c r="Q225" s="3418" t="s">
        <v>40</v>
      </c>
      <c r="R225" s="3503" t="s">
        <v>40</v>
      </c>
      <c r="S225" s="3503" t="s">
        <v>40</v>
      </c>
      <c r="T225" s="3503" t="s">
        <v>40</v>
      </c>
      <c r="U225" s="3503" t="s">
        <v>40</v>
      </c>
      <c r="V225" s="3503"/>
      <c r="W225" s="3503"/>
      <c r="X225" s="3503" t="s">
        <v>40</v>
      </c>
      <c r="Y225" s="3432" t="s">
        <v>40</v>
      </c>
      <c r="Z225" s="3432" t="s">
        <v>40</v>
      </c>
      <c r="AA225" s="3418" t="s">
        <v>40</v>
      </c>
      <c r="AB225" s="3418" t="s">
        <v>40</v>
      </c>
      <c r="AC225" s="5268"/>
    </row>
    <row r="226" spans="1:29">
      <c r="A226" s="5082" t="s">
        <v>317</v>
      </c>
      <c r="B226" s="3503"/>
      <c r="C226" s="5270" t="s">
        <v>40</v>
      </c>
      <c r="D226" s="4457" t="s">
        <v>40</v>
      </c>
      <c r="E226" s="4457" t="s">
        <v>40</v>
      </c>
      <c r="F226" s="5270" t="s">
        <v>40</v>
      </c>
      <c r="G226" s="5270" t="s">
        <v>40</v>
      </c>
      <c r="H226" s="3609"/>
      <c r="I226" s="3609"/>
      <c r="J226" s="3609" t="s">
        <v>40</v>
      </c>
      <c r="K226" s="3503" t="s">
        <v>40</v>
      </c>
      <c r="L226" s="3503" t="s">
        <v>40</v>
      </c>
      <c r="M226" s="3503" t="s">
        <v>40</v>
      </c>
      <c r="N226" s="3503" t="s">
        <v>40</v>
      </c>
      <c r="O226" s="3503"/>
      <c r="P226" s="3503"/>
      <c r="Q226" s="3418" t="s">
        <v>40</v>
      </c>
      <c r="R226" s="3503" t="s">
        <v>40</v>
      </c>
      <c r="S226" s="3503" t="s">
        <v>40</v>
      </c>
      <c r="T226" s="3503" t="s">
        <v>40</v>
      </c>
      <c r="U226" s="3503" t="s">
        <v>40</v>
      </c>
      <c r="V226" s="3503"/>
      <c r="W226" s="3503"/>
      <c r="X226" s="3503" t="s">
        <v>40</v>
      </c>
      <c r="Y226" s="3432" t="s">
        <v>40</v>
      </c>
      <c r="Z226" s="3432" t="s">
        <v>40</v>
      </c>
      <c r="AA226" s="3418" t="s">
        <v>40</v>
      </c>
      <c r="AB226" s="3418" t="s">
        <v>40</v>
      </c>
      <c r="AC226" s="5268"/>
    </row>
    <row r="227" spans="1:29" ht="12.75">
      <c r="A227" s="5105" t="s">
        <v>318</v>
      </c>
      <c r="B227" s="4428"/>
      <c r="C227" s="4428"/>
      <c r="D227" s="4428"/>
      <c r="E227" s="4429"/>
      <c r="F227" s="4429"/>
      <c r="G227" s="4429"/>
      <c r="H227" s="4428"/>
      <c r="I227" s="4428"/>
      <c r="J227" s="4428"/>
      <c r="K227" s="4428"/>
      <c r="L227" s="4429"/>
      <c r="M227" s="4429"/>
      <c r="N227" s="4429"/>
      <c r="O227" s="4429"/>
      <c r="P227" s="4429"/>
      <c r="Q227" s="4428"/>
      <c r="R227" s="4428"/>
      <c r="S227" s="4429"/>
      <c r="T227" s="4429"/>
      <c r="U227" s="4429"/>
      <c r="V227" s="4429"/>
      <c r="W227" s="4429"/>
      <c r="X227" s="4428"/>
      <c r="Y227" s="4428"/>
      <c r="Z227" s="4429"/>
      <c r="AA227" s="4429"/>
      <c r="AB227" s="4429"/>
      <c r="AC227" s="5269"/>
    </row>
    <row r="228" spans="1:29">
      <c r="A228" s="5082" t="s">
        <v>319</v>
      </c>
      <c r="B228" s="3503"/>
      <c r="C228" s="5270" t="s">
        <v>40</v>
      </c>
      <c r="D228" s="3432" t="s">
        <v>40</v>
      </c>
      <c r="E228" s="3432" t="s">
        <v>40</v>
      </c>
      <c r="F228" s="3418" t="s">
        <v>40</v>
      </c>
      <c r="G228" s="3418" t="s">
        <v>40</v>
      </c>
      <c r="H228" s="3503"/>
      <c r="I228" s="3503"/>
      <c r="J228" s="3503" t="s">
        <v>40</v>
      </c>
      <c r="K228" s="3503" t="s">
        <v>40</v>
      </c>
      <c r="L228" s="3503" t="s">
        <v>40</v>
      </c>
      <c r="M228" s="3503" t="s">
        <v>40</v>
      </c>
      <c r="N228" s="3503" t="s">
        <v>40</v>
      </c>
      <c r="O228" s="3503"/>
      <c r="P228" s="3503"/>
      <c r="Q228" s="3418" t="s">
        <v>40</v>
      </c>
      <c r="R228" s="3503" t="s">
        <v>40</v>
      </c>
      <c r="S228" s="3503" t="s">
        <v>40</v>
      </c>
      <c r="T228" s="3503" t="s">
        <v>40</v>
      </c>
      <c r="U228" s="3503" t="s">
        <v>40</v>
      </c>
      <c r="V228" s="3503"/>
      <c r="W228" s="3503"/>
      <c r="X228" s="3503" t="s">
        <v>40</v>
      </c>
      <c r="Y228" s="3432" t="s">
        <v>40</v>
      </c>
      <c r="Z228" s="3432" t="s">
        <v>40</v>
      </c>
      <c r="AA228" s="3418" t="s">
        <v>40</v>
      </c>
      <c r="AB228" s="3418" t="s">
        <v>40</v>
      </c>
      <c r="AC228" s="5268"/>
    </row>
    <row r="229" spans="1:29">
      <c r="A229" s="5082" t="s">
        <v>320</v>
      </c>
      <c r="B229" s="3503"/>
      <c r="C229" s="5270" t="s">
        <v>40</v>
      </c>
      <c r="D229" s="3432" t="s">
        <v>40</v>
      </c>
      <c r="E229" s="3432" t="s">
        <v>40</v>
      </c>
      <c r="F229" s="3418" t="s">
        <v>40</v>
      </c>
      <c r="G229" s="3418" t="s">
        <v>40</v>
      </c>
      <c r="H229" s="3503"/>
      <c r="I229" s="3503"/>
      <c r="J229" s="3503" t="s">
        <v>40</v>
      </c>
      <c r="K229" s="3503" t="s">
        <v>40</v>
      </c>
      <c r="L229" s="3503" t="s">
        <v>40</v>
      </c>
      <c r="M229" s="3503" t="s">
        <v>40</v>
      </c>
      <c r="N229" s="3503" t="s">
        <v>40</v>
      </c>
      <c r="O229" s="3503"/>
      <c r="P229" s="3503"/>
      <c r="Q229" s="3418" t="s">
        <v>40</v>
      </c>
      <c r="R229" s="3503" t="s">
        <v>40</v>
      </c>
      <c r="S229" s="3503" t="s">
        <v>40</v>
      </c>
      <c r="T229" s="3503" t="s">
        <v>40</v>
      </c>
      <c r="U229" s="3503" t="s">
        <v>40</v>
      </c>
      <c r="V229" s="3503"/>
      <c r="W229" s="3503"/>
      <c r="X229" s="3503" t="s">
        <v>40</v>
      </c>
      <c r="Y229" s="3432" t="s">
        <v>40</v>
      </c>
      <c r="Z229" s="3432" t="s">
        <v>40</v>
      </c>
      <c r="AA229" s="3418" t="s">
        <v>40</v>
      </c>
      <c r="AB229" s="3418" t="s">
        <v>40</v>
      </c>
      <c r="AC229" s="5268"/>
    </row>
    <row r="230" spans="1:29">
      <c r="A230" s="5082" t="s">
        <v>321</v>
      </c>
      <c r="B230" s="3503"/>
      <c r="C230" s="5270" t="s">
        <v>40</v>
      </c>
      <c r="D230" s="3432" t="s">
        <v>40</v>
      </c>
      <c r="E230" s="3432" t="s">
        <v>40</v>
      </c>
      <c r="F230" s="3418" t="s">
        <v>40</v>
      </c>
      <c r="G230" s="3418" t="s">
        <v>40</v>
      </c>
      <c r="H230" s="3503"/>
      <c r="I230" s="3503"/>
      <c r="J230" s="3503" t="s">
        <v>40</v>
      </c>
      <c r="K230" s="3503" t="s">
        <v>40</v>
      </c>
      <c r="L230" s="3503" t="s">
        <v>40</v>
      </c>
      <c r="M230" s="3503" t="s">
        <v>40</v>
      </c>
      <c r="N230" s="3503" t="s">
        <v>40</v>
      </c>
      <c r="O230" s="3503"/>
      <c r="P230" s="3503"/>
      <c r="Q230" s="3418" t="s">
        <v>40</v>
      </c>
      <c r="R230" s="3503" t="s">
        <v>40</v>
      </c>
      <c r="S230" s="3503" t="s">
        <v>40</v>
      </c>
      <c r="T230" s="3503" t="s">
        <v>40</v>
      </c>
      <c r="U230" s="3503" t="s">
        <v>40</v>
      </c>
      <c r="V230" s="3503"/>
      <c r="W230" s="3503"/>
      <c r="X230" s="3503" t="s">
        <v>40</v>
      </c>
      <c r="Y230" s="3432" t="s">
        <v>40</v>
      </c>
      <c r="Z230" s="3432" t="s">
        <v>40</v>
      </c>
      <c r="AA230" s="3418" t="s">
        <v>40</v>
      </c>
      <c r="AB230" s="3418" t="s">
        <v>40</v>
      </c>
      <c r="AC230" s="5268"/>
    </row>
    <row r="231" spans="1:29">
      <c r="A231" s="5082" t="s">
        <v>322</v>
      </c>
      <c r="B231" s="3503"/>
      <c r="C231" s="5270" t="s">
        <v>40</v>
      </c>
      <c r="D231" s="3432" t="s">
        <v>40</v>
      </c>
      <c r="E231" s="3432" t="s">
        <v>40</v>
      </c>
      <c r="F231" s="3418" t="s">
        <v>40</v>
      </c>
      <c r="G231" s="3418" t="s">
        <v>40</v>
      </c>
      <c r="H231" s="3503"/>
      <c r="I231" s="3503"/>
      <c r="J231" s="3419" t="s">
        <v>40</v>
      </c>
      <c r="K231" s="3419" t="s">
        <v>40</v>
      </c>
      <c r="L231" s="3615" t="s">
        <v>40</v>
      </c>
      <c r="M231" s="3503" t="s">
        <v>40</v>
      </c>
      <c r="N231" s="3503" t="s">
        <v>40</v>
      </c>
      <c r="O231" s="3503"/>
      <c r="P231" s="3503"/>
      <c r="Q231" s="3418" t="s">
        <v>40</v>
      </c>
      <c r="R231" s="3503" t="s">
        <v>40</v>
      </c>
      <c r="S231" s="3503" t="s">
        <v>40</v>
      </c>
      <c r="T231" s="3503" t="s">
        <v>40</v>
      </c>
      <c r="U231" s="3503" t="s">
        <v>40</v>
      </c>
      <c r="V231" s="3503"/>
      <c r="W231" s="3503"/>
      <c r="X231" s="3503" t="s">
        <v>40</v>
      </c>
      <c r="Y231" s="3432" t="s">
        <v>40</v>
      </c>
      <c r="Z231" s="3432" t="s">
        <v>40</v>
      </c>
      <c r="AA231" s="3418" t="s">
        <v>40</v>
      </c>
      <c r="AB231" s="3418" t="s">
        <v>40</v>
      </c>
      <c r="AC231" s="5268"/>
    </row>
    <row r="232" spans="1:29">
      <c r="A232" s="5082" t="s">
        <v>323</v>
      </c>
      <c r="B232" s="3503"/>
      <c r="C232" s="5270" t="s">
        <v>40</v>
      </c>
      <c r="D232" s="3432" t="s">
        <v>40</v>
      </c>
      <c r="E232" s="3432" t="s">
        <v>40</v>
      </c>
      <c r="F232" s="3418" t="s">
        <v>40</v>
      </c>
      <c r="G232" s="3418" t="s">
        <v>40</v>
      </c>
      <c r="H232" s="3503"/>
      <c r="I232" s="3503"/>
      <c r="J232" s="3503" t="s">
        <v>40</v>
      </c>
      <c r="K232" s="3503" t="s">
        <v>40</v>
      </c>
      <c r="L232" s="3503" t="s">
        <v>40</v>
      </c>
      <c r="M232" s="3503" t="s">
        <v>40</v>
      </c>
      <c r="N232" s="3503" t="s">
        <v>40</v>
      </c>
      <c r="O232" s="3503"/>
      <c r="P232" s="3503"/>
      <c r="Q232" s="3419" t="s">
        <v>40</v>
      </c>
      <c r="R232" s="3419" t="s">
        <v>40</v>
      </c>
      <c r="S232" s="3419" t="s">
        <v>40</v>
      </c>
      <c r="T232" s="3503" t="s">
        <v>40</v>
      </c>
      <c r="U232" s="3503" t="s">
        <v>40</v>
      </c>
      <c r="V232" s="3503"/>
      <c r="W232" s="3503"/>
      <c r="X232" s="3503" t="s">
        <v>40</v>
      </c>
      <c r="Y232" s="3432" t="s">
        <v>40</v>
      </c>
      <c r="Z232" s="3432" t="s">
        <v>40</v>
      </c>
      <c r="AA232" s="3418" t="s">
        <v>40</v>
      </c>
      <c r="AB232" s="3418" t="s">
        <v>40</v>
      </c>
      <c r="AC232" s="5268"/>
    </row>
    <row r="233" spans="1:29">
      <c r="A233" s="5082" t="s">
        <v>324</v>
      </c>
      <c r="B233" s="3503"/>
      <c r="C233" s="5270" t="s">
        <v>40</v>
      </c>
      <c r="D233" s="3432" t="s">
        <v>40</v>
      </c>
      <c r="E233" s="3432" t="s">
        <v>40</v>
      </c>
      <c r="F233" s="3418" t="s">
        <v>40</v>
      </c>
      <c r="G233" s="3418" t="s">
        <v>40</v>
      </c>
      <c r="H233" s="3503"/>
      <c r="I233" s="3503"/>
      <c r="J233" s="3503" t="s">
        <v>40</v>
      </c>
      <c r="K233" s="3503" t="s">
        <v>40</v>
      </c>
      <c r="L233" s="3503" t="s">
        <v>40</v>
      </c>
      <c r="M233" s="3503" t="s">
        <v>40</v>
      </c>
      <c r="N233" s="3503" t="s">
        <v>40</v>
      </c>
      <c r="O233" s="3503"/>
      <c r="P233" s="3503"/>
      <c r="Q233" s="3418" t="s">
        <v>40</v>
      </c>
      <c r="R233" s="3503" t="s">
        <v>40</v>
      </c>
      <c r="S233" s="3503" t="s">
        <v>40</v>
      </c>
      <c r="T233" s="3503" t="s">
        <v>40</v>
      </c>
      <c r="U233" s="3503" t="s">
        <v>40</v>
      </c>
      <c r="V233" s="3503"/>
      <c r="W233" s="3503"/>
      <c r="X233" s="3503" t="s">
        <v>40</v>
      </c>
      <c r="Y233" s="3432" t="s">
        <v>40</v>
      </c>
      <c r="Z233" s="3432" t="s">
        <v>40</v>
      </c>
      <c r="AA233" s="3418" t="s">
        <v>40</v>
      </c>
      <c r="AB233" s="3418" t="s">
        <v>40</v>
      </c>
      <c r="AC233" s="5268"/>
    </row>
    <row r="234" spans="1:29">
      <c r="A234" s="5082" t="s">
        <v>326</v>
      </c>
      <c r="B234" s="3503"/>
      <c r="C234" s="5270" t="s">
        <v>40</v>
      </c>
      <c r="D234" s="3419" t="s">
        <v>40</v>
      </c>
      <c r="E234" s="3419" t="s">
        <v>40</v>
      </c>
      <c r="F234" s="3419" t="s">
        <v>40</v>
      </c>
      <c r="G234" s="3418" t="s">
        <v>40</v>
      </c>
      <c r="H234" s="3503"/>
      <c r="I234" s="3503"/>
      <c r="J234" s="3503" t="s">
        <v>40</v>
      </c>
      <c r="K234" s="3503" t="s">
        <v>40</v>
      </c>
      <c r="L234" s="3503" t="s">
        <v>40</v>
      </c>
      <c r="M234" s="3503" t="s">
        <v>40</v>
      </c>
      <c r="N234" s="3503" t="s">
        <v>40</v>
      </c>
      <c r="O234" s="3503"/>
      <c r="P234" s="3503"/>
      <c r="Q234" s="3418" t="s">
        <v>40</v>
      </c>
      <c r="R234" s="3503" t="s">
        <v>40</v>
      </c>
      <c r="S234" s="3503" t="s">
        <v>40</v>
      </c>
      <c r="T234" s="3503" t="s">
        <v>40</v>
      </c>
      <c r="U234" s="3503" t="s">
        <v>40</v>
      </c>
      <c r="V234" s="3503"/>
      <c r="W234" s="3503"/>
      <c r="X234" s="3503" t="s">
        <v>40</v>
      </c>
      <c r="Y234" s="3432" t="s">
        <v>40</v>
      </c>
      <c r="Z234" s="3432" t="s">
        <v>40</v>
      </c>
      <c r="AA234" s="3418" t="s">
        <v>40</v>
      </c>
      <c r="AB234" s="3418" t="s">
        <v>40</v>
      </c>
      <c r="AC234" s="5268"/>
    </row>
    <row r="235" spans="1:29" ht="12.75">
      <c r="A235" s="5105" t="s">
        <v>327</v>
      </c>
      <c r="B235" s="4428"/>
      <c r="C235" s="4428"/>
      <c r="D235" s="4428"/>
      <c r="E235" s="4429"/>
      <c r="F235" s="4429"/>
      <c r="G235" s="4429"/>
      <c r="H235" s="4428"/>
      <c r="I235" s="4428"/>
      <c r="J235" s="4428"/>
      <c r="K235" s="4428"/>
      <c r="L235" s="4429"/>
      <c r="M235" s="4429"/>
      <c r="N235" s="4429"/>
      <c r="O235" s="4429"/>
      <c r="P235" s="4429"/>
      <c r="Q235" s="4428"/>
      <c r="R235" s="4428"/>
      <c r="S235" s="4429"/>
      <c r="T235" s="4429"/>
      <c r="U235" s="4429"/>
      <c r="V235" s="4429"/>
      <c r="W235" s="4429"/>
      <c r="X235" s="4428"/>
      <c r="Y235" s="4428"/>
      <c r="Z235" s="4429"/>
      <c r="AA235" s="4429"/>
      <c r="AB235" s="4429"/>
      <c r="AC235" s="5269"/>
    </row>
    <row r="236" spans="1:29">
      <c r="A236" s="5082" t="s">
        <v>328</v>
      </c>
      <c r="B236" s="3503"/>
      <c r="C236" s="5270" t="s">
        <v>40</v>
      </c>
      <c r="D236" s="5271" t="s">
        <v>40</v>
      </c>
      <c r="E236" s="5271" t="s">
        <v>40</v>
      </c>
      <c r="F236" s="5271" t="s">
        <v>40</v>
      </c>
      <c r="G236" s="5271" t="s">
        <v>40</v>
      </c>
      <c r="H236" s="3503"/>
      <c r="I236" s="3503"/>
      <c r="J236" s="3503" t="s">
        <v>40</v>
      </c>
      <c r="K236" s="3503" t="s">
        <v>40</v>
      </c>
      <c r="L236" s="3503" t="s">
        <v>40</v>
      </c>
      <c r="M236" s="3503" t="s">
        <v>40</v>
      </c>
      <c r="N236" s="3503" t="s">
        <v>40</v>
      </c>
      <c r="O236" s="3503"/>
      <c r="P236" s="3503"/>
      <c r="Q236" s="3418" t="s">
        <v>40</v>
      </c>
      <c r="R236" s="3503" t="s">
        <v>40</v>
      </c>
      <c r="S236" s="3503" t="s">
        <v>40</v>
      </c>
      <c r="T236" s="3503" t="s">
        <v>40</v>
      </c>
      <c r="U236" s="3503" t="s">
        <v>40</v>
      </c>
      <c r="V236" s="3503"/>
      <c r="W236" s="3503"/>
      <c r="X236" s="3419" t="s">
        <v>40</v>
      </c>
      <c r="Y236" s="3419" t="s">
        <v>40</v>
      </c>
      <c r="Z236" s="3432" t="s">
        <v>40</v>
      </c>
      <c r="AA236" s="3418" t="s">
        <v>40</v>
      </c>
      <c r="AB236" s="3418" t="s">
        <v>40</v>
      </c>
      <c r="AC236" s="5268"/>
    </row>
    <row r="237" spans="1:29" ht="12.75" thickBot="1">
      <c r="A237" s="965" t="s">
        <v>329</v>
      </c>
      <c r="B237" s="5206"/>
      <c r="C237" s="5272" t="s">
        <v>40</v>
      </c>
      <c r="D237" s="5182" t="s">
        <v>40</v>
      </c>
      <c r="E237" s="5182" t="s">
        <v>40</v>
      </c>
      <c r="F237" s="5155" t="s">
        <v>40</v>
      </c>
      <c r="G237" s="5155" t="s">
        <v>40</v>
      </c>
      <c r="H237" s="5206"/>
      <c r="I237" s="5206"/>
      <c r="J237" s="5206" t="s">
        <v>40</v>
      </c>
      <c r="K237" s="5206" t="s">
        <v>40</v>
      </c>
      <c r="L237" s="5206" t="s">
        <v>40</v>
      </c>
      <c r="M237" s="5206" t="s">
        <v>40</v>
      </c>
      <c r="N237" s="5206" t="s">
        <v>40</v>
      </c>
      <c r="O237" s="5206"/>
      <c r="P237" s="5206"/>
      <c r="Q237" s="5155" t="s">
        <v>40</v>
      </c>
      <c r="R237" s="5155" t="s">
        <v>40</v>
      </c>
      <c r="S237" s="5155" t="s">
        <v>40</v>
      </c>
      <c r="T237" s="5155" t="s">
        <v>40</v>
      </c>
      <c r="U237" s="5155" t="s">
        <v>40</v>
      </c>
      <c r="V237" s="5155"/>
      <c r="W237" s="5155"/>
      <c r="X237" s="5206" t="s">
        <v>40</v>
      </c>
      <c r="Y237" s="5182" t="s">
        <v>40</v>
      </c>
      <c r="Z237" s="5182" t="s">
        <v>40</v>
      </c>
      <c r="AA237" s="5155" t="s">
        <v>40</v>
      </c>
      <c r="AB237" s="5155" t="s">
        <v>40</v>
      </c>
      <c r="AC237" s="5273"/>
    </row>
  </sheetData>
  <sheetProtection algorithmName="SHA-512" hashValue="qWDkOBRWB3rfAlYUs2IdtPUNkMHBliO1KC9rmFfyHhftV+hTW886eX5lhAhWq+xHs7M+6kQ7rlPoGhvRH/AqXg==" saltValue="1eAikLLVJF8TNHB1NDrb0w==" spinCount="100000" sheet="1" objects="1" scenarios="1"/>
  <mergeCells count="93">
    <mergeCell ref="AC2:AD2"/>
    <mergeCell ref="E2:F2"/>
    <mergeCell ref="G2:I2"/>
    <mergeCell ref="R2:T2"/>
    <mergeCell ref="U2:V2"/>
    <mergeCell ref="W2:X2"/>
    <mergeCell ref="C180:E180"/>
    <mergeCell ref="F180:I180"/>
    <mergeCell ref="J180:M180"/>
    <mergeCell ref="N180:Q180"/>
    <mergeCell ref="R180:U180"/>
    <mergeCell ref="C181:E181"/>
    <mergeCell ref="F181:I181"/>
    <mergeCell ref="J181:M181"/>
    <mergeCell ref="N181:Q181"/>
    <mergeCell ref="R181:U181"/>
    <mergeCell ref="C182:E182"/>
    <mergeCell ref="F182:I182"/>
    <mergeCell ref="J182:M182"/>
    <mergeCell ref="N182:Q182"/>
    <mergeCell ref="R182:U182"/>
    <mergeCell ref="C183:E183"/>
    <mergeCell ref="F183:I183"/>
    <mergeCell ref="J183:M183"/>
    <mergeCell ref="N183:Q183"/>
    <mergeCell ref="R183:U183"/>
    <mergeCell ref="C184:E184"/>
    <mergeCell ref="F184:I184"/>
    <mergeCell ref="J184:M184"/>
    <mergeCell ref="N184:Q184"/>
    <mergeCell ref="R184:U184"/>
    <mergeCell ref="C185:E185"/>
    <mergeCell ref="F185:I185"/>
    <mergeCell ref="J185:M185"/>
    <mergeCell ref="N185:Q185"/>
    <mergeCell ref="R185:U185"/>
    <mergeCell ref="C186:E186"/>
    <mergeCell ref="F186:I186"/>
    <mergeCell ref="J186:M186"/>
    <mergeCell ref="N186:Q186"/>
    <mergeCell ref="R186:U186"/>
    <mergeCell ref="C189:E189"/>
    <mergeCell ref="F189:I189"/>
    <mergeCell ref="J189:M189"/>
    <mergeCell ref="N189:Q189"/>
    <mergeCell ref="R189:U189"/>
    <mergeCell ref="C190:E190"/>
    <mergeCell ref="F190:I190"/>
    <mergeCell ref="J190:M190"/>
    <mergeCell ref="N190:Q190"/>
    <mergeCell ref="R190:U190"/>
    <mergeCell ref="C191:E191"/>
    <mergeCell ref="F191:I191"/>
    <mergeCell ref="J191:M191"/>
    <mergeCell ref="N191:Q191"/>
    <mergeCell ref="R191:U191"/>
    <mergeCell ref="F192:I192"/>
    <mergeCell ref="J192:M192"/>
    <mergeCell ref="N192:Q192"/>
    <mergeCell ref="R192:U192"/>
    <mergeCell ref="F193:I193"/>
    <mergeCell ref="J193:M193"/>
    <mergeCell ref="N193:Q193"/>
    <mergeCell ref="R193:U193"/>
    <mergeCell ref="F194:I194"/>
    <mergeCell ref="J194:M194"/>
    <mergeCell ref="N194:Q194"/>
    <mergeCell ref="R194:U194"/>
    <mergeCell ref="F195:I195"/>
    <mergeCell ref="J195:M195"/>
    <mergeCell ref="N195:Q195"/>
    <mergeCell ref="R195:U195"/>
    <mergeCell ref="Q117:S117"/>
    <mergeCell ref="T117:V117"/>
    <mergeCell ref="B118:D118"/>
    <mergeCell ref="E118:G118"/>
    <mergeCell ref="H118:J118"/>
    <mergeCell ref="K118:M118"/>
    <mergeCell ref="N118:P118"/>
    <mergeCell ref="Q118:S118"/>
    <mergeCell ref="T118:V118"/>
    <mergeCell ref="B117:D117"/>
    <mergeCell ref="E117:G117"/>
    <mergeCell ref="H117:J117"/>
    <mergeCell ref="K117:M117"/>
    <mergeCell ref="N117:P117"/>
    <mergeCell ref="Q119:S119"/>
    <mergeCell ref="T119:V119"/>
    <mergeCell ref="B119:D119"/>
    <mergeCell ref="E119:G119"/>
    <mergeCell ref="H119:J119"/>
    <mergeCell ref="K119:M119"/>
    <mergeCell ref="N119:P119"/>
  </mergeCells>
  <phoneticPr fontId="10" type="noConversion"/>
  <pageMargins left="0.7" right="0.7" top="0.75" bottom="0.75" header="0.3" footer="0.3"/>
  <pageSetup paperSize="9" scale="10" orientation="landscape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E3912-70D9-444D-901F-A23D15148F35}">
  <sheetPr codeName="Ark26">
    <pageSetUpPr fitToPage="1"/>
  </sheetPr>
  <dimension ref="A1:AF247"/>
  <sheetViews>
    <sheetView tabSelected="1" zoomScaleNormal="100" workbookViewId="0">
      <pane xSplit="1" ySplit="2" topLeftCell="B7" activePane="bottomRight" state="frozen"/>
      <selection pane="bottomRight" activeCell="AI17" sqref="AI17"/>
      <selection pane="bottomLeft"/>
      <selection pane="topRight"/>
    </sheetView>
  </sheetViews>
  <sheetFormatPr defaultRowHeight="12"/>
  <cols>
    <col min="1" max="1" width="31.28515625" customWidth="1"/>
    <col min="2" max="26" width="4.5703125" customWidth="1"/>
    <col min="27" max="27" width="4.7109375" customWidth="1"/>
    <col min="28" max="31" width="4.5703125" customWidth="1"/>
    <col min="32" max="32" width="4.28515625" customWidth="1"/>
  </cols>
  <sheetData>
    <row r="1" spans="1:32" ht="15">
      <c r="A1" s="871" t="s">
        <v>684</v>
      </c>
      <c r="B1" s="3617">
        <v>1</v>
      </c>
      <c r="C1" s="3599">
        <v>2</v>
      </c>
      <c r="D1" s="3599">
        <v>3</v>
      </c>
      <c r="E1" s="3599">
        <v>4</v>
      </c>
      <c r="F1" s="3599">
        <v>5</v>
      </c>
      <c r="G1" s="3599">
        <v>6</v>
      </c>
      <c r="H1" s="3617">
        <v>7</v>
      </c>
      <c r="I1" s="3617">
        <v>8</v>
      </c>
      <c r="J1" s="3599">
        <v>9</v>
      </c>
      <c r="K1" s="3599">
        <v>10</v>
      </c>
      <c r="L1" s="3599">
        <v>11</v>
      </c>
      <c r="M1" s="3599">
        <v>12</v>
      </c>
      <c r="N1" s="3599">
        <v>13</v>
      </c>
      <c r="O1" s="3617">
        <v>14</v>
      </c>
      <c r="P1" s="3617">
        <v>15</v>
      </c>
      <c r="Q1" s="3599">
        <v>16</v>
      </c>
      <c r="R1" s="3599">
        <v>17</v>
      </c>
      <c r="S1" s="3599">
        <v>18</v>
      </c>
      <c r="T1" s="3599">
        <v>19</v>
      </c>
      <c r="U1" s="3599">
        <v>20</v>
      </c>
      <c r="V1" s="3617">
        <v>21</v>
      </c>
      <c r="W1" s="3617">
        <v>22</v>
      </c>
      <c r="X1" s="3599">
        <v>23</v>
      </c>
      <c r="Y1" s="3599">
        <v>24</v>
      </c>
      <c r="Z1" s="3599">
        <v>25</v>
      </c>
      <c r="AA1" s="3599">
        <v>26</v>
      </c>
      <c r="AB1" s="3599">
        <v>27</v>
      </c>
      <c r="AC1" s="3617">
        <v>28</v>
      </c>
      <c r="AD1" s="3617">
        <v>29</v>
      </c>
      <c r="AE1" s="3599">
        <v>30</v>
      </c>
      <c r="AF1" s="2985">
        <v>31</v>
      </c>
    </row>
    <row r="2" spans="1:32" ht="18" customHeight="1">
      <c r="A2" s="1" t="s">
        <v>1</v>
      </c>
      <c r="B2" s="1348" t="s">
        <v>2</v>
      </c>
      <c r="C2" s="1348"/>
      <c r="D2" s="1349"/>
      <c r="E2" s="5115" t="s">
        <v>3</v>
      </c>
      <c r="F2" s="5116"/>
      <c r="G2" s="5117" t="s">
        <v>579</v>
      </c>
      <c r="H2" s="5117"/>
      <c r="I2" s="5117"/>
      <c r="J2" s="1350" t="s">
        <v>5</v>
      </c>
      <c r="K2" s="1351" t="s">
        <v>580</v>
      </c>
      <c r="L2" s="970"/>
      <c r="M2" s="971"/>
      <c r="N2" s="972" t="s">
        <v>7</v>
      </c>
      <c r="O2" s="973"/>
      <c r="P2" s="1352" t="s">
        <v>8</v>
      </c>
      <c r="Q2" s="975"/>
      <c r="R2" s="5118" t="s">
        <v>9</v>
      </c>
      <c r="S2" s="5118"/>
      <c r="T2" s="5118"/>
      <c r="U2" s="5119" t="s">
        <v>11</v>
      </c>
      <c r="V2" s="5119"/>
      <c r="W2" s="5120" t="s">
        <v>12</v>
      </c>
      <c r="X2" s="5120"/>
      <c r="Y2" s="1353" t="s">
        <v>581</v>
      </c>
      <c r="Z2" s="977"/>
      <c r="AA2" s="978" t="s">
        <v>15</v>
      </c>
      <c r="AB2" s="979"/>
      <c r="AC2" s="5121" t="s">
        <v>582</v>
      </c>
      <c r="AD2" s="5121"/>
      <c r="AE2" s="5122"/>
    </row>
    <row r="3" spans="1:32" ht="18" customHeight="1">
      <c r="A3" s="1"/>
      <c r="B3" s="323"/>
      <c r="C3" s="323"/>
      <c r="D3" s="323"/>
      <c r="E3" s="1343"/>
      <c r="F3" s="1343"/>
      <c r="G3" s="1344"/>
      <c r="H3" s="1344"/>
      <c r="I3" s="1344"/>
      <c r="J3" s="334"/>
      <c r="K3" s="334"/>
      <c r="L3" s="111"/>
      <c r="M3" s="111"/>
      <c r="N3" s="1343"/>
      <c r="O3" s="111"/>
      <c r="P3" s="334"/>
      <c r="Q3" s="111"/>
      <c r="R3" s="410"/>
      <c r="S3" s="410"/>
      <c r="T3" s="410"/>
      <c r="U3" s="1345"/>
      <c r="V3" s="1345"/>
      <c r="W3" s="189"/>
      <c r="X3" s="189"/>
      <c r="Y3" s="334"/>
      <c r="Z3" s="1343"/>
      <c r="AA3" s="422"/>
      <c r="AB3" s="422"/>
      <c r="AC3" s="1346"/>
      <c r="AD3" s="1346"/>
      <c r="AE3" s="1346"/>
    </row>
    <row r="4" spans="1:32" ht="18" customHeight="1">
      <c r="A4" s="1347" t="s">
        <v>685</v>
      </c>
      <c r="B4" s="415"/>
      <c r="C4" s="413" t="s">
        <v>19</v>
      </c>
      <c r="D4" s="414"/>
      <c r="E4" s="415"/>
      <c r="F4" s="413" t="s">
        <v>20</v>
      </c>
      <c r="G4" s="414"/>
      <c r="H4" s="415"/>
      <c r="I4" s="413" t="s">
        <v>21</v>
      </c>
      <c r="J4" s="414"/>
      <c r="K4" s="415"/>
      <c r="L4" s="413" t="s">
        <v>22</v>
      </c>
      <c r="M4" s="414"/>
      <c r="N4" s="415"/>
      <c r="O4" s="413" t="s">
        <v>23</v>
      </c>
      <c r="P4" s="414"/>
      <c r="Q4" s="415"/>
      <c r="R4" s="413" t="s">
        <v>24</v>
      </c>
      <c r="S4" s="416"/>
      <c r="T4" s="417"/>
      <c r="U4" s="418" t="s">
        <v>25</v>
      </c>
      <c r="V4" s="419"/>
      <c r="W4" s="111"/>
      <c r="X4" s="111"/>
      <c r="Y4" s="111"/>
      <c r="Z4" s="111"/>
      <c r="AA4" s="111"/>
      <c r="AB4" s="111"/>
      <c r="AC4" s="111"/>
    </row>
    <row r="5" spans="1:32" ht="18" customHeight="1">
      <c r="A5" s="5123" t="s">
        <v>686</v>
      </c>
      <c r="B5" s="5274" t="s">
        <v>27</v>
      </c>
      <c r="C5" s="5275"/>
      <c r="D5" s="5276"/>
      <c r="E5" s="5274" t="s">
        <v>27</v>
      </c>
      <c r="F5" s="5277"/>
      <c r="G5" s="5277"/>
      <c r="H5" s="5274" t="s">
        <v>27</v>
      </c>
      <c r="I5" s="5277"/>
      <c r="J5" s="5276"/>
      <c r="K5" s="5274" t="s">
        <v>27</v>
      </c>
      <c r="L5" s="5277"/>
      <c r="M5" s="5276"/>
      <c r="N5" s="5274" t="s">
        <v>28</v>
      </c>
      <c r="O5" s="5277"/>
      <c r="P5" s="5276"/>
      <c r="Q5" s="5277"/>
      <c r="R5" s="5277"/>
      <c r="S5" s="5277"/>
      <c r="T5" s="5278"/>
      <c r="U5" s="5277"/>
      <c r="V5" s="5279"/>
      <c r="W5" s="111"/>
      <c r="X5" s="111"/>
      <c r="Y5" s="111"/>
      <c r="Z5" s="111"/>
      <c r="AA5" s="410"/>
      <c r="AB5" s="111"/>
      <c r="AC5" s="111"/>
      <c r="AD5" s="111"/>
      <c r="AE5" s="111"/>
    </row>
    <row r="6" spans="1:32" ht="18" customHeight="1">
      <c r="A6" s="5123" t="s">
        <v>29</v>
      </c>
      <c r="B6" s="5280" t="s">
        <v>30</v>
      </c>
      <c r="C6" s="5281"/>
      <c r="D6" s="5282"/>
      <c r="E6" s="5280" t="s">
        <v>30</v>
      </c>
      <c r="F6" s="5281"/>
      <c r="G6" s="5281"/>
      <c r="H6" s="5280" t="s">
        <v>30</v>
      </c>
      <c r="I6" s="5281"/>
      <c r="J6" s="5282"/>
      <c r="K6" s="5280" t="s">
        <v>30</v>
      </c>
      <c r="L6" s="5281"/>
      <c r="M6" s="5281"/>
      <c r="N6" s="5280" t="s">
        <v>30</v>
      </c>
      <c r="O6" s="5281"/>
      <c r="P6" s="5282"/>
      <c r="Q6" s="4469" t="s">
        <v>31</v>
      </c>
      <c r="R6" s="4470"/>
      <c r="S6" s="4470"/>
      <c r="T6" s="5283" t="s">
        <v>31</v>
      </c>
      <c r="U6" s="4470"/>
      <c r="V6" s="5284"/>
      <c r="W6" s="111"/>
      <c r="X6" s="111"/>
      <c r="Y6" s="111"/>
      <c r="Z6" s="111"/>
      <c r="AA6" s="410"/>
      <c r="AB6" s="111"/>
      <c r="AC6" s="111"/>
      <c r="AD6" s="111"/>
      <c r="AE6" s="111"/>
    </row>
    <row r="7" spans="1:32" ht="18" customHeight="1">
      <c r="A7" s="420" t="s">
        <v>32</v>
      </c>
      <c r="B7" s="5126" t="s">
        <v>33</v>
      </c>
      <c r="C7" s="5127"/>
      <c r="D7" s="5128"/>
      <c r="E7" s="5126" t="s">
        <v>33</v>
      </c>
      <c r="F7" s="5129"/>
      <c r="G7" s="5129"/>
      <c r="H7" s="5126" t="s">
        <v>33</v>
      </c>
      <c r="I7" s="5129"/>
      <c r="J7" s="5130"/>
      <c r="K7" s="5126" t="s">
        <v>33</v>
      </c>
      <c r="L7" s="5129"/>
      <c r="M7" s="5130"/>
      <c r="N7" s="5126" t="s">
        <v>33</v>
      </c>
      <c r="O7" s="5129"/>
      <c r="P7" s="5130"/>
      <c r="Q7" s="5131" t="s">
        <v>34</v>
      </c>
      <c r="R7" s="5129"/>
      <c r="S7" s="5129"/>
      <c r="T7" s="5126" t="s">
        <v>35</v>
      </c>
      <c r="U7" s="5129"/>
      <c r="V7" s="5132"/>
      <c r="W7" s="111"/>
      <c r="X7" s="111"/>
      <c r="Y7" s="111"/>
      <c r="Z7" s="111"/>
      <c r="AA7" s="410"/>
      <c r="AB7" s="111"/>
      <c r="AC7" s="111"/>
      <c r="AD7" s="111"/>
      <c r="AE7" s="111"/>
    </row>
    <row r="8" spans="1:32" ht="18" customHeight="1"/>
    <row r="9" spans="1:32" ht="18" customHeight="1">
      <c r="A9" s="60" t="s">
        <v>36</v>
      </c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104"/>
    </row>
    <row r="10" spans="1:32" ht="18" customHeight="1">
      <c r="A10" s="869" t="s">
        <v>617</v>
      </c>
      <c r="B10" s="866">
        <v>1</v>
      </c>
      <c r="C10" s="865">
        <v>2</v>
      </c>
      <c r="D10" s="865">
        <v>3</v>
      </c>
      <c r="E10" s="865">
        <v>4</v>
      </c>
      <c r="F10" s="865">
        <v>5</v>
      </c>
      <c r="G10" s="865">
        <v>6</v>
      </c>
      <c r="H10" s="866">
        <v>7</v>
      </c>
      <c r="I10" s="866">
        <v>8</v>
      </c>
      <c r="J10" s="865">
        <v>9</v>
      </c>
      <c r="K10" s="865">
        <v>10</v>
      </c>
      <c r="L10" s="865">
        <v>11</v>
      </c>
      <c r="M10" s="865">
        <v>12</v>
      </c>
      <c r="N10" s="865">
        <v>13</v>
      </c>
      <c r="O10" s="866">
        <v>14</v>
      </c>
      <c r="P10" s="866">
        <v>15</v>
      </c>
      <c r="Q10" s="865">
        <v>16</v>
      </c>
      <c r="R10" s="865">
        <v>17</v>
      </c>
      <c r="S10" s="865">
        <v>18</v>
      </c>
      <c r="T10" s="865">
        <v>19</v>
      </c>
      <c r="U10" s="865">
        <v>20</v>
      </c>
      <c r="V10" s="866">
        <v>21</v>
      </c>
      <c r="W10" s="866">
        <v>22</v>
      </c>
      <c r="X10" s="865">
        <v>23</v>
      </c>
      <c r="Y10" s="865">
        <v>24</v>
      </c>
      <c r="Z10" s="865">
        <v>25</v>
      </c>
      <c r="AA10" s="865">
        <v>26</v>
      </c>
      <c r="AB10" s="865">
        <v>27</v>
      </c>
      <c r="AC10" s="866">
        <v>28</v>
      </c>
      <c r="AD10" s="866">
        <v>29</v>
      </c>
      <c r="AE10" s="865">
        <v>30</v>
      </c>
      <c r="AF10" s="867">
        <v>31</v>
      </c>
    </row>
    <row r="11" spans="1:32" ht="18" customHeight="1">
      <c r="A11" s="4785" t="s">
        <v>39</v>
      </c>
      <c r="B11" s="2989"/>
      <c r="C11" s="2990" t="s">
        <v>40</v>
      </c>
      <c r="D11" s="2990" t="s">
        <v>40</v>
      </c>
      <c r="E11" s="2990" t="s">
        <v>40</v>
      </c>
      <c r="F11" s="2990" t="s">
        <v>40</v>
      </c>
      <c r="G11" s="2990" t="s">
        <v>40</v>
      </c>
      <c r="H11" s="2848"/>
      <c r="I11" s="2989"/>
      <c r="J11" s="2990" t="s">
        <v>40</v>
      </c>
      <c r="K11" s="2990" t="s">
        <v>40</v>
      </c>
      <c r="L11" s="2990" t="s">
        <v>40</v>
      </c>
      <c r="M11" s="2990" t="s">
        <v>40</v>
      </c>
      <c r="N11" s="2990" t="s">
        <v>40</v>
      </c>
      <c r="O11" s="2848"/>
      <c r="P11" s="2989"/>
      <c r="Q11" s="2990" t="s">
        <v>40</v>
      </c>
      <c r="R11" s="2990" t="s">
        <v>40</v>
      </c>
      <c r="S11" s="2990" t="s">
        <v>40</v>
      </c>
      <c r="T11" s="2990" t="s">
        <v>40</v>
      </c>
      <c r="U11" s="2990" t="s">
        <v>40</v>
      </c>
      <c r="V11" s="2848"/>
      <c r="W11" s="2989"/>
      <c r="X11" s="2990" t="s">
        <v>40</v>
      </c>
      <c r="Y11" s="2990" t="s">
        <v>40</v>
      </c>
      <c r="Z11" s="2990" t="s">
        <v>40</v>
      </c>
      <c r="AA11" s="2990" t="s">
        <v>40</v>
      </c>
      <c r="AB11" s="2990" t="s">
        <v>40</v>
      </c>
      <c r="AC11" s="2848"/>
      <c r="AD11" s="2989"/>
      <c r="AE11" s="2990" t="s">
        <v>40</v>
      </c>
      <c r="AF11" s="5285" t="s">
        <v>40</v>
      </c>
    </row>
    <row r="12" spans="1:32" ht="18" customHeight="1">
      <c r="A12" s="5286" t="s">
        <v>41</v>
      </c>
      <c r="B12" s="5287"/>
      <c r="C12" s="5288" t="s">
        <v>40</v>
      </c>
      <c r="D12" s="5288" t="s">
        <v>40</v>
      </c>
      <c r="E12" s="5288" t="s">
        <v>40</v>
      </c>
      <c r="F12" s="5288" t="s">
        <v>40</v>
      </c>
      <c r="G12" s="5288" t="s">
        <v>40</v>
      </c>
      <c r="H12" s="5289"/>
      <c r="I12" s="5287"/>
      <c r="J12" s="5288" t="s">
        <v>40</v>
      </c>
      <c r="K12" s="5288" t="s">
        <v>40</v>
      </c>
      <c r="L12" s="5288" t="s">
        <v>40</v>
      </c>
      <c r="M12" s="5288" t="s">
        <v>40</v>
      </c>
      <c r="N12" s="5288" t="s">
        <v>40</v>
      </c>
      <c r="O12" s="5289"/>
      <c r="P12" s="5287"/>
      <c r="Q12" s="5288" t="s">
        <v>40</v>
      </c>
      <c r="R12" s="5288" t="s">
        <v>40</v>
      </c>
      <c r="S12" s="5288" t="s">
        <v>40</v>
      </c>
      <c r="T12" s="5288" t="s">
        <v>40</v>
      </c>
      <c r="U12" s="5288" t="s">
        <v>40</v>
      </c>
      <c r="V12" s="5289"/>
      <c r="W12" s="5287"/>
      <c r="X12" s="5288" t="s">
        <v>40</v>
      </c>
      <c r="Y12" s="5288" t="s">
        <v>40</v>
      </c>
      <c r="Z12" s="5288" t="s">
        <v>40</v>
      </c>
      <c r="AA12" s="5288" t="s">
        <v>40</v>
      </c>
      <c r="AB12" s="5288" t="s">
        <v>40</v>
      </c>
      <c r="AC12" s="5289"/>
      <c r="AD12" s="5287"/>
      <c r="AE12" s="5288" t="s">
        <v>40</v>
      </c>
      <c r="AF12" s="5290" t="s">
        <v>40</v>
      </c>
    </row>
    <row r="13" spans="1:32" ht="18" customHeight="1">
      <c r="A13" s="469" t="s">
        <v>472</v>
      </c>
      <c r="B13" s="5291"/>
      <c r="C13" s="5292" t="s">
        <v>40</v>
      </c>
      <c r="D13" s="5292" t="s">
        <v>40</v>
      </c>
      <c r="E13" s="5292" t="s">
        <v>40</v>
      </c>
      <c r="F13" s="5292" t="s">
        <v>40</v>
      </c>
      <c r="G13" s="5292" t="s">
        <v>40</v>
      </c>
      <c r="H13" s="5293"/>
      <c r="I13" s="5291"/>
      <c r="J13" s="5292" t="s">
        <v>40</v>
      </c>
      <c r="K13" s="5292" t="s">
        <v>40</v>
      </c>
      <c r="L13" s="5292" t="s">
        <v>40</v>
      </c>
      <c r="M13" s="5292" t="s">
        <v>40</v>
      </c>
      <c r="N13" s="5292" t="s">
        <v>40</v>
      </c>
      <c r="O13" s="5293"/>
      <c r="P13" s="5291"/>
      <c r="Q13" s="5292" t="s">
        <v>40</v>
      </c>
      <c r="R13" s="5292" t="s">
        <v>40</v>
      </c>
      <c r="S13" s="5292" t="s">
        <v>40</v>
      </c>
      <c r="T13" s="5292" t="s">
        <v>40</v>
      </c>
      <c r="U13" s="5292" t="s">
        <v>40</v>
      </c>
      <c r="V13" s="5293"/>
      <c r="W13" s="5291"/>
      <c r="X13" s="5292" t="s">
        <v>40</v>
      </c>
      <c r="Y13" s="5292" t="s">
        <v>40</v>
      </c>
      <c r="Z13" s="5292" t="s">
        <v>40</v>
      </c>
      <c r="AA13" s="5292" t="s">
        <v>40</v>
      </c>
      <c r="AB13" s="5292" t="s">
        <v>40</v>
      </c>
      <c r="AC13" s="5293"/>
      <c r="AD13" s="5291"/>
      <c r="AE13" s="5292" t="s">
        <v>40</v>
      </c>
      <c r="AF13" s="5294" t="s">
        <v>40</v>
      </c>
    </row>
    <row r="14" spans="1:32" ht="18" customHeight="1">
      <c r="A14" s="386" t="s">
        <v>44</v>
      </c>
      <c r="B14" s="1367"/>
      <c r="C14" s="1367"/>
      <c r="D14" s="1367"/>
      <c r="E14" s="1367"/>
      <c r="F14" s="1367"/>
      <c r="G14" s="1367"/>
      <c r="H14" s="1367"/>
      <c r="I14" s="1367"/>
      <c r="J14" s="1367"/>
      <c r="K14" s="1367"/>
      <c r="L14" s="1367"/>
      <c r="M14" s="1367"/>
      <c r="N14" s="1367"/>
      <c r="O14" s="1367"/>
      <c r="P14" s="1367"/>
      <c r="Q14" s="1367"/>
      <c r="R14" s="1367"/>
      <c r="S14" s="1367"/>
      <c r="T14" s="1367"/>
      <c r="U14" s="1367"/>
      <c r="V14" s="1367"/>
      <c r="W14" s="1367"/>
      <c r="X14" s="1367"/>
      <c r="Y14" s="1367"/>
      <c r="Z14" s="1367"/>
      <c r="AA14" s="1367"/>
      <c r="AB14" s="1367"/>
      <c r="AC14" s="1367"/>
      <c r="AD14" s="1367"/>
      <c r="AE14" s="1367"/>
      <c r="AF14" s="1368"/>
    </row>
    <row r="15" spans="1:32" ht="18" customHeight="1">
      <c r="A15" s="1339" t="s">
        <v>97</v>
      </c>
      <c r="B15" s="1369" t="s">
        <v>49</v>
      </c>
      <c r="C15" s="1369" t="s">
        <v>50</v>
      </c>
      <c r="D15" s="1369" t="s">
        <v>50</v>
      </c>
      <c r="E15" s="1369" t="s">
        <v>50</v>
      </c>
      <c r="F15" s="1369" t="s">
        <v>50</v>
      </c>
      <c r="G15" s="1369" t="s">
        <v>50</v>
      </c>
      <c r="H15" s="1370"/>
      <c r="I15" s="1369"/>
      <c r="J15" s="1369" t="s">
        <v>46</v>
      </c>
      <c r="K15" s="1370" t="s">
        <v>46</v>
      </c>
      <c r="L15" s="1369" t="s">
        <v>46</v>
      </c>
      <c r="M15" s="1369" t="s">
        <v>46</v>
      </c>
      <c r="N15" s="1369" t="s">
        <v>46</v>
      </c>
      <c r="O15" s="1430" t="s">
        <v>47</v>
      </c>
      <c r="P15" s="1371" t="s">
        <v>47</v>
      </c>
      <c r="Q15" s="1369" t="s">
        <v>26</v>
      </c>
      <c r="R15" s="1369" t="s">
        <v>26</v>
      </c>
      <c r="S15" s="1369" t="s">
        <v>26</v>
      </c>
      <c r="T15" s="1369" t="s">
        <v>26</v>
      </c>
      <c r="U15" s="1369" t="s">
        <v>26</v>
      </c>
      <c r="V15" s="1369" t="s">
        <v>0</v>
      </c>
      <c r="W15" s="1369"/>
      <c r="X15" s="1369" t="s">
        <v>43</v>
      </c>
      <c r="Y15" s="1369" t="s">
        <v>43</v>
      </c>
      <c r="Z15" s="1372" t="s">
        <v>43</v>
      </c>
      <c r="AA15" s="1372" t="s">
        <v>43</v>
      </c>
      <c r="AB15" s="1372" t="s">
        <v>43</v>
      </c>
      <c r="AC15" s="1369"/>
      <c r="AD15" s="1369"/>
      <c r="AE15" s="1369" t="s">
        <v>46</v>
      </c>
      <c r="AF15" s="1373" t="s">
        <v>46</v>
      </c>
    </row>
    <row r="16" spans="1:32" ht="18" customHeight="1">
      <c r="A16" s="750" t="s">
        <v>51</v>
      </c>
      <c r="B16" s="320"/>
      <c r="C16" s="320" t="s">
        <v>46</v>
      </c>
      <c r="D16" s="320" t="s">
        <v>46</v>
      </c>
      <c r="E16" s="320" t="s">
        <v>46</v>
      </c>
      <c r="F16" s="320" t="s">
        <v>46</v>
      </c>
      <c r="G16" s="320" t="s">
        <v>46</v>
      </c>
      <c r="H16" s="320" t="s">
        <v>47</v>
      </c>
      <c r="I16" s="320" t="s">
        <v>47</v>
      </c>
      <c r="J16" s="320" t="s">
        <v>26</v>
      </c>
      <c r="K16" s="320" t="s">
        <v>26</v>
      </c>
      <c r="L16" s="320" t="s">
        <v>26</v>
      </c>
      <c r="M16" s="320" t="s">
        <v>26</v>
      </c>
      <c r="N16" s="320" t="s">
        <v>26</v>
      </c>
      <c r="O16" s="343"/>
      <c r="P16" s="343"/>
      <c r="Q16" s="320" t="s">
        <v>43</v>
      </c>
      <c r="R16" s="320" t="s">
        <v>43</v>
      </c>
      <c r="S16" s="320" t="s">
        <v>43</v>
      </c>
      <c r="T16" s="320" t="s">
        <v>43</v>
      </c>
      <c r="U16" s="320" t="s">
        <v>43</v>
      </c>
      <c r="V16" s="320"/>
      <c r="W16" s="320"/>
      <c r="X16" s="320" t="s">
        <v>46</v>
      </c>
      <c r="Y16" s="320" t="s">
        <v>46</v>
      </c>
      <c r="Z16" s="1365" t="s">
        <v>46</v>
      </c>
      <c r="AA16" s="1365" t="s">
        <v>46</v>
      </c>
      <c r="AB16" s="1365" t="s">
        <v>46</v>
      </c>
      <c r="AC16" s="741" t="s">
        <v>49</v>
      </c>
      <c r="AD16" s="741" t="s">
        <v>49</v>
      </c>
      <c r="AE16" s="320" t="s">
        <v>50</v>
      </c>
      <c r="AF16" s="399" t="s">
        <v>50</v>
      </c>
    </row>
    <row r="17" spans="1:32" ht="18" customHeight="1">
      <c r="A17" s="750" t="s">
        <v>54</v>
      </c>
      <c r="B17" s="1366" t="s">
        <v>47</v>
      </c>
      <c r="C17" s="368" t="s">
        <v>26</v>
      </c>
      <c r="D17" s="340" t="s">
        <v>26</v>
      </c>
      <c r="E17" s="340" t="s">
        <v>26</v>
      </c>
      <c r="F17" s="340" t="s">
        <v>26</v>
      </c>
      <c r="G17" s="341" t="s">
        <v>26</v>
      </c>
      <c r="H17" s="340"/>
      <c r="I17" s="341"/>
      <c r="J17" s="341" t="s">
        <v>43</v>
      </c>
      <c r="K17" s="340" t="s">
        <v>43</v>
      </c>
      <c r="L17" s="341" t="s">
        <v>43</v>
      </c>
      <c r="M17" s="341" t="s">
        <v>43</v>
      </c>
      <c r="N17" s="341" t="s">
        <v>43</v>
      </c>
      <c r="O17" s="341"/>
      <c r="P17" s="341"/>
      <c r="Q17" s="341" t="s">
        <v>46</v>
      </c>
      <c r="R17" s="341" t="s">
        <v>46</v>
      </c>
      <c r="S17" s="320" t="s">
        <v>46</v>
      </c>
      <c r="T17" s="320" t="s">
        <v>46</v>
      </c>
      <c r="U17" s="340" t="s">
        <v>46</v>
      </c>
      <c r="V17" s="340" t="s">
        <v>49</v>
      </c>
      <c r="W17" s="340" t="s">
        <v>49</v>
      </c>
      <c r="X17" s="468" t="s">
        <v>50</v>
      </c>
      <c r="Y17" s="468" t="s">
        <v>50</v>
      </c>
      <c r="Z17" s="468" t="s">
        <v>50</v>
      </c>
      <c r="AA17" s="468" t="s">
        <v>50</v>
      </c>
      <c r="AB17" s="468" t="s">
        <v>50</v>
      </c>
      <c r="AC17" s="468"/>
      <c r="AD17" s="468"/>
      <c r="AE17" s="1366" t="s">
        <v>46</v>
      </c>
      <c r="AF17" s="1374" t="s">
        <v>46</v>
      </c>
    </row>
    <row r="18" spans="1:32" ht="18" customHeight="1">
      <c r="A18" s="364" t="s">
        <v>56</v>
      </c>
      <c r="B18" s="1366"/>
      <c r="C18" s="341" t="s">
        <v>43</v>
      </c>
      <c r="D18" s="341" t="s">
        <v>43</v>
      </c>
      <c r="E18" s="341" t="s">
        <v>43</v>
      </c>
      <c r="F18" s="342" t="s">
        <v>43</v>
      </c>
      <c r="G18" s="341" t="s">
        <v>43</v>
      </c>
      <c r="H18" s="354"/>
      <c r="I18" s="344"/>
      <c r="J18" s="341" t="s">
        <v>46</v>
      </c>
      <c r="K18" s="354" t="s">
        <v>46</v>
      </c>
      <c r="L18" s="344" t="s">
        <v>46</v>
      </c>
      <c r="M18" s="341" t="s">
        <v>46</v>
      </c>
      <c r="N18" s="344" t="s">
        <v>46</v>
      </c>
      <c r="O18" s="340" t="s">
        <v>49</v>
      </c>
      <c r="P18" s="340" t="s">
        <v>49</v>
      </c>
      <c r="Q18" s="341" t="s">
        <v>50</v>
      </c>
      <c r="R18" s="340" t="s">
        <v>50</v>
      </c>
      <c r="S18" s="340" t="s">
        <v>50</v>
      </c>
      <c r="T18" s="341" t="s">
        <v>50</v>
      </c>
      <c r="U18" s="340" t="s">
        <v>50</v>
      </c>
      <c r="V18" s="340"/>
      <c r="W18" s="340"/>
      <c r="X18" s="340" t="s">
        <v>46</v>
      </c>
      <c r="Y18" s="340" t="s">
        <v>46</v>
      </c>
      <c r="Z18" s="1365" t="s">
        <v>46</v>
      </c>
      <c r="AA18" s="1365" t="s">
        <v>46</v>
      </c>
      <c r="AB18" s="1364" t="s">
        <v>46</v>
      </c>
      <c r="AC18" s="1366" t="s">
        <v>47</v>
      </c>
      <c r="AD18" s="1366" t="s">
        <v>47</v>
      </c>
      <c r="AE18" s="1366" t="s">
        <v>26</v>
      </c>
      <c r="AF18" s="1374" t="s">
        <v>26</v>
      </c>
    </row>
    <row r="19" spans="1:32" ht="18" customHeight="1">
      <c r="B19" s="359"/>
      <c r="C19" s="1375" t="s">
        <v>46</v>
      </c>
      <c r="D19" s="1375" t="s">
        <v>46</v>
      </c>
      <c r="E19" s="1375" t="s">
        <v>46</v>
      </c>
      <c r="F19" s="1375" t="s">
        <v>46</v>
      </c>
      <c r="G19" s="1375" t="s">
        <v>46</v>
      </c>
      <c r="H19" s="1034" t="s">
        <v>49</v>
      </c>
      <c r="I19" s="1034" t="s">
        <v>49</v>
      </c>
      <c r="J19" s="1034" t="s">
        <v>50</v>
      </c>
      <c r="K19" s="1034" t="s">
        <v>50</v>
      </c>
      <c r="L19" s="1376" t="s">
        <v>50</v>
      </c>
      <c r="M19" s="1034" t="s">
        <v>50</v>
      </c>
      <c r="N19" s="1034" t="s">
        <v>50</v>
      </c>
      <c r="O19" s="359"/>
      <c r="P19" s="1034"/>
      <c r="Q19" s="1034" t="s">
        <v>46</v>
      </c>
      <c r="R19" s="382" t="s">
        <v>46</v>
      </c>
      <c r="S19" s="376" t="s">
        <v>46</v>
      </c>
      <c r="T19" s="382" t="s">
        <v>46</v>
      </c>
      <c r="U19" s="382" t="s">
        <v>46</v>
      </c>
      <c r="V19" s="1034" t="s">
        <v>47</v>
      </c>
      <c r="W19" s="377" t="s">
        <v>47</v>
      </c>
      <c r="X19" s="1034" t="s">
        <v>26</v>
      </c>
      <c r="Y19" s="1034" t="s">
        <v>26</v>
      </c>
      <c r="Z19" s="1377" t="s">
        <v>26</v>
      </c>
      <c r="AA19" s="1377" t="s">
        <v>26</v>
      </c>
      <c r="AB19" s="1377" t="s">
        <v>26</v>
      </c>
      <c r="AC19" s="1034"/>
      <c r="AD19" s="1034"/>
      <c r="AE19" s="1034" t="s">
        <v>43</v>
      </c>
      <c r="AF19" s="1378" t="s">
        <v>43</v>
      </c>
    </row>
    <row r="20" spans="1:32" ht="18" customHeight="1">
      <c r="A20" s="1431" t="s">
        <v>618</v>
      </c>
      <c r="B20" s="1509"/>
      <c r="C20" s="1509"/>
      <c r="D20" s="1509"/>
      <c r="E20" s="1509"/>
      <c r="F20" s="1509"/>
      <c r="G20" s="1509"/>
      <c r="H20" s="1509"/>
      <c r="I20" s="1509"/>
      <c r="J20" s="1509"/>
      <c r="K20" s="1509"/>
      <c r="L20" s="1509"/>
      <c r="M20" s="1509"/>
      <c r="N20" s="1509"/>
      <c r="O20" s="1509"/>
      <c r="P20" s="1509"/>
      <c r="Q20" s="1509"/>
      <c r="R20" s="1509"/>
      <c r="S20" s="1509"/>
      <c r="T20" s="1509"/>
      <c r="U20" s="1509"/>
      <c r="V20" s="1509"/>
      <c r="W20" s="1509"/>
      <c r="X20" s="1509"/>
      <c r="Y20" s="1509"/>
      <c r="Z20" s="1509"/>
      <c r="AA20" s="1509"/>
      <c r="AB20" s="1509"/>
      <c r="AC20" s="1509"/>
      <c r="AD20" s="1509"/>
      <c r="AE20" s="1509"/>
      <c r="AF20" s="1472"/>
    </row>
    <row r="21" spans="1:32" ht="18" customHeight="1">
      <c r="A21" s="4822" t="s">
        <v>59</v>
      </c>
      <c r="B21" s="3037"/>
      <c r="C21" s="3037" t="s">
        <v>40</v>
      </c>
      <c r="D21" s="3037" t="s">
        <v>40</v>
      </c>
      <c r="E21" s="3037" t="s">
        <v>40</v>
      </c>
      <c r="F21" s="3037" t="s">
        <v>40</v>
      </c>
      <c r="G21" s="3037" t="s">
        <v>40</v>
      </c>
      <c r="H21" s="3037"/>
      <c r="I21" s="3037"/>
      <c r="J21" s="3037" t="s">
        <v>40</v>
      </c>
      <c r="K21" s="3037" t="s">
        <v>40</v>
      </c>
      <c r="L21" s="3037" t="s">
        <v>40</v>
      </c>
      <c r="M21" s="3037" t="s">
        <v>40</v>
      </c>
      <c r="N21" s="3037" t="s">
        <v>40</v>
      </c>
      <c r="O21" s="3037"/>
      <c r="P21" s="3037"/>
      <c r="Q21" s="3037" t="s">
        <v>40</v>
      </c>
      <c r="R21" s="3037" t="s">
        <v>40</v>
      </c>
      <c r="S21" s="3037" t="s">
        <v>40</v>
      </c>
      <c r="T21" s="3037" t="s">
        <v>40</v>
      </c>
      <c r="U21" s="3037" t="s">
        <v>40</v>
      </c>
      <c r="V21" s="3037"/>
      <c r="W21" s="3037"/>
      <c r="X21" s="3037" t="s">
        <v>40</v>
      </c>
      <c r="Y21" s="3037" t="s">
        <v>40</v>
      </c>
      <c r="Z21" s="3037" t="s">
        <v>40</v>
      </c>
      <c r="AA21" s="3037" t="s">
        <v>40</v>
      </c>
      <c r="AB21" s="3037" t="s">
        <v>40</v>
      </c>
      <c r="AC21" s="3037"/>
      <c r="AD21" s="3037"/>
      <c r="AE21" s="3037" t="s">
        <v>40</v>
      </c>
      <c r="AF21" s="5295" t="s">
        <v>40</v>
      </c>
    </row>
    <row r="22" spans="1:32" ht="18" customHeight="1">
      <c r="A22" s="5296" t="s">
        <v>522</v>
      </c>
      <c r="B22" s="5297"/>
      <c r="C22" s="5298" t="s">
        <v>40</v>
      </c>
      <c r="D22" s="5297" t="s">
        <v>40</v>
      </c>
      <c r="E22" s="5297" t="s">
        <v>40</v>
      </c>
      <c r="F22" s="5297" t="s">
        <v>40</v>
      </c>
      <c r="G22" s="5297" t="s">
        <v>40</v>
      </c>
      <c r="H22" s="5297"/>
      <c r="I22" s="5299"/>
      <c r="J22" s="5299" t="s">
        <v>40</v>
      </c>
      <c r="K22" s="5298" t="s">
        <v>40</v>
      </c>
      <c r="L22" s="5298" t="s">
        <v>40</v>
      </c>
      <c r="M22" s="5298" t="s">
        <v>40</v>
      </c>
      <c r="N22" s="5298" t="s">
        <v>40</v>
      </c>
      <c r="O22" s="5298"/>
      <c r="P22" s="5298"/>
      <c r="Q22" s="5300" t="s">
        <v>40</v>
      </c>
      <c r="R22" s="5298" t="s">
        <v>40</v>
      </c>
      <c r="S22" s="5298" t="s">
        <v>40</v>
      </c>
      <c r="T22" s="5298" t="s">
        <v>40</v>
      </c>
      <c r="U22" s="5298" t="s">
        <v>40</v>
      </c>
      <c r="V22" s="5298"/>
      <c r="W22" s="5298"/>
      <c r="X22" s="5298" t="s">
        <v>40</v>
      </c>
      <c r="Y22" s="5298" t="s">
        <v>40</v>
      </c>
      <c r="Z22" s="5297" t="s">
        <v>40</v>
      </c>
      <c r="AA22" s="5297" t="s">
        <v>40</v>
      </c>
      <c r="AB22" s="5298" t="s">
        <v>40</v>
      </c>
      <c r="AC22" s="5297"/>
      <c r="AD22" s="5297"/>
      <c r="AE22" s="5298" t="s">
        <v>40</v>
      </c>
      <c r="AF22" s="5301" t="s">
        <v>40</v>
      </c>
    </row>
    <row r="23" spans="1:32" ht="18" customHeight="1">
      <c r="A23" s="495" t="s">
        <v>58</v>
      </c>
      <c r="B23" s="1432"/>
      <c r="C23" s="1432"/>
      <c r="D23" s="1432"/>
      <c r="E23" s="1432"/>
      <c r="F23" s="1432"/>
      <c r="G23" s="1432"/>
      <c r="H23" s="1432"/>
      <c r="I23" s="1432"/>
      <c r="J23" s="1432"/>
      <c r="K23" s="1432"/>
      <c r="L23" s="1432"/>
      <c r="M23" s="1432"/>
      <c r="N23" s="1432"/>
      <c r="O23" s="1432"/>
      <c r="P23" s="1432"/>
      <c r="Q23" s="1432"/>
      <c r="R23" s="1432"/>
      <c r="S23" s="1432"/>
      <c r="T23" s="1432"/>
      <c r="U23" s="1432"/>
      <c r="V23" s="1432"/>
      <c r="W23" s="1432"/>
      <c r="X23" s="1432"/>
      <c r="Y23" s="1432"/>
      <c r="Z23" s="1432"/>
      <c r="AA23" s="1432"/>
      <c r="AB23" s="1432"/>
      <c r="AC23" s="1432"/>
      <c r="AD23" s="1432"/>
      <c r="AE23" s="1432"/>
      <c r="AF23" s="1433"/>
    </row>
    <row r="24" spans="1:32" ht="18" customHeight="1">
      <c r="A24" s="68" t="s">
        <v>364</v>
      </c>
      <c r="B24" s="581"/>
      <c r="C24" s="501" t="s">
        <v>628</v>
      </c>
      <c r="D24" s="501" t="s">
        <v>46</v>
      </c>
      <c r="E24" s="581" t="s">
        <v>46</v>
      </c>
      <c r="F24" s="581" t="s">
        <v>46</v>
      </c>
      <c r="G24" s="508" t="s">
        <v>46</v>
      </c>
      <c r="H24" s="1034" t="s">
        <v>49</v>
      </c>
      <c r="I24" s="1034" t="s">
        <v>49</v>
      </c>
      <c r="J24" s="1034" t="s">
        <v>50</v>
      </c>
      <c r="K24" s="1034" t="s">
        <v>50</v>
      </c>
      <c r="L24" s="1376" t="s">
        <v>50</v>
      </c>
      <c r="M24" s="1034" t="s">
        <v>50</v>
      </c>
      <c r="N24" s="1034" t="s">
        <v>50</v>
      </c>
      <c r="O24" s="581"/>
      <c r="P24" s="581"/>
      <c r="Q24" s="501" t="s">
        <v>40</v>
      </c>
      <c r="R24" s="501" t="s">
        <v>40</v>
      </c>
      <c r="S24" s="501" t="s">
        <v>40</v>
      </c>
      <c r="T24" s="501" t="s">
        <v>40</v>
      </c>
      <c r="U24" s="501" t="s">
        <v>40</v>
      </c>
      <c r="V24" s="581"/>
      <c r="W24" s="581"/>
      <c r="X24" s="341" t="s">
        <v>50</v>
      </c>
      <c r="Y24" s="340" t="s">
        <v>50</v>
      </c>
      <c r="Z24" s="340" t="s">
        <v>50</v>
      </c>
      <c r="AA24" s="341" t="s">
        <v>50</v>
      </c>
      <c r="AB24" s="340" t="s">
        <v>50</v>
      </c>
      <c r="AC24" s="581"/>
      <c r="AD24" s="581"/>
      <c r="AE24" s="501" t="s">
        <v>40</v>
      </c>
      <c r="AF24" s="796" t="s">
        <v>40</v>
      </c>
    </row>
    <row r="25" spans="1:32" ht="18" customHeight="1">
      <c r="A25" s="5302" t="s">
        <v>88</v>
      </c>
      <c r="B25" s="5303"/>
      <c r="C25" s="5292" t="s">
        <v>40</v>
      </c>
      <c r="D25" s="5292" t="s">
        <v>40</v>
      </c>
      <c r="E25" s="5292" t="s">
        <v>40</v>
      </c>
      <c r="F25" s="5292" t="s">
        <v>40</v>
      </c>
      <c r="G25" s="5292" t="s">
        <v>40</v>
      </c>
      <c r="H25" s="5292"/>
      <c r="I25" s="5304"/>
      <c r="J25" s="5304" t="s">
        <v>40</v>
      </c>
      <c r="K25" s="5292" t="s">
        <v>40</v>
      </c>
      <c r="L25" s="5293" t="s">
        <v>40</v>
      </c>
      <c r="M25" s="5305" t="s">
        <v>40</v>
      </c>
      <c r="N25" s="5292" t="s">
        <v>40</v>
      </c>
      <c r="O25" s="5292" t="s">
        <v>47</v>
      </c>
      <c r="P25" s="5304"/>
      <c r="Q25" s="5304" t="s">
        <v>40</v>
      </c>
      <c r="R25" s="5292" t="s">
        <v>40</v>
      </c>
      <c r="S25" s="5292" t="s">
        <v>40</v>
      </c>
      <c r="T25" s="5292" t="s">
        <v>40</v>
      </c>
      <c r="U25" s="5292" t="s">
        <v>40</v>
      </c>
      <c r="V25" s="1034" t="s">
        <v>47</v>
      </c>
      <c r="W25" s="377" t="s">
        <v>47</v>
      </c>
      <c r="X25" s="1034" t="s">
        <v>26</v>
      </c>
      <c r="Y25" s="1034" t="s">
        <v>26</v>
      </c>
      <c r="Z25" s="1377" t="s">
        <v>26</v>
      </c>
      <c r="AA25" s="1377" t="s">
        <v>26</v>
      </c>
      <c r="AB25" s="1377" t="s">
        <v>26</v>
      </c>
      <c r="AC25" s="5292"/>
      <c r="AD25" s="5303"/>
      <c r="AE25" s="5304" t="s">
        <v>40</v>
      </c>
      <c r="AF25" s="5306" t="s">
        <v>40</v>
      </c>
    </row>
    <row r="26" spans="1:32" ht="15">
      <c r="A26" s="461" t="s">
        <v>619</v>
      </c>
      <c r="B26" s="455"/>
      <c r="C26" s="455"/>
      <c r="D26" s="455"/>
      <c r="E26" s="456"/>
      <c r="F26" s="457"/>
      <c r="G26" s="455"/>
      <c r="H26" s="458"/>
      <c r="I26" s="455"/>
      <c r="J26" s="455"/>
      <c r="K26" s="455"/>
      <c r="L26" s="457"/>
      <c r="M26" s="457"/>
      <c r="N26" s="455"/>
      <c r="O26" s="458"/>
      <c r="P26" s="459"/>
      <c r="Q26" s="455"/>
      <c r="R26" s="455"/>
      <c r="S26" s="457"/>
      <c r="T26" s="457"/>
      <c r="U26" s="455"/>
      <c r="V26" s="455"/>
      <c r="W26" s="455"/>
      <c r="X26" s="455"/>
      <c r="Y26" s="455"/>
      <c r="Z26" s="457"/>
      <c r="AA26" s="457"/>
      <c r="AB26" s="457"/>
      <c r="AC26" s="458"/>
      <c r="AD26" s="455"/>
      <c r="AE26" s="455"/>
      <c r="AF26" s="460"/>
    </row>
    <row r="27" spans="1:32" ht="17.25" customHeight="1" thickBot="1">
      <c r="A27" s="5307" t="s">
        <v>297</v>
      </c>
      <c r="B27" s="442"/>
      <c r="C27" s="5304" t="s">
        <v>40</v>
      </c>
      <c r="D27" s="5292" t="s">
        <v>40</v>
      </c>
      <c r="E27" s="5293" t="s">
        <v>40</v>
      </c>
      <c r="F27" s="5292">
        <v>89</v>
      </c>
      <c r="G27" s="5292" t="s">
        <v>40</v>
      </c>
      <c r="H27" s="5292"/>
      <c r="I27" s="5304"/>
      <c r="J27" s="5304" t="s">
        <v>40</v>
      </c>
      <c r="K27" s="5292" t="s">
        <v>40</v>
      </c>
      <c r="L27" s="5293" t="s">
        <v>40</v>
      </c>
      <c r="M27" s="5305" t="s">
        <v>40</v>
      </c>
      <c r="N27" s="5292" t="s">
        <v>40</v>
      </c>
      <c r="O27" s="5292"/>
      <c r="P27" s="5304"/>
      <c r="Q27" s="5304" t="s">
        <v>40</v>
      </c>
      <c r="R27" s="5292" t="s">
        <v>40</v>
      </c>
      <c r="S27" s="5292" t="s">
        <v>40</v>
      </c>
      <c r="T27" s="5292" t="s">
        <v>40</v>
      </c>
      <c r="U27" s="5292" t="s">
        <v>40</v>
      </c>
      <c r="V27" s="5292"/>
      <c r="W27" s="5304"/>
      <c r="X27" s="5304" t="s">
        <v>152</v>
      </c>
      <c r="Y27" s="5304" t="s">
        <v>152</v>
      </c>
      <c r="Z27" s="5293" t="s">
        <v>152</v>
      </c>
      <c r="AA27" s="5292" t="s">
        <v>152</v>
      </c>
      <c r="AB27" s="5292" t="s">
        <v>152</v>
      </c>
      <c r="AC27" s="5292"/>
      <c r="AD27" s="5303"/>
      <c r="AE27" s="5304" t="s">
        <v>40</v>
      </c>
      <c r="AF27" s="5306" t="s">
        <v>40</v>
      </c>
    </row>
    <row r="28" spans="1:32" ht="15">
      <c r="A28" s="361" t="s">
        <v>620</v>
      </c>
      <c r="B28" s="448"/>
      <c r="C28" s="448"/>
      <c r="D28" s="448"/>
      <c r="E28" s="449"/>
      <c r="F28" s="450"/>
      <c r="G28" s="448"/>
      <c r="H28" s="451"/>
      <c r="I28" s="448"/>
      <c r="J28" s="448"/>
      <c r="K28" s="448"/>
      <c r="L28" s="450"/>
      <c r="M28" s="450"/>
      <c r="N28" s="448"/>
      <c r="O28" s="451"/>
      <c r="P28" s="452"/>
      <c r="Q28" s="448"/>
      <c r="R28" s="448"/>
      <c r="S28" s="450"/>
      <c r="T28" s="450"/>
      <c r="U28" s="448"/>
      <c r="V28" s="448"/>
      <c r="W28" s="448"/>
      <c r="X28" s="448"/>
      <c r="Y28" s="448"/>
      <c r="Z28" s="450"/>
      <c r="AA28" s="450"/>
      <c r="AB28" s="450"/>
      <c r="AC28" s="451"/>
      <c r="AD28" s="448"/>
      <c r="AE28" s="448"/>
      <c r="AF28" s="453"/>
    </row>
    <row r="29" spans="1:32" ht="17.25" customHeight="1">
      <c r="A29" s="454" t="s">
        <v>65</v>
      </c>
      <c r="B29" s="382"/>
      <c r="C29" s="5304" t="s">
        <v>40</v>
      </c>
      <c r="D29" s="5292" t="s">
        <v>40</v>
      </c>
      <c r="E29" s="5293" t="s">
        <v>40</v>
      </c>
      <c r="F29" s="5292" t="s">
        <v>40</v>
      </c>
      <c r="G29" s="5292" t="s">
        <v>40</v>
      </c>
      <c r="H29" s="5292"/>
      <c r="I29" s="5304"/>
      <c r="J29" s="5308" t="s">
        <v>40</v>
      </c>
      <c r="K29" s="5308" t="s">
        <v>40</v>
      </c>
      <c r="L29" s="5308" t="s">
        <v>40</v>
      </c>
      <c r="M29" s="5308" t="s">
        <v>40</v>
      </c>
      <c r="N29" s="5308" t="s">
        <v>40</v>
      </c>
      <c r="O29" s="5308"/>
      <c r="P29" s="5308"/>
      <c r="Q29" s="5308" t="s">
        <v>40</v>
      </c>
      <c r="R29" s="5308" t="s">
        <v>40</v>
      </c>
      <c r="S29" s="5308" t="s">
        <v>40</v>
      </c>
      <c r="T29" s="5308" t="s">
        <v>40</v>
      </c>
      <c r="U29" s="5308" t="s">
        <v>40</v>
      </c>
      <c r="V29" s="5308"/>
      <c r="W29" s="5308"/>
      <c r="X29" s="5309" t="s">
        <v>40</v>
      </c>
      <c r="Y29" s="5304" t="s">
        <v>40</v>
      </c>
      <c r="Z29" s="5293" t="s">
        <v>40</v>
      </c>
      <c r="AA29" s="5292" t="s">
        <v>40</v>
      </c>
      <c r="AB29" s="5292" t="s">
        <v>40</v>
      </c>
      <c r="AC29" s="5292"/>
      <c r="AD29" s="5303"/>
      <c r="AE29" s="5304" t="s">
        <v>40</v>
      </c>
      <c r="AF29" s="5306" t="s">
        <v>40</v>
      </c>
    </row>
    <row r="30" spans="1:32" ht="12.75">
      <c r="A30" s="96"/>
      <c r="O30" t="s">
        <v>0</v>
      </c>
      <c r="Q30" t="s">
        <v>67</v>
      </c>
      <c r="R30" t="s">
        <v>0</v>
      </c>
      <c r="S30" t="s">
        <v>68</v>
      </c>
    </row>
    <row r="31" spans="1:32" ht="15">
      <c r="A31" s="362" t="s">
        <v>584</v>
      </c>
      <c r="B31" s="866">
        <v>1</v>
      </c>
      <c r="C31" s="865">
        <v>2</v>
      </c>
      <c r="D31" s="872">
        <v>3</v>
      </c>
      <c r="E31" s="872">
        <v>4</v>
      </c>
      <c r="F31" s="872">
        <v>5</v>
      </c>
      <c r="G31" s="872">
        <v>6</v>
      </c>
      <c r="H31" s="873">
        <v>7</v>
      </c>
      <c r="I31" s="873">
        <v>8</v>
      </c>
      <c r="J31" s="872">
        <v>9</v>
      </c>
      <c r="K31" s="872">
        <v>10</v>
      </c>
      <c r="L31" s="872">
        <v>11</v>
      </c>
      <c r="M31" s="872">
        <v>12</v>
      </c>
      <c r="N31" s="872">
        <v>13</v>
      </c>
      <c r="O31" s="873">
        <v>14</v>
      </c>
      <c r="P31" s="873">
        <v>15</v>
      </c>
      <c r="Q31" s="872">
        <v>16</v>
      </c>
      <c r="R31" s="872">
        <v>17</v>
      </c>
      <c r="S31" s="872">
        <v>18</v>
      </c>
      <c r="T31" s="872">
        <v>19</v>
      </c>
      <c r="U31" s="872">
        <v>20</v>
      </c>
      <c r="V31" s="873">
        <v>21</v>
      </c>
      <c r="W31" s="873">
        <v>22</v>
      </c>
      <c r="X31" s="872">
        <v>23</v>
      </c>
      <c r="Y31" s="872">
        <v>24</v>
      </c>
      <c r="Z31" s="872">
        <v>25</v>
      </c>
      <c r="AA31" s="872">
        <v>26</v>
      </c>
      <c r="AB31" s="872">
        <v>27</v>
      </c>
      <c r="AC31" s="873">
        <v>28</v>
      </c>
      <c r="AD31" s="873">
        <v>29</v>
      </c>
      <c r="AE31" s="872">
        <v>30</v>
      </c>
      <c r="AF31" s="874">
        <v>31</v>
      </c>
    </row>
    <row r="32" spans="1:32">
      <c r="A32" s="356"/>
      <c r="B32" s="343"/>
      <c r="C32" s="343"/>
      <c r="D32" s="343"/>
      <c r="E32" s="343"/>
      <c r="F32" s="343"/>
      <c r="G32" s="343"/>
      <c r="H32" s="343"/>
      <c r="I32" s="343"/>
      <c r="K32" s="343"/>
      <c r="L32" s="343"/>
      <c r="M32" s="343"/>
      <c r="N32" s="343"/>
      <c r="O32" s="343"/>
      <c r="P32" s="343"/>
      <c r="Q32" s="343"/>
      <c r="R32" s="343"/>
      <c r="S32" s="343"/>
      <c r="T32" s="343"/>
      <c r="U32" s="343"/>
      <c r="V32" s="343"/>
      <c r="W32" s="343"/>
      <c r="X32" s="343"/>
      <c r="Y32" s="343"/>
      <c r="Z32" s="343"/>
      <c r="AA32" s="343"/>
      <c r="AB32" s="343"/>
      <c r="AC32" s="343"/>
      <c r="AD32" s="343"/>
      <c r="AE32" s="343"/>
      <c r="AF32" s="357"/>
    </row>
    <row r="33" spans="1:32">
      <c r="A33" s="356"/>
      <c r="B33" s="343"/>
      <c r="C33" s="343"/>
      <c r="D33" s="343"/>
      <c r="E33" s="343"/>
      <c r="F33" s="343"/>
      <c r="G33" s="343"/>
      <c r="H33" s="343"/>
      <c r="I33" s="343"/>
      <c r="J33" s="343"/>
      <c r="K33" s="343"/>
      <c r="L33" s="343"/>
      <c r="M33" s="343"/>
      <c r="N33" s="343"/>
      <c r="Q33" s="343"/>
      <c r="R33" s="343"/>
      <c r="S33" s="343"/>
      <c r="T33" s="343"/>
      <c r="U33" s="343"/>
      <c r="V33" s="343"/>
      <c r="W33" s="343"/>
      <c r="AE33" s="343"/>
      <c r="AF33" s="357"/>
    </row>
    <row r="34" spans="1:32">
      <c r="A34" s="356"/>
      <c r="B34" s="343"/>
      <c r="C34" s="343"/>
      <c r="D34" s="343"/>
      <c r="E34" s="343"/>
      <c r="F34" s="343"/>
      <c r="G34" s="343"/>
      <c r="H34" s="343"/>
      <c r="I34" s="343"/>
      <c r="J34" s="343"/>
      <c r="K34" s="343"/>
      <c r="L34" s="343"/>
      <c r="M34" s="343"/>
      <c r="N34" s="343"/>
      <c r="Q34" s="343"/>
      <c r="R34" s="343"/>
      <c r="S34" s="343"/>
      <c r="T34" s="343"/>
      <c r="U34" s="343"/>
      <c r="V34" s="343"/>
      <c r="W34" s="343"/>
      <c r="Z34" s="343"/>
      <c r="AA34" s="343"/>
      <c r="AB34" s="343" t="s">
        <v>373</v>
      </c>
      <c r="AC34" s="343" t="s">
        <v>373</v>
      </c>
      <c r="AD34" s="343" t="s">
        <v>113</v>
      </c>
      <c r="AE34" s="343"/>
      <c r="AF34" s="357"/>
    </row>
    <row r="35" spans="1:32">
      <c r="A35" s="356"/>
      <c r="B35" s="343"/>
      <c r="C35" s="343"/>
      <c r="D35" s="343"/>
      <c r="E35" s="343"/>
      <c r="F35" s="343"/>
      <c r="G35" s="343"/>
      <c r="H35" s="343"/>
      <c r="I35" s="343"/>
      <c r="J35" s="343"/>
      <c r="K35" s="343"/>
      <c r="L35" s="343"/>
      <c r="M35" s="343"/>
      <c r="N35" s="343"/>
      <c r="O35" s="5287" t="s">
        <v>429</v>
      </c>
      <c r="P35" s="343"/>
      <c r="Q35" s="343"/>
      <c r="R35" s="343"/>
      <c r="S35" s="343"/>
      <c r="T35" s="343"/>
      <c r="U35" s="343"/>
      <c r="V35" s="343"/>
      <c r="W35" s="343"/>
      <c r="X35" s="343"/>
      <c r="Y35" s="343"/>
      <c r="Z35" s="343"/>
      <c r="AA35" s="343"/>
      <c r="AB35" s="343"/>
      <c r="AC35" s="343"/>
      <c r="AD35" s="343"/>
      <c r="AE35" s="343"/>
      <c r="AF35" s="357"/>
    </row>
    <row r="36" spans="1:32">
      <c r="A36" s="358"/>
      <c r="B36" s="359"/>
      <c r="C36" s="359"/>
      <c r="D36" s="359"/>
      <c r="E36" s="359"/>
      <c r="F36" s="359"/>
      <c r="G36" s="359"/>
      <c r="H36" s="359"/>
      <c r="I36" s="359"/>
      <c r="J36" s="359"/>
      <c r="K36" s="359"/>
      <c r="L36" s="359"/>
      <c r="M36" s="359"/>
      <c r="N36" s="359"/>
      <c r="O36" s="359"/>
      <c r="P36" s="359"/>
      <c r="Q36" s="359"/>
      <c r="R36" s="359"/>
      <c r="S36" s="359"/>
      <c r="T36" s="359"/>
      <c r="U36" s="359"/>
      <c r="V36" s="359"/>
      <c r="W36" s="359"/>
      <c r="X36" s="359"/>
      <c r="Y36" s="359"/>
      <c r="Z36" s="359"/>
      <c r="AA36" s="359"/>
      <c r="AB36" s="359"/>
      <c r="AC36" s="359"/>
      <c r="AD36" s="359"/>
      <c r="AE36" s="359"/>
      <c r="AF36" s="360"/>
    </row>
    <row r="37" spans="1:32">
      <c r="A37" s="111"/>
      <c r="B37" s="111"/>
      <c r="C37" s="111"/>
      <c r="D37" s="111"/>
      <c r="E37" s="111"/>
      <c r="F37" s="111"/>
      <c r="G37" s="111"/>
      <c r="H37" s="111"/>
      <c r="I37" s="111"/>
      <c r="J37" s="111"/>
      <c r="K37" s="111"/>
      <c r="L37" s="111"/>
      <c r="M37" s="111"/>
      <c r="N37" s="111"/>
      <c r="O37" s="111"/>
      <c r="P37" s="111"/>
      <c r="Q37" s="111"/>
      <c r="R37" s="111"/>
      <c r="S37" s="111"/>
      <c r="T37" s="111"/>
      <c r="U37" s="111"/>
      <c r="V37" s="111"/>
      <c r="W37" s="111"/>
      <c r="X37" s="111"/>
      <c r="Y37" s="111"/>
      <c r="Z37" s="111"/>
      <c r="AA37" s="111"/>
      <c r="AB37" s="111"/>
      <c r="AC37" s="111"/>
      <c r="AD37" s="111"/>
      <c r="AE37" s="111"/>
      <c r="AF37" s="111"/>
    </row>
    <row r="38" spans="1:32" ht="15">
      <c r="A38" s="310" t="s">
        <v>66</v>
      </c>
      <c r="B38" s="111"/>
      <c r="C38" s="111"/>
      <c r="D38" s="111"/>
      <c r="E38" s="111"/>
      <c r="F38" s="111"/>
      <c r="G38" s="111"/>
      <c r="H38" s="111"/>
      <c r="I38" s="111"/>
      <c r="J38" s="111"/>
      <c r="K38" s="111"/>
      <c r="L38" s="111"/>
      <c r="M38" s="111"/>
      <c r="N38" s="111"/>
      <c r="O38" s="111"/>
      <c r="P38" s="111"/>
      <c r="Q38" s="111"/>
      <c r="R38" s="111"/>
      <c r="S38" s="111"/>
      <c r="T38" s="111"/>
      <c r="U38" s="111"/>
      <c r="V38" s="111"/>
      <c r="W38" s="111"/>
      <c r="X38" s="111"/>
      <c r="Y38" s="111"/>
      <c r="Z38" s="111"/>
      <c r="AA38" s="111"/>
      <c r="AB38" s="111"/>
      <c r="AC38" s="111"/>
      <c r="AD38" s="111"/>
      <c r="AE38" s="111"/>
      <c r="AF38" s="111"/>
    </row>
    <row r="39" spans="1:32" ht="15">
      <c r="A39" s="5310" t="s">
        <v>74</v>
      </c>
      <c r="B39" s="5311"/>
      <c r="C39" s="5311"/>
      <c r="D39" s="5312" t="s">
        <v>75</v>
      </c>
      <c r="E39" s="5313"/>
      <c r="F39" s="5314"/>
      <c r="G39" s="5314"/>
      <c r="H39" s="5314"/>
      <c r="I39" s="5314"/>
      <c r="J39" s="5314"/>
      <c r="K39" s="5314"/>
      <c r="L39" s="5315"/>
      <c r="M39" s="5316" t="s">
        <v>76</v>
      </c>
      <c r="N39" s="5311"/>
      <c r="O39" s="5317"/>
      <c r="P39" s="5311"/>
      <c r="Q39" s="5311"/>
      <c r="R39" s="5311"/>
      <c r="S39" s="5318"/>
      <c r="T39" s="5312" t="s">
        <v>77</v>
      </c>
      <c r="U39" s="5314"/>
      <c r="V39" s="5313"/>
      <c r="W39" s="5314"/>
      <c r="X39" s="5314"/>
      <c r="Y39" s="5314"/>
      <c r="Z39" s="5315"/>
      <c r="AA39" s="97" t="s">
        <v>78</v>
      </c>
      <c r="AD39" s="59"/>
    </row>
    <row r="40" spans="1:32" ht="15">
      <c r="A40" s="5319" t="s">
        <v>79</v>
      </c>
      <c r="B40" s="5314"/>
      <c r="C40" s="5314"/>
      <c r="D40" s="5320"/>
      <c r="E40" s="5314"/>
      <c r="F40" s="5314"/>
      <c r="G40" s="5315"/>
      <c r="H40" s="5321" t="s">
        <v>80</v>
      </c>
      <c r="I40" s="5314"/>
      <c r="J40" s="5314"/>
      <c r="K40" s="5314"/>
      <c r="L40" s="5314"/>
      <c r="M40" s="5322"/>
      <c r="N40" s="5314"/>
      <c r="O40" s="5314"/>
      <c r="P40" s="5314"/>
      <c r="Q40" s="5314"/>
      <c r="R40" s="5314"/>
      <c r="S40" s="5314"/>
      <c r="T40" s="5320"/>
      <c r="U40" s="96" t="s">
        <v>81</v>
      </c>
      <c r="AA40" s="5317"/>
      <c r="AB40" s="5311"/>
      <c r="AC40" s="5311"/>
      <c r="AD40" s="5311"/>
      <c r="AE40" s="5311"/>
      <c r="AF40" s="5311"/>
    </row>
    <row r="41" spans="1:32" ht="15">
      <c r="A41" s="5323" t="s">
        <v>82</v>
      </c>
      <c r="B41" s="5324"/>
      <c r="C41" s="5324"/>
      <c r="D41" s="5325"/>
      <c r="E41" s="5324"/>
      <c r="F41" s="5324"/>
      <c r="G41" s="5326"/>
      <c r="H41" s="5327" t="s">
        <v>83</v>
      </c>
      <c r="I41" s="5326"/>
      <c r="J41" s="5324"/>
      <c r="K41" s="5324"/>
      <c r="L41" s="5324"/>
      <c r="M41" s="5328"/>
      <c r="N41" s="5324"/>
      <c r="O41" s="5324"/>
      <c r="P41" s="5324"/>
      <c r="Q41" s="5329"/>
      <c r="R41" s="5329"/>
      <c r="S41" s="5329"/>
      <c r="T41" s="5325"/>
      <c r="U41" s="5330" t="s">
        <v>84</v>
      </c>
      <c r="V41" s="5324"/>
      <c r="W41" s="5324"/>
      <c r="X41" s="5324"/>
      <c r="Y41" s="5324"/>
      <c r="Z41" s="5324"/>
      <c r="AA41" s="5324"/>
      <c r="AB41" s="5324"/>
      <c r="AC41" s="5324"/>
      <c r="AD41" s="5324"/>
      <c r="AE41" s="5324"/>
      <c r="AF41" s="5324"/>
    </row>
    <row r="43" spans="1:32" ht="18" customHeight="1">
      <c r="A43" s="62" t="s">
        <v>36</v>
      </c>
      <c r="B43" s="48"/>
      <c r="C43" s="48"/>
      <c r="D43" s="48"/>
      <c r="E43" s="48"/>
      <c r="F43" s="48"/>
      <c r="G43" s="48"/>
      <c r="H43" s="48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  <c r="AA43" s="48"/>
      <c r="AB43" s="48"/>
      <c r="AC43" s="48"/>
      <c r="AD43" s="48"/>
      <c r="AE43" s="48"/>
      <c r="AF43" s="103"/>
    </row>
    <row r="44" spans="1:32" ht="18" customHeight="1">
      <c r="A44" s="426" t="s">
        <v>523</v>
      </c>
      <c r="B44" s="2986">
        <v>1</v>
      </c>
      <c r="C44" s="2985">
        <v>2</v>
      </c>
      <c r="D44" s="2985">
        <v>3</v>
      </c>
      <c r="E44" s="2985">
        <v>4</v>
      </c>
      <c r="F44" s="2985">
        <v>5</v>
      </c>
      <c r="G44" s="2985">
        <v>6</v>
      </c>
      <c r="H44" s="2986">
        <v>7</v>
      </c>
      <c r="I44" s="2986">
        <v>8</v>
      </c>
      <c r="J44" s="2985">
        <v>9</v>
      </c>
      <c r="K44" s="2985">
        <v>10</v>
      </c>
      <c r="L44" s="2985">
        <v>11</v>
      </c>
      <c r="M44" s="2985">
        <v>12</v>
      </c>
      <c r="N44" s="2985">
        <v>13</v>
      </c>
      <c r="O44" s="2986">
        <v>14</v>
      </c>
      <c r="P44" s="2986">
        <v>15</v>
      </c>
      <c r="Q44" s="2985">
        <v>16</v>
      </c>
      <c r="R44" s="2985">
        <v>17</v>
      </c>
      <c r="S44" s="2985">
        <v>18</v>
      </c>
      <c r="T44" s="2985">
        <v>19</v>
      </c>
      <c r="U44" s="2985">
        <v>20</v>
      </c>
      <c r="V44" s="2986">
        <v>21</v>
      </c>
      <c r="W44" s="2986">
        <v>22</v>
      </c>
      <c r="X44" s="2985">
        <v>23</v>
      </c>
      <c r="Y44" s="2985">
        <v>24</v>
      </c>
      <c r="Z44" s="2985">
        <v>25</v>
      </c>
      <c r="AA44" s="2985">
        <v>26</v>
      </c>
      <c r="AB44" s="2985">
        <v>27</v>
      </c>
      <c r="AC44" s="2986">
        <v>28</v>
      </c>
      <c r="AD44" s="2986">
        <v>29</v>
      </c>
      <c r="AE44" s="2985">
        <v>30</v>
      </c>
      <c r="AF44" s="2985">
        <v>31</v>
      </c>
    </row>
    <row r="45" spans="1:32" ht="18" customHeight="1">
      <c r="A45" s="5280" t="s">
        <v>85</v>
      </c>
      <c r="B45" s="3088"/>
      <c r="C45" s="3089">
        <v>10</v>
      </c>
      <c r="D45" s="3088">
        <v>10</v>
      </c>
      <c r="E45" s="3088">
        <v>10</v>
      </c>
      <c r="F45" s="3088">
        <v>10</v>
      </c>
      <c r="G45" s="3088">
        <v>10</v>
      </c>
      <c r="H45" s="3088" t="s">
        <v>53</v>
      </c>
      <c r="I45" s="5331" t="s">
        <v>53</v>
      </c>
      <c r="J45" s="3088" t="s">
        <v>46</v>
      </c>
      <c r="K45" s="3088" t="s">
        <v>46</v>
      </c>
      <c r="L45" s="3088" t="s">
        <v>46</v>
      </c>
      <c r="M45" s="3088" t="s">
        <v>46</v>
      </c>
      <c r="N45" s="3089" t="s">
        <v>46</v>
      </c>
      <c r="O45" s="3088" t="s">
        <v>86</v>
      </c>
      <c r="P45" s="3090" t="s">
        <v>86</v>
      </c>
      <c r="Q45" s="3089">
        <v>7</v>
      </c>
      <c r="R45" s="3088">
        <v>7</v>
      </c>
      <c r="S45" s="3088">
        <v>7</v>
      </c>
      <c r="T45" s="3088">
        <v>7</v>
      </c>
      <c r="U45" s="3088">
        <v>7</v>
      </c>
      <c r="V45" s="3088"/>
      <c r="W45" s="3090"/>
      <c r="X45" s="3090">
        <v>4</v>
      </c>
      <c r="Y45" s="3088">
        <v>4</v>
      </c>
      <c r="Z45" s="3088">
        <v>4</v>
      </c>
      <c r="AA45" s="3090">
        <v>4</v>
      </c>
      <c r="AB45" s="3090">
        <v>4</v>
      </c>
      <c r="AC45" s="3090"/>
      <c r="AD45" s="3088"/>
      <c r="AE45" s="3088">
        <v>3</v>
      </c>
      <c r="AF45" s="3088">
        <v>3</v>
      </c>
    </row>
    <row r="46" spans="1:32" ht="18" customHeight="1">
      <c r="A46" s="5332" t="s">
        <v>177</v>
      </c>
      <c r="B46" s="5333"/>
      <c r="C46" s="5333">
        <v>11</v>
      </c>
      <c r="D46" s="5333">
        <v>11</v>
      </c>
      <c r="E46" s="5333">
        <v>11</v>
      </c>
      <c r="F46" s="5333">
        <v>11</v>
      </c>
      <c r="G46" s="5333">
        <v>11</v>
      </c>
      <c r="H46" s="5333" t="s">
        <v>87</v>
      </c>
      <c r="I46" s="5333" t="s">
        <v>87</v>
      </c>
      <c r="J46" s="5333" t="s">
        <v>46</v>
      </c>
      <c r="K46" s="5333" t="s">
        <v>46</v>
      </c>
      <c r="L46" s="5333" t="s">
        <v>46</v>
      </c>
      <c r="M46" s="5333" t="s">
        <v>46</v>
      </c>
      <c r="N46" s="5333" t="s">
        <v>46</v>
      </c>
      <c r="O46" s="5333" t="s">
        <v>89</v>
      </c>
      <c r="P46" s="5333" t="s">
        <v>89</v>
      </c>
      <c r="Q46" s="5333">
        <v>8</v>
      </c>
      <c r="R46" s="5333">
        <v>8</v>
      </c>
      <c r="S46" s="5333">
        <v>8</v>
      </c>
      <c r="T46" s="5333">
        <v>8</v>
      </c>
      <c r="U46" s="5333">
        <v>8</v>
      </c>
      <c r="V46" s="5333"/>
      <c r="W46" s="5333"/>
      <c r="X46" s="5333" t="s">
        <v>46</v>
      </c>
      <c r="Y46" s="5333" t="s">
        <v>46</v>
      </c>
      <c r="Z46" s="5333" t="s">
        <v>46</v>
      </c>
      <c r="AA46" s="5333" t="s">
        <v>46</v>
      </c>
      <c r="AB46" s="5333" t="s">
        <v>46</v>
      </c>
      <c r="AC46" s="5333"/>
      <c r="AD46" s="5333"/>
      <c r="AE46" s="5333">
        <v>1</v>
      </c>
      <c r="AF46" s="5333">
        <v>1</v>
      </c>
    </row>
    <row r="47" spans="1:32" ht="18" customHeight="1">
      <c r="A47" s="5334" t="s">
        <v>90</v>
      </c>
      <c r="B47" s="5303"/>
      <c r="C47" s="5303">
        <v>9</v>
      </c>
      <c r="D47" s="5335">
        <v>9</v>
      </c>
      <c r="E47" s="5303">
        <v>9</v>
      </c>
      <c r="F47" s="5303">
        <v>9</v>
      </c>
      <c r="G47" s="5303">
        <v>9</v>
      </c>
      <c r="H47" s="5303" t="s">
        <v>52</v>
      </c>
      <c r="I47" s="5303" t="s">
        <v>52</v>
      </c>
      <c r="J47" s="5303" t="s">
        <v>46</v>
      </c>
      <c r="K47" s="5303" t="s">
        <v>46</v>
      </c>
      <c r="L47" s="5291" t="s">
        <v>46</v>
      </c>
      <c r="M47" s="5303" t="s">
        <v>46</v>
      </c>
      <c r="N47" s="5303" t="s">
        <v>46</v>
      </c>
      <c r="O47" s="5303" t="s">
        <v>91</v>
      </c>
      <c r="P47" s="5303" t="s">
        <v>89</v>
      </c>
      <c r="Q47" s="5303">
        <v>6</v>
      </c>
      <c r="R47" s="5303">
        <v>6</v>
      </c>
      <c r="S47" s="5292">
        <v>6</v>
      </c>
      <c r="T47" s="5303">
        <v>6</v>
      </c>
      <c r="U47" s="5303">
        <v>6</v>
      </c>
      <c r="V47" s="5303"/>
      <c r="W47" s="5303"/>
      <c r="X47" s="5303" t="s">
        <v>46</v>
      </c>
      <c r="Y47" s="5303" t="s">
        <v>46</v>
      </c>
      <c r="Z47" s="5303" t="s">
        <v>46</v>
      </c>
      <c r="AA47" s="5303" t="s">
        <v>46</v>
      </c>
      <c r="AB47" s="5303" t="s">
        <v>46</v>
      </c>
      <c r="AC47" s="5303"/>
      <c r="AD47" s="5303"/>
      <c r="AE47" s="5303">
        <v>5</v>
      </c>
      <c r="AF47" s="5303">
        <v>5</v>
      </c>
    </row>
    <row r="48" spans="1:32" ht="18" customHeight="1">
      <c r="A48" s="3035" t="s">
        <v>92</v>
      </c>
      <c r="B48" s="2989" t="s">
        <v>53</v>
      </c>
      <c r="C48" s="2990" t="s">
        <v>46</v>
      </c>
      <c r="D48" s="2990" t="s">
        <v>46</v>
      </c>
      <c r="E48" s="2989" t="s">
        <v>46</v>
      </c>
      <c r="F48" s="2989" t="s">
        <v>46</v>
      </c>
      <c r="G48" s="3088" t="s">
        <v>46</v>
      </c>
      <c r="H48" s="3088" t="s">
        <v>86</v>
      </c>
      <c r="I48" s="3089" t="s">
        <v>86</v>
      </c>
      <c r="J48" s="3089">
        <v>7</v>
      </c>
      <c r="K48" s="3088">
        <v>7</v>
      </c>
      <c r="L48" s="3088">
        <v>7</v>
      </c>
      <c r="M48" s="3088">
        <v>7</v>
      </c>
      <c r="N48" s="3090">
        <v>7</v>
      </c>
      <c r="O48" s="3088"/>
      <c r="P48" s="3090"/>
      <c r="Q48" s="3090">
        <v>4</v>
      </c>
      <c r="R48" s="3089">
        <v>4</v>
      </c>
      <c r="S48" s="3090">
        <v>4</v>
      </c>
      <c r="T48" s="3090">
        <v>4</v>
      </c>
      <c r="U48" s="3090">
        <v>4</v>
      </c>
      <c r="V48" s="3090"/>
      <c r="W48" s="3090"/>
      <c r="X48" s="3088">
        <v>3</v>
      </c>
      <c r="Y48" s="3088">
        <v>3</v>
      </c>
      <c r="Z48" s="3088">
        <v>3</v>
      </c>
      <c r="AA48" s="3088">
        <v>3</v>
      </c>
      <c r="AB48" s="3090">
        <v>3</v>
      </c>
      <c r="AC48" s="3090"/>
      <c r="AD48" s="3088"/>
      <c r="AE48" s="3088">
        <v>11</v>
      </c>
      <c r="AF48" s="3088">
        <v>11</v>
      </c>
    </row>
    <row r="49" spans="1:32" ht="18" customHeight="1">
      <c r="A49" s="5332" t="s">
        <v>243</v>
      </c>
      <c r="B49" s="5336" t="s">
        <v>87</v>
      </c>
      <c r="C49" s="5288" t="s">
        <v>46</v>
      </c>
      <c r="D49" s="5288" t="s">
        <v>46</v>
      </c>
      <c r="E49" s="5287" t="s">
        <v>46</v>
      </c>
      <c r="F49" s="5287" t="s">
        <v>46</v>
      </c>
      <c r="G49" s="5337" t="s">
        <v>46</v>
      </c>
      <c r="H49" s="5338" t="s">
        <v>89</v>
      </c>
      <c r="I49" s="5338" t="s">
        <v>89</v>
      </c>
      <c r="J49" s="5338">
        <v>8</v>
      </c>
      <c r="K49" s="5338">
        <v>8</v>
      </c>
      <c r="L49" s="5338">
        <v>8</v>
      </c>
      <c r="M49" s="5339">
        <v>8</v>
      </c>
      <c r="N49" s="5339">
        <v>8</v>
      </c>
      <c r="O49" s="5288"/>
      <c r="P49" s="5288"/>
      <c r="Q49" s="5340" t="s">
        <v>46</v>
      </c>
      <c r="R49" s="5340" t="s">
        <v>46</v>
      </c>
      <c r="S49" s="5340" t="s">
        <v>46</v>
      </c>
      <c r="T49" s="5340" t="s">
        <v>46</v>
      </c>
      <c r="U49" s="5340" t="s">
        <v>46</v>
      </c>
      <c r="V49" s="5341"/>
      <c r="W49" s="5341"/>
      <c r="X49" s="5341">
        <v>1</v>
      </c>
      <c r="Y49" s="5341">
        <v>1</v>
      </c>
      <c r="Z49" s="5341">
        <v>1</v>
      </c>
      <c r="AA49" s="5341">
        <v>1</v>
      </c>
      <c r="AB49" s="5341">
        <v>1</v>
      </c>
      <c r="AC49" s="5338"/>
      <c r="AD49" s="5336"/>
      <c r="AE49" s="5338">
        <v>9</v>
      </c>
      <c r="AF49" s="5338">
        <v>9</v>
      </c>
    </row>
    <row r="50" spans="1:32" ht="18" customHeight="1">
      <c r="A50" s="5342" t="s">
        <v>94</v>
      </c>
      <c r="B50" s="5308" t="s">
        <v>52</v>
      </c>
      <c r="C50" s="5291" t="s">
        <v>46</v>
      </c>
      <c r="D50" s="5291" t="s">
        <v>46</v>
      </c>
      <c r="E50" s="5291" t="s">
        <v>46</v>
      </c>
      <c r="F50" s="5291" t="s">
        <v>46</v>
      </c>
      <c r="G50" s="5291" t="s">
        <v>46</v>
      </c>
      <c r="H50" s="5291" t="s">
        <v>91</v>
      </c>
      <c r="I50" s="5291" t="s">
        <v>89</v>
      </c>
      <c r="J50" s="5291">
        <v>6</v>
      </c>
      <c r="K50" s="5291">
        <v>6</v>
      </c>
      <c r="L50" s="5291">
        <v>6</v>
      </c>
      <c r="M50" s="5291">
        <v>6</v>
      </c>
      <c r="N50" s="5291">
        <v>6</v>
      </c>
      <c r="O50" s="5291"/>
      <c r="P50" s="5291"/>
      <c r="Q50" s="5291" t="s">
        <v>46</v>
      </c>
      <c r="R50" s="5291" t="s">
        <v>46</v>
      </c>
      <c r="S50" s="5291" t="s">
        <v>46</v>
      </c>
      <c r="T50" s="5291" t="s">
        <v>46</v>
      </c>
      <c r="U50" s="5291" t="s">
        <v>46</v>
      </c>
      <c r="V50" s="5291"/>
      <c r="W50" s="5291"/>
      <c r="X50" s="5291">
        <v>5</v>
      </c>
      <c r="Y50" s="5291">
        <v>5</v>
      </c>
      <c r="Z50" s="5291">
        <v>5</v>
      </c>
      <c r="AA50" s="5291">
        <v>5</v>
      </c>
      <c r="AB50" s="5291">
        <v>5</v>
      </c>
      <c r="AC50" s="5291"/>
      <c r="AD50" s="5291"/>
      <c r="AE50" s="5291">
        <v>10</v>
      </c>
      <c r="AF50" s="5291">
        <v>10</v>
      </c>
    </row>
    <row r="51" spans="1:32" ht="18" customHeight="1">
      <c r="A51" s="3104" t="s">
        <v>95</v>
      </c>
      <c r="B51" s="501" t="s">
        <v>86</v>
      </c>
      <c r="C51" s="508">
        <v>7</v>
      </c>
      <c r="D51" s="504">
        <v>7</v>
      </c>
      <c r="E51" s="504">
        <v>7</v>
      </c>
      <c r="F51" s="504">
        <v>7</v>
      </c>
      <c r="G51" s="504">
        <v>7</v>
      </c>
      <c r="H51" s="504"/>
      <c r="I51" s="508"/>
      <c r="J51" s="508">
        <v>4</v>
      </c>
      <c r="K51" s="508">
        <v>4</v>
      </c>
      <c r="L51" s="508">
        <v>4</v>
      </c>
      <c r="M51" s="508">
        <v>4</v>
      </c>
      <c r="N51" s="508">
        <v>4</v>
      </c>
      <c r="O51" s="508"/>
      <c r="P51" s="508"/>
      <c r="Q51" s="504">
        <v>3</v>
      </c>
      <c r="R51" s="504">
        <v>3</v>
      </c>
      <c r="S51" s="504">
        <v>3</v>
      </c>
      <c r="T51" s="504">
        <v>3</v>
      </c>
      <c r="U51" s="508">
        <v>3</v>
      </c>
      <c r="V51" s="508"/>
      <c r="W51" s="501"/>
      <c r="X51" s="504">
        <v>11</v>
      </c>
      <c r="Y51" s="504">
        <v>11</v>
      </c>
      <c r="Z51" s="504">
        <v>11</v>
      </c>
      <c r="AA51" s="504">
        <v>11</v>
      </c>
      <c r="AB51" s="509">
        <v>11</v>
      </c>
      <c r="AC51" s="504" t="s">
        <v>87</v>
      </c>
      <c r="AD51" s="504" t="s">
        <v>87</v>
      </c>
      <c r="AE51" s="504" t="s">
        <v>46</v>
      </c>
      <c r="AF51" s="504" t="s">
        <v>46</v>
      </c>
    </row>
    <row r="52" spans="1:32" ht="18" customHeight="1">
      <c r="A52" s="5332" t="s">
        <v>96</v>
      </c>
      <c r="B52" s="5287" t="s">
        <v>89</v>
      </c>
      <c r="C52" s="5287">
        <v>8</v>
      </c>
      <c r="D52" s="5287">
        <v>8</v>
      </c>
      <c r="E52" s="5287">
        <v>8</v>
      </c>
      <c r="F52" s="5287">
        <v>8</v>
      </c>
      <c r="G52" s="5287">
        <v>8</v>
      </c>
      <c r="H52" s="5287"/>
      <c r="I52" s="5287"/>
      <c r="J52" s="5287" t="s">
        <v>46</v>
      </c>
      <c r="K52" s="5287" t="s">
        <v>46</v>
      </c>
      <c r="L52" s="5287" t="s">
        <v>46</v>
      </c>
      <c r="M52" s="5287" t="s">
        <v>46</v>
      </c>
      <c r="N52" s="5287" t="s">
        <v>46</v>
      </c>
      <c r="O52" s="5287"/>
      <c r="P52" s="5287"/>
      <c r="Q52" s="5287">
        <v>1</v>
      </c>
      <c r="R52" s="5287">
        <v>1</v>
      </c>
      <c r="S52" s="5287">
        <v>1</v>
      </c>
      <c r="T52" s="5287">
        <v>1</v>
      </c>
      <c r="U52" s="5287">
        <v>1</v>
      </c>
      <c r="V52" s="5287"/>
      <c r="W52" s="5287"/>
      <c r="X52" s="5337">
        <v>9</v>
      </c>
      <c r="Y52" s="5337">
        <v>9</v>
      </c>
      <c r="Z52" s="5337">
        <v>9</v>
      </c>
      <c r="AA52" s="5337">
        <v>9</v>
      </c>
      <c r="AB52" s="5337">
        <v>9</v>
      </c>
      <c r="AC52" s="5343" t="s">
        <v>52</v>
      </c>
      <c r="AD52" s="5343" t="s">
        <v>52</v>
      </c>
      <c r="AE52" s="5339" t="s">
        <v>46</v>
      </c>
      <c r="AF52" s="5339" t="s">
        <v>46</v>
      </c>
    </row>
    <row r="53" spans="1:32" ht="18" customHeight="1">
      <c r="A53" s="5334" t="s">
        <v>147</v>
      </c>
      <c r="B53" s="5304" t="s">
        <v>89</v>
      </c>
      <c r="C53" s="5308">
        <v>6</v>
      </c>
      <c r="D53" s="5308">
        <v>6</v>
      </c>
      <c r="E53" s="5308">
        <v>6</v>
      </c>
      <c r="F53" s="5308">
        <v>6</v>
      </c>
      <c r="G53" s="5308">
        <v>6</v>
      </c>
      <c r="H53" s="5308"/>
      <c r="I53" s="5308"/>
      <c r="J53" s="5303" t="s">
        <v>46</v>
      </c>
      <c r="K53" s="5344" t="s">
        <v>46</v>
      </c>
      <c r="L53" s="5303" t="s">
        <v>46</v>
      </c>
      <c r="M53" s="5344" t="s">
        <v>46</v>
      </c>
      <c r="N53" s="5344" t="s">
        <v>46</v>
      </c>
      <c r="O53" s="5344"/>
      <c r="P53" s="5303"/>
      <c r="Q53" s="5303">
        <v>5</v>
      </c>
      <c r="R53" s="5303">
        <v>5</v>
      </c>
      <c r="S53" s="5303">
        <v>5</v>
      </c>
      <c r="T53" s="5303">
        <v>5</v>
      </c>
      <c r="U53" s="5303">
        <v>5</v>
      </c>
      <c r="V53" s="5303"/>
      <c r="W53" s="5303"/>
      <c r="X53" s="5304">
        <v>10</v>
      </c>
      <c r="Y53" s="5303">
        <v>10</v>
      </c>
      <c r="Z53" s="5303">
        <v>10</v>
      </c>
      <c r="AA53" s="5303">
        <v>10</v>
      </c>
      <c r="AB53" s="5303">
        <v>10</v>
      </c>
      <c r="AC53" s="5303" t="s">
        <v>53</v>
      </c>
      <c r="AD53" s="5291" t="s">
        <v>53</v>
      </c>
      <c r="AE53" s="5303" t="s">
        <v>46</v>
      </c>
      <c r="AF53" s="5303" t="s">
        <v>46</v>
      </c>
    </row>
    <row r="54" spans="1:32" ht="18" customHeight="1">
      <c r="A54" s="3035"/>
      <c r="B54" s="501"/>
      <c r="C54" s="508">
        <v>4</v>
      </c>
      <c r="D54" s="504">
        <v>4</v>
      </c>
      <c r="E54" s="504">
        <v>4</v>
      </c>
      <c r="F54" s="504">
        <v>4</v>
      </c>
      <c r="G54" s="504">
        <v>4</v>
      </c>
      <c r="H54" s="504"/>
      <c r="I54" s="508"/>
      <c r="J54" s="508">
        <v>3</v>
      </c>
      <c r="K54" s="508">
        <v>3</v>
      </c>
      <c r="L54" s="508">
        <v>3</v>
      </c>
      <c r="M54" s="508">
        <v>3</v>
      </c>
      <c r="N54" s="508">
        <v>3</v>
      </c>
      <c r="O54" s="508"/>
      <c r="P54" s="508"/>
      <c r="Q54" s="504">
        <v>11</v>
      </c>
      <c r="R54" s="504">
        <v>11</v>
      </c>
      <c r="S54" s="504">
        <v>11</v>
      </c>
      <c r="T54" s="504">
        <v>11</v>
      </c>
      <c r="U54" s="508">
        <v>11</v>
      </c>
      <c r="V54" s="508" t="s">
        <v>87</v>
      </c>
      <c r="W54" s="501" t="s">
        <v>87</v>
      </c>
      <c r="X54" s="504" t="s">
        <v>46</v>
      </c>
      <c r="Y54" s="504" t="s">
        <v>46</v>
      </c>
      <c r="Z54" s="504" t="s">
        <v>46</v>
      </c>
      <c r="AA54" s="504" t="s">
        <v>46</v>
      </c>
      <c r="AB54" s="509" t="s">
        <v>46</v>
      </c>
      <c r="AC54" s="504" t="s">
        <v>89</v>
      </c>
      <c r="AD54" s="504" t="s">
        <v>89</v>
      </c>
      <c r="AE54" s="504">
        <v>8</v>
      </c>
      <c r="AF54" s="504">
        <v>8</v>
      </c>
    </row>
    <row r="55" spans="1:32" ht="18" customHeight="1">
      <c r="A55" s="5332" t="s">
        <v>101</v>
      </c>
      <c r="B55" s="5287"/>
      <c r="C55" s="5287" t="s">
        <v>46</v>
      </c>
      <c r="D55" s="5287" t="s">
        <v>46</v>
      </c>
      <c r="E55" s="5287" t="s">
        <v>46</v>
      </c>
      <c r="F55" s="5287" t="s">
        <v>46</v>
      </c>
      <c r="G55" s="5287" t="s">
        <v>46</v>
      </c>
      <c r="H55" s="5288"/>
      <c r="I55" s="5287"/>
      <c r="J55" s="5287">
        <v>1</v>
      </c>
      <c r="K55" s="5287">
        <v>1</v>
      </c>
      <c r="L55" s="5287">
        <v>1</v>
      </c>
      <c r="M55" s="5343">
        <v>1</v>
      </c>
      <c r="N55" s="5287">
        <v>1</v>
      </c>
      <c r="O55" s="5287"/>
      <c r="P55" s="5287"/>
      <c r="Q55" s="5287">
        <v>9</v>
      </c>
      <c r="R55" s="5287">
        <v>9</v>
      </c>
      <c r="S55" s="5287">
        <v>9</v>
      </c>
      <c r="T55" s="5287">
        <v>9</v>
      </c>
      <c r="U55" s="5337">
        <v>9</v>
      </c>
      <c r="V55" s="5337" t="s">
        <v>52</v>
      </c>
      <c r="W55" s="5341" t="s">
        <v>52</v>
      </c>
      <c r="X55" s="5337" t="s">
        <v>46</v>
      </c>
      <c r="Y55" s="5337" t="s">
        <v>46</v>
      </c>
      <c r="Z55" s="5337" t="s">
        <v>46</v>
      </c>
      <c r="AA55" s="5337" t="s">
        <v>46</v>
      </c>
      <c r="AB55" s="5337" t="s">
        <v>46</v>
      </c>
      <c r="AC55" s="5343" t="s">
        <v>91</v>
      </c>
      <c r="AD55" s="5343" t="s">
        <v>89</v>
      </c>
      <c r="AE55" s="5339">
        <v>6</v>
      </c>
      <c r="AF55" s="5339">
        <v>6</v>
      </c>
    </row>
    <row r="56" spans="1:32" ht="18" customHeight="1">
      <c r="A56" s="5334" t="s">
        <v>102</v>
      </c>
      <c r="B56" s="5304"/>
      <c r="C56" s="5304" t="s">
        <v>46</v>
      </c>
      <c r="D56" s="5303" t="s">
        <v>46</v>
      </c>
      <c r="E56" s="5303" t="s">
        <v>46</v>
      </c>
      <c r="F56" s="5303" t="s">
        <v>46</v>
      </c>
      <c r="G56" s="5303" t="s">
        <v>46</v>
      </c>
      <c r="H56" s="5303"/>
      <c r="I56" s="5304"/>
      <c r="J56" s="5303">
        <v>5</v>
      </c>
      <c r="K56" s="5344">
        <v>5</v>
      </c>
      <c r="L56" s="5303">
        <v>5</v>
      </c>
      <c r="M56" s="5344">
        <v>5</v>
      </c>
      <c r="N56" s="5344">
        <v>5</v>
      </c>
      <c r="O56" s="5344"/>
      <c r="P56" s="5303"/>
      <c r="Q56" s="5303">
        <v>10</v>
      </c>
      <c r="R56" s="5303">
        <v>10</v>
      </c>
      <c r="S56" s="5303">
        <v>10</v>
      </c>
      <c r="T56" s="5303">
        <v>10</v>
      </c>
      <c r="U56" s="5303">
        <v>10</v>
      </c>
      <c r="V56" s="5303" t="s">
        <v>53</v>
      </c>
      <c r="W56" s="5291" t="s">
        <v>53</v>
      </c>
      <c r="X56" s="5304" t="s">
        <v>46</v>
      </c>
      <c r="Y56" s="5303" t="s">
        <v>46</v>
      </c>
      <c r="Z56" s="5303" t="s">
        <v>46</v>
      </c>
      <c r="AA56" s="5303" t="s">
        <v>46</v>
      </c>
      <c r="AB56" s="5303" t="s">
        <v>46</v>
      </c>
      <c r="AC56" s="5303" t="s">
        <v>86</v>
      </c>
      <c r="AD56" s="5304" t="s">
        <v>86</v>
      </c>
      <c r="AE56" s="5303">
        <v>7</v>
      </c>
      <c r="AF56" s="5303">
        <v>7</v>
      </c>
    </row>
    <row r="57" spans="1:32" ht="18" customHeight="1">
      <c r="A57" s="5332" t="s">
        <v>190</v>
      </c>
      <c r="B57" s="3089"/>
      <c r="C57" s="2989">
        <v>3</v>
      </c>
      <c r="D57" s="2989">
        <v>3</v>
      </c>
      <c r="E57" s="2989">
        <v>3</v>
      </c>
      <c r="F57" s="2989">
        <v>3</v>
      </c>
      <c r="G57" s="2989">
        <v>3</v>
      </c>
      <c r="H57" s="2989"/>
      <c r="I57" s="2989"/>
      <c r="J57" s="3088">
        <v>11</v>
      </c>
      <c r="K57" s="3088">
        <v>11</v>
      </c>
      <c r="L57" s="3088">
        <v>11</v>
      </c>
      <c r="M57" s="3112">
        <v>11</v>
      </c>
      <c r="N57" s="3089">
        <v>11</v>
      </c>
      <c r="O57" s="3088" t="s">
        <v>87</v>
      </c>
      <c r="P57" s="3088" t="s">
        <v>87</v>
      </c>
      <c r="Q57" s="3089" t="s">
        <v>46</v>
      </c>
      <c r="R57" s="3088" t="s">
        <v>46</v>
      </c>
      <c r="S57" s="3088" t="s">
        <v>46</v>
      </c>
      <c r="T57" s="3090" t="s">
        <v>46</v>
      </c>
      <c r="U57" s="3090" t="s">
        <v>46</v>
      </c>
      <c r="V57" s="3090" t="s">
        <v>89</v>
      </c>
      <c r="W57" s="3090" t="s">
        <v>89</v>
      </c>
      <c r="X57" s="3112">
        <v>8</v>
      </c>
      <c r="Y57" s="3090">
        <v>8</v>
      </c>
      <c r="Z57" s="3090">
        <v>8</v>
      </c>
      <c r="AA57" s="3090">
        <v>8</v>
      </c>
      <c r="AB57" s="3090">
        <v>8</v>
      </c>
      <c r="AC57" s="3088"/>
      <c r="AD57" s="3088"/>
      <c r="AE57" s="3089" t="s">
        <v>46</v>
      </c>
      <c r="AF57" s="3089" t="s">
        <v>46</v>
      </c>
    </row>
    <row r="58" spans="1:32" ht="18" customHeight="1">
      <c r="A58" s="5332" t="s">
        <v>105</v>
      </c>
      <c r="B58" s="5343"/>
      <c r="C58" s="5343">
        <v>1</v>
      </c>
      <c r="D58" s="5343">
        <v>1</v>
      </c>
      <c r="E58" s="5343">
        <v>1</v>
      </c>
      <c r="F58" s="5343">
        <v>1</v>
      </c>
      <c r="G58" s="5343">
        <v>1</v>
      </c>
      <c r="H58" s="5288"/>
      <c r="I58" s="5288"/>
      <c r="J58" s="5288">
        <v>9</v>
      </c>
      <c r="K58" s="5288">
        <v>9</v>
      </c>
      <c r="L58" s="5288">
        <v>9</v>
      </c>
      <c r="M58" s="5288">
        <v>9</v>
      </c>
      <c r="N58" s="5343">
        <v>9</v>
      </c>
      <c r="O58" s="5343" t="s">
        <v>52</v>
      </c>
      <c r="P58" s="5343" t="s">
        <v>52</v>
      </c>
      <c r="Q58" s="5343" t="s">
        <v>46</v>
      </c>
      <c r="R58" s="5343" t="s">
        <v>46</v>
      </c>
      <c r="S58" s="5288" t="s">
        <v>46</v>
      </c>
      <c r="T58" s="5288" t="s">
        <v>46</v>
      </c>
      <c r="U58" s="5287" t="s">
        <v>46</v>
      </c>
      <c r="V58" s="5287" t="s">
        <v>91</v>
      </c>
      <c r="W58" s="5287" t="s">
        <v>89</v>
      </c>
      <c r="X58" s="5287">
        <v>6</v>
      </c>
      <c r="Y58" s="5287">
        <v>6</v>
      </c>
      <c r="Z58" s="5287">
        <v>6</v>
      </c>
      <c r="AA58" s="5287">
        <v>6</v>
      </c>
      <c r="AB58" s="5337">
        <v>6</v>
      </c>
      <c r="AC58" s="5337"/>
      <c r="AD58" s="5337"/>
      <c r="AE58" s="5337" t="s">
        <v>46</v>
      </c>
      <c r="AF58" s="5337" t="s">
        <v>46</v>
      </c>
    </row>
    <row r="59" spans="1:32" ht="18" customHeight="1">
      <c r="A59" s="5334" t="s">
        <v>134</v>
      </c>
      <c r="B59" s="5303"/>
      <c r="C59" s="5303">
        <v>5</v>
      </c>
      <c r="D59" s="5303">
        <v>5</v>
      </c>
      <c r="E59" s="5344">
        <v>5</v>
      </c>
      <c r="F59" s="5344">
        <v>5</v>
      </c>
      <c r="G59" s="5344">
        <v>5</v>
      </c>
      <c r="H59" s="5344"/>
      <c r="I59" s="5344"/>
      <c r="J59" s="5304">
        <v>10</v>
      </c>
      <c r="K59" s="5303">
        <v>10</v>
      </c>
      <c r="L59" s="5303">
        <v>10</v>
      </c>
      <c r="M59" s="5303">
        <v>10</v>
      </c>
      <c r="N59" s="5291">
        <v>10</v>
      </c>
      <c r="O59" s="5291" t="s">
        <v>53</v>
      </c>
      <c r="P59" s="5291" t="s">
        <v>53</v>
      </c>
      <c r="Q59" s="5291" t="s">
        <v>46</v>
      </c>
      <c r="R59" s="5291" t="s">
        <v>46</v>
      </c>
      <c r="S59" s="5291" t="s">
        <v>46</v>
      </c>
      <c r="T59" s="5291" t="s">
        <v>46</v>
      </c>
      <c r="U59" s="5303" t="s">
        <v>46</v>
      </c>
      <c r="V59" s="5303" t="s">
        <v>86</v>
      </c>
      <c r="W59" s="5303" t="s">
        <v>86</v>
      </c>
      <c r="X59" s="5304">
        <v>7</v>
      </c>
      <c r="Y59" s="5303">
        <v>7</v>
      </c>
      <c r="Z59" s="5303">
        <v>7</v>
      </c>
      <c r="AA59" s="5303">
        <v>7</v>
      </c>
      <c r="AB59" s="5303">
        <v>7</v>
      </c>
      <c r="AC59" s="5303"/>
      <c r="AD59" s="5304"/>
      <c r="AE59" s="5304">
        <v>4</v>
      </c>
      <c r="AF59" s="5304">
        <v>4</v>
      </c>
    </row>
    <row r="60" spans="1:32" ht="18" customHeight="1">
      <c r="A60" s="3059"/>
      <c r="B60" s="5345"/>
      <c r="C60" s="5346"/>
      <c r="D60" s="5346"/>
      <c r="E60" s="5346"/>
      <c r="F60" s="5347"/>
      <c r="G60" s="5347"/>
      <c r="H60" s="5347"/>
      <c r="I60" s="5347"/>
      <c r="J60" s="5347"/>
      <c r="K60" s="5348"/>
      <c r="L60" s="5348"/>
      <c r="M60" s="5347"/>
      <c r="N60" s="5347"/>
      <c r="O60" s="5348"/>
      <c r="P60" s="5348"/>
      <c r="Q60" s="5348"/>
      <c r="R60" s="5347"/>
      <c r="S60" s="5347"/>
      <c r="T60" s="5345"/>
      <c r="U60" s="5345"/>
      <c r="V60" s="5348"/>
      <c r="W60" s="5348"/>
      <c r="X60" s="5349"/>
      <c r="Y60" s="5349"/>
      <c r="Z60" s="5349"/>
      <c r="AA60" s="5349"/>
      <c r="AB60" s="5349"/>
      <c r="AC60" s="5349"/>
      <c r="AD60" s="5349"/>
      <c r="AE60" s="5349"/>
      <c r="AF60" s="108"/>
    </row>
    <row r="62" spans="1:32" ht="18" customHeight="1">
      <c r="A62" s="363" t="s">
        <v>537</v>
      </c>
      <c r="B62" s="866">
        <v>1</v>
      </c>
      <c r="C62" s="865">
        <v>2</v>
      </c>
      <c r="D62" s="865">
        <v>3</v>
      </c>
      <c r="E62" s="865">
        <v>4</v>
      </c>
      <c r="F62" s="865">
        <v>5</v>
      </c>
      <c r="G62" s="865">
        <v>6</v>
      </c>
      <c r="H62" s="866">
        <v>7</v>
      </c>
      <c r="I62" s="866">
        <v>8</v>
      </c>
      <c r="J62" s="865">
        <v>9</v>
      </c>
      <c r="K62" s="865">
        <v>10</v>
      </c>
      <c r="L62" s="865">
        <v>11</v>
      </c>
      <c r="M62" s="865">
        <v>12</v>
      </c>
      <c r="N62" s="865">
        <v>13</v>
      </c>
      <c r="O62" s="866">
        <v>14</v>
      </c>
      <c r="P62" s="866">
        <v>15</v>
      </c>
      <c r="Q62" s="865">
        <v>16</v>
      </c>
      <c r="R62" s="865">
        <v>17</v>
      </c>
      <c r="S62" s="865">
        <v>18</v>
      </c>
      <c r="T62" s="865">
        <v>19</v>
      </c>
      <c r="U62" s="865">
        <v>20</v>
      </c>
      <c r="V62" s="866">
        <v>21</v>
      </c>
      <c r="W62" s="866">
        <v>22</v>
      </c>
      <c r="X62" s="865">
        <v>23</v>
      </c>
      <c r="Y62" s="865">
        <v>24</v>
      </c>
      <c r="Z62" s="865">
        <v>25</v>
      </c>
      <c r="AA62" s="865">
        <v>26</v>
      </c>
      <c r="AB62" s="865">
        <v>27</v>
      </c>
      <c r="AC62" s="866">
        <v>28</v>
      </c>
      <c r="AD62" s="866">
        <v>29</v>
      </c>
      <c r="AE62" s="865">
        <v>30</v>
      </c>
      <c r="AF62" s="867">
        <v>31</v>
      </c>
    </row>
    <row r="63" spans="1:32" ht="18" customHeight="1">
      <c r="A63" s="5350" t="s">
        <v>112</v>
      </c>
      <c r="B63" s="5351"/>
      <c r="C63" s="5341" t="s">
        <v>475</v>
      </c>
      <c r="D63" s="5341" t="s">
        <v>475</v>
      </c>
      <c r="E63" s="5341" t="s">
        <v>475</v>
      </c>
      <c r="F63" s="5341" t="s">
        <v>475</v>
      </c>
      <c r="G63" s="5341" t="s">
        <v>475</v>
      </c>
      <c r="H63" s="5343"/>
      <c r="I63" s="5343"/>
      <c r="J63" s="5341" t="s">
        <v>475</v>
      </c>
      <c r="K63" s="5341" t="s">
        <v>475</v>
      </c>
      <c r="L63" s="5341" t="s">
        <v>475</v>
      </c>
      <c r="M63" s="5341" t="s">
        <v>475</v>
      </c>
      <c r="N63" s="5341" t="s">
        <v>475</v>
      </c>
      <c r="O63" s="5287"/>
      <c r="P63" s="5287"/>
      <c r="Q63" s="5341" t="s">
        <v>475</v>
      </c>
      <c r="R63" s="5341" t="s">
        <v>475</v>
      </c>
      <c r="S63" s="5341" t="s">
        <v>475</v>
      </c>
      <c r="T63" s="5341" t="s">
        <v>475</v>
      </c>
      <c r="U63" s="5341" t="s">
        <v>475</v>
      </c>
      <c r="V63" s="5287"/>
      <c r="W63" s="5287"/>
      <c r="X63" s="5341" t="s">
        <v>475</v>
      </c>
      <c r="Y63" s="5341" t="s">
        <v>475</v>
      </c>
      <c r="Z63" s="5341" t="s">
        <v>475</v>
      </c>
      <c r="AA63" s="5341" t="s">
        <v>475</v>
      </c>
      <c r="AB63" s="5341" t="s">
        <v>475</v>
      </c>
      <c r="AC63" s="5287"/>
      <c r="AD63" s="5287"/>
      <c r="AE63" s="5341" t="s">
        <v>475</v>
      </c>
      <c r="AF63" s="5341" t="s">
        <v>475</v>
      </c>
    </row>
    <row r="64" spans="1:32" ht="18" customHeight="1">
      <c r="A64" s="5350" t="s">
        <v>114</v>
      </c>
      <c r="B64" s="5287"/>
      <c r="C64" s="5351" t="s">
        <v>40</v>
      </c>
      <c r="D64" s="5351" t="s">
        <v>40</v>
      </c>
      <c r="E64" s="5351" t="s">
        <v>40</v>
      </c>
      <c r="F64" s="5351" t="s">
        <v>40</v>
      </c>
      <c r="G64" s="5351" t="s">
        <v>40</v>
      </c>
      <c r="H64" s="5351"/>
      <c r="I64" s="5351"/>
      <c r="J64" s="5351" t="s">
        <v>40</v>
      </c>
      <c r="K64" s="5351" t="s">
        <v>40</v>
      </c>
      <c r="L64" s="5351" t="s">
        <v>40</v>
      </c>
      <c r="M64" s="5351" t="s">
        <v>40</v>
      </c>
      <c r="N64" s="5351" t="s">
        <v>40</v>
      </c>
      <c r="O64" s="5351"/>
      <c r="P64" s="5351"/>
      <c r="Q64" s="5341">
        <v>89</v>
      </c>
      <c r="R64" s="5341">
        <v>89</v>
      </c>
      <c r="S64" s="5341">
        <v>89</v>
      </c>
      <c r="T64" s="5341">
        <v>89</v>
      </c>
      <c r="U64" s="5341">
        <v>89</v>
      </c>
      <c r="V64" s="5287">
        <v>89</v>
      </c>
      <c r="W64" s="5287"/>
      <c r="X64" s="5341">
        <v>69</v>
      </c>
      <c r="Y64" s="5341">
        <v>69</v>
      </c>
      <c r="Z64" s="5287">
        <v>69</v>
      </c>
      <c r="AA64" s="5287">
        <v>69</v>
      </c>
      <c r="AB64" s="5287">
        <v>69</v>
      </c>
      <c r="AC64" s="5287"/>
      <c r="AD64" s="5287"/>
      <c r="AE64" s="5341" t="s">
        <v>40</v>
      </c>
      <c r="AF64" s="5352" t="s">
        <v>40</v>
      </c>
    </row>
    <row r="65" spans="1:32" ht="18" customHeight="1">
      <c r="A65" s="5350" t="s">
        <v>117</v>
      </c>
      <c r="B65" s="5287"/>
      <c r="C65" s="5341">
        <v>21</v>
      </c>
      <c r="D65" s="5341" t="s">
        <v>40</v>
      </c>
      <c r="E65" s="5287" t="s">
        <v>40</v>
      </c>
      <c r="F65" s="5287" t="s">
        <v>40</v>
      </c>
      <c r="G65" s="5343" t="s">
        <v>40</v>
      </c>
      <c r="H65" s="5343"/>
      <c r="I65" s="5343"/>
      <c r="J65" s="5341" t="s">
        <v>40</v>
      </c>
      <c r="K65" s="5341" t="s">
        <v>40</v>
      </c>
      <c r="L65" s="5341" t="s">
        <v>40</v>
      </c>
      <c r="M65" s="5287" t="s">
        <v>40</v>
      </c>
      <c r="N65" s="5287" t="s">
        <v>40</v>
      </c>
      <c r="O65" s="480" t="s">
        <v>61</v>
      </c>
      <c r="P65" s="480" t="s">
        <v>61</v>
      </c>
      <c r="Q65" s="5341" t="s">
        <v>40</v>
      </c>
      <c r="R65" s="5341" t="s">
        <v>40</v>
      </c>
      <c r="S65" s="5341" t="s">
        <v>40</v>
      </c>
      <c r="T65" s="5341" t="s">
        <v>40</v>
      </c>
      <c r="U65" s="5341" t="s">
        <v>40</v>
      </c>
      <c r="V65" s="5287"/>
      <c r="W65" s="5287"/>
      <c r="X65" s="5341" t="s">
        <v>61</v>
      </c>
      <c r="Y65" s="5341" t="s">
        <v>40</v>
      </c>
      <c r="Z65" s="5287" t="s">
        <v>40</v>
      </c>
      <c r="AA65" s="5287" t="s">
        <v>40</v>
      </c>
      <c r="AB65" s="5287" t="s">
        <v>40</v>
      </c>
      <c r="AC65" s="5287" t="s">
        <v>139</v>
      </c>
      <c r="AD65" s="5287" t="s">
        <v>139</v>
      </c>
      <c r="AE65" s="5341" t="s">
        <v>40</v>
      </c>
      <c r="AF65" s="5352" t="s">
        <v>40</v>
      </c>
    </row>
    <row r="66" spans="1:32" ht="18" customHeight="1">
      <c r="A66" s="5350" t="s">
        <v>622</v>
      </c>
      <c r="B66" s="5287" t="s">
        <v>104</v>
      </c>
      <c r="C66" s="5337">
        <v>79</v>
      </c>
      <c r="D66" s="5337">
        <v>79</v>
      </c>
      <c r="E66" s="5337">
        <v>79</v>
      </c>
      <c r="F66" s="5337">
        <v>79</v>
      </c>
      <c r="G66" s="5337">
        <v>79</v>
      </c>
      <c r="H66" s="5343"/>
      <c r="I66" s="5343"/>
      <c r="J66" s="5341" t="s">
        <v>40</v>
      </c>
      <c r="K66" s="5341" t="s">
        <v>113</v>
      </c>
      <c r="L66" s="5341" t="s">
        <v>113</v>
      </c>
      <c r="M66" s="5287" t="s">
        <v>113</v>
      </c>
      <c r="N66" s="5287" t="s">
        <v>373</v>
      </c>
      <c r="O66" s="5287" t="s">
        <v>628</v>
      </c>
      <c r="P66" s="5287" t="s">
        <v>46</v>
      </c>
      <c r="Q66" s="5341" t="s">
        <v>40</v>
      </c>
      <c r="R66" s="5341" t="s">
        <v>40</v>
      </c>
      <c r="S66" s="5341" t="s">
        <v>40</v>
      </c>
      <c r="T66" s="5341" t="s">
        <v>40</v>
      </c>
      <c r="U66" s="5341" t="s">
        <v>40</v>
      </c>
      <c r="V66" s="5287"/>
      <c r="W66" s="5287"/>
      <c r="X66" s="5341" t="s">
        <v>40</v>
      </c>
      <c r="Y66" s="5341" t="s">
        <v>40</v>
      </c>
      <c r="Z66" s="5287" t="s">
        <v>40</v>
      </c>
      <c r="AA66" s="5287" t="s">
        <v>40</v>
      </c>
      <c r="AB66" s="5287" t="s">
        <v>40</v>
      </c>
      <c r="AC66" s="5287" t="s">
        <v>429</v>
      </c>
      <c r="AD66" s="5287" t="s">
        <v>429</v>
      </c>
      <c r="AE66" s="5341" t="s">
        <v>46</v>
      </c>
      <c r="AF66" s="5352" t="s">
        <v>46</v>
      </c>
    </row>
    <row r="67" spans="1:32" ht="18" customHeight="1">
      <c r="A67" s="5350" t="s">
        <v>122</v>
      </c>
      <c r="B67" s="5287" t="s">
        <v>113</v>
      </c>
      <c r="C67" s="5341" t="s">
        <v>46</v>
      </c>
      <c r="D67" s="5341" t="s">
        <v>46</v>
      </c>
      <c r="E67" s="5287" t="s">
        <v>46</v>
      </c>
      <c r="F67" s="5287" t="s">
        <v>40</v>
      </c>
      <c r="G67" s="5343" t="s">
        <v>40</v>
      </c>
      <c r="H67" s="5343"/>
      <c r="I67" s="5343"/>
      <c r="J67" s="5341">
        <v>3</v>
      </c>
      <c r="K67" s="5341">
        <v>3</v>
      </c>
      <c r="L67" s="5341">
        <v>3</v>
      </c>
      <c r="M67" s="5287">
        <v>3</v>
      </c>
      <c r="N67" s="5287">
        <v>3</v>
      </c>
      <c r="O67" s="480" t="s">
        <v>0</v>
      </c>
      <c r="P67" s="480" t="s">
        <v>0</v>
      </c>
      <c r="Q67" s="5341" t="s">
        <v>40</v>
      </c>
      <c r="R67" s="5341" t="s">
        <v>40</v>
      </c>
      <c r="S67" s="5341" t="s">
        <v>40</v>
      </c>
      <c r="T67" s="5341" t="s">
        <v>40</v>
      </c>
      <c r="U67" s="5341" t="s">
        <v>40</v>
      </c>
      <c r="V67" s="508" t="s">
        <v>0</v>
      </c>
      <c r="W67" s="501" t="s">
        <v>0</v>
      </c>
      <c r="X67" s="504" t="s">
        <v>40</v>
      </c>
      <c r="Y67" s="504" t="s">
        <v>40</v>
      </c>
      <c r="Z67" s="504" t="s">
        <v>40</v>
      </c>
      <c r="AA67" s="504" t="s">
        <v>40</v>
      </c>
      <c r="AB67" s="504" t="s">
        <v>40</v>
      </c>
      <c r="AC67" s="504" t="s">
        <v>0</v>
      </c>
      <c r="AD67" s="504" t="s">
        <v>0</v>
      </c>
      <c r="AE67" s="504" t="s">
        <v>40</v>
      </c>
      <c r="AF67" s="504" t="s">
        <v>40</v>
      </c>
    </row>
    <row r="68" spans="1:32" ht="18" customHeight="1">
      <c r="A68" s="5350" t="s">
        <v>129</v>
      </c>
      <c r="B68" s="5287" t="s">
        <v>104</v>
      </c>
      <c r="C68" s="5341" t="s">
        <v>113</v>
      </c>
      <c r="D68" s="5341" t="s">
        <v>46</v>
      </c>
      <c r="E68" s="5287" t="s">
        <v>46</v>
      </c>
      <c r="F68" s="5287" t="s">
        <v>40</v>
      </c>
      <c r="G68" s="5343" t="s">
        <v>40</v>
      </c>
      <c r="H68" s="5343"/>
      <c r="I68" s="5343"/>
      <c r="J68" s="5341" t="s">
        <v>418</v>
      </c>
      <c r="K68" s="5341" t="s">
        <v>418</v>
      </c>
      <c r="L68" s="5341" t="s">
        <v>46</v>
      </c>
      <c r="M68" s="5287" t="s">
        <v>46</v>
      </c>
      <c r="N68" s="5287" t="s">
        <v>46</v>
      </c>
      <c r="O68" s="343">
        <v>22</v>
      </c>
      <c r="P68" s="343" t="s">
        <v>429</v>
      </c>
      <c r="Q68" s="5341" t="s">
        <v>46</v>
      </c>
      <c r="R68" s="5341" t="s">
        <v>46</v>
      </c>
      <c r="S68" s="5341" t="s">
        <v>46</v>
      </c>
      <c r="T68" s="5341" t="s">
        <v>40</v>
      </c>
      <c r="U68" s="5341" t="s">
        <v>40</v>
      </c>
      <c r="V68" s="5287"/>
      <c r="W68" s="5287"/>
      <c r="X68" s="5341">
        <v>22</v>
      </c>
      <c r="Y68" s="5341">
        <v>22</v>
      </c>
      <c r="Z68" s="5287">
        <v>22</v>
      </c>
      <c r="AA68" s="5287">
        <v>22</v>
      </c>
      <c r="AB68" s="5287">
        <v>22</v>
      </c>
      <c r="AC68" s="5287">
        <v>22</v>
      </c>
      <c r="AD68" s="5287">
        <v>22</v>
      </c>
      <c r="AE68" s="5341" t="s">
        <v>46</v>
      </c>
      <c r="AF68" s="5352" t="s">
        <v>46</v>
      </c>
    </row>
    <row r="69" spans="1:32" ht="18" customHeight="1">
      <c r="A69" s="5353" t="s">
        <v>140</v>
      </c>
      <c r="B69" s="5287"/>
      <c r="C69" s="5338" t="s">
        <v>40</v>
      </c>
      <c r="D69" s="5338" t="s">
        <v>40</v>
      </c>
      <c r="E69" s="5338" t="s">
        <v>40</v>
      </c>
      <c r="F69" s="5338" t="s">
        <v>40</v>
      </c>
      <c r="G69" s="5338" t="s">
        <v>40</v>
      </c>
      <c r="H69" s="5343"/>
      <c r="I69" s="5343"/>
      <c r="J69" s="5338" t="s">
        <v>40</v>
      </c>
      <c r="K69" s="5338" t="s">
        <v>40</v>
      </c>
      <c r="L69" s="5338" t="s">
        <v>40</v>
      </c>
      <c r="M69" s="5338" t="s">
        <v>40</v>
      </c>
      <c r="N69" s="5338" t="s">
        <v>40</v>
      </c>
      <c r="O69" s="5287"/>
      <c r="P69" s="5287"/>
      <c r="Q69" s="5338" t="s">
        <v>40</v>
      </c>
      <c r="R69" s="5338" t="s">
        <v>40</v>
      </c>
      <c r="S69" s="5338" t="s">
        <v>40</v>
      </c>
      <c r="T69" s="5338" t="s">
        <v>40</v>
      </c>
      <c r="U69" s="5338" t="s">
        <v>40</v>
      </c>
      <c r="V69" s="5287"/>
      <c r="W69" s="5287"/>
      <c r="X69" s="5338" t="s">
        <v>40</v>
      </c>
      <c r="Y69" s="5338" t="s">
        <v>40</v>
      </c>
      <c r="Z69" s="5338" t="s">
        <v>40</v>
      </c>
      <c r="AA69" s="5338" t="s">
        <v>40</v>
      </c>
      <c r="AB69" s="5338" t="s">
        <v>40</v>
      </c>
      <c r="AC69" s="5287"/>
      <c r="AD69" s="5287"/>
      <c r="AE69" s="5338" t="s">
        <v>40</v>
      </c>
      <c r="AF69" s="5338" t="s">
        <v>40</v>
      </c>
    </row>
    <row r="70" spans="1:32" ht="18" customHeight="1">
      <c r="A70" s="5307" t="s">
        <v>478</v>
      </c>
      <c r="B70" s="5287" t="s">
        <v>104</v>
      </c>
      <c r="C70" s="5341">
        <v>4</v>
      </c>
      <c r="D70" s="5341">
        <v>4</v>
      </c>
      <c r="E70" s="5287">
        <v>4</v>
      </c>
      <c r="F70" s="5287">
        <v>4</v>
      </c>
      <c r="G70" s="5343">
        <v>4</v>
      </c>
      <c r="H70" s="5343"/>
      <c r="I70" s="5343"/>
      <c r="J70" s="5341" t="s">
        <v>40</v>
      </c>
      <c r="K70" s="5341" t="s">
        <v>40</v>
      </c>
      <c r="L70" s="5341" t="s">
        <v>40</v>
      </c>
      <c r="M70" s="5287" t="s">
        <v>40</v>
      </c>
      <c r="N70" s="5287" t="s">
        <v>40</v>
      </c>
      <c r="O70" s="5354" t="s">
        <v>104</v>
      </c>
      <c r="P70" s="5287"/>
      <c r="Q70" s="5341" t="s">
        <v>40</v>
      </c>
      <c r="R70" s="5341" t="s">
        <v>40</v>
      </c>
      <c r="S70" s="5341" t="s">
        <v>40</v>
      </c>
      <c r="T70" s="5354" t="s">
        <v>104</v>
      </c>
      <c r="U70" s="5341" t="s">
        <v>40</v>
      </c>
      <c r="V70" s="5287"/>
      <c r="W70" s="5287"/>
      <c r="X70" s="5341" t="s">
        <v>40</v>
      </c>
      <c r="Y70" s="5341" t="s">
        <v>40</v>
      </c>
      <c r="Z70" s="5287" t="s">
        <v>40</v>
      </c>
      <c r="AA70" s="5287" t="s">
        <v>40</v>
      </c>
      <c r="AB70" s="5287" t="s">
        <v>40</v>
      </c>
      <c r="AC70" s="504" t="s">
        <v>89</v>
      </c>
      <c r="AD70" s="504" t="s">
        <v>89</v>
      </c>
      <c r="AE70" s="504">
        <v>8</v>
      </c>
      <c r="AF70" s="504">
        <v>8</v>
      </c>
    </row>
    <row r="71" spans="1:32" ht="18" customHeight="1">
      <c r="A71" s="5353" t="s">
        <v>479</v>
      </c>
      <c r="B71" s="5287"/>
      <c r="C71" s="5291">
        <v>6</v>
      </c>
      <c r="D71" s="5291">
        <v>6</v>
      </c>
      <c r="E71" s="5291">
        <v>6</v>
      </c>
      <c r="F71" s="5291">
        <v>6</v>
      </c>
      <c r="G71" s="5291">
        <v>6</v>
      </c>
      <c r="H71" s="5343"/>
      <c r="I71" s="5343"/>
      <c r="J71" s="5341" t="s">
        <v>40</v>
      </c>
      <c r="K71" s="5341" t="s">
        <v>40</v>
      </c>
      <c r="L71" s="5341" t="s">
        <v>40</v>
      </c>
      <c r="M71" s="5287" t="s">
        <v>40</v>
      </c>
      <c r="N71" s="5287" t="s">
        <v>40</v>
      </c>
      <c r="O71" s="5287"/>
      <c r="P71" s="5287"/>
      <c r="Q71" s="504">
        <v>11</v>
      </c>
      <c r="R71" s="504">
        <v>11</v>
      </c>
      <c r="S71" s="504">
        <v>11</v>
      </c>
      <c r="T71" s="504">
        <v>11</v>
      </c>
      <c r="U71" s="508">
        <v>11</v>
      </c>
      <c r="V71" s="508" t="s">
        <v>87</v>
      </c>
      <c r="W71" s="501" t="s">
        <v>87</v>
      </c>
      <c r="X71" s="504" t="s">
        <v>46</v>
      </c>
      <c r="Y71" s="504" t="s">
        <v>46</v>
      </c>
      <c r="Z71" s="504" t="s">
        <v>46</v>
      </c>
      <c r="AA71" s="504" t="s">
        <v>46</v>
      </c>
      <c r="AB71" s="509" t="s">
        <v>46</v>
      </c>
      <c r="AC71" s="504" t="s">
        <v>0</v>
      </c>
      <c r="AD71" s="504" t="s">
        <v>0</v>
      </c>
      <c r="AE71" s="504" t="s">
        <v>40</v>
      </c>
      <c r="AF71" s="504" t="s">
        <v>40</v>
      </c>
    </row>
    <row r="72" spans="1:32" ht="18" customHeight="1">
      <c r="A72" s="5355" t="s">
        <v>564</v>
      </c>
      <c r="B72" s="5166">
        <v>22</v>
      </c>
      <c r="C72" s="5166">
        <v>22</v>
      </c>
      <c r="D72" s="5166">
        <v>22</v>
      </c>
      <c r="E72" s="5167">
        <v>22</v>
      </c>
      <c r="F72" s="5167">
        <v>22</v>
      </c>
      <c r="G72" s="5167">
        <v>22</v>
      </c>
      <c r="H72" s="5167">
        <v>22</v>
      </c>
      <c r="I72" s="5167" t="s">
        <v>46</v>
      </c>
      <c r="J72" s="5167" t="s">
        <v>46</v>
      </c>
      <c r="K72" s="5167" t="s">
        <v>46</v>
      </c>
      <c r="L72" s="5160" t="s">
        <v>46</v>
      </c>
      <c r="M72" s="5160" t="s">
        <v>46</v>
      </c>
      <c r="N72" s="5160"/>
      <c r="O72" s="5160"/>
      <c r="P72" s="5168" t="s">
        <v>0</v>
      </c>
      <c r="Q72" s="5168">
        <v>23</v>
      </c>
      <c r="R72" s="5160">
        <v>23</v>
      </c>
      <c r="S72" s="5169">
        <v>23</v>
      </c>
      <c r="T72" s="5169">
        <v>23</v>
      </c>
      <c r="U72" s="5170">
        <v>23</v>
      </c>
      <c r="V72" s="5160">
        <v>23</v>
      </c>
      <c r="W72" s="5168">
        <v>23</v>
      </c>
      <c r="X72" s="5170" t="s">
        <v>46</v>
      </c>
      <c r="Y72" s="5160" t="s">
        <v>46</v>
      </c>
      <c r="Z72" s="5160" t="s">
        <v>46</v>
      </c>
      <c r="AA72" s="5160" t="s">
        <v>46</v>
      </c>
      <c r="AB72" s="5160"/>
      <c r="AC72" s="5160"/>
      <c r="AD72" s="5160">
        <v>21</v>
      </c>
      <c r="AE72" s="398">
        <v>21</v>
      </c>
      <c r="AF72" s="5352" t="s">
        <v>40</v>
      </c>
    </row>
    <row r="73" spans="1:32" ht="18" customHeight="1">
      <c r="A73" s="5356" t="s">
        <v>565</v>
      </c>
      <c r="B73" s="5287" t="s">
        <v>677</v>
      </c>
      <c r="C73" s="5341" t="s">
        <v>677</v>
      </c>
      <c r="D73" s="5341" t="s">
        <v>677</v>
      </c>
      <c r="E73" s="5299" t="s">
        <v>46</v>
      </c>
      <c r="F73" s="5299" t="s">
        <v>46</v>
      </c>
      <c r="G73" s="5299" t="s">
        <v>46</v>
      </c>
      <c r="H73" s="5299" t="s">
        <v>46</v>
      </c>
      <c r="I73" s="5299" t="s">
        <v>46</v>
      </c>
      <c r="J73" s="5299" t="s">
        <v>46</v>
      </c>
      <c r="K73" s="5299" t="s">
        <v>46</v>
      </c>
      <c r="L73" s="5299" t="s">
        <v>46</v>
      </c>
      <c r="M73" s="5299" t="s">
        <v>46</v>
      </c>
      <c r="N73" s="5299" t="s">
        <v>46</v>
      </c>
      <c r="O73" s="5299" t="s">
        <v>46</v>
      </c>
      <c r="P73" s="5299" t="s">
        <v>46</v>
      </c>
      <c r="Q73" s="5341" t="s">
        <v>677</v>
      </c>
      <c r="R73" s="5341" t="s">
        <v>677</v>
      </c>
      <c r="S73" s="5341" t="s">
        <v>677</v>
      </c>
      <c r="T73" s="5341" t="s">
        <v>677</v>
      </c>
      <c r="U73" s="5341" t="s">
        <v>677</v>
      </c>
      <c r="V73" s="5341" t="s">
        <v>677</v>
      </c>
      <c r="W73" s="5299" t="s">
        <v>46</v>
      </c>
      <c r="X73" s="5299" t="s">
        <v>46</v>
      </c>
      <c r="Y73" s="5299" t="s">
        <v>46</v>
      </c>
      <c r="Z73" s="5299" t="s">
        <v>46</v>
      </c>
      <c r="AA73" s="5299" t="s">
        <v>46</v>
      </c>
      <c r="AB73" s="5299" t="s">
        <v>46</v>
      </c>
      <c r="AC73" s="5341" t="s">
        <v>677</v>
      </c>
      <c r="AD73" s="5341" t="s">
        <v>677</v>
      </c>
      <c r="AE73" s="5341" t="s">
        <v>677</v>
      </c>
      <c r="AF73" s="5341" t="s">
        <v>677</v>
      </c>
    </row>
    <row r="74" spans="1:32" ht="18" customHeight="1">
      <c r="A74" s="5356" t="s">
        <v>540</v>
      </c>
      <c r="B74" s="480" t="s">
        <v>628</v>
      </c>
      <c r="C74" s="480" t="s">
        <v>46</v>
      </c>
      <c r="D74" s="480" t="s">
        <v>61</v>
      </c>
      <c r="E74" s="480" t="s">
        <v>61</v>
      </c>
      <c r="F74" s="480" t="s">
        <v>61</v>
      </c>
      <c r="G74" s="480" t="s">
        <v>61</v>
      </c>
      <c r="H74" s="484" t="s">
        <v>46</v>
      </c>
      <c r="I74" s="484" t="s">
        <v>46</v>
      </c>
      <c r="J74" s="484" t="s">
        <v>628</v>
      </c>
      <c r="K74" s="484" t="s">
        <v>46</v>
      </c>
      <c r="L74" s="484" t="s">
        <v>61</v>
      </c>
      <c r="M74" s="480" t="s">
        <v>61</v>
      </c>
      <c r="N74" s="480" t="s">
        <v>61</v>
      </c>
      <c r="O74" s="480" t="s">
        <v>46</v>
      </c>
      <c r="P74" s="480" t="s">
        <v>46</v>
      </c>
      <c r="Q74" s="480" t="s">
        <v>46</v>
      </c>
      <c r="R74" s="480" t="s">
        <v>46</v>
      </c>
      <c r="S74" s="480" t="s">
        <v>46</v>
      </c>
      <c r="T74" s="480" t="s">
        <v>61</v>
      </c>
      <c r="U74" s="480" t="s">
        <v>61</v>
      </c>
      <c r="V74" s="484" t="s">
        <v>61</v>
      </c>
      <c r="W74" s="484" t="s">
        <v>46</v>
      </c>
      <c r="X74" s="484" t="s">
        <v>46</v>
      </c>
      <c r="Y74" s="484" t="s">
        <v>61</v>
      </c>
      <c r="Z74" s="484" t="s">
        <v>61</v>
      </c>
      <c r="AA74" s="480" t="s">
        <v>61</v>
      </c>
      <c r="AB74" s="480" t="s">
        <v>628</v>
      </c>
      <c r="AC74" s="480" t="s">
        <v>46</v>
      </c>
      <c r="AD74" s="480" t="s">
        <v>628</v>
      </c>
      <c r="AE74" s="480" t="s">
        <v>61</v>
      </c>
      <c r="AF74" s="645" t="s">
        <v>61</v>
      </c>
    </row>
    <row r="75" spans="1:32" ht="18" customHeight="1">
      <c r="A75" s="684" t="s">
        <v>687</v>
      </c>
      <c r="B75" s="866">
        <v>1</v>
      </c>
      <c r="C75" s="865">
        <v>2</v>
      </c>
      <c r="D75" s="865">
        <v>3</v>
      </c>
      <c r="E75" s="865">
        <v>4</v>
      </c>
      <c r="F75" s="865">
        <v>5</v>
      </c>
      <c r="G75" s="865">
        <v>6</v>
      </c>
      <c r="H75" s="866">
        <v>7</v>
      </c>
      <c r="I75" s="866">
        <v>8</v>
      </c>
      <c r="J75" s="865">
        <v>9</v>
      </c>
      <c r="K75" s="865">
        <v>10</v>
      </c>
      <c r="L75" s="865">
        <v>11</v>
      </c>
      <c r="M75" s="865">
        <v>12</v>
      </c>
      <c r="N75" s="865">
        <v>13</v>
      </c>
      <c r="O75" s="866">
        <v>14</v>
      </c>
      <c r="P75" s="866">
        <v>15</v>
      </c>
      <c r="Q75" s="865">
        <v>16</v>
      </c>
      <c r="R75" s="865">
        <v>17</v>
      </c>
      <c r="S75" s="865">
        <v>18</v>
      </c>
      <c r="T75" s="865">
        <v>19</v>
      </c>
      <c r="U75" s="865">
        <v>20</v>
      </c>
      <c r="V75" s="866">
        <v>21</v>
      </c>
      <c r="W75" s="866">
        <v>22</v>
      </c>
      <c r="X75" s="865">
        <v>23</v>
      </c>
      <c r="Y75" s="865">
        <v>24</v>
      </c>
      <c r="Z75" s="865">
        <v>25</v>
      </c>
      <c r="AA75" s="865">
        <v>26</v>
      </c>
      <c r="AB75" s="865">
        <v>27</v>
      </c>
      <c r="AC75" s="866">
        <v>28</v>
      </c>
      <c r="AD75" s="866">
        <v>29</v>
      </c>
      <c r="AE75" s="865">
        <v>30</v>
      </c>
      <c r="AF75" s="867">
        <v>31</v>
      </c>
    </row>
    <row r="76" spans="1:32" ht="18" customHeight="1">
      <c r="A76" s="5357" t="s">
        <v>624</v>
      </c>
      <c r="B76" s="1510" t="s">
        <v>429</v>
      </c>
      <c r="C76" s="1511" t="s">
        <v>46</v>
      </c>
      <c r="D76" s="1511"/>
      <c r="E76" s="1511"/>
      <c r="F76" s="1511"/>
      <c r="G76" s="1505"/>
      <c r="H76" s="1505"/>
      <c r="I76" s="1505"/>
      <c r="J76" s="1505"/>
      <c r="K76" s="1505"/>
      <c r="L76" s="1505"/>
      <c r="M76" s="1505"/>
      <c r="N76" s="1512"/>
      <c r="O76" s="343" t="s">
        <v>373</v>
      </c>
      <c r="P76" s="343" t="s">
        <v>113</v>
      </c>
      <c r="Q76" s="1511"/>
      <c r="R76" s="1511"/>
      <c r="S76" s="1511"/>
      <c r="T76" s="1511"/>
      <c r="U76" s="1505"/>
      <c r="V76" s="1505"/>
      <c r="W76" s="1505"/>
      <c r="X76" s="343" t="s">
        <v>418</v>
      </c>
      <c r="Y76" s="343" t="s">
        <v>418</v>
      </c>
      <c r="Z76" s="343" t="s">
        <v>113</v>
      </c>
      <c r="AA76" s="343" t="s">
        <v>113</v>
      </c>
      <c r="AB76" s="1505"/>
      <c r="AC76" s="1505"/>
      <c r="AD76" s="1505"/>
      <c r="AE76" s="1505"/>
      <c r="AF76" s="1508"/>
    </row>
    <row r="77" spans="1:32" ht="18" customHeight="1">
      <c r="A77" s="5307" t="s">
        <v>625</v>
      </c>
      <c r="B77" s="5358"/>
      <c r="C77" s="5358"/>
      <c r="D77" s="5358"/>
      <c r="E77" s="5358"/>
      <c r="F77" s="5359" t="s">
        <v>677</v>
      </c>
      <c r="G77" s="5359" t="s">
        <v>677</v>
      </c>
      <c r="H77" s="480" t="s">
        <v>61</v>
      </c>
      <c r="I77" s="5358"/>
      <c r="J77" s="5360"/>
      <c r="K77" s="5331" t="s">
        <v>677</v>
      </c>
      <c r="L77" s="5331" t="s">
        <v>677</v>
      </c>
      <c r="M77" s="5331" t="s">
        <v>677</v>
      </c>
      <c r="N77" s="5331" t="s">
        <v>677</v>
      </c>
      <c r="O77" s="5331" t="s">
        <v>677</v>
      </c>
      <c r="P77" s="5331" t="s">
        <v>677</v>
      </c>
      <c r="Q77" s="5358"/>
      <c r="R77" s="5358"/>
      <c r="S77" s="5358"/>
      <c r="T77" s="5358"/>
      <c r="U77" s="5361" t="s">
        <v>61</v>
      </c>
      <c r="V77" s="1504" t="s">
        <v>139</v>
      </c>
      <c r="W77" s="484" t="s">
        <v>61</v>
      </c>
      <c r="X77" s="343" t="s">
        <v>113</v>
      </c>
      <c r="Y77" s="343" t="s">
        <v>113</v>
      </c>
      <c r="Z77" s="343" t="s">
        <v>0</v>
      </c>
      <c r="AA77" s="343" t="s">
        <v>0</v>
      </c>
      <c r="AB77" s="5362"/>
      <c r="AC77" s="5362"/>
      <c r="AD77" s="5358"/>
      <c r="AE77" s="5358"/>
      <c r="AF77" s="5363"/>
    </row>
    <row r="78" spans="1:32" ht="18" customHeight="1">
      <c r="A78" s="5364" t="s">
        <v>591</v>
      </c>
      <c r="B78" s="5331" t="s">
        <v>628</v>
      </c>
      <c r="C78" s="5299" t="s">
        <v>628</v>
      </c>
      <c r="D78" s="5299" t="s">
        <v>46</v>
      </c>
      <c r="E78" s="5331" t="s">
        <v>677</v>
      </c>
      <c r="F78" s="5331" t="s">
        <v>677</v>
      </c>
      <c r="G78" s="5331" t="s">
        <v>677</v>
      </c>
      <c r="H78" s="5331" t="s">
        <v>677</v>
      </c>
      <c r="I78" s="5331" t="s">
        <v>677</v>
      </c>
      <c r="J78" s="5331" t="s">
        <v>677</v>
      </c>
      <c r="K78" s="5299" t="s">
        <v>46</v>
      </c>
      <c r="L78" s="5299" t="s">
        <v>46</v>
      </c>
      <c r="M78" s="5299" t="s">
        <v>46</v>
      </c>
      <c r="N78" s="5299" t="s">
        <v>46</v>
      </c>
      <c r="O78" s="5299" t="s">
        <v>46</v>
      </c>
      <c r="P78" s="5299" t="s">
        <v>46</v>
      </c>
      <c r="Q78" s="5299" t="s">
        <v>46</v>
      </c>
      <c r="R78" s="5299" t="s">
        <v>46</v>
      </c>
      <c r="S78" s="5299" t="s">
        <v>46</v>
      </c>
      <c r="T78" s="5299" t="s">
        <v>46</v>
      </c>
      <c r="U78" s="5299" t="s">
        <v>46</v>
      </c>
      <c r="V78" s="5299" t="s">
        <v>46</v>
      </c>
      <c r="W78" s="5341" t="s">
        <v>677</v>
      </c>
      <c r="X78" s="5341" t="s">
        <v>677</v>
      </c>
      <c r="Y78" s="5341" t="s">
        <v>677</v>
      </c>
      <c r="Z78" s="5341" t="s">
        <v>677</v>
      </c>
      <c r="AA78" s="5341" t="s">
        <v>677</v>
      </c>
      <c r="AB78" s="5341" t="s">
        <v>677</v>
      </c>
      <c r="AC78" s="5299" t="s">
        <v>46</v>
      </c>
      <c r="AD78" s="5299" t="s">
        <v>46</v>
      </c>
      <c r="AE78" s="5299" t="s">
        <v>46</v>
      </c>
      <c r="AF78" s="5299" t="s">
        <v>46</v>
      </c>
    </row>
    <row r="79" spans="1:32" ht="18" customHeight="1" thickBot="1">
      <c r="A79" s="886" t="s">
        <v>156</v>
      </c>
      <c r="B79" s="866">
        <v>1</v>
      </c>
      <c r="C79" s="865">
        <v>2</v>
      </c>
      <c r="D79" s="865">
        <v>3</v>
      </c>
      <c r="E79" s="865">
        <v>4</v>
      </c>
      <c r="F79" s="865">
        <v>5</v>
      </c>
      <c r="G79" s="865">
        <v>6</v>
      </c>
      <c r="H79" s="866">
        <v>7</v>
      </c>
      <c r="I79" s="866">
        <v>8</v>
      </c>
      <c r="J79" s="865">
        <v>9</v>
      </c>
      <c r="K79" s="865">
        <v>10</v>
      </c>
      <c r="L79" s="865">
        <v>11</v>
      </c>
      <c r="M79" s="865">
        <v>12</v>
      </c>
      <c r="N79" s="865">
        <v>13</v>
      </c>
      <c r="O79" s="866">
        <v>14</v>
      </c>
      <c r="P79" s="866">
        <v>15</v>
      </c>
      <c r="Q79" s="865">
        <v>16</v>
      </c>
      <c r="R79" s="865">
        <v>17</v>
      </c>
      <c r="S79" s="865">
        <v>18</v>
      </c>
      <c r="T79" s="865">
        <v>19</v>
      </c>
      <c r="U79" s="865">
        <v>20</v>
      </c>
      <c r="V79" s="866">
        <v>21</v>
      </c>
      <c r="W79" s="866">
        <v>22</v>
      </c>
      <c r="X79" s="865">
        <v>23</v>
      </c>
      <c r="Y79" s="865">
        <v>24</v>
      </c>
      <c r="Z79" s="865">
        <v>25</v>
      </c>
      <c r="AA79" s="865">
        <v>26</v>
      </c>
      <c r="AB79" s="865">
        <v>27</v>
      </c>
      <c r="AC79" s="866">
        <v>28</v>
      </c>
      <c r="AD79" s="866">
        <v>29</v>
      </c>
      <c r="AE79" s="865">
        <v>30</v>
      </c>
      <c r="AF79" s="867">
        <v>31</v>
      </c>
    </row>
    <row r="80" spans="1:32" ht="18" customHeight="1" thickBot="1">
      <c r="A80" s="5353" t="s">
        <v>688</v>
      </c>
      <c r="B80" s="5287"/>
      <c r="C80" s="5341"/>
      <c r="D80" s="5341"/>
      <c r="E80" s="5287"/>
      <c r="F80" s="5287"/>
      <c r="G80" s="5343"/>
      <c r="H80" s="5343"/>
      <c r="I80" s="5343"/>
      <c r="J80" s="5341"/>
      <c r="K80" s="5341"/>
      <c r="L80" s="5341"/>
      <c r="M80" s="5287"/>
      <c r="N80" s="5287"/>
      <c r="O80" s="5287"/>
      <c r="P80" s="5287"/>
      <c r="Q80" s="5341" t="s">
        <v>40</v>
      </c>
      <c r="R80" s="5341" t="s">
        <v>40</v>
      </c>
      <c r="S80" s="5341" t="s">
        <v>40</v>
      </c>
      <c r="T80" s="5341" t="s">
        <v>40</v>
      </c>
      <c r="U80" s="5341" t="s">
        <v>40</v>
      </c>
      <c r="V80" s="5287"/>
      <c r="W80" s="5287"/>
      <c r="X80" s="5291">
        <v>5</v>
      </c>
      <c r="Y80" s="5291">
        <v>5</v>
      </c>
      <c r="Z80" s="5291">
        <v>5</v>
      </c>
      <c r="AA80" s="5291">
        <v>5</v>
      </c>
      <c r="AB80" s="5291">
        <v>5</v>
      </c>
      <c r="AC80" s="5287"/>
      <c r="AD80" s="5287"/>
      <c r="AE80" s="5291">
        <v>10</v>
      </c>
      <c r="AF80" s="5291">
        <v>10</v>
      </c>
    </row>
    <row r="81" spans="1:32" ht="18" customHeight="1">
      <c r="A81" s="364" t="s">
        <v>544</v>
      </c>
      <c r="B81" s="5287" t="s">
        <v>52</v>
      </c>
      <c r="C81" s="5341" t="s">
        <v>628</v>
      </c>
      <c r="D81" s="5341" t="s">
        <v>40</v>
      </c>
      <c r="E81" s="5341" t="s">
        <v>40</v>
      </c>
      <c r="F81" s="5341" t="s">
        <v>40</v>
      </c>
      <c r="G81" s="5341" t="s">
        <v>40</v>
      </c>
      <c r="H81" s="5343"/>
      <c r="I81" s="5343"/>
      <c r="J81" s="5341" t="s">
        <v>40</v>
      </c>
      <c r="K81" s="5341" t="s">
        <v>40</v>
      </c>
      <c r="L81" s="5341" t="s">
        <v>40</v>
      </c>
      <c r="M81" s="5341" t="s">
        <v>40</v>
      </c>
      <c r="N81" s="5341" t="s">
        <v>40</v>
      </c>
      <c r="O81" s="5287"/>
      <c r="P81" s="5287"/>
      <c r="Q81" s="5341" t="s">
        <v>40</v>
      </c>
      <c r="R81" s="5341" t="s">
        <v>40</v>
      </c>
      <c r="S81" s="5341" t="s">
        <v>40</v>
      </c>
      <c r="T81" s="5341" t="s">
        <v>40</v>
      </c>
      <c r="U81" s="5341" t="s">
        <v>40</v>
      </c>
      <c r="V81" s="5287"/>
      <c r="W81" s="5287"/>
      <c r="X81" s="5341" t="s">
        <v>40</v>
      </c>
      <c r="Y81" s="5341" t="s">
        <v>40</v>
      </c>
      <c r="Z81" s="5341" t="s">
        <v>40</v>
      </c>
      <c r="AA81" s="5341" t="s">
        <v>40</v>
      </c>
      <c r="AB81" s="5341" t="s">
        <v>40</v>
      </c>
      <c r="AC81" s="5287"/>
      <c r="AD81" s="5287"/>
      <c r="AE81" s="5341" t="s">
        <v>40</v>
      </c>
      <c r="AF81" s="5341" t="s">
        <v>40</v>
      </c>
    </row>
    <row r="82" spans="1:32" ht="18" customHeight="1">
      <c r="A82" s="686" t="s">
        <v>481</v>
      </c>
      <c r="B82" s="685"/>
      <c r="C82" s="240"/>
      <c r="D82" s="5341" t="s">
        <v>40</v>
      </c>
      <c r="E82" s="5341" t="s">
        <v>40</v>
      </c>
      <c r="F82" s="5341" t="s">
        <v>40</v>
      </c>
      <c r="G82" s="5341" t="s">
        <v>40</v>
      </c>
      <c r="H82" s="250"/>
      <c r="I82" s="250"/>
      <c r="J82" s="5341" t="s">
        <v>40</v>
      </c>
      <c r="K82" s="5341" t="s">
        <v>40</v>
      </c>
      <c r="L82" s="5341" t="s">
        <v>40</v>
      </c>
      <c r="M82" s="5341" t="s">
        <v>40</v>
      </c>
      <c r="N82" s="5341" t="s">
        <v>40</v>
      </c>
      <c r="O82" s="685"/>
      <c r="P82" s="685"/>
      <c r="Q82" s="5341" t="s">
        <v>40</v>
      </c>
      <c r="R82" s="5341" t="s">
        <v>40</v>
      </c>
      <c r="S82" s="5341" t="s">
        <v>40</v>
      </c>
      <c r="T82" s="5341" t="s">
        <v>40</v>
      </c>
      <c r="U82" s="5341" t="s">
        <v>40</v>
      </c>
      <c r="V82" s="685"/>
      <c r="W82" s="685"/>
      <c r="X82" s="5341" t="s">
        <v>40</v>
      </c>
      <c r="Y82" s="5341" t="s">
        <v>40</v>
      </c>
      <c r="Z82" s="5341" t="s">
        <v>40</v>
      </c>
      <c r="AA82" s="5341" t="s">
        <v>40</v>
      </c>
      <c r="AB82" s="5341" t="s">
        <v>40</v>
      </c>
      <c r="AC82" s="685"/>
      <c r="AD82" s="685"/>
      <c r="AE82" s="5341" t="s">
        <v>40</v>
      </c>
      <c r="AF82" s="5341" t="s">
        <v>40</v>
      </c>
    </row>
    <row r="83" spans="1:32" ht="18" customHeight="1">
      <c r="A83" s="647" t="s">
        <v>160</v>
      </c>
      <c r="B83" s="866">
        <v>1</v>
      </c>
      <c r="C83" s="865">
        <v>2</v>
      </c>
      <c r="D83" s="865">
        <v>3</v>
      </c>
      <c r="E83" s="865">
        <v>4</v>
      </c>
      <c r="F83" s="865">
        <v>5</v>
      </c>
      <c r="G83" s="865">
        <v>6</v>
      </c>
      <c r="H83" s="866">
        <v>7</v>
      </c>
      <c r="I83" s="866">
        <v>8</v>
      </c>
      <c r="J83" s="865">
        <v>9</v>
      </c>
      <c r="K83" s="865">
        <v>10</v>
      </c>
      <c r="L83" s="865">
        <v>11</v>
      </c>
      <c r="M83" s="865">
        <v>12</v>
      </c>
      <c r="N83" s="865">
        <v>13</v>
      </c>
      <c r="O83" s="866">
        <v>14</v>
      </c>
      <c r="P83" s="866">
        <v>15</v>
      </c>
      <c r="Q83" s="865">
        <v>16</v>
      </c>
      <c r="R83" s="865">
        <v>17</v>
      </c>
      <c r="S83" s="865">
        <v>18</v>
      </c>
      <c r="T83" s="865">
        <v>19</v>
      </c>
      <c r="U83" s="865">
        <v>20</v>
      </c>
      <c r="V83" s="866">
        <v>21</v>
      </c>
      <c r="W83" s="866">
        <v>22</v>
      </c>
      <c r="X83" s="865">
        <v>23</v>
      </c>
      <c r="Y83" s="865">
        <v>24</v>
      </c>
      <c r="Z83" s="865">
        <v>25</v>
      </c>
      <c r="AA83" s="865">
        <v>26</v>
      </c>
      <c r="AB83" s="865">
        <v>27</v>
      </c>
      <c r="AC83" s="866">
        <v>28</v>
      </c>
      <c r="AD83" s="866">
        <v>29</v>
      </c>
      <c r="AE83" s="865">
        <v>30</v>
      </c>
      <c r="AF83" s="867">
        <v>31</v>
      </c>
    </row>
    <row r="84" spans="1:32" ht="18" customHeight="1">
      <c r="A84" s="5296"/>
      <c r="B84" s="3089"/>
      <c r="C84" s="3190"/>
      <c r="D84" s="3089"/>
      <c r="E84" s="3089"/>
      <c r="F84" s="3089"/>
      <c r="G84" s="3089"/>
      <c r="H84" s="3089"/>
      <c r="I84" s="3089"/>
      <c r="J84" s="3089"/>
      <c r="K84" s="3089"/>
      <c r="L84" s="3089"/>
      <c r="M84" s="3089"/>
      <c r="N84" s="3089"/>
      <c r="O84" s="3089"/>
      <c r="P84" s="3089"/>
      <c r="Q84" s="3089"/>
      <c r="R84" s="3089"/>
      <c r="S84" s="3089"/>
      <c r="T84" s="3089"/>
      <c r="U84" s="3089"/>
      <c r="V84" s="3089"/>
      <c r="W84" s="3089"/>
      <c r="X84" s="3089"/>
      <c r="Y84" s="3089"/>
      <c r="Z84" s="3089"/>
      <c r="AA84" s="3089"/>
      <c r="AB84" s="3089"/>
      <c r="AC84" s="3089"/>
      <c r="AD84" s="3089"/>
      <c r="AE84" s="3089"/>
      <c r="AF84" s="5178"/>
    </row>
    <row r="85" spans="1:32" ht="18" customHeight="1">
      <c r="A85" s="5365"/>
      <c r="B85" s="5366"/>
      <c r="C85" s="5366"/>
      <c r="D85" s="5366"/>
      <c r="E85" s="5366"/>
      <c r="F85" s="5366"/>
      <c r="G85" s="5366"/>
      <c r="H85" s="5366"/>
      <c r="I85" s="5366"/>
      <c r="J85" s="5366"/>
      <c r="K85" s="5366"/>
      <c r="L85" s="5366"/>
      <c r="M85" s="5366"/>
      <c r="N85" s="5366"/>
      <c r="O85" s="5366"/>
      <c r="P85" s="5366"/>
      <c r="Q85" s="5366"/>
      <c r="R85" s="5366"/>
      <c r="S85" s="5366"/>
      <c r="T85" s="5366"/>
      <c r="U85" s="5366"/>
      <c r="V85" s="5366"/>
      <c r="W85" s="5366"/>
      <c r="X85" s="5366"/>
      <c r="Y85" s="5366"/>
      <c r="Z85" s="5366"/>
      <c r="AA85" s="5366"/>
      <c r="AB85" s="5366"/>
      <c r="AC85" s="5366"/>
      <c r="AD85" s="5366"/>
      <c r="AE85" s="5366"/>
      <c r="AF85" s="5367"/>
    </row>
    <row r="86" spans="1:32" ht="18" customHeight="1">
      <c r="A86" s="115"/>
      <c r="B86" s="126"/>
      <c r="C86" s="126"/>
      <c r="D86" s="126"/>
      <c r="E86" s="126"/>
      <c r="F86" s="126"/>
      <c r="G86" s="126"/>
      <c r="H86" s="126"/>
      <c r="I86" s="126"/>
      <c r="J86" s="126"/>
      <c r="K86" s="126"/>
      <c r="L86" s="126"/>
      <c r="M86" s="126"/>
      <c r="N86" s="126"/>
      <c r="O86" s="126"/>
      <c r="P86" s="126"/>
      <c r="Q86" s="126"/>
      <c r="R86" s="126"/>
      <c r="S86" s="126"/>
      <c r="T86" s="126"/>
      <c r="U86" s="126"/>
      <c r="V86" s="126"/>
      <c r="W86" s="126"/>
      <c r="X86" s="126"/>
      <c r="Y86" s="126"/>
      <c r="Z86" s="126"/>
      <c r="AA86" s="126"/>
      <c r="AB86" s="126"/>
      <c r="AC86" s="126"/>
      <c r="AD86" s="126"/>
      <c r="AE86" s="126"/>
    </row>
    <row r="87" spans="1:32" ht="18" customHeight="1">
      <c r="B87" s="110"/>
      <c r="C87" s="110"/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</row>
    <row r="88" spans="1:32" ht="18" customHeight="1">
      <c r="A88" s="669" t="s">
        <v>161</v>
      </c>
      <c r="B88" s="417"/>
      <c r="C88" s="418" t="s">
        <v>19</v>
      </c>
      <c r="D88" s="417"/>
      <c r="E88" s="417"/>
      <c r="F88" s="418" t="s">
        <v>20</v>
      </c>
      <c r="G88" s="417"/>
      <c r="H88" s="417"/>
      <c r="I88" s="418" t="s">
        <v>21</v>
      </c>
      <c r="J88" s="417"/>
      <c r="K88" s="417"/>
      <c r="L88" s="418" t="s">
        <v>22</v>
      </c>
      <c r="M88" s="417"/>
      <c r="N88" s="417"/>
      <c r="O88" s="418" t="s">
        <v>23</v>
      </c>
      <c r="P88" s="417"/>
      <c r="Q88" s="415"/>
      <c r="R88" s="413" t="s">
        <v>24</v>
      </c>
      <c r="S88" s="417"/>
      <c r="T88" s="417"/>
      <c r="U88" s="418" t="s">
        <v>25</v>
      </c>
      <c r="V88" s="673"/>
      <c r="W88" s="68"/>
      <c r="X88" s="68"/>
      <c r="Y88" s="68"/>
      <c r="Z88" s="68"/>
      <c r="AA88" s="68"/>
      <c r="AB88" s="68"/>
      <c r="AC88" s="68"/>
      <c r="AD88" s="68"/>
      <c r="AE88" s="68"/>
    </row>
    <row r="89" spans="1:32" ht="18" customHeight="1">
      <c r="A89" s="5368" t="s">
        <v>162</v>
      </c>
      <c r="B89" s="5369" t="s">
        <v>163</v>
      </c>
      <c r="C89" s="5370"/>
      <c r="D89" s="5370"/>
      <c r="E89" s="5369" t="s">
        <v>163</v>
      </c>
      <c r="F89" s="5370"/>
      <c r="G89" s="5370"/>
      <c r="H89" s="5369" t="s">
        <v>163</v>
      </c>
      <c r="I89" s="5370"/>
      <c r="J89" s="5370"/>
      <c r="K89" s="5369" t="s">
        <v>163</v>
      </c>
      <c r="L89" s="5370"/>
      <c r="M89" s="5370"/>
      <c r="N89" s="5369" t="s">
        <v>163</v>
      </c>
      <c r="O89" s="5370"/>
      <c r="P89" s="5370"/>
      <c r="Q89" s="5371"/>
      <c r="R89" s="5370"/>
      <c r="S89" s="5370"/>
      <c r="T89" s="5371" t="s">
        <v>164</v>
      </c>
      <c r="U89" s="5370"/>
      <c r="V89" s="5372"/>
      <c r="W89" s="68"/>
      <c r="X89" s="68"/>
      <c r="Y89" s="68"/>
      <c r="Z89" s="68"/>
      <c r="AA89" s="68"/>
      <c r="AB89" s="68"/>
      <c r="AC89" s="68"/>
      <c r="AD89" s="68"/>
      <c r="AE89" s="68"/>
    </row>
    <row r="90" spans="1:32" ht="18" customHeight="1">
      <c r="A90" s="5368" t="s">
        <v>165</v>
      </c>
      <c r="B90" s="5373" t="s">
        <v>166</v>
      </c>
      <c r="C90" s="5374"/>
      <c r="D90" s="5374"/>
      <c r="E90" s="5373" t="s">
        <v>167</v>
      </c>
      <c r="F90" s="5374"/>
      <c r="G90" s="5374"/>
      <c r="H90" s="5373" t="s">
        <v>167</v>
      </c>
      <c r="I90" s="5374"/>
      <c r="J90" s="5374"/>
      <c r="K90" s="5373" t="s">
        <v>167</v>
      </c>
      <c r="L90" s="5374"/>
      <c r="M90" s="5374"/>
      <c r="N90" s="5373" t="s">
        <v>168</v>
      </c>
      <c r="O90" s="5374"/>
      <c r="P90" s="5374"/>
      <c r="Q90" s="242"/>
      <c r="R90" s="131"/>
      <c r="S90" s="5375"/>
      <c r="T90" s="242"/>
      <c r="U90" s="131"/>
      <c r="V90" s="5372"/>
      <c r="W90" s="68"/>
      <c r="X90" s="68"/>
      <c r="Y90" s="68"/>
      <c r="Z90" s="68"/>
      <c r="AA90" s="68"/>
      <c r="AB90" s="68"/>
      <c r="AC90" s="68"/>
      <c r="AD90" s="68"/>
      <c r="AE90" s="68"/>
    </row>
    <row r="91" spans="1:32" ht="18" customHeight="1">
      <c r="A91" s="5368" t="s">
        <v>169</v>
      </c>
      <c r="B91" s="5376" t="s">
        <v>170</v>
      </c>
      <c r="C91" s="5314"/>
      <c r="D91" s="5314"/>
      <c r="E91" s="5376" t="s">
        <v>171</v>
      </c>
      <c r="F91" s="5322"/>
      <c r="G91" s="5314"/>
      <c r="H91" s="5376" t="s">
        <v>171</v>
      </c>
      <c r="I91" s="5277"/>
      <c r="J91" s="5276"/>
      <c r="K91" s="5377" t="s">
        <v>172</v>
      </c>
      <c r="L91" s="5277"/>
      <c r="M91" s="5378"/>
      <c r="N91" s="5376" t="s">
        <v>172</v>
      </c>
      <c r="O91" s="5314"/>
      <c r="P91" s="5314"/>
      <c r="Q91" s="5377" t="s">
        <v>173</v>
      </c>
      <c r="R91" s="5277"/>
      <c r="S91" s="5276"/>
      <c r="T91" s="5377" t="s">
        <v>173</v>
      </c>
      <c r="U91" s="5277"/>
      <c r="V91" s="5279"/>
      <c r="W91" s="68"/>
      <c r="X91" s="68"/>
      <c r="Y91" s="68"/>
      <c r="Z91" s="68"/>
      <c r="AA91" s="68"/>
      <c r="AB91" s="68"/>
      <c r="AC91" s="68"/>
      <c r="AD91" s="68"/>
      <c r="AE91" s="68"/>
    </row>
    <row r="92" spans="1:32" ht="18" customHeight="1">
      <c r="A92" s="5379" t="s">
        <v>174</v>
      </c>
      <c r="B92" s="5380" t="s">
        <v>46</v>
      </c>
      <c r="C92" s="5381"/>
      <c r="D92" s="5381"/>
      <c r="E92" s="5380" t="s">
        <v>46</v>
      </c>
      <c r="F92" s="5382"/>
      <c r="G92" s="5381"/>
      <c r="H92" s="5190" t="s">
        <v>46</v>
      </c>
      <c r="I92" s="5129"/>
      <c r="J92" s="5130"/>
      <c r="K92" s="5190" t="s">
        <v>46</v>
      </c>
      <c r="L92" s="5129"/>
      <c r="M92" s="5191"/>
      <c r="N92" s="5380" t="s">
        <v>46</v>
      </c>
      <c r="O92" s="5381"/>
      <c r="P92" s="5381"/>
      <c r="Q92" s="5190"/>
      <c r="R92" s="5129"/>
      <c r="S92" s="5130"/>
      <c r="T92" s="5190"/>
      <c r="U92" s="5129"/>
      <c r="V92" s="5132"/>
      <c r="W92" s="68"/>
      <c r="X92" s="68"/>
      <c r="Y92" s="68"/>
      <c r="Z92" s="68"/>
      <c r="AA92" s="68"/>
      <c r="AB92" s="68"/>
      <c r="AC92" s="68"/>
      <c r="AD92" s="68"/>
      <c r="AE92" s="68"/>
    </row>
    <row r="93" spans="1:32" ht="18" customHeight="1">
      <c r="A93" s="243"/>
      <c r="B93" s="244"/>
      <c r="C93" s="111"/>
      <c r="D93" s="111"/>
      <c r="E93" s="244"/>
      <c r="F93" s="115"/>
      <c r="G93" s="111"/>
      <c r="H93" s="115"/>
      <c r="I93" s="111"/>
      <c r="J93" s="111"/>
      <c r="K93" s="115"/>
      <c r="L93" s="111"/>
      <c r="M93" s="32"/>
      <c r="N93" s="244"/>
      <c r="O93" s="111"/>
      <c r="P93" s="111"/>
      <c r="Q93" s="115"/>
      <c r="R93" s="111"/>
      <c r="S93" s="111"/>
      <c r="T93" s="115"/>
      <c r="U93" s="111"/>
      <c r="V93" s="111"/>
      <c r="W93" s="68"/>
      <c r="X93" s="68"/>
      <c r="Y93" s="68"/>
      <c r="Z93" s="68"/>
      <c r="AA93" s="68"/>
      <c r="AB93" s="68"/>
      <c r="AC93" s="68"/>
      <c r="AD93" s="68"/>
      <c r="AE93" s="68"/>
    </row>
    <row r="94" spans="1:32" ht="18" customHeight="1">
      <c r="A94" s="363" t="s">
        <v>161</v>
      </c>
      <c r="B94" s="866">
        <v>1</v>
      </c>
      <c r="C94" s="865">
        <v>2</v>
      </c>
      <c r="D94" s="865">
        <v>3</v>
      </c>
      <c r="E94" s="865">
        <v>4</v>
      </c>
      <c r="F94" s="865">
        <v>5</v>
      </c>
      <c r="G94" s="865">
        <v>6</v>
      </c>
      <c r="H94" s="866">
        <v>7</v>
      </c>
      <c r="I94" s="866">
        <v>8</v>
      </c>
      <c r="J94" s="865">
        <v>9</v>
      </c>
      <c r="K94" s="865">
        <v>10</v>
      </c>
      <c r="L94" s="865">
        <v>11</v>
      </c>
      <c r="M94" s="865">
        <v>12</v>
      </c>
      <c r="N94" s="865">
        <v>13</v>
      </c>
      <c r="O94" s="866">
        <v>14</v>
      </c>
      <c r="P94" s="866">
        <v>15</v>
      </c>
      <c r="Q94" s="865">
        <v>16</v>
      </c>
      <c r="R94" s="865">
        <v>17</v>
      </c>
      <c r="S94" s="865">
        <v>18</v>
      </c>
      <c r="T94" s="865">
        <v>19</v>
      </c>
      <c r="U94" s="865">
        <v>20</v>
      </c>
      <c r="V94" s="866">
        <v>21</v>
      </c>
      <c r="W94" s="866">
        <v>22</v>
      </c>
      <c r="X94" s="865">
        <v>23</v>
      </c>
      <c r="Y94" s="865">
        <v>24</v>
      </c>
      <c r="Z94" s="865">
        <v>25</v>
      </c>
      <c r="AA94" s="865">
        <v>26</v>
      </c>
      <c r="AB94" s="865">
        <v>27</v>
      </c>
      <c r="AC94" s="866">
        <v>28</v>
      </c>
      <c r="AD94" s="866">
        <v>29</v>
      </c>
      <c r="AE94" s="865">
        <v>30</v>
      </c>
      <c r="AF94" s="867">
        <v>31</v>
      </c>
    </row>
    <row r="95" spans="1:32" ht="18" customHeight="1">
      <c r="A95" s="5192" t="s">
        <v>175</v>
      </c>
      <c r="B95" s="5340" t="s">
        <v>120</v>
      </c>
      <c r="C95" s="5340" t="s">
        <v>46</v>
      </c>
      <c r="D95" s="5340" t="s">
        <v>46</v>
      </c>
      <c r="E95" s="5340" t="s">
        <v>46</v>
      </c>
      <c r="F95" s="5383" t="s">
        <v>46</v>
      </c>
      <c r="G95" s="5383" t="s">
        <v>46</v>
      </c>
      <c r="H95" s="5383"/>
      <c r="I95" s="5383"/>
      <c r="J95" s="5383">
        <v>25</v>
      </c>
      <c r="K95" s="5383">
        <v>25</v>
      </c>
      <c r="L95" s="5383">
        <v>25</v>
      </c>
      <c r="M95" s="5383">
        <v>25</v>
      </c>
      <c r="N95" s="5383">
        <v>25</v>
      </c>
      <c r="O95" s="5383"/>
      <c r="P95" s="5383">
        <v>26</v>
      </c>
      <c r="Q95" s="5383">
        <v>26</v>
      </c>
      <c r="R95" s="5383">
        <v>26</v>
      </c>
      <c r="S95" s="5383">
        <v>26</v>
      </c>
      <c r="T95" s="5383">
        <v>26</v>
      </c>
      <c r="U95" s="5383">
        <v>26</v>
      </c>
      <c r="V95" s="585"/>
      <c r="W95" s="585"/>
      <c r="X95" s="585" t="s">
        <v>121</v>
      </c>
      <c r="Y95" s="585" t="s">
        <v>121</v>
      </c>
      <c r="Z95" s="585" t="s">
        <v>121</v>
      </c>
      <c r="AA95" s="585" t="s">
        <v>121</v>
      </c>
      <c r="AB95" s="585" t="s">
        <v>121</v>
      </c>
      <c r="AC95" s="5383" t="s">
        <v>120</v>
      </c>
      <c r="AD95" s="5340" t="s">
        <v>120</v>
      </c>
      <c r="AE95" s="5340" t="s">
        <v>46</v>
      </c>
      <c r="AF95" s="5384" t="s">
        <v>46</v>
      </c>
    </row>
    <row r="96" spans="1:32" ht="18" customHeight="1">
      <c r="A96" s="5357" t="s">
        <v>176</v>
      </c>
      <c r="B96" s="5383"/>
      <c r="C96" s="5383">
        <v>25</v>
      </c>
      <c r="D96" s="5383">
        <v>25</v>
      </c>
      <c r="E96" s="5383">
        <v>25</v>
      </c>
      <c r="F96" s="5383">
        <v>25</v>
      </c>
      <c r="G96" s="5383">
        <v>25</v>
      </c>
      <c r="H96" s="5383"/>
      <c r="I96" s="5383">
        <v>26</v>
      </c>
      <c r="J96" s="5383">
        <v>26</v>
      </c>
      <c r="K96" s="5383">
        <v>26</v>
      </c>
      <c r="L96" s="5383">
        <v>26</v>
      </c>
      <c r="M96" s="5383">
        <v>26</v>
      </c>
      <c r="N96" s="5383">
        <v>26</v>
      </c>
      <c r="O96" s="585"/>
      <c r="P96" s="585"/>
      <c r="Q96" s="585" t="s">
        <v>121</v>
      </c>
      <c r="R96" s="585" t="s">
        <v>121</v>
      </c>
      <c r="S96" s="585" t="s">
        <v>121</v>
      </c>
      <c r="T96" s="585" t="s">
        <v>121</v>
      </c>
      <c r="U96" s="585" t="s">
        <v>121</v>
      </c>
      <c r="V96" s="5383" t="s">
        <v>120</v>
      </c>
      <c r="W96" s="5383" t="s">
        <v>120</v>
      </c>
      <c r="X96" s="5383" t="s">
        <v>46</v>
      </c>
      <c r="Y96" s="5383" t="s">
        <v>46</v>
      </c>
      <c r="Z96" s="5383" t="s">
        <v>46</v>
      </c>
      <c r="AA96" s="5383" t="s">
        <v>46</v>
      </c>
      <c r="AB96" s="5383" t="s">
        <v>46</v>
      </c>
      <c r="AC96" s="5383"/>
      <c r="AD96" s="5383"/>
      <c r="AE96" s="5383">
        <v>25</v>
      </c>
      <c r="AF96" s="5385">
        <v>25</v>
      </c>
    </row>
    <row r="97" spans="1:32" ht="18" customHeight="1">
      <c r="A97" s="5386" t="s">
        <v>135</v>
      </c>
      <c r="B97" s="5383">
        <v>26</v>
      </c>
      <c r="C97" s="5383">
        <v>26</v>
      </c>
      <c r="D97" s="5383">
        <v>26</v>
      </c>
      <c r="E97" s="5383">
        <v>26</v>
      </c>
      <c r="F97" s="5383">
        <v>26</v>
      </c>
      <c r="G97" s="5383">
        <v>26</v>
      </c>
      <c r="H97" s="5383"/>
      <c r="I97" s="5383"/>
      <c r="J97" s="5383" t="s">
        <v>121</v>
      </c>
      <c r="K97" s="5383" t="s">
        <v>121</v>
      </c>
      <c r="L97" s="5383" t="s">
        <v>121</v>
      </c>
      <c r="M97" s="5383" t="s">
        <v>121</v>
      </c>
      <c r="N97" s="5383" t="s">
        <v>121</v>
      </c>
      <c r="O97" s="5383" t="s">
        <v>120</v>
      </c>
      <c r="P97" s="5383" t="s">
        <v>120</v>
      </c>
      <c r="Q97" s="5383" t="s">
        <v>46</v>
      </c>
      <c r="R97" s="5383" t="s">
        <v>46</v>
      </c>
      <c r="S97" s="5383" t="s">
        <v>46</v>
      </c>
      <c r="T97" s="5383" t="s">
        <v>46</v>
      </c>
      <c r="U97" s="5383" t="s">
        <v>46</v>
      </c>
      <c r="V97" s="5383"/>
      <c r="W97" s="5383"/>
      <c r="X97" s="5383">
        <v>25</v>
      </c>
      <c r="Y97" s="5383">
        <v>25</v>
      </c>
      <c r="Z97" s="5383">
        <v>25</v>
      </c>
      <c r="AA97" s="5383">
        <v>25</v>
      </c>
      <c r="AB97" s="5383">
        <v>25</v>
      </c>
      <c r="AC97" s="5383"/>
      <c r="AD97" s="5383">
        <v>26</v>
      </c>
      <c r="AE97" s="5383">
        <v>26</v>
      </c>
      <c r="AF97" s="5385">
        <v>26</v>
      </c>
    </row>
    <row r="98" spans="1:32" ht="18" customHeight="1">
      <c r="A98" s="462" t="s">
        <v>146</v>
      </c>
      <c r="B98" s="5387"/>
      <c r="C98" s="5387" t="s">
        <v>121</v>
      </c>
      <c r="D98" s="5387" t="s">
        <v>121</v>
      </c>
      <c r="E98" s="5387" t="s">
        <v>121</v>
      </c>
      <c r="F98" s="5387" t="s">
        <v>121</v>
      </c>
      <c r="G98" s="5387" t="s">
        <v>121</v>
      </c>
      <c r="H98" s="5387" t="s">
        <v>120</v>
      </c>
      <c r="I98" s="5387" t="s">
        <v>120</v>
      </c>
      <c r="J98" s="5387" t="s">
        <v>46</v>
      </c>
      <c r="K98" s="5387" t="s">
        <v>46</v>
      </c>
      <c r="L98" s="5387" t="s">
        <v>46</v>
      </c>
      <c r="M98" s="5387" t="s">
        <v>46</v>
      </c>
      <c r="N98" s="5387" t="s">
        <v>46</v>
      </c>
      <c r="O98" s="5387"/>
      <c r="P98" s="5387"/>
      <c r="Q98" s="5387">
        <v>25</v>
      </c>
      <c r="R98" s="5387">
        <v>25</v>
      </c>
      <c r="S98" s="5387">
        <v>25</v>
      </c>
      <c r="T98" s="5387">
        <v>25</v>
      </c>
      <c r="U98" s="5387">
        <v>25</v>
      </c>
      <c r="V98" s="5387"/>
      <c r="W98" s="5387">
        <v>26</v>
      </c>
      <c r="X98" s="5387">
        <v>26</v>
      </c>
      <c r="Y98" s="5387">
        <v>26</v>
      </c>
      <c r="Z98" s="5387">
        <v>26</v>
      </c>
      <c r="AA98" s="5387">
        <v>26</v>
      </c>
      <c r="AB98" s="5387">
        <v>26</v>
      </c>
      <c r="AC98" s="5387"/>
      <c r="AD98" s="5387"/>
      <c r="AE98" s="5387" t="s">
        <v>121</v>
      </c>
      <c r="AF98" s="5388" t="s">
        <v>121</v>
      </c>
    </row>
    <row r="99" spans="1:32" ht="18" customHeight="1">
      <c r="A99" s="115"/>
      <c r="B99" s="126"/>
      <c r="C99" s="126"/>
      <c r="D99" s="126"/>
      <c r="E99" s="126"/>
      <c r="F99" s="126"/>
      <c r="G99" s="126"/>
      <c r="H99" s="126"/>
      <c r="I99" s="126"/>
      <c r="J99" s="126"/>
      <c r="K99" s="126"/>
      <c r="L99" s="126"/>
      <c r="M99" s="126"/>
      <c r="N99" s="126"/>
      <c r="O99" s="126"/>
      <c r="P99" s="126"/>
      <c r="Q99" s="126"/>
      <c r="R99" s="126"/>
      <c r="S99" s="126"/>
      <c r="T99" s="126"/>
      <c r="U99" s="126"/>
      <c r="V99" s="126"/>
      <c r="W99" s="126"/>
      <c r="X99" s="126"/>
      <c r="Y99" s="126"/>
      <c r="Z99" s="126"/>
      <c r="AA99" s="126"/>
      <c r="AB99" s="126"/>
      <c r="AC99" s="126"/>
      <c r="AD99" s="126"/>
      <c r="AE99" s="126"/>
    </row>
    <row r="100" spans="1:32" ht="18" customHeight="1">
      <c r="A100" s="115"/>
      <c r="B100" s="126"/>
      <c r="C100" s="126"/>
      <c r="D100" s="126"/>
      <c r="E100" s="126"/>
      <c r="F100" s="126"/>
      <c r="G100" s="126"/>
      <c r="H100" s="126"/>
      <c r="I100" s="126"/>
      <c r="J100" s="159"/>
      <c r="K100" s="159"/>
      <c r="L100" s="159"/>
      <c r="M100" s="159"/>
      <c r="N100" s="159"/>
      <c r="O100" s="159"/>
      <c r="P100" s="159"/>
      <c r="Q100" s="159"/>
      <c r="R100" s="159"/>
      <c r="S100" s="159"/>
      <c r="T100" s="159"/>
      <c r="U100" s="159"/>
      <c r="V100" s="126"/>
      <c r="W100" s="126"/>
      <c r="X100" s="126"/>
      <c r="Y100" s="126"/>
      <c r="Z100" s="126"/>
      <c r="AA100" s="126"/>
      <c r="AB100" s="126"/>
      <c r="AC100" s="126"/>
      <c r="AD100" s="126"/>
      <c r="AE100" s="126"/>
    </row>
    <row r="101" spans="1:32" ht="18" customHeight="1">
      <c r="A101" s="134" t="s">
        <v>180</v>
      </c>
      <c r="B101" s="135"/>
      <c r="C101" s="135"/>
      <c r="D101" s="136" t="s">
        <v>181</v>
      </c>
      <c r="E101" s="135"/>
      <c r="F101" s="135"/>
      <c r="G101" s="135"/>
      <c r="H101" s="135"/>
      <c r="I101" s="135"/>
      <c r="J101" s="135" t="s">
        <v>0</v>
      </c>
      <c r="K101" s="135"/>
      <c r="L101" s="135"/>
      <c r="M101" s="135"/>
      <c r="N101" s="135"/>
      <c r="O101" s="135"/>
      <c r="P101" s="135"/>
      <c r="Q101" s="147" t="s">
        <v>0</v>
      </c>
      <c r="R101" s="147"/>
      <c r="S101" s="147"/>
      <c r="T101" s="101"/>
      <c r="U101" s="101"/>
      <c r="V101" s="101"/>
      <c r="W101" s="101"/>
      <c r="X101" s="101"/>
      <c r="Y101" s="101"/>
      <c r="Z101" s="101"/>
      <c r="AA101" s="101"/>
      <c r="AB101" s="101"/>
      <c r="AC101" s="101"/>
      <c r="AD101" s="101"/>
      <c r="AE101" s="101"/>
    </row>
    <row r="102" spans="1:32" ht="18" customHeight="1">
      <c r="A102" s="142"/>
      <c r="B102" s="157"/>
      <c r="C102" s="157"/>
      <c r="D102" s="157"/>
      <c r="E102" s="157"/>
      <c r="F102" s="157"/>
      <c r="G102" s="157"/>
      <c r="H102" s="157"/>
      <c r="I102" s="157"/>
      <c r="J102" s="157"/>
      <c r="K102" s="131"/>
      <c r="L102" s="131"/>
      <c r="M102" s="131"/>
      <c r="N102" s="131"/>
      <c r="O102" s="131"/>
      <c r="P102" s="131"/>
      <c r="Q102" s="131"/>
      <c r="R102" s="131"/>
      <c r="S102" s="131"/>
      <c r="T102" s="101"/>
      <c r="U102" s="101"/>
      <c r="V102" s="101"/>
      <c r="W102" s="101"/>
      <c r="X102" s="101"/>
      <c r="Y102" s="101"/>
      <c r="Z102" s="101"/>
      <c r="AA102" s="101"/>
      <c r="AB102" s="101"/>
      <c r="AC102" s="101"/>
      <c r="AD102" s="101"/>
      <c r="AE102" s="101"/>
    </row>
    <row r="103" spans="1:32" ht="18" customHeight="1">
      <c r="A103" s="687" t="s">
        <v>679</v>
      </c>
      <c r="B103" s="427">
        <v>1</v>
      </c>
      <c r="C103" s="428">
        <v>2</v>
      </c>
      <c r="D103" s="428">
        <v>3</v>
      </c>
      <c r="E103" s="428">
        <v>4</v>
      </c>
      <c r="F103" s="428">
        <v>5</v>
      </c>
      <c r="G103" s="428">
        <v>6</v>
      </c>
      <c r="H103" s="427">
        <v>7</v>
      </c>
      <c r="I103" s="427">
        <v>8</v>
      </c>
      <c r="J103" s="428">
        <v>9</v>
      </c>
      <c r="K103" s="428">
        <v>10</v>
      </c>
      <c r="L103" s="428">
        <v>11</v>
      </c>
      <c r="M103" s="428">
        <v>12</v>
      </c>
      <c r="N103" s="428">
        <v>13</v>
      </c>
      <c r="O103" s="427">
        <v>14</v>
      </c>
      <c r="P103" s="427">
        <v>15</v>
      </c>
      <c r="Q103" s="428">
        <v>16</v>
      </c>
      <c r="R103" s="428">
        <v>17</v>
      </c>
      <c r="S103" s="428">
        <v>18</v>
      </c>
      <c r="T103" s="428">
        <v>19</v>
      </c>
      <c r="U103" s="428">
        <v>20</v>
      </c>
      <c r="V103" s="427">
        <v>21</v>
      </c>
      <c r="W103" s="427">
        <v>22</v>
      </c>
      <c r="X103" s="428">
        <v>23</v>
      </c>
      <c r="Y103" s="428">
        <v>24</v>
      </c>
      <c r="Z103" s="428">
        <v>25</v>
      </c>
      <c r="AA103" s="428">
        <v>26</v>
      </c>
      <c r="AB103" s="428">
        <v>27</v>
      </c>
      <c r="AC103" s="427">
        <v>28</v>
      </c>
      <c r="AD103" s="427">
        <v>29</v>
      </c>
      <c r="AE103" s="428">
        <v>30</v>
      </c>
      <c r="AF103" s="688">
        <v>31</v>
      </c>
    </row>
    <row r="104" spans="1:32" ht="18" customHeight="1">
      <c r="A104" s="689" t="s">
        <v>184</v>
      </c>
      <c r="B104" s="644" t="s">
        <v>628</v>
      </c>
      <c r="C104" s="644" t="s">
        <v>46</v>
      </c>
      <c r="D104" s="644" t="s">
        <v>46</v>
      </c>
      <c r="E104" s="644" t="s">
        <v>118</v>
      </c>
      <c r="F104" s="644" t="s">
        <v>118</v>
      </c>
      <c r="G104" s="644" t="s">
        <v>118</v>
      </c>
      <c r="H104" s="644" t="s">
        <v>118</v>
      </c>
      <c r="I104" s="644" t="s">
        <v>118</v>
      </c>
      <c r="J104" s="644" t="s">
        <v>118</v>
      </c>
      <c r="K104" s="5299" t="s">
        <v>46</v>
      </c>
      <c r="L104" s="5299" t="s">
        <v>46</v>
      </c>
      <c r="M104" s="5299" t="s">
        <v>46</v>
      </c>
      <c r="N104" s="5299" t="s">
        <v>46</v>
      </c>
      <c r="O104" s="5299" t="s">
        <v>46</v>
      </c>
      <c r="P104" s="5299" t="s">
        <v>46</v>
      </c>
      <c r="Q104" s="644" t="s">
        <v>46</v>
      </c>
      <c r="R104" s="644" t="s">
        <v>46</v>
      </c>
      <c r="S104" s="644" t="s">
        <v>46</v>
      </c>
      <c r="T104" s="644" t="s">
        <v>46</v>
      </c>
      <c r="U104" s="644" t="s">
        <v>46</v>
      </c>
      <c r="V104" s="644" t="s">
        <v>628</v>
      </c>
      <c r="W104" s="644" t="s">
        <v>118</v>
      </c>
      <c r="X104" s="644" t="s">
        <v>118</v>
      </c>
      <c r="Y104" s="644" t="s">
        <v>118</v>
      </c>
      <c r="Z104" s="644" t="s">
        <v>118</v>
      </c>
      <c r="AA104" s="644" t="s">
        <v>118</v>
      </c>
      <c r="AB104" s="644" t="s">
        <v>118</v>
      </c>
      <c r="AC104" s="644" t="s">
        <v>46</v>
      </c>
      <c r="AD104" s="644" t="s">
        <v>628</v>
      </c>
      <c r="AE104" s="644" t="s">
        <v>46</v>
      </c>
      <c r="AF104" s="690" t="s">
        <v>46</v>
      </c>
    </row>
    <row r="105" spans="1:32" ht="18" customHeight="1">
      <c r="A105" s="366" t="s">
        <v>195</v>
      </c>
      <c r="B105" s="351" t="s">
        <v>118</v>
      </c>
      <c r="C105" s="351" t="s">
        <v>118</v>
      </c>
      <c r="D105" s="351" t="s">
        <v>118</v>
      </c>
      <c r="E105" s="351" t="s">
        <v>46</v>
      </c>
      <c r="F105" s="351" t="s">
        <v>46</v>
      </c>
      <c r="G105" s="351" t="s">
        <v>46</v>
      </c>
      <c r="H105" s="351" t="s">
        <v>46</v>
      </c>
      <c r="I105" s="351" t="s">
        <v>46</v>
      </c>
      <c r="J105" s="351" t="s">
        <v>628</v>
      </c>
      <c r="K105" s="5299" t="s">
        <v>46</v>
      </c>
      <c r="L105" s="5299" t="s">
        <v>46</v>
      </c>
      <c r="M105" s="5299" t="s">
        <v>46</v>
      </c>
      <c r="N105" s="5299" t="s">
        <v>46</v>
      </c>
      <c r="O105" s="5299" t="s">
        <v>46</v>
      </c>
      <c r="P105" s="5299" t="s">
        <v>46</v>
      </c>
      <c r="Q105" s="351" t="s">
        <v>118</v>
      </c>
      <c r="R105" s="351" t="s">
        <v>118</v>
      </c>
      <c r="S105" s="351" t="s">
        <v>118</v>
      </c>
      <c r="T105" s="351" t="s">
        <v>118</v>
      </c>
      <c r="U105" s="351" t="s">
        <v>118</v>
      </c>
      <c r="V105" s="351" t="s">
        <v>118</v>
      </c>
      <c r="W105" s="351" t="s">
        <v>46</v>
      </c>
      <c r="X105" s="468" t="s">
        <v>46</v>
      </c>
      <c r="Y105" s="468" t="s">
        <v>46</v>
      </c>
      <c r="Z105" s="468" t="s">
        <v>46</v>
      </c>
      <c r="AA105" s="468" t="s">
        <v>46</v>
      </c>
      <c r="AB105" s="468" t="s">
        <v>46</v>
      </c>
      <c r="AC105" s="468" t="s">
        <v>118</v>
      </c>
      <c r="AD105" s="468" t="s">
        <v>118</v>
      </c>
      <c r="AE105" s="351" t="s">
        <v>118</v>
      </c>
      <c r="AF105" s="393" t="s">
        <v>118</v>
      </c>
    </row>
    <row r="106" spans="1:32" ht="18" customHeight="1">
      <c r="A106" s="394"/>
      <c r="B106" s="395"/>
      <c r="C106" s="395"/>
      <c r="D106" s="395"/>
      <c r="E106" s="395"/>
      <c r="F106" s="395"/>
      <c r="G106" s="395"/>
      <c r="H106" s="395"/>
      <c r="I106" s="395"/>
      <c r="J106" s="395"/>
      <c r="K106" s="395"/>
      <c r="L106" s="395"/>
      <c r="M106" s="395"/>
      <c r="N106" s="395"/>
      <c r="O106" s="395"/>
      <c r="P106" s="395"/>
      <c r="Q106" s="395"/>
      <c r="R106" s="395"/>
      <c r="S106" s="395"/>
      <c r="T106" s="395"/>
      <c r="U106" s="395"/>
      <c r="V106" s="395"/>
      <c r="W106" s="395"/>
      <c r="X106" s="395"/>
      <c r="Y106" s="395"/>
      <c r="Z106" s="395"/>
      <c r="AA106" s="395"/>
      <c r="AB106" s="395"/>
      <c r="AC106" s="395"/>
      <c r="AD106" s="395"/>
      <c r="AE106" s="395"/>
      <c r="AF106" s="396"/>
    </row>
    <row r="107" spans="1:32" ht="18" customHeight="1">
      <c r="A107" s="142"/>
      <c r="B107" s="124"/>
      <c r="C107" s="124"/>
      <c r="D107" s="116"/>
      <c r="E107" s="116"/>
      <c r="F107" s="116"/>
      <c r="G107" s="116"/>
      <c r="H107" s="116"/>
      <c r="I107" s="116"/>
      <c r="J107" s="116"/>
      <c r="K107" s="116"/>
      <c r="L107" s="116"/>
      <c r="M107" s="116"/>
      <c r="N107" s="116"/>
      <c r="O107" s="116"/>
      <c r="P107" s="116"/>
      <c r="Q107" s="116"/>
      <c r="R107" s="116"/>
      <c r="S107" s="116"/>
      <c r="T107" s="116"/>
      <c r="U107" s="116"/>
      <c r="V107" s="116"/>
      <c r="W107" s="116"/>
      <c r="X107" s="116"/>
      <c r="Y107" s="116"/>
      <c r="Z107" s="116"/>
      <c r="AA107" s="116"/>
      <c r="AB107" s="116"/>
      <c r="AC107" s="116"/>
      <c r="AD107" s="116"/>
      <c r="AE107" s="116"/>
    </row>
    <row r="108" spans="1:32" ht="18" customHeight="1"/>
    <row r="109" spans="1:32" ht="18" customHeight="1">
      <c r="A109" s="134" t="s">
        <v>180</v>
      </c>
      <c r="B109" s="135"/>
      <c r="C109" s="135"/>
      <c r="D109" s="136" t="s">
        <v>189</v>
      </c>
      <c r="E109" s="135"/>
      <c r="F109" s="135"/>
      <c r="G109" s="135"/>
      <c r="H109" s="135"/>
      <c r="I109" s="135"/>
      <c r="J109" s="135" t="s">
        <v>0</v>
      </c>
      <c r="K109" s="135"/>
      <c r="L109" s="135"/>
      <c r="M109" s="135"/>
      <c r="N109" s="135"/>
      <c r="O109" s="135"/>
      <c r="P109" s="135"/>
      <c r="Q109" s="147" t="s">
        <v>0</v>
      </c>
      <c r="R109" s="147"/>
      <c r="S109" s="147"/>
      <c r="T109" s="101"/>
      <c r="U109" s="101"/>
    </row>
    <row r="111" spans="1:32" ht="18" customHeight="1">
      <c r="A111" s="691" t="s">
        <v>595</v>
      </c>
      <c r="B111" s="866">
        <v>1</v>
      </c>
      <c r="C111" s="865">
        <v>2</v>
      </c>
      <c r="D111" s="865">
        <v>3</v>
      </c>
      <c r="E111" s="865">
        <v>4</v>
      </c>
      <c r="F111" s="865">
        <v>5</v>
      </c>
      <c r="G111" s="865">
        <v>6</v>
      </c>
      <c r="H111" s="866">
        <v>7</v>
      </c>
      <c r="I111" s="866">
        <v>8</v>
      </c>
      <c r="J111" s="865">
        <v>9</v>
      </c>
      <c r="K111" s="865">
        <v>10</v>
      </c>
      <c r="L111" s="865">
        <v>11</v>
      </c>
      <c r="M111" s="865">
        <v>12</v>
      </c>
      <c r="N111" s="865">
        <v>13</v>
      </c>
      <c r="O111" s="866">
        <v>14</v>
      </c>
      <c r="P111" s="866">
        <v>15</v>
      </c>
      <c r="Q111" s="865">
        <v>16</v>
      </c>
      <c r="R111" s="865">
        <v>17</v>
      </c>
      <c r="S111" s="865">
        <v>18</v>
      </c>
      <c r="T111" s="865">
        <v>19</v>
      </c>
      <c r="U111" s="865">
        <v>20</v>
      </c>
      <c r="V111" s="866">
        <v>21</v>
      </c>
      <c r="W111" s="866">
        <v>22</v>
      </c>
      <c r="X111" s="865">
        <v>23</v>
      </c>
      <c r="Y111" s="865">
        <v>24</v>
      </c>
      <c r="Z111" s="865">
        <v>25</v>
      </c>
      <c r="AA111" s="865">
        <v>26</v>
      </c>
      <c r="AB111" s="865">
        <v>27</v>
      </c>
      <c r="AC111" s="866">
        <v>28</v>
      </c>
      <c r="AD111" s="866">
        <v>29</v>
      </c>
      <c r="AE111" s="865">
        <v>30</v>
      </c>
      <c r="AF111" s="867">
        <v>31</v>
      </c>
    </row>
    <row r="112" spans="1:32" ht="18" customHeight="1">
      <c r="A112" s="5389"/>
      <c r="B112" s="480" t="s">
        <v>628</v>
      </c>
      <c r="C112" s="480" t="s">
        <v>46</v>
      </c>
      <c r="D112" s="480" t="s">
        <v>61</v>
      </c>
      <c r="E112" s="480" t="s">
        <v>61</v>
      </c>
      <c r="F112" s="480" t="s">
        <v>61</v>
      </c>
      <c r="G112" s="480" t="s">
        <v>61</v>
      </c>
      <c r="H112" s="484" t="s">
        <v>46</v>
      </c>
      <c r="I112" s="484" t="s">
        <v>46</v>
      </c>
      <c r="J112" s="484" t="s">
        <v>628</v>
      </c>
      <c r="K112" s="484" t="s">
        <v>46</v>
      </c>
      <c r="L112" s="484" t="s">
        <v>61</v>
      </c>
      <c r="M112" s="480" t="s">
        <v>61</v>
      </c>
      <c r="N112" s="480" t="s">
        <v>61</v>
      </c>
      <c r="O112" s="480" t="s">
        <v>46</v>
      </c>
      <c r="P112" s="480" t="s">
        <v>46</v>
      </c>
      <c r="Q112" s="480" t="s">
        <v>46</v>
      </c>
      <c r="R112" s="480" t="s">
        <v>46</v>
      </c>
      <c r="S112" s="480" t="s">
        <v>46</v>
      </c>
      <c r="T112" s="480" t="s">
        <v>61</v>
      </c>
      <c r="U112" s="480" t="s">
        <v>61</v>
      </c>
      <c r="V112" s="484" t="s">
        <v>61</v>
      </c>
      <c r="W112" s="484" t="s">
        <v>46</v>
      </c>
      <c r="X112" s="484" t="s">
        <v>46</v>
      </c>
      <c r="Y112" s="484" t="s">
        <v>61</v>
      </c>
      <c r="Z112" s="484" t="s">
        <v>61</v>
      </c>
      <c r="AA112" s="480" t="s">
        <v>61</v>
      </c>
      <c r="AB112" s="480" t="s">
        <v>628</v>
      </c>
      <c r="AC112" s="480" t="s">
        <v>46</v>
      </c>
      <c r="AD112" s="480" t="s">
        <v>628</v>
      </c>
      <c r="AE112" s="480" t="s">
        <v>61</v>
      </c>
      <c r="AF112" s="645" t="s">
        <v>61</v>
      </c>
    </row>
    <row r="113" spans="1:32" ht="18" customHeight="1">
      <c r="A113" s="476" t="s">
        <v>191</v>
      </c>
      <c r="B113" s="5169" t="s">
        <v>61</v>
      </c>
      <c r="C113" s="5170" t="s">
        <v>61</v>
      </c>
      <c r="D113" s="5170" t="s">
        <v>46</v>
      </c>
      <c r="E113" s="5170" t="s">
        <v>46</v>
      </c>
      <c r="F113" s="5160" t="s">
        <v>46</v>
      </c>
      <c r="G113" s="5160" t="s">
        <v>46</v>
      </c>
      <c r="H113" s="5160" t="s">
        <v>46</v>
      </c>
      <c r="I113" s="5160" t="s">
        <v>61</v>
      </c>
      <c r="J113" s="5160" t="s">
        <v>61</v>
      </c>
      <c r="K113" s="5167" t="s">
        <v>61</v>
      </c>
      <c r="L113" s="5167" t="s">
        <v>46</v>
      </c>
      <c r="M113" s="5167" t="s">
        <v>46</v>
      </c>
      <c r="N113" s="5167" t="s">
        <v>46</v>
      </c>
      <c r="O113" s="5168" t="s">
        <v>46</v>
      </c>
      <c r="P113" s="5169" t="s">
        <v>46</v>
      </c>
      <c r="Q113" s="5170" t="s">
        <v>61</v>
      </c>
      <c r="R113" s="5170" t="s">
        <v>61</v>
      </c>
      <c r="S113" s="5170" t="s">
        <v>61</v>
      </c>
      <c r="T113" s="5160" t="s">
        <v>46</v>
      </c>
      <c r="U113" s="5160" t="s">
        <v>46</v>
      </c>
      <c r="V113" s="5160" t="s">
        <v>628</v>
      </c>
      <c r="W113" s="5160" t="s">
        <v>46</v>
      </c>
      <c r="X113" s="5160" t="s">
        <v>46</v>
      </c>
      <c r="Y113" s="5167" t="s">
        <v>46</v>
      </c>
      <c r="Z113" s="5167" t="s">
        <v>46</v>
      </c>
      <c r="AA113" s="5167" t="s">
        <v>46</v>
      </c>
      <c r="AB113" s="5167" t="s">
        <v>61</v>
      </c>
      <c r="AC113" s="5168" t="s">
        <v>61</v>
      </c>
      <c r="AD113" s="5169" t="s">
        <v>61</v>
      </c>
      <c r="AE113" s="5170" t="s">
        <v>46</v>
      </c>
      <c r="AF113" s="670" t="s">
        <v>46</v>
      </c>
    </row>
    <row r="114" spans="1:32" ht="18" customHeight="1">
      <c r="A114" s="157" t="s">
        <v>0</v>
      </c>
      <c r="B114" s="116" t="s">
        <v>0</v>
      </c>
      <c r="C114" s="116" t="s">
        <v>0</v>
      </c>
      <c r="D114" s="116" t="s">
        <v>0</v>
      </c>
      <c r="E114" s="116" t="s">
        <v>0</v>
      </c>
      <c r="F114" s="116" t="s">
        <v>0</v>
      </c>
      <c r="G114" s="116" t="s">
        <v>0</v>
      </c>
      <c r="H114" s="116" t="s">
        <v>0</v>
      </c>
      <c r="I114" s="116" t="s">
        <v>0</v>
      </c>
      <c r="J114" s="116" t="s">
        <v>0</v>
      </c>
      <c r="K114" s="116" t="s">
        <v>0</v>
      </c>
      <c r="L114" s="116" t="s">
        <v>0</v>
      </c>
      <c r="M114" s="116" t="s">
        <v>0</v>
      </c>
      <c r="N114" s="116" t="s">
        <v>0</v>
      </c>
      <c r="O114" s="116" t="s">
        <v>0</v>
      </c>
      <c r="P114" s="116" t="s">
        <v>0</v>
      </c>
      <c r="Q114" s="116" t="s">
        <v>0</v>
      </c>
      <c r="R114" s="116" t="s">
        <v>0</v>
      </c>
      <c r="S114" s="116" t="s">
        <v>0</v>
      </c>
      <c r="T114" s="116" t="s">
        <v>0</v>
      </c>
      <c r="U114" s="116" t="s">
        <v>0</v>
      </c>
      <c r="V114" s="116" t="s">
        <v>0</v>
      </c>
      <c r="W114" s="116" t="s">
        <v>0</v>
      </c>
      <c r="X114" s="116" t="s">
        <v>0</v>
      </c>
      <c r="Y114" s="116" t="s">
        <v>0</v>
      </c>
      <c r="Z114" s="116" t="s">
        <v>0</v>
      </c>
      <c r="AA114" s="116" t="s">
        <v>0</v>
      </c>
      <c r="AB114" s="116" t="s">
        <v>0</v>
      </c>
      <c r="AC114" s="116" t="s">
        <v>0</v>
      </c>
      <c r="AD114" s="116" t="s">
        <v>0</v>
      </c>
      <c r="AE114" s="116" t="s">
        <v>0</v>
      </c>
    </row>
    <row r="115" spans="1:32" ht="18" customHeight="1"/>
    <row r="116" spans="1:32" ht="18" customHeight="1">
      <c r="A116" s="134" t="s">
        <v>180</v>
      </c>
      <c r="B116" s="135"/>
      <c r="C116" s="135"/>
      <c r="D116" s="136" t="s">
        <v>193</v>
      </c>
      <c r="E116" s="135"/>
      <c r="F116" s="135"/>
      <c r="G116" s="135"/>
      <c r="H116" s="135"/>
      <c r="I116" s="135"/>
      <c r="J116" s="135" t="s">
        <v>0</v>
      </c>
      <c r="K116" s="135"/>
      <c r="L116" s="135"/>
      <c r="M116" s="135"/>
      <c r="N116" s="135"/>
      <c r="O116" s="135"/>
      <c r="P116" s="135"/>
      <c r="Q116" s="147" t="s">
        <v>0</v>
      </c>
      <c r="R116" s="147"/>
      <c r="S116" s="147"/>
    </row>
    <row r="117" spans="1:32" ht="18" customHeight="1">
      <c r="S117" s="101"/>
      <c r="T117" s="101"/>
      <c r="U117" s="101"/>
    </row>
    <row r="118" spans="1:32" ht="18" customHeight="1">
      <c r="A118" s="387" t="s">
        <v>192</v>
      </c>
      <c r="B118" s="866">
        <v>1</v>
      </c>
      <c r="C118" s="865">
        <v>2</v>
      </c>
      <c r="D118" s="865">
        <v>3</v>
      </c>
      <c r="E118" s="865">
        <v>4</v>
      </c>
      <c r="F118" s="865">
        <v>5</v>
      </c>
      <c r="G118" s="865">
        <v>6</v>
      </c>
      <c r="H118" s="866">
        <v>7</v>
      </c>
      <c r="I118" s="866">
        <v>8</v>
      </c>
      <c r="J118" s="865">
        <v>9</v>
      </c>
      <c r="K118" s="865">
        <v>10</v>
      </c>
      <c r="L118" s="865">
        <v>11</v>
      </c>
      <c r="M118" s="865">
        <v>12</v>
      </c>
      <c r="N118" s="865">
        <v>13</v>
      </c>
      <c r="O118" s="866">
        <v>14</v>
      </c>
      <c r="P118" s="866">
        <v>15</v>
      </c>
      <c r="Q118" s="865">
        <v>16</v>
      </c>
      <c r="R118" s="865">
        <v>17</v>
      </c>
      <c r="S118" s="865">
        <v>18</v>
      </c>
      <c r="T118" s="865">
        <v>19</v>
      </c>
      <c r="U118" s="865">
        <v>20</v>
      </c>
      <c r="V118" s="866">
        <v>21</v>
      </c>
      <c r="W118" s="866">
        <v>22</v>
      </c>
      <c r="X118" s="865">
        <v>23</v>
      </c>
      <c r="Y118" s="865">
        <v>24</v>
      </c>
      <c r="Z118" s="865">
        <v>25</v>
      </c>
      <c r="AA118" s="865">
        <v>26</v>
      </c>
      <c r="AB118" s="865">
        <v>27</v>
      </c>
      <c r="AC118" s="866">
        <v>28</v>
      </c>
      <c r="AD118" s="866">
        <v>29</v>
      </c>
      <c r="AE118" s="865">
        <v>30</v>
      </c>
      <c r="AF118" s="867">
        <v>31</v>
      </c>
    </row>
    <row r="119" spans="1:32" ht="18" customHeight="1">
      <c r="A119" s="1498" t="s">
        <v>194</v>
      </c>
      <c r="B119" s="5360" t="s">
        <v>628</v>
      </c>
      <c r="C119" s="1505" t="s">
        <v>139</v>
      </c>
      <c r="D119" s="1505" t="s">
        <v>139</v>
      </c>
      <c r="E119" s="1505" t="s">
        <v>139</v>
      </c>
      <c r="F119" s="1505" t="s">
        <v>46</v>
      </c>
      <c r="G119" s="1505" t="s">
        <v>46</v>
      </c>
      <c r="H119" s="1505" t="s">
        <v>46</v>
      </c>
      <c r="I119" s="1504" t="s">
        <v>139</v>
      </c>
      <c r="J119" s="1504" t="s">
        <v>139</v>
      </c>
      <c r="K119" s="1504" t="s">
        <v>139</v>
      </c>
      <c r="L119" s="1504" t="s">
        <v>46</v>
      </c>
      <c r="M119" s="1504" t="s">
        <v>46</v>
      </c>
      <c r="N119" s="1505" t="s">
        <v>628</v>
      </c>
      <c r="O119" s="1505" t="s">
        <v>139</v>
      </c>
      <c r="P119" s="1505" t="s">
        <v>139</v>
      </c>
      <c r="Q119" s="1505" t="s">
        <v>139</v>
      </c>
      <c r="R119" s="1505" t="s">
        <v>46</v>
      </c>
      <c r="S119" s="1505" t="s">
        <v>46</v>
      </c>
      <c r="T119" s="1505" t="s">
        <v>46</v>
      </c>
      <c r="U119" s="1505" t="s">
        <v>46</v>
      </c>
      <c r="V119" s="1505" t="s">
        <v>628</v>
      </c>
      <c r="W119" s="1504" t="s">
        <v>139</v>
      </c>
      <c r="X119" s="1504" t="s">
        <v>139</v>
      </c>
      <c r="Y119" s="1504" t="s">
        <v>139</v>
      </c>
      <c r="Z119" s="1504" t="s">
        <v>628</v>
      </c>
      <c r="AA119" s="1504" t="s">
        <v>628</v>
      </c>
      <c r="AB119" s="1505" t="s">
        <v>628</v>
      </c>
      <c r="AC119" s="1505" t="s">
        <v>46</v>
      </c>
      <c r="AD119" s="5360" t="s">
        <v>628</v>
      </c>
      <c r="AE119" s="1505" t="s">
        <v>139</v>
      </c>
      <c r="AF119" s="1508" t="s">
        <v>139</v>
      </c>
    </row>
    <row r="120" spans="1:32" ht="18" customHeight="1">
      <c r="A120" s="397" t="s">
        <v>185</v>
      </c>
      <c r="B120" s="5170" t="s">
        <v>139</v>
      </c>
      <c r="C120" s="5170" t="s">
        <v>46</v>
      </c>
      <c r="D120" s="5170" t="s">
        <v>46</v>
      </c>
      <c r="E120" s="5170" t="s">
        <v>46</v>
      </c>
      <c r="F120" s="5170" t="s">
        <v>139</v>
      </c>
      <c r="G120" s="5160" t="s">
        <v>139</v>
      </c>
      <c r="H120" s="5160" t="s">
        <v>139</v>
      </c>
      <c r="I120" s="5160" t="s">
        <v>46</v>
      </c>
      <c r="J120" s="5160" t="s">
        <v>628</v>
      </c>
      <c r="K120" s="5160" t="s">
        <v>46</v>
      </c>
      <c r="L120" s="5160" t="s">
        <v>139</v>
      </c>
      <c r="M120" s="5160" t="s">
        <v>139</v>
      </c>
      <c r="N120" s="5160" t="s">
        <v>139</v>
      </c>
      <c r="O120" s="5160" t="s">
        <v>628</v>
      </c>
      <c r="P120" s="5170" t="s">
        <v>46</v>
      </c>
      <c r="Q120" s="5170" t="s">
        <v>46</v>
      </c>
      <c r="R120" s="5170" t="s">
        <v>139</v>
      </c>
      <c r="S120" s="5170" t="s">
        <v>139</v>
      </c>
      <c r="T120" s="5170" t="s">
        <v>139</v>
      </c>
      <c r="U120" s="5160" t="s">
        <v>139</v>
      </c>
      <c r="V120" s="5160" t="s">
        <v>628</v>
      </c>
      <c r="W120" s="5160" t="s">
        <v>46</v>
      </c>
      <c r="X120" s="5160" t="s">
        <v>46</v>
      </c>
      <c r="Y120" s="5160" t="s">
        <v>46</v>
      </c>
      <c r="Z120" s="5160" t="s">
        <v>139</v>
      </c>
      <c r="AA120" s="5160" t="s">
        <v>139</v>
      </c>
      <c r="AB120" s="5160" t="s">
        <v>139</v>
      </c>
      <c r="AC120" s="5160" t="s">
        <v>46</v>
      </c>
      <c r="AD120" s="5170" t="s">
        <v>628</v>
      </c>
      <c r="AE120" s="5170" t="s">
        <v>46</v>
      </c>
      <c r="AF120" s="670" t="s">
        <v>46</v>
      </c>
    </row>
    <row r="121" spans="1:32" ht="18" customHeight="1">
      <c r="A121" s="115"/>
      <c r="B121" s="116"/>
      <c r="C121" s="116"/>
      <c r="D121" s="116"/>
      <c r="E121" s="116"/>
      <c r="F121" s="116"/>
      <c r="G121" s="116"/>
      <c r="H121" s="116"/>
      <c r="I121" s="116"/>
      <c r="J121" s="116"/>
      <c r="K121" s="116"/>
      <c r="L121" s="116"/>
      <c r="M121" s="116"/>
      <c r="N121" s="116"/>
      <c r="O121" s="116"/>
      <c r="P121" s="116"/>
      <c r="Q121" s="116"/>
      <c r="R121" s="116"/>
      <c r="S121" s="116"/>
      <c r="T121" s="116"/>
      <c r="U121" s="116"/>
      <c r="V121" s="116"/>
      <c r="W121" s="116"/>
      <c r="X121" s="116"/>
      <c r="Y121" s="116"/>
      <c r="Z121" s="116"/>
      <c r="AA121" s="116"/>
      <c r="AB121" s="116"/>
      <c r="AC121" s="116"/>
      <c r="AD121" s="116"/>
      <c r="AE121" s="116"/>
    </row>
    <row r="122" spans="1:32" ht="18" customHeight="1">
      <c r="A122" s="1411" t="s">
        <v>196</v>
      </c>
      <c r="B122" s="4950" t="s">
        <v>19</v>
      </c>
      <c r="C122" s="4951"/>
      <c r="D122" s="4951"/>
      <c r="E122" s="4951" t="s">
        <v>20</v>
      </c>
      <c r="F122" s="4951"/>
      <c r="G122" s="4951"/>
      <c r="H122" s="4951" t="s">
        <v>21</v>
      </c>
      <c r="I122" s="4951"/>
      <c r="J122" s="4951"/>
      <c r="K122" s="4952" t="s">
        <v>22</v>
      </c>
      <c r="L122" s="4952"/>
      <c r="M122" s="4952"/>
      <c r="N122" s="4952" t="s">
        <v>23</v>
      </c>
      <c r="O122" s="4952"/>
      <c r="P122" s="4952"/>
      <c r="Q122" s="4952" t="s">
        <v>24</v>
      </c>
      <c r="R122" s="4952"/>
      <c r="S122" s="4952"/>
      <c r="T122" s="4952" t="s">
        <v>25</v>
      </c>
      <c r="U122" s="4952"/>
      <c r="V122" s="4953"/>
    </row>
    <row r="123" spans="1:32" ht="18" customHeight="1">
      <c r="A123" s="1409" t="s">
        <v>630</v>
      </c>
      <c r="B123" s="4954" t="s">
        <v>631</v>
      </c>
      <c r="C123" s="4955"/>
      <c r="D123" s="4955"/>
      <c r="E123" s="4955" t="s">
        <v>631</v>
      </c>
      <c r="F123" s="4955"/>
      <c r="G123" s="4955"/>
      <c r="H123" s="4955" t="s">
        <v>631</v>
      </c>
      <c r="I123" s="4955"/>
      <c r="J123" s="4955"/>
      <c r="K123" s="4955" t="s">
        <v>631</v>
      </c>
      <c r="L123" s="4955"/>
      <c r="M123" s="4955"/>
      <c r="N123" s="4955" t="s">
        <v>631</v>
      </c>
      <c r="O123" s="4955"/>
      <c r="P123" s="4955"/>
      <c r="Q123" s="4956" t="s">
        <v>632</v>
      </c>
      <c r="R123" s="4956"/>
      <c r="S123" s="4956"/>
      <c r="T123" s="4956" t="s">
        <v>632</v>
      </c>
      <c r="U123" s="4956"/>
      <c r="V123" s="4957"/>
    </row>
    <row r="124" spans="1:32" ht="18" customHeight="1">
      <c r="A124" s="1410" t="s">
        <v>630</v>
      </c>
      <c r="B124" s="4958" t="s">
        <v>633</v>
      </c>
      <c r="C124" s="4959"/>
      <c r="D124" s="4959"/>
      <c r="E124" s="4959" t="s">
        <v>633</v>
      </c>
      <c r="F124" s="4959"/>
      <c r="G124" s="4959"/>
      <c r="H124" s="4959" t="s">
        <v>633</v>
      </c>
      <c r="I124" s="4959"/>
      <c r="J124" s="4959"/>
      <c r="K124" s="4959" t="s">
        <v>633</v>
      </c>
      <c r="L124" s="4959"/>
      <c r="M124" s="4959"/>
      <c r="N124" s="4960" t="s">
        <v>634</v>
      </c>
      <c r="O124" s="4960"/>
      <c r="P124" s="4960"/>
      <c r="Q124" s="4960" t="s">
        <v>634</v>
      </c>
      <c r="R124" s="4960"/>
      <c r="S124" s="4960"/>
      <c r="T124" s="4959" t="s">
        <v>633</v>
      </c>
      <c r="U124" s="4959"/>
      <c r="V124" s="4961"/>
    </row>
    <row r="126" spans="1:32" ht="18" customHeight="1">
      <c r="A126" s="691" t="s">
        <v>635</v>
      </c>
      <c r="B126" s="389">
        <v>1</v>
      </c>
      <c r="C126" s="390">
        <v>2</v>
      </c>
      <c r="D126" s="390">
        <v>3</v>
      </c>
      <c r="E126" s="390">
        <v>4</v>
      </c>
      <c r="F126" s="390">
        <v>5</v>
      </c>
      <c r="G126" s="390">
        <v>6</v>
      </c>
      <c r="H126" s="389">
        <v>7</v>
      </c>
      <c r="I126" s="389">
        <v>8</v>
      </c>
      <c r="J126" s="390">
        <v>9</v>
      </c>
      <c r="K126" s="390">
        <v>10</v>
      </c>
      <c r="L126" s="390">
        <v>11</v>
      </c>
      <c r="M126" s="390">
        <v>12</v>
      </c>
      <c r="N126" s="390">
        <v>13</v>
      </c>
      <c r="O126" s="389">
        <v>14</v>
      </c>
      <c r="P126" s="389">
        <v>15</v>
      </c>
      <c r="Q126" s="390">
        <v>16</v>
      </c>
      <c r="R126" s="390">
        <v>17</v>
      </c>
      <c r="S126" s="390">
        <v>18</v>
      </c>
      <c r="T126" s="390">
        <v>19</v>
      </c>
      <c r="U126" s="390">
        <v>20</v>
      </c>
      <c r="V126" s="389">
        <v>21</v>
      </c>
      <c r="W126" s="389">
        <v>22</v>
      </c>
      <c r="X126" s="390">
        <v>23</v>
      </c>
      <c r="Y126" s="390">
        <v>24</v>
      </c>
      <c r="Z126" s="390">
        <v>25</v>
      </c>
      <c r="AA126" s="390">
        <v>26</v>
      </c>
      <c r="AB126" s="390">
        <v>27</v>
      </c>
      <c r="AC126" s="389">
        <v>28</v>
      </c>
      <c r="AD126" s="389">
        <v>29</v>
      </c>
      <c r="AE126" s="390">
        <v>30</v>
      </c>
      <c r="AF126" s="1338">
        <v>31</v>
      </c>
    </row>
    <row r="127" spans="1:32" ht="18" customHeight="1">
      <c r="A127" s="475" t="s">
        <v>392</v>
      </c>
      <c r="B127" s="1448" t="s">
        <v>628</v>
      </c>
      <c r="C127" s="1449" t="s">
        <v>628</v>
      </c>
      <c r="D127" s="1449" t="s">
        <v>113</v>
      </c>
      <c r="E127" s="1449" t="s">
        <v>113</v>
      </c>
      <c r="F127" s="1449" t="s">
        <v>113</v>
      </c>
      <c r="G127" s="1449" t="s">
        <v>373</v>
      </c>
      <c r="H127" s="1449" t="s">
        <v>373</v>
      </c>
      <c r="I127" s="1448" t="s">
        <v>113</v>
      </c>
      <c r="J127" s="1448" t="s">
        <v>113</v>
      </c>
      <c r="K127" s="1448" t="s">
        <v>46</v>
      </c>
      <c r="L127" s="1448" t="s">
        <v>46</v>
      </c>
      <c r="M127" s="1448" t="s">
        <v>46</v>
      </c>
      <c r="N127" s="1448" t="s">
        <v>628</v>
      </c>
      <c r="O127" s="1448" t="s">
        <v>628</v>
      </c>
      <c r="P127" s="1448" t="s">
        <v>46</v>
      </c>
      <c r="Q127" s="1449" t="s">
        <v>113</v>
      </c>
      <c r="R127" s="1449" t="s">
        <v>113</v>
      </c>
      <c r="S127" s="1449" t="s">
        <v>113</v>
      </c>
      <c r="T127" s="1449" t="s">
        <v>113</v>
      </c>
      <c r="U127" s="1449" t="s">
        <v>373</v>
      </c>
      <c r="V127" s="1449" t="s">
        <v>373</v>
      </c>
      <c r="W127" s="1448" t="s">
        <v>113</v>
      </c>
      <c r="X127" s="1448" t="s">
        <v>46</v>
      </c>
      <c r="Y127" s="1448" t="s">
        <v>46</v>
      </c>
      <c r="Z127" s="1448" t="s">
        <v>418</v>
      </c>
      <c r="AA127" s="1448" t="s">
        <v>418</v>
      </c>
      <c r="AB127" s="1448" t="s">
        <v>418</v>
      </c>
      <c r="AC127" s="1448" t="s">
        <v>46</v>
      </c>
      <c r="AD127" s="1448" t="s">
        <v>628</v>
      </c>
      <c r="AE127" s="1449" t="s">
        <v>418</v>
      </c>
      <c r="AF127" s="1450" t="s">
        <v>418</v>
      </c>
    </row>
    <row r="128" spans="1:32" ht="18" customHeight="1">
      <c r="A128" s="431" t="s">
        <v>155</v>
      </c>
      <c r="B128" s="5160" t="s">
        <v>628</v>
      </c>
      <c r="C128" s="5170" t="s">
        <v>418</v>
      </c>
      <c r="D128" s="5170" t="s">
        <v>418</v>
      </c>
      <c r="E128" s="5170" t="s">
        <v>418</v>
      </c>
      <c r="F128" s="5170" t="s">
        <v>418</v>
      </c>
      <c r="G128" s="5170" t="s">
        <v>418</v>
      </c>
      <c r="H128" s="5170" t="s">
        <v>429</v>
      </c>
      <c r="I128" s="5170" t="s">
        <v>429</v>
      </c>
      <c r="J128" s="5160" t="s">
        <v>46</v>
      </c>
      <c r="K128" s="5160" t="s">
        <v>46</v>
      </c>
      <c r="L128" s="5160" t="s">
        <v>418</v>
      </c>
      <c r="M128" s="5160" t="s">
        <v>418</v>
      </c>
      <c r="N128" s="5160" t="s">
        <v>418</v>
      </c>
      <c r="O128" s="5160" t="s">
        <v>628</v>
      </c>
      <c r="P128" s="5160" t="s">
        <v>46</v>
      </c>
      <c r="Q128" s="5170" t="s">
        <v>418</v>
      </c>
      <c r="R128" s="5170" t="s">
        <v>418</v>
      </c>
      <c r="S128" s="5170" t="s">
        <v>418</v>
      </c>
      <c r="T128" s="5170" t="s">
        <v>418</v>
      </c>
      <c r="U128" s="5170" t="s">
        <v>418</v>
      </c>
      <c r="V128" s="5170" t="s">
        <v>429</v>
      </c>
      <c r="W128" s="5170" t="s">
        <v>429</v>
      </c>
      <c r="X128" s="5160" t="s">
        <v>46</v>
      </c>
      <c r="Y128" s="5160" t="s">
        <v>46</v>
      </c>
      <c r="Z128" s="5160" t="s">
        <v>46</v>
      </c>
      <c r="AA128" s="5160" t="s">
        <v>46</v>
      </c>
      <c r="AB128" s="5160" t="s">
        <v>46</v>
      </c>
      <c r="AC128" s="5160" t="s">
        <v>46</v>
      </c>
      <c r="AD128" s="5160" t="s">
        <v>628</v>
      </c>
      <c r="AE128" s="5170" t="s">
        <v>113</v>
      </c>
      <c r="AF128" s="670" t="s">
        <v>113</v>
      </c>
    </row>
    <row r="129" spans="1:32" ht="18" customHeight="1">
      <c r="A129" s="157"/>
      <c r="B129" s="116"/>
      <c r="C129" s="124"/>
      <c r="D129" s="124"/>
      <c r="E129" s="124"/>
      <c r="F129" s="124"/>
      <c r="G129" s="124"/>
      <c r="H129" s="124"/>
      <c r="I129" s="124"/>
      <c r="J129" s="116"/>
      <c r="K129" s="116"/>
      <c r="L129" s="116"/>
      <c r="M129" s="116"/>
      <c r="N129" s="116"/>
      <c r="O129" s="116"/>
      <c r="P129" s="116"/>
      <c r="Q129" s="124"/>
      <c r="R129" s="124"/>
      <c r="S129" s="124"/>
      <c r="T129" s="124"/>
      <c r="U129" s="124"/>
      <c r="V129" s="124"/>
      <c r="W129" s="124"/>
      <c r="X129" s="116"/>
      <c r="Y129" s="116"/>
      <c r="Z129" s="116"/>
      <c r="AA129" s="116"/>
      <c r="AB129" s="116"/>
      <c r="AC129" s="116"/>
      <c r="AD129" s="116"/>
      <c r="AE129" s="124"/>
      <c r="AF129" s="124"/>
    </row>
    <row r="130" spans="1:32" ht="18" customHeight="1">
      <c r="A130" s="157"/>
      <c r="B130" s="116"/>
      <c r="C130" s="124"/>
      <c r="D130" s="124"/>
      <c r="E130" s="124"/>
      <c r="F130" s="124"/>
      <c r="G130" s="124"/>
      <c r="H130" s="124"/>
      <c r="I130" s="124"/>
      <c r="J130" s="116"/>
      <c r="K130" s="116"/>
      <c r="L130" s="116"/>
      <c r="M130" s="116"/>
      <c r="N130" s="116"/>
      <c r="O130" s="116"/>
      <c r="P130" s="116"/>
      <c r="Q130" s="124"/>
      <c r="R130" s="124"/>
      <c r="S130" s="124"/>
      <c r="T130" s="124"/>
      <c r="U130" s="124"/>
      <c r="V130" s="124"/>
      <c r="W130" s="124"/>
      <c r="X130" s="116"/>
      <c r="Y130" s="116"/>
      <c r="Z130" s="116"/>
      <c r="AA130" s="116"/>
      <c r="AB130" s="116"/>
      <c r="AC130" s="116"/>
      <c r="AD130" s="116"/>
      <c r="AE130" s="124"/>
      <c r="AF130" s="124"/>
    </row>
    <row r="131" spans="1:32" ht="18" customHeight="1">
      <c r="A131" s="134" t="s">
        <v>180</v>
      </c>
      <c r="B131" s="135"/>
      <c r="C131" s="135"/>
      <c r="D131" s="136" t="s">
        <v>181</v>
      </c>
      <c r="E131" s="135"/>
      <c r="F131" s="135"/>
      <c r="G131" s="135"/>
      <c r="H131" s="135"/>
      <c r="I131" s="135"/>
      <c r="J131" s="135" t="s">
        <v>0</v>
      </c>
      <c r="K131" s="135"/>
      <c r="L131" s="135"/>
      <c r="M131" s="135"/>
      <c r="N131" s="135"/>
      <c r="O131" s="135"/>
      <c r="P131" s="135"/>
      <c r="Q131" s="147" t="s">
        <v>0</v>
      </c>
      <c r="R131" s="147"/>
      <c r="S131" s="147"/>
      <c r="T131" s="101"/>
      <c r="U131" s="101"/>
      <c r="V131" s="101"/>
      <c r="W131" s="101"/>
      <c r="X131" s="101"/>
      <c r="Y131" s="101"/>
      <c r="Z131" s="101"/>
      <c r="AA131" s="101"/>
      <c r="AB131" s="101"/>
      <c r="AC131" s="101"/>
      <c r="AD131" s="101"/>
      <c r="AE131" s="101"/>
    </row>
    <row r="132" spans="1:32" ht="18" customHeight="1">
      <c r="A132" s="142"/>
      <c r="B132" s="157"/>
      <c r="C132" s="157"/>
      <c r="D132" s="157"/>
      <c r="E132" s="157"/>
      <c r="F132" s="157"/>
      <c r="G132" s="157"/>
      <c r="H132" s="157"/>
      <c r="I132" s="157"/>
      <c r="J132" s="157"/>
      <c r="K132" s="131"/>
      <c r="L132" s="131"/>
      <c r="M132" s="131"/>
      <c r="N132" s="131"/>
      <c r="O132" s="131"/>
      <c r="P132" s="131"/>
      <c r="Q132" s="131"/>
      <c r="R132" s="131"/>
      <c r="S132" s="131"/>
      <c r="T132" s="101"/>
      <c r="U132" s="101"/>
      <c r="V132" s="101"/>
      <c r="W132" s="101"/>
      <c r="X132" s="101"/>
      <c r="Y132" s="101"/>
      <c r="Z132" s="101"/>
      <c r="AA132" s="101"/>
      <c r="AB132" s="101"/>
      <c r="AC132" s="101"/>
      <c r="AD132" s="101"/>
      <c r="AE132" s="101"/>
    </row>
    <row r="133" spans="1:32" ht="18" customHeight="1">
      <c r="A133" s="687" t="s">
        <v>679</v>
      </c>
      <c r="B133" s="427">
        <v>1</v>
      </c>
      <c r="C133" s="428">
        <v>2</v>
      </c>
      <c r="D133" s="428">
        <v>3</v>
      </c>
      <c r="E133" s="428">
        <v>4</v>
      </c>
      <c r="F133" s="428">
        <v>5</v>
      </c>
      <c r="G133" s="428">
        <v>6</v>
      </c>
      <c r="H133" s="427">
        <v>7</v>
      </c>
      <c r="I133" s="427">
        <v>8</v>
      </c>
      <c r="J133" s="428">
        <v>9</v>
      </c>
      <c r="K133" s="428">
        <v>10</v>
      </c>
      <c r="L133" s="428">
        <v>11</v>
      </c>
      <c r="M133" s="428">
        <v>12</v>
      </c>
      <c r="N133" s="428">
        <v>13</v>
      </c>
      <c r="O133" s="427">
        <v>14</v>
      </c>
      <c r="P133" s="427">
        <v>15</v>
      </c>
      <c r="Q133" s="428">
        <v>16</v>
      </c>
      <c r="R133" s="428">
        <v>17</v>
      </c>
      <c r="S133" s="428">
        <v>18</v>
      </c>
      <c r="T133" s="428">
        <v>19</v>
      </c>
      <c r="U133" s="428">
        <v>20</v>
      </c>
      <c r="V133" s="427">
        <v>21</v>
      </c>
      <c r="W133" s="427">
        <v>22</v>
      </c>
      <c r="X133" s="428">
        <v>23</v>
      </c>
      <c r="Y133" s="428">
        <v>24</v>
      </c>
      <c r="Z133" s="428">
        <v>25</v>
      </c>
      <c r="AA133" s="428">
        <v>26</v>
      </c>
      <c r="AB133" s="428">
        <v>27</v>
      </c>
      <c r="AC133" s="427">
        <v>28</v>
      </c>
      <c r="AD133" s="427">
        <v>29</v>
      </c>
      <c r="AE133" s="428">
        <v>30</v>
      </c>
      <c r="AF133" s="688">
        <v>31</v>
      </c>
    </row>
    <row r="134" spans="1:32" ht="18" customHeight="1">
      <c r="A134" s="689" t="s">
        <v>184</v>
      </c>
      <c r="B134" s="644" t="s">
        <v>628</v>
      </c>
      <c r="C134" s="644" t="s">
        <v>46</v>
      </c>
      <c r="D134" s="644" t="s">
        <v>46</v>
      </c>
      <c r="E134" s="351" t="s">
        <v>677</v>
      </c>
      <c r="F134" s="351" t="s">
        <v>677</v>
      </c>
      <c r="G134" s="351" t="s">
        <v>677</v>
      </c>
      <c r="H134" s="351" t="s">
        <v>677</v>
      </c>
      <c r="I134" s="351" t="s">
        <v>677</v>
      </c>
      <c r="J134" s="351" t="s">
        <v>677</v>
      </c>
      <c r="K134" s="5299" t="s">
        <v>46</v>
      </c>
      <c r="L134" s="5299" t="s">
        <v>46</v>
      </c>
      <c r="M134" s="5299" t="s">
        <v>46</v>
      </c>
      <c r="N134" s="5299" t="s">
        <v>46</v>
      </c>
      <c r="O134" s="5299" t="s">
        <v>46</v>
      </c>
      <c r="P134" s="5299" t="s">
        <v>46</v>
      </c>
      <c r="Q134" s="644" t="s">
        <v>46</v>
      </c>
      <c r="R134" s="644" t="s">
        <v>46</v>
      </c>
      <c r="S134" s="644" t="s">
        <v>46</v>
      </c>
      <c r="T134" s="644" t="s">
        <v>46</v>
      </c>
      <c r="U134" s="644" t="s">
        <v>46</v>
      </c>
      <c r="V134" s="644" t="s">
        <v>628</v>
      </c>
      <c r="W134" s="351" t="s">
        <v>677</v>
      </c>
      <c r="X134" s="351" t="s">
        <v>677</v>
      </c>
      <c r="Y134" s="351" t="s">
        <v>677</v>
      </c>
      <c r="Z134" s="351" t="s">
        <v>677</v>
      </c>
      <c r="AA134" s="351" t="s">
        <v>677</v>
      </c>
      <c r="AB134" s="351" t="s">
        <v>677</v>
      </c>
      <c r="AC134" s="644" t="s">
        <v>46</v>
      </c>
      <c r="AD134" s="644" t="s">
        <v>628</v>
      </c>
      <c r="AE134" s="644" t="s">
        <v>46</v>
      </c>
      <c r="AF134" s="690" t="s">
        <v>46</v>
      </c>
    </row>
    <row r="135" spans="1:32" ht="18" customHeight="1">
      <c r="A135" s="366" t="s">
        <v>195</v>
      </c>
      <c r="B135" s="351" t="s">
        <v>677</v>
      </c>
      <c r="C135" s="351" t="s">
        <v>677</v>
      </c>
      <c r="D135" s="351" t="s">
        <v>677</v>
      </c>
      <c r="E135" s="351" t="s">
        <v>46</v>
      </c>
      <c r="F135" s="351" t="s">
        <v>46</v>
      </c>
      <c r="G135" s="351" t="s">
        <v>46</v>
      </c>
      <c r="H135" s="351" t="s">
        <v>46</v>
      </c>
      <c r="I135" s="351" t="s">
        <v>46</v>
      </c>
      <c r="J135" s="351" t="s">
        <v>628</v>
      </c>
      <c r="K135" s="5299" t="s">
        <v>46</v>
      </c>
      <c r="L135" s="5299" t="s">
        <v>46</v>
      </c>
      <c r="M135" s="5299" t="s">
        <v>46</v>
      </c>
      <c r="N135" s="5299" t="s">
        <v>46</v>
      </c>
      <c r="O135" s="5299" t="s">
        <v>46</v>
      </c>
      <c r="P135" s="5299" t="s">
        <v>46</v>
      </c>
      <c r="Q135" s="351" t="s">
        <v>118</v>
      </c>
      <c r="R135" s="351" t="s">
        <v>118</v>
      </c>
      <c r="S135" s="351" t="s">
        <v>118</v>
      </c>
      <c r="T135" s="351" t="s">
        <v>118</v>
      </c>
      <c r="U135" s="351" t="s">
        <v>118</v>
      </c>
      <c r="V135" s="351" t="s">
        <v>677</v>
      </c>
      <c r="W135" s="351" t="s">
        <v>46</v>
      </c>
      <c r="X135" s="1561" t="s">
        <v>46</v>
      </c>
      <c r="Y135" s="1561" t="s">
        <v>46</v>
      </c>
      <c r="Z135" s="1561" t="s">
        <v>46</v>
      </c>
      <c r="AA135" s="1561" t="s">
        <v>46</v>
      </c>
      <c r="AB135" s="1561" t="s">
        <v>46</v>
      </c>
      <c r="AC135" s="351" t="s">
        <v>677</v>
      </c>
      <c r="AD135" s="351" t="s">
        <v>677</v>
      </c>
      <c r="AE135" s="351" t="s">
        <v>677</v>
      </c>
      <c r="AF135" s="351" t="s">
        <v>677</v>
      </c>
    </row>
    <row r="136" spans="1:32" ht="18" customHeight="1">
      <c r="A136" s="157"/>
      <c r="B136" s="116"/>
      <c r="C136" s="124"/>
      <c r="D136" s="124"/>
      <c r="E136" s="124"/>
      <c r="F136" s="124"/>
      <c r="G136" s="124"/>
      <c r="H136" s="124"/>
      <c r="I136" s="124"/>
      <c r="J136" s="116"/>
      <c r="K136" s="116"/>
      <c r="L136" s="116"/>
      <c r="M136" s="116"/>
      <c r="N136" s="116"/>
      <c r="O136" s="116"/>
      <c r="P136" s="116"/>
      <c r="Q136" s="124"/>
      <c r="R136" s="124"/>
      <c r="S136" s="124"/>
      <c r="T136" s="124"/>
      <c r="U136" s="124"/>
      <c r="V136" s="124"/>
      <c r="W136" s="124"/>
      <c r="X136" s="116"/>
      <c r="Y136" s="116"/>
      <c r="Z136" s="116"/>
      <c r="AA136" s="116"/>
      <c r="AB136" s="116"/>
      <c r="AC136" s="116"/>
      <c r="AD136" s="116"/>
      <c r="AE136" s="124"/>
      <c r="AF136" s="124"/>
    </row>
    <row r="137" spans="1:32" ht="18" customHeight="1">
      <c r="A137" s="2764" t="s">
        <v>201</v>
      </c>
      <c r="B137" s="2765"/>
      <c r="C137" s="2766" t="s">
        <v>19</v>
      </c>
      <c r="D137" s="2767"/>
      <c r="E137" s="2765"/>
      <c r="F137" s="2768" t="s">
        <v>20</v>
      </c>
      <c r="G137" s="2769"/>
      <c r="H137" s="2770"/>
      <c r="I137" s="2768" t="s">
        <v>21</v>
      </c>
      <c r="J137" s="2771"/>
      <c r="K137" s="2770"/>
      <c r="L137" s="2772" t="s">
        <v>22</v>
      </c>
      <c r="M137" s="2771"/>
      <c r="N137" s="2770"/>
      <c r="O137" s="2768" t="s">
        <v>23</v>
      </c>
      <c r="P137" s="2773"/>
      <c r="Q137" s="2770"/>
      <c r="R137" s="2768" t="s">
        <v>24</v>
      </c>
      <c r="S137" s="2774"/>
      <c r="T137" s="2770"/>
      <c r="U137" s="2768" t="s">
        <v>25</v>
      </c>
      <c r="V137" s="2773"/>
      <c r="W137" s="2775" t="s">
        <v>202</v>
      </c>
      <c r="X137" s="2776"/>
      <c r="Y137" s="2776"/>
      <c r="Z137" s="2777"/>
      <c r="AA137" s="2778" t="s">
        <v>108</v>
      </c>
      <c r="AB137" s="2779"/>
      <c r="AC137" s="2779"/>
      <c r="AD137" s="2780"/>
      <c r="AE137" s="2780"/>
      <c r="AF137" s="105"/>
    </row>
    <row r="138" spans="1:32" ht="18" customHeight="1">
      <c r="A138" s="5390" t="s">
        <v>203</v>
      </c>
      <c r="B138" s="5391" t="s">
        <v>204</v>
      </c>
      <c r="C138" s="5392"/>
      <c r="D138" s="5393"/>
      <c r="E138" s="5391" t="s">
        <v>204</v>
      </c>
      <c r="F138" s="5392"/>
      <c r="G138" s="5393"/>
      <c r="H138" s="5391" t="s">
        <v>204</v>
      </c>
      <c r="I138" s="5392"/>
      <c r="J138" s="5393"/>
      <c r="K138" s="5391" t="s">
        <v>204</v>
      </c>
      <c r="L138" s="5392"/>
      <c r="M138" s="5393"/>
      <c r="N138" s="5391" t="s">
        <v>205</v>
      </c>
      <c r="O138" s="5392"/>
      <c r="P138" s="5393"/>
      <c r="Q138" s="5391"/>
      <c r="R138" s="5392"/>
      <c r="S138" s="5393"/>
      <c r="T138" s="5391"/>
      <c r="U138" s="5392"/>
      <c r="V138" s="5393"/>
      <c r="W138" s="5391"/>
      <c r="X138" s="5394"/>
      <c r="Y138" s="5394"/>
      <c r="Z138" s="5394"/>
      <c r="AA138" s="5395"/>
      <c r="AB138" s="5394"/>
      <c r="AC138" s="5394"/>
      <c r="AD138" s="5394"/>
      <c r="AE138" s="5394"/>
      <c r="AF138" s="105"/>
    </row>
    <row r="140" spans="1:32" ht="18" customHeight="1">
      <c r="A140" s="363" t="s">
        <v>201</v>
      </c>
      <c r="B140" s="866">
        <v>1</v>
      </c>
      <c r="C140" s="865">
        <v>2</v>
      </c>
      <c r="D140" s="865">
        <v>3</v>
      </c>
      <c r="E140" s="865">
        <v>4</v>
      </c>
      <c r="F140" s="865">
        <v>5</v>
      </c>
      <c r="G140" s="865">
        <v>6</v>
      </c>
      <c r="H140" s="866">
        <v>7</v>
      </c>
      <c r="I140" s="866">
        <v>8</v>
      </c>
      <c r="J140" s="865">
        <v>9</v>
      </c>
      <c r="K140" s="865">
        <v>10</v>
      </c>
      <c r="L140" s="865">
        <v>11</v>
      </c>
      <c r="M140" s="865">
        <v>12</v>
      </c>
      <c r="N140" s="865">
        <v>13</v>
      </c>
      <c r="O140" s="866">
        <v>14</v>
      </c>
      <c r="P140" s="866">
        <v>15</v>
      </c>
      <c r="Q140" s="865">
        <v>16</v>
      </c>
      <c r="R140" s="865">
        <v>17</v>
      </c>
      <c r="S140" s="865">
        <v>18</v>
      </c>
      <c r="T140" s="865">
        <v>19</v>
      </c>
      <c r="U140" s="865">
        <v>20</v>
      </c>
      <c r="V140" s="866">
        <v>21</v>
      </c>
      <c r="W140" s="866">
        <v>22</v>
      </c>
      <c r="X140" s="865">
        <v>23</v>
      </c>
      <c r="Y140" s="865">
        <v>24</v>
      </c>
      <c r="Z140" s="865">
        <v>25</v>
      </c>
      <c r="AA140" s="865">
        <v>26</v>
      </c>
      <c r="AB140" s="865">
        <v>27</v>
      </c>
      <c r="AC140" s="866">
        <v>28</v>
      </c>
      <c r="AD140" s="866">
        <v>29</v>
      </c>
      <c r="AE140" s="865">
        <v>30</v>
      </c>
      <c r="AF140" s="867">
        <v>31</v>
      </c>
    </row>
    <row r="141" spans="1:32" ht="18" customHeight="1">
      <c r="A141" s="4988" t="s">
        <v>206</v>
      </c>
      <c r="B141" s="4560"/>
      <c r="C141" s="4560" t="s">
        <v>207</v>
      </c>
      <c r="D141" s="4560" t="s">
        <v>207</v>
      </c>
      <c r="E141" s="4560" t="s">
        <v>207</v>
      </c>
      <c r="F141" s="4560" t="s">
        <v>207</v>
      </c>
      <c r="G141" s="4560" t="s">
        <v>207</v>
      </c>
      <c r="H141" s="4560"/>
      <c r="I141" s="4560"/>
      <c r="J141" s="4560" t="s">
        <v>207</v>
      </c>
      <c r="K141" s="4560" t="s">
        <v>207</v>
      </c>
      <c r="L141" s="4560" t="s">
        <v>207</v>
      </c>
      <c r="M141" s="4560" t="s">
        <v>207</v>
      </c>
      <c r="N141" s="4560" t="s">
        <v>207</v>
      </c>
      <c r="O141" s="4560"/>
      <c r="P141" s="4560"/>
      <c r="Q141" s="4560" t="s">
        <v>207</v>
      </c>
      <c r="R141" s="4560" t="s">
        <v>207</v>
      </c>
      <c r="S141" s="4560" t="s">
        <v>207</v>
      </c>
      <c r="T141" s="4560" t="s">
        <v>207</v>
      </c>
      <c r="U141" s="4560" t="s">
        <v>207</v>
      </c>
      <c r="V141" s="4560"/>
      <c r="W141" s="4560"/>
      <c r="X141" s="4560" t="s">
        <v>207</v>
      </c>
      <c r="Y141" s="4560" t="s">
        <v>207</v>
      </c>
      <c r="Z141" s="4560" t="s">
        <v>207</v>
      </c>
      <c r="AA141" s="4560" t="s">
        <v>207</v>
      </c>
      <c r="AB141" s="4560" t="s">
        <v>207</v>
      </c>
      <c r="AC141" s="4560"/>
      <c r="AD141" s="4560"/>
      <c r="AE141" s="4560" t="s">
        <v>207</v>
      </c>
      <c r="AF141" s="4562" t="s">
        <v>207</v>
      </c>
    </row>
    <row r="142" spans="1:32" ht="18" customHeight="1">
      <c r="A142" s="121"/>
      <c r="B142" s="116"/>
      <c r="C142" s="116"/>
      <c r="D142" s="116"/>
      <c r="E142" s="116"/>
      <c r="F142" s="116"/>
      <c r="G142" s="116"/>
      <c r="H142" s="116"/>
      <c r="I142" s="116"/>
      <c r="J142" s="116"/>
      <c r="K142" s="116"/>
      <c r="L142" s="116"/>
      <c r="M142" s="116"/>
      <c r="N142" s="116"/>
      <c r="O142" s="116"/>
      <c r="P142" s="116"/>
      <c r="Q142" s="116"/>
      <c r="R142" s="116"/>
      <c r="S142" s="116"/>
      <c r="T142" s="116"/>
      <c r="U142" s="116"/>
      <c r="V142" s="116"/>
      <c r="W142" s="116"/>
      <c r="X142" s="116"/>
      <c r="Y142" s="116"/>
      <c r="Z142" s="116"/>
      <c r="AA142" s="116"/>
      <c r="AB142" s="116"/>
      <c r="AC142" s="116"/>
      <c r="AD142" s="116"/>
      <c r="AE142" s="116"/>
      <c r="AF142" s="105"/>
    </row>
    <row r="143" spans="1:32" ht="18" customHeight="1">
      <c r="A143" s="101"/>
      <c r="B143" s="101"/>
      <c r="C143" s="102"/>
      <c r="D143" s="102"/>
      <c r="E143" s="102"/>
      <c r="F143" s="63"/>
      <c r="G143" s="102"/>
      <c r="H143" s="102"/>
      <c r="I143" s="102"/>
      <c r="J143" s="102"/>
      <c r="K143" s="102"/>
      <c r="L143" s="102"/>
      <c r="M143" s="102"/>
      <c r="N143" s="102"/>
      <c r="O143" s="102"/>
      <c r="P143" s="102"/>
      <c r="Q143" s="102"/>
      <c r="R143" s="102"/>
      <c r="S143" s="102"/>
      <c r="T143" s="102"/>
      <c r="U143" s="102"/>
      <c r="V143" s="102"/>
      <c r="W143" s="102"/>
      <c r="X143" s="102"/>
      <c r="Y143" s="102"/>
      <c r="Z143" s="102"/>
      <c r="AA143" s="102"/>
      <c r="AB143" s="102"/>
      <c r="AC143" s="102"/>
      <c r="AD143" s="102"/>
      <c r="AE143" s="102"/>
      <c r="AF143" s="101"/>
    </row>
    <row r="144" spans="1:32" ht="18" customHeight="1">
      <c r="A144" s="2764" t="s">
        <v>208</v>
      </c>
      <c r="B144" s="2787"/>
      <c r="C144" s="2788" t="s">
        <v>19</v>
      </c>
      <c r="D144" s="2789"/>
      <c r="E144" s="2790"/>
      <c r="F144" s="2787"/>
      <c r="G144" s="2788" t="s">
        <v>20</v>
      </c>
      <c r="H144" s="2789"/>
      <c r="I144" s="2790"/>
      <c r="J144" s="2787"/>
      <c r="K144" s="2788" t="s">
        <v>21</v>
      </c>
      <c r="L144" s="2789"/>
      <c r="M144" s="2790"/>
      <c r="N144" s="2787"/>
      <c r="O144" s="2788" t="s">
        <v>22</v>
      </c>
      <c r="P144" s="2789"/>
      <c r="Q144" s="2790"/>
      <c r="R144" s="2787"/>
      <c r="S144" s="2788" t="s">
        <v>23</v>
      </c>
      <c r="T144" s="2789"/>
      <c r="U144" s="2790"/>
      <c r="V144" s="2787"/>
      <c r="W144" s="2788" t="s">
        <v>24</v>
      </c>
      <c r="X144" s="2789"/>
      <c r="Y144" s="2790"/>
      <c r="Z144" s="2787"/>
      <c r="AA144" s="2788" t="s">
        <v>25</v>
      </c>
      <c r="AB144" s="2789"/>
      <c r="AC144" s="2789"/>
      <c r="AD144" s="2791" t="s">
        <v>108</v>
      </c>
      <c r="AE144" s="2789"/>
      <c r="AF144" s="2792"/>
    </row>
    <row r="145" spans="1:32" ht="18" customHeight="1">
      <c r="A145" s="5396" t="s">
        <v>210</v>
      </c>
      <c r="B145" s="5397">
        <v>69</v>
      </c>
      <c r="C145" s="5398" t="s">
        <v>211</v>
      </c>
      <c r="D145" s="5398"/>
      <c r="E145" s="5399"/>
      <c r="F145" s="5397">
        <v>69</v>
      </c>
      <c r="G145" s="5398" t="s">
        <v>211</v>
      </c>
      <c r="H145" s="5398"/>
      <c r="I145" s="5399"/>
      <c r="J145" s="5397">
        <v>69</v>
      </c>
      <c r="K145" s="5398" t="s">
        <v>211</v>
      </c>
      <c r="L145" s="5398"/>
      <c r="M145" s="5399"/>
      <c r="N145" s="5397">
        <v>69</v>
      </c>
      <c r="O145" s="5398" t="s">
        <v>211</v>
      </c>
      <c r="P145" s="5398"/>
      <c r="Q145" s="5399"/>
      <c r="R145" s="5397">
        <v>69</v>
      </c>
      <c r="S145" s="5398" t="s">
        <v>211</v>
      </c>
      <c r="T145" s="5398"/>
      <c r="U145" s="5399"/>
      <c r="V145" s="5397"/>
      <c r="W145" s="5400"/>
      <c r="X145" s="5400"/>
      <c r="Y145" s="5401"/>
      <c r="Z145" s="5397"/>
      <c r="AA145" s="5398"/>
      <c r="AB145" s="5398"/>
      <c r="AC145" s="5370"/>
      <c r="AD145" s="5402">
        <v>35</v>
      </c>
      <c r="AE145" s="5398"/>
      <c r="AF145" s="5403"/>
    </row>
    <row r="146" spans="1:32" ht="18" customHeight="1">
      <c r="A146" s="5396" t="s">
        <v>212</v>
      </c>
      <c r="B146" s="5397">
        <v>79</v>
      </c>
      <c r="C146" s="5398" t="s">
        <v>213</v>
      </c>
      <c r="D146" s="5398"/>
      <c r="E146" s="5399"/>
      <c r="F146" s="5397">
        <v>79</v>
      </c>
      <c r="G146" s="5398" t="s">
        <v>213</v>
      </c>
      <c r="H146" s="5398"/>
      <c r="I146" s="5399"/>
      <c r="J146" s="5397">
        <v>79</v>
      </c>
      <c r="K146" s="5398" t="s">
        <v>213</v>
      </c>
      <c r="L146" s="5398"/>
      <c r="M146" s="5399"/>
      <c r="N146" s="5397">
        <v>79</v>
      </c>
      <c r="O146" s="5398" t="s">
        <v>213</v>
      </c>
      <c r="P146" s="5398"/>
      <c r="Q146" s="5399"/>
      <c r="R146" s="5397">
        <v>79</v>
      </c>
      <c r="S146" s="5398" t="s">
        <v>213</v>
      </c>
      <c r="T146" s="5398"/>
      <c r="U146" s="5399"/>
      <c r="V146" s="5397"/>
      <c r="W146" s="5398"/>
      <c r="X146" s="5398"/>
      <c r="Y146" s="5399"/>
      <c r="Z146" s="5398"/>
      <c r="AA146" s="5398"/>
      <c r="AB146" s="5398"/>
      <c r="AC146" s="5370"/>
      <c r="AD146" s="5402">
        <v>40</v>
      </c>
      <c r="AE146" s="5398"/>
      <c r="AF146" s="5403"/>
    </row>
    <row r="147" spans="1:32" ht="18" customHeight="1">
      <c r="A147" s="5396" t="s">
        <v>214</v>
      </c>
      <c r="B147" s="5397">
        <v>89</v>
      </c>
      <c r="C147" s="5398" t="s">
        <v>215</v>
      </c>
      <c r="D147" s="5398"/>
      <c r="E147" s="5399"/>
      <c r="F147" s="5397">
        <v>89</v>
      </c>
      <c r="G147" s="5398" t="s">
        <v>215</v>
      </c>
      <c r="H147" s="5398"/>
      <c r="I147" s="5399"/>
      <c r="J147" s="5397">
        <v>89</v>
      </c>
      <c r="K147" s="5398" t="s">
        <v>215</v>
      </c>
      <c r="L147" s="5398"/>
      <c r="M147" s="5399"/>
      <c r="N147" s="5397">
        <v>89</v>
      </c>
      <c r="O147" s="5398" t="s">
        <v>215</v>
      </c>
      <c r="P147" s="5398"/>
      <c r="Q147" s="5399"/>
      <c r="R147" s="5397">
        <v>89</v>
      </c>
      <c r="S147" s="5398" t="s">
        <v>216</v>
      </c>
      <c r="T147" s="5398"/>
      <c r="U147" s="5399"/>
      <c r="V147" s="5404"/>
      <c r="W147" s="5405" t="s">
        <v>217</v>
      </c>
      <c r="X147" s="5405"/>
      <c r="Y147" s="5375"/>
      <c r="Z147" s="5404"/>
      <c r="AA147" s="5405"/>
      <c r="AB147" s="5405"/>
      <c r="AC147" s="5374"/>
      <c r="AD147" s="5402">
        <v>44</v>
      </c>
      <c r="AE147" s="5398"/>
      <c r="AF147" s="5403"/>
    </row>
    <row r="148" spans="1:32" ht="18" customHeight="1">
      <c r="A148" s="19" t="s">
        <v>218</v>
      </c>
      <c r="B148" s="5404">
        <v>99</v>
      </c>
      <c r="C148" s="5405" t="s">
        <v>219</v>
      </c>
      <c r="D148" s="5405"/>
      <c r="E148" s="5375"/>
      <c r="F148" s="5404">
        <v>99</v>
      </c>
      <c r="G148" s="5405" t="s">
        <v>219</v>
      </c>
      <c r="H148" s="5405"/>
      <c r="I148" s="5375"/>
      <c r="J148" s="5404">
        <v>99</v>
      </c>
      <c r="K148" s="5405" t="s">
        <v>219</v>
      </c>
      <c r="L148" s="5405"/>
      <c r="M148" s="5375"/>
      <c r="N148" s="5404">
        <v>99</v>
      </c>
      <c r="O148" s="5405" t="s">
        <v>219</v>
      </c>
      <c r="P148" s="5405"/>
      <c r="Q148" s="5375"/>
      <c r="R148" s="5404">
        <v>99</v>
      </c>
      <c r="S148" s="5405" t="s">
        <v>220</v>
      </c>
      <c r="T148" s="5405"/>
      <c r="U148" s="5374"/>
      <c r="V148" s="5373"/>
      <c r="W148" s="5374"/>
      <c r="X148" s="5405"/>
      <c r="Y148" s="5375"/>
      <c r="Z148" s="5373"/>
      <c r="AA148" s="5374"/>
      <c r="AB148" s="5405"/>
      <c r="AC148" s="5375"/>
      <c r="AD148" s="5406">
        <v>28</v>
      </c>
      <c r="AE148" s="5405"/>
      <c r="AF148" s="5407"/>
    </row>
    <row r="149" spans="1:32" ht="18" customHeight="1">
      <c r="A149" s="5408" t="s">
        <v>221</v>
      </c>
      <c r="B149" s="5409" t="s">
        <v>159</v>
      </c>
      <c r="C149" s="5410" t="s">
        <v>222</v>
      </c>
      <c r="D149" s="5411"/>
      <c r="E149" s="5326"/>
      <c r="F149" s="5409" t="s">
        <v>159</v>
      </c>
      <c r="G149" s="5410" t="s">
        <v>222</v>
      </c>
      <c r="H149" s="5324"/>
      <c r="I149" s="5411"/>
      <c r="J149" s="5409" t="s">
        <v>159</v>
      </c>
      <c r="K149" s="5410" t="s">
        <v>222</v>
      </c>
      <c r="L149" s="5411"/>
      <c r="M149" s="5412"/>
      <c r="N149" s="5409" t="s">
        <v>159</v>
      </c>
      <c r="O149" s="5410" t="s">
        <v>222</v>
      </c>
      <c r="P149" s="5411"/>
      <c r="Q149" s="5410"/>
      <c r="R149" s="5409" t="s">
        <v>159</v>
      </c>
      <c r="S149" s="5328" t="s">
        <v>223</v>
      </c>
      <c r="T149" s="5410"/>
      <c r="U149" s="5412"/>
      <c r="V149" s="5411"/>
      <c r="W149" s="5410"/>
      <c r="X149" s="5410"/>
      <c r="Y149" s="5410"/>
      <c r="Z149" s="5413"/>
      <c r="AA149" s="5414"/>
      <c r="AB149" s="5410"/>
      <c r="AC149" s="5415"/>
      <c r="AD149" s="5410"/>
      <c r="AE149" s="5410"/>
      <c r="AF149" s="5416"/>
    </row>
    <row r="150" spans="1:32" ht="18" customHeight="1">
      <c r="A150" s="100"/>
      <c r="B150" s="102"/>
      <c r="C150" s="102"/>
      <c r="D150" s="102"/>
      <c r="E150" s="102"/>
      <c r="F150" s="102"/>
      <c r="G150" s="102"/>
      <c r="H150" s="102"/>
      <c r="I150" s="102"/>
      <c r="J150" s="102"/>
      <c r="K150" s="102"/>
      <c r="L150" s="102"/>
      <c r="M150" s="102"/>
      <c r="N150" s="102"/>
      <c r="O150" s="102"/>
      <c r="P150" s="102"/>
      <c r="Q150" s="102"/>
      <c r="R150" s="102"/>
      <c r="S150" s="102"/>
      <c r="T150" s="102"/>
      <c r="U150" s="102"/>
      <c r="V150" s="102"/>
      <c r="W150" s="102"/>
      <c r="X150" s="102"/>
      <c r="Y150" s="102"/>
      <c r="Z150" s="102"/>
      <c r="AA150" s="102"/>
      <c r="AB150" s="102"/>
      <c r="AC150" s="102"/>
      <c r="AD150" s="102"/>
      <c r="AE150" s="102"/>
      <c r="AF150" s="101"/>
    </row>
    <row r="151" spans="1:32" ht="18" customHeight="1">
      <c r="A151" s="363" t="s">
        <v>208</v>
      </c>
      <c r="B151" s="866">
        <v>1</v>
      </c>
      <c r="C151" s="865">
        <v>2</v>
      </c>
      <c r="D151" s="865">
        <v>3</v>
      </c>
      <c r="E151" s="865">
        <v>4</v>
      </c>
      <c r="F151" s="865">
        <v>5</v>
      </c>
      <c r="G151" s="865">
        <v>6</v>
      </c>
      <c r="H151" s="866">
        <v>7</v>
      </c>
      <c r="I151" s="866">
        <v>8</v>
      </c>
      <c r="J151" s="865">
        <v>9</v>
      </c>
      <c r="K151" s="865">
        <v>10</v>
      </c>
      <c r="L151" s="865">
        <v>11</v>
      </c>
      <c r="M151" s="865">
        <v>12</v>
      </c>
      <c r="N151" s="865">
        <v>13</v>
      </c>
      <c r="O151" s="866">
        <v>14</v>
      </c>
      <c r="P151" s="866">
        <v>15</v>
      </c>
      <c r="Q151" s="865">
        <v>16</v>
      </c>
      <c r="R151" s="865">
        <v>17</v>
      </c>
      <c r="S151" s="865">
        <v>18</v>
      </c>
      <c r="T151" s="865">
        <v>19</v>
      </c>
      <c r="U151" s="865">
        <v>20</v>
      </c>
      <c r="V151" s="866">
        <v>21</v>
      </c>
      <c r="W151" s="866">
        <v>22</v>
      </c>
      <c r="X151" s="865">
        <v>23</v>
      </c>
      <c r="Y151" s="865">
        <v>24</v>
      </c>
      <c r="Z151" s="865">
        <v>25</v>
      </c>
      <c r="AA151" s="865">
        <v>26</v>
      </c>
      <c r="AB151" s="865">
        <v>27</v>
      </c>
      <c r="AC151" s="866">
        <v>28</v>
      </c>
      <c r="AD151" s="866">
        <v>29</v>
      </c>
      <c r="AE151" s="865">
        <v>30</v>
      </c>
      <c r="AF151" s="867">
        <v>31</v>
      </c>
    </row>
    <row r="152" spans="1:32" ht="18" customHeight="1">
      <c r="A152" s="4611" t="s">
        <v>224</v>
      </c>
      <c r="B152" s="3088"/>
      <c r="C152" s="2816" t="s">
        <v>159</v>
      </c>
      <c r="D152" s="3089" t="s">
        <v>159</v>
      </c>
      <c r="E152" s="3089" t="s">
        <v>159</v>
      </c>
      <c r="F152" s="3090" t="s">
        <v>159</v>
      </c>
      <c r="G152" s="3088" t="s">
        <v>159</v>
      </c>
      <c r="H152" s="3090"/>
      <c r="I152" s="3090"/>
      <c r="J152" s="3088">
        <v>69</v>
      </c>
      <c r="K152" s="3090">
        <v>69</v>
      </c>
      <c r="L152" s="3089">
        <v>69</v>
      </c>
      <c r="M152" s="3090">
        <v>69</v>
      </c>
      <c r="N152" s="3088">
        <v>69</v>
      </c>
      <c r="O152" s="3088"/>
      <c r="P152" s="3088"/>
      <c r="Q152" s="3088">
        <v>79</v>
      </c>
      <c r="R152" s="3089">
        <v>79</v>
      </c>
      <c r="S152" s="3089">
        <v>79</v>
      </c>
      <c r="T152" s="3088">
        <v>79</v>
      </c>
      <c r="U152" s="3088">
        <v>79</v>
      </c>
      <c r="V152" s="3088"/>
      <c r="W152" s="3088"/>
      <c r="X152" s="3088">
        <v>89</v>
      </c>
      <c r="Y152" s="3088">
        <v>89</v>
      </c>
      <c r="Z152" s="3090">
        <v>89</v>
      </c>
      <c r="AA152" s="3088">
        <v>89</v>
      </c>
      <c r="AB152" s="3088">
        <v>89</v>
      </c>
      <c r="AC152" s="3088">
        <v>89</v>
      </c>
      <c r="AD152" s="3088"/>
      <c r="AE152" s="3090">
        <v>99</v>
      </c>
      <c r="AF152" s="4612">
        <v>99</v>
      </c>
    </row>
    <row r="153" spans="1:32" ht="18" customHeight="1">
      <c r="A153" s="5417" t="s">
        <v>225</v>
      </c>
      <c r="B153" s="5288"/>
      <c r="C153" s="5341">
        <v>69</v>
      </c>
      <c r="D153" s="5288">
        <v>69</v>
      </c>
      <c r="E153" s="5288">
        <v>69</v>
      </c>
      <c r="F153" s="5288">
        <v>69</v>
      </c>
      <c r="G153" s="5337">
        <v>69</v>
      </c>
      <c r="H153" s="5343"/>
      <c r="I153" s="5337"/>
      <c r="J153" s="5337">
        <v>79</v>
      </c>
      <c r="K153" s="5341">
        <v>79</v>
      </c>
      <c r="L153" s="5341">
        <v>79</v>
      </c>
      <c r="M153" s="5337">
        <v>79</v>
      </c>
      <c r="N153" s="5287">
        <v>79</v>
      </c>
      <c r="O153" s="5337"/>
      <c r="P153" s="5337"/>
      <c r="Q153" s="5351">
        <v>89</v>
      </c>
      <c r="R153" s="5351">
        <v>89</v>
      </c>
      <c r="S153" s="5351">
        <v>89</v>
      </c>
      <c r="T153" s="5351">
        <v>89</v>
      </c>
      <c r="U153" s="5351">
        <v>89</v>
      </c>
      <c r="V153" s="5351">
        <v>89</v>
      </c>
      <c r="W153" s="5351"/>
      <c r="X153" s="5337">
        <v>99</v>
      </c>
      <c r="Y153" s="5337">
        <v>99</v>
      </c>
      <c r="Z153" s="5341">
        <v>99</v>
      </c>
      <c r="AA153" s="5343">
        <v>99</v>
      </c>
      <c r="AB153" s="5287" t="s">
        <v>46</v>
      </c>
      <c r="AC153" s="5287"/>
      <c r="AD153" s="5287"/>
      <c r="AE153" s="5287" t="s">
        <v>159</v>
      </c>
      <c r="AF153" s="5418" t="s">
        <v>159</v>
      </c>
    </row>
    <row r="154" spans="1:32" ht="18" customHeight="1">
      <c r="A154" s="5350" t="s">
        <v>124</v>
      </c>
      <c r="B154" s="5419"/>
      <c r="C154" s="5351">
        <v>79</v>
      </c>
      <c r="D154" s="5351">
        <v>79</v>
      </c>
      <c r="E154" s="5351">
        <v>79</v>
      </c>
      <c r="F154" s="5351">
        <v>79</v>
      </c>
      <c r="G154" s="5351">
        <v>79</v>
      </c>
      <c r="H154" s="5351"/>
      <c r="I154" s="5351"/>
      <c r="J154" s="5419">
        <v>89</v>
      </c>
      <c r="K154" s="5419">
        <v>89</v>
      </c>
      <c r="L154" s="5419">
        <v>89</v>
      </c>
      <c r="M154" s="5337">
        <v>89</v>
      </c>
      <c r="N154" s="5287">
        <v>89</v>
      </c>
      <c r="O154" s="5383">
        <v>89</v>
      </c>
      <c r="P154" s="5287"/>
      <c r="Q154" s="5287">
        <v>99</v>
      </c>
      <c r="R154" s="5287">
        <v>99</v>
      </c>
      <c r="S154" s="5287">
        <v>99</v>
      </c>
      <c r="T154" s="5287">
        <v>99</v>
      </c>
      <c r="U154" s="5287" t="s">
        <v>46</v>
      </c>
      <c r="V154" s="5287"/>
      <c r="W154" s="5287"/>
      <c r="X154" s="5419" t="s">
        <v>159</v>
      </c>
      <c r="Y154" s="5419" t="s">
        <v>159</v>
      </c>
      <c r="Z154" s="5419" t="s">
        <v>159</v>
      </c>
      <c r="AA154" s="5419" t="s">
        <v>159</v>
      </c>
      <c r="AB154" s="5419" t="s">
        <v>159</v>
      </c>
      <c r="AC154" s="5419"/>
      <c r="AD154" s="5419"/>
      <c r="AE154" s="5419">
        <v>69</v>
      </c>
      <c r="AF154" s="5420">
        <v>69</v>
      </c>
    </row>
    <row r="155" spans="1:32" ht="18" customHeight="1">
      <c r="A155" s="5417" t="s">
        <v>226</v>
      </c>
      <c r="B155" s="5341"/>
      <c r="C155" s="5341">
        <v>89</v>
      </c>
      <c r="D155" s="5341">
        <v>89</v>
      </c>
      <c r="E155" s="5341">
        <v>89</v>
      </c>
      <c r="F155" s="5421">
        <v>89</v>
      </c>
      <c r="G155" s="5341">
        <v>89</v>
      </c>
      <c r="H155" s="5343">
        <v>89</v>
      </c>
      <c r="I155" s="5341"/>
      <c r="J155" s="5341">
        <v>99</v>
      </c>
      <c r="K155" s="5341">
        <v>99</v>
      </c>
      <c r="L155" s="5341">
        <v>99</v>
      </c>
      <c r="M155" s="5337">
        <v>99</v>
      </c>
      <c r="N155" s="5341" t="s">
        <v>46</v>
      </c>
      <c r="O155" s="5341"/>
      <c r="P155" s="5383"/>
      <c r="Q155" s="5383" t="s">
        <v>159</v>
      </c>
      <c r="R155" s="5341" t="s">
        <v>159</v>
      </c>
      <c r="S155" s="5341" t="s">
        <v>159</v>
      </c>
      <c r="T155" s="5341" t="s">
        <v>64</v>
      </c>
      <c r="U155" s="5341" t="s">
        <v>64</v>
      </c>
      <c r="V155" s="5341"/>
      <c r="W155" s="5341"/>
      <c r="X155" s="5351">
        <v>69</v>
      </c>
      <c r="Y155" s="5351">
        <v>69</v>
      </c>
      <c r="Z155" s="5351">
        <v>69</v>
      </c>
      <c r="AA155" s="5351">
        <v>69</v>
      </c>
      <c r="AB155" s="5351">
        <v>69</v>
      </c>
      <c r="AC155" s="5351"/>
      <c r="AD155" s="5351"/>
      <c r="AE155" s="5341">
        <v>79</v>
      </c>
      <c r="AF155" s="5352">
        <v>79</v>
      </c>
    </row>
    <row r="156" spans="1:32" ht="18" customHeight="1">
      <c r="A156" s="5422" t="s">
        <v>227</v>
      </c>
      <c r="B156" s="5387"/>
      <c r="C156" s="5387">
        <v>99</v>
      </c>
      <c r="D156" s="5366">
        <v>99</v>
      </c>
      <c r="E156" s="5423">
        <v>99</v>
      </c>
      <c r="F156" s="5423">
        <v>99</v>
      </c>
      <c r="G156" s="5424" t="s">
        <v>46</v>
      </c>
      <c r="H156" s="5424"/>
      <c r="I156" s="5424"/>
      <c r="J156" s="5424" t="s">
        <v>159</v>
      </c>
      <c r="K156" s="5366" t="s">
        <v>159</v>
      </c>
      <c r="L156" s="5366" t="s">
        <v>159</v>
      </c>
      <c r="M156" s="5424" t="s">
        <v>159</v>
      </c>
      <c r="N156" s="5387" t="s">
        <v>159</v>
      </c>
      <c r="O156" s="5387"/>
      <c r="P156" s="5387"/>
      <c r="Q156" s="5387">
        <v>69</v>
      </c>
      <c r="R156" s="5366">
        <v>69</v>
      </c>
      <c r="S156" s="5425">
        <v>69</v>
      </c>
      <c r="T156" s="5387">
        <v>69</v>
      </c>
      <c r="U156" s="5387">
        <v>69</v>
      </c>
      <c r="V156" s="5387"/>
      <c r="W156" s="5387"/>
      <c r="X156" s="5387">
        <v>79</v>
      </c>
      <c r="Y156" s="5387">
        <v>79</v>
      </c>
      <c r="Z156" s="5423">
        <v>79</v>
      </c>
      <c r="AA156" s="5387">
        <v>79</v>
      </c>
      <c r="AB156" s="5366">
        <v>79</v>
      </c>
      <c r="AC156" s="5366"/>
      <c r="AD156" s="5366"/>
      <c r="AE156" s="5366">
        <v>89</v>
      </c>
      <c r="AF156" s="5367">
        <v>89</v>
      </c>
    </row>
    <row r="157" spans="1:32" ht="18" customHeight="1">
      <c r="A157" s="68"/>
      <c r="B157" s="64"/>
      <c r="C157" s="64"/>
      <c r="D157" s="64"/>
      <c r="E157" s="64"/>
      <c r="F157" s="64"/>
      <c r="G157" s="64"/>
      <c r="H157" s="64"/>
      <c r="I157" s="64"/>
      <c r="J157" s="64"/>
      <c r="K157" s="64"/>
      <c r="L157" s="64"/>
      <c r="M157" s="64"/>
      <c r="N157" s="64"/>
      <c r="O157" s="64"/>
      <c r="P157" s="64"/>
      <c r="Q157" s="64"/>
      <c r="R157" s="64"/>
      <c r="S157" s="64"/>
      <c r="T157" s="64"/>
      <c r="U157" s="64"/>
      <c r="V157" s="64"/>
      <c r="W157" s="64"/>
      <c r="X157" s="64"/>
      <c r="Y157" s="64"/>
      <c r="Z157" s="64"/>
      <c r="AA157" s="64"/>
      <c r="AB157" s="64"/>
      <c r="AC157" s="64"/>
      <c r="AD157" s="64"/>
      <c r="AE157" s="64"/>
      <c r="AF157" s="65"/>
    </row>
    <row r="158" spans="1:32" ht="18" customHeight="1">
      <c r="A158" s="101"/>
      <c r="B158" s="101"/>
      <c r="C158" s="102"/>
      <c r="D158" s="102"/>
      <c r="E158" s="102"/>
      <c r="F158" s="63"/>
      <c r="G158" s="102"/>
      <c r="H158" s="102"/>
      <c r="I158" s="102"/>
      <c r="J158" s="102"/>
      <c r="K158" s="102"/>
      <c r="L158" s="102"/>
      <c r="M158" s="102"/>
      <c r="N158" s="102"/>
      <c r="O158" s="102"/>
      <c r="P158" s="102"/>
      <c r="Q158" s="102"/>
      <c r="R158" s="102"/>
      <c r="S158" s="102"/>
      <c r="T158" s="102"/>
      <c r="U158" s="102"/>
      <c r="V158" s="102"/>
      <c r="W158" s="102"/>
      <c r="X158" s="102"/>
      <c r="Y158" s="102"/>
      <c r="Z158" s="102"/>
      <c r="AA158" s="102"/>
      <c r="AB158" s="102"/>
      <c r="AC158" s="102"/>
      <c r="AD158" s="102"/>
      <c r="AE158" s="102"/>
      <c r="AF158" s="101"/>
    </row>
    <row r="159" spans="1:32" ht="18" customHeight="1">
      <c r="A159" s="2764" t="s">
        <v>608</v>
      </c>
      <c r="B159" s="2787"/>
      <c r="C159" s="2788" t="s">
        <v>19</v>
      </c>
      <c r="D159" s="2789"/>
      <c r="E159" s="2790"/>
      <c r="F159" s="2787"/>
      <c r="G159" s="2788" t="s">
        <v>20</v>
      </c>
      <c r="H159" s="2789"/>
      <c r="I159" s="2790"/>
      <c r="J159" s="2787"/>
      <c r="K159" s="2788" t="s">
        <v>21</v>
      </c>
      <c r="L159" s="2789"/>
      <c r="M159" s="2790"/>
      <c r="N159" s="2787"/>
      <c r="O159" s="2788" t="s">
        <v>22</v>
      </c>
      <c r="P159" s="2789"/>
      <c r="Q159" s="2790"/>
      <c r="R159" s="2787"/>
      <c r="S159" s="2788" t="s">
        <v>23</v>
      </c>
      <c r="T159" s="2789"/>
      <c r="U159" s="2790"/>
      <c r="V159" s="2787"/>
      <c r="W159" s="2788" t="s">
        <v>24</v>
      </c>
      <c r="X159" s="2789"/>
      <c r="Y159" s="2790"/>
      <c r="Z159" s="2787"/>
      <c r="AA159" s="2788" t="s">
        <v>25</v>
      </c>
      <c r="AB159" s="2789"/>
      <c r="AC159" s="2789"/>
      <c r="AD159" s="2791" t="s">
        <v>108</v>
      </c>
      <c r="AE159" s="2789"/>
      <c r="AF159" s="2792"/>
    </row>
    <row r="160" spans="1:32" ht="18" customHeight="1">
      <c r="A160" s="5396" t="s">
        <v>229</v>
      </c>
      <c r="B160" s="5371" t="s">
        <v>230</v>
      </c>
      <c r="C160" s="5398"/>
      <c r="D160" s="5398"/>
      <c r="E160" s="5399"/>
      <c r="F160" s="5371" t="s">
        <v>230</v>
      </c>
      <c r="G160" s="5398"/>
      <c r="H160" s="5398"/>
      <c r="I160" s="5399"/>
      <c r="J160" s="5371" t="s">
        <v>230</v>
      </c>
      <c r="K160" s="5398"/>
      <c r="L160" s="5398"/>
      <c r="M160" s="5399"/>
      <c r="N160" s="5371" t="s">
        <v>231</v>
      </c>
      <c r="O160" s="5398"/>
      <c r="P160" s="5398"/>
      <c r="Q160" s="5399"/>
      <c r="R160" s="5371" t="s">
        <v>232</v>
      </c>
      <c r="S160" s="5398"/>
      <c r="T160" s="5398"/>
      <c r="U160" s="5399"/>
      <c r="V160" s="5371" t="s">
        <v>233</v>
      </c>
      <c r="W160" s="5400"/>
      <c r="X160" s="5400"/>
      <c r="Y160" s="5401"/>
      <c r="Z160" s="5371" t="s">
        <v>233</v>
      </c>
      <c r="AA160" s="5398"/>
      <c r="AB160" s="5398"/>
      <c r="AC160" s="5370"/>
      <c r="AD160" s="5402">
        <v>68</v>
      </c>
      <c r="AE160" s="530"/>
      <c r="AF160" s="465"/>
    </row>
    <row r="161" spans="1:32" ht="18" customHeight="1">
      <c r="A161" s="5396"/>
      <c r="B161" s="5371" t="s">
        <v>220</v>
      </c>
      <c r="C161" s="5398"/>
      <c r="D161" s="5398"/>
      <c r="E161" s="5399"/>
      <c r="F161" s="5371" t="s">
        <v>220</v>
      </c>
      <c r="G161" s="5398"/>
      <c r="H161" s="5398"/>
      <c r="I161" s="5399"/>
      <c r="J161" s="5371" t="s">
        <v>220</v>
      </c>
      <c r="K161" s="5398"/>
      <c r="L161" s="5398"/>
      <c r="M161" s="5399"/>
      <c r="N161" s="5371" t="s">
        <v>220</v>
      </c>
      <c r="O161" s="5398"/>
      <c r="P161" s="5398"/>
      <c r="Q161" s="5399"/>
      <c r="R161" s="5371" t="s">
        <v>220</v>
      </c>
      <c r="S161" s="5398"/>
      <c r="T161" s="5398"/>
      <c r="U161" s="5399"/>
      <c r="V161" s="5371" t="s">
        <v>220</v>
      </c>
      <c r="W161" s="5398"/>
      <c r="X161" s="5398"/>
      <c r="Y161" s="5399"/>
      <c r="Z161" s="5398" t="s">
        <v>220</v>
      </c>
      <c r="AA161" s="5398"/>
      <c r="AB161" s="5398"/>
      <c r="AC161" s="5370"/>
      <c r="AD161" s="5402">
        <v>0</v>
      </c>
      <c r="AE161" s="530"/>
      <c r="AF161" s="465"/>
    </row>
    <row r="162" spans="1:32" ht="18" customHeight="1">
      <c r="A162" s="5396" t="s">
        <v>234</v>
      </c>
      <c r="B162" s="5371" t="s">
        <v>231</v>
      </c>
      <c r="C162" s="5398"/>
      <c r="D162" s="5398"/>
      <c r="E162" s="5399"/>
      <c r="F162" s="5371" t="s">
        <v>231</v>
      </c>
      <c r="G162" s="5398"/>
      <c r="H162" s="5398"/>
      <c r="I162" s="5399"/>
      <c r="J162" s="5371" t="s">
        <v>231</v>
      </c>
      <c r="K162" s="5398"/>
      <c r="L162" s="5398"/>
      <c r="M162" s="5399"/>
      <c r="N162" s="5371" t="s">
        <v>230</v>
      </c>
      <c r="O162" s="5398"/>
      <c r="P162" s="5398"/>
      <c r="Q162" s="5399"/>
      <c r="R162" s="5371" t="s">
        <v>230</v>
      </c>
      <c r="S162" s="5398"/>
      <c r="T162" s="5398"/>
      <c r="U162" s="5399"/>
      <c r="V162" s="5371" t="s">
        <v>232</v>
      </c>
      <c r="W162" s="5400"/>
      <c r="X162" s="5400"/>
      <c r="Y162" s="5401"/>
      <c r="Z162" s="5371" t="s">
        <v>232</v>
      </c>
      <c r="AA162" s="5398"/>
      <c r="AB162" s="5398"/>
      <c r="AC162" s="5370"/>
      <c r="AD162" s="5402">
        <v>68</v>
      </c>
      <c r="AE162" s="5398"/>
      <c r="AF162" s="5403"/>
    </row>
    <row r="163" spans="1:32" ht="18" customHeight="1">
      <c r="A163" s="5396"/>
      <c r="B163" s="5371" t="s">
        <v>220</v>
      </c>
      <c r="C163" s="5398"/>
      <c r="D163" s="5398"/>
      <c r="E163" s="5399"/>
      <c r="F163" s="5371" t="s">
        <v>220</v>
      </c>
      <c r="G163" s="5398"/>
      <c r="H163" s="5398"/>
      <c r="I163" s="5399"/>
      <c r="J163" s="5371" t="s">
        <v>220</v>
      </c>
      <c r="K163" s="5398"/>
      <c r="L163" s="5398"/>
      <c r="M163" s="5399"/>
      <c r="N163" s="5371" t="s">
        <v>220</v>
      </c>
      <c r="O163" s="5398"/>
      <c r="P163" s="5398"/>
      <c r="Q163" s="5399"/>
      <c r="R163" s="5371" t="s">
        <v>220</v>
      </c>
      <c r="S163" s="5398"/>
      <c r="T163" s="5398"/>
      <c r="U163" s="5399"/>
      <c r="V163" s="5371" t="s">
        <v>220</v>
      </c>
      <c r="W163" s="5398"/>
      <c r="X163" s="5398"/>
      <c r="Y163" s="5399"/>
      <c r="Z163" s="5398" t="s">
        <v>220</v>
      </c>
      <c r="AA163" s="5398"/>
      <c r="AB163" s="5398"/>
      <c r="AC163" s="5370"/>
      <c r="AD163" s="5402">
        <v>0</v>
      </c>
      <c r="AE163" s="5398"/>
      <c r="AF163" s="5403"/>
    </row>
    <row r="164" spans="1:32" ht="18" customHeight="1">
      <c r="A164" s="5396" t="s">
        <v>235</v>
      </c>
      <c r="B164" s="5371" t="s">
        <v>230</v>
      </c>
      <c r="C164" s="5398"/>
      <c r="D164" s="5398"/>
      <c r="E164" s="5399"/>
      <c r="F164" s="5371" t="s">
        <v>230</v>
      </c>
      <c r="G164" s="5398"/>
      <c r="H164" s="5398"/>
      <c r="I164" s="5399"/>
      <c r="J164" s="5371" t="s">
        <v>230</v>
      </c>
      <c r="K164" s="5398"/>
      <c r="L164" s="5398"/>
      <c r="M164" s="5399"/>
      <c r="N164" s="5371" t="s">
        <v>230</v>
      </c>
      <c r="O164" s="5398"/>
      <c r="P164" s="5398"/>
      <c r="Q164" s="5399"/>
      <c r="R164" s="5371" t="s">
        <v>230</v>
      </c>
      <c r="S164" s="5398"/>
      <c r="T164" s="5398"/>
      <c r="U164" s="5399"/>
      <c r="V164" s="5371" t="s">
        <v>236</v>
      </c>
      <c r="W164" s="5405"/>
      <c r="X164" s="5405"/>
      <c r="Y164" s="5375"/>
      <c r="Z164" s="5371" t="s">
        <v>236</v>
      </c>
      <c r="AA164" s="5405"/>
      <c r="AB164" s="5405"/>
      <c r="AC164" s="5374"/>
      <c r="AD164" s="5402">
        <v>68</v>
      </c>
      <c r="AE164" s="5398"/>
      <c r="AF164" s="5403"/>
    </row>
    <row r="165" spans="1:32" ht="18" customHeight="1">
      <c r="A165" s="5396"/>
      <c r="B165" s="5426" t="s">
        <v>220</v>
      </c>
      <c r="C165" s="5427"/>
      <c r="D165" s="5427"/>
      <c r="E165" s="5428"/>
      <c r="F165" s="5426" t="s">
        <v>220</v>
      </c>
      <c r="G165" s="5427"/>
      <c r="H165" s="5427"/>
      <c r="I165" s="5428"/>
      <c r="J165" s="5426" t="s">
        <v>220</v>
      </c>
      <c r="K165" s="5427"/>
      <c r="L165" s="5427"/>
      <c r="M165" s="5428"/>
      <c r="N165" s="5426" t="s">
        <v>220</v>
      </c>
      <c r="O165" s="5427"/>
      <c r="P165" s="5427"/>
      <c r="Q165" s="5428"/>
      <c r="R165" s="5426" t="s">
        <v>220</v>
      </c>
      <c r="S165" s="5427"/>
      <c r="T165" s="5427"/>
      <c r="U165" s="5429"/>
      <c r="V165" s="5426" t="s">
        <v>220</v>
      </c>
      <c r="W165" s="5429"/>
      <c r="X165" s="5427"/>
      <c r="Y165" s="5428"/>
      <c r="Z165" s="5426" t="s">
        <v>220</v>
      </c>
      <c r="AA165" s="5429"/>
      <c r="AB165" s="5427"/>
      <c r="AC165" s="5428"/>
      <c r="AD165" s="5430" t="s">
        <v>438</v>
      </c>
      <c r="AE165" s="5427"/>
      <c r="AF165" s="5416"/>
    </row>
    <row r="166" spans="1:32" ht="18" customHeight="1">
      <c r="A166" s="100"/>
      <c r="B166" s="102"/>
      <c r="C166" s="102"/>
      <c r="D166" s="102"/>
      <c r="E166" s="102"/>
      <c r="F166" s="102"/>
      <c r="G166" s="102"/>
      <c r="H166" s="102"/>
      <c r="I166" s="102"/>
      <c r="J166" s="102"/>
      <c r="K166" s="102"/>
      <c r="L166" s="102"/>
      <c r="M166" s="102"/>
      <c r="N166" s="102"/>
      <c r="O166" s="102"/>
      <c r="P166" s="102"/>
      <c r="Q166" s="102"/>
      <c r="R166" s="102"/>
      <c r="S166" s="102"/>
      <c r="T166" s="102"/>
      <c r="U166" s="102"/>
      <c r="V166" s="102"/>
      <c r="W166" s="102"/>
      <c r="X166" s="102"/>
      <c r="Y166" s="102"/>
      <c r="Z166" s="102"/>
      <c r="AA166" s="102"/>
      <c r="AB166" s="102"/>
      <c r="AC166" s="102"/>
      <c r="AD166" s="102"/>
      <c r="AE166" s="102"/>
      <c r="AF166" s="101"/>
    </row>
    <row r="167" spans="1:32" ht="18" customHeight="1">
      <c r="A167" s="371" t="s">
        <v>228</v>
      </c>
      <c r="B167" s="866">
        <v>1</v>
      </c>
      <c r="C167" s="865">
        <v>2</v>
      </c>
      <c r="D167" s="865">
        <v>3</v>
      </c>
      <c r="E167" s="865">
        <v>4</v>
      </c>
      <c r="F167" s="865">
        <v>5</v>
      </c>
      <c r="G167" s="865">
        <v>6</v>
      </c>
      <c r="H167" s="866">
        <v>7</v>
      </c>
      <c r="I167" s="866">
        <v>8</v>
      </c>
      <c r="J167" s="865">
        <v>9</v>
      </c>
      <c r="K167" s="865">
        <v>10</v>
      </c>
      <c r="L167" s="865">
        <v>11</v>
      </c>
      <c r="M167" s="865">
        <v>12</v>
      </c>
      <c r="N167" s="865">
        <v>13</v>
      </c>
      <c r="O167" s="866">
        <v>14</v>
      </c>
      <c r="P167" s="866">
        <v>15</v>
      </c>
      <c r="Q167" s="865">
        <v>16</v>
      </c>
      <c r="R167" s="865">
        <v>17</v>
      </c>
      <c r="S167" s="865">
        <v>18</v>
      </c>
      <c r="T167" s="865">
        <v>19</v>
      </c>
      <c r="U167" s="865">
        <v>20</v>
      </c>
      <c r="V167" s="866">
        <v>21</v>
      </c>
      <c r="W167" s="866">
        <v>22</v>
      </c>
      <c r="X167" s="865">
        <v>23</v>
      </c>
      <c r="Y167" s="865">
        <v>24</v>
      </c>
      <c r="Z167" s="865">
        <v>25</v>
      </c>
      <c r="AA167" s="865">
        <v>26</v>
      </c>
      <c r="AB167" s="865">
        <v>27</v>
      </c>
      <c r="AC167" s="866">
        <v>28</v>
      </c>
      <c r="AD167" s="866">
        <v>29</v>
      </c>
      <c r="AE167" s="865">
        <v>30</v>
      </c>
      <c r="AF167" s="867">
        <v>31</v>
      </c>
    </row>
    <row r="168" spans="1:32" ht="18" customHeight="1">
      <c r="A168" s="5353" t="s">
        <v>237</v>
      </c>
      <c r="B168" s="692">
        <v>23</v>
      </c>
      <c r="C168" s="2830" t="s">
        <v>46</v>
      </c>
      <c r="D168" s="2830" t="s">
        <v>46</v>
      </c>
      <c r="E168" s="2830" t="s">
        <v>46</v>
      </c>
      <c r="F168" s="2830" t="s">
        <v>46</v>
      </c>
      <c r="G168" s="2829" t="s">
        <v>46</v>
      </c>
      <c r="H168" s="2829"/>
      <c r="I168" s="2829"/>
      <c r="J168" s="2831">
        <v>21</v>
      </c>
      <c r="K168" s="2831">
        <v>21</v>
      </c>
      <c r="L168" s="2831">
        <v>21</v>
      </c>
      <c r="M168" s="2830">
        <v>21</v>
      </c>
      <c r="N168" s="2830">
        <v>21</v>
      </c>
      <c r="O168" s="2830">
        <v>21</v>
      </c>
      <c r="P168" s="2830">
        <v>21</v>
      </c>
      <c r="Q168" s="2830" t="s">
        <v>46</v>
      </c>
      <c r="R168" s="2830" t="s">
        <v>46</v>
      </c>
      <c r="S168" s="2830" t="s">
        <v>46</v>
      </c>
      <c r="T168" s="2830" t="s">
        <v>46</v>
      </c>
      <c r="U168" s="2829" t="s">
        <v>46</v>
      </c>
      <c r="V168" s="2829"/>
      <c r="W168" s="2829"/>
      <c r="X168" s="2833">
        <v>22</v>
      </c>
      <c r="Y168" s="2833">
        <v>22</v>
      </c>
      <c r="Z168" s="2833">
        <v>22</v>
      </c>
      <c r="AA168" s="2833">
        <v>22</v>
      </c>
      <c r="AB168" s="2833">
        <v>22</v>
      </c>
      <c r="AC168" s="2833">
        <v>22</v>
      </c>
      <c r="AD168" s="2833">
        <v>22</v>
      </c>
      <c r="AE168" s="2829" t="s">
        <v>46</v>
      </c>
      <c r="AF168" s="4639" t="s">
        <v>46</v>
      </c>
    </row>
    <row r="169" spans="1:32" ht="18" customHeight="1">
      <c r="A169" s="5353" t="s">
        <v>238</v>
      </c>
      <c r="B169" s="5362">
        <v>21</v>
      </c>
      <c r="C169" s="5362" t="s">
        <v>46</v>
      </c>
      <c r="D169" s="5360" t="s">
        <v>46</v>
      </c>
      <c r="E169" s="5431" t="s">
        <v>46</v>
      </c>
      <c r="F169" s="5431" t="s">
        <v>46</v>
      </c>
      <c r="G169" s="5431" t="s">
        <v>46</v>
      </c>
      <c r="H169" s="5431"/>
      <c r="I169" s="5431"/>
      <c r="J169" s="5432">
        <v>22</v>
      </c>
      <c r="K169" s="5432">
        <v>22</v>
      </c>
      <c r="L169" s="5432">
        <v>22</v>
      </c>
      <c r="M169" s="5358">
        <v>22</v>
      </c>
      <c r="N169" s="5358">
        <v>22</v>
      </c>
      <c r="O169" s="5433">
        <v>22</v>
      </c>
      <c r="P169" s="5358">
        <v>22</v>
      </c>
      <c r="Q169" s="5362" t="s">
        <v>46</v>
      </c>
      <c r="R169" s="5360" t="s">
        <v>46</v>
      </c>
      <c r="S169" s="5431" t="s">
        <v>46</v>
      </c>
      <c r="T169" s="5431" t="s">
        <v>46</v>
      </c>
      <c r="U169" s="5431" t="s">
        <v>46</v>
      </c>
      <c r="V169" s="5431"/>
      <c r="W169" s="5431"/>
      <c r="X169" s="5362">
        <v>23</v>
      </c>
      <c r="Y169" s="5362">
        <v>23</v>
      </c>
      <c r="Z169" s="5362">
        <v>23</v>
      </c>
      <c r="AA169" s="5362">
        <v>23</v>
      </c>
      <c r="AB169" s="5431">
        <v>23</v>
      </c>
      <c r="AC169" s="5431">
        <v>23</v>
      </c>
      <c r="AD169" s="5431">
        <v>23</v>
      </c>
      <c r="AE169" s="5431" t="s">
        <v>46</v>
      </c>
      <c r="AF169" s="5434" t="s">
        <v>46</v>
      </c>
    </row>
    <row r="170" spans="1:32" ht="18" customHeight="1">
      <c r="A170" s="5353" t="s">
        <v>239</v>
      </c>
      <c r="B170" s="5362">
        <v>22</v>
      </c>
      <c r="C170" s="5358" t="s">
        <v>46</v>
      </c>
      <c r="D170" s="5358" t="s">
        <v>46</v>
      </c>
      <c r="E170" s="5358" t="s">
        <v>46</v>
      </c>
      <c r="F170" s="5358" t="s">
        <v>46</v>
      </c>
      <c r="G170" s="5358" t="s">
        <v>46</v>
      </c>
      <c r="H170" s="5362"/>
      <c r="I170" s="5362"/>
      <c r="J170" s="5432">
        <v>23</v>
      </c>
      <c r="K170" s="5432">
        <v>23</v>
      </c>
      <c r="L170" s="5432">
        <v>23</v>
      </c>
      <c r="M170" s="5358">
        <v>23</v>
      </c>
      <c r="N170" s="5358">
        <v>23</v>
      </c>
      <c r="O170" s="5358">
        <v>23</v>
      </c>
      <c r="P170" s="5358">
        <v>23</v>
      </c>
      <c r="Q170" s="5362" t="s">
        <v>46</v>
      </c>
      <c r="R170" s="5360" t="s">
        <v>46</v>
      </c>
      <c r="S170" s="5362" t="s">
        <v>46</v>
      </c>
      <c r="T170" s="5362" t="s">
        <v>46</v>
      </c>
      <c r="U170" s="5362" t="s">
        <v>46</v>
      </c>
      <c r="V170" s="5362"/>
      <c r="W170" s="5362"/>
      <c r="X170" s="5362">
        <v>21</v>
      </c>
      <c r="Y170" s="5362">
        <v>21</v>
      </c>
      <c r="Z170" s="5362">
        <v>21</v>
      </c>
      <c r="AA170" s="5362">
        <v>21</v>
      </c>
      <c r="AB170" s="5431">
        <v>21</v>
      </c>
      <c r="AC170" s="5431">
        <v>21</v>
      </c>
      <c r="AD170" s="5431">
        <v>21</v>
      </c>
      <c r="AE170" s="5362" t="s">
        <v>46</v>
      </c>
      <c r="AF170" s="5435" t="s">
        <v>46</v>
      </c>
    </row>
    <row r="171" spans="1:32" ht="18" customHeight="1">
      <c r="A171" s="655" t="s">
        <v>240</v>
      </c>
      <c r="B171" s="5362"/>
      <c r="C171" s="5432">
        <v>23</v>
      </c>
      <c r="D171" s="5432">
        <v>23</v>
      </c>
      <c r="E171" s="5432">
        <v>23</v>
      </c>
      <c r="F171" s="5358">
        <v>23</v>
      </c>
      <c r="G171" s="5358">
        <v>23</v>
      </c>
      <c r="H171" s="5358">
        <v>23</v>
      </c>
      <c r="I171" s="5358">
        <v>23</v>
      </c>
      <c r="J171" s="5358" t="s">
        <v>46</v>
      </c>
      <c r="K171" s="5358" t="s">
        <v>46</v>
      </c>
      <c r="L171" s="5358" t="s">
        <v>46</v>
      </c>
      <c r="M171" s="5358" t="s">
        <v>46</v>
      </c>
      <c r="N171" s="5358" t="s">
        <v>46</v>
      </c>
      <c r="O171" s="5362"/>
      <c r="P171" s="5362"/>
      <c r="Q171" s="5436">
        <v>21</v>
      </c>
      <c r="R171" s="5436">
        <v>21</v>
      </c>
      <c r="S171" s="5362">
        <v>21</v>
      </c>
      <c r="T171" s="5431">
        <v>21</v>
      </c>
      <c r="U171" s="5431">
        <v>21</v>
      </c>
      <c r="V171" s="5360">
        <v>21</v>
      </c>
      <c r="W171" s="5362">
        <v>21</v>
      </c>
      <c r="X171" s="5358" t="s">
        <v>46</v>
      </c>
      <c r="Y171" s="5358" t="s">
        <v>46</v>
      </c>
      <c r="Z171" s="5358" t="s">
        <v>46</v>
      </c>
      <c r="AA171" s="5358" t="s">
        <v>46</v>
      </c>
      <c r="AB171" s="5362" t="s">
        <v>46</v>
      </c>
      <c r="AC171" s="5362"/>
      <c r="AD171" s="5362"/>
      <c r="AE171" s="5362">
        <v>22</v>
      </c>
      <c r="AF171" s="5435">
        <v>22</v>
      </c>
    </row>
    <row r="172" spans="1:32" ht="18" customHeight="1">
      <c r="A172" s="5437" t="s">
        <v>242</v>
      </c>
      <c r="B172" s="5358"/>
      <c r="C172" s="5438">
        <v>21</v>
      </c>
      <c r="D172" s="5438">
        <v>21</v>
      </c>
      <c r="E172" s="5438">
        <v>21</v>
      </c>
      <c r="F172" s="5438">
        <v>21</v>
      </c>
      <c r="G172" s="5438">
        <v>21</v>
      </c>
      <c r="H172" s="5438">
        <v>21</v>
      </c>
      <c r="I172" s="5438">
        <v>21</v>
      </c>
      <c r="J172" s="5362" t="s">
        <v>46</v>
      </c>
      <c r="K172" s="5360" t="s">
        <v>46</v>
      </c>
      <c r="L172" s="5362" t="s">
        <v>46</v>
      </c>
      <c r="M172" s="5362" t="s">
        <v>46</v>
      </c>
      <c r="N172" s="5362" t="s">
        <v>46</v>
      </c>
      <c r="O172" s="5362"/>
      <c r="P172" s="5362"/>
      <c r="Q172" s="5436">
        <v>22</v>
      </c>
      <c r="R172" s="5436">
        <v>22</v>
      </c>
      <c r="S172" s="5362">
        <v>22</v>
      </c>
      <c r="T172" s="5431">
        <v>22</v>
      </c>
      <c r="U172" s="5431">
        <v>22</v>
      </c>
      <c r="V172" s="5360">
        <v>22</v>
      </c>
      <c r="W172" s="5362">
        <v>22</v>
      </c>
      <c r="X172" s="5362" t="s">
        <v>46</v>
      </c>
      <c r="Y172" s="5360" t="s">
        <v>46</v>
      </c>
      <c r="Z172" s="5431" t="s">
        <v>46</v>
      </c>
      <c r="AA172" s="5431" t="s">
        <v>46</v>
      </c>
      <c r="AB172" s="5431" t="s">
        <v>46</v>
      </c>
      <c r="AC172" s="5431"/>
      <c r="AD172" s="5431"/>
      <c r="AE172" s="5362">
        <v>23</v>
      </c>
      <c r="AF172" s="5435">
        <v>23</v>
      </c>
    </row>
    <row r="173" spans="1:32" ht="18" customHeight="1">
      <c r="A173" s="656"/>
      <c r="B173" s="5160"/>
      <c r="C173" s="5166">
        <v>22</v>
      </c>
      <c r="D173" s="5166">
        <v>22</v>
      </c>
      <c r="E173" s="5166">
        <v>22</v>
      </c>
      <c r="F173" s="5167">
        <v>22</v>
      </c>
      <c r="G173" s="5167">
        <v>22</v>
      </c>
      <c r="H173" s="5167">
        <v>22</v>
      </c>
      <c r="I173" s="5167">
        <v>22</v>
      </c>
      <c r="J173" s="5167" t="s">
        <v>46</v>
      </c>
      <c r="K173" s="5167" t="s">
        <v>46</v>
      </c>
      <c r="L173" s="5167" t="s">
        <v>46</v>
      </c>
      <c r="M173" s="5160" t="s">
        <v>46</v>
      </c>
      <c r="N173" s="5160" t="s">
        <v>46</v>
      </c>
      <c r="O173" s="5160"/>
      <c r="P173" s="5160"/>
      <c r="Q173" s="5168">
        <v>23</v>
      </c>
      <c r="R173" s="5168">
        <v>23</v>
      </c>
      <c r="S173" s="5160">
        <v>23</v>
      </c>
      <c r="T173" s="5169">
        <v>23</v>
      </c>
      <c r="U173" s="5169">
        <v>23</v>
      </c>
      <c r="V173" s="5170">
        <v>23</v>
      </c>
      <c r="W173" s="5160">
        <v>23</v>
      </c>
      <c r="X173" s="5160" t="s">
        <v>46</v>
      </c>
      <c r="Y173" s="5170" t="s">
        <v>46</v>
      </c>
      <c r="Z173" s="5160" t="s">
        <v>46</v>
      </c>
      <c r="AA173" s="5160" t="s">
        <v>46</v>
      </c>
      <c r="AB173" s="5160" t="s">
        <v>46</v>
      </c>
      <c r="AC173" s="5160"/>
      <c r="AD173" s="5160"/>
      <c r="AE173" s="5160">
        <v>21</v>
      </c>
      <c r="AF173" s="398">
        <v>21</v>
      </c>
    </row>
    <row r="174" spans="1:32" ht="18" customHeight="1" thickBot="1">
      <c r="A174" s="115"/>
      <c r="B174" s="116"/>
      <c r="C174" s="116"/>
      <c r="D174" s="124"/>
      <c r="E174" s="116"/>
      <c r="F174" s="116"/>
      <c r="G174" s="129"/>
      <c r="H174" s="129"/>
      <c r="I174" s="129"/>
      <c r="J174" s="129"/>
      <c r="K174" s="129"/>
      <c r="L174" s="129"/>
      <c r="M174" s="113"/>
      <c r="N174" s="113"/>
      <c r="O174" s="124"/>
      <c r="P174" s="116"/>
      <c r="Q174" s="116"/>
      <c r="R174" s="124"/>
      <c r="S174" s="116"/>
      <c r="T174" s="116"/>
      <c r="U174" s="116"/>
      <c r="V174" s="116"/>
      <c r="W174" s="116"/>
      <c r="X174" s="116"/>
      <c r="Y174" s="116"/>
      <c r="Z174" s="116"/>
      <c r="AA174" s="113"/>
      <c r="AB174" s="113"/>
      <c r="AC174" s="124"/>
      <c r="AD174" s="116"/>
      <c r="AE174" s="116"/>
      <c r="AF174" s="65"/>
    </row>
    <row r="175" spans="1:32" ht="18" customHeight="1">
      <c r="A175" s="2764" t="s">
        <v>636</v>
      </c>
      <c r="B175" s="2765"/>
      <c r="C175" s="2788" t="s">
        <v>19</v>
      </c>
      <c r="D175" s="3064"/>
      <c r="E175" s="2769"/>
      <c r="F175" s="2765"/>
      <c r="G175" s="2788" t="s">
        <v>20</v>
      </c>
      <c r="H175" s="3064"/>
      <c r="I175" s="2769"/>
      <c r="J175" s="2765"/>
      <c r="K175" s="2788" t="s">
        <v>21</v>
      </c>
      <c r="L175" s="3064"/>
      <c r="M175" s="2769"/>
      <c r="N175" s="2765"/>
      <c r="O175" s="2788" t="s">
        <v>22</v>
      </c>
      <c r="P175" s="3064"/>
      <c r="Q175" s="2769"/>
      <c r="R175" s="2765"/>
      <c r="S175" s="2788" t="s">
        <v>23</v>
      </c>
      <c r="T175" s="3064"/>
      <c r="U175" s="2769"/>
      <c r="V175" s="2765"/>
      <c r="W175" s="2788" t="s">
        <v>24</v>
      </c>
      <c r="X175" s="3064"/>
      <c r="Y175" s="2769"/>
      <c r="Z175" s="2765"/>
      <c r="AA175" s="2788" t="s">
        <v>25</v>
      </c>
      <c r="AB175" s="3064"/>
      <c r="AC175" s="3064"/>
      <c r="AD175" s="2791" t="s">
        <v>108</v>
      </c>
      <c r="AE175" s="3064"/>
      <c r="AF175" s="2841"/>
    </row>
    <row r="176" spans="1:32" ht="18" customHeight="1">
      <c r="A176" s="5396" t="s">
        <v>210</v>
      </c>
      <c r="B176" s="5371" t="s">
        <v>211</v>
      </c>
      <c r="C176" s="5314"/>
      <c r="D176" s="5314"/>
      <c r="E176" s="5399"/>
      <c r="F176" s="5371" t="s">
        <v>211</v>
      </c>
      <c r="G176" s="5314"/>
      <c r="H176" s="5314"/>
      <c r="I176" s="5399"/>
      <c r="J176" s="5371" t="s">
        <v>211</v>
      </c>
      <c r="K176" s="5314"/>
      <c r="L176" s="5314"/>
      <c r="M176" s="5399"/>
      <c r="N176" s="5371" t="s">
        <v>245</v>
      </c>
      <c r="O176" s="5314"/>
      <c r="P176" s="5314"/>
      <c r="Q176" s="5399"/>
      <c r="R176" s="5371" t="s">
        <v>220</v>
      </c>
      <c r="S176" s="5314"/>
      <c r="T176" s="5314"/>
      <c r="U176" s="5399"/>
      <c r="V176" s="5439"/>
      <c r="W176" s="5440"/>
      <c r="X176" s="5440"/>
      <c r="Y176" s="5401"/>
      <c r="Z176" s="5397"/>
      <c r="AA176" s="5314"/>
      <c r="AB176" s="5314"/>
      <c r="AC176" s="5370"/>
      <c r="AD176" s="5402">
        <v>27</v>
      </c>
      <c r="AE176" s="5314"/>
      <c r="AF176" s="5441"/>
    </row>
    <row r="177" spans="1:32" ht="18" customHeight="1">
      <c r="A177" s="5396" t="s">
        <v>212</v>
      </c>
      <c r="B177" s="5371" t="s">
        <v>246</v>
      </c>
      <c r="C177" s="5314"/>
      <c r="D177" s="5314"/>
      <c r="E177" s="5399"/>
      <c r="F177" s="5371" t="s">
        <v>246</v>
      </c>
      <c r="G177" s="5314"/>
      <c r="H177" s="5314"/>
      <c r="I177" s="5399"/>
      <c r="J177" s="5371" t="s">
        <v>246</v>
      </c>
      <c r="K177" s="5314"/>
      <c r="L177" s="5314"/>
      <c r="M177" s="5399"/>
      <c r="N177" s="5371" t="s">
        <v>246</v>
      </c>
      <c r="O177" s="5314"/>
      <c r="P177" s="5314"/>
      <c r="Q177" s="5399"/>
      <c r="R177" s="5371" t="s">
        <v>211</v>
      </c>
      <c r="S177" s="5314"/>
      <c r="T177" s="5314"/>
      <c r="U177" s="5399"/>
      <c r="V177" s="5371"/>
      <c r="W177" s="5314"/>
      <c r="X177" s="5314"/>
      <c r="Y177" s="5399"/>
      <c r="Z177" s="5314"/>
      <c r="AA177" s="5314"/>
      <c r="AB177" s="5314"/>
      <c r="AC177" s="5370"/>
      <c r="AD177" s="5402">
        <v>39</v>
      </c>
      <c r="AE177" s="5314"/>
      <c r="AF177" s="5441"/>
    </row>
    <row r="178" spans="1:32" ht="18" customHeight="1">
      <c r="A178" s="5396" t="s">
        <v>214</v>
      </c>
      <c r="B178" s="5371" t="s">
        <v>246</v>
      </c>
      <c r="C178" s="5314"/>
      <c r="D178" s="5314"/>
      <c r="E178" s="5399"/>
      <c r="F178" s="5371" t="s">
        <v>246</v>
      </c>
      <c r="G178" s="5314"/>
      <c r="H178" s="5314"/>
      <c r="I178" s="5399"/>
      <c r="J178" s="5371" t="s">
        <v>246</v>
      </c>
      <c r="K178" s="5314"/>
      <c r="L178" s="5314"/>
      <c r="M178" s="5399"/>
      <c r="N178" s="5371" t="s">
        <v>246</v>
      </c>
      <c r="O178" s="5314"/>
      <c r="P178" s="5314"/>
      <c r="Q178" s="5399"/>
      <c r="R178" s="5371" t="s">
        <v>246</v>
      </c>
      <c r="S178" s="5314"/>
      <c r="T178" s="5314"/>
      <c r="U178" s="5399"/>
      <c r="V178" s="5373" t="s">
        <v>217</v>
      </c>
      <c r="W178" s="5311"/>
      <c r="X178" s="5311"/>
      <c r="Y178" s="5375"/>
      <c r="Z178" s="5404"/>
      <c r="AA178" s="5311"/>
      <c r="AB178" s="5311"/>
      <c r="AC178" s="5374"/>
      <c r="AD178" s="5402">
        <v>45</v>
      </c>
      <c r="AE178" s="5314"/>
      <c r="AF178" s="5441"/>
    </row>
    <row r="179" spans="1:32" ht="18" customHeight="1">
      <c r="A179" s="1484" t="s">
        <v>218</v>
      </c>
      <c r="B179" s="5426"/>
      <c r="C179" s="5324"/>
      <c r="D179" s="5324"/>
      <c r="E179" s="5428"/>
      <c r="F179" s="5426"/>
      <c r="G179" s="5324"/>
      <c r="H179" s="5324"/>
      <c r="I179" s="5428"/>
      <c r="J179" s="5426"/>
      <c r="K179" s="5324"/>
      <c r="L179" s="5324"/>
      <c r="M179" s="5428"/>
      <c r="N179" s="5426"/>
      <c r="O179" s="5324"/>
      <c r="P179" s="5324"/>
      <c r="Q179" s="5428"/>
      <c r="R179" s="5426"/>
      <c r="S179" s="5324"/>
      <c r="T179" s="5324"/>
      <c r="U179" s="5429"/>
      <c r="V179" s="5426"/>
      <c r="W179" s="5429"/>
      <c r="X179" s="5324"/>
      <c r="Y179" s="5428"/>
      <c r="Z179" s="5426"/>
      <c r="AA179" s="5429"/>
      <c r="AB179" s="5324"/>
      <c r="AC179" s="5428"/>
      <c r="AD179" s="5442"/>
      <c r="AE179" s="5324"/>
      <c r="AF179" s="5443"/>
    </row>
    <row r="180" spans="1:32" ht="18" customHeight="1">
      <c r="A180" s="1"/>
      <c r="B180" s="48"/>
      <c r="C180" s="48"/>
      <c r="D180" s="48"/>
      <c r="E180" s="48"/>
      <c r="F180" s="48"/>
      <c r="G180" s="48"/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48"/>
      <c r="S180" s="48"/>
      <c r="T180" s="48"/>
      <c r="U180" s="48"/>
      <c r="V180" s="48"/>
      <c r="W180" s="48"/>
      <c r="X180" s="48"/>
      <c r="Y180" s="48"/>
      <c r="Z180" s="48"/>
      <c r="AA180" s="48"/>
      <c r="AB180" s="48"/>
      <c r="AC180" s="48"/>
      <c r="AD180" s="48"/>
      <c r="AE180" s="48"/>
    </row>
    <row r="181" spans="1:32" ht="18" customHeight="1">
      <c r="A181" s="363" t="s">
        <v>609</v>
      </c>
      <c r="B181" s="866">
        <v>1</v>
      </c>
      <c r="C181" s="865">
        <v>2</v>
      </c>
      <c r="D181" s="865">
        <v>3</v>
      </c>
      <c r="E181" s="865">
        <v>4</v>
      </c>
      <c r="F181" s="865">
        <v>5</v>
      </c>
      <c r="G181" s="865">
        <v>6</v>
      </c>
      <c r="H181" s="866">
        <v>7</v>
      </c>
      <c r="I181" s="866">
        <v>8</v>
      </c>
      <c r="J181" s="865">
        <v>9</v>
      </c>
      <c r="K181" s="865">
        <v>10</v>
      </c>
      <c r="L181" s="865">
        <v>11</v>
      </c>
      <c r="M181" s="865">
        <v>12</v>
      </c>
      <c r="N181" s="865">
        <v>13</v>
      </c>
      <c r="O181" s="866">
        <v>14</v>
      </c>
      <c r="P181" s="866">
        <v>15</v>
      </c>
      <c r="Q181" s="865">
        <v>16</v>
      </c>
      <c r="R181" s="865">
        <v>17</v>
      </c>
      <c r="S181" s="865">
        <v>18</v>
      </c>
      <c r="T181" s="865">
        <v>19</v>
      </c>
      <c r="U181" s="865">
        <v>20</v>
      </c>
      <c r="V181" s="866">
        <v>21</v>
      </c>
      <c r="W181" s="866">
        <v>22</v>
      </c>
      <c r="X181" s="865">
        <v>23</v>
      </c>
      <c r="Y181" s="865">
        <v>24</v>
      </c>
      <c r="Z181" s="865">
        <v>25</v>
      </c>
      <c r="AA181" s="865">
        <v>26</v>
      </c>
      <c r="AB181" s="865">
        <v>27</v>
      </c>
      <c r="AC181" s="866">
        <v>28</v>
      </c>
      <c r="AD181" s="866">
        <v>29</v>
      </c>
      <c r="AE181" s="865">
        <v>30</v>
      </c>
      <c r="AF181" s="867">
        <v>31</v>
      </c>
    </row>
    <row r="182" spans="1:32" ht="18" customHeight="1">
      <c r="A182" s="4668" t="s">
        <v>247</v>
      </c>
      <c r="B182" s="3089"/>
      <c r="C182" s="3089" t="s">
        <v>40</v>
      </c>
      <c r="D182" s="2848" t="s">
        <v>40</v>
      </c>
      <c r="E182" s="3089" t="s">
        <v>40</v>
      </c>
      <c r="F182" s="3089" t="s">
        <v>40</v>
      </c>
      <c r="G182" s="3089" t="s">
        <v>40</v>
      </c>
      <c r="H182" s="3089" t="s">
        <v>248</v>
      </c>
      <c r="I182" s="3089"/>
      <c r="J182" s="3089" t="s">
        <v>40</v>
      </c>
      <c r="K182" s="3089" t="s">
        <v>40</v>
      </c>
      <c r="L182" s="3089" t="s">
        <v>40</v>
      </c>
      <c r="M182" s="3089" t="s">
        <v>40</v>
      </c>
      <c r="N182" s="3089" t="s">
        <v>40</v>
      </c>
      <c r="O182" s="2848"/>
      <c r="P182" s="3089"/>
      <c r="Q182" s="3089" t="s">
        <v>40</v>
      </c>
      <c r="R182" s="3089" t="s">
        <v>40</v>
      </c>
      <c r="S182" s="3089" t="s">
        <v>40</v>
      </c>
      <c r="T182" s="3089" t="s">
        <v>40</v>
      </c>
      <c r="U182" s="3089" t="s">
        <v>40</v>
      </c>
      <c r="V182" s="3089"/>
      <c r="W182" s="3089"/>
      <c r="X182" s="3089" t="s">
        <v>40</v>
      </c>
      <c r="Y182" s="2848" t="s">
        <v>40</v>
      </c>
      <c r="Z182" s="3089" t="s">
        <v>40</v>
      </c>
      <c r="AA182" s="3089" t="s">
        <v>40</v>
      </c>
      <c r="AB182" s="3089" t="s">
        <v>40</v>
      </c>
      <c r="AC182" s="3089" t="s">
        <v>248</v>
      </c>
      <c r="AD182" s="3089"/>
      <c r="AE182" s="3089" t="s">
        <v>40</v>
      </c>
      <c r="AF182" s="5178" t="s">
        <v>40</v>
      </c>
    </row>
    <row r="183" spans="1:32" ht="18" customHeight="1">
      <c r="A183" s="5444" t="s">
        <v>249</v>
      </c>
      <c r="B183" s="5341"/>
      <c r="C183" s="5341" t="s">
        <v>251</v>
      </c>
      <c r="D183" s="5341" t="s">
        <v>251</v>
      </c>
      <c r="E183" s="5341" t="s">
        <v>251</v>
      </c>
      <c r="F183" s="5341" t="s">
        <v>251</v>
      </c>
      <c r="G183" s="5341" t="s">
        <v>46</v>
      </c>
      <c r="H183" s="5341"/>
      <c r="I183" s="5341"/>
      <c r="J183" s="5341" t="s">
        <v>250</v>
      </c>
      <c r="K183" s="5341" t="s">
        <v>250</v>
      </c>
      <c r="L183" s="5341" t="s">
        <v>250</v>
      </c>
      <c r="M183" s="5341" t="s">
        <v>250</v>
      </c>
      <c r="N183" s="5341" t="s">
        <v>250</v>
      </c>
      <c r="O183" s="5341"/>
      <c r="P183" s="5341"/>
      <c r="Q183" s="5341" t="s">
        <v>248</v>
      </c>
      <c r="R183" s="5341" t="s">
        <v>248</v>
      </c>
      <c r="S183" s="5341" t="s">
        <v>248</v>
      </c>
      <c r="T183" s="5341" t="s">
        <v>248</v>
      </c>
      <c r="U183" s="5341" t="s">
        <v>248</v>
      </c>
      <c r="V183" s="5341" t="s">
        <v>248</v>
      </c>
      <c r="W183" s="5341"/>
      <c r="X183" s="5341" t="s">
        <v>251</v>
      </c>
      <c r="Y183" s="5341" t="s">
        <v>251</v>
      </c>
      <c r="Z183" s="5341" t="s">
        <v>251</v>
      </c>
      <c r="AA183" s="5341" t="s">
        <v>251</v>
      </c>
      <c r="AB183" s="5341" t="s">
        <v>46</v>
      </c>
      <c r="AC183" s="5341"/>
      <c r="AD183" s="5341"/>
      <c r="AE183" s="5341" t="s">
        <v>250</v>
      </c>
      <c r="AF183" s="5445" t="s">
        <v>250</v>
      </c>
    </row>
    <row r="184" spans="1:32" ht="18" customHeight="1">
      <c r="A184" s="5446" t="s">
        <v>512</v>
      </c>
      <c r="B184" s="5287"/>
      <c r="C184" s="5341" t="s">
        <v>250</v>
      </c>
      <c r="D184" s="5341" t="s">
        <v>250</v>
      </c>
      <c r="E184" s="5341" t="s">
        <v>250</v>
      </c>
      <c r="F184" s="5341" t="s">
        <v>250</v>
      </c>
      <c r="G184" s="5341" t="s">
        <v>250</v>
      </c>
      <c r="H184" s="5287"/>
      <c r="I184" s="5341"/>
      <c r="J184" s="5341" t="s">
        <v>248</v>
      </c>
      <c r="K184" s="5287" t="s">
        <v>248</v>
      </c>
      <c r="L184" s="5287" t="s">
        <v>248</v>
      </c>
      <c r="M184" s="5341" t="s">
        <v>248</v>
      </c>
      <c r="N184" s="5341" t="s">
        <v>248</v>
      </c>
      <c r="O184" s="5341" t="s">
        <v>248</v>
      </c>
      <c r="P184" s="5341"/>
      <c r="Q184" s="5341" t="s">
        <v>251</v>
      </c>
      <c r="R184" s="5341" t="s">
        <v>251</v>
      </c>
      <c r="S184" s="5341" t="s">
        <v>251</v>
      </c>
      <c r="T184" s="5341" t="s">
        <v>251</v>
      </c>
      <c r="U184" s="5341" t="s">
        <v>46</v>
      </c>
      <c r="V184" s="5287"/>
      <c r="W184" s="5287"/>
      <c r="X184" s="5341" t="s">
        <v>250</v>
      </c>
      <c r="Y184" s="5341" t="s">
        <v>250</v>
      </c>
      <c r="Z184" s="5341" t="s">
        <v>250</v>
      </c>
      <c r="AA184" s="5341" t="s">
        <v>250</v>
      </c>
      <c r="AB184" s="5341" t="s">
        <v>250</v>
      </c>
      <c r="AC184" s="5287"/>
      <c r="AD184" s="5341"/>
      <c r="AE184" s="5341" t="s">
        <v>248</v>
      </c>
      <c r="AF184" s="5352" t="s">
        <v>248</v>
      </c>
    </row>
    <row r="185" spans="1:32" ht="18" customHeight="1">
      <c r="A185" s="5447" t="s">
        <v>253</v>
      </c>
      <c r="B185" s="5366"/>
      <c r="C185" s="5366"/>
      <c r="D185" s="5366"/>
      <c r="E185" s="5366"/>
      <c r="F185" s="5366"/>
      <c r="G185" s="5366"/>
      <c r="H185" s="5366"/>
      <c r="I185" s="5366"/>
      <c r="J185" s="5366"/>
      <c r="K185" s="5366"/>
      <c r="L185" s="5366"/>
      <c r="M185" s="5366"/>
      <c r="N185" s="5366"/>
      <c r="O185" s="5366"/>
      <c r="P185" s="5366"/>
      <c r="Q185" s="5366"/>
      <c r="R185" s="5366"/>
      <c r="S185" s="5366"/>
      <c r="T185" s="5366"/>
      <c r="U185" s="5366"/>
      <c r="V185" s="5448"/>
      <c r="W185" s="5366"/>
      <c r="X185" s="5366"/>
      <c r="Y185" s="5366"/>
      <c r="Z185" s="5366"/>
      <c r="AA185" s="5366"/>
      <c r="AB185" s="5366"/>
      <c r="AC185" s="5366"/>
      <c r="AD185" s="5366"/>
      <c r="AE185" s="5366"/>
      <c r="AF185" s="5367"/>
    </row>
    <row r="186" spans="1:32" ht="18" customHeight="1">
      <c r="A186" s="115"/>
      <c r="B186" s="116"/>
      <c r="C186" s="116"/>
      <c r="D186" s="116"/>
      <c r="E186" s="116"/>
      <c r="F186" s="116"/>
      <c r="G186" s="116"/>
      <c r="H186" s="116"/>
      <c r="I186" s="116"/>
      <c r="J186" s="116"/>
      <c r="K186" s="116"/>
      <c r="L186" s="116"/>
      <c r="M186" s="116"/>
      <c r="N186" s="116"/>
      <c r="O186" s="116"/>
      <c r="P186" s="116"/>
      <c r="Q186" s="116"/>
      <c r="R186" s="116"/>
      <c r="S186" s="116"/>
      <c r="T186" s="116"/>
      <c r="U186" s="116"/>
      <c r="V186" s="116"/>
      <c r="W186" s="116"/>
      <c r="X186" s="116"/>
      <c r="Y186" s="116"/>
      <c r="Z186" s="116"/>
      <c r="AA186" s="116"/>
      <c r="AB186" s="116"/>
      <c r="AC186" s="116"/>
      <c r="AD186" s="116"/>
      <c r="AE186" s="116"/>
      <c r="AF186" s="65"/>
    </row>
    <row r="187" spans="1:32" ht="18" customHeight="1">
      <c r="A187" s="48"/>
      <c r="B187" s="64"/>
      <c r="C187" s="48"/>
      <c r="D187" s="48"/>
      <c r="E187" s="64"/>
      <c r="F187" s="48"/>
      <c r="G187" s="48"/>
      <c r="H187" s="64"/>
      <c r="I187" s="64"/>
      <c r="J187" s="48"/>
      <c r="K187" s="64"/>
      <c r="L187" s="48"/>
      <c r="M187" s="48"/>
      <c r="N187" s="64"/>
      <c r="O187" s="48"/>
      <c r="P187" s="64"/>
      <c r="Q187" s="64"/>
      <c r="R187" s="48"/>
      <c r="S187" s="48"/>
      <c r="T187" s="64"/>
      <c r="U187" s="48"/>
      <c r="V187" s="64"/>
      <c r="W187" s="64"/>
      <c r="X187" s="48"/>
      <c r="Y187" s="48"/>
      <c r="Z187" s="48"/>
      <c r="AA187" s="48"/>
      <c r="AB187" s="48"/>
      <c r="AC187" s="48"/>
      <c r="AD187" s="64"/>
      <c r="AE187" s="48"/>
      <c r="AF187" s="65"/>
    </row>
    <row r="188" spans="1:32" ht="18" customHeight="1">
      <c r="A188" s="648" t="s">
        <v>637</v>
      </c>
      <c r="B188" s="1242"/>
      <c r="C188" s="1243" t="s">
        <v>19</v>
      </c>
      <c r="D188" s="1244"/>
      <c r="E188" s="1055"/>
      <c r="F188" s="1245"/>
      <c r="G188" s="1243" t="s">
        <v>20</v>
      </c>
      <c r="H188" s="1244"/>
      <c r="I188" s="1055"/>
      <c r="J188" s="1245"/>
      <c r="K188" s="1243" t="s">
        <v>21</v>
      </c>
      <c r="L188" s="1244"/>
      <c r="M188" s="1055"/>
      <c r="N188" s="1245"/>
      <c r="O188" s="1243" t="s">
        <v>22</v>
      </c>
      <c r="P188" s="1244"/>
      <c r="Q188" s="1055"/>
      <c r="R188" s="1245"/>
      <c r="S188" s="1243" t="s">
        <v>23</v>
      </c>
      <c r="T188" s="1244"/>
      <c r="U188" s="1246"/>
      <c r="V188" s="111"/>
      <c r="W188" s="499"/>
      <c r="X188" s="111"/>
      <c r="Y188" s="111"/>
      <c r="Z188" s="111"/>
      <c r="AA188" s="499"/>
      <c r="AB188" s="111"/>
      <c r="AC188" s="111"/>
      <c r="AD188" s="499"/>
      <c r="AE188" s="111"/>
      <c r="AF188" s="111"/>
    </row>
    <row r="189" spans="1:32" ht="18" customHeight="1">
      <c r="A189" s="5123" t="s">
        <v>638</v>
      </c>
      <c r="B189" s="5449" t="s">
        <v>515</v>
      </c>
      <c r="C189" s="5450" t="s">
        <v>639</v>
      </c>
      <c r="D189" s="5450"/>
      <c r="E189" s="5451"/>
      <c r="F189" s="5452" t="s">
        <v>640</v>
      </c>
      <c r="G189" s="5450"/>
      <c r="H189" s="5450"/>
      <c r="I189" s="5451"/>
      <c r="J189" s="5452" t="s">
        <v>639</v>
      </c>
      <c r="K189" s="5450"/>
      <c r="L189" s="5450"/>
      <c r="M189" s="5451"/>
      <c r="N189" s="5452" t="s">
        <v>641</v>
      </c>
      <c r="O189" s="5450"/>
      <c r="P189" s="5450"/>
      <c r="Q189" s="5451"/>
      <c r="R189" s="5452" t="s">
        <v>642</v>
      </c>
      <c r="S189" s="5450"/>
      <c r="T189" s="5450"/>
      <c r="U189" s="5453"/>
      <c r="V189" s="120"/>
      <c r="W189" s="111"/>
      <c r="X189" s="111"/>
      <c r="Y189" s="111"/>
      <c r="Z189" s="120"/>
      <c r="AA189" s="111"/>
      <c r="AB189" s="111"/>
      <c r="AC189" s="111"/>
      <c r="AD189" s="120"/>
      <c r="AE189" s="111"/>
      <c r="AF189" s="112"/>
    </row>
    <row r="190" spans="1:32" ht="18" customHeight="1">
      <c r="A190" s="5123" t="s">
        <v>643</v>
      </c>
      <c r="B190" s="5449" t="s">
        <v>152</v>
      </c>
      <c r="C190" s="5450" t="s">
        <v>644</v>
      </c>
      <c r="D190" s="5450"/>
      <c r="E190" s="5451"/>
      <c r="F190" s="5452" t="s">
        <v>644</v>
      </c>
      <c r="G190" s="5450"/>
      <c r="H190" s="5450"/>
      <c r="I190" s="5451"/>
      <c r="J190" s="5452" t="s">
        <v>644</v>
      </c>
      <c r="K190" s="5450"/>
      <c r="L190" s="5450"/>
      <c r="M190" s="5451"/>
      <c r="N190" s="5452" t="s">
        <v>645</v>
      </c>
      <c r="O190" s="5450"/>
      <c r="P190" s="5450"/>
      <c r="Q190" s="5451"/>
      <c r="R190" s="5452" t="s">
        <v>646</v>
      </c>
      <c r="S190" s="5450"/>
      <c r="T190" s="5450"/>
      <c r="U190" s="5453"/>
      <c r="V190" s="120"/>
      <c r="W190" s="111"/>
      <c r="X190" s="111"/>
      <c r="Y190" s="111"/>
      <c r="Z190" s="120"/>
      <c r="AA190" s="111"/>
      <c r="AB190" s="111"/>
      <c r="AC190" s="111"/>
      <c r="AD190" s="120"/>
      <c r="AE190" s="111"/>
      <c r="AF190" s="112"/>
    </row>
    <row r="191" spans="1:32" ht="18" customHeight="1">
      <c r="A191" s="5123" t="s">
        <v>647</v>
      </c>
      <c r="B191" s="5449" t="s">
        <v>130</v>
      </c>
      <c r="C191" s="5450" t="s">
        <v>644</v>
      </c>
      <c r="D191" s="5450"/>
      <c r="E191" s="5451"/>
      <c r="F191" s="5452" t="s">
        <v>644</v>
      </c>
      <c r="G191" s="5450"/>
      <c r="H191" s="5450"/>
      <c r="I191" s="5451"/>
      <c r="J191" s="5452" t="s">
        <v>648</v>
      </c>
      <c r="K191" s="5450"/>
      <c r="L191" s="5450"/>
      <c r="M191" s="5451"/>
      <c r="N191" s="5452" t="s">
        <v>649</v>
      </c>
      <c r="O191" s="5450"/>
      <c r="P191" s="5450"/>
      <c r="Q191" s="5451"/>
      <c r="R191" s="5452" t="s">
        <v>650</v>
      </c>
      <c r="S191" s="5450"/>
      <c r="T191" s="5450"/>
      <c r="U191" s="5453"/>
      <c r="V191" s="120"/>
      <c r="W191" s="111"/>
      <c r="X191" s="111"/>
      <c r="Y191" s="111"/>
      <c r="Z191" s="120"/>
      <c r="AA191" s="111"/>
      <c r="AB191" s="111"/>
      <c r="AC191" s="111"/>
      <c r="AD191" s="120"/>
      <c r="AE191" s="111"/>
      <c r="AF191" s="112"/>
    </row>
    <row r="192" spans="1:32" ht="18" customHeight="1">
      <c r="A192" s="5123" t="s">
        <v>651</v>
      </c>
      <c r="B192" s="5449" t="s">
        <v>153</v>
      </c>
      <c r="C192" s="5450" t="s">
        <v>652</v>
      </c>
      <c r="D192" s="5450"/>
      <c r="E192" s="5451"/>
      <c r="F192" s="5452" t="s">
        <v>652</v>
      </c>
      <c r="G192" s="5450"/>
      <c r="H192" s="5450"/>
      <c r="I192" s="5451"/>
      <c r="J192" s="5452" t="s">
        <v>652</v>
      </c>
      <c r="K192" s="5450"/>
      <c r="L192" s="5450"/>
      <c r="M192" s="5451"/>
      <c r="N192" s="5452" t="s">
        <v>653</v>
      </c>
      <c r="O192" s="5450"/>
      <c r="P192" s="5450"/>
      <c r="Q192" s="5451"/>
      <c r="R192" s="5452" t="s">
        <v>650</v>
      </c>
      <c r="S192" s="5450"/>
      <c r="T192" s="5450"/>
      <c r="U192" s="5453"/>
      <c r="V192" s="120"/>
      <c r="W192" s="111"/>
      <c r="X192" s="111"/>
      <c r="Y192" s="111"/>
      <c r="Z192" s="120"/>
      <c r="AA192" s="111"/>
      <c r="AB192" s="111"/>
      <c r="AC192" s="111"/>
      <c r="AD192" s="120"/>
      <c r="AE192" s="111"/>
      <c r="AF192" s="112"/>
    </row>
    <row r="193" spans="1:32" ht="18" customHeight="1">
      <c r="A193" s="5454" t="s">
        <v>654</v>
      </c>
      <c r="B193" s="5449" t="s">
        <v>128</v>
      </c>
      <c r="C193" s="5450" t="s">
        <v>655</v>
      </c>
      <c r="D193" s="5450"/>
      <c r="E193" s="5451"/>
      <c r="F193" s="5452" t="s">
        <v>655</v>
      </c>
      <c r="G193" s="5450"/>
      <c r="H193" s="5450"/>
      <c r="I193" s="5451"/>
      <c r="J193" s="5452" t="s">
        <v>655</v>
      </c>
      <c r="K193" s="5450"/>
      <c r="L193" s="5450"/>
      <c r="M193" s="5451"/>
      <c r="N193" s="5452" t="s">
        <v>656</v>
      </c>
      <c r="O193" s="5450"/>
      <c r="P193" s="5450"/>
      <c r="Q193" s="5451"/>
      <c r="R193" s="5452" t="s">
        <v>650</v>
      </c>
      <c r="S193" s="5450"/>
      <c r="T193" s="5450"/>
      <c r="U193" s="5453"/>
      <c r="V193" s="120"/>
      <c r="W193" s="111"/>
      <c r="X193" s="111"/>
      <c r="Y193" s="111"/>
      <c r="Z193" s="120"/>
      <c r="AA193" s="111"/>
      <c r="AB193" s="111"/>
      <c r="AC193" s="111"/>
      <c r="AD193" s="120"/>
      <c r="AE193" s="111"/>
      <c r="AF193" s="112"/>
    </row>
    <row r="194" spans="1:32" ht="18" customHeight="1">
      <c r="A194" s="5123" t="s">
        <v>657</v>
      </c>
      <c r="B194" s="5449" t="s">
        <v>127</v>
      </c>
      <c r="C194" s="5450" t="s">
        <v>658</v>
      </c>
      <c r="D194" s="5450"/>
      <c r="E194" s="5451"/>
      <c r="F194" s="5452" t="s">
        <v>639</v>
      </c>
      <c r="G194" s="5450"/>
      <c r="H194" s="5450"/>
      <c r="I194" s="5451"/>
      <c r="J194" s="5452" t="s">
        <v>639</v>
      </c>
      <c r="K194" s="5450"/>
      <c r="L194" s="5450"/>
      <c r="M194" s="5451"/>
      <c r="N194" s="5452" t="s">
        <v>659</v>
      </c>
      <c r="O194" s="5450"/>
      <c r="P194" s="5450"/>
      <c r="Q194" s="5451"/>
      <c r="R194" s="5452" t="s">
        <v>650</v>
      </c>
      <c r="S194" s="5450"/>
      <c r="T194" s="5450"/>
      <c r="U194" s="5453"/>
      <c r="V194" s="111"/>
      <c r="W194" s="111"/>
      <c r="X194" s="111"/>
      <c r="Y194" s="111"/>
      <c r="Z194" s="120"/>
      <c r="AA194" s="111"/>
      <c r="AB194" s="111"/>
      <c r="AC194" s="111"/>
      <c r="AD194" s="120"/>
      <c r="AE194" s="111"/>
      <c r="AF194" s="112"/>
    </row>
    <row r="195" spans="1:32" ht="18" customHeight="1">
      <c r="A195" s="420" t="s">
        <v>660</v>
      </c>
      <c r="B195" s="5058" t="s">
        <v>123</v>
      </c>
      <c r="C195" s="5059" t="s">
        <v>661</v>
      </c>
      <c r="D195" s="5059"/>
      <c r="E195" s="5060"/>
      <c r="F195" s="5061" t="s">
        <v>661</v>
      </c>
      <c r="G195" s="5059"/>
      <c r="H195" s="5059"/>
      <c r="I195" s="5060"/>
      <c r="J195" s="5061" t="s">
        <v>661</v>
      </c>
      <c r="K195" s="5059"/>
      <c r="L195" s="5059"/>
      <c r="M195" s="5060"/>
      <c r="N195" s="5061" t="s">
        <v>662</v>
      </c>
      <c r="O195" s="5059"/>
      <c r="P195" s="5059"/>
      <c r="Q195" s="5060"/>
      <c r="R195" s="5061" t="s">
        <v>663</v>
      </c>
      <c r="S195" s="5059"/>
      <c r="T195" s="5059"/>
      <c r="U195" s="5062"/>
      <c r="V195" s="111"/>
      <c r="W195" s="111"/>
      <c r="X195" s="111"/>
      <c r="Y195" s="111"/>
      <c r="Z195" s="120"/>
      <c r="AA195" s="111"/>
      <c r="AB195" s="111"/>
      <c r="AC195" s="111"/>
      <c r="AD195" s="120"/>
      <c r="AE195" s="111"/>
      <c r="AF195" s="112"/>
    </row>
    <row r="196" spans="1:32" ht="18" customHeight="1">
      <c r="B196" s="1184"/>
      <c r="C196" s="1049"/>
      <c r="D196" s="1049"/>
      <c r="E196" s="1184"/>
      <c r="F196" s="1049"/>
      <c r="G196" s="1049"/>
      <c r="H196" s="1184"/>
      <c r="I196" s="1184"/>
      <c r="J196" s="1049"/>
      <c r="K196" s="1184"/>
      <c r="L196" s="1049"/>
      <c r="M196" s="1049"/>
      <c r="N196" s="1184"/>
      <c r="O196" s="1049"/>
      <c r="P196" s="1184"/>
      <c r="Q196" s="1184"/>
      <c r="R196" s="1049"/>
      <c r="S196" s="1049"/>
      <c r="T196" s="1184"/>
      <c r="U196" s="1049"/>
      <c r="V196" s="120"/>
      <c r="W196" s="120"/>
      <c r="X196" s="111"/>
      <c r="Y196" s="111"/>
      <c r="Z196" s="111"/>
      <c r="AA196" s="111"/>
      <c r="AB196" s="111"/>
      <c r="AC196" s="111"/>
      <c r="AD196" s="120"/>
      <c r="AE196" s="111"/>
      <c r="AF196" s="112"/>
    </row>
    <row r="197" spans="1:32" ht="18" customHeight="1">
      <c r="A197" s="648" t="s">
        <v>664</v>
      </c>
      <c r="B197" s="1250"/>
      <c r="C197" s="1243" t="s">
        <v>19</v>
      </c>
      <c r="D197" s="1244"/>
      <c r="E197" s="1055"/>
      <c r="F197" s="1245"/>
      <c r="G197" s="1243" t="s">
        <v>20</v>
      </c>
      <c r="H197" s="1244"/>
      <c r="I197" s="1055"/>
      <c r="J197" s="1245"/>
      <c r="K197" s="1243" t="s">
        <v>21</v>
      </c>
      <c r="L197" s="1244"/>
      <c r="M197" s="1055"/>
      <c r="N197" s="1245"/>
      <c r="O197" s="1243" t="s">
        <v>22</v>
      </c>
      <c r="P197" s="1244"/>
      <c r="Q197" s="1055"/>
      <c r="R197" s="1245"/>
      <c r="S197" s="1243" t="s">
        <v>23</v>
      </c>
      <c r="T197" s="1244"/>
      <c r="U197" s="1246"/>
      <c r="V197" s="111"/>
      <c r="W197" s="499"/>
      <c r="X197" s="111"/>
      <c r="Y197" s="111"/>
      <c r="Z197" s="111"/>
      <c r="AA197" s="499"/>
      <c r="AB197" s="111"/>
      <c r="AC197" s="111"/>
      <c r="AD197" s="499"/>
      <c r="AE197" s="111"/>
      <c r="AF197" s="111"/>
    </row>
    <row r="198" spans="1:32" ht="18" customHeight="1">
      <c r="A198" s="5123" t="s">
        <v>665</v>
      </c>
      <c r="B198" s="5449" t="s">
        <v>515</v>
      </c>
      <c r="C198" s="5455" t="s">
        <v>639</v>
      </c>
      <c r="D198" s="5455"/>
      <c r="E198" s="5456"/>
      <c r="F198" s="5452" t="s">
        <v>639</v>
      </c>
      <c r="G198" s="5450"/>
      <c r="H198" s="5450"/>
      <c r="I198" s="5451"/>
      <c r="J198" s="5452" t="s">
        <v>639</v>
      </c>
      <c r="K198" s="5450"/>
      <c r="L198" s="5450"/>
      <c r="M198" s="5451"/>
      <c r="N198" s="5452" t="s">
        <v>641</v>
      </c>
      <c r="O198" s="5450"/>
      <c r="P198" s="5450"/>
      <c r="Q198" s="5451"/>
      <c r="R198" s="5452" t="s">
        <v>642</v>
      </c>
      <c r="S198" s="5450"/>
      <c r="T198" s="5450"/>
      <c r="U198" s="5453"/>
      <c r="V198" s="111"/>
      <c r="W198" s="499"/>
      <c r="X198" s="111"/>
      <c r="Y198" s="111"/>
      <c r="Z198" s="111"/>
      <c r="AA198" s="499"/>
      <c r="AB198" s="111"/>
      <c r="AC198" s="111"/>
      <c r="AD198" s="499"/>
      <c r="AE198" s="111"/>
      <c r="AF198" s="111"/>
    </row>
    <row r="199" spans="1:32" ht="18" customHeight="1">
      <c r="A199" s="5123" t="s">
        <v>666</v>
      </c>
      <c r="B199" s="5449" t="s">
        <v>152</v>
      </c>
      <c r="C199" s="5455" t="s">
        <v>667</v>
      </c>
      <c r="D199" s="5455"/>
      <c r="E199" s="5456"/>
      <c r="F199" s="5452" t="s">
        <v>667</v>
      </c>
      <c r="G199" s="5450"/>
      <c r="H199" s="5450"/>
      <c r="I199" s="5451"/>
      <c r="J199" s="5452" t="s">
        <v>667</v>
      </c>
      <c r="K199" s="5450"/>
      <c r="L199" s="5450"/>
      <c r="M199" s="5451"/>
      <c r="N199" s="5452" t="s">
        <v>668</v>
      </c>
      <c r="O199" s="5450"/>
      <c r="P199" s="5450"/>
      <c r="Q199" s="5451"/>
      <c r="R199" s="5452" t="s">
        <v>669</v>
      </c>
      <c r="S199" s="5450"/>
      <c r="T199" s="5450"/>
      <c r="U199" s="5453"/>
      <c r="V199" s="120"/>
      <c r="W199" s="111"/>
      <c r="X199" s="111"/>
      <c r="Y199" s="111"/>
      <c r="Z199" s="120"/>
      <c r="AA199" s="111"/>
      <c r="AB199" s="111"/>
      <c r="AC199" s="111"/>
      <c r="AD199" s="120"/>
      <c r="AE199" s="111"/>
      <c r="AF199" s="112"/>
    </row>
    <row r="200" spans="1:32" ht="18" customHeight="1">
      <c r="A200" s="5123" t="s">
        <v>261</v>
      </c>
      <c r="B200" s="5449" t="s">
        <v>130</v>
      </c>
      <c r="C200" s="5455" t="s">
        <v>667</v>
      </c>
      <c r="D200" s="5455"/>
      <c r="E200" s="5456"/>
      <c r="F200" s="5452" t="s">
        <v>667</v>
      </c>
      <c r="G200" s="5450"/>
      <c r="H200" s="5450"/>
      <c r="I200" s="5451"/>
      <c r="J200" s="5452" t="s">
        <v>648</v>
      </c>
      <c r="K200" s="5450"/>
      <c r="L200" s="5450"/>
      <c r="M200" s="5451"/>
      <c r="N200" s="5452" t="s">
        <v>670</v>
      </c>
      <c r="O200" s="5450"/>
      <c r="P200" s="5450"/>
      <c r="Q200" s="5451"/>
      <c r="R200" s="5452" t="s">
        <v>650</v>
      </c>
      <c r="S200" s="5450"/>
      <c r="T200" s="5450"/>
      <c r="U200" s="5453"/>
      <c r="V200" s="120"/>
      <c r="W200" s="111"/>
      <c r="X200" s="111"/>
      <c r="Y200" s="111"/>
      <c r="Z200" s="120"/>
      <c r="AA200" s="111"/>
      <c r="AB200" s="111"/>
      <c r="AC200" s="111"/>
      <c r="AD200" s="120"/>
      <c r="AE200" s="111"/>
      <c r="AF200" s="112"/>
    </row>
    <row r="201" spans="1:32" ht="18" customHeight="1">
      <c r="A201" s="5123" t="s">
        <v>265</v>
      </c>
      <c r="B201" s="5449" t="s">
        <v>153</v>
      </c>
      <c r="C201" s="5457" t="s">
        <v>667</v>
      </c>
      <c r="D201" s="5458"/>
      <c r="E201" s="5459"/>
      <c r="F201" s="5452" t="s">
        <v>667</v>
      </c>
      <c r="G201" s="5450"/>
      <c r="H201" s="5450"/>
      <c r="I201" s="5451"/>
      <c r="J201" s="5452" t="s">
        <v>667</v>
      </c>
      <c r="K201" s="5450"/>
      <c r="L201" s="5450"/>
      <c r="M201" s="5451"/>
      <c r="N201" s="5452" t="s">
        <v>671</v>
      </c>
      <c r="O201" s="5450"/>
      <c r="P201" s="5450"/>
      <c r="Q201" s="5451"/>
      <c r="R201" s="5452" t="s">
        <v>650</v>
      </c>
      <c r="S201" s="5450"/>
      <c r="T201" s="5450"/>
      <c r="U201" s="5453"/>
      <c r="V201" s="120"/>
      <c r="W201" s="111"/>
      <c r="X201" s="111"/>
      <c r="Y201" s="111"/>
      <c r="Z201" s="120"/>
      <c r="AA201" s="111"/>
      <c r="AB201" s="111"/>
      <c r="AC201" s="111"/>
      <c r="AD201" s="120"/>
      <c r="AE201" s="111"/>
      <c r="AF201" s="112"/>
    </row>
    <row r="202" spans="1:32" ht="18" customHeight="1">
      <c r="A202" s="5454" t="s">
        <v>272</v>
      </c>
      <c r="B202" s="5449" t="s">
        <v>128</v>
      </c>
      <c r="C202" s="5457" t="s">
        <v>667</v>
      </c>
      <c r="D202" s="5458"/>
      <c r="E202" s="5459"/>
      <c r="F202" s="5452" t="s">
        <v>667</v>
      </c>
      <c r="G202" s="5450"/>
      <c r="H202" s="5450"/>
      <c r="I202" s="5451"/>
      <c r="J202" s="5452" t="s">
        <v>667</v>
      </c>
      <c r="K202" s="5450"/>
      <c r="L202" s="5450"/>
      <c r="M202" s="5451"/>
      <c r="N202" s="5452" t="s">
        <v>671</v>
      </c>
      <c r="O202" s="5450"/>
      <c r="P202" s="5450"/>
      <c r="Q202" s="5451"/>
      <c r="R202" s="5452" t="s">
        <v>650</v>
      </c>
      <c r="S202" s="5450"/>
      <c r="T202" s="5450"/>
      <c r="U202" s="5453"/>
      <c r="V202" s="120"/>
      <c r="W202" s="111"/>
      <c r="X202" s="111"/>
      <c r="Y202" s="111"/>
      <c r="Z202" s="120"/>
      <c r="AA202" s="111"/>
      <c r="AB202" s="111"/>
      <c r="AC202" s="111"/>
      <c r="AD202" s="120"/>
      <c r="AE202" s="111"/>
      <c r="AF202" s="112"/>
    </row>
    <row r="203" spans="1:32" ht="18" customHeight="1">
      <c r="A203" s="5123" t="s">
        <v>275</v>
      </c>
      <c r="B203" s="5449" t="s">
        <v>127</v>
      </c>
      <c r="C203" s="5457" t="s">
        <v>667</v>
      </c>
      <c r="D203" s="5458"/>
      <c r="E203" s="5459"/>
      <c r="F203" s="5452" t="s">
        <v>667</v>
      </c>
      <c r="G203" s="5450"/>
      <c r="H203" s="5450"/>
      <c r="I203" s="5451"/>
      <c r="J203" s="5452" t="s">
        <v>667</v>
      </c>
      <c r="K203" s="5450"/>
      <c r="L203" s="5450"/>
      <c r="M203" s="5451"/>
      <c r="N203" s="5452" t="s">
        <v>668</v>
      </c>
      <c r="O203" s="5450"/>
      <c r="P203" s="5450"/>
      <c r="Q203" s="5451"/>
      <c r="R203" s="5452" t="s">
        <v>669</v>
      </c>
      <c r="S203" s="5450"/>
      <c r="T203" s="5450"/>
      <c r="U203" s="5453"/>
      <c r="V203" s="120"/>
      <c r="W203" s="111"/>
      <c r="X203" s="111"/>
      <c r="Y203" s="111"/>
      <c r="Z203" s="120"/>
      <c r="AA203" s="111"/>
      <c r="AB203" s="111"/>
      <c r="AC203" s="111"/>
      <c r="AD203" s="120"/>
      <c r="AE203" s="111"/>
      <c r="AF203" s="112"/>
    </row>
    <row r="204" spans="1:32" ht="18" customHeight="1">
      <c r="A204" s="420" t="s">
        <v>280</v>
      </c>
      <c r="B204" s="5058" t="s">
        <v>123</v>
      </c>
      <c r="C204" s="5068" t="s">
        <v>661</v>
      </c>
      <c r="D204" s="5069"/>
      <c r="E204" s="5070"/>
      <c r="F204" s="5061" t="s">
        <v>661</v>
      </c>
      <c r="G204" s="5059"/>
      <c r="H204" s="5059"/>
      <c r="I204" s="5060"/>
      <c r="J204" s="5061" t="s">
        <v>661</v>
      </c>
      <c r="K204" s="5059"/>
      <c r="L204" s="5059"/>
      <c r="M204" s="5060"/>
      <c r="N204" s="5061" t="s">
        <v>662</v>
      </c>
      <c r="O204" s="5059"/>
      <c r="P204" s="5059"/>
      <c r="Q204" s="5060"/>
      <c r="R204" s="5061" t="s">
        <v>663</v>
      </c>
      <c r="S204" s="5059"/>
      <c r="T204" s="5059"/>
      <c r="U204" s="5062"/>
      <c r="V204" s="111"/>
      <c r="W204" s="111"/>
      <c r="X204" s="111"/>
      <c r="Y204" s="111"/>
      <c r="Z204" s="120"/>
      <c r="AA204" s="111"/>
      <c r="AB204" s="111"/>
      <c r="AC204" s="111"/>
      <c r="AD204" s="120"/>
      <c r="AE204" s="111"/>
      <c r="AF204" s="112"/>
    </row>
    <row r="205" spans="1:32" ht="18" customHeight="1">
      <c r="A205" s="111"/>
      <c r="B205" s="1335"/>
      <c r="C205" s="1336"/>
      <c r="D205" s="1336"/>
      <c r="E205" s="1335"/>
      <c r="F205" s="1337"/>
      <c r="G205" s="1336"/>
      <c r="H205" s="1335"/>
      <c r="I205" s="1335"/>
      <c r="J205" s="1337"/>
      <c r="K205" s="1336"/>
      <c r="L205" s="1335"/>
      <c r="M205" s="1335"/>
      <c r="N205" s="1337"/>
      <c r="O205" s="1336"/>
      <c r="P205" s="1335"/>
      <c r="Q205" s="1335"/>
      <c r="R205" s="1337"/>
      <c r="S205" s="1336"/>
      <c r="T205" s="1335"/>
      <c r="U205" s="1335"/>
      <c r="V205" s="111"/>
      <c r="W205" s="111"/>
      <c r="X205" s="111"/>
      <c r="Y205" s="111"/>
      <c r="Z205" s="120"/>
      <c r="AA205" s="111"/>
      <c r="AB205" s="111"/>
      <c r="AC205" s="111"/>
      <c r="AD205" s="120"/>
      <c r="AE205" s="111"/>
      <c r="AF205" s="112"/>
    </row>
    <row r="206" spans="1:32" ht="18" customHeight="1">
      <c r="A206" s="887" t="s">
        <v>613</v>
      </c>
      <c r="B206" s="389">
        <v>1</v>
      </c>
      <c r="C206" s="390">
        <v>2</v>
      </c>
      <c r="D206" s="390">
        <v>3</v>
      </c>
      <c r="E206" s="390">
        <v>4</v>
      </c>
      <c r="F206" s="390">
        <v>5</v>
      </c>
      <c r="G206" s="390">
        <v>6</v>
      </c>
      <c r="H206" s="389">
        <v>7</v>
      </c>
      <c r="I206" s="389">
        <v>8</v>
      </c>
      <c r="J206" s="390">
        <v>9</v>
      </c>
      <c r="K206" s="390">
        <v>10</v>
      </c>
      <c r="L206" s="390">
        <v>11</v>
      </c>
      <c r="M206" s="390">
        <v>12</v>
      </c>
      <c r="N206" s="390">
        <v>13</v>
      </c>
      <c r="O206" s="389">
        <v>14</v>
      </c>
      <c r="P206" s="389">
        <v>15</v>
      </c>
      <c r="Q206" s="390">
        <v>16</v>
      </c>
      <c r="R206" s="390">
        <v>17</v>
      </c>
      <c r="S206" s="390">
        <v>18</v>
      </c>
      <c r="T206" s="390">
        <v>19</v>
      </c>
      <c r="U206" s="390">
        <v>20</v>
      </c>
      <c r="V206" s="389">
        <v>21</v>
      </c>
      <c r="W206" s="389">
        <v>22</v>
      </c>
      <c r="X206" s="390">
        <v>23</v>
      </c>
      <c r="Y206" s="390">
        <v>24</v>
      </c>
      <c r="Z206" s="390">
        <v>25</v>
      </c>
      <c r="AA206" s="390">
        <v>26</v>
      </c>
      <c r="AB206" s="390">
        <v>27</v>
      </c>
      <c r="AC206" s="389">
        <v>28</v>
      </c>
      <c r="AD206" s="389">
        <v>29</v>
      </c>
      <c r="AE206" s="390">
        <v>30</v>
      </c>
      <c r="AF206" s="1338">
        <v>31</v>
      </c>
    </row>
    <row r="207" spans="1:32" ht="18" customHeight="1">
      <c r="A207" s="1339" t="s">
        <v>689</v>
      </c>
      <c r="B207" s="783"/>
      <c r="C207" s="783" t="s">
        <v>257</v>
      </c>
      <c r="D207" s="783" t="s">
        <v>257</v>
      </c>
      <c r="E207" s="783" t="s">
        <v>257</v>
      </c>
      <c r="F207" s="783" t="s">
        <v>257</v>
      </c>
      <c r="G207" s="783" t="s">
        <v>257</v>
      </c>
      <c r="H207" s="783"/>
      <c r="I207" s="783"/>
      <c r="J207" s="783" t="s">
        <v>257</v>
      </c>
      <c r="K207" s="783" t="s">
        <v>257</v>
      </c>
      <c r="L207" s="783" t="s">
        <v>257</v>
      </c>
      <c r="M207" s="783" t="s">
        <v>257</v>
      </c>
      <c r="N207" s="783" t="s">
        <v>257</v>
      </c>
      <c r="O207" s="783"/>
      <c r="P207" s="783"/>
      <c r="Q207" s="783" t="s">
        <v>257</v>
      </c>
      <c r="R207" s="783" t="s">
        <v>257</v>
      </c>
      <c r="S207" s="783" t="s">
        <v>257</v>
      </c>
      <c r="T207" s="783" t="s">
        <v>257</v>
      </c>
      <c r="U207" s="783" t="s">
        <v>257</v>
      </c>
      <c r="V207" s="783"/>
      <c r="W207" s="783"/>
      <c r="X207" s="783" t="s">
        <v>257</v>
      </c>
      <c r="Y207" s="783" t="s">
        <v>257</v>
      </c>
      <c r="Z207" s="783" t="s">
        <v>257</v>
      </c>
      <c r="AA207" s="783" t="s">
        <v>257</v>
      </c>
      <c r="AB207" s="783" t="s">
        <v>257</v>
      </c>
      <c r="AC207" s="783"/>
      <c r="AD207" s="783"/>
      <c r="AE207" s="783" t="s">
        <v>257</v>
      </c>
      <c r="AF207" s="784" t="s">
        <v>690</v>
      </c>
    </row>
    <row r="208" spans="1:32" ht="18" customHeight="1">
      <c r="A208" s="1340" t="s">
        <v>293</v>
      </c>
      <c r="B208" s="319"/>
      <c r="C208" s="319" t="s">
        <v>152</v>
      </c>
      <c r="D208" s="319" t="s">
        <v>152</v>
      </c>
      <c r="E208" s="319" t="s">
        <v>152</v>
      </c>
      <c r="F208" s="319" t="s">
        <v>152</v>
      </c>
      <c r="G208" s="319" t="s">
        <v>152</v>
      </c>
      <c r="H208" s="319"/>
      <c r="I208" s="319"/>
      <c r="J208" s="319" t="s">
        <v>152</v>
      </c>
      <c r="K208" s="319" t="s">
        <v>152</v>
      </c>
      <c r="L208" s="319" t="s">
        <v>152</v>
      </c>
      <c r="M208" s="319" t="s">
        <v>152</v>
      </c>
      <c r="N208" s="319" t="s">
        <v>152</v>
      </c>
      <c r="O208" s="319"/>
      <c r="P208" s="319"/>
      <c r="Q208" s="319" t="s">
        <v>152</v>
      </c>
      <c r="R208" s="319" t="s">
        <v>152</v>
      </c>
      <c r="S208" s="319" t="s">
        <v>152</v>
      </c>
      <c r="T208" s="319" t="s">
        <v>152</v>
      </c>
      <c r="U208" s="319" t="s">
        <v>152</v>
      </c>
      <c r="V208" s="319"/>
      <c r="W208" s="319"/>
      <c r="X208" s="468" t="s">
        <v>152</v>
      </c>
      <c r="Y208" s="468" t="s">
        <v>152</v>
      </c>
      <c r="Z208" s="468" t="s">
        <v>152</v>
      </c>
      <c r="AA208" s="468" t="s">
        <v>152</v>
      </c>
      <c r="AB208" s="468" t="s">
        <v>152</v>
      </c>
      <c r="AC208" s="468"/>
      <c r="AD208" s="468"/>
      <c r="AE208" s="319" t="s">
        <v>152</v>
      </c>
      <c r="AF208" s="1341" t="s">
        <v>152</v>
      </c>
    </row>
    <row r="209" spans="1:32" ht="18" customHeight="1">
      <c r="A209" s="1340" t="s">
        <v>575</v>
      </c>
      <c r="B209" s="339"/>
      <c r="C209" s="339" t="s">
        <v>130</v>
      </c>
      <c r="D209" s="339" t="s">
        <v>130</v>
      </c>
      <c r="E209" s="339" t="s">
        <v>130</v>
      </c>
      <c r="F209" s="339" t="s">
        <v>130</v>
      </c>
      <c r="G209" s="339" t="s">
        <v>130</v>
      </c>
      <c r="H209" s="343"/>
      <c r="I209" s="343"/>
      <c r="J209" s="343" t="s">
        <v>130</v>
      </c>
      <c r="K209" s="343" t="s">
        <v>130</v>
      </c>
      <c r="L209" s="343" t="s">
        <v>130</v>
      </c>
      <c r="M209" s="343" t="s">
        <v>130</v>
      </c>
      <c r="N209" s="343" t="s">
        <v>130</v>
      </c>
      <c r="O209" s="343"/>
      <c r="P209" s="343"/>
      <c r="Q209" s="339" t="s">
        <v>130</v>
      </c>
      <c r="R209" s="339" t="s">
        <v>130</v>
      </c>
      <c r="S209" s="339" t="s">
        <v>130</v>
      </c>
      <c r="T209" s="339" t="s">
        <v>130</v>
      </c>
      <c r="U209" s="339" t="s">
        <v>130</v>
      </c>
      <c r="V209" s="339"/>
      <c r="W209" s="339"/>
      <c r="X209" s="339" t="s">
        <v>130</v>
      </c>
      <c r="Y209" s="339" t="s">
        <v>130</v>
      </c>
      <c r="Z209" s="339" t="s">
        <v>130</v>
      </c>
      <c r="AA209" s="339" t="s">
        <v>130</v>
      </c>
      <c r="AB209" s="339" t="s">
        <v>130</v>
      </c>
      <c r="AC209" s="339"/>
      <c r="AD209" s="339"/>
      <c r="AE209" s="339" t="s">
        <v>130</v>
      </c>
      <c r="AF209" s="380" t="s">
        <v>130</v>
      </c>
    </row>
    <row r="210" spans="1:32" ht="18" customHeight="1">
      <c r="A210" s="1001" t="s">
        <v>295</v>
      </c>
      <c r="B210" s="319"/>
      <c r="C210" s="319" t="s">
        <v>153</v>
      </c>
      <c r="D210" s="319" t="s">
        <v>153</v>
      </c>
      <c r="E210" s="319" t="s">
        <v>153</v>
      </c>
      <c r="F210" s="319" t="s">
        <v>153</v>
      </c>
      <c r="G210" s="319" t="s">
        <v>153</v>
      </c>
      <c r="H210" s="319"/>
      <c r="I210" s="319"/>
      <c r="J210" s="319" t="s">
        <v>153</v>
      </c>
      <c r="K210" s="319" t="s">
        <v>153</v>
      </c>
      <c r="L210" s="319" t="s">
        <v>153</v>
      </c>
      <c r="M210" s="319" t="s">
        <v>153</v>
      </c>
      <c r="N210" s="319" t="s">
        <v>153</v>
      </c>
      <c r="O210" s="319"/>
      <c r="P210" s="319"/>
      <c r="Q210" s="319" t="s">
        <v>153</v>
      </c>
      <c r="R210" s="319" t="s">
        <v>153</v>
      </c>
      <c r="S210" s="319" t="s">
        <v>153</v>
      </c>
      <c r="T210" s="319" t="s">
        <v>153</v>
      </c>
      <c r="U210" s="319" t="s">
        <v>153</v>
      </c>
      <c r="V210" s="319"/>
      <c r="W210" s="319"/>
      <c r="X210" s="319" t="s">
        <v>153</v>
      </c>
      <c r="Y210" s="319" t="s">
        <v>153</v>
      </c>
      <c r="Z210" s="319" t="s">
        <v>153</v>
      </c>
      <c r="AA210" s="319" t="s">
        <v>153</v>
      </c>
      <c r="AB210" s="319" t="s">
        <v>153</v>
      </c>
      <c r="AC210" s="319"/>
      <c r="AD210" s="319"/>
      <c r="AE210" s="319" t="s">
        <v>153</v>
      </c>
      <c r="AF210" s="1341" t="s">
        <v>153</v>
      </c>
    </row>
    <row r="211" spans="1:32" ht="18" customHeight="1">
      <c r="A211" s="1282" t="s">
        <v>553</v>
      </c>
      <c r="B211" s="319"/>
      <c r="C211" s="319" t="s">
        <v>128</v>
      </c>
      <c r="D211" s="319" t="s">
        <v>128</v>
      </c>
      <c r="E211" s="319" t="s">
        <v>128</v>
      </c>
      <c r="F211" s="319" t="s">
        <v>128</v>
      </c>
      <c r="G211" s="319" t="s">
        <v>128</v>
      </c>
      <c r="H211" s="319"/>
      <c r="I211" s="319"/>
      <c r="J211" s="319" t="s">
        <v>128</v>
      </c>
      <c r="K211" s="319" t="s">
        <v>128</v>
      </c>
      <c r="L211" s="319" t="s">
        <v>128</v>
      </c>
      <c r="M211" s="319" t="s">
        <v>128</v>
      </c>
      <c r="N211" s="319" t="s">
        <v>128</v>
      </c>
      <c r="O211" s="319"/>
      <c r="P211" s="319"/>
      <c r="Q211" s="319" t="s">
        <v>128</v>
      </c>
      <c r="R211" s="319" t="s">
        <v>128</v>
      </c>
      <c r="S211" s="319" t="s">
        <v>128</v>
      </c>
      <c r="T211" s="319" t="s">
        <v>128</v>
      </c>
      <c r="U211" s="319" t="s">
        <v>128</v>
      </c>
      <c r="V211" s="319"/>
      <c r="W211" s="319"/>
      <c r="X211" s="319" t="s">
        <v>128</v>
      </c>
      <c r="Y211" s="319" t="s">
        <v>128</v>
      </c>
      <c r="Z211" s="319" t="s">
        <v>128</v>
      </c>
      <c r="AA211" s="319" t="s">
        <v>128</v>
      </c>
      <c r="AB211" s="319" t="s">
        <v>128</v>
      </c>
      <c r="AC211" s="319"/>
      <c r="AD211" s="319"/>
      <c r="AE211" s="319" t="s">
        <v>128</v>
      </c>
      <c r="AF211" s="1341" t="s">
        <v>128</v>
      </c>
    </row>
    <row r="212" spans="1:32" ht="18" customHeight="1">
      <c r="A212" s="1001" t="s">
        <v>298</v>
      </c>
      <c r="B212" s="319"/>
      <c r="C212" s="319" t="s">
        <v>127</v>
      </c>
      <c r="D212" s="319" t="s">
        <v>127</v>
      </c>
      <c r="E212" s="319" t="s">
        <v>127</v>
      </c>
      <c r="F212" s="319" t="s">
        <v>127</v>
      </c>
      <c r="G212" s="319" t="s">
        <v>127</v>
      </c>
      <c r="H212" s="319"/>
      <c r="I212" s="319"/>
      <c r="J212" s="319" t="s">
        <v>127</v>
      </c>
      <c r="K212" s="319" t="s">
        <v>127</v>
      </c>
      <c r="L212" s="319" t="s">
        <v>127</v>
      </c>
      <c r="M212" s="319" t="s">
        <v>127</v>
      </c>
      <c r="N212" s="319" t="s">
        <v>127</v>
      </c>
      <c r="O212" s="319"/>
      <c r="P212" s="319"/>
      <c r="Q212" s="319" t="s">
        <v>127</v>
      </c>
      <c r="R212" s="319" t="s">
        <v>127</v>
      </c>
      <c r="S212" s="319" t="s">
        <v>127</v>
      </c>
      <c r="T212" s="319" t="s">
        <v>127</v>
      </c>
      <c r="U212" s="319" t="s">
        <v>127</v>
      </c>
      <c r="V212" s="319"/>
      <c r="W212" s="319"/>
      <c r="X212" s="319" t="s">
        <v>127</v>
      </c>
      <c r="Y212" s="319" t="s">
        <v>127</v>
      </c>
      <c r="Z212" s="319" t="s">
        <v>127</v>
      </c>
      <c r="AA212" s="319" t="s">
        <v>127</v>
      </c>
      <c r="AB212" s="319" t="s">
        <v>127</v>
      </c>
      <c r="AC212" s="319"/>
      <c r="AD212" s="319"/>
      <c r="AE212" s="319" t="s">
        <v>127</v>
      </c>
      <c r="AF212" s="1341" t="s">
        <v>127</v>
      </c>
    </row>
    <row r="213" spans="1:32" ht="18" customHeight="1">
      <c r="A213" s="401" t="s">
        <v>299</v>
      </c>
      <c r="B213" s="376"/>
      <c r="C213" s="376" t="s">
        <v>123</v>
      </c>
      <c r="D213" s="376" t="s">
        <v>123</v>
      </c>
      <c r="E213" s="376" t="s">
        <v>123</v>
      </c>
      <c r="F213" s="376" t="s">
        <v>123</v>
      </c>
      <c r="G213" s="376" t="s">
        <v>123</v>
      </c>
      <c r="H213" s="376"/>
      <c r="I213" s="376"/>
      <c r="J213" s="376" t="s">
        <v>123</v>
      </c>
      <c r="K213" s="376" t="s">
        <v>123</v>
      </c>
      <c r="L213" s="376" t="s">
        <v>123</v>
      </c>
      <c r="M213" s="376" t="s">
        <v>123</v>
      </c>
      <c r="N213" s="376" t="s">
        <v>123</v>
      </c>
      <c r="O213" s="376"/>
      <c r="P213" s="376"/>
      <c r="Q213" s="376" t="s">
        <v>123</v>
      </c>
      <c r="R213" s="376" t="s">
        <v>123</v>
      </c>
      <c r="S213" s="376" t="s">
        <v>123</v>
      </c>
      <c r="T213" s="376" t="s">
        <v>123</v>
      </c>
      <c r="U213" s="376" t="s">
        <v>123</v>
      </c>
      <c r="V213" s="376"/>
      <c r="W213" s="376"/>
      <c r="X213" s="376" t="s">
        <v>123</v>
      </c>
      <c r="Y213" s="376" t="s">
        <v>123</v>
      </c>
      <c r="Z213" s="376" t="s">
        <v>123</v>
      </c>
      <c r="AA213" s="376" t="s">
        <v>123</v>
      </c>
      <c r="AB213" s="376" t="s">
        <v>123</v>
      </c>
      <c r="AC213" s="376"/>
      <c r="AD213" s="376"/>
      <c r="AE213" s="376" t="s">
        <v>123</v>
      </c>
      <c r="AF213" s="1342" t="s">
        <v>123</v>
      </c>
    </row>
    <row r="214" spans="1:32" ht="18" customHeight="1">
      <c r="A214" s="125"/>
      <c r="B214" s="124"/>
      <c r="C214" s="124"/>
      <c r="D214" s="124"/>
      <c r="E214" s="124"/>
      <c r="F214" s="124"/>
      <c r="G214" s="124"/>
      <c r="H214" s="124"/>
      <c r="I214" s="124"/>
      <c r="J214" s="124"/>
      <c r="K214" s="124"/>
      <c r="L214" s="124"/>
      <c r="M214" s="124"/>
      <c r="N214" s="124"/>
      <c r="O214" s="124"/>
      <c r="P214" s="124"/>
      <c r="Q214" s="124"/>
      <c r="R214" s="124"/>
      <c r="S214" s="124"/>
      <c r="T214" s="124"/>
      <c r="U214" s="124"/>
      <c r="V214" s="124"/>
      <c r="W214" s="124"/>
      <c r="X214" s="124"/>
      <c r="Y214" s="124"/>
      <c r="Z214" s="124"/>
      <c r="AA214" s="124"/>
      <c r="AB214" s="124"/>
      <c r="AC214" s="124"/>
      <c r="AD214" s="124"/>
      <c r="AE214" s="124"/>
    </row>
    <row r="215" spans="1:32" ht="18" customHeight="1"/>
    <row r="216" spans="1:32" ht="18" customHeight="1">
      <c r="A216" s="2908" t="s">
        <v>615</v>
      </c>
      <c r="B216" s="2765"/>
      <c r="C216" s="2788" t="s">
        <v>19</v>
      </c>
      <c r="D216" s="3064"/>
      <c r="E216" s="2769"/>
      <c r="F216" s="2765"/>
      <c r="G216" s="2788" t="s">
        <v>20</v>
      </c>
      <c r="H216" s="3064"/>
      <c r="I216" s="2769"/>
      <c r="J216" s="2765"/>
      <c r="K216" s="2788" t="s">
        <v>21</v>
      </c>
      <c r="L216" s="3064"/>
      <c r="M216" s="2769"/>
      <c r="N216" s="2765"/>
      <c r="O216" s="2788" t="s">
        <v>22</v>
      </c>
      <c r="P216" s="3064"/>
      <c r="Q216" s="2769"/>
      <c r="R216" s="2765"/>
      <c r="S216" s="2788" t="s">
        <v>23</v>
      </c>
      <c r="T216" s="3064"/>
      <c r="U216" s="2769"/>
      <c r="V216" s="2765"/>
      <c r="W216" s="2788" t="s">
        <v>24</v>
      </c>
      <c r="X216" s="3064"/>
      <c r="Y216" s="2769"/>
      <c r="Z216" s="2765"/>
      <c r="AA216" s="2788" t="s">
        <v>25</v>
      </c>
      <c r="AB216" s="3064"/>
      <c r="AC216" s="3064"/>
      <c r="AD216" s="2791"/>
      <c r="AE216" s="3064"/>
      <c r="AF216" s="3064"/>
    </row>
    <row r="217" spans="1:32" ht="18" customHeight="1">
      <c r="A217" s="5460" t="s">
        <v>210</v>
      </c>
      <c r="B217" s="543" t="s">
        <v>332</v>
      </c>
      <c r="C217" s="539"/>
      <c r="D217" s="544"/>
      <c r="E217" s="545"/>
      <c r="F217" s="543" t="s">
        <v>332</v>
      </c>
      <c r="G217" s="539"/>
      <c r="H217" s="544"/>
      <c r="I217" s="545"/>
      <c r="J217" s="543" t="s">
        <v>332</v>
      </c>
      <c r="K217" s="539"/>
      <c r="L217" s="544"/>
      <c r="M217" s="545"/>
      <c r="N217" s="543" t="s">
        <v>332</v>
      </c>
      <c r="O217" s="546"/>
      <c r="P217" s="544"/>
      <c r="Q217" s="545"/>
      <c r="R217" s="547" t="s">
        <v>333</v>
      </c>
      <c r="S217" s="539"/>
      <c r="T217" s="544"/>
      <c r="U217" s="545"/>
      <c r="V217" s="541"/>
      <c r="W217" s="539"/>
      <c r="X217" s="531"/>
      <c r="Y217" s="540"/>
      <c r="Z217" s="541"/>
      <c r="AA217" s="539"/>
      <c r="AB217" s="531"/>
      <c r="AC217" s="531"/>
      <c r="AD217" s="542"/>
      <c r="AE217" s="531"/>
      <c r="AF217" s="516"/>
    </row>
    <row r="218" spans="1:32" ht="18" customHeight="1">
      <c r="A218" s="5460" t="s">
        <v>212</v>
      </c>
      <c r="B218" s="543" t="s">
        <v>334</v>
      </c>
      <c r="C218" s="539"/>
      <c r="D218" s="544"/>
      <c r="E218" s="545"/>
      <c r="F218" s="543" t="s">
        <v>334</v>
      </c>
      <c r="G218" s="539"/>
      <c r="H218" s="544"/>
      <c r="I218" s="545"/>
      <c r="J218" s="543" t="s">
        <v>334</v>
      </c>
      <c r="K218" s="539"/>
      <c r="L218" s="544"/>
      <c r="M218" s="545"/>
      <c r="N218" s="543" t="s">
        <v>334</v>
      </c>
      <c r="O218" s="539"/>
      <c r="P218" s="544"/>
      <c r="Q218" s="545"/>
      <c r="R218" s="543" t="s">
        <v>335</v>
      </c>
      <c r="S218" s="539"/>
      <c r="T218" s="544"/>
      <c r="U218" s="545"/>
      <c r="V218" s="541"/>
      <c r="W218" s="539"/>
      <c r="X218" s="531"/>
      <c r="Y218" s="540"/>
      <c r="Z218" s="541"/>
      <c r="AA218" s="539"/>
      <c r="AB218" s="531"/>
      <c r="AC218" s="531"/>
      <c r="AD218" s="542"/>
      <c r="AE218" s="531"/>
      <c r="AF218" s="516"/>
    </row>
    <row r="219" spans="1:32" ht="18" customHeight="1">
      <c r="A219" s="5461" t="s">
        <v>336</v>
      </c>
      <c r="B219" s="5439" t="s">
        <v>334</v>
      </c>
      <c r="C219" s="5462"/>
      <c r="D219" s="544"/>
      <c r="E219" s="545"/>
      <c r="F219" s="5439" t="s">
        <v>334</v>
      </c>
      <c r="G219" s="5462"/>
      <c r="H219" s="544"/>
      <c r="I219" s="545"/>
      <c r="J219" s="5439" t="s">
        <v>334</v>
      </c>
      <c r="K219" s="5462"/>
      <c r="L219" s="544"/>
      <c r="M219" s="545"/>
      <c r="N219" s="5439" t="s">
        <v>334</v>
      </c>
      <c r="O219" s="5462"/>
      <c r="P219" s="544"/>
      <c r="Q219" s="545"/>
      <c r="R219" s="5439" t="s">
        <v>335</v>
      </c>
      <c r="S219" s="539"/>
      <c r="T219" s="544"/>
      <c r="U219" s="545"/>
      <c r="V219" s="541"/>
      <c r="W219" s="539"/>
      <c r="X219" s="531"/>
      <c r="Y219" s="540"/>
      <c r="Z219" s="541"/>
      <c r="AA219" s="539"/>
      <c r="AB219" s="531"/>
      <c r="AC219" s="531"/>
      <c r="AD219" s="542"/>
      <c r="AE219" s="531"/>
      <c r="AF219" s="516"/>
    </row>
    <row r="220" spans="1:32" ht="18" customHeight="1">
      <c r="A220" s="37"/>
      <c r="B220" s="42"/>
      <c r="C220" s="5"/>
      <c r="F220" s="42"/>
      <c r="G220" s="5"/>
      <c r="J220" s="42"/>
      <c r="K220" s="5"/>
      <c r="N220" s="42"/>
      <c r="O220" s="5"/>
      <c r="R220" s="42"/>
      <c r="S220" s="42"/>
      <c r="W220" s="42"/>
      <c r="AA220" s="42"/>
      <c r="AD220" s="42"/>
    </row>
    <row r="221" spans="1:32" ht="18" customHeight="1"/>
    <row r="222" spans="1:32" ht="18" customHeight="1">
      <c r="A222" s="647" t="s">
        <v>615</v>
      </c>
      <c r="B222" s="866">
        <v>1</v>
      </c>
      <c r="C222" s="865">
        <v>2</v>
      </c>
      <c r="D222" s="865">
        <v>3</v>
      </c>
      <c r="E222" s="865">
        <v>4</v>
      </c>
      <c r="F222" s="865">
        <v>5</v>
      </c>
      <c r="G222" s="865">
        <v>6</v>
      </c>
      <c r="H222" s="866">
        <v>7</v>
      </c>
      <c r="I222" s="866">
        <v>8</v>
      </c>
      <c r="J222" s="865">
        <v>9</v>
      </c>
      <c r="K222" s="865">
        <v>10</v>
      </c>
      <c r="L222" s="865">
        <v>11</v>
      </c>
      <c r="M222" s="865">
        <v>12</v>
      </c>
      <c r="N222" s="865">
        <v>13</v>
      </c>
      <c r="O222" s="866">
        <v>14</v>
      </c>
      <c r="P222" s="866">
        <v>15</v>
      </c>
      <c r="Q222" s="865">
        <v>16</v>
      </c>
      <c r="R222" s="865">
        <v>17</v>
      </c>
      <c r="S222" s="865">
        <v>18</v>
      </c>
      <c r="T222" s="865">
        <v>19</v>
      </c>
      <c r="U222" s="865">
        <v>20</v>
      </c>
      <c r="V222" s="866">
        <v>21</v>
      </c>
      <c r="W222" s="866">
        <v>22</v>
      </c>
      <c r="X222" s="865">
        <v>23</v>
      </c>
      <c r="Y222" s="865">
        <v>24</v>
      </c>
      <c r="Z222" s="865">
        <v>25</v>
      </c>
      <c r="AA222" s="865">
        <v>26</v>
      </c>
      <c r="AB222" s="865">
        <v>27</v>
      </c>
      <c r="AC222" s="866">
        <v>28</v>
      </c>
      <c r="AD222" s="866">
        <v>29</v>
      </c>
      <c r="AE222" s="865">
        <v>30</v>
      </c>
      <c r="AF222" s="867">
        <v>31</v>
      </c>
    </row>
    <row r="223" spans="1:32" ht="18" customHeight="1">
      <c r="A223" s="4744" t="s">
        <v>338</v>
      </c>
      <c r="B223" s="3089"/>
      <c r="C223" s="3089" t="s">
        <v>40</v>
      </c>
      <c r="D223" s="3089" t="s">
        <v>40</v>
      </c>
      <c r="E223" s="3089" t="s">
        <v>40</v>
      </c>
      <c r="F223" s="3089" t="s">
        <v>40</v>
      </c>
      <c r="G223" s="3089" t="s">
        <v>40</v>
      </c>
      <c r="H223" s="3089"/>
      <c r="I223" s="3089"/>
      <c r="J223" s="3089" t="s">
        <v>40</v>
      </c>
      <c r="K223" s="3089" t="s">
        <v>40</v>
      </c>
      <c r="L223" s="3089" t="s">
        <v>40</v>
      </c>
      <c r="M223" s="3089" t="s">
        <v>40</v>
      </c>
      <c r="N223" s="3089" t="s">
        <v>40</v>
      </c>
      <c r="O223" s="3089"/>
      <c r="P223" s="3089"/>
      <c r="Q223" s="3089" t="s">
        <v>40</v>
      </c>
      <c r="R223" s="3089" t="s">
        <v>40</v>
      </c>
      <c r="S223" s="3089" t="s">
        <v>40</v>
      </c>
      <c r="T223" s="3089" t="s">
        <v>40</v>
      </c>
      <c r="U223" s="3089" t="s">
        <v>40</v>
      </c>
      <c r="V223" s="3089"/>
      <c r="W223" s="3089"/>
      <c r="X223" s="2816" t="s">
        <v>40</v>
      </c>
      <c r="Y223" s="2816" t="s">
        <v>40</v>
      </c>
      <c r="Z223" s="2816" t="s">
        <v>40</v>
      </c>
      <c r="AA223" s="2816" t="s">
        <v>40</v>
      </c>
      <c r="AB223" s="2816" t="s">
        <v>40</v>
      </c>
      <c r="AC223" s="3089"/>
      <c r="AD223" s="3089"/>
      <c r="AE223" s="3090" t="s">
        <v>40</v>
      </c>
      <c r="AF223" s="4612" t="s">
        <v>40</v>
      </c>
    </row>
    <row r="224" spans="1:32" ht="18" customHeight="1">
      <c r="A224" s="5463" t="s">
        <v>339</v>
      </c>
      <c r="B224" s="5464"/>
      <c r="C224" s="5464"/>
      <c r="D224" s="5464"/>
      <c r="E224" s="5464"/>
      <c r="F224" s="5464"/>
      <c r="G224" s="5464"/>
      <c r="H224" s="5464"/>
      <c r="I224" s="5464"/>
      <c r="J224" s="5464"/>
      <c r="K224" s="5464"/>
      <c r="L224" s="5464"/>
      <c r="M224" s="5464"/>
      <c r="N224" s="5464"/>
      <c r="O224" s="5464"/>
      <c r="P224" s="5464"/>
      <c r="Q224" s="5464"/>
      <c r="R224" s="5464"/>
      <c r="S224" s="5464"/>
      <c r="T224" s="5464"/>
      <c r="U224" s="5464"/>
      <c r="V224" s="5464"/>
      <c r="W224" s="5464"/>
      <c r="X224" s="5464"/>
      <c r="Y224" s="5464"/>
      <c r="Z224" s="5464"/>
      <c r="AA224" s="5464"/>
      <c r="AB224" s="5464"/>
      <c r="AC224" s="5464"/>
      <c r="AD224" s="5464"/>
      <c r="AE224" s="5464"/>
      <c r="AF224" s="5465"/>
    </row>
    <row r="225" spans="1:32" ht="18" customHeight="1">
      <c r="A225" s="5286" t="s">
        <v>340</v>
      </c>
      <c r="B225" s="5337"/>
      <c r="C225" s="5337" t="s">
        <v>341</v>
      </c>
      <c r="D225" s="5337" t="s">
        <v>341</v>
      </c>
      <c r="E225" s="5337" t="s">
        <v>341</v>
      </c>
      <c r="F225" s="5287" t="s">
        <v>341</v>
      </c>
      <c r="G225" s="5287" t="s">
        <v>341</v>
      </c>
      <c r="H225" s="5337"/>
      <c r="I225" s="5337"/>
      <c r="J225" s="5337" t="s">
        <v>341</v>
      </c>
      <c r="K225" s="5337" t="s">
        <v>341</v>
      </c>
      <c r="L225" s="5337" t="s">
        <v>341</v>
      </c>
      <c r="M225" s="5287" t="s">
        <v>341</v>
      </c>
      <c r="N225" s="5287" t="s">
        <v>341</v>
      </c>
      <c r="O225" s="5337"/>
      <c r="P225" s="5337"/>
      <c r="Q225" s="5337" t="s">
        <v>341</v>
      </c>
      <c r="R225" s="5337" t="s">
        <v>341</v>
      </c>
      <c r="S225" s="5337" t="s">
        <v>341</v>
      </c>
      <c r="T225" s="5287" t="s">
        <v>341</v>
      </c>
      <c r="U225" s="5287" t="s">
        <v>341</v>
      </c>
      <c r="V225" s="5337"/>
      <c r="W225" s="5337"/>
      <c r="X225" s="5337" t="s">
        <v>341</v>
      </c>
      <c r="Y225" s="5337" t="s">
        <v>341</v>
      </c>
      <c r="Z225" s="5337" t="s">
        <v>341</v>
      </c>
      <c r="AA225" s="5337" t="s">
        <v>341</v>
      </c>
      <c r="AB225" s="5337" t="s">
        <v>341</v>
      </c>
      <c r="AC225" s="5337"/>
      <c r="AD225" s="5337"/>
      <c r="AE225" s="5337" t="s">
        <v>341</v>
      </c>
      <c r="AF225" s="5466" t="s">
        <v>341</v>
      </c>
    </row>
    <row r="226" spans="1:32" ht="18" customHeight="1">
      <c r="A226" s="5286" t="s">
        <v>343</v>
      </c>
      <c r="B226" s="5337"/>
      <c r="C226" s="5337" t="s">
        <v>342</v>
      </c>
      <c r="D226" s="5337" t="s">
        <v>342</v>
      </c>
      <c r="E226" s="5337" t="s">
        <v>342</v>
      </c>
      <c r="F226" s="5337" t="s">
        <v>342</v>
      </c>
      <c r="G226" s="5337" t="s">
        <v>342</v>
      </c>
      <c r="H226" s="5337"/>
      <c r="I226" s="5337"/>
      <c r="J226" s="5337" t="s">
        <v>342</v>
      </c>
      <c r="K226" s="5337" t="s">
        <v>342</v>
      </c>
      <c r="L226" s="5337" t="s">
        <v>342</v>
      </c>
      <c r="M226" s="5337" t="s">
        <v>342</v>
      </c>
      <c r="N226" s="5337" t="s">
        <v>342</v>
      </c>
      <c r="O226" s="5337"/>
      <c r="P226" s="5337"/>
      <c r="Q226" s="5337" t="s">
        <v>342</v>
      </c>
      <c r="R226" s="5337" t="s">
        <v>342</v>
      </c>
      <c r="S226" s="5337" t="s">
        <v>342</v>
      </c>
      <c r="T226" s="5337" t="s">
        <v>342</v>
      </c>
      <c r="U226" s="5337" t="s">
        <v>342</v>
      </c>
      <c r="V226" s="5337"/>
      <c r="W226" s="5337"/>
      <c r="X226" s="5337" t="s">
        <v>342</v>
      </c>
      <c r="Y226" s="5337" t="s">
        <v>342</v>
      </c>
      <c r="Z226" s="5337" t="s">
        <v>342</v>
      </c>
      <c r="AA226" s="5337" t="s">
        <v>342</v>
      </c>
      <c r="AB226" s="5337" t="s">
        <v>342</v>
      </c>
      <c r="AC226" s="5337"/>
      <c r="AD226" s="5337"/>
      <c r="AE226" s="5337" t="s">
        <v>342</v>
      </c>
      <c r="AF226" s="5466" t="s">
        <v>342</v>
      </c>
    </row>
    <row r="227" spans="1:32" ht="18" customHeight="1">
      <c r="A227" s="5365"/>
      <c r="B227" s="5424"/>
      <c r="C227" s="5424" t="s">
        <v>346</v>
      </c>
      <c r="D227" s="5424" t="s">
        <v>346</v>
      </c>
      <c r="E227" s="5423" t="s">
        <v>346</v>
      </c>
      <c r="F227" s="5423" t="s">
        <v>346</v>
      </c>
      <c r="G227" s="5423" t="s">
        <v>346</v>
      </c>
      <c r="H227" s="5424"/>
      <c r="I227" s="5424"/>
      <c r="J227" s="5424" t="s">
        <v>346</v>
      </c>
      <c r="K227" s="5424" t="s">
        <v>346</v>
      </c>
      <c r="L227" s="5424" t="s">
        <v>346</v>
      </c>
      <c r="M227" s="5423" t="s">
        <v>346</v>
      </c>
      <c r="N227" s="5423" t="s">
        <v>346</v>
      </c>
      <c r="O227" s="5424"/>
      <c r="P227" s="5424"/>
      <c r="Q227" s="5424" t="s">
        <v>346</v>
      </c>
      <c r="R227" s="5424" t="s">
        <v>346</v>
      </c>
      <c r="S227" s="5424" t="s">
        <v>346</v>
      </c>
      <c r="T227" s="5423" t="s">
        <v>346</v>
      </c>
      <c r="U227" s="5423" t="s">
        <v>346</v>
      </c>
      <c r="V227" s="5424"/>
      <c r="W227" s="5424"/>
      <c r="X227" s="5424" t="s">
        <v>346</v>
      </c>
      <c r="Y227" s="5424" t="s">
        <v>346</v>
      </c>
      <c r="Z227" s="5424" t="s">
        <v>346</v>
      </c>
      <c r="AA227" s="5424" t="s">
        <v>346</v>
      </c>
      <c r="AB227" s="5424" t="s">
        <v>346</v>
      </c>
      <c r="AC227" s="5424"/>
      <c r="AD227" s="5424"/>
      <c r="AE227" s="5424" t="s">
        <v>346</v>
      </c>
      <c r="AF227" s="5467" t="s">
        <v>346</v>
      </c>
    </row>
    <row r="228" spans="1:32" ht="18" customHeight="1" thickBot="1">
      <c r="B228" s="108"/>
      <c r="C228" s="108"/>
      <c r="D228" s="108"/>
      <c r="E228" s="108"/>
      <c r="F228" s="108"/>
      <c r="G228" s="108"/>
      <c r="H228" s="108"/>
      <c r="I228" s="108"/>
      <c r="J228" s="108"/>
      <c r="K228" s="108"/>
      <c r="L228" s="108"/>
      <c r="M228" s="108"/>
      <c r="N228" s="108"/>
      <c r="O228" s="108"/>
      <c r="P228" s="108"/>
      <c r="Q228" s="108"/>
      <c r="R228" s="108"/>
      <c r="S228" s="108"/>
      <c r="T228" s="108"/>
      <c r="U228" s="108"/>
      <c r="V228" s="108"/>
      <c r="W228" s="108"/>
      <c r="X228" s="108"/>
      <c r="Y228" s="108"/>
      <c r="Z228" s="108"/>
      <c r="AA228" s="108"/>
      <c r="AB228" s="108"/>
      <c r="AC228" s="108"/>
      <c r="AD228" s="108"/>
      <c r="AE228" s="108"/>
    </row>
    <row r="229" spans="1:32" ht="15.75" thickBot="1">
      <c r="A229" s="989" t="s">
        <v>614</v>
      </c>
      <c r="B229" s="866">
        <v>1</v>
      </c>
      <c r="C229" s="865">
        <v>2</v>
      </c>
      <c r="D229" s="865">
        <v>3</v>
      </c>
      <c r="E229" s="865">
        <v>4</v>
      </c>
      <c r="F229" s="865">
        <v>5</v>
      </c>
      <c r="G229" s="865">
        <v>6</v>
      </c>
      <c r="H229" s="866">
        <v>7</v>
      </c>
      <c r="I229" s="866">
        <v>8</v>
      </c>
      <c r="J229" s="865">
        <v>9</v>
      </c>
      <c r="K229" s="865">
        <v>10</v>
      </c>
      <c r="L229" s="865">
        <v>11</v>
      </c>
      <c r="M229" s="865">
        <v>12</v>
      </c>
      <c r="N229" s="865">
        <v>13</v>
      </c>
      <c r="O229" s="866">
        <v>14</v>
      </c>
      <c r="P229" s="866">
        <v>15</v>
      </c>
      <c r="Q229" s="865">
        <v>16</v>
      </c>
      <c r="R229" s="865">
        <v>17</v>
      </c>
      <c r="S229" s="865">
        <v>18</v>
      </c>
      <c r="T229" s="865">
        <v>19</v>
      </c>
      <c r="U229" s="865">
        <v>20</v>
      </c>
      <c r="V229" s="866">
        <v>21</v>
      </c>
      <c r="W229" s="866">
        <v>22</v>
      </c>
      <c r="X229" s="865">
        <v>23</v>
      </c>
      <c r="Y229" s="865">
        <v>24</v>
      </c>
      <c r="Z229" s="865">
        <v>25</v>
      </c>
      <c r="AA229" s="865">
        <v>26</v>
      </c>
      <c r="AB229" s="865">
        <v>27</v>
      </c>
      <c r="AC229" s="866">
        <v>28</v>
      </c>
      <c r="AD229" s="866">
        <v>29</v>
      </c>
      <c r="AE229" s="865">
        <v>30</v>
      </c>
      <c r="AF229" s="867">
        <v>31</v>
      </c>
    </row>
    <row r="230" spans="1:32">
      <c r="A230" s="1513"/>
      <c r="B230" s="5358"/>
      <c r="C230" s="5468" t="s">
        <v>40</v>
      </c>
      <c r="D230" s="5468" t="s">
        <v>40</v>
      </c>
      <c r="E230" s="5468" t="s">
        <v>40</v>
      </c>
      <c r="F230" s="5468" t="s">
        <v>40</v>
      </c>
      <c r="G230" s="5468" t="s">
        <v>40</v>
      </c>
      <c r="H230" s="5469"/>
      <c r="I230" s="5468"/>
      <c r="J230" s="5470" t="s">
        <v>40</v>
      </c>
      <c r="K230" s="5468" t="s">
        <v>40</v>
      </c>
      <c r="L230" s="5468" t="s">
        <v>40</v>
      </c>
      <c r="M230" s="5468" t="s">
        <v>40</v>
      </c>
      <c r="N230" s="5468" t="s">
        <v>40</v>
      </c>
      <c r="O230" s="5469"/>
      <c r="P230" s="5468"/>
      <c r="Q230" s="5468" t="s">
        <v>40</v>
      </c>
      <c r="R230" s="5468" t="s">
        <v>40</v>
      </c>
      <c r="S230" s="5468" t="s">
        <v>40</v>
      </c>
      <c r="T230" s="5468" t="s">
        <v>40</v>
      </c>
      <c r="U230" s="5469" t="s">
        <v>40</v>
      </c>
      <c r="V230" s="5469"/>
      <c r="W230" s="5468"/>
      <c r="X230" s="5468" t="s">
        <v>40</v>
      </c>
      <c r="Y230" s="5468" t="s">
        <v>40</v>
      </c>
      <c r="Z230" s="5468" t="s">
        <v>40</v>
      </c>
      <c r="AA230" s="5468" t="s">
        <v>40</v>
      </c>
      <c r="AB230" s="5468" t="s">
        <v>40</v>
      </c>
      <c r="AC230" s="5471"/>
      <c r="AD230" s="5471"/>
      <c r="AE230" s="5472" t="s">
        <v>40</v>
      </c>
      <c r="AF230" s="5473" t="s">
        <v>40</v>
      </c>
    </row>
    <row r="231" spans="1:32" ht="12.75">
      <c r="A231" s="5474" t="s">
        <v>312</v>
      </c>
      <c r="B231" s="5475"/>
      <c r="C231" s="5475"/>
      <c r="D231" s="5475"/>
      <c r="E231" s="5475"/>
      <c r="F231" s="5475"/>
      <c r="G231" s="5475"/>
      <c r="H231" s="5476"/>
      <c r="I231" s="5475"/>
      <c r="J231" s="5477"/>
      <c r="K231" s="5475"/>
      <c r="L231" s="5475"/>
      <c r="M231" s="5475"/>
      <c r="N231" s="5475"/>
      <c r="O231" s="5476"/>
      <c r="P231" s="5475"/>
      <c r="Q231" s="5475"/>
      <c r="R231" s="5475"/>
      <c r="S231" s="5475"/>
      <c r="T231" s="5475"/>
      <c r="U231" s="5476"/>
      <c r="V231" s="5476"/>
      <c r="W231" s="5475"/>
      <c r="X231" s="5475"/>
      <c r="Y231" s="5475"/>
      <c r="Z231" s="5475"/>
      <c r="AA231" s="5475"/>
      <c r="AB231" s="5475"/>
      <c r="AC231" s="5478"/>
      <c r="AD231" s="5478"/>
      <c r="AE231" s="5479"/>
      <c r="AF231" s="5480"/>
    </row>
    <row r="232" spans="1:32">
      <c r="A232" s="5481" t="s">
        <v>313</v>
      </c>
      <c r="B232" s="5341"/>
      <c r="C232" s="5482" t="s">
        <v>40</v>
      </c>
      <c r="D232" s="5482" t="s">
        <v>40</v>
      </c>
      <c r="E232" s="5482" t="s">
        <v>40</v>
      </c>
      <c r="F232" s="5482" t="s">
        <v>40</v>
      </c>
      <c r="G232" s="5482" t="s">
        <v>40</v>
      </c>
      <c r="H232" s="5340"/>
      <c r="I232" s="5340"/>
      <c r="J232" s="5340" t="s">
        <v>40</v>
      </c>
      <c r="K232" s="5482" t="s">
        <v>40</v>
      </c>
      <c r="L232" s="5482" t="s">
        <v>40</v>
      </c>
      <c r="M232" s="5482" t="s">
        <v>40</v>
      </c>
      <c r="N232" s="5482" t="s">
        <v>40</v>
      </c>
      <c r="O232" s="5482"/>
      <c r="P232" s="5482"/>
      <c r="Q232" s="5482" t="s">
        <v>40</v>
      </c>
      <c r="R232" s="5482" t="s">
        <v>40</v>
      </c>
      <c r="S232" s="5482" t="s">
        <v>40</v>
      </c>
      <c r="T232" s="5340" t="s">
        <v>40</v>
      </c>
      <c r="U232" s="5483" t="s">
        <v>40</v>
      </c>
      <c r="V232" s="5340"/>
      <c r="W232" s="5340"/>
      <c r="X232" s="5482" t="s">
        <v>40</v>
      </c>
      <c r="Y232" s="5482" t="s">
        <v>40</v>
      </c>
      <c r="Z232" s="5482" t="s">
        <v>40</v>
      </c>
      <c r="AA232" s="5482" t="s">
        <v>40</v>
      </c>
      <c r="AB232" s="5482" t="s">
        <v>40</v>
      </c>
      <c r="AC232" s="5340"/>
      <c r="AD232" s="5340"/>
      <c r="AE232" s="5484" t="s">
        <v>40</v>
      </c>
      <c r="AF232" s="5384" t="s">
        <v>40</v>
      </c>
    </row>
    <row r="233" spans="1:32" ht="12.75">
      <c r="A233" s="5485" t="s">
        <v>314</v>
      </c>
      <c r="B233" s="5486"/>
      <c r="C233" s="5486"/>
      <c r="D233" s="5486"/>
      <c r="E233" s="5486"/>
      <c r="F233" s="5486"/>
      <c r="G233" s="5486"/>
      <c r="H233" s="5486"/>
      <c r="I233" s="5486"/>
      <c r="J233" s="5486"/>
      <c r="K233" s="5486"/>
      <c r="L233" s="5486"/>
      <c r="M233" s="5486"/>
      <c r="N233" s="5486"/>
      <c r="O233" s="5487"/>
      <c r="P233" s="5487"/>
      <c r="Q233" s="5486"/>
      <c r="R233" s="5486"/>
      <c r="S233" s="5486"/>
      <c r="T233" s="5487"/>
      <c r="U233" s="5487"/>
      <c r="V233" s="5487"/>
      <c r="W233" s="5487"/>
      <c r="X233" s="5486"/>
      <c r="Y233" s="5486"/>
      <c r="Z233" s="5486"/>
      <c r="AA233" s="5486"/>
      <c r="AB233" s="5486"/>
      <c r="AC233" s="5487"/>
      <c r="AD233" s="5487"/>
      <c r="AE233" s="5487"/>
      <c r="AF233" s="5488"/>
    </row>
    <row r="234" spans="1:32">
      <c r="A234" s="5489" t="s">
        <v>315</v>
      </c>
      <c r="B234" s="5341"/>
      <c r="C234" s="5490" t="s">
        <v>40</v>
      </c>
      <c r="D234" s="5490" t="s">
        <v>40</v>
      </c>
      <c r="E234" s="5490" t="s">
        <v>40</v>
      </c>
      <c r="F234" s="5490" t="s">
        <v>40</v>
      </c>
      <c r="G234" s="5490" t="s">
        <v>40</v>
      </c>
      <c r="H234" s="5340"/>
      <c r="I234" s="5340"/>
      <c r="J234" s="5340" t="s">
        <v>40</v>
      </c>
      <c r="K234" s="5490" t="s">
        <v>40</v>
      </c>
      <c r="L234" s="5490" t="s">
        <v>40</v>
      </c>
      <c r="M234" s="5490" t="s">
        <v>40</v>
      </c>
      <c r="N234" s="5490" t="s">
        <v>40</v>
      </c>
      <c r="O234" s="5482"/>
      <c r="P234" s="5490"/>
      <c r="Q234" s="5490" t="s">
        <v>40</v>
      </c>
      <c r="R234" s="5490" t="s">
        <v>40</v>
      </c>
      <c r="S234" s="5490" t="s">
        <v>40</v>
      </c>
      <c r="T234" s="5490" t="s">
        <v>40</v>
      </c>
      <c r="U234" s="5490" t="s">
        <v>40</v>
      </c>
      <c r="V234" s="5490"/>
      <c r="W234" s="5490"/>
      <c r="X234" s="5490" t="s">
        <v>40</v>
      </c>
      <c r="Y234" s="5490" t="s">
        <v>40</v>
      </c>
      <c r="Z234" s="5490" t="s">
        <v>40</v>
      </c>
      <c r="AA234" s="5490" t="s">
        <v>40</v>
      </c>
      <c r="AB234" s="5490" t="s">
        <v>40</v>
      </c>
      <c r="AC234" s="5340"/>
      <c r="AD234" s="5340"/>
      <c r="AE234" s="5484" t="s">
        <v>40</v>
      </c>
      <c r="AF234" s="5384" t="s">
        <v>40</v>
      </c>
    </row>
    <row r="235" spans="1:32">
      <c r="A235" s="5489" t="s">
        <v>316</v>
      </c>
      <c r="B235" s="5341"/>
      <c r="C235" s="5482" t="s">
        <v>40</v>
      </c>
      <c r="D235" s="5482" t="s">
        <v>40</v>
      </c>
      <c r="E235" s="5482" t="s">
        <v>40</v>
      </c>
      <c r="F235" s="5482" t="s">
        <v>40</v>
      </c>
      <c r="G235" s="5482" t="s">
        <v>40</v>
      </c>
      <c r="H235" s="5340"/>
      <c r="I235" s="5340"/>
      <c r="J235" s="5490" t="s">
        <v>40</v>
      </c>
      <c r="K235" s="5482" t="s">
        <v>40</v>
      </c>
      <c r="L235" s="5482" t="s">
        <v>40</v>
      </c>
      <c r="M235" s="5482" t="s">
        <v>40</v>
      </c>
      <c r="N235" s="5482" t="s">
        <v>40</v>
      </c>
      <c r="O235" s="5482"/>
      <c r="P235" s="5482"/>
      <c r="Q235" s="5482" t="s">
        <v>40</v>
      </c>
      <c r="R235" s="5482" t="s">
        <v>40</v>
      </c>
      <c r="S235" s="5482" t="s">
        <v>40</v>
      </c>
      <c r="T235" s="5340" t="s">
        <v>40</v>
      </c>
      <c r="U235" s="5483" t="s">
        <v>40</v>
      </c>
      <c r="V235" s="5340"/>
      <c r="W235" s="5340"/>
      <c r="X235" s="5482" t="s">
        <v>40</v>
      </c>
      <c r="Y235" s="5482" t="s">
        <v>40</v>
      </c>
      <c r="Z235" s="5482" t="s">
        <v>40</v>
      </c>
      <c r="AA235" s="5482" t="s">
        <v>40</v>
      </c>
      <c r="AB235" s="5482" t="s">
        <v>40</v>
      </c>
      <c r="AC235" s="5340"/>
      <c r="AD235" s="5340"/>
      <c r="AE235" s="5491" t="s">
        <v>40</v>
      </c>
      <c r="AF235" s="5492" t="s">
        <v>40</v>
      </c>
    </row>
    <row r="236" spans="1:32">
      <c r="A236" s="5489" t="s">
        <v>317</v>
      </c>
      <c r="B236" s="5341"/>
      <c r="C236" s="5482" t="s">
        <v>40</v>
      </c>
      <c r="D236" s="5482" t="s">
        <v>40</v>
      </c>
      <c r="E236" s="5482" t="s">
        <v>40</v>
      </c>
      <c r="F236" s="5482" t="s">
        <v>40</v>
      </c>
      <c r="G236" s="5482" t="s">
        <v>40</v>
      </c>
      <c r="H236" s="5340"/>
      <c r="I236" s="5340"/>
      <c r="J236" s="5340" t="s">
        <v>40</v>
      </c>
      <c r="K236" s="5482" t="s">
        <v>40</v>
      </c>
      <c r="L236" s="5482" t="s">
        <v>40</v>
      </c>
      <c r="M236" s="5482" t="s">
        <v>40</v>
      </c>
      <c r="N236" s="5482" t="s">
        <v>40</v>
      </c>
      <c r="O236" s="5482"/>
      <c r="P236" s="5482"/>
      <c r="Q236" s="5482" t="s">
        <v>40</v>
      </c>
      <c r="R236" s="5482" t="s">
        <v>40</v>
      </c>
      <c r="S236" s="5482" t="s">
        <v>40</v>
      </c>
      <c r="T236" s="5340" t="s">
        <v>40</v>
      </c>
      <c r="U236" s="5483" t="s">
        <v>40</v>
      </c>
      <c r="V236" s="5340"/>
      <c r="W236" s="5340"/>
      <c r="X236" s="5482" t="s">
        <v>40</v>
      </c>
      <c r="Y236" s="5482" t="s">
        <v>40</v>
      </c>
      <c r="Z236" s="5482" t="s">
        <v>40</v>
      </c>
      <c r="AA236" s="5482" t="s">
        <v>40</v>
      </c>
      <c r="AB236" s="5482" t="s">
        <v>40</v>
      </c>
      <c r="AC236" s="5340"/>
      <c r="AD236" s="5340"/>
      <c r="AE236" s="5493" t="s">
        <v>40</v>
      </c>
      <c r="AF236" s="5494" t="s">
        <v>40</v>
      </c>
    </row>
    <row r="237" spans="1:32" ht="12.75">
      <c r="A237" s="5485" t="s">
        <v>318</v>
      </c>
      <c r="B237" s="5486"/>
      <c r="C237" s="5486"/>
      <c r="D237" s="5486"/>
      <c r="E237" s="5486"/>
      <c r="F237" s="5486"/>
      <c r="G237" s="5486"/>
      <c r="H237" s="5486"/>
      <c r="I237" s="5486"/>
      <c r="J237" s="5486"/>
      <c r="K237" s="5486"/>
      <c r="L237" s="5486"/>
      <c r="M237" s="5486"/>
      <c r="N237" s="5486"/>
      <c r="O237" s="5487"/>
      <c r="P237" s="5487"/>
      <c r="Q237" s="5486"/>
      <c r="R237" s="5486"/>
      <c r="S237" s="5486"/>
      <c r="T237" s="5487"/>
      <c r="U237" s="5487"/>
      <c r="V237" s="5487"/>
      <c r="W237" s="5487"/>
      <c r="X237" s="5486"/>
      <c r="Y237" s="5486"/>
      <c r="Z237" s="5486"/>
      <c r="AA237" s="5486"/>
      <c r="AB237" s="5486"/>
      <c r="AC237" s="5487"/>
      <c r="AD237" s="5487"/>
      <c r="AE237" s="5487"/>
      <c r="AF237" s="5488"/>
    </row>
    <row r="238" spans="1:32">
      <c r="A238" s="5489" t="s">
        <v>319</v>
      </c>
      <c r="B238" s="5341"/>
      <c r="C238" s="5482" t="s">
        <v>40</v>
      </c>
      <c r="D238" s="5482" t="s">
        <v>40</v>
      </c>
      <c r="E238" s="5482" t="s">
        <v>40</v>
      </c>
      <c r="F238" s="5482" t="s">
        <v>40</v>
      </c>
      <c r="G238" s="5482" t="s">
        <v>40</v>
      </c>
      <c r="H238" s="5340"/>
      <c r="I238" s="5340"/>
      <c r="J238" s="5340" t="s">
        <v>40</v>
      </c>
      <c r="K238" s="5482" t="s">
        <v>40</v>
      </c>
      <c r="L238" s="5482" t="s">
        <v>40</v>
      </c>
      <c r="M238" s="5482" t="s">
        <v>40</v>
      </c>
      <c r="N238" s="5482" t="s">
        <v>40</v>
      </c>
      <c r="O238" s="5482"/>
      <c r="P238" s="5482"/>
      <c r="Q238" s="5482" t="s">
        <v>40</v>
      </c>
      <c r="R238" s="5482" t="s">
        <v>40</v>
      </c>
      <c r="S238" s="5482" t="s">
        <v>40</v>
      </c>
      <c r="T238" s="5340" t="s">
        <v>40</v>
      </c>
      <c r="U238" s="5483" t="s">
        <v>40</v>
      </c>
      <c r="V238" s="5340"/>
      <c r="W238" s="5340"/>
      <c r="X238" s="5482" t="s">
        <v>40</v>
      </c>
      <c r="Y238" s="5482" t="s">
        <v>40</v>
      </c>
      <c r="Z238" s="5482" t="s">
        <v>40</v>
      </c>
      <c r="AA238" s="5482" t="s">
        <v>40</v>
      </c>
      <c r="AB238" s="5482" t="s">
        <v>40</v>
      </c>
      <c r="AC238" s="5482"/>
      <c r="AD238" s="5482"/>
      <c r="AE238" s="5495" t="s">
        <v>40</v>
      </c>
      <c r="AF238" s="5496" t="s">
        <v>40</v>
      </c>
    </row>
    <row r="239" spans="1:32">
      <c r="A239" s="5489" t="s">
        <v>320</v>
      </c>
      <c r="B239" s="5341"/>
      <c r="C239" s="5482" t="s">
        <v>40</v>
      </c>
      <c r="D239" s="5482" t="s">
        <v>40</v>
      </c>
      <c r="E239" s="5482" t="s">
        <v>40</v>
      </c>
      <c r="F239" s="5482" t="s">
        <v>40</v>
      </c>
      <c r="G239" s="5482" t="s">
        <v>40</v>
      </c>
      <c r="H239" s="5340"/>
      <c r="I239" s="5340"/>
      <c r="J239" s="5340" t="s">
        <v>40</v>
      </c>
      <c r="K239" s="5482" t="s">
        <v>40</v>
      </c>
      <c r="L239" s="5482" t="s">
        <v>40</v>
      </c>
      <c r="M239" s="5482" t="s">
        <v>40</v>
      </c>
      <c r="N239" s="5482" t="s">
        <v>40</v>
      </c>
      <c r="O239" s="5482"/>
      <c r="P239" s="5482"/>
      <c r="Q239" s="5482" t="s">
        <v>40</v>
      </c>
      <c r="R239" s="5482" t="s">
        <v>40</v>
      </c>
      <c r="S239" s="5482" t="s">
        <v>40</v>
      </c>
      <c r="T239" s="5340" t="s">
        <v>40</v>
      </c>
      <c r="U239" s="5483" t="s">
        <v>40</v>
      </c>
      <c r="V239" s="5340"/>
      <c r="W239" s="5340"/>
      <c r="X239" s="5482" t="s">
        <v>40</v>
      </c>
      <c r="Y239" s="5482" t="s">
        <v>40</v>
      </c>
      <c r="Z239" s="5482" t="s">
        <v>40</v>
      </c>
      <c r="AA239" s="5482" t="s">
        <v>40</v>
      </c>
      <c r="AB239" s="5482" t="s">
        <v>40</v>
      </c>
      <c r="AC239" s="5340"/>
      <c r="AD239" s="5340"/>
      <c r="AE239" s="5497" t="s">
        <v>40</v>
      </c>
      <c r="AF239" s="5498" t="s">
        <v>40</v>
      </c>
    </row>
    <row r="240" spans="1:32">
      <c r="A240" s="5489" t="s">
        <v>321</v>
      </c>
      <c r="B240" s="5341"/>
      <c r="C240" s="5482" t="s">
        <v>40</v>
      </c>
      <c r="D240" s="5482" t="s">
        <v>40</v>
      </c>
      <c r="E240" s="5482" t="s">
        <v>40</v>
      </c>
      <c r="F240" s="5482" t="s">
        <v>40</v>
      </c>
      <c r="G240" s="5482" t="s">
        <v>40</v>
      </c>
      <c r="H240" s="5483"/>
      <c r="I240" s="5483"/>
      <c r="J240" s="5483" t="s">
        <v>40</v>
      </c>
      <c r="K240" s="5482" t="s">
        <v>40</v>
      </c>
      <c r="L240" s="5482" t="s">
        <v>40</v>
      </c>
      <c r="M240" s="5482" t="s">
        <v>40</v>
      </c>
      <c r="N240" s="5482" t="s">
        <v>40</v>
      </c>
      <c r="O240" s="5483"/>
      <c r="P240" s="5482"/>
      <c r="Q240" s="5482" t="s">
        <v>40</v>
      </c>
      <c r="R240" s="5482" t="s">
        <v>40</v>
      </c>
      <c r="S240" s="5482" t="s">
        <v>40</v>
      </c>
      <c r="T240" s="5499" t="s">
        <v>40</v>
      </c>
      <c r="U240" s="5499" t="s">
        <v>40</v>
      </c>
      <c r="V240" s="5340"/>
      <c r="W240" s="5340"/>
      <c r="X240" s="5482" t="s">
        <v>40</v>
      </c>
      <c r="Y240" s="5482" t="s">
        <v>40</v>
      </c>
      <c r="Z240" s="5482" t="s">
        <v>40</v>
      </c>
      <c r="AA240" s="5482" t="s">
        <v>40</v>
      </c>
      <c r="AB240" s="5482" t="s">
        <v>40</v>
      </c>
      <c r="AC240" s="5340"/>
      <c r="AD240" s="5340"/>
      <c r="AE240" s="5484" t="s">
        <v>40</v>
      </c>
      <c r="AF240" s="5384" t="s">
        <v>40</v>
      </c>
    </row>
    <row r="241" spans="1:32">
      <c r="A241" s="5489" t="s">
        <v>322</v>
      </c>
      <c r="B241" s="5341"/>
      <c r="C241" s="5482" t="s">
        <v>40</v>
      </c>
      <c r="D241" s="5482" t="s">
        <v>40</v>
      </c>
      <c r="E241" s="5482" t="s">
        <v>40</v>
      </c>
      <c r="F241" s="5482" t="s">
        <v>40</v>
      </c>
      <c r="G241" s="5482" t="s">
        <v>40</v>
      </c>
      <c r="H241" s="5340"/>
      <c r="I241" s="5340"/>
      <c r="J241" s="5340" t="s">
        <v>40</v>
      </c>
      <c r="K241" s="5482" t="s">
        <v>40</v>
      </c>
      <c r="L241" s="5482" t="s">
        <v>40</v>
      </c>
      <c r="M241" s="5482" t="s">
        <v>40</v>
      </c>
      <c r="N241" s="5482" t="s">
        <v>40</v>
      </c>
      <c r="O241" s="5482"/>
      <c r="P241" s="5482"/>
      <c r="Q241" s="5482" t="s">
        <v>40</v>
      </c>
      <c r="R241" s="5482" t="s">
        <v>40</v>
      </c>
      <c r="S241" s="5482" t="s">
        <v>40</v>
      </c>
      <c r="T241" s="5340" t="s">
        <v>40</v>
      </c>
      <c r="U241" s="5483" t="s">
        <v>40</v>
      </c>
      <c r="V241" s="5340"/>
      <c r="W241" s="5340"/>
      <c r="X241" s="5482" t="s">
        <v>40</v>
      </c>
      <c r="Y241" s="5482" t="s">
        <v>40</v>
      </c>
      <c r="Z241" s="5482" t="s">
        <v>40</v>
      </c>
      <c r="AA241" s="5482" t="s">
        <v>40</v>
      </c>
      <c r="AB241" s="5482" t="s">
        <v>40</v>
      </c>
      <c r="AC241" s="5340"/>
      <c r="AD241" s="5340"/>
      <c r="AE241" s="5491" t="s">
        <v>40</v>
      </c>
      <c r="AF241" s="5492" t="s">
        <v>40</v>
      </c>
    </row>
    <row r="242" spans="1:32">
      <c r="A242" s="5489" t="s">
        <v>323</v>
      </c>
      <c r="B242" s="5341"/>
      <c r="C242" s="5482" t="s">
        <v>40</v>
      </c>
      <c r="D242" s="5482" t="s">
        <v>40</v>
      </c>
      <c r="E242" s="5482" t="s">
        <v>40</v>
      </c>
      <c r="F242" s="5482" t="s">
        <v>40</v>
      </c>
      <c r="G242" s="5482" t="s">
        <v>40</v>
      </c>
      <c r="H242" s="5340"/>
      <c r="I242" s="5340"/>
      <c r="J242" s="5340" t="s">
        <v>40</v>
      </c>
      <c r="K242" s="5482" t="s">
        <v>40</v>
      </c>
      <c r="L242" s="5482" t="s">
        <v>40</v>
      </c>
      <c r="M242" s="5482" t="s">
        <v>40</v>
      </c>
      <c r="N242" s="5482" t="s">
        <v>40</v>
      </c>
      <c r="O242" s="5482"/>
      <c r="P242" s="5482"/>
      <c r="Q242" s="5482" t="s">
        <v>40</v>
      </c>
      <c r="R242" s="5482" t="s">
        <v>40</v>
      </c>
      <c r="S242" s="5482" t="s">
        <v>40</v>
      </c>
      <c r="T242" s="5340" t="s">
        <v>40</v>
      </c>
      <c r="U242" s="5483" t="s">
        <v>40</v>
      </c>
      <c r="V242" s="5340"/>
      <c r="W242" s="5340"/>
      <c r="X242" s="5482" t="s">
        <v>40</v>
      </c>
      <c r="Y242" s="5482" t="s">
        <v>40</v>
      </c>
      <c r="Z242" s="5482" t="s">
        <v>40</v>
      </c>
      <c r="AA242" s="5482" t="s">
        <v>40</v>
      </c>
      <c r="AB242" s="5482" t="s">
        <v>40</v>
      </c>
      <c r="AC242" s="5482"/>
      <c r="AD242" s="5482"/>
      <c r="AE242" s="5495" t="s">
        <v>40</v>
      </c>
      <c r="AF242" s="5496" t="s">
        <v>40</v>
      </c>
    </row>
    <row r="243" spans="1:32">
      <c r="A243" s="5489" t="s">
        <v>324</v>
      </c>
      <c r="B243" s="5341"/>
      <c r="C243" s="5482" t="s">
        <v>40</v>
      </c>
      <c r="D243" s="5482" t="s">
        <v>40</v>
      </c>
      <c r="E243" s="5482" t="s">
        <v>40</v>
      </c>
      <c r="F243" s="5482" t="s">
        <v>40</v>
      </c>
      <c r="G243" s="5482" t="s">
        <v>40</v>
      </c>
      <c r="H243" s="5340"/>
      <c r="I243" s="5340"/>
      <c r="J243" s="5340" t="s">
        <v>40</v>
      </c>
      <c r="K243" s="5482" t="s">
        <v>40</v>
      </c>
      <c r="L243" s="5482" t="s">
        <v>40</v>
      </c>
      <c r="M243" s="5482" t="s">
        <v>40</v>
      </c>
      <c r="N243" s="5482" t="s">
        <v>40</v>
      </c>
      <c r="O243" s="5482"/>
      <c r="P243" s="5482"/>
      <c r="Q243" s="5482" t="s">
        <v>40</v>
      </c>
      <c r="R243" s="5482" t="s">
        <v>40</v>
      </c>
      <c r="S243" s="5482" t="s">
        <v>40</v>
      </c>
      <c r="T243" s="5482" t="s">
        <v>40</v>
      </c>
      <c r="U243" s="5482" t="s">
        <v>40</v>
      </c>
      <c r="V243" s="5482"/>
      <c r="W243" s="5482"/>
      <c r="X243" s="5482" t="s">
        <v>40</v>
      </c>
      <c r="Y243" s="5482" t="s">
        <v>40</v>
      </c>
      <c r="Z243" s="5482" t="s">
        <v>40</v>
      </c>
      <c r="AA243" s="5482" t="s">
        <v>40</v>
      </c>
      <c r="AB243" s="5482" t="s">
        <v>40</v>
      </c>
      <c r="AC243" s="5482"/>
      <c r="AD243" s="5482"/>
      <c r="AE243" s="5495" t="s">
        <v>40</v>
      </c>
      <c r="AF243" s="5496" t="s">
        <v>40</v>
      </c>
    </row>
    <row r="244" spans="1:32">
      <c r="A244" s="5489" t="s">
        <v>326</v>
      </c>
      <c r="B244" s="5341"/>
      <c r="C244" s="5500" t="s">
        <v>40</v>
      </c>
      <c r="D244" s="5500" t="s">
        <v>40</v>
      </c>
      <c r="E244" s="5500" t="s">
        <v>40</v>
      </c>
      <c r="F244" s="5500" t="s">
        <v>40</v>
      </c>
      <c r="G244" s="5500" t="s">
        <v>40</v>
      </c>
      <c r="H244" s="5340"/>
      <c r="I244" s="5340"/>
      <c r="J244" s="5340" t="s">
        <v>40</v>
      </c>
      <c r="K244" s="5500" t="s">
        <v>40</v>
      </c>
      <c r="L244" s="5500" t="s">
        <v>40</v>
      </c>
      <c r="M244" s="5500" t="s">
        <v>40</v>
      </c>
      <c r="N244" s="5500" t="s">
        <v>40</v>
      </c>
      <c r="O244" s="5482"/>
      <c r="P244" s="5482"/>
      <c r="Q244" s="5500" t="s">
        <v>40</v>
      </c>
      <c r="R244" s="5500" t="s">
        <v>40</v>
      </c>
      <c r="S244" s="5500" t="s">
        <v>40</v>
      </c>
      <c r="T244" s="5340" t="s">
        <v>40</v>
      </c>
      <c r="U244" s="5483" t="s">
        <v>40</v>
      </c>
      <c r="V244" s="5340"/>
      <c r="W244" s="5340"/>
      <c r="X244" s="5500" t="s">
        <v>40</v>
      </c>
      <c r="Y244" s="5500" t="s">
        <v>40</v>
      </c>
      <c r="Z244" s="5500" t="s">
        <v>40</v>
      </c>
      <c r="AA244" s="5500" t="s">
        <v>40</v>
      </c>
      <c r="AB244" s="5500" t="s">
        <v>40</v>
      </c>
      <c r="AC244" s="5340"/>
      <c r="AD244" s="5340"/>
      <c r="AE244" s="5493" t="s">
        <v>40</v>
      </c>
      <c r="AF244" s="5494" t="s">
        <v>40</v>
      </c>
    </row>
    <row r="245" spans="1:32" ht="12.75">
      <c r="A245" s="5485" t="s">
        <v>327</v>
      </c>
      <c r="B245" s="5486"/>
      <c r="C245" s="5486"/>
      <c r="D245" s="5486"/>
      <c r="E245" s="5486"/>
      <c r="F245" s="5486"/>
      <c r="G245" s="5486"/>
      <c r="H245" s="5486"/>
      <c r="I245" s="5486"/>
      <c r="J245" s="5486"/>
      <c r="K245" s="5486"/>
      <c r="L245" s="5486"/>
      <c r="M245" s="5486"/>
      <c r="N245" s="5486"/>
      <c r="O245" s="5487"/>
      <c r="P245" s="5487"/>
      <c r="Q245" s="5486"/>
      <c r="R245" s="5486"/>
      <c r="S245" s="5486"/>
      <c r="T245" s="5487"/>
      <c r="U245" s="5487"/>
      <c r="V245" s="5487"/>
      <c r="W245" s="5487"/>
      <c r="X245" s="5486"/>
      <c r="Y245" s="5486"/>
      <c r="Z245" s="5486"/>
      <c r="AA245" s="5486"/>
      <c r="AB245" s="5486"/>
      <c r="AC245" s="5487"/>
      <c r="AD245" s="5487"/>
      <c r="AE245" s="5487"/>
      <c r="AF245" s="5488"/>
    </row>
    <row r="246" spans="1:32">
      <c r="A246" s="5489" t="s">
        <v>328</v>
      </c>
      <c r="B246" s="5341"/>
      <c r="C246" s="5482" t="s">
        <v>40</v>
      </c>
      <c r="D246" s="5482" t="s">
        <v>40</v>
      </c>
      <c r="E246" s="5482" t="s">
        <v>40</v>
      </c>
      <c r="F246" s="5482" t="s">
        <v>40</v>
      </c>
      <c r="G246" s="5482" t="s">
        <v>40</v>
      </c>
      <c r="H246" s="5340"/>
      <c r="I246" s="5340"/>
      <c r="J246" s="5340" t="s">
        <v>40</v>
      </c>
      <c r="K246" s="5482" t="s">
        <v>40</v>
      </c>
      <c r="L246" s="5482" t="s">
        <v>40</v>
      </c>
      <c r="M246" s="5482" t="s">
        <v>40</v>
      </c>
      <c r="N246" s="5482" t="s">
        <v>40</v>
      </c>
      <c r="O246" s="5482"/>
      <c r="P246" s="5482"/>
      <c r="Q246" s="5482" t="s">
        <v>40</v>
      </c>
      <c r="R246" s="5482" t="s">
        <v>40</v>
      </c>
      <c r="S246" s="5482" t="s">
        <v>40</v>
      </c>
      <c r="T246" s="5340" t="s">
        <v>40</v>
      </c>
      <c r="U246" s="5483" t="s">
        <v>40</v>
      </c>
      <c r="V246" s="5340"/>
      <c r="W246" s="5340"/>
      <c r="X246" s="5482" t="s">
        <v>40</v>
      </c>
      <c r="Y246" s="5482" t="s">
        <v>40</v>
      </c>
      <c r="Z246" s="5482" t="s">
        <v>40</v>
      </c>
      <c r="AA246" s="5482" t="s">
        <v>40</v>
      </c>
      <c r="AB246" s="5482" t="s">
        <v>40</v>
      </c>
      <c r="AC246" s="5340"/>
      <c r="AD246" s="5340"/>
      <c r="AE246" s="5491" t="s">
        <v>40</v>
      </c>
      <c r="AF246" s="5492" t="s">
        <v>40</v>
      </c>
    </row>
    <row r="247" spans="1:32" ht="12.75" thickBot="1">
      <c r="A247" s="965" t="s">
        <v>329</v>
      </c>
      <c r="B247" s="5366"/>
      <c r="C247" s="5501" t="s">
        <v>40</v>
      </c>
      <c r="D247" s="5501" t="s">
        <v>40</v>
      </c>
      <c r="E247" s="5501" t="s">
        <v>40</v>
      </c>
      <c r="F247" s="5501" t="s">
        <v>40</v>
      </c>
      <c r="G247" s="5501" t="s">
        <v>40</v>
      </c>
      <c r="H247" s="5502"/>
      <c r="I247" s="5502"/>
      <c r="J247" s="5502" t="s">
        <v>40</v>
      </c>
      <c r="K247" s="5501" t="s">
        <v>40</v>
      </c>
      <c r="L247" s="5501" t="s">
        <v>40</v>
      </c>
      <c r="M247" s="5501" t="s">
        <v>40</v>
      </c>
      <c r="N247" s="5501" t="s">
        <v>40</v>
      </c>
      <c r="O247" s="5501"/>
      <c r="P247" s="5501"/>
      <c r="Q247" s="5501" t="s">
        <v>40</v>
      </c>
      <c r="R247" s="5501" t="s">
        <v>40</v>
      </c>
      <c r="S247" s="5501" t="s">
        <v>40</v>
      </c>
      <c r="T247" s="5502" t="s">
        <v>40</v>
      </c>
      <c r="U247" s="5502" t="s">
        <v>40</v>
      </c>
      <c r="V247" s="5502"/>
      <c r="W247" s="5502"/>
      <c r="X247" s="5501" t="s">
        <v>40</v>
      </c>
      <c r="Y247" s="5501" t="s">
        <v>40</v>
      </c>
      <c r="Z247" s="5501" t="s">
        <v>40</v>
      </c>
      <c r="AA247" s="5501" t="s">
        <v>40</v>
      </c>
      <c r="AB247" s="5501" t="s">
        <v>40</v>
      </c>
      <c r="AC247" s="5502"/>
      <c r="AD247" s="5502"/>
      <c r="AE247" s="5503" t="s">
        <v>40</v>
      </c>
      <c r="AF247" s="5504" t="s">
        <v>40</v>
      </c>
    </row>
  </sheetData>
  <sheetProtection algorithmName="SHA-512" hashValue="bVI39+jJDKtWiXlk8peiNv1jGwm0oRdM/J98DZ6hZxqpmuC1lpXS136dTP9Y9SWwfiWXF1+FfT/xz5RvRkPmmg==" saltValue="IJ/DmTrmxHO1ZQp7ANeMag==" spinCount="100000" sheet="1" objects="1" scenarios="1"/>
  <protectedRanges>
    <protectedRange algorithmName="SHA-512" hashValue="Q5LeWj4todAnf+r/WsjvqcEdbiVuqEUf7g8iRgWLe9Cwh9uBEh3MFELZfjgcQSaYyPlSyJMfqoxQF22eirT6zA==" saltValue="Tzokoji+zbBMfr+o4sqwAw==" spinCount="100000" sqref="B23:AE23" name="Område1"/>
  </protectedRanges>
  <mergeCells count="93">
    <mergeCell ref="AC2:AE2"/>
    <mergeCell ref="E2:F2"/>
    <mergeCell ref="G2:I2"/>
    <mergeCell ref="R2:T2"/>
    <mergeCell ref="U2:V2"/>
    <mergeCell ref="W2:X2"/>
    <mergeCell ref="C189:E189"/>
    <mergeCell ref="F189:I189"/>
    <mergeCell ref="J189:M189"/>
    <mergeCell ref="N189:Q189"/>
    <mergeCell ref="R189:U189"/>
    <mergeCell ref="C190:E190"/>
    <mergeCell ref="F190:I190"/>
    <mergeCell ref="J190:M190"/>
    <mergeCell ref="N190:Q190"/>
    <mergeCell ref="R190:U190"/>
    <mergeCell ref="C191:E191"/>
    <mergeCell ref="F191:I191"/>
    <mergeCell ref="J191:M191"/>
    <mergeCell ref="N191:Q191"/>
    <mergeCell ref="R191:U191"/>
    <mergeCell ref="C192:E192"/>
    <mergeCell ref="F192:I192"/>
    <mergeCell ref="J192:M192"/>
    <mergeCell ref="N192:Q192"/>
    <mergeCell ref="R192:U192"/>
    <mergeCell ref="C193:E193"/>
    <mergeCell ref="F193:I193"/>
    <mergeCell ref="J193:M193"/>
    <mergeCell ref="N193:Q193"/>
    <mergeCell ref="R193:U193"/>
    <mergeCell ref="C194:E194"/>
    <mergeCell ref="F194:I194"/>
    <mergeCell ref="J194:M194"/>
    <mergeCell ref="N194:Q194"/>
    <mergeCell ref="R194:U194"/>
    <mergeCell ref="C195:E195"/>
    <mergeCell ref="F195:I195"/>
    <mergeCell ref="J195:M195"/>
    <mergeCell ref="N195:Q195"/>
    <mergeCell ref="R195:U195"/>
    <mergeCell ref="C198:E198"/>
    <mergeCell ref="F198:I198"/>
    <mergeCell ref="J198:M198"/>
    <mergeCell ref="N198:Q198"/>
    <mergeCell ref="R198:U198"/>
    <mergeCell ref="C199:E199"/>
    <mergeCell ref="F199:I199"/>
    <mergeCell ref="J199:M199"/>
    <mergeCell ref="N199:Q199"/>
    <mergeCell ref="R199:U199"/>
    <mergeCell ref="C200:E200"/>
    <mergeCell ref="F200:I200"/>
    <mergeCell ref="J200:M200"/>
    <mergeCell ref="N200:Q200"/>
    <mergeCell ref="R200:U200"/>
    <mergeCell ref="F201:I201"/>
    <mergeCell ref="J201:M201"/>
    <mergeCell ref="N201:Q201"/>
    <mergeCell ref="R201:U201"/>
    <mergeCell ref="F202:I202"/>
    <mergeCell ref="J202:M202"/>
    <mergeCell ref="N202:Q202"/>
    <mergeCell ref="R202:U202"/>
    <mergeCell ref="F203:I203"/>
    <mergeCell ref="J203:M203"/>
    <mergeCell ref="N203:Q203"/>
    <mergeCell ref="R203:U203"/>
    <mergeCell ref="F204:I204"/>
    <mergeCell ref="J204:M204"/>
    <mergeCell ref="N204:Q204"/>
    <mergeCell ref="R204:U204"/>
    <mergeCell ref="Q122:S122"/>
    <mergeCell ref="T122:V122"/>
    <mergeCell ref="B123:D123"/>
    <mergeCell ref="E123:G123"/>
    <mergeCell ref="H123:J123"/>
    <mergeCell ref="K123:M123"/>
    <mergeCell ref="N123:P123"/>
    <mergeCell ref="Q123:S123"/>
    <mergeCell ref="T123:V123"/>
    <mergeCell ref="B122:D122"/>
    <mergeCell ref="E122:G122"/>
    <mergeCell ref="H122:J122"/>
    <mergeCell ref="K122:M122"/>
    <mergeCell ref="N122:P122"/>
    <mergeCell ref="Q124:S124"/>
    <mergeCell ref="T124:V124"/>
    <mergeCell ref="B124:D124"/>
    <mergeCell ref="E124:G124"/>
    <mergeCell ref="H124:J124"/>
    <mergeCell ref="K124:M124"/>
    <mergeCell ref="N124:P124"/>
  </mergeCells>
  <phoneticPr fontId="10" type="noConversion"/>
  <pageMargins left="0.7" right="0.7" top="0.75" bottom="0.75" header="0.3" footer="0.3"/>
  <pageSetup paperSize="9" scale="10" orientation="landscape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3475D1-5200-4000-9AD9-2D208FD246D7}">
  <sheetPr codeName="Ark24">
    <pageSetUpPr fitToPage="1"/>
  </sheetPr>
  <dimension ref="A1:AF232"/>
  <sheetViews>
    <sheetView zoomScale="115" zoomScaleNormal="115" workbookViewId="0">
      <pane xSplit="1" ySplit="2" topLeftCell="B113" activePane="bottomRight" state="frozen"/>
      <selection pane="bottomRight" activeCell="L127" sqref="L127"/>
      <selection pane="bottomLeft"/>
      <selection pane="topRight"/>
    </sheetView>
  </sheetViews>
  <sheetFormatPr defaultRowHeight="12"/>
  <cols>
    <col min="1" max="1" width="31.28515625" customWidth="1"/>
    <col min="2" max="30" width="4.5703125" customWidth="1"/>
    <col min="31" max="31" width="4.42578125" bestFit="1" customWidth="1"/>
  </cols>
  <sheetData>
    <row r="1" spans="1:31" ht="15">
      <c r="A1" s="5505" t="s">
        <v>691</v>
      </c>
      <c r="B1" s="3599">
        <v>1</v>
      </c>
      <c r="C1" s="3617">
        <v>2</v>
      </c>
      <c r="D1" s="3617">
        <v>3</v>
      </c>
      <c r="E1" s="3617">
        <v>4</v>
      </c>
      <c r="F1" s="3617">
        <v>5</v>
      </c>
      <c r="G1" s="3617">
        <v>6</v>
      </c>
      <c r="H1" s="3599">
        <v>7</v>
      </c>
      <c r="I1" s="3599">
        <v>8</v>
      </c>
      <c r="J1" s="3599">
        <v>9</v>
      </c>
      <c r="K1" s="3599">
        <v>10</v>
      </c>
      <c r="L1" s="3617">
        <v>11</v>
      </c>
      <c r="M1" s="3617">
        <v>12</v>
      </c>
      <c r="N1" s="3599">
        <v>13</v>
      </c>
      <c r="O1" s="3599">
        <v>14</v>
      </c>
      <c r="P1" s="3599">
        <v>15</v>
      </c>
      <c r="Q1" s="3599">
        <v>16</v>
      </c>
      <c r="R1" s="3599">
        <v>17</v>
      </c>
      <c r="S1" s="3617">
        <v>18</v>
      </c>
      <c r="T1" s="3617">
        <v>19</v>
      </c>
      <c r="U1" s="3599">
        <v>20</v>
      </c>
      <c r="V1" s="3599">
        <v>21</v>
      </c>
      <c r="W1" s="3599">
        <v>22</v>
      </c>
      <c r="X1" s="3599">
        <v>23</v>
      </c>
      <c r="Y1" s="3599">
        <v>24</v>
      </c>
      <c r="Z1" s="3617">
        <v>25</v>
      </c>
      <c r="AA1" s="3617">
        <v>26</v>
      </c>
      <c r="AB1" s="3599">
        <v>27</v>
      </c>
      <c r="AC1" s="3599">
        <v>28</v>
      </c>
      <c r="AD1" s="3599">
        <v>29</v>
      </c>
      <c r="AE1" s="3599">
        <v>30</v>
      </c>
    </row>
    <row r="2" spans="1:31" ht="18" customHeight="1">
      <c r="A2" s="1435" t="s">
        <v>1</v>
      </c>
      <c r="B2" s="1349" t="s">
        <v>2</v>
      </c>
      <c r="C2" s="1348"/>
      <c r="D2" s="1349"/>
      <c r="E2" s="5115" t="s">
        <v>3</v>
      </c>
      <c r="F2" s="5116"/>
      <c r="G2" s="5117" t="s">
        <v>579</v>
      </c>
      <c r="H2" s="5117"/>
      <c r="I2" s="5117"/>
      <c r="J2" s="1350" t="s">
        <v>5</v>
      </c>
      <c r="K2" s="1351" t="s">
        <v>580</v>
      </c>
      <c r="L2" s="970"/>
      <c r="M2" s="971"/>
      <c r="N2" s="972" t="s">
        <v>7</v>
      </c>
      <c r="O2" s="973"/>
      <c r="P2" s="1352" t="s">
        <v>8</v>
      </c>
      <c r="Q2" s="975"/>
      <c r="R2" s="5118" t="s">
        <v>9</v>
      </c>
      <c r="S2" s="5118"/>
      <c r="T2" s="5118"/>
      <c r="U2" s="5119" t="s">
        <v>11</v>
      </c>
      <c r="V2" s="5119"/>
      <c r="W2" s="5120" t="s">
        <v>12</v>
      </c>
      <c r="X2" s="5120"/>
      <c r="Y2" s="1353" t="s">
        <v>581</v>
      </c>
      <c r="Z2" s="977"/>
      <c r="AA2" s="978" t="s">
        <v>15</v>
      </c>
      <c r="AB2" s="979"/>
      <c r="AC2" s="5121" t="s">
        <v>582</v>
      </c>
      <c r="AD2" s="5121"/>
      <c r="AE2" s="5122"/>
    </row>
    <row r="3" spans="1:31" ht="18" customHeight="1">
      <c r="A3" s="22"/>
      <c r="B3" s="4"/>
      <c r="C3" s="48"/>
      <c r="D3" s="48"/>
      <c r="E3" s="48"/>
      <c r="F3" s="48"/>
      <c r="G3" s="4"/>
      <c r="H3" s="48"/>
      <c r="I3" s="48"/>
      <c r="J3" s="6"/>
      <c r="K3" s="48"/>
      <c r="L3" s="6"/>
      <c r="M3" s="6"/>
      <c r="N3" s="48"/>
      <c r="O3" s="48"/>
      <c r="P3" s="48"/>
      <c r="Q3" s="48"/>
      <c r="S3" s="6"/>
      <c r="T3" s="4"/>
      <c r="V3" s="48"/>
      <c r="W3" s="48"/>
      <c r="X3" s="4"/>
      <c r="Y3" s="48"/>
      <c r="AA3" s="48"/>
      <c r="AB3" s="48"/>
      <c r="AC3" s="48"/>
      <c r="AD3" s="48"/>
      <c r="AE3" s="48"/>
    </row>
    <row r="4" spans="1:31" ht="18" customHeight="1">
      <c r="A4" s="411" t="s">
        <v>44</v>
      </c>
      <c r="B4" s="415"/>
      <c r="C4" s="413" t="s">
        <v>19</v>
      </c>
      <c r="D4" s="414"/>
      <c r="E4" s="415"/>
      <c r="F4" s="413" t="s">
        <v>20</v>
      </c>
      <c r="G4" s="414"/>
      <c r="H4" s="415"/>
      <c r="I4" s="413" t="s">
        <v>21</v>
      </c>
      <c r="J4" s="414"/>
      <c r="K4" s="415"/>
      <c r="L4" s="413" t="s">
        <v>22</v>
      </c>
      <c r="M4" s="414"/>
      <c r="N4" s="415"/>
      <c r="O4" s="413" t="s">
        <v>23</v>
      </c>
      <c r="P4" s="414"/>
      <c r="Q4" s="415"/>
      <c r="R4" s="413" t="s">
        <v>24</v>
      </c>
      <c r="S4" s="416"/>
      <c r="T4" s="417"/>
      <c r="U4" s="418" t="s">
        <v>25</v>
      </c>
      <c r="V4" s="419"/>
    </row>
    <row r="5" spans="1:31" ht="18" customHeight="1">
      <c r="A5" s="5506" t="s">
        <v>26</v>
      </c>
      <c r="B5" s="5507" t="s">
        <v>27</v>
      </c>
      <c r="C5" s="5508"/>
      <c r="D5" s="5509"/>
      <c r="E5" s="5507" t="s">
        <v>27</v>
      </c>
      <c r="F5" s="5510"/>
      <c r="G5" s="5510"/>
      <c r="H5" s="5507" t="s">
        <v>27</v>
      </c>
      <c r="I5" s="5510"/>
      <c r="J5" s="5509"/>
      <c r="K5" s="5507" t="s">
        <v>27</v>
      </c>
      <c r="L5" s="5510"/>
      <c r="M5" s="5509"/>
      <c r="N5" s="5507" t="s">
        <v>28</v>
      </c>
      <c r="O5" s="5510"/>
      <c r="P5" s="5509"/>
      <c r="Q5" s="5510"/>
      <c r="R5" s="5510"/>
      <c r="S5" s="5510"/>
      <c r="T5" s="5511"/>
      <c r="U5" s="5510"/>
      <c r="V5" s="5512"/>
      <c r="W5" s="111"/>
      <c r="X5" s="111"/>
      <c r="Y5" s="111"/>
      <c r="Z5" s="111"/>
      <c r="AA5" s="409"/>
      <c r="AB5" s="111"/>
      <c r="AC5" s="111"/>
      <c r="AD5" s="111"/>
      <c r="AE5" s="111"/>
    </row>
    <row r="6" spans="1:31" ht="18" customHeight="1">
      <c r="A6" s="5506" t="s">
        <v>29</v>
      </c>
      <c r="B6" s="5513" t="s">
        <v>30</v>
      </c>
      <c r="C6" s="5514"/>
      <c r="D6" s="5515"/>
      <c r="E6" s="5513" t="s">
        <v>30</v>
      </c>
      <c r="F6" s="5514"/>
      <c r="G6" s="5514"/>
      <c r="H6" s="5513" t="s">
        <v>30</v>
      </c>
      <c r="I6" s="5514"/>
      <c r="J6" s="5515"/>
      <c r="K6" s="5513" t="s">
        <v>30</v>
      </c>
      <c r="L6" s="5514"/>
      <c r="M6" s="5514"/>
      <c r="N6" s="5513" t="s">
        <v>30</v>
      </c>
      <c r="O6" s="5514"/>
      <c r="P6" s="5515"/>
      <c r="Q6" s="5516" t="s">
        <v>31</v>
      </c>
      <c r="R6" s="5517"/>
      <c r="S6" s="5517"/>
      <c r="T6" s="5518" t="s">
        <v>31</v>
      </c>
      <c r="U6" s="5517"/>
      <c r="V6" s="5519"/>
      <c r="W6" s="111"/>
      <c r="X6" s="111"/>
      <c r="Y6" s="111"/>
      <c r="Z6" s="111"/>
      <c r="AA6" s="410"/>
      <c r="AB6" s="111"/>
      <c r="AC6" s="111"/>
      <c r="AD6" s="111"/>
      <c r="AE6" s="111"/>
    </row>
    <row r="7" spans="1:31" ht="18" customHeight="1" thickBot="1">
      <c r="A7" s="420" t="s">
        <v>32</v>
      </c>
      <c r="B7" s="5126" t="s">
        <v>33</v>
      </c>
      <c r="C7" s="5127"/>
      <c r="D7" s="5128"/>
      <c r="E7" s="5126" t="s">
        <v>33</v>
      </c>
      <c r="F7" s="5129"/>
      <c r="G7" s="5129"/>
      <c r="H7" s="5126" t="s">
        <v>33</v>
      </c>
      <c r="I7" s="5129"/>
      <c r="J7" s="5130"/>
      <c r="K7" s="5126" t="s">
        <v>33</v>
      </c>
      <c r="L7" s="5129"/>
      <c r="M7" s="5130"/>
      <c r="N7" s="5126" t="s">
        <v>33</v>
      </c>
      <c r="O7" s="5129"/>
      <c r="P7" s="5130"/>
      <c r="Q7" s="5131" t="s">
        <v>34</v>
      </c>
      <c r="R7" s="5129"/>
      <c r="S7" s="5129"/>
      <c r="T7" s="5126" t="s">
        <v>35</v>
      </c>
      <c r="U7" s="5129"/>
      <c r="V7" s="5132"/>
      <c r="W7" s="111"/>
      <c r="X7" s="111"/>
      <c r="Y7" s="111"/>
      <c r="Z7" s="111"/>
      <c r="AA7" s="410"/>
      <c r="AB7" s="111"/>
      <c r="AC7" s="111"/>
      <c r="AD7" s="111"/>
      <c r="AE7" s="111"/>
    </row>
    <row r="8" spans="1:31" ht="18" customHeight="1" thickBot="1">
      <c r="A8" s="60" t="s">
        <v>36</v>
      </c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</row>
    <row r="9" spans="1:31" ht="18" customHeight="1" thickBot="1">
      <c r="A9" s="869" t="s">
        <v>617</v>
      </c>
      <c r="B9" s="865">
        <v>1</v>
      </c>
      <c r="C9" s="866">
        <v>2</v>
      </c>
      <c r="D9" s="866">
        <v>3</v>
      </c>
      <c r="E9" s="866">
        <v>4</v>
      </c>
      <c r="F9" s="866">
        <v>5</v>
      </c>
      <c r="G9" s="866">
        <v>6</v>
      </c>
      <c r="H9" s="865">
        <v>7</v>
      </c>
      <c r="I9" s="865">
        <v>8</v>
      </c>
      <c r="J9" s="865">
        <v>9</v>
      </c>
      <c r="K9" s="865">
        <v>10</v>
      </c>
      <c r="L9" s="866">
        <v>11</v>
      </c>
      <c r="M9" s="866">
        <v>12</v>
      </c>
      <c r="N9" s="865">
        <v>13</v>
      </c>
      <c r="O9" s="865">
        <v>14</v>
      </c>
      <c r="P9" s="865">
        <v>15</v>
      </c>
      <c r="Q9" s="865">
        <v>16</v>
      </c>
      <c r="R9" s="865">
        <v>17</v>
      </c>
      <c r="S9" s="866">
        <v>18</v>
      </c>
      <c r="T9" s="866">
        <v>19</v>
      </c>
      <c r="U9" s="865">
        <v>20</v>
      </c>
      <c r="V9" s="865">
        <v>21</v>
      </c>
      <c r="W9" s="865">
        <v>22</v>
      </c>
      <c r="X9" s="865">
        <v>23</v>
      </c>
      <c r="Y9" s="865">
        <v>24</v>
      </c>
      <c r="Z9" s="866">
        <v>25</v>
      </c>
      <c r="AA9" s="866">
        <v>26</v>
      </c>
      <c r="AB9" s="865">
        <v>27</v>
      </c>
      <c r="AC9" s="865">
        <v>28</v>
      </c>
      <c r="AD9" s="865">
        <v>29</v>
      </c>
      <c r="AE9" s="867">
        <v>30</v>
      </c>
    </row>
    <row r="10" spans="1:31" ht="18" customHeight="1">
      <c r="A10" s="4785" t="s">
        <v>39</v>
      </c>
      <c r="B10" s="2990" t="s">
        <v>40</v>
      </c>
      <c r="C10" s="2990"/>
      <c r="D10" s="2990"/>
      <c r="E10" s="2848"/>
      <c r="F10" s="2989"/>
      <c r="G10" s="2990" t="s">
        <v>40</v>
      </c>
      <c r="H10" s="2990" t="s">
        <v>40</v>
      </c>
      <c r="I10" s="2990" t="s">
        <v>40</v>
      </c>
      <c r="J10" s="2990" t="s">
        <v>40</v>
      </c>
      <c r="K10" s="2990" t="s">
        <v>40</v>
      </c>
      <c r="L10" s="2848"/>
      <c r="M10" s="2989"/>
      <c r="N10" s="2990" t="s">
        <v>40</v>
      </c>
      <c r="O10" s="2990" t="s">
        <v>40</v>
      </c>
      <c r="P10" s="2990" t="s">
        <v>40</v>
      </c>
      <c r="Q10" s="2990" t="s">
        <v>40</v>
      </c>
      <c r="R10" s="2990" t="s">
        <v>40</v>
      </c>
      <c r="S10" s="2848"/>
      <c r="T10" s="2989"/>
      <c r="U10" s="2990" t="s">
        <v>40</v>
      </c>
      <c r="V10" s="2990" t="s">
        <v>40</v>
      </c>
      <c r="W10" s="2990" t="s">
        <v>40</v>
      </c>
      <c r="X10" s="2990" t="s">
        <v>40</v>
      </c>
      <c r="Y10" s="2990" t="s">
        <v>40</v>
      </c>
      <c r="Z10" s="2848"/>
      <c r="AA10" s="2989"/>
      <c r="AB10" s="2990" t="s">
        <v>40</v>
      </c>
      <c r="AC10" s="2990" t="s">
        <v>40</v>
      </c>
      <c r="AD10" s="2990" t="s">
        <v>40</v>
      </c>
      <c r="AE10" s="5285" t="s">
        <v>40</v>
      </c>
    </row>
    <row r="11" spans="1:31" ht="18" customHeight="1">
      <c r="A11" s="5520" t="s">
        <v>41</v>
      </c>
      <c r="B11" s="5521" t="s">
        <v>40</v>
      </c>
      <c r="C11" s="5521"/>
      <c r="D11" s="5521"/>
      <c r="E11" s="5522"/>
      <c r="F11" s="5523"/>
      <c r="G11" s="5521" t="s">
        <v>40</v>
      </c>
      <c r="H11" s="5521" t="s">
        <v>40</v>
      </c>
      <c r="I11" s="5521" t="s">
        <v>40</v>
      </c>
      <c r="J11" s="5521" t="s">
        <v>40</v>
      </c>
      <c r="K11" s="5521" t="s">
        <v>40</v>
      </c>
      <c r="L11" s="5522"/>
      <c r="M11" s="5523"/>
      <c r="N11" s="5521" t="s">
        <v>40</v>
      </c>
      <c r="O11" s="5521" t="s">
        <v>40</v>
      </c>
      <c r="P11" s="5521" t="s">
        <v>40</v>
      </c>
      <c r="Q11" s="5521" t="s">
        <v>40</v>
      </c>
      <c r="R11" s="5521" t="s">
        <v>40</v>
      </c>
      <c r="S11" s="5522"/>
      <c r="T11" s="5523"/>
      <c r="U11" s="5521" t="s">
        <v>40</v>
      </c>
      <c r="V11" s="5521" t="s">
        <v>40</v>
      </c>
      <c r="W11" s="5521" t="s">
        <v>40</v>
      </c>
      <c r="X11" s="5521" t="s">
        <v>40</v>
      </c>
      <c r="Y11" s="5521" t="s">
        <v>40</v>
      </c>
      <c r="Z11" s="5522"/>
      <c r="AA11" s="5523"/>
      <c r="AB11" s="5521" t="s">
        <v>40</v>
      </c>
      <c r="AC11" s="5521" t="s">
        <v>40</v>
      </c>
      <c r="AD11" s="5521" t="s">
        <v>40</v>
      </c>
      <c r="AE11" s="5524" t="s">
        <v>40</v>
      </c>
    </row>
    <row r="12" spans="1:31" ht="18" customHeight="1">
      <c r="A12" s="5520" t="s">
        <v>472</v>
      </c>
      <c r="B12" s="5525" t="s">
        <v>40</v>
      </c>
      <c r="C12" s="5525"/>
      <c r="D12" s="5525"/>
      <c r="E12" s="5526"/>
      <c r="F12" s="5527"/>
      <c r="G12" s="5525" t="s">
        <v>40</v>
      </c>
      <c r="H12" s="5525" t="s">
        <v>40</v>
      </c>
      <c r="I12" s="5525" t="s">
        <v>40</v>
      </c>
      <c r="J12" s="5525" t="s">
        <v>40</v>
      </c>
      <c r="K12" s="5525" t="s">
        <v>40</v>
      </c>
      <c r="L12" s="5526"/>
      <c r="M12" s="5527"/>
      <c r="N12" s="5525" t="s">
        <v>40</v>
      </c>
      <c r="O12" s="5525" t="s">
        <v>40</v>
      </c>
      <c r="P12" s="5525" t="s">
        <v>40</v>
      </c>
      <c r="Q12" s="5525" t="s">
        <v>40</v>
      </c>
      <c r="R12" s="5525" t="s">
        <v>40</v>
      </c>
      <c r="S12" s="5526"/>
      <c r="T12" s="5527"/>
      <c r="U12" s="5525" t="s">
        <v>40</v>
      </c>
      <c r="V12" s="5525" t="s">
        <v>40</v>
      </c>
      <c r="W12" s="5525" t="s">
        <v>40</v>
      </c>
      <c r="X12" s="5525" t="s">
        <v>40</v>
      </c>
      <c r="Y12" s="5525" t="s">
        <v>40</v>
      </c>
      <c r="Z12" s="5526"/>
      <c r="AA12" s="5527"/>
      <c r="AB12" s="5525" t="s">
        <v>40</v>
      </c>
      <c r="AC12" s="5525" t="s">
        <v>40</v>
      </c>
      <c r="AD12" s="5525" t="s">
        <v>40</v>
      </c>
      <c r="AE12" s="5528" t="s">
        <v>40</v>
      </c>
    </row>
    <row r="13" spans="1:31" ht="18" customHeight="1">
      <c r="A13" s="561" t="s">
        <v>44</v>
      </c>
      <c r="B13" s="506"/>
      <c r="C13" s="506"/>
      <c r="D13" s="506"/>
      <c r="E13" s="506"/>
      <c r="F13" s="506"/>
      <c r="G13" s="506"/>
      <c r="H13" s="506"/>
      <c r="I13" s="506"/>
      <c r="J13" s="506"/>
      <c r="K13" s="506"/>
      <c r="L13" s="506"/>
      <c r="M13" s="506"/>
      <c r="N13" s="506"/>
      <c r="O13" s="506"/>
      <c r="P13" s="506"/>
      <c r="Q13" s="506"/>
      <c r="R13" s="506"/>
      <c r="S13" s="506"/>
      <c r="T13" s="506"/>
      <c r="U13" s="506"/>
      <c r="V13" s="506"/>
      <c r="W13" s="506"/>
      <c r="X13" s="506"/>
      <c r="Y13" s="506"/>
      <c r="Z13" s="506"/>
      <c r="AA13" s="506"/>
      <c r="AB13" s="506"/>
      <c r="AC13" s="506"/>
      <c r="AD13" s="506"/>
      <c r="AE13" s="562"/>
    </row>
    <row r="14" spans="1:31" ht="18" customHeight="1">
      <c r="A14" s="5529" t="s">
        <v>97</v>
      </c>
      <c r="B14" s="5530" t="s">
        <v>46</v>
      </c>
      <c r="C14" s="5530" t="s">
        <v>46</v>
      </c>
      <c r="D14" s="5530" t="s">
        <v>46</v>
      </c>
      <c r="E14" s="5530" t="s">
        <v>49</v>
      </c>
      <c r="F14" s="5530" t="s">
        <v>49</v>
      </c>
      <c r="G14" s="5530" t="s">
        <v>50</v>
      </c>
      <c r="H14" s="5530" t="s">
        <v>50</v>
      </c>
      <c r="I14" s="5530" t="s">
        <v>50</v>
      </c>
      <c r="J14" s="5530" t="s">
        <v>50</v>
      </c>
      <c r="K14" s="5530" t="s">
        <v>50</v>
      </c>
      <c r="L14" s="5531"/>
      <c r="M14" s="5530"/>
      <c r="N14" s="5530" t="s">
        <v>46</v>
      </c>
      <c r="O14" s="5531" t="s">
        <v>46</v>
      </c>
      <c r="P14" s="5530" t="s">
        <v>46</v>
      </c>
      <c r="Q14" s="5530" t="s">
        <v>46</v>
      </c>
      <c r="R14" s="5530" t="s">
        <v>46</v>
      </c>
      <c r="S14" s="5530" t="s">
        <v>47</v>
      </c>
      <c r="T14" s="5532" t="s">
        <v>47</v>
      </c>
      <c r="U14" s="5530" t="s">
        <v>26</v>
      </c>
      <c r="V14" s="5530" t="s">
        <v>26</v>
      </c>
      <c r="W14" s="5530" t="s">
        <v>26</v>
      </c>
      <c r="X14" s="5530" t="s">
        <v>26</v>
      </c>
      <c r="Y14" s="5530" t="s">
        <v>26</v>
      </c>
      <c r="Z14" s="5530" t="s">
        <v>0</v>
      </c>
      <c r="AA14" s="5530"/>
      <c r="AB14" s="5530" t="s">
        <v>43</v>
      </c>
      <c r="AC14" s="5530" t="s">
        <v>43</v>
      </c>
      <c r="AD14" s="5533" t="s">
        <v>43</v>
      </c>
      <c r="AE14" s="5534" t="s">
        <v>43</v>
      </c>
    </row>
    <row r="15" spans="1:31" ht="18" customHeight="1">
      <c r="A15" s="5535" t="s">
        <v>51</v>
      </c>
      <c r="B15" s="5536" t="s">
        <v>50</v>
      </c>
      <c r="C15" s="5536" t="s">
        <v>50</v>
      </c>
      <c r="D15" s="5536" t="s">
        <v>50</v>
      </c>
      <c r="E15" s="5536"/>
      <c r="F15" s="5536"/>
      <c r="G15" s="5536" t="s">
        <v>46</v>
      </c>
      <c r="H15" s="5536" t="s">
        <v>46</v>
      </c>
      <c r="I15" s="5536" t="s">
        <v>46</v>
      </c>
      <c r="J15" s="5536" t="s">
        <v>46</v>
      </c>
      <c r="K15" s="5536" t="s">
        <v>46</v>
      </c>
      <c r="L15" s="5536" t="s">
        <v>47</v>
      </c>
      <c r="M15" s="5536" t="s">
        <v>47</v>
      </c>
      <c r="N15" s="5536" t="s">
        <v>26</v>
      </c>
      <c r="O15" s="5536" t="s">
        <v>26</v>
      </c>
      <c r="P15" s="5536" t="s">
        <v>26</v>
      </c>
      <c r="Q15" s="5536" t="s">
        <v>26</v>
      </c>
      <c r="R15" s="5536" t="s">
        <v>26</v>
      </c>
      <c r="S15" s="5537"/>
      <c r="T15" s="5537"/>
      <c r="U15" s="5536" t="s">
        <v>43</v>
      </c>
      <c r="V15" s="5536" t="s">
        <v>43</v>
      </c>
      <c r="W15" s="5536" t="s">
        <v>43</v>
      </c>
      <c r="X15" s="5536" t="s">
        <v>43</v>
      </c>
      <c r="Y15" s="5536" t="s">
        <v>43</v>
      </c>
      <c r="Z15" s="5536"/>
      <c r="AA15" s="5536"/>
      <c r="AB15" s="5536" t="s">
        <v>46</v>
      </c>
      <c r="AC15" s="5536" t="s">
        <v>46</v>
      </c>
      <c r="AD15" s="5538" t="s">
        <v>46</v>
      </c>
      <c r="AE15" s="5539" t="s">
        <v>46</v>
      </c>
    </row>
    <row r="16" spans="1:31" ht="18" customHeight="1">
      <c r="A16" s="5535" t="s">
        <v>54</v>
      </c>
      <c r="B16" s="5540" t="s">
        <v>46</v>
      </c>
      <c r="C16" s="5540" t="s">
        <v>46</v>
      </c>
      <c r="D16" s="5540" t="s">
        <v>46</v>
      </c>
      <c r="E16" s="5540" t="s">
        <v>47</v>
      </c>
      <c r="F16" s="5540" t="s">
        <v>47</v>
      </c>
      <c r="G16" s="5541" t="s">
        <v>26</v>
      </c>
      <c r="H16" s="5532" t="s">
        <v>26</v>
      </c>
      <c r="I16" s="5532" t="s">
        <v>26</v>
      </c>
      <c r="J16" s="5532" t="s">
        <v>26</v>
      </c>
      <c r="K16" s="5530" t="s">
        <v>26</v>
      </c>
      <c r="L16" s="5532"/>
      <c r="M16" s="5530"/>
      <c r="N16" s="5530" t="s">
        <v>43</v>
      </c>
      <c r="O16" s="5532" t="s">
        <v>43</v>
      </c>
      <c r="P16" s="5530" t="s">
        <v>43</v>
      </c>
      <c r="Q16" s="5530" t="s">
        <v>43</v>
      </c>
      <c r="R16" s="5530" t="s">
        <v>43</v>
      </c>
      <c r="S16" s="5530"/>
      <c r="T16" s="5530"/>
      <c r="U16" s="5530" t="s">
        <v>46</v>
      </c>
      <c r="V16" s="5530" t="s">
        <v>46</v>
      </c>
      <c r="W16" s="5536" t="s">
        <v>46</v>
      </c>
      <c r="X16" s="5536" t="s">
        <v>46</v>
      </c>
      <c r="Y16" s="5532" t="s">
        <v>46</v>
      </c>
      <c r="Z16" s="5532" t="s">
        <v>49</v>
      </c>
      <c r="AA16" s="5532" t="s">
        <v>49</v>
      </c>
      <c r="AB16" s="5530" t="s">
        <v>50</v>
      </c>
      <c r="AC16" s="5530" t="s">
        <v>50</v>
      </c>
      <c r="AD16" s="5533" t="s">
        <v>50</v>
      </c>
      <c r="AE16" s="5534" t="s">
        <v>50</v>
      </c>
    </row>
    <row r="17" spans="1:31" ht="18" customHeight="1">
      <c r="A17" s="5520" t="s">
        <v>56</v>
      </c>
      <c r="B17" s="5540" t="s">
        <v>26</v>
      </c>
      <c r="C17" s="5540" t="s">
        <v>26</v>
      </c>
      <c r="D17" s="5540" t="s">
        <v>26</v>
      </c>
      <c r="E17" s="5540"/>
      <c r="F17" s="5540"/>
      <c r="G17" s="5530" t="s">
        <v>43</v>
      </c>
      <c r="H17" s="5530" t="s">
        <v>43</v>
      </c>
      <c r="I17" s="5530" t="s">
        <v>43</v>
      </c>
      <c r="J17" s="5542" t="s">
        <v>43</v>
      </c>
      <c r="K17" s="5530" t="s">
        <v>43</v>
      </c>
      <c r="L17" s="5531"/>
      <c r="M17" s="5523"/>
      <c r="N17" s="5530" t="s">
        <v>46</v>
      </c>
      <c r="O17" s="5531" t="s">
        <v>46</v>
      </c>
      <c r="P17" s="5523" t="s">
        <v>46</v>
      </c>
      <c r="Q17" s="5530" t="s">
        <v>46</v>
      </c>
      <c r="R17" s="5523" t="s">
        <v>46</v>
      </c>
      <c r="S17" s="5532" t="s">
        <v>49</v>
      </c>
      <c r="T17" s="5532" t="s">
        <v>49</v>
      </c>
      <c r="U17" s="5530" t="s">
        <v>50</v>
      </c>
      <c r="V17" s="5532" t="s">
        <v>50</v>
      </c>
      <c r="W17" s="5532" t="s">
        <v>50</v>
      </c>
      <c r="X17" s="5530" t="s">
        <v>50</v>
      </c>
      <c r="Y17" s="5532" t="s">
        <v>50</v>
      </c>
      <c r="Z17" s="5532"/>
      <c r="AA17" s="5532"/>
      <c r="AB17" s="5532" t="s">
        <v>46</v>
      </c>
      <c r="AC17" s="5532" t="s">
        <v>46</v>
      </c>
      <c r="AD17" s="5538" t="s">
        <v>46</v>
      </c>
      <c r="AE17" s="5539" t="s">
        <v>46</v>
      </c>
    </row>
    <row r="18" spans="1:31" ht="18" customHeight="1">
      <c r="B18" s="5530" t="s">
        <v>43</v>
      </c>
      <c r="C18" s="5542" t="s">
        <v>43</v>
      </c>
      <c r="D18" s="5530" t="s">
        <v>43</v>
      </c>
      <c r="E18" s="5537"/>
      <c r="F18" s="5537"/>
      <c r="G18" s="5543" t="s">
        <v>46</v>
      </c>
      <c r="H18" s="5543" t="s">
        <v>46</v>
      </c>
      <c r="I18" s="5543" t="s">
        <v>46</v>
      </c>
      <c r="J18" s="5543" t="s">
        <v>46</v>
      </c>
      <c r="K18" s="5543" t="s">
        <v>46</v>
      </c>
      <c r="L18" s="5530" t="s">
        <v>49</v>
      </c>
      <c r="M18" s="5530" t="s">
        <v>49</v>
      </c>
      <c r="N18" s="5530" t="s">
        <v>50</v>
      </c>
      <c r="O18" s="5530" t="s">
        <v>50</v>
      </c>
      <c r="P18" s="5531" t="s">
        <v>50</v>
      </c>
      <c r="Q18" s="5530" t="s">
        <v>50</v>
      </c>
      <c r="R18" s="5530" t="s">
        <v>50</v>
      </c>
      <c r="S18" s="5537"/>
      <c r="T18" s="5530"/>
      <c r="U18" s="5530" t="s">
        <v>46</v>
      </c>
      <c r="V18" s="5521" t="s">
        <v>46</v>
      </c>
      <c r="W18" s="5544" t="s">
        <v>46</v>
      </c>
      <c r="X18" s="5521" t="s">
        <v>46</v>
      </c>
      <c r="Y18" s="5521" t="s">
        <v>46</v>
      </c>
      <c r="Z18" s="5530" t="s">
        <v>47</v>
      </c>
      <c r="AA18" s="5532" t="s">
        <v>47</v>
      </c>
      <c r="AB18" s="5530" t="s">
        <v>26</v>
      </c>
      <c r="AC18" s="5530" t="s">
        <v>26</v>
      </c>
      <c r="AD18" s="5545" t="s">
        <v>26</v>
      </c>
      <c r="AE18" s="5546" t="s">
        <v>26</v>
      </c>
    </row>
    <row r="19" spans="1:31" ht="18" customHeight="1">
      <c r="A19" s="694" t="s">
        <v>58</v>
      </c>
      <c r="B19" s="695"/>
      <c r="C19" s="695"/>
      <c r="D19" s="695"/>
      <c r="E19" s="695"/>
      <c r="F19" s="695"/>
      <c r="G19" s="695"/>
      <c r="H19" s="695"/>
      <c r="I19" s="695"/>
      <c r="J19" s="695"/>
      <c r="K19" s="695"/>
      <c r="L19" s="695"/>
      <c r="M19" s="695"/>
      <c r="N19" s="695"/>
      <c r="O19" s="695"/>
      <c r="P19" s="695"/>
      <c r="Q19" s="695"/>
      <c r="R19" s="695"/>
      <c r="S19" s="695"/>
      <c r="T19" s="695"/>
      <c r="U19" s="695"/>
      <c r="V19" s="695"/>
      <c r="W19" s="695"/>
      <c r="X19" s="695"/>
      <c r="Y19" s="695"/>
      <c r="Z19" s="695"/>
      <c r="AA19" s="695"/>
      <c r="AB19" s="695"/>
      <c r="AC19" s="695"/>
      <c r="AD19" s="695"/>
      <c r="AE19" s="696"/>
    </row>
    <row r="20" spans="1:31" ht="18" customHeight="1">
      <c r="A20" s="364" t="s">
        <v>59</v>
      </c>
      <c r="B20" s="339" t="s">
        <v>40</v>
      </c>
      <c r="C20" s="339"/>
      <c r="D20" s="339"/>
      <c r="E20" s="339"/>
      <c r="F20" s="339"/>
      <c r="G20" s="339" t="s">
        <v>40</v>
      </c>
      <c r="H20" s="339" t="s">
        <v>40</v>
      </c>
      <c r="I20" s="339" t="s">
        <v>40</v>
      </c>
      <c r="J20" s="339" t="s">
        <v>40</v>
      </c>
      <c r="K20" s="339" t="s">
        <v>40</v>
      </c>
      <c r="L20" s="339"/>
      <c r="M20" s="339"/>
      <c r="N20" s="339" t="s">
        <v>40</v>
      </c>
      <c r="O20" s="339" t="s">
        <v>40</v>
      </c>
      <c r="P20" s="339" t="s">
        <v>40</v>
      </c>
      <c r="Q20" s="339" t="s">
        <v>40</v>
      </c>
      <c r="R20" s="339" t="s">
        <v>40</v>
      </c>
      <c r="S20" s="339"/>
      <c r="T20" s="339"/>
      <c r="U20" s="339" t="s">
        <v>40</v>
      </c>
      <c r="V20" s="339" t="s">
        <v>40</v>
      </c>
      <c r="W20" s="339" t="s">
        <v>40</v>
      </c>
      <c r="X20" s="339" t="s">
        <v>40</v>
      </c>
      <c r="Y20" s="339" t="s">
        <v>40</v>
      </c>
      <c r="Z20" s="339"/>
      <c r="AA20" s="339"/>
      <c r="AB20" s="339" t="s">
        <v>40</v>
      </c>
      <c r="AC20" s="339" t="s">
        <v>40</v>
      </c>
      <c r="AD20" s="339" t="s">
        <v>40</v>
      </c>
      <c r="AE20" s="380" t="s">
        <v>40</v>
      </c>
    </row>
    <row r="21" spans="1:31" ht="18" customHeight="1">
      <c r="A21" s="364" t="s">
        <v>364</v>
      </c>
      <c r="B21" s="340" t="s">
        <v>40</v>
      </c>
      <c r="C21" s="340"/>
      <c r="D21" s="340"/>
      <c r="E21" s="340"/>
      <c r="F21" s="320"/>
      <c r="G21" s="320" t="s">
        <v>40</v>
      </c>
      <c r="H21" s="341" t="s">
        <v>40</v>
      </c>
      <c r="I21" s="341" t="s">
        <v>40</v>
      </c>
      <c r="J21" s="341" t="s">
        <v>40</v>
      </c>
      <c r="K21" s="341" t="s">
        <v>40</v>
      </c>
      <c r="L21" s="341"/>
      <c r="M21" s="341"/>
      <c r="N21" s="342" t="s">
        <v>40</v>
      </c>
      <c r="O21" s="341" t="s">
        <v>40</v>
      </c>
      <c r="P21" s="341" t="s">
        <v>40</v>
      </c>
      <c r="Q21" s="341" t="s">
        <v>40</v>
      </c>
      <c r="R21" s="341" t="s">
        <v>40</v>
      </c>
      <c r="S21" s="341"/>
      <c r="T21" s="341"/>
      <c r="U21" s="341" t="s">
        <v>40</v>
      </c>
      <c r="V21" s="341" t="s">
        <v>40</v>
      </c>
      <c r="W21" s="340" t="s">
        <v>40</v>
      </c>
      <c r="X21" s="340" t="s">
        <v>40</v>
      </c>
      <c r="Y21" s="341" t="s">
        <v>40</v>
      </c>
      <c r="Z21" s="340"/>
      <c r="AA21" s="340"/>
      <c r="AB21" s="341" t="s">
        <v>40</v>
      </c>
      <c r="AC21" s="340" t="s">
        <v>40</v>
      </c>
      <c r="AD21" s="340" t="s">
        <v>40</v>
      </c>
      <c r="AE21" s="400" t="s">
        <v>40</v>
      </c>
    </row>
    <row r="22" spans="1:31" ht="18" customHeight="1">
      <c r="A22" s="364" t="s">
        <v>522</v>
      </c>
      <c r="B22" s="344" t="s">
        <v>40</v>
      </c>
      <c r="C22" s="344"/>
      <c r="D22" s="340"/>
      <c r="E22" s="340"/>
      <c r="F22" s="340"/>
      <c r="G22" s="320" t="s">
        <v>40</v>
      </c>
      <c r="H22" s="320" t="s">
        <v>40</v>
      </c>
      <c r="I22" s="320" t="s">
        <v>40</v>
      </c>
      <c r="J22" s="344" t="s">
        <v>40</v>
      </c>
      <c r="K22" s="344" t="s">
        <v>40</v>
      </c>
      <c r="L22" s="344"/>
      <c r="M22" s="344"/>
      <c r="N22" s="320" t="s">
        <v>40</v>
      </c>
      <c r="O22" s="320" t="s">
        <v>40</v>
      </c>
      <c r="P22" s="320" t="s">
        <v>40</v>
      </c>
      <c r="Q22" s="320" t="s">
        <v>40</v>
      </c>
      <c r="R22" s="320" t="s">
        <v>40</v>
      </c>
      <c r="S22" s="344"/>
      <c r="T22" s="344"/>
      <c r="U22" s="320" t="s">
        <v>40</v>
      </c>
      <c r="V22" s="320" t="s">
        <v>40</v>
      </c>
      <c r="W22" s="344" t="s">
        <v>40</v>
      </c>
      <c r="X22" s="344" t="s">
        <v>40</v>
      </c>
      <c r="Y22" s="344" t="s">
        <v>40</v>
      </c>
      <c r="Z22" s="344"/>
      <c r="AA22" s="344"/>
      <c r="AB22" s="320" t="s">
        <v>40</v>
      </c>
      <c r="AC22" s="320" t="s">
        <v>40</v>
      </c>
      <c r="AD22" s="344" t="s">
        <v>40</v>
      </c>
      <c r="AE22" s="375" t="s">
        <v>40</v>
      </c>
    </row>
    <row r="23" spans="1:31" ht="18" customHeight="1" thickBot="1">
      <c r="A23" s="469" t="s">
        <v>88</v>
      </c>
      <c r="B23" s="379" t="s">
        <v>40</v>
      </c>
      <c r="C23" s="379"/>
      <c r="D23" s="377"/>
      <c r="E23" s="377"/>
      <c r="F23" s="377"/>
      <c r="G23" s="320" t="s">
        <v>40</v>
      </c>
      <c r="H23" s="320" t="s">
        <v>40</v>
      </c>
      <c r="I23" s="320" t="s">
        <v>40</v>
      </c>
      <c r="J23" s="344" t="s">
        <v>40</v>
      </c>
      <c r="K23" s="344" t="s">
        <v>40</v>
      </c>
      <c r="L23" s="344"/>
      <c r="M23" s="344"/>
      <c r="N23" s="320" t="s">
        <v>40</v>
      </c>
      <c r="O23" s="320" t="s">
        <v>40</v>
      </c>
      <c r="P23" s="320" t="s">
        <v>40</v>
      </c>
      <c r="Q23" s="320" t="s">
        <v>40</v>
      </c>
      <c r="R23" s="320" t="s">
        <v>40</v>
      </c>
      <c r="S23" s="344"/>
      <c r="T23" s="344"/>
      <c r="U23" s="320" t="s">
        <v>40</v>
      </c>
      <c r="V23" s="320" t="s">
        <v>40</v>
      </c>
      <c r="W23" s="344" t="s">
        <v>40</v>
      </c>
      <c r="X23" s="344" t="s">
        <v>40</v>
      </c>
      <c r="Y23" s="344" t="s">
        <v>40</v>
      </c>
      <c r="Z23" s="344"/>
      <c r="AA23" s="344"/>
      <c r="AB23" s="320" t="s">
        <v>40</v>
      </c>
      <c r="AC23" s="320" t="s">
        <v>40</v>
      </c>
      <c r="AD23" s="344" t="s">
        <v>40</v>
      </c>
      <c r="AE23" s="375" t="s">
        <v>40</v>
      </c>
    </row>
    <row r="24" spans="1:31" ht="18" customHeight="1">
      <c r="A24" s="461" t="s">
        <v>619</v>
      </c>
      <c r="B24" s="678"/>
      <c r="C24" s="678"/>
      <c r="D24" s="678"/>
      <c r="E24" s="679"/>
      <c r="F24" s="680"/>
      <c r="G24" s="678"/>
      <c r="H24" s="681"/>
      <c r="I24" s="678"/>
      <c r="J24" s="678"/>
      <c r="K24" s="678"/>
      <c r="L24" s="680"/>
      <c r="M24" s="680"/>
      <c r="N24" s="678"/>
      <c r="O24" s="681"/>
      <c r="P24" s="682"/>
      <c r="Q24" s="678"/>
      <c r="R24" s="678"/>
      <c r="S24" s="680"/>
      <c r="T24" s="680"/>
      <c r="U24" s="678"/>
      <c r="V24" s="678"/>
      <c r="W24" s="678"/>
      <c r="X24" s="678"/>
      <c r="Y24" s="678"/>
      <c r="Z24" s="680"/>
      <c r="AA24" s="680"/>
      <c r="AB24" s="680"/>
      <c r="AC24" s="681"/>
      <c r="AD24" s="678"/>
      <c r="AE24" s="683"/>
    </row>
    <row r="25" spans="1:31" ht="12.75" thickBot="1">
      <c r="A25" s="5547" t="s">
        <v>297</v>
      </c>
      <c r="B25" s="379" t="s">
        <v>40</v>
      </c>
      <c r="C25" s="379"/>
      <c r="D25" s="377"/>
      <c r="E25" s="377"/>
      <c r="F25" s="377"/>
      <c r="G25" s="320" t="s">
        <v>40</v>
      </c>
      <c r="H25" s="320" t="s">
        <v>40</v>
      </c>
      <c r="I25" s="320" t="s">
        <v>40</v>
      </c>
      <c r="J25" s="344" t="s">
        <v>40</v>
      </c>
      <c r="K25" s="344" t="s">
        <v>40</v>
      </c>
      <c r="L25" s="344"/>
      <c r="M25" s="344"/>
      <c r="N25" s="320" t="s">
        <v>40</v>
      </c>
      <c r="O25" s="320" t="s">
        <v>40</v>
      </c>
      <c r="P25" s="320" t="s">
        <v>40</v>
      </c>
      <c r="Q25" s="320" t="s">
        <v>40</v>
      </c>
      <c r="R25" s="320" t="s">
        <v>40</v>
      </c>
      <c r="S25" s="344"/>
      <c r="T25" s="344"/>
      <c r="U25" s="320" t="s">
        <v>40</v>
      </c>
      <c r="V25" s="320" t="s">
        <v>40</v>
      </c>
      <c r="W25" s="344" t="s">
        <v>40</v>
      </c>
      <c r="X25" s="344" t="s">
        <v>40</v>
      </c>
      <c r="Y25" s="344" t="s">
        <v>40</v>
      </c>
      <c r="Z25" s="344"/>
      <c r="AA25" s="344"/>
      <c r="AB25" s="320" t="s">
        <v>40</v>
      </c>
      <c r="AC25" s="320" t="s">
        <v>40</v>
      </c>
      <c r="AD25" s="344" t="s">
        <v>40</v>
      </c>
      <c r="AE25" s="375" t="s">
        <v>40</v>
      </c>
    </row>
    <row r="26" spans="1:31" ht="15">
      <c r="A26" s="361" t="s">
        <v>620</v>
      </c>
      <c r="B26" s="448"/>
      <c r="C26" s="448"/>
      <c r="D26" s="448"/>
      <c r="E26" s="449"/>
      <c r="F26" s="450"/>
      <c r="G26" s="448"/>
      <c r="H26" s="451"/>
      <c r="I26" s="448"/>
      <c r="J26" s="448"/>
      <c r="K26" s="448"/>
      <c r="L26" s="450"/>
      <c r="M26" s="450"/>
      <c r="N26" s="448"/>
      <c r="O26" s="451"/>
      <c r="P26" s="452"/>
      <c r="Q26" s="448"/>
      <c r="R26" s="448"/>
      <c r="S26" s="450"/>
      <c r="T26" s="450"/>
      <c r="U26" s="448"/>
      <c r="V26" s="448"/>
      <c r="W26" s="448"/>
      <c r="X26" s="448"/>
      <c r="Y26" s="448"/>
      <c r="Z26" s="450"/>
      <c r="AA26" s="450"/>
      <c r="AB26" s="450"/>
      <c r="AC26" s="451"/>
      <c r="AD26" s="448"/>
      <c r="AE26" s="453"/>
    </row>
    <row r="27" spans="1:31" ht="12.75" thickBot="1">
      <c r="A27" s="454" t="s">
        <v>65</v>
      </c>
      <c r="B27" s="379" t="s">
        <v>40</v>
      </c>
      <c r="C27" s="379"/>
      <c r="D27" s="377"/>
      <c r="E27" s="377"/>
      <c r="F27" s="377"/>
      <c r="G27" s="320" t="s">
        <v>40</v>
      </c>
      <c r="H27" s="320" t="s">
        <v>40</v>
      </c>
      <c r="I27" s="320" t="s">
        <v>40</v>
      </c>
      <c r="J27" s="344" t="s">
        <v>40</v>
      </c>
      <c r="K27" s="344" t="s">
        <v>40</v>
      </c>
      <c r="L27" s="344"/>
      <c r="M27" s="344"/>
      <c r="N27" s="320" t="s">
        <v>40</v>
      </c>
      <c r="O27" s="320" t="s">
        <v>40</v>
      </c>
      <c r="P27" s="320" t="s">
        <v>40</v>
      </c>
      <c r="Q27" s="320" t="s">
        <v>40</v>
      </c>
      <c r="R27" s="320" t="s">
        <v>40</v>
      </c>
      <c r="S27" s="344"/>
      <c r="T27" s="344"/>
      <c r="U27" s="320" t="s">
        <v>40</v>
      </c>
      <c r="V27" s="320" t="s">
        <v>40</v>
      </c>
      <c r="W27" s="344" t="s">
        <v>40</v>
      </c>
      <c r="X27" s="344" t="s">
        <v>40</v>
      </c>
      <c r="Y27" s="344" t="s">
        <v>40</v>
      </c>
      <c r="Z27" s="344"/>
      <c r="AA27" s="344"/>
      <c r="AB27" s="320" t="s">
        <v>40</v>
      </c>
      <c r="AC27" s="320" t="s">
        <v>40</v>
      </c>
      <c r="AD27" s="344" t="s">
        <v>40</v>
      </c>
      <c r="AE27" s="375" t="s">
        <v>40</v>
      </c>
    </row>
    <row r="28" spans="1:31" ht="12.75" customHeight="1" thickBot="1">
      <c r="A28" s="95"/>
      <c r="B28" s="173"/>
      <c r="C28" s="173"/>
      <c r="D28" s="173"/>
      <c r="E28" s="99"/>
      <c r="F28" s="108"/>
      <c r="G28" s="173"/>
      <c r="H28" s="174"/>
      <c r="I28" s="173"/>
      <c r="J28" s="173"/>
      <c r="K28" s="173"/>
      <c r="L28" s="108"/>
      <c r="M28" s="108"/>
      <c r="N28" s="173"/>
      <c r="O28" s="174"/>
      <c r="P28" s="405"/>
      <c r="Q28" s="173"/>
      <c r="R28" s="173"/>
      <c r="S28" s="108"/>
      <c r="T28" s="108"/>
      <c r="U28" s="173"/>
      <c r="V28" s="173"/>
      <c r="W28" s="173"/>
      <c r="X28" s="173"/>
      <c r="Y28" s="173"/>
      <c r="Z28" s="108"/>
      <c r="AA28" s="108"/>
      <c r="AB28" s="108"/>
      <c r="AC28" s="174"/>
      <c r="AD28" s="173"/>
      <c r="AE28" s="173"/>
    </row>
    <row r="29" spans="1:31" ht="12.75" customHeight="1" thickBot="1">
      <c r="A29" s="362" t="s">
        <v>584</v>
      </c>
      <c r="B29" s="872">
        <v>1</v>
      </c>
      <c r="C29" s="873">
        <v>2</v>
      </c>
      <c r="D29" s="873">
        <v>3</v>
      </c>
      <c r="E29" s="873">
        <v>4</v>
      </c>
      <c r="F29" s="873">
        <v>5</v>
      </c>
      <c r="G29" s="873">
        <v>6</v>
      </c>
      <c r="H29" s="872">
        <v>7</v>
      </c>
      <c r="I29" s="872">
        <v>8</v>
      </c>
      <c r="J29" s="872">
        <v>9</v>
      </c>
      <c r="K29" s="872">
        <v>10</v>
      </c>
      <c r="L29" s="873">
        <v>11</v>
      </c>
      <c r="M29" s="873">
        <v>12</v>
      </c>
      <c r="N29" s="872">
        <v>13</v>
      </c>
      <c r="O29" s="872">
        <v>14</v>
      </c>
      <c r="P29" s="872">
        <v>15</v>
      </c>
      <c r="Q29" s="872">
        <v>16</v>
      </c>
      <c r="R29" s="872">
        <v>17</v>
      </c>
      <c r="S29" s="873">
        <v>18</v>
      </c>
      <c r="T29" s="873">
        <v>19</v>
      </c>
      <c r="U29" s="872">
        <v>20</v>
      </c>
      <c r="V29" s="872">
        <v>21</v>
      </c>
      <c r="W29" s="872">
        <v>22</v>
      </c>
      <c r="X29" s="872">
        <v>23</v>
      </c>
      <c r="Y29" s="872">
        <v>24</v>
      </c>
      <c r="Z29" s="873">
        <v>25</v>
      </c>
      <c r="AA29" s="873">
        <v>26</v>
      </c>
      <c r="AB29" s="872">
        <v>27</v>
      </c>
      <c r="AC29" s="872">
        <v>28</v>
      </c>
      <c r="AD29" s="872">
        <v>29</v>
      </c>
      <c r="AE29" s="874">
        <v>30</v>
      </c>
    </row>
    <row r="30" spans="1:31" ht="12.75" customHeight="1">
      <c r="A30" s="356"/>
      <c r="B30" s="343"/>
      <c r="C30" s="343"/>
      <c r="D30" s="343"/>
      <c r="E30" s="343"/>
      <c r="F30" s="343"/>
      <c r="G30" s="343"/>
      <c r="H30" s="343"/>
      <c r="I30" s="343"/>
      <c r="J30" s="343"/>
      <c r="K30" s="343"/>
      <c r="L30" s="343"/>
      <c r="M30" s="343"/>
      <c r="N30" s="343"/>
      <c r="O30" s="343"/>
      <c r="P30" s="343"/>
      <c r="Q30" s="343"/>
      <c r="R30" s="343"/>
      <c r="S30" s="343"/>
      <c r="T30" s="343"/>
      <c r="U30" s="343"/>
      <c r="V30" s="343"/>
      <c r="W30" s="343"/>
      <c r="X30" s="343"/>
      <c r="Y30" s="343"/>
      <c r="Z30" s="343"/>
      <c r="AA30" s="343"/>
      <c r="AB30" s="343"/>
      <c r="AC30" s="343"/>
      <c r="AD30" s="343"/>
      <c r="AE30" s="357"/>
    </row>
    <row r="31" spans="1:31" ht="12.75" customHeight="1">
      <c r="A31" s="356"/>
      <c r="B31" s="343"/>
      <c r="C31" s="343"/>
      <c r="D31" s="343"/>
      <c r="E31" s="343"/>
      <c r="F31" s="343"/>
      <c r="G31" s="343"/>
      <c r="H31" s="343"/>
      <c r="I31" s="343"/>
      <c r="J31" s="343"/>
      <c r="K31" s="343"/>
      <c r="L31" s="343"/>
      <c r="M31" s="343"/>
      <c r="N31" s="343"/>
      <c r="O31" s="343"/>
      <c r="P31" s="343"/>
      <c r="Q31" s="343"/>
      <c r="R31" s="343"/>
      <c r="S31" s="343"/>
      <c r="T31" s="343"/>
      <c r="U31" s="343"/>
      <c r="V31" s="343"/>
      <c r="W31" s="343"/>
      <c r="X31" s="343"/>
      <c r="Y31" s="343"/>
      <c r="Z31" s="343"/>
      <c r="AA31" s="343"/>
      <c r="AB31" s="343"/>
      <c r="AC31" s="343"/>
      <c r="AD31" s="343"/>
      <c r="AE31" s="357"/>
    </row>
    <row r="32" spans="1:31" ht="12.75" customHeight="1">
      <c r="A32" s="356"/>
      <c r="B32" s="343"/>
      <c r="C32" s="343"/>
      <c r="D32" s="343"/>
      <c r="E32" s="343"/>
      <c r="F32" s="343"/>
      <c r="G32" s="343"/>
      <c r="H32" s="343"/>
      <c r="I32" s="343"/>
      <c r="J32" s="343"/>
      <c r="K32" s="343"/>
      <c r="L32" s="343"/>
      <c r="M32" s="343"/>
      <c r="N32" s="343"/>
      <c r="O32" s="343"/>
      <c r="P32" s="343"/>
      <c r="Q32" s="343"/>
      <c r="R32" s="343"/>
      <c r="S32" s="343"/>
      <c r="T32" s="343"/>
      <c r="U32" s="343"/>
      <c r="V32" s="343"/>
      <c r="W32" s="343"/>
      <c r="X32" s="343"/>
      <c r="Y32" s="343"/>
      <c r="Z32" s="343"/>
      <c r="AA32" s="343"/>
      <c r="AB32" s="343"/>
      <c r="AC32" s="343"/>
      <c r="AD32" s="343"/>
      <c r="AE32" s="357"/>
    </row>
    <row r="33" spans="1:31" ht="12.75" customHeight="1">
      <c r="A33" s="356"/>
      <c r="B33" s="343"/>
      <c r="C33" s="343"/>
      <c r="D33" s="343"/>
      <c r="E33" s="343"/>
      <c r="F33" s="343"/>
      <c r="G33" s="343"/>
      <c r="H33" s="343"/>
      <c r="I33" s="343"/>
      <c r="J33" s="343"/>
      <c r="K33" s="343"/>
      <c r="L33" s="343"/>
      <c r="M33" s="343"/>
      <c r="N33" s="343"/>
      <c r="O33" s="343"/>
      <c r="P33" s="343"/>
      <c r="Q33" s="343"/>
      <c r="R33" s="343"/>
      <c r="S33" s="343"/>
      <c r="T33" s="343"/>
      <c r="U33" s="343"/>
      <c r="V33" s="343"/>
      <c r="W33" s="343"/>
      <c r="X33" s="343"/>
      <c r="Y33" s="343"/>
      <c r="Z33" s="343"/>
      <c r="AA33" s="343"/>
      <c r="AB33" s="343"/>
      <c r="AC33" s="343"/>
      <c r="AD33" s="343"/>
      <c r="AE33" s="357"/>
    </row>
    <row r="34" spans="1:31" ht="12.75" customHeight="1" thickBot="1">
      <c r="A34" s="358"/>
      <c r="B34" s="359"/>
      <c r="C34" s="359"/>
      <c r="D34" s="359"/>
      <c r="E34" s="359"/>
      <c r="F34" s="359"/>
      <c r="G34" s="359"/>
      <c r="H34" s="359"/>
      <c r="I34" s="359"/>
      <c r="J34" s="359"/>
      <c r="K34" s="359"/>
      <c r="L34" s="359"/>
      <c r="M34" s="359"/>
      <c r="N34" s="359"/>
      <c r="O34" s="359"/>
      <c r="P34" s="359"/>
      <c r="Q34" s="359"/>
      <c r="R34" s="359"/>
      <c r="S34" s="359"/>
      <c r="T34" s="359"/>
      <c r="U34" s="359"/>
      <c r="V34" s="359"/>
      <c r="W34" s="359"/>
      <c r="X34" s="359"/>
      <c r="Y34" s="359"/>
      <c r="Z34" s="359"/>
      <c r="AA34" s="359"/>
      <c r="AB34" s="359"/>
      <c r="AC34" s="359"/>
      <c r="AD34" s="359"/>
      <c r="AE34" s="360"/>
    </row>
    <row r="35" spans="1:31" ht="12.75" customHeight="1">
      <c r="A35" s="95"/>
      <c r="B35" s="173"/>
      <c r="C35" s="173"/>
      <c r="D35" s="173"/>
      <c r="E35" s="99"/>
      <c r="F35" s="108"/>
      <c r="G35" s="173"/>
      <c r="H35" s="174"/>
      <c r="I35" s="173"/>
      <c r="J35" s="173"/>
      <c r="K35" s="173"/>
      <c r="L35" s="108"/>
      <c r="M35" s="108"/>
      <c r="N35" s="173"/>
      <c r="O35" s="174"/>
      <c r="P35" s="405"/>
      <c r="Q35" s="173"/>
      <c r="R35" s="173"/>
      <c r="S35" s="108"/>
      <c r="T35" s="108"/>
      <c r="U35" s="173"/>
      <c r="V35" s="173"/>
      <c r="W35" s="173"/>
      <c r="X35" s="173"/>
      <c r="Y35" s="173"/>
      <c r="Z35" s="108"/>
      <c r="AA35" s="108"/>
      <c r="AB35" s="108"/>
      <c r="AC35" s="174"/>
      <c r="AD35" s="173"/>
      <c r="AE35" s="173"/>
    </row>
    <row r="36" spans="1:31">
      <c r="A36" s="95"/>
      <c r="B36" s="173"/>
      <c r="C36" s="173"/>
      <c r="D36" s="173"/>
      <c r="E36" s="99"/>
      <c r="F36" s="108"/>
      <c r="G36" s="173"/>
      <c r="H36" s="174"/>
      <c r="I36" s="173"/>
      <c r="J36" s="173"/>
      <c r="K36" s="173"/>
      <c r="L36" s="108"/>
      <c r="M36" s="108"/>
      <c r="N36" s="173"/>
      <c r="O36" s="174"/>
      <c r="P36" s="405"/>
      <c r="Q36" s="173"/>
      <c r="R36" s="173"/>
      <c r="S36" s="108"/>
      <c r="T36" s="108"/>
      <c r="U36" s="173"/>
      <c r="V36" s="173"/>
      <c r="W36" s="173"/>
      <c r="X36" s="173"/>
      <c r="Y36" s="173"/>
      <c r="Z36" s="108"/>
      <c r="AA36" s="108"/>
      <c r="AB36" s="108"/>
      <c r="AC36" s="174"/>
      <c r="AD36" s="173"/>
      <c r="AE36" s="173"/>
    </row>
    <row r="37" spans="1:31" ht="15">
      <c r="A37" s="5548" t="s">
        <v>74</v>
      </c>
      <c r="B37" s="5549"/>
      <c r="C37" s="5549"/>
      <c r="D37" s="5550" t="s">
        <v>75</v>
      </c>
      <c r="E37" s="5551"/>
      <c r="F37" s="5552"/>
      <c r="G37" s="5552"/>
      <c r="H37" s="5552"/>
      <c r="I37" s="5552"/>
      <c r="J37" s="5552"/>
      <c r="K37" s="5552"/>
      <c r="L37" s="5553"/>
      <c r="M37" s="5554" t="s">
        <v>76</v>
      </c>
      <c r="N37" s="5549"/>
      <c r="O37" s="5555"/>
      <c r="P37" s="5549"/>
      <c r="Q37" s="5549"/>
      <c r="R37" s="5549"/>
      <c r="S37" s="5556"/>
      <c r="T37" s="5550" t="s">
        <v>77</v>
      </c>
      <c r="U37" s="5552"/>
      <c r="V37" s="5551"/>
      <c r="W37" s="5552"/>
      <c r="X37" s="5552"/>
      <c r="Y37" s="5552"/>
      <c r="Z37" s="5553"/>
      <c r="AA37" s="97" t="s">
        <v>78</v>
      </c>
      <c r="AD37" s="59"/>
    </row>
    <row r="38" spans="1:31" ht="15">
      <c r="A38" s="5557" t="s">
        <v>79</v>
      </c>
      <c r="B38" s="5552"/>
      <c r="C38" s="5552"/>
      <c r="D38" s="5558"/>
      <c r="E38" s="5552"/>
      <c r="F38" s="5552"/>
      <c r="G38" s="5553"/>
      <c r="H38" s="5559" t="s">
        <v>80</v>
      </c>
      <c r="I38" s="5552"/>
      <c r="J38" s="5552"/>
      <c r="K38" s="5552"/>
      <c r="L38" s="5552"/>
      <c r="M38" s="5560"/>
      <c r="N38" s="5552"/>
      <c r="O38" s="5552"/>
      <c r="P38" s="5552"/>
      <c r="Q38" s="5552"/>
      <c r="R38" s="5552"/>
      <c r="S38" s="5552"/>
      <c r="T38" s="5558"/>
      <c r="U38" s="96" t="s">
        <v>81</v>
      </c>
      <c r="AA38" s="5555"/>
      <c r="AB38" s="5549"/>
      <c r="AC38" s="5549"/>
      <c r="AD38" s="5549"/>
    </row>
    <row r="39" spans="1:31" ht="15.75" thickBot="1">
      <c r="A39" s="5561" t="s">
        <v>82</v>
      </c>
      <c r="B39" s="5562"/>
      <c r="C39" s="5562"/>
      <c r="D39" s="5563"/>
      <c r="E39" s="5562"/>
      <c r="F39" s="5562"/>
      <c r="G39" s="5564"/>
      <c r="H39" s="5565" t="s">
        <v>83</v>
      </c>
      <c r="I39" s="5564"/>
      <c r="J39" s="5562"/>
      <c r="K39" s="5562"/>
      <c r="L39" s="5562"/>
      <c r="M39" s="5566"/>
      <c r="N39" s="5562"/>
      <c r="O39" s="5562"/>
      <c r="P39" s="5562"/>
      <c r="Q39" s="5567"/>
      <c r="R39" s="5567"/>
      <c r="S39" s="5567"/>
      <c r="T39" s="5563"/>
      <c r="U39" s="5568" t="s">
        <v>84</v>
      </c>
      <c r="V39" s="5562"/>
      <c r="W39" s="5562"/>
      <c r="X39" s="5562"/>
      <c r="Y39" s="5562"/>
      <c r="Z39" s="5562"/>
      <c r="AA39" s="5562"/>
      <c r="AB39" s="5562"/>
      <c r="AC39" s="5562"/>
      <c r="AD39" s="5562"/>
    </row>
    <row r="41" spans="1:31" ht="18" customHeight="1" thickBot="1">
      <c r="A41" s="62" t="s">
        <v>36</v>
      </c>
      <c r="B41" s="48"/>
      <c r="C41" s="48"/>
      <c r="D41" s="48"/>
      <c r="E41" s="48"/>
      <c r="F41" s="48"/>
      <c r="G41" s="48"/>
      <c r="H41" s="48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  <c r="AA41" s="48"/>
      <c r="AB41" s="48"/>
      <c r="AC41" s="48"/>
      <c r="AD41" s="48"/>
      <c r="AE41" s="48"/>
    </row>
    <row r="42" spans="1:31" ht="18" customHeight="1" thickBot="1">
      <c r="A42" s="426" t="s">
        <v>523</v>
      </c>
      <c r="B42" s="865">
        <v>1</v>
      </c>
      <c r="C42" s="866">
        <v>2</v>
      </c>
      <c r="D42" s="866">
        <v>3</v>
      </c>
      <c r="E42" s="866">
        <v>4</v>
      </c>
      <c r="F42" s="866">
        <v>5</v>
      </c>
      <c r="G42" s="866">
        <v>6</v>
      </c>
      <c r="H42" s="865">
        <v>7</v>
      </c>
      <c r="I42" s="865">
        <v>8</v>
      </c>
      <c r="J42" s="865">
        <v>9</v>
      </c>
      <c r="K42" s="865">
        <v>10</v>
      </c>
      <c r="L42" s="866">
        <v>11</v>
      </c>
      <c r="M42" s="866">
        <v>12</v>
      </c>
      <c r="N42" s="865">
        <v>13</v>
      </c>
      <c r="O42" s="865">
        <v>14</v>
      </c>
      <c r="P42" s="865">
        <v>15</v>
      </c>
      <c r="Q42" s="865">
        <v>16</v>
      </c>
      <c r="R42" s="865">
        <v>17</v>
      </c>
      <c r="S42" s="866">
        <v>18</v>
      </c>
      <c r="T42" s="866">
        <v>19</v>
      </c>
      <c r="U42" s="865">
        <v>20</v>
      </c>
      <c r="V42" s="865">
        <v>21</v>
      </c>
      <c r="W42" s="865">
        <v>22</v>
      </c>
      <c r="X42" s="865">
        <v>23</v>
      </c>
      <c r="Y42" s="865">
        <v>24</v>
      </c>
      <c r="Z42" s="866">
        <v>25</v>
      </c>
      <c r="AA42" s="866">
        <v>26</v>
      </c>
      <c r="AB42" s="865">
        <v>27</v>
      </c>
      <c r="AC42" s="865">
        <v>28</v>
      </c>
      <c r="AD42" s="865">
        <v>29</v>
      </c>
      <c r="AE42" s="867">
        <v>30</v>
      </c>
    </row>
    <row r="43" spans="1:31" ht="18" customHeight="1">
      <c r="A43" s="931" t="s">
        <v>85</v>
      </c>
      <c r="B43" s="3088">
        <v>3</v>
      </c>
      <c r="C43" s="3089">
        <v>3</v>
      </c>
      <c r="D43" s="3088">
        <v>3</v>
      </c>
      <c r="E43" s="3088"/>
      <c r="F43" s="3088"/>
      <c r="G43" s="3088">
        <v>11</v>
      </c>
      <c r="H43" s="3088">
        <v>11</v>
      </c>
      <c r="I43" s="5569">
        <v>11</v>
      </c>
      <c r="J43" s="3088">
        <v>11</v>
      </c>
      <c r="K43" s="3088">
        <v>11</v>
      </c>
      <c r="L43" s="3088" t="s">
        <v>87</v>
      </c>
      <c r="M43" s="3088" t="s">
        <v>87</v>
      </c>
      <c r="N43" s="3089" t="s">
        <v>46</v>
      </c>
      <c r="O43" s="3088" t="s">
        <v>46</v>
      </c>
      <c r="P43" s="3090" t="s">
        <v>46</v>
      </c>
      <c r="Q43" s="3089" t="s">
        <v>46</v>
      </c>
      <c r="R43" s="3088" t="s">
        <v>46</v>
      </c>
      <c r="S43" s="3088" t="s">
        <v>89</v>
      </c>
      <c r="T43" s="3088" t="s">
        <v>89</v>
      </c>
      <c r="U43" s="3088">
        <v>8</v>
      </c>
      <c r="V43" s="3088">
        <v>8</v>
      </c>
      <c r="W43" s="3090">
        <v>8</v>
      </c>
      <c r="X43" s="3090">
        <v>8</v>
      </c>
      <c r="Y43" s="3088">
        <v>8</v>
      </c>
      <c r="Z43" s="3088"/>
      <c r="AA43" s="3090"/>
      <c r="AB43" s="3090" t="s">
        <v>46</v>
      </c>
      <c r="AC43" s="3090" t="s">
        <v>46</v>
      </c>
      <c r="AD43" s="3088" t="s">
        <v>46</v>
      </c>
      <c r="AE43" s="5225" t="s">
        <v>46</v>
      </c>
    </row>
    <row r="44" spans="1:31" ht="18" customHeight="1">
      <c r="A44" s="364" t="s">
        <v>177</v>
      </c>
      <c r="B44" s="5541">
        <v>1</v>
      </c>
      <c r="C44" s="5541">
        <v>1</v>
      </c>
      <c r="D44" s="5541">
        <v>1</v>
      </c>
      <c r="E44" s="5541"/>
      <c r="F44" s="5541"/>
      <c r="G44" s="5541">
        <v>9</v>
      </c>
      <c r="H44" s="5541">
        <v>9</v>
      </c>
      <c r="I44" s="5541">
        <v>9</v>
      </c>
      <c r="J44" s="5541">
        <v>9</v>
      </c>
      <c r="K44" s="5541">
        <v>9</v>
      </c>
      <c r="L44" s="5541" t="s">
        <v>52</v>
      </c>
      <c r="M44" s="5541" t="s">
        <v>53</v>
      </c>
      <c r="N44" s="5541" t="s">
        <v>46</v>
      </c>
      <c r="O44" s="5541" t="s">
        <v>46</v>
      </c>
      <c r="P44" s="5541" t="s">
        <v>46</v>
      </c>
      <c r="Q44" s="5541" t="s">
        <v>46</v>
      </c>
      <c r="R44" s="5541" t="s">
        <v>46</v>
      </c>
      <c r="S44" s="5541" t="s">
        <v>91</v>
      </c>
      <c r="T44" s="5541" t="s">
        <v>89</v>
      </c>
      <c r="U44" s="5541">
        <v>6</v>
      </c>
      <c r="V44" s="5541">
        <v>6</v>
      </c>
      <c r="W44" s="5541">
        <v>6</v>
      </c>
      <c r="X44" s="5541">
        <v>6</v>
      </c>
      <c r="Y44" s="5541">
        <v>6</v>
      </c>
      <c r="Z44" s="5541"/>
      <c r="AA44" s="5541"/>
      <c r="AB44" s="5541" t="s">
        <v>46</v>
      </c>
      <c r="AC44" s="5541" t="s">
        <v>46</v>
      </c>
      <c r="AD44" s="5541" t="s">
        <v>46</v>
      </c>
      <c r="AE44" s="5570" t="s">
        <v>46</v>
      </c>
    </row>
    <row r="45" spans="1:31" ht="18" customHeight="1" thickBot="1">
      <c r="A45" s="469" t="s">
        <v>90</v>
      </c>
      <c r="B45" s="5571">
        <v>5</v>
      </c>
      <c r="C45" s="5571"/>
      <c r="D45" s="5572"/>
      <c r="E45" s="5571"/>
      <c r="F45" s="5571"/>
      <c r="G45" s="5571">
        <v>10</v>
      </c>
      <c r="H45" s="5571">
        <v>10</v>
      </c>
      <c r="I45" s="5571">
        <v>10</v>
      </c>
      <c r="J45" s="5571">
        <v>10</v>
      </c>
      <c r="K45" s="5571">
        <v>10</v>
      </c>
      <c r="L45" s="5527" t="s">
        <v>53</v>
      </c>
      <c r="M45" s="5571" t="s">
        <v>53</v>
      </c>
      <c r="N45" s="5571" t="s">
        <v>46</v>
      </c>
      <c r="O45" s="5571" t="s">
        <v>46</v>
      </c>
      <c r="P45" s="5571" t="s">
        <v>46</v>
      </c>
      <c r="Q45" s="5571" t="s">
        <v>46</v>
      </c>
      <c r="R45" s="5571" t="s">
        <v>46</v>
      </c>
      <c r="S45" s="5525" t="s">
        <v>86</v>
      </c>
      <c r="T45" s="5571" t="s">
        <v>86</v>
      </c>
      <c r="U45" s="5571">
        <v>7</v>
      </c>
      <c r="V45" s="5571">
        <v>7</v>
      </c>
      <c r="W45" s="5571">
        <v>7</v>
      </c>
      <c r="X45" s="5571">
        <v>7</v>
      </c>
      <c r="Y45" s="5571">
        <v>7</v>
      </c>
      <c r="Z45" s="5571"/>
      <c r="AA45" s="5571"/>
      <c r="AB45" s="5571">
        <v>4</v>
      </c>
      <c r="AC45" s="5571">
        <v>4</v>
      </c>
      <c r="AD45" s="5571">
        <v>4</v>
      </c>
      <c r="AE45" s="5573">
        <v>4</v>
      </c>
    </row>
    <row r="46" spans="1:31" ht="18" customHeight="1">
      <c r="A46" s="470" t="s">
        <v>92</v>
      </c>
      <c r="B46" s="2989">
        <v>11</v>
      </c>
      <c r="C46" s="2990">
        <v>11</v>
      </c>
      <c r="D46" s="2990">
        <v>11</v>
      </c>
      <c r="E46" s="2989" t="s">
        <v>87</v>
      </c>
      <c r="F46" s="2989" t="s">
        <v>87</v>
      </c>
      <c r="G46" s="3088" t="s">
        <v>46</v>
      </c>
      <c r="H46" s="3088" t="s">
        <v>46</v>
      </c>
      <c r="I46" s="3089" t="s">
        <v>46</v>
      </c>
      <c r="J46" s="3089" t="s">
        <v>46</v>
      </c>
      <c r="K46" s="3088" t="s">
        <v>46</v>
      </c>
      <c r="L46" s="3088" t="s">
        <v>89</v>
      </c>
      <c r="M46" s="3088" t="s">
        <v>89</v>
      </c>
      <c r="N46" s="3090">
        <v>8</v>
      </c>
      <c r="O46" s="3088">
        <v>8</v>
      </c>
      <c r="P46" s="3090">
        <v>8</v>
      </c>
      <c r="Q46" s="3090">
        <v>8</v>
      </c>
      <c r="R46" s="3089">
        <v>8</v>
      </c>
      <c r="S46" s="3090"/>
      <c r="T46" s="3090"/>
      <c r="U46" s="3868" t="s">
        <v>46</v>
      </c>
      <c r="V46" s="3868" t="s">
        <v>46</v>
      </c>
      <c r="W46" s="3868" t="s">
        <v>46</v>
      </c>
      <c r="X46" s="3869" t="s">
        <v>46</v>
      </c>
      <c r="Y46" s="3869" t="s">
        <v>46</v>
      </c>
      <c r="Z46" s="3869"/>
      <c r="AA46" s="3088"/>
      <c r="AB46" s="3090">
        <v>1</v>
      </c>
      <c r="AC46" s="3090">
        <v>1</v>
      </c>
      <c r="AD46" s="3088">
        <v>1</v>
      </c>
      <c r="AE46" s="5225">
        <v>1</v>
      </c>
    </row>
    <row r="47" spans="1:31" ht="18" customHeight="1">
      <c r="A47" s="365" t="s">
        <v>243</v>
      </c>
      <c r="B47" s="5531">
        <v>9</v>
      </c>
      <c r="C47" s="5531">
        <v>9</v>
      </c>
      <c r="D47" s="5531">
        <v>9</v>
      </c>
      <c r="E47" s="5530" t="s">
        <v>52</v>
      </c>
      <c r="F47" s="5530" t="s">
        <v>53</v>
      </c>
      <c r="G47" s="5544" t="s">
        <v>46</v>
      </c>
      <c r="H47" s="5544" t="s">
        <v>46</v>
      </c>
      <c r="I47" s="5536" t="s">
        <v>46</v>
      </c>
      <c r="J47" s="5536" t="s">
        <v>46</v>
      </c>
      <c r="K47" s="5544" t="s">
        <v>46</v>
      </c>
      <c r="L47" s="5521" t="s">
        <v>91</v>
      </c>
      <c r="M47" s="5574" t="s">
        <v>89</v>
      </c>
      <c r="N47" s="5574">
        <v>6</v>
      </c>
      <c r="O47" s="5574">
        <v>6</v>
      </c>
      <c r="P47" s="5574">
        <v>6</v>
      </c>
      <c r="Q47" s="5574">
        <v>6</v>
      </c>
      <c r="R47" s="5574">
        <v>6</v>
      </c>
      <c r="S47" s="111"/>
      <c r="T47" s="5530"/>
      <c r="U47" s="5532" t="s">
        <v>46</v>
      </c>
      <c r="V47" s="5532" t="s">
        <v>46</v>
      </c>
      <c r="W47" s="5532" t="s">
        <v>46</v>
      </c>
      <c r="X47" s="5544" t="s">
        <v>46</v>
      </c>
      <c r="Y47" s="5544" t="s">
        <v>46</v>
      </c>
      <c r="Z47" s="5536"/>
      <c r="AA47" s="111"/>
      <c r="AB47" s="5544">
        <v>5</v>
      </c>
      <c r="AC47" s="5544">
        <v>5</v>
      </c>
      <c r="AD47" s="5544">
        <v>5</v>
      </c>
      <c r="AE47" s="5575">
        <v>5</v>
      </c>
    </row>
    <row r="48" spans="1:31" ht="18" customHeight="1" thickBot="1">
      <c r="A48" s="401" t="s">
        <v>94</v>
      </c>
      <c r="B48" s="5527">
        <v>10</v>
      </c>
      <c r="C48" s="5527">
        <v>10</v>
      </c>
      <c r="D48" s="5527">
        <v>10</v>
      </c>
      <c r="E48" s="5527" t="s">
        <v>53</v>
      </c>
      <c r="F48" s="5527" t="s">
        <v>53</v>
      </c>
      <c r="G48" s="5527" t="s">
        <v>46</v>
      </c>
      <c r="H48" s="5527" t="s">
        <v>46</v>
      </c>
      <c r="I48" s="5527" t="s">
        <v>46</v>
      </c>
      <c r="J48" s="5527" t="s">
        <v>46</v>
      </c>
      <c r="K48" s="5527" t="s">
        <v>46</v>
      </c>
      <c r="L48" s="5527" t="s">
        <v>86</v>
      </c>
      <c r="M48" s="5527" t="s">
        <v>86</v>
      </c>
      <c r="N48" s="5576">
        <v>7</v>
      </c>
      <c r="O48" s="5576">
        <v>7</v>
      </c>
      <c r="P48" s="5576">
        <v>7</v>
      </c>
      <c r="Q48" s="5576">
        <v>7</v>
      </c>
      <c r="R48" s="5576">
        <v>7</v>
      </c>
      <c r="S48" s="5576"/>
      <c r="T48" s="5576"/>
      <c r="U48" s="5527">
        <v>4</v>
      </c>
      <c r="V48" s="5527">
        <v>4</v>
      </c>
      <c r="W48" s="5527">
        <v>4</v>
      </c>
      <c r="X48" s="5527">
        <v>4</v>
      </c>
      <c r="Y48" s="5527">
        <v>4</v>
      </c>
      <c r="Z48" s="5527"/>
      <c r="AA48" s="5527"/>
      <c r="AB48" s="5527">
        <v>3</v>
      </c>
      <c r="AC48" s="5527">
        <v>3</v>
      </c>
      <c r="AD48" s="5527">
        <v>3</v>
      </c>
      <c r="AE48" s="5577">
        <v>3</v>
      </c>
    </row>
    <row r="49" spans="1:31" ht="18" customHeight="1">
      <c r="A49" s="471" t="s">
        <v>95</v>
      </c>
      <c r="B49" s="501" t="s">
        <v>46</v>
      </c>
      <c r="C49" s="508" t="s">
        <v>46</v>
      </c>
      <c r="D49" s="504" t="s">
        <v>46</v>
      </c>
      <c r="E49" s="504" t="s">
        <v>89</v>
      </c>
      <c r="F49" s="504" t="s">
        <v>89</v>
      </c>
      <c r="G49" s="504">
        <v>8</v>
      </c>
      <c r="H49" s="504">
        <v>8</v>
      </c>
      <c r="I49" s="508">
        <v>8</v>
      </c>
      <c r="J49" s="508">
        <v>8</v>
      </c>
      <c r="K49" s="508">
        <v>8</v>
      </c>
      <c r="L49" s="508"/>
      <c r="M49" s="508"/>
      <c r="N49" s="508" t="s">
        <v>46</v>
      </c>
      <c r="O49" s="508" t="s">
        <v>46</v>
      </c>
      <c r="P49" s="508" t="s">
        <v>46</v>
      </c>
      <c r="Q49" s="504" t="s">
        <v>46</v>
      </c>
      <c r="R49" s="504" t="s">
        <v>46</v>
      </c>
      <c r="S49" s="504"/>
      <c r="T49" s="504"/>
      <c r="U49" s="508">
        <v>1</v>
      </c>
      <c r="V49" s="508">
        <v>1</v>
      </c>
      <c r="W49" s="501">
        <v>1</v>
      </c>
      <c r="X49" s="504">
        <v>1</v>
      </c>
      <c r="Y49" s="504">
        <v>1</v>
      </c>
      <c r="Z49" s="504"/>
      <c r="AA49" s="504"/>
      <c r="AB49" s="509">
        <v>9</v>
      </c>
      <c r="AC49" s="504">
        <v>9</v>
      </c>
      <c r="AD49" s="504">
        <v>9</v>
      </c>
      <c r="AE49" s="698">
        <v>9</v>
      </c>
    </row>
    <row r="50" spans="1:31" ht="18" customHeight="1">
      <c r="A50" s="364" t="s">
        <v>96</v>
      </c>
      <c r="B50" s="5523" t="s">
        <v>46</v>
      </c>
      <c r="C50" s="5523" t="s">
        <v>46</v>
      </c>
      <c r="D50" s="5523" t="s">
        <v>46</v>
      </c>
      <c r="E50" s="5523" t="s">
        <v>91</v>
      </c>
      <c r="F50" s="5523" t="s">
        <v>89</v>
      </c>
      <c r="G50" s="5523">
        <v>6</v>
      </c>
      <c r="H50" s="5523">
        <v>6</v>
      </c>
      <c r="I50" s="5523">
        <v>6</v>
      </c>
      <c r="J50" s="5523">
        <v>6</v>
      </c>
      <c r="K50" s="5523">
        <v>6</v>
      </c>
      <c r="L50" s="5523"/>
      <c r="M50" s="5523"/>
      <c r="N50" s="5523" t="s">
        <v>46</v>
      </c>
      <c r="O50" s="5523" t="s">
        <v>46</v>
      </c>
      <c r="P50" s="5523" t="s">
        <v>46</v>
      </c>
      <c r="Q50" s="5523" t="s">
        <v>46</v>
      </c>
      <c r="R50" s="5523" t="s">
        <v>46</v>
      </c>
      <c r="S50" s="5523"/>
      <c r="T50" s="5523"/>
      <c r="U50" s="5523">
        <v>5</v>
      </c>
      <c r="V50" s="5523">
        <v>5</v>
      </c>
      <c r="W50" s="5523">
        <v>5</v>
      </c>
      <c r="X50" s="5544">
        <v>5</v>
      </c>
      <c r="Y50" s="5544">
        <v>5</v>
      </c>
      <c r="Z50" s="5544"/>
      <c r="AA50" s="5544"/>
      <c r="AB50" s="5544">
        <v>10</v>
      </c>
      <c r="AC50" s="5532">
        <v>10</v>
      </c>
      <c r="AD50" s="5532">
        <v>10</v>
      </c>
      <c r="AE50" s="5578">
        <v>10</v>
      </c>
    </row>
    <row r="51" spans="1:31" ht="18" customHeight="1" thickBot="1">
      <c r="A51" s="469" t="s">
        <v>147</v>
      </c>
      <c r="B51" s="5579" t="s">
        <v>46</v>
      </c>
      <c r="C51" s="5579" t="s">
        <v>46</v>
      </c>
      <c r="D51" s="5571" t="s">
        <v>46</v>
      </c>
      <c r="E51" s="5571" t="s">
        <v>86</v>
      </c>
      <c r="F51" s="5571" t="s">
        <v>86</v>
      </c>
      <c r="G51" s="5571">
        <v>7</v>
      </c>
      <c r="H51" s="5571">
        <v>7</v>
      </c>
      <c r="I51" s="5579">
        <v>7</v>
      </c>
      <c r="J51" s="5571">
        <v>7</v>
      </c>
      <c r="K51" s="5580">
        <v>7</v>
      </c>
      <c r="L51" s="5571"/>
      <c r="M51" s="5580"/>
      <c r="N51" s="5580">
        <v>4</v>
      </c>
      <c r="O51" s="5580">
        <v>4</v>
      </c>
      <c r="P51" s="5571">
        <v>4</v>
      </c>
      <c r="Q51" s="5571">
        <v>4</v>
      </c>
      <c r="R51" s="5571">
        <v>4</v>
      </c>
      <c r="S51" s="5571"/>
      <c r="T51" s="5571"/>
      <c r="U51" s="5571">
        <v>3</v>
      </c>
      <c r="V51" s="5571">
        <v>3</v>
      </c>
      <c r="W51" s="5571">
        <v>3</v>
      </c>
      <c r="X51" s="5579">
        <v>3</v>
      </c>
      <c r="Y51" s="5571">
        <v>3</v>
      </c>
      <c r="Z51" s="5571"/>
      <c r="AA51" s="5571"/>
      <c r="AB51" s="5571">
        <v>11</v>
      </c>
      <c r="AC51" s="5571">
        <v>11</v>
      </c>
      <c r="AD51" s="5527">
        <v>11</v>
      </c>
      <c r="AE51" s="5573">
        <v>11</v>
      </c>
    </row>
    <row r="52" spans="1:31" ht="18" customHeight="1">
      <c r="A52" s="470"/>
      <c r="B52" s="501">
        <v>8</v>
      </c>
      <c r="C52" s="508">
        <v>8</v>
      </c>
      <c r="D52" s="504">
        <v>8</v>
      </c>
      <c r="E52" s="504"/>
      <c r="F52" s="504"/>
      <c r="G52" s="504" t="s">
        <v>46</v>
      </c>
      <c r="H52" s="504" t="s">
        <v>46</v>
      </c>
      <c r="I52" s="508" t="s">
        <v>46</v>
      </c>
      <c r="J52" s="508" t="s">
        <v>46</v>
      </c>
      <c r="K52" s="508" t="s">
        <v>46</v>
      </c>
      <c r="L52" s="508"/>
      <c r="M52" s="508"/>
      <c r="N52" s="508">
        <v>1</v>
      </c>
      <c r="O52" s="508">
        <v>1</v>
      </c>
      <c r="P52" s="508">
        <v>1</v>
      </c>
      <c r="Q52" s="504">
        <v>1</v>
      </c>
      <c r="R52" s="504">
        <v>1</v>
      </c>
      <c r="S52" s="504"/>
      <c r="T52" s="504"/>
      <c r="U52" s="508">
        <v>9</v>
      </c>
      <c r="V52" s="508">
        <v>9</v>
      </c>
      <c r="W52" s="501">
        <v>9</v>
      </c>
      <c r="X52" s="504">
        <v>9</v>
      </c>
      <c r="Y52" s="504">
        <v>9</v>
      </c>
      <c r="Z52" s="504" t="s">
        <v>52</v>
      </c>
      <c r="AA52" s="504" t="s">
        <v>53</v>
      </c>
      <c r="AB52" s="509" t="s">
        <v>46</v>
      </c>
      <c r="AC52" s="504" t="s">
        <v>46</v>
      </c>
      <c r="AD52" s="504" t="s">
        <v>46</v>
      </c>
      <c r="AE52" s="698" t="s">
        <v>46</v>
      </c>
    </row>
    <row r="53" spans="1:31" ht="18" customHeight="1">
      <c r="A53" s="470" t="s">
        <v>101</v>
      </c>
      <c r="B53" s="5523">
        <v>6</v>
      </c>
      <c r="C53" s="5523">
        <v>6</v>
      </c>
      <c r="D53" s="5523">
        <v>6</v>
      </c>
      <c r="E53" s="5523"/>
      <c r="F53" s="5523"/>
      <c r="G53" s="5523" t="s">
        <v>46</v>
      </c>
      <c r="H53" s="5521" t="s">
        <v>46</v>
      </c>
      <c r="I53" s="5523" t="s">
        <v>46</v>
      </c>
      <c r="J53" s="5523" t="s">
        <v>46</v>
      </c>
      <c r="K53" s="5523" t="s">
        <v>46</v>
      </c>
      <c r="L53" s="5523"/>
      <c r="M53" s="5532"/>
      <c r="N53" s="5523">
        <v>5</v>
      </c>
      <c r="O53" s="5523">
        <v>5</v>
      </c>
      <c r="P53" s="5523">
        <v>5</v>
      </c>
      <c r="Q53" s="5523">
        <v>5</v>
      </c>
      <c r="R53" s="5523">
        <v>5</v>
      </c>
      <c r="S53" s="5523"/>
      <c r="T53" s="5523"/>
      <c r="U53" s="5544">
        <v>10</v>
      </c>
      <c r="V53" s="5544">
        <v>10</v>
      </c>
      <c r="W53" s="5536">
        <v>10</v>
      </c>
      <c r="X53" s="5544">
        <v>10</v>
      </c>
      <c r="Y53" s="5544">
        <v>10</v>
      </c>
      <c r="Z53" s="5544" t="s">
        <v>53</v>
      </c>
      <c r="AA53" s="5544" t="s">
        <v>53</v>
      </c>
      <c r="AB53" s="5544" t="s">
        <v>46</v>
      </c>
      <c r="AC53" s="5532" t="s">
        <v>46</v>
      </c>
      <c r="AD53" s="5532" t="s">
        <v>46</v>
      </c>
      <c r="AE53" s="5578" t="s">
        <v>46</v>
      </c>
    </row>
    <row r="54" spans="1:31" ht="18" customHeight="1" thickBot="1">
      <c r="A54" s="469" t="s">
        <v>102</v>
      </c>
      <c r="B54" s="5579">
        <v>7</v>
      </c>
      <c r="C54" s="5579">
        <v>7</v>
      </c>
      <c r="D54" s="5571">
        <v>7</v>
      </c>
      <c r="E54" s="5571"/>
      <c r="F54" s="5571"/>
      <c r="G54" s="5571">
        <v>4</v>
      </c>
      <c r="H54" s="5576">
        <v>4</v>
      </c>
      <c r="I54" s="5576">
        <v>4</v>
      </c>
      <c r="J54" s="5576">
        <v>4</v>
      </c>
      <c r="K54" s="5576">
        <v>4</v>
      </c>
      <c r="L54" s="5576"/>
      <c r="M54" s="5576"/>
      <c r="N54" s="5576">
        <v>3</v>
      </c>
      <c r="O54" s="5576">
        <v>3</v>
      </c>
      <c r="P54" s="5576">
        <v>3</v>
      </c>
      <c r="Q54" s="5576">
        <v>3</v>
      </c>
      <c r="R54" s="5576">
        <v>3</v>
      </c>
      <c r="S54" s="5576"/>
      <c r="T54" s="5576"/>
      <c r="U54" s="5571">
        <v>11</v>
      </c>
      <c r="V54" s="5571">
        <v>11</v>
      </c>
      <c r="W54" s="5527">
        <v>11</v>
      </c>
      <c r="X54" s="5579">
        <v>11</v>
      </c>
      <c r="Y54" s="5571">
        <v>11</v>
      </c>
      <c r="Z54" s="5571" t="s">
        <v>87</v>
      </c>
      <c r="AA54" s="5571" t="s">
        <v>87</v>
      </c>
      <c r="AB54" s="5571" t="s">
        <v>46</v>
      </c>
      <c r="AC54" s="5571" t="s">
        <v>46</v>
      </c>
      <c r="AD54" s="5579" t="s">
        <v>46</v>
      </c>
      <c r="AE54" s="5573" t="s">
        <v>46</v>
      </c>
    </row>
    <row r="55" spans="1:31" ht="18" customHeight="1">
      <c r="A55" s="474" t="s">
        <v>190</v>
      </c>
      <c r="B55" s="3089" t="s">
        <v>46</v>
      </c>
      <c r="C55" s="2989" t="s">
        <v>46</v>
      </c>
      <c r="D55" s="2989" t="s">
        <v>46</v>
      </c>
      <c r="E55" s="2989"/>
      <c r="F55" s="2989"/>
      <c r="G55" s="2989">
        <v>1</v>
      </c>
      <c r="H55" s="2989">
        <v>1</v>
      </c>
      <c r="I55" s="2989">
        <v>1</v>
      </c>
      <c r="J55" s="3088">
        <v>1</v>
      </c>
      <c r="K55" s="3088">
        <v>1</v>
      </c>
      <c r="L55" s="3088"/>
      <c r="M55" s="3112"/>
      <c r="N55" s="3089">
        <v>9</v>
      </c>
      <c r="O55" s="3088">
        <v>9</v>
      </c>
      <c r="P55" s="3088">
        <v>9</v>
      </c>
      <c r="Q55" s="3089">
        <v>9</v>
      </c>
      <c r="R55" s="3088">
        <v>9</v>
      </c>
      <c r="S55" s="3088" t="s">
        <v>52</v>
      </c>
      <c r="T55" s="3090" t="s">
        <v>53</v>
      </c>
      <c r="U55" s="3090" t="s">
        <v>46</v>
      </c>
      <c r="V55" s="3090" t="s">
        <v>46</v>
      </c>
      <c r="W55" s="3090" t="s">
        <v>46</v>
      </c>
      <c r="X55" s="3112" t="s">
        <v>46</v>
      </c>
      <c r="Y55" s="3090" t="s">
        <v>46</v>
      </c>
      <c r="Z55" s="3090" t="s">
        <v>91</v>
      </c>
      <c r="AA55" s="3090" t="s">
        <v>89</v>
      </c>
      <c r="AB55" s="3090">
        <v>6</v>
      </c>
      <c r="AC55" s="3088">
        <v>6</v>
      </c>
      <c r="AD55" s="3088">
        <v>6</v>
      </c>
      <c r="AE55" s="5178">
        <v>6</v>
      </c>
    </row>
    <row r="56" spans="1:31" ht="18" customHeight="1">
      <c r="A56" s="364" t="s">
        <v>105</v>
      </c>
      <c r="B56" s="5532" t="s">
        <v>46</v>
      </c>
      <c r="C56" s="5532" t="s">
        <v>46</v>
      </c>
      <c r="D56" s="5532" t="s">
        <v>46</v>
      </c>
      <c r="E56" s="5532"/>
      <c r="F56" s="5532"/>
      <c r="G56" s="5532"/>
      <c r="H56" s="5521">
        <v>5</v>
      </c>
      <c r="I56" s="5521">
        <v>5</v>
      </c>
      <c r="J56" s="5521">
        <v>5</v>
      </c>
      <c r="K56" s="5521">
        <v>5</v>
      </c>
      <c r="L56" s="5521"/>
      <c r="M56" s="5521"/>
      <c r="N56" s="5532">
        <v>10</v>
      </c>
      <c r="O56" s="5532">
        <v>10</v>
      </c>
      <c r="P56" s="5532">
        <v>10</v>
      </c>
      <c r="Q56" s="5532">
        <v>10</v>
      </c>
      <c r="R56" s="5532">
        <v>10</v>
      </c>
      <c r="S56" s="5521" t="s">
        <v>53</v>
      </c>
      <c r="T56" s="5521" t="s">
        <v>53</v>
      </c>
      <c r="U56" s="5523" t="s">
        <v>46</v>
      </c>
      <c r="V56" s="5523" t="s">
        <v>46</v>
      </c>
      <c r="W56" s="5523" t="s">
        <v>46</v>
      </c>
      <c r="X56" s="5523" t="s">
        <v>46</v>
      </c>
      <c r="Y56" s="5523" t="s">
        <v>46</v>
      </c>
      <c r="Z56" s="5523" t="s">
        <v>86</v>
      </c>
      <c r="AA56" s="5523" t="s">
        <v>86</v>
      </c>
      <c r="AB56" s="5544">
        <v>7</v>
      </c>
      <c r="AC56" s="5544">
        <v>7</v>
      </c>
      <c r="AD56" s="5544">
        <v>7</v>
      </c>
      <c r="AE56" s="5575">
        <v>7</v>
      </c>
    </row>
    <row r="57" spans="1:31" ht="18" customHeight="1" thickBot="1">
      <c r="A57" s="367" t="s">
        <v>134</v>
      </c>
      <c r="B57" s="5581">
        <v>4</v>
      </c>
      <c r="C57" s="5581">
        <v>4</v>
      </c>
      <c r="D57" s="5581">
        <v>4</v>
      </c>
      <c r="E57" s="5582"/>
      <c r="F57" s="5582"/>
      <c r="G57" s="5582">
        <v>3</v>
      </c>
      <c r="H57" s="5582">
        <v>3</v>
      </c>
      <c r="I57" s="5582">
        <v>3</v>
      </c>
      <c r="J57" s="5583">
        <v>3</v>
      </c>
      <c r="K57" s="5581">
        <v>3</v>
      </c>
      <c r="L57" s="5581"/>
      <c r="M57" s="5581"/>
      <c r="N57" s="5584">
        <v>11</v>
      </c>
      <c r="O57" s="5584">
        <v>11</v>
      </c>
      <c r="P57" s="5584">
        <v>11</v>
      </c>
      <c r="Q57" s="5584">
        <v>11</v>
      </c>
      <c r="R57" s="5584">
        <v>11</v>
      </c>
      <c r="S57" s="5584" t="s">
        <v>87</v>
      </c>
      <c r="T57" s="5584" t="s">
        <v>87</v>
      </c>
      <c r="U57" s="5585" t="s">
        <v>46</v>
      </c>
      <c r="V57" s="5585" t="s">
        <v>46</v>
      </c>
      <c r="W57" s="5585" t="s">
        <v>46</v>
      </c>
      <c r="X57" s="5585" t="s">
        <v>46</v>
      </c>
      <c r="Y57" s="5585" t="s">
        <v>46</v>
      </c>
      <c r="Z57" s="5585" t="s">
        <v>89</v>
      </c>
      <c r="AA57" s="5585" t="s">
        <v>89</v>
      </c>
      <c r="AB57" s="5585">
        <v>8</v>
      </c>
      <c r="AC57" s="5585">
        <v>8</v>
      </c>
      <c r="AD57" s="5585">
        <v>8</v>
      </c>
      <c r="AE57" s="5586">
        <v>8</v>
      </c>
    </row>
    <row r="58" spans="1:31" ht="18" customHeight="1" thickBot="1">
      <c r="A58" s="111"/>
      <c r="B58" s="201"/>
      <c r="C58" s="113"/>
      <c r="D58" s="113"/>
      <c r="E58" s="113"/>
      <c r="F58" s="122"/>
      <c r="G58" s="122"/>
      <c r="H58" s="122"/>
      <c r="I58" s="122"/>
      <c r="J58" s="111"/>
      <c r="K58" s="128"/>
      <c r="L58" s="128"/>
      <c r="M58" s="122"/>
      <c r="N58" s="122"/>
      <c r="O58" s="128"/>
      <c r="P58" s="128"/>
      <c r="Q58" s="128"/>
      <c r="R58" s="122"/>
      <c r="S58" s="122"/>
      <c r="T58" s="201"/>
      <c r="U58" s="201"/>
      <c r="V58" s="128"/>
      <c r="W58" s="128"/>
      <c r="X58" s="124"/>
      <c r="Y58" s="124"/>
      <c r="Z58" s="124"/>
      <c r="AA58" s="124"/>
      <c r="AB58" s="124"/>
      <c r="AC58" s="124"/>
      <c r="AD58" s="124"/>
      <c r="AE58" s="124"/>
    </row>
    <row r="59" spans="1:31" ht="18" customHeight="1" thickBot="1">
      <c r="A59" s="363" t="s">
        <v>537</v>
      </c>
      <c r="B59" s="865">
        <v>1</v>
      </c>
      <c r="C59" s="866">
        <v>2</v>
      </c>
      <c r="D59" s="866">
        <v>3</v>
      </c>
      <c r="E59" s="866">
        <v>4</v>
      </c>
      <c r="F59" s="866">
        <v>5</v>
      </c>
      <c r="G59" s="866">
        <v>6</v>
      </c>
      <c r="H59" s="865">
        <v>7</v>
      </c>
      <c r="I59" s="865">
        <v>8</v>
      </c>
      <c r="J59" s="865">
        <v>9</v>
      </c>
      <c r="K59" s="865">
        <v>10</v>
      </c>
      <c r="L59" s="866">
        <v>11</v>
      </c>
      <c r="M59" s="866">
        <v>12</v>
      </c>
      <c r="N59" s="865">
        <v>13</v>
      </c>
      <c r="O59" s="865">
        <v>14</v>
      </c>
      <c r="P59" s="865">
        <v>15</v>
      </c>
      <c r="Q59" s="865">
        <v>16</v>
      </c>
      <c r="R59" s="865">
        <v>17</v>
      </c>
      <c r="S59" s="866">
        <v>18</v>
      </c>
      <c r="T59" s="866">
        <v>19</v>
      </c>
      <c r="U59" s="865">
        <v>20</v>
      </c>
      <c r="V59" s="865">
        <v>21</v>
      </c>
      <c r="W59" s="865">
        <v>22</v>
      </c>
      <c r="X59" s="865">
        <v>23</v>
      </c>
      <c r="Y59" s="865">
        <v>24</v>
      </c>
      <c r="Z59" s="866">
        <v>25</v>
      </c>
      <c r="AA59" s="866">
        <v>26</v>
      </c>
      <c r="AB59" s="865">
        <v>27</v>
      </c>
      <c r="AC59" s="865">
        <v>28</v>
      </c>
      <c r="AD59" s="865">
        <v>29</v>
      </c>
      <c r="AE59" s="867">
        <v>30</v>
      </c>
    </row>
    <row r="60" spans="1:31" ht="18" customHeight="1">
      <c r="A60" s="5587" t="s">
        <v>112</v>
      </c>
      <c r="B60" s="5523" t="s">
        <v>40</v>
      </c>
      <c r="C60" s="5523"/>
      <c r="D60" s="5532"/>
      <c r="E60" s="5532"/>
      <c r="F60" s="5532"/>
      <c r="G60" s="5536" t="s">
        <v>40</v>
      </c>
      <c r="H60" s="5536" t="s">
        <v>40</v>
      </c>
      <c r="I60" s="5536" t="s">
        <v>40</v>
      </c>
      <c r="J60" s="5523" t="s">
        <v>40</v>
      </c>
      <c r="K60" s="5523" t="s">
        <v>40</v>
      </c>
      <c r="L60" s="5523"/>
      <c r="M60" s="5523"/>
      <c r="N60" s="5536" t="s">
        <v>40</v>
      </c>
      <c r="O60" s="5536" t="s">
        <v>40</v>
      </c>
      <c r="P60" s="5536" t="s">
        <v>40</v>
      </c>
      <c r="Q60" s="5536" t="s">
        <v>40</v>
      </c>
      <c r="R60" s="5536" t="s">
        <v>40</v>
      </c>
      <c r="S60" s="5523"/>
      <c r="T60" s="5523"/>
      <c r="U60" s="5536" t="s">
        <v>40</v>
      </c>
      <c r="V60" s="5536" t="s">
        <v>40</v>
      </c>
      <c r="W60" s="5523" t="s">
        <v>40</v>
      </c>
      <c r="X60" s="5523" t="s">
        <v>40</v>
      </c>
      <c r="Y60" s="5523" t="s">
        <v>40</v>
      </c>
      <c r="Z60" s="5523"/>
      <c r="AA60" s="5523"/>
      <c r="AB60" s="5536" t="s">
        <v>40</v>
      </c>
      <c r="AC60" s="5536" t="s">
        <v>40</v>
      </c>
      <c r="AD60" s="5523" t="s">
        <v>40</v>
      </c>
      <c r="AE60" s="5588" t="s">
        <v>40</v>
      </c>
    </row>
    <row r="61" spans="1:31" ht="18" customHeight="1">
      <c r="A61" s="5587" t="s">
        <v>114</v>
      </c>
      <c r="B61" s="5523" t="s">
        <v>40</v>
      </c>
      <c r="C61" s="5523"/>
      <c r="D61" s="5532"/>
      <c r="E61" s="5532"/>
      <c r="F61" s="5532"/>
      <c r="G61" s="5536" t="s">
        <v>40</v>
      </c>
      <c r="H61" s="5536" t="s">
        <v>40</v>
      </c>
      <c r="I61" s="5536" t="s">
        <v>40</v>
      </c>
      <c r="J61" s="5523" t="s">
        <v>40</v>
      </c>
      <c r="K61" s="5523" t="s">
        <v>40</v>
      </c>
      <c r="L61" s="5523"/>
      <c r="M61" s="5523"/>
      <c r="N61" s="5536" t="s">
        <v>40</v>
      </c>
      <c r="O61" s="5536" t="s">
        <v>40</v>
      </c>
      <c r="P61" s="5536" t="s">
        <v>40</v>
      </c>
      <c r="Q61" s="5536" t="s">
        <v>40</v>
      </c>
      <c r="R61" s="5536" t="s">
        <v>40</v>
      </c>
      <c r="S61" s="5523"/>
      <c r="T61" s="5523"/>
      <c r="U61" s="5536" t="s">
        <v>40</v>
      </c>
      <c r="V61" s="5536" t="s">
        <v>40</v>
      </c>
      <c r="W61" s="5523" t="s">
        <v>40</v>
      </c>
      <c r="X61" s="5523" t="s">
        <v>40</v>
      </c>
      <c r="Y61" s="5523" t="s">
        <v>40</v>
      </c>
      <c r="Z61" s="5523"/>
      <c r="AA61" s="5523"/>
      <c r="AB61" s="5536" t="s">
        <v>40</v>
      </c>
      <c r="AC61" s="5536" t="s">
        <v>40</v>
      </c>
      <c r="AD61" s="5523" t="s">
        <v>40</v>
      </c>
      <c r="AE61" s="5588" t="s">
        <v>40</v>
      </c>
    </row>
    <row r="62" spans="1:31" ht="18" customHeight="1">
      <c r="A62" s="5587" t="s">
        <v>117</v>
      </c>
      <c r="B62" s="5523" t="s">
        <v>40</v>
      </c>
      <c r="C62" s="5523"/>
      <c r="D62" s="5532"/>
      <c r="E62" s="5532"/>
      <c r="F62" s="5532"/>
      <c r="G62" s="5536" t="s">
        <v>40</v>
      </c>
      <c r="H62" s="5536" t="s">
        <v>40</v>
      </c>
      <c r="I62" s="5536" t="s">
        <v>40</v>
      </c>
      <c r="J62" s="5523" t="s">
        <v>40</v>
      </c>
      <c r="K62" s="5523" t="s">
        <v>40</v>
      </c>
      <c r="L62" s="5523"/>
      <c r="M62" s="5523"/>
      <c r="N62" s="5536" t="s">
        <v>40</v>
      </c>
      <c r="O62" s="5536" t="s">
        <v>40</v>
      </c>
      <c r="P62" s="5536" t="s">
        <v>40</v>
      </c>
      <c r="Q62" s="5536" t="s">
        <v>40</v>
      </c>
      <c r="R62" s="5536" t="s">
        <v>40</v>
      </c>
      <c r="S62" s="5523"/>
      <c r="T62" s="5523"/>
      <c r="U62" s="5536" t="s">
        <v>40</v>
      </c>
      <c r="V62" s="5536" t="s">
        <v>40</v>
      </c>
      <c r="W62" s="5523" t="s">
        <v>40</v>
      </c>
      <c r="X62" s="5523" t="s">
        <v>40</v>
      </c>
      <c r="Y62" s="5523" t="s">
        <v>40</v>
      </c>
      <c r="Z62" s="5523"/>
      <c r="AA62" s="5523"/>
      <c r="AB62" s="5536" t="s">
        <v>40</v>
      </c>
      <c r="AC62" s="5536" t="s">
        <v>40</v>
      </c>
      <c r="AD62" s="5523" t="s">
        <v>40</v>
      </c>
      <c r="AE62" s="5588" t="s">
        <v>40</v>
      </c>
    </row>
    <row r="63" spans="1:31" ht="18" customHeight="1">
      <c r="A63" s="5587" t="s">
        <v>622</v>
      </c>
      <c r="B63" s="5523" t="s">
        <v>40</v>
      </c>
      <c r="C63" s="5523"/>
      <c r="D63" s="5532"/>
      <c r="E63" s="5532"/>
      <c r="F63" s="5532"/>
      <c r="G63" s="5536" t="s">
        <v>40</v>
      </c>
      <c r="H63" s="5536" t="s">
        <v>40</v>
      </c>
      <c r="I63" s="5536" t="s">
        <v>40</v>
      </c>
      <c r="J63" s="5523" t="s">
        <v>40</v>
      </c>
      <c r="K63" s="5523" t="s">
        <v>40</v>
      </c>
      <c r="L63" s="5523"/>
      <c r="M63" s="5523"/>
      <c r="N63" s="5589" t="s">
        <v>40</v>
      </c>
      <c r="O63" s="5589" t="s">
        <v>40</v>
      </c>
      <c r="P63" s="5589" t="s">
        <v>40</v>
      </c>
      <c r="Q63" s="5589" t="s">
        <v>40</v>
      </c>
      <c r="R63" s="5589" t="s">
        <v>40</v>
      </c>
      <c r="S63" s="5589"/>
      <c r="T63" s="5589"/>
      <c r="U63" s="5536" t="s">
        <v>40</v>
      </c>
      <c r="V63" s="5536" t="s">
        <v>40</v>
      </c>
      <c r="W63" s="5523" t="s">
        <v>40</v>
      </c>
      <c r="X63" s="5523" t="s">
        <v>40</v>
      </c>
      <c r="Y63" s="5523" t="s">
        <v>40</v>
      </c>
      <c r="Z63" s="5523"/>
      <c r="AA63" s="5523"/>
      <c r="AB63" s="5536" t="s">
        <v>40</v>
      </c>
      <c r="AC63" s="5536" t="s">
        <v>40</v>
      </c>
      <c r="AD63" s="5523" t="s">
        <v>40</v>
      </c>
      <c r="AE63" s="5588" t="s">
        <v>40</v>
      </c>
    </row>
    <row r="64" spans="1:31" ht="18" customHeight="1">
      <c r="A64" s="5587" t="s">
        <v>122</v>
      </c>
      <c r="B64" s="5523" t="s">
        <v>40</v>
      </c>
      <c r="C64" s="5523"/>
      <c r="D64" s="5532"/>
      <c r="E64" s="5532"/>
      <c r="F64" s="5532"/>
      <c r="G64" s="5536" t="s">
        <v>40</v>
      </c>
      <c r="H64" s="5536" t="s">
        <v>40</v>
      </c>
      <c r="I64" s="5536" t="s">
        <v>40</v>
      </c>
      <c r="J64" s="5523" t="s">
        <v>40</v>
      </c>
      <c r="K64" s="5523" t="s">
        <v>40</v>
      </c>
      <c r="L64" s="5523"/>
      <c r="M64" s="5523"/>
      <c r="N64" s="5536" t="s">
        <v>40</v>
      </c>
      <c r="O64" s="5536" t="s">
        <v>40</v>
      </c>
      <c r="P64" s="5536" t="s">
        <v>40</v>
      </c>
      <c r="Q64" s="5536" t="s">
        <v>40</v>
      </c>
      <c r="R64" s="5536" t="s">
        <v>40</v>
      </c>
      <c r="S64" s="5523"/>
      <c r="T64" s="5523"/>
      <c r="U64" s="5536" t="s">
        <v>40</v>
      </c>
      <c r="V64" s="5536" t="s">
        <v>40</v>
      </c>
      <c r="W64" s="5523" t="s">
        <v>40</v>
      </c>
      <c r="X64" s="5523" t="s">
        <v>40</v>
      </c>
      <c r="Y64" s="5523" t="s">
        <v>40</v>
      </c>
      <c r="Z64" s="5523"/>
      <c r="AA64" s="5523"/>
      <c r="AB64" s="5536" t="s">
        <v>40</v>
      </c>
      <c r="AC64" s="5536" t="s">
        <v>40</v>
      </c>
      <c r="AD64" s="5523" t="s">
        <v>40</v>
      </c>
      <c r="AE64" s="5588" t="s">
        <v>40</v>
      </c>
    </row>
    <row r="65" spans="1:31" ht="18" customHeight="1">
      <c r="A65" s="5587" t="s">
        <v>129</v>
      </c>
      <c r="B65" s="5523" t="s">
        <v>40</v>
      </c>
      <c r="C65" s="5523"/>
      <c r="D65" s="5532"/>
      <c r="E65" s="5532"/>
      <c r="F65" s="5532"/>
      <c r="G65" s="5536" t="s">
        <v>40</v>
      </c>
      <c r="H65" s="5536" t="s">
        <v>40</v>
      </c>
      <c r="I65" s="5536" t="s">
        <v>40</v>
      </c>
      <c r="J65" s="5523" t="s">
        <v>40</v>
      </c>
      <c r="K65" s="5523" t="s">
        <v>40</v>
      </c>
      <c r="L65" s="5523"/>
      <c r="M65" s="5523"/>
      <c r="N65" s="5536" t="s">
        <v>40</v>
      </c>
      <c r="O65" s="5536" t="s">
        <v>40</v>
      </c>
      <c r="P65" s="5536" t="s">
        <v>40</v>
      </c>
      <c r="Q65" s="5536" t="s">
        <v>40</v>
      </c>
      <c r="R65" s="5536" t="s">
        <v>40</v>
      </c>
      <c r="S65" s="5523"/>
      <c r="T65" s="5523"/>
      <c r="U65" s="5536" t="s">
        <v>40</v>
      </c>
      <c r="V65" s="5536" t="s">
        <v>40</v>
      </c>
      <c r="W65" s="5523" t="s">
        <v>40</v>
      </c>
      <c r="X65" s="5523" t="s">
        <v>40</v>
      </c>
      <c r="Y65" s="5523" t="s">
        <v>40</v>
      </c>
      <c r="Z65" s="5523"/>
      <c r="AA65" s="5523"/>
      <c r="AB65" s="5589" t="s">
        <v>40</v>
      </c>
      <c r="AC65" s="5589" t="s">
        <v>40</v>
      </c>
      <c r="AD65" s="5589" t="s">
        <v>40</v>
      </c>
      <c r="AE65" s="5590" t="s">
        <v>40</v>
      </c>
    </row>
    <row r="66" spans="1:31" ht="18" customHeight="1">
      <c r="A66" s="5591" t="s">
        <v>140</v>
      </c>
      <c r="B66" s="5523" t="s">
        <v>40</v>
      </c>
      <c r="C66" s="5523"/>
      <c r="D66" s="5532"/>
      <c r="E66" s="5532"/>
      <c r="F66" s="5532"/>
      <c r="G66" s="5536" t="s">
        <v>40</v>
      </c>
      <c r="H66" s="5536" t="s">
        <v>40</v>
      </c>
      <c r="I66" s="5536" t="s">
        <v>40</v>
      </c>
      <c r="J66" s="5523" t="s">
        <v>40</v>
      </c>
      <c r="K66" s="5523" t="s">
        <v>40</v>
      </c>
      <c r="L66" s="5523"/>
      <c r="M66" s="5523"/>
      <c r="N66" s="5536" t="s">
        <v>40</v>
      </c>
      <c r="O66" s="5536" t="s">
        <v>40</v>
      </c>
      <c r="P66" s="5536" t="s">
        <v>40</v>
      </c>
      <c r="Q66" s="5536" t="s">
        <v>40</v>
      </c>
      <c r="R66" s="5536" t="s">
        <v>40</v>
      </c>
      <c r="S66" s="5523"/>
      <c r="T66" s="5523"/>
      <c r="U66" s="5536" t="s">
        <v>40</v>
      </c>
      <c r="V66" s="5536" t="s">
        <v>40</v>
      </c>
      <c r="W66" s="5523" t="s">
        <v>40</v>
      </c>
      <c r="X66" s="5523" t="s">
        <v>40</v>
      </c>
      <c r="Y66" s="5523" t="s">
        <v>40</v>
      </c>
      <c r="Z66" s="5523"/>
      <c r="AA66" s="5523"/>
      <c r="AB66" s="5536" t="s">
        <v>40</v>
      </c>
      <c r="AC66" s="5536" t="s">
        <v>40</v>
      </c>
      <c r="AD66" s="5523" t="s">
        <v>40</v>
      </c>
      <c r="AE66" s="5588" t="s">
        <v>40</v>
      </c>
    </row>
    <row r="67" spans="1:31" ht="18" customHeight="1">
      <c r="A67" s="5547" t="s">
        <v>478</v>
      </c>
      <c r="B67" s="5523" t="s">
        <v>40</v>
      </c>
      <c r="C67" s="5523"/>
      <c r="D67" s="5532"/>
      <c r="E67" s="5532"/>
      <c r="F67" s="5532"/>
      <c r="G67" s="5536" t="s">
        <v>40</v>
      </c>
      <c r="H67" s="5536" t="s">
        <v>40</v>
      </c>
      <c r="I67" s="5536" t="s">
        <v>40</v>
      </c>
      <c r="J67" s="5523" t="s">
        <v>40</v>
      </c>
      <c r="K67" s="5523" t="s">
        <v>40</v>
      </c>
      <c r="L67" s="5523"/>
      <c r="M67" s="5523"/>
      <c r="N67" s="5536" t="s">
        <v>40</v>
      </c>
      <c r="O67" s="5540" t="s">
        <v>40</v>
      </c>
      <c r="P67" s="5536" t="s">
        <v>40</v>
      </c>
      <c r="Q67" s="5536" t="s">
        <v>40</v>
      </c>
      <c r="R67" s="5536" t="s">
        <v>40</v>
      </c>
      <c r="S67" s="5523"/>
      <c r="T67" s="5540"/>
      <c r="U67" s="5536" t="s">
        <v>40</v>
      </c>
      <c r="V67" s="5536" t="s">
        <v>40</v>
      </c>
      <c r="W67" s="5523" t="s">
        <v>40</v>
      </c>
      <c r="X67" s="5523" t="s">
        <v>40</v>
      </c>
      <c r="Y67" s="5523" t="s">
        <v>40</v>
      </c>
      <c r="Z67" s="5523"/>
      <c r="AA67" s="5523"/>
      <c r="AB67" s="5536" t="s">
        <v>40</v>
      </c>
      <c r="AC67" s="5536" t="s">
        <v>40</v>
      </c>
      <c r="AD67" s="5523" t="s">
        <v>40</v>
      </c>
      <c r="AE67" s="5588" t="s">
        <v>40</v>
      </c>
    </row>
    <row r="68" spans="1:31" ht="18" customHeight="1">
      <c r="A68" s="5591" t="s">
        <v>479</v>
      </c>
      <c r="B68" s="5523" t="s">
        <v>40</v>
      </c>
      <c r="C68" s="5523"/>
      <c r="D68" s="5532"/>
      <c r="E68" s="5532"/>
      <c r="F68" s="5532"/>
      <c r="G68" s="5536" t="s">
        <v>40</v>
      </c>
      <c r="H68" s="5536" t="s">
        <v>40</v>
      </c>
      <c r="I68" s="5536" t="s">
        <v>40</v>
      </c>
      <c r="J68" s="5523" t="s">
        <v>40</v>
      </c>
      <c r="K68" s="5523" t="s">
        <v>40</v>
      </c>
      <c r="L68" s="5523"/>
      <c r="M68" s="5523"/>
      <c r="N68" s="5536" t="s">
        <v>40</v>
      </c>
      <c r="O68" s="5536" t="s">
        <v>40</v>
      </c>
      <c r="P68" s="5536" t="s">
        <v>40</v>
      </c>
      <c r="Q68" s="5536" t="s">
        <v>40</v>
      </c>
      <c r="R68" s="5536" t="s">
        <v>40</v>
      </c>
      <c r="S68" s="5523"/>
      <c r="T68" s="5523"/>
      <c r="U68" s="5536" t="s">
        <v>40</v>
      </c>
      <c r="V68" s="5536" t="s">
        <v>40</v>
      </c>
      <c r="W68" s="5523" t="s">
        <v>40</v>
      </c>
      <c r="X68" s="5523" t="s">
        <v>40</v>
      </c>
      <c r="Y68" s="5523" t="s">
        <v>40</v>
      </c>
      <c r="Z68" s="5523"/>
      <c r="AA68" s="5523"/>
      <c r="AB68" s="5536" t="s">
        <v>40</v>
      </c>
      <c r="AC68" s="5536" t="s">
        <v>40</v>
      </c>
      <c r="AD68" s="5523" t="s">
        <v>40</v>
      </c>
      <c r="AE68" s="5588" t="s">
        <v>40</v>
      </c>
    </row>
    <row r="69" spans="1:31" ht="18" customHeight="1">
      <c r="A69" s="5592" t="s">
        <v>564</v>
      </c>
      <c r="B69" s="5523" t="s">
        <v>40</v>
      </c>
      <c r="C69" s="5523"/>
      <c r="D69" s="5532"/>
      <c r="E69" s="5532"/>
      <c r="F69" s="5532"/>
      <c r="G69" s="5536" t="s">
        <v>40</v>
      </c>
      <c r="H69" s="5536" t="s">
        <v>40</v>
      </c>
      <c r="I69" s="5536" t="s">
        <v>40</v>
      </c>
      <c r="J69" s="5523" t="s">
        <v>40</v>
      </c>
      <c r="K69" s="5523" t="s">
        <v>40</v>
      </c>
      <c r="L69" s="5523"/>
      <c r="M69" s="5523"/>
      <c r="N69" s="5536" t="s">
        <v>40</v>
      </c>
      <c r="O69" s="5536" t="s">
        <v>40</v>
      </c>
      <c r="P69" s="5536" t="s">
        <v>40</v>
      </c>
      <c r="Q69" s="5536" t="s">
        <v>40</v>
      </c>
      <c r="R69" s="5536" t="s">
        <v>40</v>
      </c>
      <c r="S69" s="5523"/>
      <c r="T69" s="5523"/>
      <c r="U69" s="5536" t="s">
        <v>40</v>
      </c>
      <c r="V69" s="5536" t="s">
        <v>40</v>
      </c>
      <c r="W69" s="5523" t="s">
        <v>40</v>
      </c>
      <c r="X69" s="5523" t="s">
        <v>40</v>
      </c>
      <c r="Y69" s="5523" t="s">
        <v>40</v>
      </c>
      <c r="Z69" s="5523"/>
      <c r="AA69" s="5523"/>
      <c r="AB69" s="5536" t="s">
        <v>40</v>
      </c>
      <c r="AC69" s="5536" t="s">
        <v>40</v>
      </c>
      <c r="AD69" s="5523" t="s">
        <v>40</v>
      </c>
      <c r="AE69" s="5588" t="s">
        <v>40</v>
      </c>
    </row>
    <row r="70" spans="1:31" ht="18" customHeight="1">
      <c r="A70" s="5593" t="s">
        <v>565</v>
      </c>
      <c r="B70" s="5523" t="s">
        <v>40</v>
      </c>
      <c r="C70" s="5523"/>
      <c r="D70" s="5532"/>
      <c r="E70" s="5532"/>
      <c r="F70" s="5532"/>
      <c r="G70" s="5536" t="s">
        <v>40</v>
      </c>
      <c r="H70" s="5536" t="s">
        <v>40</v>
      </c>
      <c r="I70" s="5536" t="s">
        <v>40</v>
      </c>
      <c r="J70" s="5523" t="s">
        <v>40</v>
      </c>
      <c r="K70" s="5523" t="s">
        <v>40</v>
      </c>
      <c r="L70" s="5523"/>
      <c r="M70" s="5523"/>
      <c r="N70" s="5536" t="s">
        <v>40</v>
      </c>
      <c r="O70" s="5536" t="s">
        <v>40</v>
      </c>
      <c r="P70" s="5536" t="s">
        <v>40</v>
      </c>
      <c r="Q70" s="5536" t="s">
        <v>40</v>
      </c>
      <c r="R70" s="5536" t="s">
        <v>40</v>
      </c>
      <c r="S70" s="5523"/>
      <c r="T70" s="5523"/>
      <c r="U70" s="5536" t="s">
        <v>40</v>
      </c>
      <c r="V70" s="5536" t="s">
        <v>40</v>
      </c>
      <c r="W70" s="5523" t="s">
        <v>40</v>
      </c>
      <c r="X70" s="5523" t="s">
        <v>40</v>
      </c>
      <c r="Y70" s="5523" t="s">
        <v>40</v>
      </c>
      <c r="Z70" s="5523"/>
      <c r="AA70" s="5523"/>
      <c r="AB70" s="5536" t="s">
        <v>40</v>
      </c>
      <c r="AC70" s="5536" t="s">
        <v>40</v>
      </c>
      <c r="AD70" s="5523" t="s">
        <v>40</v>
      </c>
      <c r="AE70" s="5588" t="s">
        <v>40</v>
      </c>
    </row>
    <row r="71" spans="1:31" ht="18" customHeight="1">
      <c r="A71" s="5593" t="s">
        <v>540</v>
      </c>
      <c r="B71" s="5523" t="s">
        <v>40</v>
      </c>
      <c r="C71" s="5523"/>
      <c r="D71" s="5532"/>
      <c r="E71" s="5532"/>
      <c r="F71" s="5532"/>
      <c r="G71" s="5536" t="s">
        <v>40</v>
      </c>
      <c r="H71" s="5536" t="s">
        <v>40</v>
      </c>
      <c r="I71" s="5536" t="s">
        <v>40</v>
      </c>
      <c r="J71" s="5523" t="s">
        <v>40</v>
      </c>
      <c r="K71" s="5523" t="s">
        <v>40</v>
      </c>
      <c r="L71" s="5523"/>
      <c r="M71" s="5523"/>
      <c r="N71" s="5536" t="s">
        <v>40</v>
      </c>
      <c r="O71" s="5536" t="s">
        <v>40</v>
      </c>
      <c r="P71" s="5536" t="s">
        <v>40</v>
      </c>
      <c r="Q71" s="5536" t="s">
        <v>40</v>
      </c>
      <c r="R71" s="5536" t="s">
        <v>40</v>
      </c>
      <c r="S71" s="5523"/>
      <c r="T71" s="5523"/>
      <c r="U71" s="5536" t="s">
        <v>40</v>
      </c>
      <c r="V71" s="5536" t="s">
        <v>40</v>
      </c>
      <c r="W71" s="5523" t="s">
        <v>40</v>
      </c>
      <c r="X71" s="5523" t="s">
        <v>40</v>
      </c>
      <c r="Y71" s="5523" t="s">
        <v>40</v>
      </c>
      <c r="Z71" s="5523"/>
      <c r="AA71" s="5523"/>
      <c r="AB71" s="5536" t="s">
        <v>40</v>
      </c>
      <c r="AC71" s="5536" t="s">
        <v>40</v>
      </c>
      <c r="AD71" s="5523" t="s">
        <v>40</v>
      </c>
      <c r="AE71" s="5588" t="s">
        <v>40</v>
      </c>
    </row>
    <row r="72" spans="1:31" ht="18" customHeight="1">
      <c r="A72" s="1310" t="s">
        <v>591</v>
      </c>
      <c r="B72" s="5523" t="s">
        <v>40</v>
      </c>
      <c r="C72" s="5523"/>
      <c r="D72" s="5532"/>
      <c r="E72" s="5532"/>
      <c r="F72" s="5532"/>
      <c r="G72" s="5536" t="s">
        <v>40</v>
      </c>
      <c r="H72" s="5536" t="s">
        <v>40</v>
      </c>
      <c r="I72" s="5536" t="s">
        <v>40</v>
      </c>
      <c r="J72" s="5523" t="s">
        <v>40</v>
      </c>
      <c r="K72" s="5523" t="s">
        <v>40</v>
      </c>
      <c r="L72" s="5523"/>
      <c r="M72" s="5523"/>
      <c r="N72" s="5536" t="s">
        <v>40</v>
      </c>
      <c r="O72" s="5536" t="s">
        <v>40</v>
      </c>
      <c r="P72" s="5536" t="s">
        <v>40</v>
      </c>
      <c r="Q72" s="5536" t="s">
        <v>40</v>
      </c>
      <c r="R72" s="5536" t="s">
        <v>40</v>
      </c>
      <c r="S72" s="5523"/>
      <c r="T72" s="5523"/>
      <c r="U72" s="5536" t="s">
        <v>40</v>
      </c>
      <c r="V72" s="5536" t="s">
        <v>40</v>
      </c>
      <c r="W72" s="5523" t="s">
        <v>40</v>
      </c>
      <c r="X72" s="5523" t="s">
        <v>40</v>
      </c>
      <c r="Y72" s="5523" t="s">
        <v>40</v>
      </c>
      <c r="Z72" s="5523"/>
      <c r="AA72" s="5523"/>
      <c r="AB72" s="5536" t="s">
        <v>40</v>
      </c>
      <c r="AC72" s="5536" t="s">
        <v>40</v>
      </c>
      <c r="AD72" s="5523" t="s">
        <v>40</v>
      </c>
      <c r="AE72" s="5588" t="s">
        <v>40</v>
      </c>
    </row>
    <row r="73" spans="1:31" ht="18" customHeight="1" thickBot="1">
      <c r="A73" s="1514" t="s">
        <v>687</v>
      </c>
      <c r="B73" s="2985">
        <v>1</v>
      </c>
      <c r="C73" s="2986">
        <v>2</v>
      </c>
      <c r="D73" s="2986">
        <v>3</v>
      </c>
      <c r="E73" s="2986">
        <v>4</v>
      </c>
      <c r="F73" s="2986">
        <v>5</v>
      </c>
      <c r="G73" s="2986">
        <v>6</v>
      </c>
      <c r="H73" s="2985">
        <v>7</v>
      </c>
      <c r="I73" s="2985">
        <v>8</v>
      </c>
      <c r="J73" s="2985">
        <v>9</v>
      </c>
      <c r="K73" s="2985">
        <v>10</v>
      </c>
      <c r="L73" s="2986">
        <v>11</v>
      </c>
      <c r="M73" s="2986">
        <v>12</v>
      </c>
      <c r="N73" s="2985">
        <v>13</v>
      </c>
      <c r="O73" s="2985">
        <v>14</v>
      </c>
      <c r="P73" s="2985">
        <v>15</v>
      </c>
      <c r="Q73" s="2985">
        <v>16</v>
      </c>
      <c r="R73" s="2985">
        <v>17</v>
      </c>
      <c r="S73" s="2986">
        <v>18</v>
      </c>
      <c r="T73" s="2986">
        <v>19</v>
      </c>
      <c r="U73" s="2985">
        <v>20</v>
      </c>
      <c r="V73" s="2985">
        <v>21</v>
      </c>
      <c r="W73" s="2985">
        <v>22</v>
      </c>
      <c r="X73" s="2985">
        <v>23</v>
      </c>
      <c r="Y73" s="2985">
        <v>24</v>
      </c>
      <c r="Z73" s="2986">
        <v>25</v>
      </c>
      <c r="AA73" s="2986">
        <v>26</v>
      </c>
      <c r="AB73" s="2985">
        <v>27</v>
      </c>
      <c r="AC73" s="2985">
        <v>28</v>
      </c>
      <c r="AD73" s="2985">
        <v>29</v>
      </c>
      <c r="AE73" s="5594">
        <v>30</v>
      </c>
    </row>
    <row r="74" spans="1:31" ht="18" customHeight="1">
      <c r="A74" s="5595" t="s">
        <v>624</v>
      </c>
      <c r="B74" s="5523" t="s">
        <v>40</v>
      </c>
      <c r="C74" s="5523"/>
      <c r="D74" s="5532"/>
      <c r="E74" s="5532"/>
      <c r="F74" s="5532"/>
      <c r="G74" s="5536" t="s">
        <v>40</v>
      </c>
      <c r="H74" s="5536" t="s">
        <v>40</v>
      </c>
      <c r="I74" s="5536" t="s">
        <v>40</v>
      </c>
      <c r="J74" s="5523" t="s">
        <v>40</v>
      </c>
      <c r="K74" s="5523" t="s">
        <v>40</v>
      </c>
      <c r="L74" s="5523"/>
      <c r="M74" s="5523"/>
      <c r="N74" s="5536" t="s">
        <v>40</v>
      </c>
      <c r="O74" s="5536" t="s">
        <v>40</v>
      </c>
      <c r="P74" s="5536" t="s">
        <v>40</v>
      </c>
      <c r="Q74" s="5536" t="s">
        <v>40</v>
      </c>
      <c r="R74" s="5536" t="s">
        <v>40</v>
      </c>
      <c r="S74" s="5523"/>
      <c r="T74" s="5523"/>
      <c r="U74" s="5536" t="s">
        <v>40</v>
      </c>
      <c r="V74" s="5536" t="s">
        <v>40</v>
      </c>
      <c r="W74" s="5523" t="s">
        <v>40</v>
      </c>
      <c r="X74" s="5523" t="s">
        <v>40</v>
      </c>
      <c r="Y74" s="5523" t="s">
        <v>40</v>
      </c>
      <c r="Z74" s="5523"/>
      <c r="AA74" s="5523"/>
      <c r="AB74" s="5536" t="s">
        <v>40</v>
      </c>
      <c r="AC74" s="5536" t="s">
        <v>40</v>
      </c>
      <c r="AD74" s="5523" t="s">
        <v>40</v>
      </c>
      <c r="AE74" s="5588" t="s">
        <v>40</v>
      </c>
    </row>
    <row r="75" spans="1:31" ht="18" customHeight="1">
      <c r="A75" s="5547" t="s">
        <v>625</v>
      </c>
      <c r="B75" s="5523" t="s">
        <v>40</v>
      </c>
      <c r="C75" s="5523"/>
      <c r="D75" s="5532"/>
      <c r="E75" s="5532"/>
      <c r="F75" s="5532"/>
      <c r="G75" s="5536" t="s">
        <v>40</v>
      </c>
      <c r="H75" s="5536" t="s">
        <v>40</v>
      </c>
      <c r="I75" s="5536" t="s">
        <v>40</v>
      </c>
      <c r="J75" s="5523" t="s">
        <v>40</v>
      </c>
      <c r="K75" s="5523" t="s">
        <v>40</v>
      </c>
      <c r="L75" s="5523"/>
      <c r="M75" s="5523"/>
      <c r="N75" s="5536" t="s">
        <v>40</v>
      </c>
      <c r="O75" s="5536" t="s">
        <v>40</v>
      </c>
      <c r="P75" s="5536" t="s">
        <v>40</v>
      </c>
      <c r="Q75" s="5536" t="s">
        <v>40</v>
      </c>
      <c r="R75" s="5536" t="s">
        <v>40</v>
      </c>
      <c r="S75" s="5523"/>
      <c r="T75" s="5523"/>
      <c r="U75" s="5536" t="s">
        <v>40</v>
      </c>
      <c r="V75" s="5536" t="s">
        <v>40</v>
      </c>
      <c r="W75" s="5523" t="s">
        <v>40</v>
      </c>
      <c r="X75" s="5523" t="s">
        <v>40</v>
      </c>
      <c r="Y75" s="5523" t="s">
        <v>40</v>
      </c>
      <c r="Z75" s="5523"/>
      <c r="AA75" s="5523"/>
      <c r="AB75" s="5536" t="s">
        <v>40</v>
      </c>
      <c r="AC75" s="5536" t="s">
        <v>40</v>
      </c>
      <c r="AD75" s="5523" t="s">
        <v>40</v>
      </c>
      <c r="AE75" s="5588" t="s">
        <v>40</v>
      </c>
    </row>
    <row r="76" spans="1:31" ht="18" customHeight="1">
      <c r="A76" s="5596" t="s">
        <v>156</v>
      </c>
      <c r="B76" s="2985">
        <v>1</v>
      </c>
      <c r="C76" s="2986">
        <v>2</v>
      </c>
      <c r="D76" s="2986">
        <v>3</v>
      </c>
      <c r="E76" s="2986">
        <v>4</v>
      </c>
      <c r="F76" s="2986">
        <v>5</v>
      </c>
      <c r="G76" s="2986">
        <v>6</v>
      </c>
      <c r="H76" s="2985">
        <v>7</v>
      </c>
      <c r="I76" s="2985">
        <v>8</v>
      </c>
      <c r="J76" s="2985">
        <v>9</v>
      </c>
      <c r="K76" s="2985">
        <v>10</v>
      </c>
      <c r="L76" s="2986">
        <v>11</v>
      </c>
      <c r="M76" s="2986">
        <v>12</v>
      </c>
      <c r="N76" s="2985">
        <v>13</v>
      </c>
      <c r="O76" s="2985">
        <v>14</v>
      </c>
      <c r="P76" s="2985">
        <v>15</v>
      </c>
      <c r="Q76" s="2985">
        <v>16</v>
      </c>
      <c r="R76" s="2985">
        <v>17</v>
      </c>
      <c r="S76" s="2986">
        <v>18</v>
      </c>
      <c r="T76" s="2986">
        <v>19</v>
      </c>
      <c r="U76" s="2985">
        <v>20</v>
      </c>
      <c r="V76" s="2985">
        <v>21</v>
      </c>
      <c r="W76" s="2985">
        <v>22</v>
      </c>
      <c r="X76" s="2985">
        <v>23</v>
      </c>
      <c r="Y76" s="2985">
        <v>24</v>
      </c>
      <c r="Z76" s="2986">
        <v>25</v>
      </c>
      <c r="AA76" s="2986">
        <v>26</v>
      </c>
      <c r="AB76" s="2985">
        <v>27</v>
      </c>
      <c r="AC76" s="2985">
        <v>28</v>
      </c>
      <c r="AD76" s="2985">
        <v>29</v>
      </c>
      <c r="AE76" s="5594">
        <v>30</v>
      </c>
    </row>
    <row r="77" spans="1:31" ht="18" customHeight="1" thickBot="1">
      <c r="A77" s="5591" t="s">
        <v>688</v>
      </c>
      <c r="B77" s="5597" t="s">
        <v>40</v>
      </c>
      <c r="C77" s="5598"/>
      <c r="D77" s="5599"/>
      <c r="E77" s="5599"/>
      <c r="F77" s="5599"/>
      <c r="G77" s="5599"/>
      <c r="H77" s="5599" t="s">
        <v>40</v>
      </c>
      <c r="I77" s="5598" t="s">
        <v>40</v>
      </c>
      <c r="J77" s="5599" t="s">
        <v>40</v>
      </c>
      <c r="K77" s="5599" t="s">
        <v>40</v>
      </c>
      <c r="L77" s="5599"/>
      <c r="M77" s="5599"/>
      <c r="N77" s="5599" t="s">
        <v>40</v>
      </c>
      <c r="O77" s="5600" t="s">
        <v>40</v>
      </c>
      <c r="P77" s="5601" t="s">
        <v>40</v>
      </c>
      <c r="Q77" s="5601" t="s">
        <v>40</v>
      </c>
      <c r="R77" s="5601" t="s">
        <v>40</v>
      </c>
      <c r="S77" s="5601"/>
      <c r="T77" s="5601"/>
      <c r="U77" s="5600" t="s">
        <v>40</v>
      </c>
      <c r="V77" s="5600" t="s">
        <v>40</v>
      </c>
      <c r="W77" s="5601" t="s">
        <v>40</v>
      </c>
      <c r="X77" s="5601" t="s">
        <v>40</v>
      </c>
      <c r="Y77" s="5602" t="s">
        <v>40</v>
      </c>
      <c r="Z77" s="5602"/>
      <c r="AA77" s="5602"/>
      <c r="AB77" s="5602" t="s">
        <v>40</v>
      </c>
      <c r="AC77" s="5602" t="s">
        <v>40</v>
      </c>
      <c r="AD77" s="5602" t="s">
        <v>40</v>
      </c>
      <c r="AE77" s="5603" t="s">
        <v>40</v>
      </c>
    </row>
    <row r="78" spans="1:31" ht="18" customHeight="1" thickBot="1">
      <c r="A78" s="364" t="s">
        <v>544</v>
      </c>
      <c r="B78" s="379" t="s">
        <v>40</v>
      </c>
      <c r="C78" s="379"/>
      <c r="D78" s="377"/>
      <c r="E78" s="377"/>
      <c r="F78" s="377"/>
      <c r="G78" s="320" t="s">
        <v>40</v>
      </c>
      <c r="H78" s="379" t="s">
        <v>40</v>
      </c>
      <c r="I78" s="379" t="s">
        <v>40</v>
      </c>
      <c r="J78" s="379" t="s">
        <v>40</v>
      </c>
      <c r="K78" s="379" t="s">
        <v>40</v>
      </c>
      <c r="L78" s="344"/>
      <c r="M78" s="344"/>
      <c r="N78" s="379" t="s">
        <v>40</v>
      </c>
      <c r="O78" s="379" t="s">
        <v>40</v>
      </c>
      <c r="P78" s="379" t="s">
        <v>40</v>
      </c>
      <c r="Q78" s="379" t="s">
        <v>40</v>
      </c>
      <c r="R78" s="379" t="s">
        <v>40</v>
      </c>
      <c r="S78" s="344"/>
      <c r="T78" s="344"/>
      <c r="U78" s="379" t="s">
        <v>40</v>
      </c>
      <c r="V78" s="379" t="s">
        <v>40</v>
      </c>
      <c r="W78" s="379" t="s">
        <v>40</v>
      </c>
      <c r="X78" s="379" t="s">
        <v>40</v>
      </c>
      <c r="Y78" s="379" t="s">
        <v>40</v>
      </c>
      <c r="Z78" s="344"/>
      <c r="AA78" s="344"/>
      <c r="AB78" s="379" t="s">
        <v>40</v>
      </c>
      <c r="AC78" s="379" t="s">
        <v>40</v>
      </c>
      <c r="AD78" s="379" t="s">
        <v>40</v>
      </c>
      <c r="AE78" s="379" t="s">
        <v>40</v>
      </c>
    </row>
    <row r="79" spans="1:31" ht="18" customHeight="1" thickBot="1">
      <c r="A79" s="469" t="s">
        <v>481</v>
      </c>
      <c r="B79" s="379" t="s">
        <v>40</v>
      </c>
      <c r="C79" s="379"/>
      <c r="D79" s="5599"/>
      <c r="E79" s="5599"/>
      <c r="F79" s="5599"/>
      <c r="G79" s="5599"/>
      <c r="H79" s="379" t="s">
        <v>40</v>
      </c>
      <c r="I79" s="379" t="s">
        <v>40</v>
      </c>
      <c r="J79" s="379" t="s">
        <v>40</v>
      </c>
      <c r="K79" s="379" t="s">
        <v>40</v>
      </c>
      <c r="L79" s="5599"/>
      <c r="M79" s="5599"/>
      <c r="N79" s="379" t="s">
        <v>40</v>
      </c>
      <c r="O79" s="379" t="s">
        <v>40</v>
      </c>
      <c r="P79" s="379" t="s">
        <v>40</v>
      </c>
      <c r="Q79" s="379" t="s">
        <v>40</v>
      </c>
      <c r="R79" s="379" t="s">
        <v>40</v>
      </c>
      <c r="S79" s="5599"/>
      <c r="T79" s="5599"/>
      <c r="U79" s="379" t="s">
        <v>40</v>
      </c>
      <c r="V79" s="379" t="s">
        <v>40</v>
      </c>
      <c r="W79" s="379" t="s">
        <v>40</v>
      </c>
      <c r="X79" s="379" t="s">
        <v>40</v>
      </c>
      <c r="Y79" s="379" t="s">
        <v>40</v>
      </c>
      <c r="Z79" s="5599"/>
      <c r="AA79" s="5599"/>
      <c r="AB79" s="379" t="s">
        <v>40</v>
      </c>
      <c r="AC79" s="379" t="s">
        <v>40</v>
      </c>
      <c r="AD79" s="379" t="s">
        <v>40</v>
      </c>
      <c r="AE79" s="379" t="s">
        <v>40</v>
      </c>
    </row>
    <row r="80" spans="1:31" ht="18" customHeight="1" thickBot="1">
      <c r="A80" s="430" t="s">
        <v>160</v>
      </c>
      <c r="B80" s="2985">
        <v>1</v>
      </c>
      <c r="C80" s="2986">
        <v>2</v>
      </c>
      <c r="D80" s="2986">
        <v>3</v>
      </c>
      <c r="E80" s="2986">
        <v>4</v>
      </c>
      <c r="F80" s="2986">
        <v>5</v>
      </c>
      <c r="G80" s="2986">
        <v>6</v>
      </c>
      <c r="H80" s="2985">
        <v>7</v>
      </c>
      <c r="I80" s="2985">
        <v>8</v>
      </c>
      <c r="J80" s="2985">
        <v>9</v>
      </c>
      <c r="K80" s="2985">
        <v>10</v>
      </c>
      <c r="L80" s="2986">
        <v>11</v>
      </c>
      <c r="M80" s="2986">
        <v>12</v>
      </c>
      <c r="N80" s="2985">
        <v>13</v>
      </c>
      <c r="O80" s="2985">
        <v>14</v>
      </c>
      <c r="P80" s="2985">
        <v>15</v>
      </c>
      <c r="Q80" s="2985">
        <v>16</v>
      </c>
      <c r="R80" s="2985">
        <v>17</v>
      </c>
      <c r="S80" s="2986">
        <v>18</v>
      </c>
      <c r="T80" s="2986">
        <v>19</v>
      </c>
      <c r="U80" s="2985">
        <v>20</v>
      </c>
      <c r="V80" s="2985">
        <v>21</v>
      </c>
      <c r="W80" s="2985">
        <v>22</v>
      </c>
      <c r="X80" s="2985">
        <v>23</v>
      </c>
      <c r="Y80" s="2985">
        <v>24</v>
      </c>
      <c r="Z80" s="2986">
        <v>25</v>
      </c>
      <c r="AA80" s="2986">
        <v>26</v>
      </c>
      <c r="AB80" s="2985">
        <v>27</v>
      </c>
      <c r="AC80" s="2985">
        <v>28</v>
      </c>
      <c r="AD80" s="2985">
        <v>29</v>
      </c>
      <c r="AE80" s="5594">
        <v>30</v>
      </c>
    </row>
    <row r="81" spans="1:31" ht="18" customHeight="1">
      <c r="A81" s="5529"/>
      <c r="B81" s="3089"/>
      <c r="C81" s="3190"/>
      <c r="D81" s="3089"/>
      <c r="E81" s="3089"/>
      <c r="F81" s="3089"/>
      <c r="G81" s="3089"/>
      <c r="H81" s="3089"/>
      <c r="I81" s="3089"/>
      <c r="J81" s="3089"/>
      <c r="K81" s="3089"/>
      <c r="L81" s="3089"/>
      <c r="M81" s="3089"/>
      <c r="N81" s="3089"/>
      <c r="O81" s="3089"/>
      <c r="P81" s="3089"/>
      <c r="Q81" s="3089"/>
      <c r="R81" s="3089"/>
      <c r="S81" s="3089"/>
      <c r="T81" s="3089"/>
      <c r="U81" s="3089"/>
      <c r="V81" s="3089"/>
      <c r="W81" s="3089"/>
      <c r="X81" s="3089"/>
      <c r="Y81" s="3089"/>
      <c r="Z81" s="3089"/>
      <c r="AA81" s="3089"/>
      <c r="AB81" s="3089"/>
      <c r="AC81" s="3089"/>
      <c r="AD81" s="3089"/>
      <c r="AE81" s="5178"/>
    </row>
    <row r="82" spans="1:31" ht="18" customHeight="1" thickBot="1">
      <c r="A82" s="5604"/>
      <c r="B82" s="5605"/>
      <c r="C82" s="5605"/>
      <c r="D82" s="5605"/>
      <c r="E82" s="5606"/>
      <c r="F82" s="5606"/>
      <c r="G82" s="5605"/>
      <c r="H82" s="5605"/>
      <c r="I82" s="5605"/>
      <c r="J82" s="5605"/>
      <c r="K82" s="5605"/>
      <c r="L82" s="5605"/>
      <c r="M82" s="5605"/>
      <c r="N82" s="5605"/>
      <c r="O82" s="5605"/>
      <c r="P82" s="5605"/>
      <c r="Q82" s="5605"/>
      <c r="R82" s="5605"/>
      <c r="S82" s="5583"/>
      <c r="T82" s="5605"/>
      <c r="U82" s="5605"/>
      <c r="V82" s="5605"/>
      <c r="W82" s="5605"/>
      <c r="X82" s="5605"/>
      <c r="Y82" s="5605"/>
      <c r="Z82" s="5605"/>
      <c r="AA82" s="5605"/>
      <c r="AB82" s="5605"/>
      <c r="AC82" s="5605"/>
      <c r="AD82" s="5605"/>
      <c r="AE82" s="5607"/>
    </row>
    <row r="83" spans="1:31" ht="18" customHeight="1" thickBot="1">
      <c r="A83" s="115"/>
      <c r="B83" s="126"/>
      <c r="C83" s="126"/>
      <c r="D83" s="126"/>
      <c r="E83" s="126"/>
      <c r="F83" s="126"/>
      <c r="G83" s="126"/>
      <c r="H83" s="126"/>
      <c r="I83" s="126"/>
      <c r="J83" s="126"/>
      <c r="K83" s="126"/>
      <c r="L83" s="126"/>
      <c r="M83" s="126"/>
      <c r="N83" s="126"/>
      <c r="O83" s="126"/>
      <c r="P83" s="126"/>
      <c r="Q83" s="126"/>
      <c r="R83" s="126"/>
      <c r="S83" s="126"/>
      <c r="T83" s="126"/>
      <c r="U83" s="126"/>
      <c r="V83" s="126"/>
      <c r="W83" s="126"/>
      <c r="X83" s="126"/>
      <c r="Y83" s="126"/>
      <c r="Z83" s="126"/>
      <c r="AA83" s="126"/>
      <c r="AB83" s="126"/>
      <c r="AC83" s="126"/>
      <c r="AD83" s="126"/>
      <c r="AE83" s="126"/>
    </row>
    <row r="84" spans="1:31" ht="18" customHeight="1">
      <c r="A84" s="672" t="s">
        <v>678</v>
      </c>
      <c r="B84" s="417"/>
      <c r="C84" s="418" t="s">
        <v>19</v>
      </c>
      <c r="D84" s="417"/>
      <c r="E84" s="417"/>
      <c r="F84" s="418" t="s">
        <v>20</v>
      </c>
      <c r="G84" s="417"/>
      <c r="H84" s="417"/>
      <c r="I84" s="418" t="s">
        <v>21</v>
      </c>
      <c r="J84" s="417"/>
      <c r="K84" s="417"/>
      <c r="L84" s="418" t="s">
        <v>22</v>
      </c>
      <c r="M84" s="417"/>
      <c r="N84" s="417"/>
      <c r="O84" s="418" t="s">
        <v>23</v>
      </c>
      <c r="P84" s="417"/>
      <c r="Q84" s="415"/>
      <c r="R84" s="413" t="s">
        <v>24</v>
      </c>
      <c r="S84" s="417"/>
      <c r="T84" s="417"/>
      <c r="U84" s="418" t="s">
        <v>25</v>
      </c>
      <c r="V84" s="673"/>
      <c r="W84" s="68"/>
      <c r="X84" s="68"/>
      <c r="Y84" s="68"/>
      <c r="Z84" s="68"/>
      <c r="AA84" s="68"/>
      <c r="AB84" s="68"/>
      <c r="AC84" s="68"/>
      <c r="AD84" s="68"/>
      <c r="AE84" s="68"/>
    </row>
    <row r="85" spans="1:31" ht="18" customHeight="1">
      <c r="A85" s="5608" t="s">
        <v>162</v>
      </c>
      <c r="B85" s="5609" t="s">
        <v>163</v>
      </c>
      <c r="C85" s="5610"/>
      <c r="D85" s="5610"/>
      <c r="E85" s="5609" t="s">
        <v>163</v>
      </c>
      <c r="F85" s="5610"/>
      <c r="G85" s="5610"/>
      <c r="H85" s="5609" t="s">
        <v>163</v>
      </c>
      <c r="I85" s="5610"/>
      <c r="J85" s="5610"/>
      <c r="K85" s="5609" t="s">
        <v>163</v>
      </c>
      <c r="L85" s="5610"/>
      <c r="M85" s="5610"/>
      <c r="N85" s="5609" t="s">
        <v>163</v>
      </c>
      <c r="O85" s="5610"/>
      <c r="P85" s="5610"/>
      <c r="Q85" s="5611"/>
      <c r="R85" s="5610"/>
      <c r="S85" s="5610"/>
      <c r="T85" s="5611" t="s">
        <v>164</v>
      </c>
      <c r="U85" s="5610"/>
      <c r="V85" s="5612"/>
      <c r="W85" s="68"/>
      <c r="X85" s="68"/>
      <c r="Y85" s="68"/>
      <c r="Z85" s="68"/>
      <c r="AA85" s="68"/>
      <c r="AB85" s="68"/>
      <c r="AC85" s="68"/>
      <c r="AD85" s="68"/>
      <c r="AE85" s="68"/>
    </row>
    <row r="86" spans="1:31" ht="18" customHeight="1">
      <c r="A86" s="5608" t="s">
        <v>165</v>
      </c>
      <c r="B86" s="5613" t="s">
        <v>166</v>
      </c>
      <c r="C86" s="5614"/>
      <c r="D86" s="5614"/>
      <c r="E86" s="5613" t="s">
        <v>167</v>
      </c>
      <c r="F86" s="5614"/>
      <c r="G86" s="5614"/>
      <c r="H86" s="5613" t="s">
        <v>167</v>
      </c>
      <c r="I86" s="5614"/>
      <c r="J86" s="5614"/>
      <c r="K86" s="5613" t="s">
        <v>167</v>
      </c>
      <c r="L86" s="5614"/>
      <c r="M86" s="5614"/>
      <c r="N86" s="5613" t="s">
        <v>168</v>
      </c>
      <c r="O86" s="5614"/>
      <c r="P86" s="5614"/>
      <c r="Q86" s="242"/>
      <c r="R86" s="131"/>
      <c r="S86" s="5615"/>
      <c r="T86" s="242"/>
      <c r="U86" s="131"/>
      <c r="V86" s="5612"/>
      <c r="W86" s="68"/>
      <c r="X86" s="68"/>
      <c r="Y86" s="68"/>
      <c r="Z86" s="68"/>
      <c r="AA86" s="68"/>
      <c r="AB86" s="68"/>
      <c r="AC86" s="68"/>
      <c r="AD86" s="68"/>
      <c r="AE86" s="68"/>
    </row>
    <row r="87" spans="1:31" ht="18" customHeight="1">
      <c r="A87" s="5608" t="s">
        <v>169</v>
      </c>
      <c r="B87" s="5616" t="s">
        <v>170</v>
      </c>
      <c r="C87" s="5552"/>
      <c r="D87" s="5552"/>
      <c r="E87" s="5616" t="s">
        <v>171</v>
      </c>
      <c r="F87" s="5560"/>
      <c r="G87" s="5552"/>
      <c r="H87" s="5616" t="s">
        <v>171</v>
      </c>
      <c r="I87" s="5510"/>
      <c r="J87" s="5509"/>
      <c r="K87" s="5617" t="s">
        <v>172</v>
      </c>
      <c r="L87" s="5510"/>
      <c r="M87" s="5618"/>
      <c r="N87" s="5616" t="s">
        <v>172</v>
      </c>
      <c r="O87" s="5552"/>
      <c r="P87" s="5552"/>
      <c r="Q87" s="5617" t="s">
        <v>173</v>
      </c>
      <c r="R87" s="5510"/>
      <c r="S87" s="5509"/>
      <c r="T87" s="5617" t="s">
        <v>173</v>
      </c>
      <c r="U87" s="5510"/>
      <c r="V87" s="5512"/>
      <c r="W87" s="68"/>
      <c r="X87" s="68"/>
      <c r="Y87" s="68"/>
      <c r="Z87" s="68"/>
      <c r="AA87" s="68"/>
      <c r="AB87" s="68"/>
      <c r="AC87" s="68"/>
      <c r="AD87" s="68"/>
      <c r="AE87" s="68"/>
    </row>
    <row r="88" spans="1:31" ht="18" customHeight="1" thickBot="1">
      <c r="A88" s="5619" t="s">
        <v>174</v>
      </c>
      <c r="B88" s="5620" t="s">
        <v>46</v>
      </c>
      <c r="C88" s="5621"/>
      <c r="D88" s="5621"/>
      <c r="E88" s="5620" t="s">
        <v>46</v>
      </c>
      <c r="F88" s="5622"/>
      <c r="G88" s="5621"/>
      <c r="H88" s="5623" t="s">
        <v>46</v>
      </c>
      <c r="I88" s="5129"/>
      <c r="J88" s="5130"/>
      <c r="K88" s="5623" t="s">
        <v>46</v>
      </c>
      <c r="L88" s="5129"/>
      <c r="M88" s="5624"/>
      <c r="N88" s="5620" t="s">
        <v>46</v>
      </c>
      <c r="O88" s="5621"/>
      <c r="P88" s="5621"/>
      <c r="Q88" s="5623"/>
      <c r="R88" s="5129"/>
      <c r="S88" s="5130"/>
      <c r="T88" s="5623"/>
      <c r="U88" s="5129"/>
      <c r="V88" s="5132"/>
      <c r="W88" s="68"/>
      <c r="X88" s="68"/>
      <c r="Y88" s="68"/>
      <c r="Z88" s="68"/>
      <c r="AA88" s="68"/>
      <c r="AB88" s="68"/>
      <c r="AC88" s="68"/>
      <c r="AD88" s="68"/>
      <c r="AE88" s="68"/>
    </row>
    <row r="89" spans="1:31" ht="18" customHeight="1" thickBot="1">
      <c r="A89" s="243"/>
      <c r="B89" s="244"/>
      <c r="C89" s="111"/>
      <c r="D89" s="111"/>
      <c r="E89" s="244"/>
      <c r="F89" s="115"/>
      <c r="G89" s="111"/>
      <c r="H89" s="115"/>
      <c r="I89" s="111"/>
      <c r="J89" s="111"/>
      <c r="K89" s="115"/>
      <c r="L89" s="111"/>
      <c r="M89" s="32"/>
      <c r="N89" s="244"/>
      <c r="O89" s="111"/>
      <c r="P89" s="111"/>
      <c r="Q89" s="115"/>
      <c r="R89" s="111"/>
      <c r="S89" s="111"/>
      <c r="T89" s="115"/>
      <c r="U89" s="111"/>
      <c r="V89" s="111"/>
      <c r="W89" s="68"/>
      <c r="X89" s="68"/>
      <c r="Y89" s="68"/>
      <c r="Z89" s="68"/>
      <c r="AA89" s="68"/>
      <c r="AB89" s="68"/>
      <c r="AC89" s="68"/>
      <c r="AD89" s="68"/>
      <c r="AE89" s="68"/>
    </row>
    <row r="90" spans="1:31" ht="18" customHeight="1" thickBot="1">
      <c r="A90" s="363" t="s">
        <v>161</v>
      </c>
      <c r="B90" s="865">
        <v>1</v>
      </c>
      <c r="C90" s="866">
        <v>2</v>
      </c>
      <c r="D90" s="866">
        <v>3</v>
      </c>
      <c r="E90" s="866">
        <v>4</v>
      </c>
      <c r="F90" s="866">
        <v>5</v>
      </c>
      <c r="G90" s="866">
        <v>6</v>
      </c>
      <c r="H90" s="865">
        <v>7</v>
      </c>
      <c r="I90" s="865">
        <v>8</v>
      </c>
      <c r="J90" s="865">
        <v>9</v>
      </c>
      <c r="K90" s="865">
        <v>10</v>
      </c>
      <c r="L90" s="866">
        <v>11</v>
      </c>
      <c r="M90" s="866">
        <v>12</v>
      </c>
      <c r="N90" s="865">
        <v>13</v>
      </c>
      <c r="O90" s="865">
        <v>14</v>
      </c>
      <c r="P90" s="865">
        <v>15</v>
      </c>
      <c r="Q90" s="865">
        <v>16</v>
      </c>
      <c r="R90" s="865">
        <v>17</v>
      </c>
      <c r="S90" s="866">
        <v>18</v>
      </c>
      <c r="T90" s="866">
        <v>19</v>
      </c>
      <c r="U90" s="865">
        <v>20</v>
      </c>
      <c r="V90" s="865">
        <v>21</v>
      </c>
      <c r="W90" s="865">
        <v>22</v>
      </c>
      <c r="X90" s="865">
        <v>23</v>
      </c>
      <c r="Y90" s="865">
        <v>24</v>
      </c>
      <c r="Z90" s="866">
        <v>25</v>
      </c>
      <c r="AA90" s="866">
        <v>26</v>
      </c>
      <c r="AB90" s="865">
        <v>27</v>
      </c>
      <c r="AC90" s="865">
        <v>28</v>
      </c>
      <c r="AD90" s="865">
        <v>29</v>
      </c>
      <c r="AE90" s="867">
        <v>30</v>
      </c>
    </row>
    <row r="91" spans="1:31" ht="18" customHeight="1">
      <c r="A91" s="5192" t="s">
        <v>175</v>
      </c>
      <c r="B91" s="5537" t="s">
        <v>46</v>
      </c>
      <c r="C91" s="5625" t="s">
        <v>46</v>
      </c>
      <c r="D91" s="5625" t="s">
        <v>46</v>
      </c>
      <c r="E91" s="5625"/>
      <c r="F91" s="5625"/>
      <c r="G91" s="5625">
        <v>25</v>
      </c>
      <c r="H91" s="5625">
        <v>25</v>
      </c>
      <c r="I91" s="5625">
        <v>25</v>
      </c>
      <c r="J91" s="5625">
        <v>25</v>
      </c>
      <c r="K91" s="5625">
        <v>25</v>
      </c>
      <c r="L91" s="5625"/>
      <c r="M91" s="5625">
        <v>26</v>
      </c>
      <c r="N91" s="5625">
        <v>26</v>
      </c>
      <c r="O91" s="5625">
        <v>26</v>
      </c>
      <c r="P91" s="5625">
        <v>26</v>
      </c>
      <c r="Q91" s="5625">
        <v>26</v>
      </c>
      <c r="R91" s="5625">
        <v>26</v>
      </c>
      <c r="S91" s="585"/>
      <c r="T91" s="585"/>
      <c r="U91" s="585" t="s">
        <v>121</v>
      </c>
      <c r="V91" s="585" t="s">
        <v>121</v>
      </c>
      <c r="W91" s="585" t="s">
        <v>121</v>
      </c>
      <c r="X91" s="585" t="s">
        <v>121</v>
      </c>
      <c r="Y91" s="585" t="s">
        <v>121</v>
      </c>
      <c r="Z91" s="5625" t="s">
        <v>120</v>
      </c>
      <c r="AA91" s="5537" t="s">
        <v>120</v>
      </c>
      <c r="AB91" s="5537" t="s">
        <v>46</v>
      </c>
      <c r="AC91" s="5537" t="s">
        <v>46</v>
      </c>
      <c r="AD91" s="5537" t="s">
        <v>46</v>
      </c>
      <c r="AE91" s="5626" t="s">
        <v>46</v>
      </c>
    </row>
    <row r="92" spans="1:31" ht="18" customHeight="1">
      <c r="A92" s="5595" t="s">
        <v>176</v>
      </c>
      <c r="B92" s="5625">
        <v>25</v>
      </c>
      <c r="C92" s="5625"/>
      <c r="D92" s="5625"/>
      <c r="E92" s="5625"/>
      <c r="F92" s="5625">
        <v>26</v>
      </c>
      <c r="G92" s="5625">
        <v>26</v>
      </c>
      <c r="H92" s="5625">
        <v>26</v>
      </c>
      <c r="I92" s="5625">
        <v>26</v>
      </c>
      <c r="J92" s="5625">
        <v>26</v>
      </c>
      <c r="K92" s="5625">
        <v>26</v>
      </c>
      <c r="L92" s="585"/>
      <c r="M92" s="585"/>
      <c r="N92" s="585" t="s">
        <v>121</v>
      </c>
      <c r="O92" s="585" t="s">
        <v>121</v>
      </c>
      <c r="P92" s="585" t="s">
        <v>121</v>
      </c>
      <c r="Q92" s="585" t="s">
        <v>121</v>
      </c>
      <c r="R92" s="585" t="s">
        <v>121</v>
      </c>
      <c r="S92" s="5625" t="s">
        <v>120</v>
      </c>
      <c r="T92" s="5625" t="s">
        <v>120</v>
      </c>
      <c r="U92" s="5625" t="s">
        <v>46</v>
      </c>
      <c r="V92" s="5625" t="s">
        <v>46</v>
      </c>
      <c r="W92" s="5625" t="s">
        <v>46</v>
      </c>
      <c r="X92" s="5625" t="s">
        <v>46</v>
      </c>
      <c r="Y92" s="5625" t="s">
        <v>46</v>
      </c>
      <c r="Z92" s="5625"/>
      <c r="AA92" s="5625"/>
      <c r="AB92" s="5625">
        <v>25</v>
      </c>
      <c r="AC92" s="5625">
        <v>25</v>
      </c>
      <c r="AD92" s="5625">
        <v>25</v>
      </c>
      <c r="AE92" s="5626">
        <v>25</v>
      </c>
    </row>
    <row r="93" spans="1:31" ht="18" customHeight="1">
      <c r="A93" s="5627" t="s">
        <v>135</v>
      </c>
      <c r="B93" s="5625">
        <v>26</v>
      </c>
      <c r="C93" s="5625"/>
      <c r="D93" s="5625"/>
      <c r="E93" s="5625"/>
      <c r="F93" s="5625"/>
      <c r="G93" s="5625" t="s">
        <v>121</v>
      </c>
      <c r="H93" s="5625" t="s">
        <v>121</v>
      </c>
      <c r="I93" s="5625" t="s">
        <v>121</v>
      </c>
      <c r="J93" s="5625" t="s">
        <v>121</v>
      </c>
      <c r="K93" s="5625" t="s">
        <v>121</v>
      </c>
      <c r="L93" s="5625" t="s">
        <v>120</v>
      </c>
      <c r="M93" s="5625" t="s">
        <v>120</v>
      </c>
      <c r="N93" s="5625" t="s">
        <v>46</v>
      </c>
      <c r="O93" s="5625" t="s">
        <v>46</v>
      </c>
      <c r="P93" s="5625" t="s">
        <v>46</v>
      </c>
      <c r="Q93" s="5625" t="s">
        <v>46</v>
      </c>
      <c r="R93" s="5625" t="s">
        <v>46</v>
      </c>
      <c r="S93" s="5625"/>
      <c r="T93" s="5625"/>
      <c r="U93" s="5625">
        <v>25</v>
      </c>
      <c r="V93" s="5625">
        <v>25</v>
      </c>
      <c r="W93" s="5625">
        <v>25</v>
      </c>
      <c r="X93" s="5625">
        <v>25</v>
      </c>
      <c r="Y93" s="5625">
        <v>25</v>
      </c>
      <c r="Z93" s="5625"/>
      <c r="AA93" s="5625">
        <v>26</v>
      </c>
      <c r="AB93" s="5625">
        <v>26</v>
      </c>
      <c r="AC93" s="5625">
        <v>26</v>
      </c>
      <c r="AD93" s="5625">
        <v>26</v>
      </c>
      <c r="AE93" s="5626">
        <v>26</v>
      </c>
    </row>
    <row r="94" spans="1:31" ht="18" customHeight="1" thickBot="1">
      <c r="A94" s="462" t="s">
        <v>146</v>
      </c>
      <c r="B94" s="5605" t="s">
        <v>121</v>
      </c>
      <c r="C94" s="5605" t="s">
        <v>120</v>
      </c>
      <c r="D94" s="5605" t="s">
        <v>120</v>
      </c>
      <c r="E94" s="5605" t="s">
        <v>120</v>
      </c>
      <c r="F94" s="5605" t="s">
        <v>120</v>
      </c>
      <c r="G94" s="5605" t="s">
        <v>46</v>
      </c>
      <c r="H94" s="5605" t="s">
        <v>46</v>
      </c>
      <c r="I94" s="5605" t="s">
        <v>46</v>
      </c>
      <c r="J94" s="5605" t="s">
        <v>46</v>
      </c>
      <c r="K94" s="5605" t="s">
        <v>46</v>
      </c>
      <c r="L94" s="5605"/>
      <c r="M94" s="5605"/>
      <c r="N94" s="5605">
        <v>25</v>
      </c>
      <c r="O94" s="5605">
        <v>25</v>
      </c>
      <c r="P94" s="5605">
        <v>25</v>
      </c>
      <c r="Q94" s="5605">
        <v>25</v>
      </c>
      <c r="R94" s="5605">
        <v>25</v>
      </c>
      <c r="S94" s="5605"/>
      <c r="T94" s="5605">
        <v>26</v>
      </c>
      <c r="U94" s="5605">
        <v>26</v>
      </c>
      <c r="V94" s="5605">
        <v>26</v>
      </c>
      <c r="W94" s="5605">
        <v>26</v>
      </c>
      <c r="X94" s="5605">
        <v>26</v>
      </c>
      <c r="Y94" s="5605">
        <v>26</v>
      </c>
      <c r="Z94" s="5605"/>
      <c r="AA94" s="5605"/>
      <c r="AB94" s="5605" t="s">
        <v>121</v>
      </c>
      <c r="AC94" s="5605" t="s">
        <v>121</v>
      </c>
      <c r="AD94" s="5605" t="s">
        <v>121</v>
      </c>
      <c r="AE94" s="5607" t="s">
        <v>121</v>
      </c>
    </row>
    <row r="95" spans="1:31" ht="18" customHeight="1" thickBot="1">
      <c r="A95" s="115"/>
      <c r="B95" s="126"/>
      <c r="C95" s="126"/>
      <c r="D95" s="126"/>
      <c r="E95" s="126"/>
      <c r="F95" s="126"/>
      <c r="G95" s="126"/>
      <c r="H95" s="126"/>
      <c r="I95" s="126"/>
      <c r="J95" s="126"/>
      <c r="K95" s="126"/>
      <c r="L95" s="126"/>
      <c r="M95" s="126"/>
      <c r="N95" s="126"/>
      <c r="O95" s="126"/>
      <c r="P95" s="126"/>
      <c r="Q95" s="126"/>
      <c r="R95" s="126"/>
      <c r="S95" s="126"/>
      <c r="T95" s="126"/>
      <c r="U95" s="126"/>
      <c r="V95" s="126"/>
      <c r="W95" s="126"/>
      <c r="X95" s="126"/>
      <c r="Y95" s="126"/>
      <c r="Z95" s="126"/>
      <c r="AA95" s="126"/>
      <c r="AB95" s="126"/>
      <c r="AC95" s="126"/>
      <c r="AD95" s="126"/>
      <c r="AE95" s="126"/>
    </row>
    <row r="96" spans="1:31" ht="18" customHeight="1" thickBot="1">
      <c r="A96" s="134" t="s">
        <v>180</v>
      </c>
      <c r="B96" s="135"/>
      <c r="C96" s="135"/>
      <c r="D96" s="136" t="s">
        <v>181</v>
      </c>
      <c r="E96" s="135"/>
      <c r="F96" s="135"/>
      <c r="G96" s="135"/>
      <c r="H96" s="135"/>
      <c r="I96" s="135"/>
      <c r="J96" s="135" t="s">
        <v>0</v>
      </c>
      <c r="K96" s="135"/>
      <c r="L96" s="135"/>
      <c r="M96" s="135"/>
      <c r="N96" s="135"/>
      <c r="O96" s="135"/>
      <c r="P96" s="135"/>
      <c r="Q96" s="147" t="s">
        <v>0</v>
      </c>
      <c r="R96" s="147"/>
      <c r="S96" s="147"/>
      <c r="T96" s="108"/>
      <c r="U96" s="108"/>
      <c r="V96" s="108"/>
      <c r="W96" s="108"/>
      <c r="X96" s="108"/>
      <c r="Y96" s="108"/>
      <c r="Z96" s="108"/>
      <c r="AA96" s="108"/>
      <c r="AB96" s="108"/>
      <c r="AC96" s="108"/>
      <c r="AD96" s="108"/>
      <c r="AE96" s="108"/>
    </row>
    <row r="97" spans="1:31" ht="18" customHeight="1" thickBot="1">
      <c r="A97" s="142"/>
      <c r="B97" s="157"/>
      <c r="C97" s="157"/>
      <c r="D97" s="157"/>
      <c r="E97" s="157"/>
      <c r="F97" s="157"/>
      <c r="G97" s="157"/>
      <c r="H97" s="157"/>
      <c r="I97" s="157"/>
      <c r="J97" s="157"/>
      <c r="K97" s="131"/>
      <c r="L97" s="131"/>
      <c r="M97" s="131"/>
      <c r="N97" s="131"/>
      <c r="O97" s="131"/>
      <c r="P97" s="131"/>
      <c r="Q97" s="131"/>
      <c r="R97" s="131"/>
      <c r="S97" s="131"/>
      <c r="T97" s="101"/>
      <c r="U97" s="101"/>
      <c r="V97" s="101"/>
      <c r="W97" s="101"/>
      <c r="X97" s="101"/>
      <c r="Y97" s="101"/>
      <c r="Z97" s="101"/>
      <c r="AA97" s="101"/>
      <c r="AB97" s="101"/>
      <c r="AC97" s="101"/>
      <c r="AD97" s="101"/>
      <c r="AE97" s="101"/>
    </row>
    <row r="98" spans="1:31" ht="18" customHeight="1" thickBot="1">
      <c r="A98" s="388" t="s">
        <v>679</v>
      </c>
      <c r="B98" s="3599">
        <v>1</v>
      </c>
      <c r="C98" s="3617">
        <v>2</v>
      </c>
      <c r="D98" s="3617">
        <v>3</v>
      </c>
      <c r="E98" s="3617">
        <v>4</v>
      </c>
      <c r="F98" s="3617">
        <v>5</v>
      </c>
      <c r="G98" s="3617">
        <v>6</v>
      </c>
      <c r="H98" s="3599">
        <v>7</v>
      </c>
      <c r="I98" s="3599">
        <v>8</v>
      </c>
      <c r="J98" s="3599">
        <v>9</v>
      </c>
      <c r="K98" s="3599">
        <v>10</v>
      </c>
      <c r="L98" s="3617">
        <v>11</v>
      </c>
      <c r="M98" s="3617">
        <v>12</v>
      </c>
      <c r="N98" s="3599">
        <v>13</v>
      </c>
      <c r="O98" s="3599">
        <v>14</v>
      </c>
      <c r="P98" s="3599">
        <v>15</v>
      </c>
      <c r="Q98" s="3599">
        <v>16</v>
      </c>
      <c r="R98" s="3599">
        <v>17</v>
      </c>
      <c r="S98" s="3617">
        <v>18</v>
      </c>
      <c r="T98" s="3617">
        <v>19</v>
      </c>
      <c r="U98" s="3599">
        <v>20</v>
      </c>
      <c r="V98" s="3599">
        <v>21</v>
      </c>
      <c r="W98" s="3599">
        <v>22</v>
      </c>
      <c r="X98" s="3599">
        <v>23</v>
      </c>
      <c r="Y98" s="3599">
        <v>24</v>
      </c>
      <c r="Z98" s="3617">
        <v>25</v>
      </c>
      <c r="AA98" s="3617">
        <v>26</v>
      </c>
      <c r="AB98" s="3599">
        <v>27</v>
      </c>
      <c r="AC98" s="3599">
        <v>28</v>
      </c>
      <c r="AD98" s="3599">
        <v>29</v>
      </c>
      <c r="AE98" s="3599">
        <v>30</v>
      </c>
    </row>
    <row r="99" spans="1:31" ht="18" customHeight="1">
      <c r="A99" s="699" t="s">
        <v>184</v>
      </c>
      <c r="B99" s="700" t="s">
        <v>46</v>
      </c>
      <c r="C99" s="700" t="s">
        <v>46</v>
      </c>
      <c r="D99" s="700" t="s">
        <v>46</v>
      </c>
      <c r="E99" s="700"/>
      <c r="F99" s="700"/>
      <c r="G99" s="700" t="s">
        <v>118</v>
      </c>
      <c r="H99" s="700" t="s">
        <v>118</v>
      </c>
      <c r="I99" s="700" t="s">
        <v>118</v>
      </c>
      <c r="J99" s="700" t="s">
        <v>118</v>
      </c>
      <c r="K99" s="700" t="s">
        <v>118</v>
      </c>
      <c r="L99" s="700" t="s">
        <v>118</v>
      </c>
      <c r="M99" s="700" t="s">
        <v>118</v>
      </c>
      <c r="N99" s="700" t="s">
        <v>46</v>
      </c>
      <c r="O99" s="700" t="s">
        <v>46</v>
      </c>
      <c r="P99" s="700" t="s">
        <v>46</v>
      </c>
      <c r="Q99" s="700" t="s">
        <v>46</v>
      </c>
      <c r="R99" s="700" t="s">
        <v>46</v>
      </c>
      <c r="S99" s="700"/>
      <c r="T99" s="700"/>
      <c r="U99" s="700" t="s">
        <v>118</v>
      </c>
      <c r="V99" s="700" t="s">
        <v>118</v>
      </c>
      <c r="W99" s="700" t="s">
        <v>118</v>
      </c>
      <c r="X99" s="700" t="s">
        <v>118</v>
      </c>
      <c r="Y99" s="700" t="s">
        <v>118</v>
      </c>
      <c r="Z99" s="700" t="s">
        <v>118</v>
      </c>
      <c r="AA99" s="700" t="s">
        <v>118</v>
      </c>
      <c r="AB99" s="700" t="s">
        <v>46</v>
      </c>
      <c r="AC99" s="700" t="s">
        <v>46</v>
      </c>
      <c r="AD99" s="700" t="s">
        <v>46</v>
      </c>
      <c r="AE99" s="701" t="s">
        <v>46</v>
      </c>
    </row>
    <row r="100" spans="1:31" ht="18" customHeight="1">
      <c r="A100" s="366" t="s">
        <v>195</v>
      </c>
      <c r="B100" s="351" t="s">
        <v>118</v>
      </c>
      <c r="C100" s="351" t="s">
        <v>118</v>
      </c>
      <c r="D100" s="351" t="s">
        <v>118</v>
      </c>
      <c r="E100" s="351" t="s">
        <v>118</v>
      </c>
      <c r="F100" s="351" t="s">
        <v>118</v>
      </c>
      <c r="G100" s="351" t="s">
        <v>46</v>
      </c>
      <c r="H100" s="351" t="s">
        <v>46</v>
      </c>
      <c r="I100" s="351" t="s">
        <v>46</v>
      </c>
      <c r="J100" s="351" t="s">
        <v>46</v>
      </c>
      <c r="K100" s="351" t="s">
        <v>46</v>
      </c>
      <c r="L100" s="351"/>
      <c r="M100" s="351"/>
      <c r="N100" s="351" t="s">
        <v>118</v>
      </c>
      <c r="O100" s="351" t="s">
        <v>118</v>
      </c>
      <c r="P100" s="351" t="s">
        <v>118</v>
      </c>
      <c r="Q100" s="351" t="s">
        <v>118</v>
      </c>
      <c r="R100" s="351" t="s">
        <v>118</v>
      </c>
      <c r="S100" s="351" t="s">
        <v>118</v>
      </c>
      <c r="T100" s="351" t="s">
        <v>118</v>
      </c>
      <c r="U100" s="351" t="s">
        <v>46</v>
      </c>
      <c r="V100" s="351" t="s">
        <v>46</v>
      </c>
      <c r="W100" s="351" t="s">
        <v>46</v>
      </c>
      <c r="X100" s="351" t="s">
        <v>46</v>
      </c>
      <c r="Y100" s="351" t="s">
        <v>46</v>
      </c>
      <c r="Z100" s="351"/>
      <c r="AA100" s="351"/>
      <c r="AB100" s="351" t="s">
        <v>118</v>
      </c>
      <c r="AC100" s="351" t="s">
        <v>118</v>
      </c>
      <c r="AD100" s="351" t="s">
        <v>118</v>
      </c>
      <c r="AE100" s="393" t="s">
        <v>118</v>
      </c>
    </row>
    <row r="101" spans="1:31" ht="18" customHeight="1" thickBot="1">
      <c r="A101" s="394" t="s">
        <v>385</v>
      </c>
      <c r="B101" s="395"/>
      <c r="C101" s="395"/>
      <c r="D101" s="395"/>
      <c r="E101" s="395"/>
      <c r="F101" s="395"/>
      <c r="G101" s="395"/>
      <c r="H101" s="395"/>
      <c r="I101" s="395"/>
      <c r="J101" s="395"/>
      <c r="K101" s="395"/>
      <c r="L101" s="395"/>
      <c r="M101" s="395"/>
      <c r="N101" s="395"/>
      <c r="O101" s="395"/>
      <c r="P101" s="395"/>
      <c r="Q101" s="395"/>
      <c r="R101" s="395"/>
      <c r="S101" s="395"/>
      <c r="T101" s="395"/>
      <c r="U101" s="395"/>
      <c r="V101" s="395"/>
      <c r="W101" s="395"/>
      <c r="X101" s="395"/>
      <c r="Y101" s="395"/>
      <c r="Z101" s="395"/>
      <c r="AA101" s="395"/>
      <c r="AB101" s="395"/>
      <c r="AC101" s="395"/>
      <c r="AD101" s="395"/>
      <c r="AE101" s="396"/>
    </row>
    <row r="102" spans="1:31" ht="18" customHeight="1" thickBot="1"/>
    <row r="103" spans="1:31" ht="18" customHeight="1" thickBot="1">
      <c r="A103" s="134" t="s">
        <v>180</v>
      </c>
      <c r="B103" s="135"/>
      <c r="C103" s="135"/>
      <c r="D103" s="136" t="s">
        <v>189</v>
      </c>
      <c r="E103" s="135"/>
      <c r="F103" s="135"/>
      <c r="G103" s="135"/>
      <c r="H103" s="135"/>
      <c r="I103" s="135"/>
      <c r="J103" s="135" t="s">
        <v>0</v>
      </c>
      <c r="K103" s="135"/>
      <c r="L103" s="135"/>
      <c r="M103" s="135"/>
      <c r="N103" s="135"/>
      <c r="O103" s="135"/>
      <c r="P103" s="135"/>
      <c r="Q103" s="147" t="s">
        <v>0</v>
      </c>
      <c r="R103" s="147"/>
      <c r="S103" s="147"/>
      <c r="T103" s="101"/>
      <c r="U103" s="101"/>
    </row>
    <row r="105" spans="1:31" ht="18" customHeight="1" thickBot="1">
      <c r="A105" s="478" t="s">
        <v>595</v>
      </c>
      <c r="B105" s="2985">
        <v>1</v>
      </c>
      <c r="C105" s="2986">
        <v>2</v>
      </c>
      <c r="D105" s="2986">
        <v>3</v>
      </c>
      <c r="E105" s="2986">
        <v>4</v>
      </c>
      <c r="F105" s="2986">
        <v>5</v>
      </c>
      <c r="G105" s="2986">
        <v>6</v>
      </c>
      <c r="H105" s="2985">
        <v>7</v>
      </c>
      <c r="I105" s="2985">
        <v>8</v>
      </c>
      <c r="J105" s="2985">
        <v>9</v>
      </c>
      <c r="K105" s="2985">
        <v>10</v>
      </c>
      <c r="L105" s="2986">
        <v>11</v>
      </c>
      <c r="M105" s="2986">
        <v>12</v>
      </c>
      <c r="N105" s="2985">
        <v>13</v>
      </c>
      <c r="O105" s="2985">
        <v>14</v>
      </c>
      <c r="P105" s="2985">
        <v>15</v>
      </c>
      <c r="Q105" s="2985">
        <v>16</v>
      </c>
      <c r="R105" s="2985">
        <v>17</v>
      </c>
      <c r="S105" s="2986">
        <v>18</v>
      </c>
      <c r="T105" s="2986">
        <v>19</v>
      </c>
      <c r="U105" s="2985">
        <v>20</v>
      </c>
      <c r="V105" s="2985">
        <v>21</v>
      </c>
      <c r="W105" s="2985">
        <v>22</v>
      </c>
      <c r="X105" s="2985">
        <v>23</v>
      </c>
      <c r="Y105" s="2985">
        <v>24</v>
      </c>
      <c r="Z105" s="2986">
        <v>25</v>
      </c>
      <c r="AA105" s="2986">
        <v>26</v>
      </c>
      <c r="AB105" s="2985">
        <v>27</v>
      </c>
      <c r="AC105" s="2985">
        <v>28</v>
      </c>
      <c r="AD105" s="2985">
        <v>29</v>
      </c>
      <c r="AE105" s="2985">
        <v>30</v>
      </c>
    </row>
    <row r="106" spans="1:31" ht="18" customHeight="1">
      <c r="A106" s="475" t="s">
        <v>692</v>
      </c>
      <c r="B106" s="480" t="s">
        <v>46</v>
      </c>
      <c r="C106" s="480" t="s">
        <v>46</v>
      </c>
      <c r="D106" s="480" t="s">
        <v>46</v>
      </c>
      <c r="E106" s="484"/>
      <c r="F106" s="484"/>
      <c r="G106" s="484" t="s">
        <v>61</v>
      </c>
      <c r="H106" s="484" t="s">
        <v>61</v>
      </c>
      <c r="I106" s="484" t="s">
        <v>61</v>
      </c>
      <c r="J106" s="480" t="s">
        <v>61</v>
      </c>
      <c r="K106" s="480" t="s">
        <v>61</v>
      </c>
      <c r="L106" s="480" t="s">
        <v>61</v>
      </c>
      <c r="M106" s="480" t="s">
        <v>61</v>
      </c>
      <c r="N106" s="480" t="s">
        <v>46</v>
      </c>
      <c r="O106" s="480" t="s">
        <v>46</v>
      </c>
      <c r="P106" s="480" t="s">
        <v>46</v>
      </c>
      <c r="Q106" s="480" t="s">
        <v>46</v>
      </c>
      <c r="R106" s="480" t="s">
        <v>46</v>
      </c>
      <c r="S106" s="484"/>
      <c r="T106" s="484"/>
      <c r="U106" s="484" t="s">
        <v>61</v>
      </c>
      <c r="V106" s="484" t="s">
        <v>61</v>
      </c>
      <c r="W106" s="484" t="s">
        <v>61</v>
      </c>
      <c r="X106" s="480" t="s">
        <v>61</v>
      </c>
      <c r="Y106" s="480" t="s">
        <v>61</v>
      </c>
      <c r="Z106" s="480" t="s">
        <v>61</v>
      </c>
      <c r="AA106" s="480" t="s">
        <v>61</v>
      </c>
      <c r="AB106" s="480" t="s">
        <v>46</v>
      </c>
      <c r="AC106" s="480" t="s">
        <v>46</v>
      </c>
      <c r="AD106" s="480" t="s">
        <v>46</v>
      </c>
      <c r="AE106" s="480" t="s">
        <v>46</v>
      </c>
    </row>
    <row r="107" spans="1:31" ht="18" customHeight="1" thickBot="1">
      <c r="A107" s="476" t="s">
        <v>191</v>
      </c>
      <c r="B107" s="5602" t="s">
        <v>61</v>
      </c>
      <c r="C107" s="5600" t="s">
        <v>61</v>
      </c>
      <c r="D107" s="5600" t="s">
        <v>61</v>
      </c>
      <c r="E107" s="5600" t="s">
        <v>61</v>
      </c>
      <c r="F107" s="5600" t="s">
        <v>61</v>
      </c>
      <c r="G107" s="5600" t="s">
        <v>46</v>
      </c>
      <c r="H107" s="5601" t="s">
        <v>46</v>
      </c>
      <c r="I107" s="5601" t="s">
        <v>46</v>
      </c>
      <c r="J107" s="5601" t="s">
        <v>46</v>
      </c>
      <c r="K107" s="5601" t="s">
        <v>46</v>
      </c>
      <c r="L107" s="5628"/>
      <c r="M107" s="5629"/>
      <c r="N107" s="5630" t="s">
        <v>61</v>
      </c>
      <c r="O107" s="5630" t="s">
        <v>61</v>
      </c>
      <c r="P107" s="5630" t="s">
        <v>61</v>
      </c>
      <c r="Q107" s="5630" t="s">
        <v>61</v>
      </c>
      <c r="R107" s="5630" t="s">
        <v>61</v>
      </c>
      <c r="S107" s="5630" t="s">
        <v>61</v>
      </c>
      <c r="T107" s="5630" t="s">
        <v>61</v>
      </c>
      <c r="U107" s="5600" t="s">
        <v>46</v>
      </c>
      <c r="V107" s="5601" t="s">
        <v>46</v>
      </c>
      <c r="W107" s="5601" t="s">
        <v>46</v>
      </c>
      <c r="X107" s="5601" t="s">
        <v>46</v>
      </c>
      <c r="Y107" s="5601" t="s">
        <v>46</v>
      </c>
      <c r="Z107" s="5628"/>
      <c r="AA107" s="5629"/>
      <c r="AB107" s="5602" t="s">
        <v>61</v>
      </c>
      <c r="AC107" s="5602" t="s">
        <v>61</v>
      </c>
      <c r="AD107" s="5602" t="s">
        <v>61</v>
      </c>
      <c r="AE107" s="5600" t="s">
        <v>61</v>
      </c>
    </row>
    <row r="108" spans="1:31" ht="18" customHeight="1" thickBot="1">
      <c r="A108" s="1455" t="s">
        <v>0</v>
      </c>
      <c r="B108" s="1456" t="s">
        <v>0</v>
      </c>
      <c r="C108" s="1456" t="s">
        <v>0</v>
      </c>
      <c r="D108" s="1456" t="s">
        <v>0</v>
      </c>
      <c r="E108" s="1456" t="s">
        <v>0</v>
      </c>
      <c r="F108" s="1456" t="s">
        <v>0</v>
      </c>
      <c r="G108" s="1456" t="s">
        <v>0</v>
      </c>
      <c r="H108" s="1456" t="s">
        <v>0</v>
      </c>
      <c r="I108" s="1456" t="s">
        <v>0</v>
      </c>
      <c r="J108" s="1456" t="s">
        <v>0</v>
      </c>
      <c r="K108" s="1456" t="s">
        <v>0</v>
      </c>
      <c r="L108" s="1456" t="s">
        <v>0</v>
      </c>
      <c r="M108" s="1456" t="s">
        <v>0</v>
      </c>
      <c r="N108" s="1456" t="s">
        <v>0</v>
      </c>
      <c r="O108" s="1456" t="s">
        <v>0</v>
      </c>
      <c r="P108" s="1456" t="s">
        <v>0</v>
      </c>
      <c r="Q108" s="1456" t="s">
        <v>0</v>
      </c>
      <c r="R108" s="1456" t="s">
        <v>0</v>
      </c>
      <c r="S108" s="1456" t="s">
        <v>0</v>
      </c>
      <c r="T108" s="1456" t="s">
        <v>0</v>
      </c>
      <c r="U108" s="1456" t="s">
        <v>0</v>
      </c>
      <c r="V108" s="1456" t="s">
        <v>0</v>
      </c>
      <c r="W108" s="1456" t="s">
        <v>0</v>
      </c>
      <c r="X108" s="1456" t="s">
        <v>0</v>
      </c>
      <c r="Y108" s="1456" t="s">
        <v>0</v>
      </c>
      <c r="Z108" s="1456" t="s">
        <v>0</v>
      </c>
      <c r="AA108" s="1456" t="s">
        <v>0</v>
      </c>
      <c r="AB108" s="1456" t="s">
        <v>0</v>
      </c>
      <c r="AC108" s="1456" t="s">
        <v>0</v>
      </c>
      <c r="AD108" s="1456" t="s">
        <v>0</v>
      </c>
      <c r="AE108" s="1456" t="s">
        <v>0</v>
      </c>
    </row>
    <row r="109" spans="1:31" ht="18" customHeight="1" thickBot="1">
      <c r="A109" s="134" t="s">
        <v>180</v>
      </c>
      <c r="B109" s="135"/>
      <c r="C109" s="135"/>
      <c r="D109" s="136" t="s">
        <v>193</v>
      </c>
      <c r="E109" s="135"/>
      <c r="F109" s="135"/>
      <c r="G109" s="135"/>
      <c r="H109" s="135"/>
      <c r="I109" s="135"/>
      <c r="J109" s="135" t="s">
        <v>0</v>
      </c>
      <c r="K109" s="135"/>
      <c r="L109" s="135"/>
      <c r="M109" s="135"/>
      <c r="N109" s="135"/>
      <c r="O109" s="135"/>
      <c r="P109" s="135"/>
      <c r="Q109" s="147" t="s">
        <v>0</v>
      </c>
      <c r="R109" s="147"/>
      <c r="S109" s="147"/>
    </row>
    <row r="110" spans="1:31" ht="18" customHeight="1" thickBot="1">
      <c r="S110" s="101"/>
      <c r="T110" s="101"/>
      <c r="U110" s="101"/>
    </row>
    <row r="111" spans="1:31" ht="18" customHeight="1" thickBot="1">
      <c r="A111" s="387" t="s">
        <v>192</v>
      </c>
      <c r="B111" s="2985">
        <v>1</v>
      </c>
      <c r="C111" s="2986">
        <v>2</v>
      </c>
      <c r="D111" s="2986">
        <v>3</v>
      </c>
      <c r="E111" s="2986">
        <v>4</v>
      </c>
      <c r="F111" s="2986">
        <v>5</v>
      </c>
      <c r="G111" s="2986">
        <v>6</v>
      </c>
      <c r="H111" s="2985">
        <v>7</v>
      </c>
      <c r="I111" s="2985">
        <v>8</v>
      </c>
      <c r="J111" s="2985">
        <v>9</v>
      </c>
      <c r="K111" s="2985">
        <v>10</v>
      </c>
      <c r="L111" s="2986">
        <v>11</v>
      </c>
      <c r="M111" s="2986">
        <v>12</v>
      </c>
      <c r="N111" s="2985">
        <v>13</v>
      </c>
      <c r="O111" s="2985">
        <v>14</v>
      </c>
      <c r="P111" s="2985">
        <v>15</v>
      </c>
      <c r="Q111" s="2985">
        <v>16</v>
      </c>
      <c r="R111" s="2985">
        <v>17</v>
      </c>
      <c r="S111" s="2986">
        <v>18</v>
      </c>
      <c r="T111" s="2986">
        <v>19</v>
      </c>
      <c r="U111" s="2985">
        <v>20</v>
      </c>
      <c r="V111" s="2985">
        <v>21</v>
      </c>
      <c r="W111" s="2985">
        <v>22</v>
      </c>
      <c r="X111" s="2985">
        <v>23</v>
      </c>
      <c r="Y111" s="2985">
        <v>24</v>
      </c>
      <c r="Z111" s="2986">
        <v>25</v>
      </c>
      <c r="AA111" s="2986">
        <v>26</v>
      </c>
      <c r="AB111" s="2985">
        <v>27</v>
      </c>
      <c r="AC111" s="2985">
        <v>28</v>
      </c>
      <c r="AD111" s="2985">
        <v>29</v>
      </c>
      <c r="AE111" s="2985">
        <v>30</v>
      </c>
    </row>
    <row r="112" spans="1:31" ht="18" customHeight="1">
      <c r="A112" s="1498" t="s">
        <v>194</v>
      </c>
      <c r="B112" s="1505"/>
      <c r="C112" s="1505"/>
      <c r="D112" s="1505"/>
      <c r="E112" s="1505"/>
      <c r="F112" s="1504"/>
      <c r="G112" s="1504"/>
      <c r="H112" s="1504"/>
      <c r="I112" s="1504"/>
      <c r="J112" s="1504"/>
      <c r="K112" s="1505"/>
      <c r="L112" s="1505"/>
      <c r="M112" s="1505"/>
      <c r="N112" s="1505"/>
      <c r="O112" s="1505"/>
      <c r="P112" s="1505"/>
      <c r="Q112" s="1505"/>
      <c r="R112" s="1505"/>
      <c r="S112" s="1505"/>
      <c r="T112" s="1504"/>
      <c r="U112" s="1504"/>
      <c r="V112" s="1504"/>
      <c r="W112" s="1504"/>
      <c r="X112" s="1504"/>
      <c r="Y112" s="1505"/>
      <c r="Z112" s="1505"/>
      <c r="AA112" s="1505"/>
      <c r="AB112" s="1505"/>
      <c r="AC112" s="1505"/>
      <c r="AD112" s="1505"/>
      <c r="AE112" s="1505"/>
    </row>
    <row r="113" spans="1:32" ht="18" customHeight="1" thickBot="1">
      <c r="A113" s="397" t="s">
        <v>185</v>
      </c>
      <c r="B113" s="5602"/>
      <c r="C113" s="5602"/>
      <c r="D113" s="5600"/>
      <c r="E113" s="5600"/>
      <c r="F113" s="5600"/>
      <c r="G113" s="5630"/>
      <c r="H113" s="5630"/>
      <c r="I113" s="5630"/>
      <c r="J113" s="5630"/>
      <c r="K113" s="5630"/>
      <c r="L113" s="5630"/>
      <c r="M113" s="5630"/>
      <c r="N113" s="5602"/>
      <c r="O113" s="5602"/>
      <c r="P113" s="5602"/>
      <c r="Q113" s="5602"/>
      <c r="R113" s="5600"/>
      <c r="S113" s="5600"/>
      <c r="T113" s="5600"/>
      <c r="U113" s="5600"/>
      <c r="V113" s="5600"/>
      <c r="W113" s="5600"/>
      <c r="X113" s="5600"/>
      <c r="Y113" s="5600"/>
      <c r="Z113" s="5600"/>
      <c r="AA113" s="5602"/>
      <c r="AB113" s="5602"/>
      <c r="AC113" s="5602"/>
      <c r="AD113" s="5602"/>
      <c r="AE113" s="5602"/>
    </row>
    <row r="114" spans="1:32" ht="18" customHeight="1"/>
    <row r="115" spans="1:32" ht="18" customHeight="1">
      <c r="A115" s="1411" t="s">
        <v>196</v>
      </c>
      <c r="B115" s="4950" t="s">
        <v>19</v>
      </c>
      <c r="C115" s="4951"/>
      <c r="D115" s="4951"/>
      <c r="E115" s="4951" t="s">
        <v>20</v>
      </c>
      <c r="F115" s="4951"/>
      <c r="G115" s="4951"/>
      <c r="H115" s="4951" t="s">
        <v>21</v>
      </c>
      <c r="I115" s="4951"/>
      <c r="J115" s="4951"/>
      <c r="K115" s="4952" t="s">
        <v>22</v>
      </c>
      <c r="L115" s="4952"/>
      <c r="M115" s="4952"/>
      <c r="N115" s="4952" t="s">
        <v>23</v>
      </c>
      <c r="O115" s="4952"/>
      <c r="P115" s="4952"/>
      <c r="Q115" s="4952" t="s">
        <v>24</v>
      </c>
      <c r="R115" s="4952"/>
      <c r="S115" s="4952"/>
      <c r="T115" s="4952" t="s">
        <v>25</v>
      </c>
      <c r="U115" s="4952"/>
      <c r="V115" s="4953"/>
    </row>
    <row r="116" spans="1:32" ht="18" customHeight="1">
      <c r="A116" s="1409" t="s">
        <v>630</v>
      </c>
      <c r="B116" s="4954" t="s">
        <v>631</v>
      </c>
      <c r="C116" s="4955"/>
      <c r="D116" s="4955"/>
      <c r="E116" s="4955" t="s">
        <v>631</v>
      </c>
      <c r="F116" s="4955"/>
      <c r="G116" s="4955"/>
      <c r="H116" s="4955" t="s">
        <v>631</v>
      </c>
      <c r="I116" s="4955"/>
      <c r="J116" s="4955"/>
      <c r="K116" s="4955" t="s">
        <v>631</v>
      </c>
      <c r="L116" s="4955"/>
      <c r="M116" s="4955"/>
      <c r="N116" s="4955" t="s">
        <v>631</v>
      </c>
      <c r="O116" s="4955"/>
      <c r="P116" s="4955"/>
      <c r="Q116" s="4956" t="s">
        <v>632</v>
      </c>
      <c r="R116" s="4956"/>
      <c r="S116" s="4956"/>
      <c r="T116" s="4956" t="s">
        <v>632</v>
      </c>
      <c r="U116" s="4956"/>
      <c r="V116" s="4957"/>
    </row>
    <row r="117" spans="1:32" ht="18" customHeight="1">
      <c r="A117" s="1410" t="s">
        <v>630</v>
      </c>
      <c r="B117" s="4958" t="s">
        <v>633</v>
      </c>
      <c r="C117" s="4959"/>
      <c r="D117" s="4959"/>
      <c r="E117" s="4959" t="s">
        <v>633</v>
      </c>
      <c r="F117" s="4959"/>
      <c r="G117" s="4959"/>
      <c r="H117" s="4959" t="s">
        <v>633</v>
      </c>
      <c r="I117" s="4959"/>
      <c r="J117" s="4959"/>
      <c r="K117" s="4959" t="s">
        <v>633</v>
      </c>
      <c r="L117" s="4959"/>
      <c r="M117" s="4959"/>
      <c r="N117" s="4960" t="s">
        <v>634</v>
      </c>
      <c r="O117" s="4960"/>
      <c r="P117" s="4960"/>
      <c r="Q117" s="4960" t="s">
        <v>634</v>
      </c>
      <c r="R117" s="4960"/>
      <c r="S117" s="4960"/>
      <c r="T117" s="4959" t="s">
        <v>633</v>
      </c>
      <c r="U117" s="4959"/>
      <c r="V117" s="4961"/>
    </row>
    <row r="119" spans="1:32" ht="18" customHeight="1" thickBot="1">
      <c r="A119" s="691" t="s">
        <v>635</v>
      </c>
      <c r="B119" s="2985">
        <v>1</v>
      </c>
      <c r="C119" s="2986">
        <v>2</v>
      </c>
      <c r="D119" s="2986">
        <v>3</v>
      </c>
      <c r="E119" s="2986">
        <v>4</v>
      </c>
      <c r="F119" s="2986">
        <v>5</v>
      </c>
      <c r="G119" s="2986">
        <v>6</v>
      </c>
      <c r="H119" s="2985">
        <v>7</v>
      </c>
      <c r="I119" s="2985">
        <v>8</v>
      </c>
      <c r="J119" s="2985">
        <v>9</v>
      </c>
      <c r="K119" s="2985">
        <v>10</v>
      </c>
      <c r="L119" s="2986">
        <v>11</v>
      </c>
      <c r="M119" s="2986">
        <v>12</v>
      </c>
      <c r="N119" s="2985">
        <v>13</v>
      </c>
      <c r="O119" s="2985">
        <v>14</v>
      </c>
      <c r="P119" s="2985">
        <v>15</v>
      </c>
      <c r="Q119" s="2985">
        <v>16</v>
      </c>
      <c r="R119" s="2985">
        <v>17</v>
      </c>
      <c r="S119" s="2986">
        <v>18</v>
      </c>
      <c r="T119" s="2986">
        <v>19</v>
      </c>
      <c r="U119" s="2985">
        <v>20</v>
      </c>
      <c r="V119" s="2985">
        <v>21</v>
      </c>
      <c r="W119" s="2985">
        <v>22</v>
      </c>
      <c r="X119" s="2985">
        <v>23</v>
      </c>
      <c r="Y119" s="2985">
        <v>24</v>
      </c>
      <c r="Z119" s="2986">
        <v>25</v>
      </c>
      <c r="AA119" s="2986">
        <v>26</v>
      </c>
      <c r="AB119" s="2985">
        <v>27</v>
      </c>
      <c r="AC119" s="2985">
        <v>28</v>
      </c>
      <c r="AD119" s="2985">
        <v>29</v>
      </c>
      <c r="AE119" s="2985">
        <v>30</v>
      </c>
    </row>
    <row r="120" spans="1:32" ht="18" customHeight="1">
      <c r="A120" s="1498" t="s">
        <v>392</v>
      </c>
      <c r="B120" s="5600" t="s">
        <v>418</v>
      </c>
      <c r="C120" s="5600" t="s">
        <v>429</v>
      </c>
      <c r="D120" s="5600" t="s">
        <v>429</v>
      </c>
      <c r="E120" s="5600" t="s">
        <v>429</v>
      </c>
      <c r="F120" s="5602" t="s">
        <v>429</v>
      </c>
      <c r="G120" s="5602" t="s">
        <v>46</v>
      </c>
      <c r="H120" s="5602" t="s">
        <v>46</v>
      </c>
      <c r="I120" s="5602" t="s">
        <v>418</v>
      </c>
      <c r="J120" s="5602" t="s">
        <v>418</v>
      </c>
      <c r="K120" s="5602" t="s">
        <v>418</v>
      </c>
      <c r="L120" s="5602" t="s">
        <v>46</v>
      </c>
      <c r="M120" s="5602" t="s">
        <v>46</v>
      </c>
      <c r="N120" s="5600" t="s">
        <v>418</v>
      </c>
      <c r="O120" s="5600" t="s">
        <v>418</v>
      </c>
      <c r="P120" s="5600" t="s">
        <v>418</v>
      </c>
      <c r="Q120" s="5600" t="s">
        <v>418</v>
      </c>
      <c r="R120" s="5600" t="s">
        <v>418</v>
      </c>
      <c r="S120" s="5600" t="s">
        <v>429</v>
      </c>
      <c r="T120" s="5602" t="s">
        <v>429</v>
      </c>
      <c r="U120" s="5602" t="s">
        <v>46</v>
      </c>
      <c r="V120" s="5602" t="s">
        <v>628</v>
      </c>
      <c r="W120" s="5602" t="s">
        <v>418</v>
      </c>
      <c r="X120" s="5602" t="s">
        <v>418</v>
      </c>
      <c r="Y120" s="5602" t="s">
        <v>418</v>
      </c>
      <c r="Z120" s="5602" t="s">
        <v>628</v>
      </c>
      <c r="AA120" s="5602" t="s">
        <v>46</v>
      </c>
      <c r="AB120" s="5600" t="s">
        <v>418</v>
      </c>
      <c r="AC120" s="5600" t="s">
        <v>418</v>
      </c>
      <c r="AD120" s="5600" t="s">
        <v>418</v>
      </c>
      <c r="AE120" s="5600" t="s">
        <v>418</v>
      </c>
    </row>
    <row r="121" spans="1:32" ht="18" customHeight="1" thickBot="1">
      <c r="A121" s="431" t="s">
        <v>155</v>
      </c>
      <c r="B121" s="5602" t="s">
        <v>373</v>
      </c>
      <c r="C121" s="5602" t="s">
        <v>373</v>
      </c>
      <c r="D121" s="5602" t="s">
        <v>373</v>
      </c>
      <c r="E121" s="5602" t="s">
        <v>373</v>
      </c>
      <c r="F121" s="5602" t="s">
        <v>373</v>
      </c>
      <c r="G121" s="5600" t="s">
        <v>46</v>
      </c>
      <c r="H121" s="5600" t="s">
        <v>46</v>
      </c>
      <c r="I121" s="5600" t="s">
        <v>46</v>
      </c>
      <c r="J121" s="5600" t="s">
        <v>46</v>
      </c>
      <c r="K121" s="5600" t="s">
        <v>46</v>
      </c>
      <c r="L121" s="5600" t="s">
        <v>0</v>
      </c>
      <c r="M121" s="5600" t="s">
        <v>0</v>
      </c>
      <c r="N121" s="5602" t="s">
        <v>113</v>
      </c>
      <c r="O121" s="5602" t="s">
        <v>113</v>
      </c>
      <c r="P121" s="5602" t="s">
        <v>113</v>
      </c>
      <c r="Q121" s="5602" t="s">
        <v>113</v>
      </c>
      <c r="R121" s="5602" t="s">
        <v>113</v>
      </c>
      <c r="S121" s="5602" t="s">
        <v>113</v>
      </c>
      <c r="T121" s="5602" t="s">
        <v>113</v>
      </c>
      <c r="U121" s="5600" t="s">
        <v>46</v>
      </c>
      <c r="V121" s="5600" t="s">
        <v>46</v>
      </c>
      <c r="W121" s="5600" t="s">
        <v>46</v>
      </c>
      <c r="X121" s="5600" t="s">
        <v>46</v>
      </c>
      <c r="Y121" s="5600" t="s">
        <v>46</v>
      </c>
      <c r="Z121" s="5600" t="s">
        <v>0</v>
      </c>
      <c r="AA121" s="5600" t="s">
        <v>0</v>
      </c>
      <c r="AB121" s="5602" t="s">
        <v>113</v>
      </c>
      <c r="AC121" s="5602" t="s">
        <v>113</v>
      </c>
      <c r="AD121" s="5602" t="s">
        <v>113</v>
      </c>
      <c r="AE121" s="5602" t="s">
        <v>113</v>
      </c>
    </row>
    <row r="122" spans="1:32" ht="18" customHeight="1">
      <c r="A122" s="157"/>
      <c r="B122" s="124"/>
      <c r="C122" s="124"/>
      <c r="D122" s="124"/>
      <c r="E122" s="124"/>
      <c r="F122" s="124"/>
      <c r="G122" s="116"/>
      <c r="H122" s="116"/>
      <c r="I122" s="116"/>
      <c r="J122" s="116"/>
      <c r="K122" s="116"/>
      <c r="L122" s="116"/>
      <c r="M122" s="116"/>
      <c r="N122" s="124"/>
      <c r="O122" s="124"/>
      <c r="P122" s="124"/>
      <c r="Q122" s="124"/>
      <c r="R122" s="124"/>
      <c r="S122" s="124"/>
      <c r="T122" s="124"/>
      <c r="U122" s="116"/>
      <c r="V122" s="116"/>
      <c r="W122" s="116"/>
      <c r="X122" s="116"/>
      <c r="Y122" s="116"/>
      <c r="Z122" s="116"/>
      <c r="AA122" s="116"/>
      <c r="AB122" s="124"/>
      <c r="AC122" s="124"/>
      <c r="AD122" s="124"/>
      <c r="AE122" s="124"/>
    </row>
    <row r="123" spans="1:32" ht="18" customHeight="1">
      <c r="A123" s="157"/>
      <c r="B123" s="1445"/>
      <c r="C123" s="783"/>
      <c r="D123" s="810"/>
      <c r="E123" s="810"/>
      <c r="F123" s="810"/>
      <c r="G123" s="810" t="s">
        <v>429</v>
      </c>
      <c r="H123" s="810" t="s">
        <v>418</v>
      </c>
      <c r="I123" s="810"/>
      <c r="J123" s="373"/>
      <c r="K123" s="810"/>
      <c r="L123" s="783" t="s">
        <v>429</v>
      </c>
      <c r="M123" s="783" t="s">
        <v>429</v>
      </c>
      <c r="N123" s="783"/>
      <c r="O123" s="373"/>
      <c r="P123" s="373"/>
      <c r="Q123" s="810"/>
      <c r="R123" s="810"/>
      <c r="S123" s="810"/>
      <c r="T123" s="810"/>
      <c r="U123" s="810" t="s">
        <v>418</v>
      </c>
      <c r="V123" s="810" t="s">
        <v>418</v>
      </c>
      <c r="W123" s="810"/>
      <c r="X123" s="373"/>
      <c r="Y123" s="373"/>
      <c r="Z123" s="373" t="s">
        <v>429</v>
      </c>
      <c r="AA123" s="373" t="s">
        <v>429</v>
      </c>
      <c r="AB123" s="373"/>
      <c r="AC123" s="373"/>
      <c r="AD123" s="373"/>
      <c r="AE123" s="1446"/>
      <c r="AF123" s="124"/>
    </row>
    <row r="124" spans="1:32" ht="18" customHeight="1">
      <c r="A124" s="157"/>
      <c r="B124" s="1447"/>
      <c r="C124" s="376"/>
      <c r="D124" s="376"/>
      <c r="E124" s="376"/>
      <c r="F124" s="376"/>
      <c r="G124" s="376" t="s">
        <v>113</v>
      </c>
      <c r="H124" s="376" t="s">
        <v>113</v>
      </c>
      <c r="I124" s="376" t="s">
        <v>113</v>
      </c>
      <c r="J124" s="359" t="s">
        <v>113</v>
      </c>
      <c r="K124" s="359" t="s">
        <v>373</v>
      </c>
      <c r="L124" s="378" t="s">
        <v>373</v>
      </c>
      <c r="M124" s="378" t="s">
        <v>113</v>
      </c>
      <c r="N124" s="378"/>
      <c r="O124" s="378"/>
      <c r="P124" s="378"/>
      <c r="Q124" s="376"/>
      <c r="R124" s="376"/>
      <c r="S124" s="376"/>
      <c r="T124" s="376"/>
      <c r="U124" s="376" t="s">
        <v>113</v>
      </c>
      <c r="V124" s="376" t="s">
        <v>113</v>
      </c>
      <c r="W124" s="376" t="s">
        <v>113</v>
      </c>
      <c r="X124" s="378" t="s">
        <v>113</v>
      </c>
      <c r="Y124" s="378" t="s">
        <v>373</v>
      </c>
      <c r="Z124" s="378" t="s">
        <v>373</v>
      </c>
      <c r="AA124" s="378" t="s">
        <v>113</v>
      </c>
      <c r="AB124" s="378"/>
      <c r="AC124" s="378"/>
      <c r="AD124" s="378"/>
      <c r="AE124" s="1342"/>
      <c r="AF124" s="124"/>
    </row>
    <row r="125" spans="1:32" ht="18" customHeight="1">
      <c r="A125" s="157"/>
      <c r="B125" s="116"/>
      <c r="C125" s="124"/>
      <c r="D125" s="124"/>
      <c r="E125" s="124"/>
      <c r="F125" s="124"/>
      <c r="G125" s="124"/>
      <c r="H125" s="124"/>
      <c r="I125" s="124"/>
      <c r="J125" s="111"/>
      <c r="K125" s="111"/>
      <c r="L125" s="116"/>
      <c r="M125" s="116"/>
      <c r="N125" s="116"/>
      <c r="O125" s="116"/>
      <c r="P125" s="116"/>
      <c r="Q125" s="124"/>
      <c r="R125" s="124"/>
      <c r="S125" s="124"/>
      <c r="T125" s="124"/>
      <c r="U125" s="124"/>
      <c r="V125" s="124"/>
      <c r="W125" s="124"/>
      <c r="X125" s="116"/>
      <c r="Y125" s="116"/>
      <c r="Z125" s="116"/>
      <c r="AA125" s="116"/>
      <c r="AB125" s="116"/>
      <c r="AC125" s="116"/>
      <c r="AD125" s="116"/>
      <c r="AE125" s="124"/>
      <c r="AF125" s="124"/>
    </row>
    <row r="126" spans="1:32" ht="18" customHeight="1">
      <c r="A126" s="2764" t="s">
        <v>201</v>
      </c>
      <c r="B126" s="2765"/>
      <c r="C126" s="2766" t="s">
        <v>19</v>
      </c>
      <c r="D126" s="2767"/>
      <c r="E126" s="2765"/>
      <c r="F126" s="2768" t="s">
        <v>20</v>
      </c>
      <c r="G126" s="2769"/>
      <c r="H126" s="2770"/>
      <c r="I126" s="2768" t="s">
        <v>21</v>
      </c>
      <c r="J126" s="2771"/>
      <c r="K126" s="2770"/>
      <c r="L126" s="2772" t="s">
        <v>22</v>
      </c>
      <c r="M126" s="2771"/>
      <c r="N126" s="2770"/>
      <c r="O126" s="2768" t="s">
        <v>23</v>
      </c>
      <c r="P126" s="2773"/>
      <c r="Q126" s="2770"/>
      <c r="R126" s="2768" t="s">
        <v>24</v>
      </c>
      <c r="S126" s="2774"/>
      <c r="T126" s="2770"/>
      <c r="U126" s="2768" t="s">
        <v>25</v>
      </c>
      <c r="V126" s="2773"/>
      <c r="W126" s="2775" t="s">
        <v>202</v>
      </c>
      <c r="X126" s="2776"/>
      <c r="Y126" s="2776"/>
      <c r="Z126" s="2777"/>
      <c r="AA126" s="2778" t="s">
        <v>108</v>
      </c>
      <c r="AB126" s="2779"/>
      <c r="AC126" s="2779"/>
      <c r="AD126" s="2780"/>
      <c r="AE126" s="2780"/>
    </row>
    <row r="127" spans="1:32" ht="18" customHeight="1">
      <c r="A127" s="5631" t="s">
        <v>203</v>
      </c>
      <c r="B127" s="5632" t="s">
        <v>204</v>
      </c>
      <c r="C127" s="5633"/>
      <c r="D127" s="5634"/>
      <c r="E127" s="5632" t="s">
        <v>204</v>
      </c>
      <c r="F127" s="5633"/>
      <c r="G127" s="5634"/>
      <c r="H127" s="5632" t="s">
        <v>204</v>
      </c>
      <c r="I127" s="5633"/>
      <c r="J127" s="5634"/>
      <c r="K127" s="5632" t="s">
        <v>204</v>
      </c>
      <c r="L127" s="5633"/>
      <c r="M127" s="5634"/>
      <c r="N127" s="5632" t="s">
        <v>205</v>
      </c>
      <c r="O127" s="5633"/>
      <c r="P127" s="5634"/>
      <c r="Q127" s="5632"/>
      <c r="R127" s="5633"/>
      <c r="S127" s="5634"/>
      <c r="T127" s="5632"/>
      <c r="U127" s="5633"/>
      <c r="V127" s="5634"/>
      <c r="W127" s="5632"/>
      <c r="X127" s="5635"/>
      <c r="Y127" s="5635"/>
      <c r="Z127" s="5635"/>
      <c r="AA127" s="5636"/>
      <c r="AB127" s="5635"/>
      <c r="AC127" s="5635"/>
      <c r="AD127" s="5635"/>
      <c r="AE127" s="5635"/>
    </row>
    <row r="129" spans="1:31" ht="18" customHeight="1" thickBot="1">
      <c r="A129" s="363" t="s">
        <v>201</v>
      </c>
      <c r="B129" s="865">
        <v>1</v>
      </c>
      <c r="C129" s="866">
        <v>2</v>
      </c>
      <c r="D129" s="866">
        <v>3</v>
      </c>
      <c r="E129" s="866">
        <v>4</v>
      </c>
      <c r="F129" s="866">
        <v>5</v>
      </c>
      <c r="G129" s="866">
        <v>6</v>
      </c>
      <c r="H129" s="865">
        <v>7</v>
      </c>
      <c r="I129" s="865">
        <v>8</v>
      </c>
      <c r="J129" s="865">
        <v>9</v>
      </c>
      <c r="K129" s="865">
        <v>10</v>
      </c>
      <c r="L129" s="866">
        <v>11</v>
      </c>
      <c r="M129" s="866">
        <v>12</v>
      </c>
      <c r="N129" s="865">
        <v>13</v>
      </c>
      <c r="O129" s="865">
        <v>14</v>
      </c>
      <c r="P129" s="865">
        <v>15</v>
      </c>
      <c r="Q129" s="865">
        <v>16</v>
      </c>
      <c r="R129" s="865">
        <v>17</v>
      </c>
      <c r="S129" s="866">
        <v>18</v>
      </c>
      <c r="T129" s="866">
        <v>19</v>
      </c>
      <c r="U129" s="865">
        <v>20</v>
      </c>
      <c r="V129" s="865">
        <v>21</v>
      </c>
      <c r="W129" s="865">
        <v>22</v>
      </c>
      <c r="X129" s="865">
        <v>23</v>
      </c>
      <c r="Y129" s="865">
        <v>24</v>
      </c>
      <c r="Z129" s="866">
        <v>25</v>
      </c>
      <c r="AA129" s="866">
        <v>26</v>
      </c>
      <c r="AB129" s="865">
        <v>27</v>
      </c>
      <c r="AC129" s="865">
        <v>28</v>
      </c>
      <c r="AD129" s="865">
        <v>29</v>
      </c>
      <c r="AE129" s="867">
        <v>30</v>
      </c>
    </row>
    <row r="130" spans="1:31" ht="18" customHeight="1" thickBot="1">
      <c r="A130" s="4988" t="s">
        <v>206</v>
      </c>
      <c r="B130" s="4560" t="s">
        <v>207</v>
      </c>
      <c r="C130" s="4560"/>
      <c r="D130" s="4560"/>
      <c r="E130" s="4560"/>
      <c r="F130" s="4560"/>
      <c r="G130" s="4560"/>
      <c r="H130" s="4560" t="s">
        <v>207</v>
      </c>
      <c r="I130" s="4560" t="s">
        <v>207</v>
      </c>
      <c r="J130" s="4560" t="s">
        <v>207</v>
      </c>
      <c r="K130" s="4560" t="s">
        <v>207</v>
      </c>
      <c r="L130" s="4560"/>
      <c r="M130" s="5581"/>
      <c r="N130" s="4560" t="s">
        <v>207</v>
      </c>
      <c r="O130" s="4560" t="s">
        <v>207</v>
      </c>
      <c r="P130" s="4560" t="s">
        <v>207</v>
      </c>
      <c r="Q130" s="4560" t="s">
        <v>207</v>
      </c>
      <c r="R130" s="4560" t="s">
        <v>207</v>
      </c>
      <c r="S130" s="4560"/>
      <c r="T130" s="5581"/>
      <c r="U130" s="4560" t="s">
        <v>207</v>
      </c>
      <c r="V130" s="4560" t="s">
        <v>207</v>
      </c>
      <c r="W130" s="4560" t="s">
        <v>207</v>
      </c>
      <c r="X130" s="4560" t="s">
        <v>207</v>
      </c>
      <c r="Y130" s="4560" t="s">
        <v>207</v>
      </c>
      <c r="Z130" s="4560"/>
      <c r="AA130" s="5581"/>
      <c r="AB130" s="4560" t="s">
        <v>207</v>
      </c>
      <c r="AC130" s="4560" t="s">
        <v>207</v>
      </c>
      <c r="AD130" s="4560" t="s">
        <v>207</v>
      </c>
      <c r="AE130" s="4562" t="s">
        <v>207</v>
      </c>
    </row>
    <row r="131" spans="1:31" ht="18" customHeight="1" thickBot="1">
      <c r="A131" s="121"/>
      <c r="B131" s="116"/>
      <c r="C131" s="116"/>
      <c r="D131" s="116"/>
      <c r="E131" s="116"/>
      <c r="F131" s="116"/>
      <c r="G131" s="116"/>
      <c r="H131" s="116"/>
      <c r="I131" s="116"/>
      <c r="J131" s="116"/>
      <c r="K131" s="116"/>
      <c r="L131" s="116"/>
      <c r="M131" s="116"/>
      <c r="N131" s="116"/>
      <c r="O131" s="116"/>
      <c r="P131" s="116"/>
      <c r="Q131" s="116"/>
      <c r="R131" s="116"/>
      <c r="S131" s="116"/>
      <c r="T131" s="116"/>
      <c r="U131" s="116"/>
      <c r="V131" s="116"/>
      <c r="W131" s="116"/>
      <c r="X131" s="116"/>
      <c r="Y131" s="116"/>
      <c r="Z131" s="116"/>
      <c r="AA131" s="116"/>
      <c r="AB131" s="116"/>
      <c r="AC131" s="116"/>
      <c r="AD131" s="116"/>
      <c r="AE131" s="116"/>
    </row>
    <row r="132" spans="1:31" ht="18" customHeight="1">
      <c r="A132" s="2764" t="s">
        <v>208</v>
      </c>
      <c r="B132" s="2787"/>
      <c r="C132" s="2788" t="s">
        <v>19</v>
      </c>
      <c r="D132" s="2789"/>
      <c r="E132" s="2790"/>
      <c r="F132" s="2787"/>
      <c r="G132" s="2788" t="s">
        <v>20</v>
      </c>
      <c r="H132" s="2789"/>
      <c r="I132" s="2790"/>
      <c r="J132" s="2787"/>
      <c r="K132" s="2788" t="s">
        <v>21</v>
      </c>
      <c r="L132" s="2789"/>
      <c r="M132" s="2790"/>
      <c r="N132" s="2787"/>
      <c r="O132" s="2788" t="s">
        <v>22</v>
      </c>
      <c r="P132" s="2789"/>
      <c r="Q132" s="2790"/>
      <c r="R132" s="2787"/>
      <c r="S132" s="2788" t="s">
        <v>23</v>
      </c>
      <c r="T132" s="2789"/>
      <c r="U132" s="2790"/>
      <c r="V132" s="2787"/>
      <c r="W132" s="2788" t="s">
        <v>24</v>
      </c>
      <c r="X132" s="2789"/>
      <c r="Y132" s="2790"/>
      <c r="Z132" s="2787"/>
      <c r="AA132" s="2788" t="s">
        <v>25</v>
      </c>
      <c r="AB132" s="2789"/>
      <c r="AC132" s="2789"/>
      <c r="AD132" s="2791" t="s">
        <v>108</v>
      </c>
      <c r="AE132" s="2789"/>
    </row>
    <row r="133" spans="1:31" ht="18" customHeight="1">
      <c r="A133" s="5637" t="s">
        <v>210</v>
      </c>
      <c r="B133" s="5638">
        <v>69</v>
      </c>
      <c r="C133" s="5639" t="s">
        <v>211</v>
      </c>
      <c r="D133" s="5639"/>
      <c r="E133" s="5640"/>
      <c r="F133" s="5638">
        <v>69</v>
      </c>
      <c r="G133" s="5639" t="s">
        <v>211</v>
      </c>
      <c r="H133" s="5639"/>
      <c r="I133" s="5640"/>
      <c r="J133" s="5638">
        <v>69</v>
      </c>
      <c r="K133" s="5639" t="s">
        <v>211</v>
      </c>
      <c r="L133" s="5639"/>
      <c r="M133" s="5640"/>
      <c r="N133" s="5638">
        <v>69</v>
      </c>
      <c r="O133" s="5639" t="s">
        <v>211</v>
      </c>
      <c r="P133" s="5639"/>
      <c r="Q133" s="5640"/>
      <c r="R133" s="5638">
        <v>69</v>
      </c>
      <c r="S133" s="5639" t="s">
        <v>211</v>
      </c>
      <c r="T133" s="5639"/>
      <c r="U133" s="5640"/>
      <c r="V133" s="5638"/>
      <c r="W133" s="5641"/>
      <c r="X133" s="5641"/>
      <c r="Y133" s="5642"/>
      <c r="Z133" s="5638"/>
      <c r="AA133" s="5639"/>
      <c r="AB133" s="5639"/>
      <c r="AC133" s="5610"/>
      <c r="AD133" s="5643">
        <v>35</v>
      </c>
      <c r="AE133" s="5639"/>
    </row>
    <row r="134" spans="1:31" ht="18" customHeight="1">
      <c r="A134" s="5637" t="s">
        <v>212</v>
      </c>
      <c r="B134" s="5638">
        <v>79</v>
      </c>
      <c r="C134" s="5639" t="s">
        <v>213</v>
      </c>
      <c r="D134" s="5639"/>
      <c r="E134" s="5640"/>
      <c r="F134" s="5638">
        <v>79</v>
      </c>
      <c r="G134" s="5639" t="s">
        <v>213</v>
      </c>
      <c r="H134" s="5639"/>
      <c r="I134" s="5640"/>
      <c r="J134" s="5638">
        <v>79</v>
      </c>
      <c r="K134" s="5639" t="s">
        <v>213</v>
      </c>
      <c r="L134" s="5639"/>
      <c r="M134" s="5640"/>
      <c r="N134" s="5638">
        <v>79</v>
      </c>
      <c r="O134" s="5639" t="s">
        <v>213</v>
      </c>
      <c r="P134" s="5639"/>
      <c r="Q134" s="5640"/>
      <c r="R134" s="5638">
        <v>79</v>
      </c>
      <c r="S134" s="5639" t="s">
        <v>213</v>
      </c>
      <c r="T134" s="5639"/>
      <c r="U134" s="5640"/>
      <c r="V134" s="5638"/>
      <c r="W134" s="5639"/>
      <c r="X134" s="5639"/>
      <c r="Y134" s="5640"/>
      <c r="Z134" s="5639"/>
      <c r="AA134" s="5639"/>
      <c r="AB134" s="5639"/>
      <c r="AC134" s="5610"/>
      <c r="AD134" s="5643">
        <v>40</v>
      </c>
      <c r="AE134" s="5639"/>
    </row>
    <row r="135" spans="1:31" ht="18" customHeight="1">
      <c r="A135" s="5637" t="s">
        <v>214</v>
      </c>
      <c r="B135" s="5638">
        <v>89</v>
      </c>
      <c r="C135" s="5639" t="s">
        <v>215</v>
      </c>
      <c r="D135" s="5639"/>
      <c r="E135" s="5640"/>
      <c r="F135" s="5638">
        <v>89</v>
      </c>
      <c r="G135" s="5639" t="s">
        <v>215</v>
      </c>
      <c r="H135" s="5639"/>
      <c r="I135" s="5640"/>
      <c r="J135" s="5638">
        <v>89</v>
      </c>
      <c r="K135" s="5639" t="s">
        <v>215</v>
      </c>
      <c r="L135" s="5639"/>
      <c r="M135" s="5640"/>
      <c r="N135" s="5638">
        <v>89</v>
      </c>
      <c r="O135" s="5639" t="s">
        <v>215</v>
      </c>
      <c r="P135" s="5639"/>
      <c r="Q135" s="5640"/>
      <c r="R135" s="5638">
        <v>89</v>
      </c>
      <c r="S135" s="5639" t="s">
        <v>216</v>
      </c>
      <c r="T135" s="5639"/>
      <c r="U135" s="5640"/>
      <c r="V135" s="5644"/>
      <c r="W135" s="5645" t="s">
        <v>217</v>
      </c>
      <c r="X135" s="5645"/>
      <c r="Y135" s="5615"/>
      <c r="Z135" s="5644"/>
      <c r="AA135" s="5645"/>
      <c r="AB135" s="5645"/>
      <c r="AC135" s="5614"/>
      <c r="AD135" s="5643">
        <v>44</v>
      </c>
      <c r="AE135" s="5639"/>
    </row>
    <row r="136" spans="1:31" ht="18" customHeight="1">
      <c r="A136" s="19" t="s">
        <v>218</v>
      </c>
      <c r="B136" s="5644">
        <v>99</v>
      </c>
      <c r="C136" s="5645" t="s">
        <v>219</v>
      </c>
      <c r="D136" s="5645"/>
      <c r="E136" s="5615"/>
      <c r="F136" s="5644">
        <v>99</v>
      </c>
      <c r="G136" s="5645" t="s">
        <v>219</v>
      </c>
      <c r="H136" s="5645"/>
      <c r="I136" s="5615"/>
      <c r="J136" s="5644">
        <v>99</v>
      </c>
      <c r="K136" s="5645" t="s">
        <v>219</v>
      </c>
      <c r="L136" s="5645"/>
      <c r="M136" s="5615"/>
      <c r="N136" s="5644">
        <v>99</v>
      </c>
      <c r="O136" s="5645" t="s">
        <v>219</v>
      </c>
      <c r="P136" s="5645"/>
      <c r="Q136" s="5615"/>
      <c r="R136" s="5644">
        <v>99</v>
      </c>
      <c r="S136" s="5645" t="s">
        <v>220</v>
      </c>
      <c r="T136" s="5645"/>
      <c r="U136" s="5614"/>
      <c r="V136" s="5613"/>
      <c r="W136" s="5614"/>
      <c r="X136" s="5645"/>
      <c r="Y136" s="5615"/>
      <c r="Z136" s="5613"/>
      <c r="AA136" s="5614"/>
      <c r="AB136" s="5645"/>
      <c r="AC136" s="5615"/>
      <c r="AD136" s="5646">
        <v>28</v>
      </c>
      <c r="AE136" s="5645"/>
    </row>
    <row r="137" spans="1:31" ht="18" customHeight="1" thickBot="1">
      <c r="A137" s="5647" t="s">
        <v>221</v>
      </c>
      <c r="B137" s="5648" t="s">
        <v>159</v>
      </c>
      <c r="C137" s="5649" t="s">
        <v>222</v>
      </c>
      <c r="D137" s="5650"/>
      <c r="E137" s="5564"/>
      <c r="F137" s="5648" t="s">
        <v>159</v>
      </c>
      <c r="G137" s="5649" t="s">
        <v>222</v>
      </c>
      <c r="H137" s="5562"/>
      <c r="I137" s="5650"/>
      <c r="J137" s="5648" t="s">
        <v>159</v>
      </c>
      <c r="K137" s="5649" t="s">
        <v>222</v>
      </c>
      <c r="L137" s="5650"/>
      <c r="M137" s="5651"/>
      <c r="N137" s="5648" t="s">
        <v>159</v>
      </c>
      <c r="O137" s="5649" t="s">
        <v>222</v>
      </c>
      <c r="P137" s="5650"/>
      <c r="Q137" s="5649"/>
      <c r="R137" s="5648" t="s">
        <v>159</v>
      </c>
      <c r="S137" s="5566" t="s">
        <v>223</v>
      </c>
      <c r="T137" s="5649"/>
      <c r="U137" s="5651"/>
      <c r="V137" s="5650"/>
      <c r="W137" s="5649"/>
      <c r="X137" s="5649"/>
      <c r="Y137" s="5649"/>
      <c r="Z137" s="5652"/>
      <c r="AA137" s="5653"/>
      <c r="AB137" s="5649"/>
      <c r="AC137" s="5654"/>
      <c r="AD137" s="5649"/>
      <c r="AE137" s="5649"/>
    </row>
    <row r="138" spans="1:31" ht="18" customHeight="1" thickBot="1">
      <c r="A138" s="100"/>
      <c r="B138" s="102"/>
      <c r="C138" s="102"/>
      <c r="D138" s="102"/>
      <c r="E138" s="102"/>
      <c r="F138" s="102"/>
      <c r="G138" s="102"/>
      <c r="H138" s="102"/>
      <c r="I138" s="102"/>
      <c r="J138" s="102"/>
      <c r="K138" s="102"/>
      <c r="L138" s="102"/>
      <c r="M138" s="102"/>
      <c r="N138" s="102"/>
      <c r="O138" s="102"/>
      <c r="P138" s="102"/>
      <c r="Q138" s="102"/>
      <c r="R138" s="102"/>
      <c r="S138" s="102"/>
      <c r="T138" s="102"/>
      <c r="U138" s="102"/>
      <c r="V138" s="102"/>
      <c r="W138" s="102"/>
      <c r="X138" s="102"/>
      <c r="Y138" s="102"/>
      <c r="Z138" s="102"/>
      <c r="AA138" s="102"/>
      <c r="AB138" s="102"/>
      <c r="AC138" s="102"/>
      <c r="AD138" s="102"/>
      <c r="AE138" s="102"/>
    </row>
    <row r="139" spans="1:31" ht="18" customHeight="1" thickBot="1">
      <c r="A139" s="363" t="s">
        <v>208</v>
      </c>
      <c r="B139" s="865">
        <v>1</v>
      </c>
      <c r="C139" s="866">
        <v>2</v>
      </c>
      <c r="D139" s="866">
        <v>3</v>
      </c>
      <c r="E139" s="866">
        <v>4</v>
      </c>
      <c r="F139" s="866">
        <v>5</v>
      </c>
      <c r="G139" s="866">
        <v>6</v>
      </c>
      <c r="H139" s="865">
        <v>7</v>
      </c>
      <c r="I139" s="865">
        <v>8</v>
      </c>
      <c r="J139" s="865">
        <v>9</v>
      </c>
      <c r="K139" s="865">
        <v>10</v>
      </c>
      <c r="L139" s="866">
        <v>11</v>
      </c>
      <c r="M139" s="866">
        <v>12</v>
      </c>
      <c r="N139" s="865">
        <v>13</v>
      </c>
      <c r="O139" s="865">
        <v>14</v>
      </c>
      <c r="P139" s="865">
        <v>15</v>
      </c>
      <c r="Q139" s="865">
        <v>16</v>
      </c>
      <c r="R139" s="865">
        <v>17</v>
      </c>
      <c r="S139" s="866">
        <v>18</v>
      </c>
      <c r="T139" s="866">
        <v>19</v>
      </c>
      <c r="U139" s="865">
        <v>20</v>
      </c>
      <c r="V139" s="865">
        <v>21</v>
      </c>
      <c r="W139" s="865">
        <v>22</v>
      </c>
      <c r="X139" s="865">
        <v>23</v>
      </c>
      <c r="Y139" s="865">
        <v>24</v>
      </c>
      <c r="Z139" s="866">
        <v>25</v>
      </c>
      <c r="AA139" s="866">
        <v>26</v>
      </c>
      <c r="AB139" s="865">
        <v>27</v>
      </c>
      <c r="AC139" s="865">
        <v>28</v>
      </c>
      <c r="AD139" s="865">
        <v>29</v>
      </c>
      <c r="AE139" s="867">
        <v>30</v>
      </c>
    </row>
    <row r="140" spans="1:31" ht="18" customHeight="1">
      <c r="A140" s="4611" t="s">
        <v>224</v>
      </c>
      <c r="B140" s="3088">
        <v>99</v>
      </c>
      <c r="C140" s="2816"/>
      <c r="D140" s="3089" t="s">
        <v>46</v>
      </c>
      <c r="E140" s="3089"/>
      <c r="F140" s="3090"/>
      <c r="G140" s="3088"/>
      <c r="H140" s="3090" t="s">
        <v>159</v>
      </c>
      <c r="I140" s="3090" t="s">
        <v>159</v>
      </c>
      <c r="J140" s="3088" t="s">
        <v>159</v>
      </c>
      <c r="K140" s="3090" t="s">
        <v>159</v>
      </c>
      <c r="L140" s="3089"/>
      <c r="M140" s="3090"/>
      <c r="N140" s="3088">
        <v>69</v>
      </c>
      <c r="O140" s="3088">
        <v>69</v>
      </c>
      <c r="P140" s="3088">
        <v>69</v>
      </c>
      <c r="Q140" s="3088">
        <v>69</v>
      </c>
      <c r="R140" s="3089">
        <v>69</v>
      </c>
      <c r="S140" s="3089"/>
      <c r="T140" s="3088"/>
      <c r="U140" s="3088">
        <v>79</v>
      </c>
      <c r="V140" s="3088">
        <v>79</v>
      </c>
      <c r="W140" s="3088">
        <v>79</v>
      </c>
      <c r="X140" s="3088">
        <v>79</v>
      </c>
      <c r="Y140" s="3088">
        <v>79</v>
      </c>
      <c r="Z140" s="3090"/>
      <c r="AA140" s="3088"/>
      <c r="AB140" s="3088">
        <v>89</v>
      </c>
      <c r="AC140" s="3088">
        <v>89</v>
      </c>
      <c r="AD140" s="3088">
        <v>89</v>
      </c>
      <c r="AE140" s="4612">
        <v>89</v>
      </c>
    </row>
    <row r="141" spans="1:31" ht="18" customHeight="1">
      <c r="A141" s="5655" t="s">
        <v>225</v>
      </c>
      <c r="B141" s="5521" t="s">
        <v>159</v>
      </c>
      <c r="C141" s="5536"/>
      <c r="D141" s="5521"/>
      <c r="E141" s="5521"/>
      <c r="F141" s="5521"/>
      <c r="G141" s="5544"/>
      <c r="H141" s="5532">
        <v>69</v>
      </c>
      <c r="I141" s="5544">
        <v>69</v>
      </c>
      <c r="J141" s="5544">
        <v>69</v>
      </c>
      <c r="K141" s="5536">
        <v>69</v>
      </c>
      <c r="L141" s="5536"/>
      <c r="M141" s="5544"/>
      <c r="N141" s="5523">
        <v>79</v>
      </c>
      <c r="O141" s="5544">
        <v>79</v>
      </c>
      <c r="P141" s="5544">
        <v>79</v>
      </c>
      <c r="Q141" s="5532">
        <v>79</v>
      </c>
      <c r="R141" s="5544">
        <v>79</v>
      </c>
      <c r="S141" s="5536"/>
      <c r="T141" s="5544"/>
      <c r="U141" s="5544">
        <v>89</v>
      </c>
      <c r="V141" s="5544">
        <v>89</v>
      </c>
      <c r="W141" s="5544">
        <v>89</v>
      </c>
      <c r="X141" s="5544">
        <v>89</v>
      </c>
      <c r="Y141" s="5544">
        <v>89</v>
      </c>
      <c r="Z141" s="5536">
        <v>89</v>
      </c>
      <c r="AA141" s="5532"/>
      <c r="AB141" s="5523">
        <v>99</v>
      </c>
      <c r="AC141" s="5523">
        <v>99</v>
      </c>
      <c r="AD141" s="5523">
        <v>99</v>
      </c>
      <c r="AE141" s="5588">
        <v>99</v>
      </c>
    </row>
    <row r="142" spans="1:31" ht="18" customHeight="1">
      <c r="A142" s="5587" t="s">
        <v>124</v>
      </c>
      <c r="B142" s="5656">
        <v>69</v>
      </c>
      <c r="C142" s="5536"/>
      <c r="D142" s="5521"/>
      <c r="E142" s="5656"/>
      <c r="F142" s="5657"/>
      <c r="G142" s="5541"/>
      <c r="H142" s="5532">
        <v>79</v>
      </c>
      <c r="I142" s="5656">
        <v>79</v>
      </c>
      <c r="J142" s="5656">
        <v>79</v>
      </c>
      <c r="K142" s="5656">
        <v>79</v>
      </c>
      <c r="L142" s="5656"/>
      <c r="M142" s="5544"/>
      <c r="N142" s="5523">
        <v>89</v>
      </c>
      <c r="O142" s="5625">
        <v>89</v>
      </c>
      <c r="P142" s="5523">
        <v>89</v>
      </c>
      <c r="Q142" s="5523">
        <v>89</v>
      </c>
      <c r="R142" s="5523">
        <v>89</v>
      </c>
      <c r="S142" s="5523">
        <v>89</v>
      </c>
      <c r="T142" s="5523"/>
      <c r="U142" s="5523">
        <v>99</v>
      </c>
      <c r="V142" s="5523">
        <v>99</v>
      </c>
      <c r="W142" s="5523">
        <v>99</v>
      </c>
      <c r="X142" s="5656">
        <v>99</v>
      </c>
      <c r="Y142" s="5656" t="s">
        <v>46</v>
      </c>
      <c r="Z142" s="5656"/>
      <c r="AA142" s="5656"/>
      <c r="AB142" s="5656" t="s">
        <v>159</v>
      </c>
      <c r="AC142" s="5656" t="s">
        <v>159</v>
      </c>
      <c r="AD142" s="5656" t="s">
        <v>159</v>
      </c>
      <c r="AE142" s="5658" t="s">
        <v>159</v>
      </c>
    </row>
    <row r="143" spans="1:31" ht="18" customHeight="1">
      <c r="A143" s="5655" t="s">
        <v>226</v>
      </c>
      <c r="B143" s="5536">
        <v>79</v>
      </c>
      <c r="C143" s="5536"/>
      <c r="D143" s="5536"/>
      <c r="E143" s="5536"/>
      <c r="F143" s="5536"/>
      <c r="G143" s="5536"/>
      <c r="H143" s="5532">
        <v>89</v>
      </c>
      <c r="I143" s="5536">
        <v>89</v>
      </c>
      <c r="J143" s="5536">
        <v>89</v>
      </c>
      <c r="K143" s="5536">
        <v>89</v>
      </c>
      <c r="L143" s="5536">
        <v>89</v>
      </c>
      <c r="M143" s="5544"/>
      <c r="N143" s="5536">
        <v>99</v>
      </c>
      <c r="O143" s="5536">
        <v>99</v>
      </c>
      <c r="P143" s="5625">
        <v>99</v>
      </c>
      <c r="Q143" s="5625">
        <v>99</v>
      </c>
      <c r="R143" s="5536" t="s">
        <v>46</v>
      </c>
      <c r="S143" s="5536"/>
      <c r="T143" s="5536"/>
      <c r="U143" s="5536" t="s">
        <v>159</v>
      </c>
      <c r="V143" s="5536" t="s">
        <v>159</v>
      </c>
      <c r="W143" s="5536" t="s">
        <v>159</v>
      </c>
      <c r="X143" s="5625" t="s">
        <v>64</v>
      </c>
      <c r="Y143" s="5625" t="s">
        <v>64</v>
      </c>
      <c r="Z143" s="5536"/>
      <c r="AA143" s="5536"/>
      <c r="AB143" s="5536">
        <v>69</v>
      </c>
      <c r="AC143" s="5536">
        <v>69</v>
      </c>
      <c r="AD143" s="5536">
        <v>69</v>
      </c>
      <c r="AE143" s="5659">
        <v>69</v>
      </c>
    </row>
    <row r="144" spans="1:31" ht="18" customHeight="1" thickBot="1">
      <c r="A144" s="5660" t="s">
        <v>227</v>
      </c>
      <c r="B144" s="5605">
        <v>89</v>
      </c>
      <c r="C144" s="5605"/>
      <c r="D144" s="5583"/>
      <c r="E144" s="5584">
        <v>89</v>
      </c>
      <c r="F144" s="5584"/>
      <c r="G144" s="5581"/>
      <c r="H144" s="5581">
        <v>99</v>
      </c>
      <c r="I144" s="5581">
        <v>99</v>
      </c>
      <c r="J144" s="5581">
        <v>99</v>
      </c>
      <c r="K144" s="5583" t="s">
        <v>46</v>
      </c>
      <c r="L144" s="5583"/>
      <c r="M144" s="5581"/>
      <c r="N144" s="5605" t="s">
        <v>159</v>
      </c>
      <c r="O144" s="5605" t="s">
        <v>159</v>
      </c>
      <c r="P144" s="5605" t="s">
        <v>159</v>
      </c>
      <c r="Q144" s="5605" t="s">
        <v>159</v>
      </c>
      <c r="R144" s="5583" t="s">
        <v>159</v>
      </c>
      <c r="S144" s="5661"/>
      <c r="T144" s="5605"/>
      <c r="U144" s="5605">
        <v>69</v>
      </c>
      <c r="V144" s="5605">
        <v>69</v>
      </c>
      <c r="W144" s="5605">
        <v>69</v>
      </c>
      <c r="X144" s="5605">
        <v>69</v>
      </c>
      <c r="Y144" s="5605">
        <v>69</v>
      </c>
      <c r="Z144" s="5584"/>
      <c r="AA144" s="5605"/>
      <c r="AB144" s="5583">
        <v>79</v>
      </c>
      <c r="AC144" s="5583">
        <v>79</v>
      </c>
      <c r="AD144" s="5583">
        <v>79</v>
      </c>
      <c r="AE144" s="5662">
        <v>79</v>
      </c>
    </row>
    <row r="145" spans="1:31" ht="18" customHeight="1" thickBot="1">
      <c r="A145" s="125"/>
      <c r="B145" s="126"/>
      <c r="C145" s="126"/>
      <c r="D145" s="126"/>
      <c r="E145" s="116"/>
      <c r="F145" s="124"/>
      <c r="G145" s="124"/>
      <c r="H145" s="124"/>
      <c r="I145" s="124"/>
      <c r="J145" s="124"/>
      <c r="K145" s="116"/>
      <c r="L145" s="116"/>
      <c r="M145" s="126"/>
      <c r="N145" s="126"/>
      <c r="O145" s="126"/>
      <c r="P145" s="126"/>
      <c r="Q145" s="126"/>
      <c r="R145" s="116"/>
      <c r="S145" s="127"/>
      <c r="T145" s="126"/>
      <c r="U145" s="126"/>
      <c r="V145" s="126"/>
      <c r="W145" s="126"/>
      <c r="X145" s="126"/>
      <c r="Y145" s="128"/>
      <c r="Z145" s="128"/>
      <c r="AA145" s="126"/>
      <c r="AB145" s="126"/>
      <c r="AC145" s="126"/>
      <c r="AD145" s="126"/>
      <c r="AE145" s="126"/>
    </row>
    <row r="146" spans="1:31" ht="18" customHeight="1">
      <c r="A146" s="648" t="s">
        <v>608</v>
      </c>
      <c r="B146" s="649"/>
      <c r="C146" s="650" t="s">
        <v>19</v>
      </c>
      <c r="D146" s="651"/>
      <c r="E146" s="652"/>
      <c r="F146" s="649"/>
      <c r="G146" s="650" t="s">
        <v>20</v>
      </c>
      <c r="H146" s="651"/>
      <c r="I146" s="652"/>
      <c r="J146" s="649"/>
      <c r="K146" s="650" t="s">
        <v>21</v>
      </c>
      <c r="L146" s="651"/>
      <c r="M146" s="652"/>
      <c r="N146" s="649"/>
      <c r="O146" s="650" t="s">
        <v>22</v>
      </c>
      <c r="P146" s="651"/>
      <c r="Q146" s="652"/>
      <c r="R146" s="649"/>
      <c r="S146" s="650" t="s">
        <v>23</v>
      </c>
      <c r="T146" s="651"/>
      <c r="U146" s="652"/>
      <c r="V146" s="649"/>
      <c r="W146" s="650" t="s">
        <v>24</v>
      </c>
      <c r="X146" s="651"/>
      <c r="Y146" s="652"/>
      <c r="Z146" s="649"/>
      <c r="AA146" s="650" t="s">
        <v>25</v>
      </c>
      <c r="AB146" s="651"/>
      <c r="AC146" s="651"/>
      <c r="AD146" s="702" t="s">
        <v>108</v>
      </c>
      <c r="AE146" s="653"/>
    </row>
    <row r="147" spans="1:31" ht="18" customHeight="1">
      <c r="A147" s="5663" t="s">
        <v>229</v>
      </c>
      <c r="B147" s="5611" t="s">
        <v>230</v>
      </c>
      <c r="C147" s="5639"/>
      <c r="D147" s="5639"/>
      <c r="E147" s="5640"/>
      <c r="F147" s="5611" t="s">
        <v>230</v>
      </c>
      <c r="G147" s="5639"/>
      <c r="H147" s="5639"/>
      <c r="I147" s="5640"/>
      <c r="J147" s="5611" t="s">
        <v>230</v>
      </c>
      <c r="K147" s="5639"/>
      <c r="L147" s="5639"/>
      <c r="M147" s="5640"/>
      <c r="N147" s="5611" t="s">
        <v>231</v>
      </c>
      <c r="O147" s="5639"/>
      <c r="P147" s="5639"/>
      <c r="Q147" s="5640"/>
      <c r="R147" s="5611" t="s">
        <v>232</v>
      </c>
      <c r="S147" s="5639"/>
      <c r="T147" s="5639"/>
      <c r="U147" s="5640"/>
      <c r="V147" s="5611" t="s">
        <v>233</v>
      </c>
      <c r="W147" s="5641"/>
      <c r="X147" s="5641"/>
      <c r="Y147" s="5642"/>
      <c r="Z147" s="5611" t="s">
        <v>233</v>
      </c>
      <c r="AA147" s="5639"/>
      <c r="AB147" s="5639"/>
      <c r="AC147" s="5610"/>
      <c r="AD147" s="5643">
        <v>68</v>
      </c>
      <c r="AE147" s="703"/>
    </row>
    <row r="148" spans="1:31" ht="18" customHeight="1">
      <c r="A148" s="5663"/>
      <c r="B148" s="5611" t="s">
        <v>220</v>
      </c>
      <c r="C148" s="5639"/>
      <c r="D148" s="5639"/>
      <c r="E148" s="5640"/>
      <c r="F148" s="5611" t="s">
        <v>220</v>
      </c>
      <c r="G148" s="5639"/>
      <c r="H148" s="5639"/>
      <c r="I148" s="5640"/>
      <c r="J148" s="5611" t="s">
        <v>220</v>
      </c>
      <c r="K148" s="5639"/>
      <c r="L148" s="5639"/>
      <c r="M148" s="5640"/>
      <c r="N148" s="5611" t="s">
        <v>220</v>
      </c>
      <c r="O148" s="5639"/>
      <c r="P148" s="5639"/>
      <c r="Q148" s="5640"/>
      <c r="R148" s="5611" t="s">
        <v>220</v>
      </c>
      <c r="S148" s="5639"/>
      <c r="T148" s="5639"/>
      <c r="U148" s="5640"/>
      <c r="V148" s="5611" t="s">
        <v>220</v>
      </c>
      <c r="W148" s="5639"/>
      <c r="X148" s="5639"/>
      <c r="Y148" s="5640"/>
      <c r="Z148" s="5639" t="s">
        <v>220</v>
      </c>
      <c r="AA148" s="5639"/>
      <c r="AB148" s="5639"/>
      <c r="AC148" s="5610"/>
      <c r="AD148" s="5643">
        <v>0</v>
      </c>
      <c r="AE148" s="703"/>
    </row>
    <row r="149" spans="1:31" ht="18" customHeight="1">
      <c r="A149" s="5663" t="s">
        <v>234</v>
      </c>
      <c r="B149" s="5611" t="s">
        <v>231</v>
      </c>
      <c r="C149" s="5639"/>
      <c r="D149" s="5639"/>
      <c r="E149" s="5640"/>
      <c r="F149" s="5611" t="s">
        <v>231</v>
      </c>
      <c r="G149" s="5639"/>
      <c r="H149" s="5639"/>
      <c r="I149" s="5640"/>
      <c r="J149" s="5611" t="s">
        <v>231</v>
      </c>
      <c r="K149" s="5639"/>
      <c r="L149" s="5639"/>
      <c r="M149" s="5640"/>
      <c r="N149" s="5611" t="s">
        <v>230</v>
      </c>
      <c r="O149" s="5639"/>
      <c r="P149" s="5639"/>
      <c r="Q149" s="5640"/>
      <c r="R149" s="5611" t="s">
        <v>230</v>
      </c>
      <c r="S149" s="5639"/>
      <c r="T149" s="5639"/>
      <c r="U149" s="5640"/>
      <c r="V149" s="5611" t="s">
        <v>232</v>
      </c>
      <c r="W149" s="5641"/>
      <c r="X149" s="5641"/>
      <c r="Y149" s="5642"/>
      <c r="Z149" s="5611" t="s">
        <v>232</v>
      </c>
      <c r="AA149" s="5639"/>
      <c r="AB149" s="5639"/>
      <c r="AC149" s="5610"/>
      <c r="AD149" s="5643">
        <v>68</v>
      </c>
      <c r="AE149" s="5664"/>
    </row>
    <row r="150" spans="1:31" ht="18" customHeight="1">
      <c r="A150" s="5663"/>
      <c r="B150" s="5611" t="s">
        <v>220</v>
      </c>
      <c r="C150" s="5639"/>
      <c r="D150" s="5639"/>
      <c r="E150" s="5640"/>
      <c r="F150" s="5611" t="s">
        <v>220</v>
      </c>
      <c r="G150" s="5639"/>
      <c r="H150" s="5639"/>
      <c r="I150" s="5640"/>
      <c r="J150" s="5611" t="s">
        <v>220</v>
      </c>
      <c r="K150" s="5639"/>
      <c r="L150" s="5639"/>
      <c r="M150" s="5640"/>
      <c r="N150" s="5611" t="s">
        <v>220</v>
      </c>
      <c r="O150" s="5639"/>
      <c r="P150" s="5639"/>
      <c r="Q150" s="5640"/>
      <c r="R150" s="5611" t="s">
        <v>220</v>
      </c>
      <c r="S150" s="5639"/>
      <c r="T150" s="5639"/>
      <c r="U150" s="5640"/>
      <c r="V150" s="5611" t="s">
        <v>220</v>
      </c>
      <c r="W150" s="5639"/>
      <c r="X150" s="5639"/>
      <c r="Y150" s="5640"/>
      <c r="Z150" s="5639" t="s">
        <v>220</v>
      </c>
      <c r="AA150" s="5639"/>
      <c r="AB150" s="5639"/>
      <c r="AC150" s="5610"/>
      <c r="AD150" s="5643">
        <v>0</v>
      </c>
      <c r="AE150" s="5664"/>
    </row>
    <row r="151" spans="1:31" ht="18" customHeight="1">
      <c r="A151" s="5663" t="s">
        <v>235</v>
      </c>
      <c r="B151" s="5611" t="s">
        <v>230</v>
      </c>
      <c r="C151" s="5639"/>
      <c r="D151" s="5639"/>
      <c r="E151" s="5640"/>
      <c r="F151" s="5611" t="s">
        <v>230</v>
      </c>
      <c r="G151" s="5639"/>
      <c r="H151" s="5639"/>
      <c r="I151" s="5640"/>
      <c r="J151" s="5611" t="s">
        <v>230</v>
      </c>
      <c r="K151" s="5639"/>
      <c r="L151" s="5639"/>
      <c r="M151" s="5640"/>
      <c r="N151" s="5611" t="s">
        <v>230</v>
      </c>
      <c r="O151" s="5639"/>
      <c r="P151" s="5639"/>
      <c r="Q151" s="5640"/>
      <c r="R151" s="5611" t="s">
        <v>230</v>
      </c>
      <c r="S151" s="5639"/>
      <c r="T151" s="5639"/>
      <c r="U151" s="5640"/>
      <c r="V151" s="5611" t="s">
        <v>236</v>
      </c>
      <c r="W151" s="5645"/>
      <c r="X151" s="5645"/>
      <c r="Y151" s="5615"/>
      <c r="Z151" s="5611" t="s">
        <v>236</v>
      </c>
      <c r="AA151" s="5645"/>
      <c r="AB151" s="5645"/>
      <c r="AC151" s="5614"/>
      <c r="AD151" s="5643">
        <v>68</v>
      </c>
      <c r="AE151" s="5664"/>
    </row>
    <row r="152" spans="1:31" ht="18" customHeight="1" thickBot="1">
      <c r="A152" s="5665"/>
      <c r="B152" s="5666" t="s">
        <v>220</v>
      </c>
      <c r="C152" s="5667"/>
      <c r="D152" s="5667"/>
      <c r="E152" s="5668"/>
      <c r="F152" s="5666" t="s">
        <v>220</v>
      </c>
      <c r="G152" s="5667"/>
      <c r="H152" s="5667"/>
      <c r="I152" s="5668"/>
      <c r="J152" s="5666" t="s">
        <v>220</v>
      </c>
      <c r="K152" s="5667"/>
      <c r="L152" s="5667"/>
      <c r="M152" s="5668"/>
      <c r="N152" s="5666" t="s">
        <v>220</v>
      </c>
      <c r="O152" s="5667"/>
      <c r="P152" s="5667"/>
      <c r="Q152" s="5668"/>
      <c r="R152" s="5666" t="s">
        <v>220</v>
      </c>
      <c r="S152" s="5667"/>
      <c r="T152" s="5667"/>
      <c r="U152" s="5669"/>
      <c r="V152" s="5666" t="s">
        <v>220</v>
      </c>
      <c r="W152" s="5669"/>
      <c r="X152" s="5667"/>
      <c r="Y152" s="5668"/>
      <c r="Z152" s="5666" t="s">
        <v>220</v>
      </c>
      <c r="AA152" s="5669"/>
      <c r="AB152" s="5667"/>
      <c r="AC152" s="5668"/>
      <c r="AD152" s="5670">
        <v>0</v>
      </c>
      <c r="AE152" s="5671"/>
    </row>
    <row r="153" spans="1:31" ht="18" customHeight="1" thickBot="1">
      <c r="A153" s="100"/>
      <c r="B153" s="102"/>
      <c r="C153" s="102"/>
      <c r="D153" s="102"/>
      <c r="E153" s="102"/>
      <c r="F153" s="102"/>
      <c r="G153" s="102"/>
      <c r="H153" s="102"/>
      <c r="I153" s="102"/>
      <c r="J153" s="102"/>
      <c r="K153" s="102"/>
      <c r="L153" s="102"/>
      <c r="M153" s="102"/>
      <c r="N153" s="102"/>
      <c r="O153" s="102"/>
      <c r="P153" s="102"/>
      <c r="Q153" s="102"/>
      <c r="R153" s="102"/>
      <c r="S153" s="102"/>
      <c r="T153" s="102"/>
      <c r="U153" s="102"/>
      <c r="V153" s="102"/>
      <c r="W153" s="102"/>
      <c r="X153" s="102"/>
      <c r="Y153" s="102"/>
      <c r="Z153" s="102"/>
      <c r="AA153" s="102"/>
      <c r="AB153" s="102"/>
      <c r="AC153" s="102"/>
      <c r="AD153" s="102"/>
      <c r="AE153" s="102"/>
    </row>
    <row r="154" spans="1:31" ht="18" customHeight="1" thickBot="1">
      <c r="A154" s="371" t="s">
        <v>228</v>
      </c>
      <c r="B154" s="865">
        <v>1</v>
      </c>
      <c r="C154" s="866">
        <v>2</v>
      </c>
      <c r="D154" s="866">
        <v>3</v>
      </c>
      <c r="E154" s="866">
        <v>4</v>
      </c>
      <c r="F154" s="866">
        <v>5</v>
      </c>
      <c r="G154" s="866">
        <v>6</v>
      </c>
      <c r="H154" s="865">
        <v>7</v>
      </c>
      <c r="I154" s="865">
        <v>8</v>
      </c>
      <c r="J154" s="865">
        <v>9</v>
      </c>
      <c r="K154" s="865">
        <v>10</v>
      </c>
      <c r="L154" s="866">
        <v>11</v>
      </c>
      <c r="M154" s="866">
        <v>12</v>
      </c>
      <c r="N154" s="865">
        <v>13</v>
      </c>
      <c r="O154" s="865">
        <v>14</v>
      </c>
      <c r="P154" s="865">
        <v>15</v>
      </c>
      <c r="Q154" s="865">
        <v>16</v>
      </c>
      <c r="R154" s="865">
        <v>17</v>
      </c>
      <c r="S154" s="866">
        <v>18</v>
      </c>
      <c r="T154" s="866">
        <v>19</v>
      </c>
      <c r="U154" s="865">
        <v>20</v>
      </c>
      <c r="V154" s="865">
        <v>21</v>
      </c>
      <c r="W154" s="865">
        <v>22</v>
      </c>
      <c r="X154" s="865">
        <v>23</v>
      </c>
      <c r="Y154" s="865">
        <v>24</v>
      </c>
      <c r="Z154" s="866">
        <v>25</v>
      </c>
      <c r="AA154" s="866">
        <v>26</v>
      </c>
      <c r="AB154" s="865">
        <v>27</v>
      </c>
      <c r="AC154" s="865">
        <v>28</v>
      </c>
      <c r="AD154" s="865">
        <v>29</v>
      </c>
      <c r="AE154" s="867">
        <v>30</v>
      </c>
    </row>
    <row r="155" spans="1:31" ht="18" customHeight="1">
      <c r="A155" s="5591" t="s">
        <v>237</v>
      </c>
      <c r="B155" s="2829" t="s">
        <v>46</v>
      </c>
      <c r="C155" s="2830" t="s">
        <v>46</v>
      </c>
      <c r="D155" s="2830" t="s">
        <v>46</v>
      </c>
      <c r="E155" s="2830"/>
      <c r="F155" s="2830"/>
      <c r="G155" s="2829">
        <v>23</v>
      </c>
      <c r="H155" s="2829">
        <v>23</v>
      </c>
      <c r="I155" s="2829">
        <v>23</v>
      </c>
      <c r="J155" s="2831">
        <v>23</v>
      </c>
      <c r="K155" s="2831">
        <v>23</v>
      </c>
      <c r="L155" s="2831">
        <v>23</v>
      </c>
      <c r="M155" s="2830">
        <v>23</v>
      </c>
      <c r="N155" s="2830" t="s">
        <v>46</v>
      </c>
      <c r="O155" s="2830" t="s">
        <v>46</v>
      </c>
      <c r="P155" s="2830" t="s">
        <v>46</v>
      </c>
      <c r="Q155" s="2830" t="s">
        <v>46</v>
      </c>
      <c r="R155" s="2830" t="s">
        <v>46</v>
      </c>
      <c r="S155" s="2830"/>
      <c r="T155" s="2830"/>
      <c r="U155" s="2829">
        <v>21</v>
      </c>
      <c r="V155" s="2829">
        <v>21</v>
      </c>
      <c r="W155" s="2829">
        <v>21</v>
      </c>
      <c r="X155" s="2829">
        <v>21</v>
      </c>
      <c r="Y155" s="2829">
        <v>21</v>
      </c>
      <c r="Z155" s="2829">
        <v>21</v>
      </c>
      <c r="AA155" s="2829">
        <v>21</v>
      </c>
      <c r="AB155" s="2832" t="s">
        <v>46</v>
      </c>
      <c r="AC155" s="2832" t="s">
        <v>46</v>
      </c>
      <c r="AD155" s="2832" t="s">
        <v>46</v>
      </c>
      <c r="AE155" s="4639" t="s">
        <v>46</v>
      </c>
    </row>
    <row r="156" spans="1:31" ht="18" customHeight="1">
      <c r="A156" s="5591" t="s">
        <v>238</v>
      </c>
      <c r="B156" s="5600" t="s">
        <v>46</v>
      </c>
      <c r="C156" s="5600" t="s">
        <v>46</v>
      </c>
      <c r="D156" s="5602" t="s">
        <v>46</v>
      </c>
      <c r="E156" s="5629"/>
      <c r="F156" s="5629"/>
      <c r="G156" s="5630">
        <v>21</v>
      </c>
      <c r="H156" s="5630">
        <v>21</v>
      </c>
      <c r="I156" s="5630">
        <v>21</v>
      </c>
      <c r="J156" s="5630">
        <v>21</v>
      </c>
      <c r="K156" s="5630">
        <v>21</v>
      </c>
      <c r="L156" s="5630">
        <v>21</v>
      </c>
      <c r="M156" s="5630">
        <v>21</v>
      </c>
      <c r="N156" s="5601" t="s">
        <v>46</v>
      </c>
      <c r="O156" s="5601" t="s">
        <v>46</v>
      </c>
      <c r="P156" s="5601" t="s">
        <v>46</v>
      </c>
      <c r="Q156" s="5600" t="s">
        <v>46</v>
      </c>
      <c r="R156" s="5602" t="s">
        <v>46</v>
      </c>
      <c r="S156" s="5629"/>
      <c r="T156" s="5629"/>
      <c r="U156" s="5629">
        <v>22</v>
      </c>
      <c r="V156" s="5629">
        <v>22</v>
      </c>
      <c r="W156" s="5629">
        <v>22</v>
      </c>
      <c r="X156" s="5600">
        <v>22</v>
      </c>
      <c r="Y156" s="5600">
        <v>22</v>
      </c>
      <c r="Z156" s="5600">
        <v>22</v>
      </c>
      <c r="AA156" s="5600">
        <v>22</v>
      </c>
      <c r="AB156" s="5629" t="s">
        <v>46</v>
      </c>
      <c r="AC156" s="5629" t="s">
        <v>46</v>
      </c>
      <c r="AD156" s="5629" t="s">
        <v>46</v>
      </c>
      <c r="AE156" s="5672" t="s">
        <v>46</v>
      </c>
    </row>
    <row r="157" spans="1:31" ht="18" customHeight="1">
      <c r="A157" s="5591" t="s">
        <v>239</v>
      </c>
      <c r="B157" s="5600" t="s">
        <v>46</v>
      </c>
      <c r="C157" s="5601" t="s">
        <v>46</v>
      </c>
      <c r="D157" s="5601" t="s">
        <v>46</v>
      </c>
      <c r="E157" s="5601"/>
      <c r="F157" s="5601"/>
      <c r="G157" s="5601">
        <v>22</v>
      </c>
      <c r="H157" s="5600">
        <v>22</v>
      </c>
      <c r="I157" s="5600">
        <v>22</v>
      </c>
      <c r="J157" s="5673">
        <v>22</v>
      </c>
      <c r="K157" s="5673">
        <v>22</v>
      </c>
      <c r="L157" s="5673">
        <v>22</v>
      </c>
      <c r="M157" s="5601">
        <v>22</v>
      </c>
      <c r="N157" s="5601" t="s">
        <v>46</v>
      </c>
      <c r="O157" s="5601" t="s">
        <v>46</v>
      </c>
      <c r="P157" s="5601" t="s">
        <v>46</v>
      </c>
      <c r="Q157" s="5600" t="s">
        <v>46</v>
      </c>
      <c r="R157" s="5602" t="s">
        <v>46</v>
      </c>
      <c r="S157" s="5600"/>
      <c r="T157" s="5600"/>
      <c r="U157" s="5630">
        <v>23</v>
      </c>
      <c r="V157" s="5630">
        <v>23</v>
      </c>
      <c r="W157" s="5630">
        <v>23</v>
      </c>
      <c r="X157" s="5630">
        <v>23</v>
      </c>
      <c r="Y157" s="5630">
        <v>23</v>
      </c>
      <c r="Z157" s="5630">
        <v>23</v>
      </c>
      <c r="AA157" s="5630">
        <v>23</v>
      </c>
      <c r="AB157" s="5629" t="s">
        <v>46</v>
      </c>
      <c r="AC157" s="5629" t="s">
        <v>46</v>
      </c>
      <c r="AD157" s="5629" t="s">
        <v>46</v>
      </c>
      <c r="AE157" s="5674" t="s">
        <v>46</v>
      </c>
    </row>
    <row r="158" spans="1:31" ht="18" customHeight="1">
      <c r="A158" s="655" t="s">
        <v>240</v>
      </c>
      <c r="B158" s="5600">
        <v>22</v>
      </c>
      <c r="C158" s="5673">
        <v>22</v>
      </c>
      <c r="D158" s="5673">
        <v>22</v>
      </c>
      <c r="E158" s="5673">
        <v>22</v>
      </c>
      <c r="F158" s="5601">
        <v>22</v>
      </c>
      <c r="G158" s="5601" t="s">
        <v>46</v>
      </c>
      <c r="H158" s="5601" t="s">
        <v>46</v>
      </c>
      <c r="I158" s="5601" t="s">
        <v>46</v>
      </c>
      <c r="J158" s="5601" t="s">
        <v>46</v>
      </c>
      <c r="K158" s="5601" t="s">
        <v>46</v>
      </c>
      <c r="L158" s="5601"/>
      <c r="M158" s="5601"/>
      <c r="N158" s="5601">
        <v>23</v>
      </c>
      <c r="O158" s="5600">
        <v>23</v>
      </c>
      <c r="P158" s="5600">
        <v>23</v>
      </c>
      <c r="Q158" s="5628">
        <v>23</v>
      </c>
      <c r="R158" s="5628">
        <v>23</v>
      </c>
      <c r="S158" s="5600">
        <v>23</v>
      </c>
      <c r="T158" s="5629">
        <v>23</v>
      </c>
      <c r="U158" s="5629" t="s">
        <v>46</v>
      </c>
      <c r="V158" s="5602" t="s">
        <v>46</v>
      </c>
      <c r="W158" s="5600" t="s">
        <v>46</v>
      </c>
      <c r="X158" s="5601" t="s">
        <v>46</v>
      </c>
      <c r="Y158" s="5601" t="s">
        <v>46</v>
      </c>
      <c r="Z158" s="5601"/>
      <c r="AA158" s="5601"/>
      <c r="AB158" s="5600">
        <v>21</v>
      </c>
      <c r="AC158" s="5600">
        <v>21</v>
      </c>
      <c r="AD158" s="5600">
        <v>21</v>
      </c>
      <c r="AE158" s="5674">
        <v>21</v>
      </c>
    </row>
    <row r="159" spans="1:31" ht="18" customHeight="1">
      <c r="A159" s="5675" t="s">
        <v>242</v>
      </c>
      <c r="B159" s="5601">
        <v>23</v>
      </c>
      <c r="C159" s="5676">
        <v>23</v>
      </c>
      <c r="D159" s="5676">
        <v>23</v>
      </c>
      <c r="E159" s="5676">
        <v>23</v>
      </c>
      <c r="F159" s="5676">
        <v>23</v>
      </c>
      <c r="G159" s="5676" t="s">
        <v>46</v>
      </c>
      <c r="H159" s="5676" t="s">
        <v>46</v>
      </c>
      <c r="I159" s="5676" t="s">
        <v>46</v>
      </c>
      <c r="J159" s="5600" t="s">
        <v>46</v>
      </c>
      <c r="K159" s="5602" t="s">
        <v>46</v>
      </c>
      <c r="L159" s="5600"/>
      <c r="M159" s="5600"/>
      <c r="N159" s="5600">
        <v>21</v>
      </c>
      <c r="O159" s="5600">
        <v>21</v>
      </c>
      <c r="P159" s="5600">
        <v>21</v>
      </c>
      <c r="Q159" s="5628">
        <v>21</v>
      </c>
      <c r="R159" s="5628">
        <v>21</v>
      </c>
      <c r="S159" s="5600">
        <v>21</v>
      </c>
      <c r="T159" s="5629">
        <v>21</v>
      </c>
      <c r="U159" s="5629" t="s">
        <v>46</v>
      </c>
      <c r="V159" s="5602" t="s">
        <v>46</v>
      </c>
      <c r="W159" s="5600" t="s">
        <v>46</v>
      </c>
      <c r="X159" s="5600" t="s">
        <v>46</v>
      </c>
      <c r="Y159" s="5602" t="s">
        <v>46</v>
      </c>
      <c r="Z159" s="5629"/>
      <c r="AA159" s="5629"/>
      <c r="AB159" s="5629">
        <v>22</v>
      </c>
      <c r="AC159" s="5629">
        <v>22</v>
      </c>
      <c r="AD159" s="5629">
        <v>22</v>
      </c>
      <c r="AE159" s="5674">
        <v>22</v>
      </c>
    </row>
    <row r="160" spans="1:31" ht="18" customHeight="1" thickBot="1">
      <c r="A160" s="656"/>
      <c r="B160" s="5677">
        <v>21</v>
      </c>
      <c r="C160" s="5678">
        <v>21</v>
      </c>
      <c r="D160" s="5678">
        <v>21</v>
      </c>
      <c r="E160" s="5678">
        <v>21</v>
      </c>
      <c r="F160" s="5679">
        <v>21</v>
      </c>
      <c r="G160" s="5679" t="s">
        <v>46</v>
      </c>
      <c r="H160" s="5679" t="s">
        <v>46</v>
      </c>
      <c r="I160" s="5679" t="s">
        <v>46</v>
      </c>
      <c r="J160" s="5679" t="s">
        <v>46</v>
      </c>
      <c r="K160" s="5679" t="s">
        <v>46</v>
      </c>
      <c r="L160" s="5679"/>
      <c r="M160" s="5677"/>
      <c r="N160" s="5677">
        <v>22</v>
      </c>
      <c r="O160" s="5677">
        <v>22</v>
      </c>
      <c r="P160" s="5677">
        <v>22</v>
      </c>
      <c r="Q160" s="5680">
        <v>22</v>
      </c>
      <c r="R160" s="5680">
        <v>22</v>
      </c>
      <c r="S160" s="5677">
        <v>22</v>
      </c>
      <c r="T160" s="5681">
        <v>22</v>
      </c>
      <c r="U160" s="5681" t="s">
        <v>46</v>
      </c>
      <c r="V160" s="5682" t="s">
        <v>46</v>
      </c>
      <c r="W160" s="5677" t="s">
        <v>46</v>
      </c>
      <c r="X160" s="5677" t="s">
        <v>46</v>
      </c>
      <c r="Y160" s="5682" t="s">
        <v>46</v>
      </c>
      <c r="Z160" s="5677"/>
      <c r="AA160" s="5677"/>
      <c r="AB160" s="5677">
        <v>23</v>
      </c>
      <c r="AC160" s="5677">
        <v>23</v>
      </c>
      <c r="AD160" s="5677">
        <v>23</v>
      </c>
      <c r="AE160" s="398">
        <v>23</v>
      </c>
    </row>
    <row r="161" spans="1:32" ht="18" customHeight="1" thickBot="1">
      <c r="A161" s="115"/>
      <c r="B161" s="116"/>
      <c r="C161" s="116"/>
      <c r="D161" s="124"/>
      <c r="E161" s="116"/>
      <c r="F161" s="116"/>
      <c r="G161" s="129"/>
      <c r="H161" s="129"/>
      <c r="I161" s="129"/>
      <c r="J161" s="129"/>
      <c r="K161" s="129"/>
      <c r="L161" s="129"/>
      <c r="M161" s="113"/>
      <c r="N161" s="113"/>
      <c r="O161" s="124"/>
      <c r="P161" s="116"/>
      <c r="Q161" s="116"/>
      <c r="R161" s="124"/>
      <c r="S161" s="116"/>
      <c r="T161" s="116"/>
      <c r="U161" s="116"/>
      <c r="V161" s="116"/>
      <c r="W161" s="116"/>
      <c r="X161" s="116"/>
      <c r="Y161" s="116"/>
      <c r="Z161" s="116"/>
      <c r="AA161" s="113"/>
      <c r="AB161" s="113"/>
      <c r="AC161" s="124"/>
      <c r="AD161" s="116"/>
      <c r="AE161" s="116"/>
    </row>
    <row r="162" spans="1:32" ht="18" customHeight="1">
      <c r="A162" s="648" t="s">
        <v>636</v>
      </c>
      <c r="B162" s="657"/>
      <c r="C162" s="650" t="s">
        <v>19</v>
      </c>
      <c r="D162" s="658"/>
      <c r="E162" s="659"/>
      <c r="F162" s="657"/>
      <c r="G162" s="650" t="s">
        <v>20</v>
      </c>
      <c r="H162" s="658"/>
      <c r="I162" s="659"/>
      <c r="J162" s="657"/>
      <c r="K162" s="650" t="s">
        <v>21</v>
      </c>
      <c r="L162" s="658"/>
      <c r="M162" s="659"/>
      <c r="N162" s="657"/>
      <c r="O162" s="650" t="s">
        <v>22</v>
      </c>
      <c r="P162" s="658"/>
      <c r="Q162" s="659"/>
      <c r="R162" s="657"/>
      <c r="S162" s="650" t="s">
        <v>23</v>
      </c>
      <c r="T162" s="658"/>
      <c r="U162" s="659"/>
      <c r="V162" s="657"/>
      <c r="W162" s="650" t="s">
        <v>24</v>
      </c>
      <c r="X162" s="658"/>
      <c r="Y162" s="659"/>
      <c r="Z162" s="657"/>
      <c r="AA162" s="650" t="s">
        <v>25</v>
      </c>
      <c r="AB162" s="658"/>
      <c r="AC162" s="658"/>
      <c r="AD162" s="702" t="s">
        <v>108</v>
      </c>
      <c r="AE162" s="660"/>
    </row>
    <row r="163" spans="1:32" ht="18" customHeight="1">
      <c r="A163" s="5663" t="s">
        <v>210</v>
      </c>
      <c r="B163" s="5611" t="s">
        <v>211</v>
      </c>
      <c r="C163" s="5552"/>
      <c r="D163" s="5552"/>
      <c r="E163" s="5640"/>
      <c r="F163" s="5611" t="s">
        <v>211</v>
      </c>
      <c r="G163" s="5552"/>
      <c r="H163" s="5552"/>
      <c r="I163" s="5640"/>
      <c r="J163" s="5611" t="s">
        <v>211</v>
      </c>
      <c r="K163" s="5552"/>
      <c r="L163" s="5552"/>
      <c r="M163" s="5640"/>
      <c r="N163" s="5611" t="s">
        <v>245</v>
      </c>
      <c r="O163" s="5552"/>
      <c r="P163" s="5552"/>
      <c r="Q163" s="5640"/>
      <c r="R163" s="5611" t="s">
        <v>220</v>
      </c>
      <c r="S163" s="5552"/>
      <c r="T163" s="5552"/>
      <c r="U163" s="5640"/>
      <c r="V163" s="5683"/>
      <c r="W163" s="5684"/>
      <c r="X163" s="5684"/>
      <c r="Y163" s="5642"/>
      <c r="Z163" s="5638"/>
      <c r="AA163" s="5552"/>
      <c r="AB163" s="5552"/>
      <c r="AC163" s="5610"/>
      <c r="AD163" s="5643">
        <v>27</v>
      </c>
      <c r="AE163" s="5685"/>
    </row>
    <row r="164" spans="1:32" ht="18" customHeight="1">
      <c r="A164" s="5663" t="s">
        <v>212</v>
      </c>
      <c r="B164" s="5611" t="s">
        <v>246</v>
      </c>
      <c r="C164" s="5552"/>
      <c r="D164" s="5552"/>
      <c r="E164" s="5640"/>
      <c r="F164" s="5611" t="s">
        <v>246</v>
      </c>
      <c r="G164" s="5552"/>
      <c r="H164" s="5552"/>
      <c r="I164" s="5640"/>
      <c r="J164" s="5611" t="s">
        <v>246</v>
      </c>
      <c r="K164" s="5552"/>
      <c r="L164" s="5552"/>
      <c r="M164" s="5640"/>
      <c r="N164" s="5611" t="s">
        <v>246</v>
      </c>
      <c r="O164" s="5552"/>
      <c r="P164" s="5552"/>
      <c r="Q164" s="5640"/>
      <c r="R164" s="5611" t="s">
        <v>211</v>
      </c>
      <c r="S164" s="5552"/>
      <c r="T164" s="5552"/>
      <c r="U164" s="5640"/>
      <c r="V164" s="5611"/>
      <c r="W164" s="5552"/>
      <c r="X164" s="5552"/>
      <c r="Y164" s="5640"/>
      <c r="Z164" s="5552"/>
      <c r="AA164" s="5552"/>
      <c r="AB164" s="5552"/>
      <c r="AC164" s="5610"/>
      <c r="AD164" s="5643">
        <v>39</v>
      </c>
      <c r="AE164" s="5685"/>
    </row>
    <row r="165" spans="1:32" ht="18" customHeight="1">
      <c r="A165" s="5663" t="s">
        <v>214</v>
      </c>
      <c r="B165" s="5611" t="s">
        <v>246</v>
      </c>
      <c r="C165" s="5552"/>
      <c r="D165" s="5552"/>
      <c r="E165" s="5640"/>
      <c r="F165" s="5611" t="s">
        <v>246</v>
      </c>
      <c r="G165" s="5552"/>
      <c r="H165" s="5552"/>
      <c r="I165" s="5640"/>
      <c r="J165" s="5611" t="s">
        <v>246</v>
      </c>
      <c r="K165" s="5552"/>
      <c r="L165" s="5552"/>
      <c r="M165" s="5640"/>
      <c r="N165" s="5611" t="s">
        <v>246</v>
      </c>
      <c r="O165" s="5552"/>
      <c r="P165" s="5552"/>
      <c r="Q165" s="5640"/>
      <c r="R165" s="5611" t="s">
        <v>246</v>
      </c>
      <c r="S165" s="5552"/>
      <c r="T165" s="5552"/>
      <c r="U165" s="5640"/>
      <c r="V165" s="5613" t="s">
        <v>217</v>
      </c>
      <c r="W165" s="5549"/>
      <c r="X165" s="5549"/>
      <c r="Y165" s="5615"/>
      <c r="Z165" s="5644"/>
      <c r="AA165" s="5549"/>
      <c r="AB165" s="5549"/>
      <c r="AC165" s="5614"/>
      <c r="AD165" s="5643">
        <v>45</v>
      </c>
      <c r="AE165" s="5685"/>
    </row>
    <row r="166" spans="1:32" ht="18" customHeight="1" thickBot="1">
      <c r="A166" s="661" t="s">
        <v>218</v>
      </c>
      <c r="B166" s="5666"/>
      <c r="C166" s="5621"/>
      <c r="D166" s="5621"/>
      <c r="E166" s="5668"/>
      <c r="F166" s="5666"/>
      <c r="G166" s="5621"/>
      <c r="H166" s="5621"/>
      <c r="I166" s="5668"/>
      <c r="J166" s="5666"/>
      <c r="K166" s="5621"/>
      <c r="L166" s="5621"/>
      <c r="M166" s="5668"/>
      <c r="N166" s="5666"/>
      <c r="O166" s="5621"/>
      <c r="P166" s="5621"/>
      <c r="Q166" s="5668"/>
      <c r="R166" s="5666"/>
      <c r="S166" s="5621"/>
      <c r="T166" s="5621"/>
      <c r="U166" s="5669"/>
      <c r="V166" s="5666"/>
      <c r="W166" s="5669"/>
      <c r="X166" s="5621"/>
      <c r="Y166" s="5668"/>
      <c r="Z166" s="5666"/>
      <c r="AA166" s="5669"/>
      <c r="AB166" s="5621"/>
      <c r="AC166" s="5668"/>
      <c r="AD166" s="5686"/>
      <c r="AE166" s="5687"/>
    </row>
    <row r="167" spans="1:32" ht="18" customHeight="1" thickBot="1">
      <c r="A167" s="1"/>
      <c r="B167" s="48"/>
      <c r="C167" s="48"/>
      <c r="D167" s="48"/>
      <c r="E167" s="48"/>
      <c r="F167" s="48"/>
      <c r="G167" s="48"/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  <c r="W167" s="48"/>
      <c r="X167" s="48"/>
      <c r="Y167" s="48"/>
      <c r="Z167" s="48"/>
      <c r="AA167" s="48"/>
      <c r="AB167" s="48"/>
      <c r="AC167" s="48"/>
      <c r="AD167" s="48"/>
      <c r="AE167" s="48"/>
    </row>
    <row r="168" spans="1:32" ht="18" customHeight="1" thickBot="1">
      <c r="A168" s="363" t="s">
        <v>609</v>
      </c>
      <c r="B168" s="865">
        <v>1</v>
      </c>
      <c r="C168" s="866">
        <v>2</v>
      </c>
      <c r="D168" s="866">
        <v>3</v>
      </c>
      <c r="E168" s="866">
        <v>4</v>
      </c>
      <c r="F168" s="866">
        <v>5</v>
      </c>
      <c r="G168" s="866">
        <v>6</v>
      </c>
      <c r="H168" s="865">
        <v>7</v>
      </c>
      <c r="I168" s="865">
        <v>8</v>
      </c>
      <c r="J168" s="865">
        <v>9</v>
      </c>
      <c r="K168" s="865">
        <v>10</v>
      </c>
      <c r="L168" s="866">
        <v>11</v>
      </c>
      <c r="M168" s="866">
        <v>12</v>
      </c>
      <c r="N168" s="865">
        <v>13</v>
      </c>
      <c r="O168" s="865">
        <v>14</v>
      </c>
      <c r="P168" s="865">
        <v>15</v>
      </c>
      <c r="Q168" s="865">
        <v>16</v>
      </c>
      <c r="R168" s="865">
        <v>17</v>
      </c>
      <c r="S168" s="866">
        <v>18</v>
      </c>
      <c r="T168" s="866">
        <v>19</v>
      </c>
      <c r="U168" s="865">
        <v>20</v>
      </c>
      <c r="V168" s="865">
        <v>21</v>
      </c>
      <c r="W168" s="865">
        <v>22</v>
      </c>
      <c r="X168" s="865">
        <v>23</v>
      </c>
      <c r="Y168" s="865">
        <v>24</v>
      </c>
      <c r="Z168" s="866">
        <v>25</v>
      </c>
      <c r="AA168" s="866">
        <v>26</v>
      </c>
      <c r="AB168" s="865">
        <v>27</v>
      </c>
      <c r="AC168" s="865">
        <v>28</v>
      </c>
      <c r="AD168" s="865">
        <v>29</v>
      </c>
      <c r="AE168" s="867">
        <v>30</v>
      </c>
    </row>
    <row r="169" spans="1:32" ht="18" customHeight="1">
      <c r="A169" s="4668" t="s">
        <v>247</v>
      </c>
      <c r="B169" s="3089" t="s">
        <v>40</v>
      </c>
      <c r="C169" s="3089"/>
      <c r="D169" s="3089"/>
      <c r="E169" s="2848"/>
      <c r="F169" s="3089"/>
      <c r="G169" s="3089"/>
      <c r="H169" s="3089" t="s">
        <v>40</v>
      </c>
      <c r="I169" s="3089" t="s">
        <v>40</v>
      </c>
      <c r="J169" s="3089" t="s">
        <v>40</v>
      </c>
      <c r="K169" s="3089" t="s">
        <v>40</v>
      </c>
      <c r="L169" s="3089"/>
      <c r="M169" s="3089"/>
      <c r="N169" s="3089" t="s">
        <v>40</v>
      </c>
      <c r="O169" s="2848" t="s">
        <v>40</v>
      </c>
      <c r="P169" s="3089" t="s">
        <v>40</v>
      </c>
      <c r="Q169" s="3089" t="s">
        <v>40</v>
      </c>
      <c r="R169" s="3089" t="s">
        <v>40</v>
      </c>
      <c r="S169" s="3089" t="s">
        <v>248</v>
      </c>
      <c r="T169" s="3089"/>
      <c r="U169" s="3089" t="s">
        <v>40</v>
      </c>
      <c r="V169" s="3089" t="s">
        <v>40</v>
      </c>
      <c r="W169" s="3089" t="s">
        <v>40</v>
      </c>
      <c r="X169" s="3089" t="s">
        <v>40</v>
      </c>
      <c r="Y169" s="3089" t="s">
        <v>40</v>
      </c>
      <c r="Z169" s="2848"/>
      <c r="AA169" s="3089"/>
      <c r="AB169" s="3089" t="s">
        <v>40</v>
      </c>
      <c r="AC169" s="3089" t="s">
        <v>40</v>
      </c>
      <c r="AD169" s="3089" t="s">
        <v>40</v>
      </c>
      <c r="AE169" s="5178" t="s">
        <v>40</v>
      </c>
    </row>
    <row r="170" spans="1:32" ht="18" customHeight="1">
      <c r="A170" s="5688" t="s">
        <v>249</v>
      </c>
      <c r="B170" s="5689" t="s">
        <v>250</v>
      </c>
      <c r="C170" s="5536"/>
      <c r="D170" s="5536"/>
      <c r="E170" s="5536"/>
      <c r="F170" s="5536"/>
      <c r="G170" s="5536"/>
      <c r="H170" s="5536" t="s">
        <v>248</v>
      </c>
      <c r="I170" s="5536" t="s">
        <v>248</v>
      </c>
      <c r="J170" s="5536" t="s">
        <v>248</v>
      </c>
      <c r="K170" s="5536" t="s">
        <v>248</v>
      </c>
      <c r="L170" s="5536" t="s">
        <v>248</v>
      </c>
      <c r="M170" s="5536"/>
      <c r="N170" s="5536" t="s">
        <v>251</v>
      </c>
      <c r="O170" s="5536" t="s">
        <v>251</v>
      </c>
      <c r="P170" s="5536" t="s">
        <v>251</v>
      </c>
      <c r="Q170" s="5689" t="s">
        <v>251</v>
      </c>
      <c r="R170" s="5536" t="s">
        <v>46</v>
      </c>
      <c r="S170" s="5536"/>
      <c r="T170" s="5536"/>
      <c r="U170" s="5689" t="s">
        <v>250</v>
      </c>
      <c r="V170" s="5536" t="s">
        <v>250</v>
      </c>
      <c r="W170" s="5536" t="s">
        <v>250</v>
      </c>
      <c r="X170" s="5536" t="s">
        <v>250</v>
      </c>
      <c r="Y170" s="5536" t="s">
        <v>250</v>
      </c>
      <c r="Z170" s="5536"/>
      <c r="AA170" s="5536"/>
      <c r="AB170" s="5536" t="s">
        <v>248</v>
      </c>
      <c r="AC170" s="5536" t="s">
        <v>248</v>
      </c>
      <c r="AD170" s="5536" t="s">
        <v>248</v>
      </c>
      <c r="AE170" s="5659" t="s">
        <v>248</v>
      </c>
    </row>
    <row r="171" spans="1:32" ht="18" customHeight="1">
      <c r="A171" s="5690" t="s">
        <v>512</v>
      </c>
      <c r="B171" s="5523" t="s">
        <v>248</v>
      </c>
      <c r="C171" s="5536"/>
      <c r="D171" s="5536"/>
      <c r="E171" s="5536" t="s">
        <v>248</v>
      </c>
      <c r="F171" s="5536"/>
      <c r="G171" s="5536"/>
      <c r="H171" s="5536" t="s">
        <v>251</v>
      </c>
      <c r="I171" s="5536" t="s">
        <v>251</v>
      </c>
      <c r="J171" s="5536" t="s">
        <v>251</v>
      </c>
      <c r="K171" s="5536" t="s">
        <v>46</v>
      </c>
      <c r="L171" s="5523"/>
      <c r="M171" s="5523"/>
      <c r="N171" s="5536" t="s">
        <v>250</v>
      </c>
      <c r="O171" s="5536" t="s">
        <v>250</v>
      </c>
      <c r="P171" s="5536" t="s">
        <v>250</v>
      </c>
      <c r="Q171" s="5536" t="s">
        <v>250</v>
      </c>
      <c r="R171" s="5536" t="s">
        <v>250</v>
      </c>
      <c r="S171" s="5523"/>
      <c r="T171" s="5536"/>
      <c r="U171" s="5536" t="s">
        <v>248</v>
      </c>
      <c r="V171" s="5523" t="s">
        <v>248</v>
      </c>
      <c r="W171" s="5523" t="s">
        <v>248</v>
      </c>
      <c r="X171" s="5536" t="s">
        <v>248</v>
      </c>
      <c r="Y171" s="5536" t="s">
        <v>248</v>
      </c>
      <c r="Z171" s="5536" t="s">
        <v>248</v>
      </c>
      <c r="AA171" s="5536"/>
      <c r="AB171" s="5536" t="s">
        <v>251</v>
      </c>
      <c r="AC171" s="5536" t="s">
        <v>251</v>
      </c>
      <c r="AD171" s="5536" t="s">
        <v>251</v>
      </c>
      <c r="AE171" s="5659" t="s">
        <v>251</v>
      </c>
    </row>
    <row r="172" spans="1:32" ht="18" customHeight="1" thickBot="1">
      <c r="A172" s="5691" t="s">
        <v>253</v>
      </c>
      <c r="B172" s="5583"/>
      <c r="C172" s="5583"/>
      <c r="D172" s="5583"/>
      <c r="E172" s="5583"/>
      <c r="F172" s="5583"/>
      <c r="G172" s="5583"/>
      <c r="H172" s="5583"/>
      <c r="I172" s="5583"/>
      <c r="J172" s="5583"/>
      <c r="K172" s="5583"/>
      <c r="L172" s="5606"/>
      <c r="M172" s="5583"/>
      <c r="N172" s="5583"/>
      <c r="O172" s="5583"/>
      <c r="P172" s="5583"/>
      <c r="Q172" s="5583"/>
      <c r="R172" s="5583"/>
      <c r="S172" s="5583"/>
      <c r="T172" s="5583"/>
      <c r="U172" s="5583"/>
      <c r="V172" s="5583"/>
      <c r="W172" s="5583"/>
      <c r="X172" s="5583"/>
      <c r="Y172" s="5583"/>
      <c r="Z172" s="5583"/>
      <c r="AA172" s="5583"/>
      <c r="AB172" s="5583"/>
      <c r="AC172" s="5583"/>
      <c r="AD172" s="5583"/>
      <c r="AE172" s="5662"/>
    </row>
    <row r="173" spans="1:32" ht="18" customHeight="1">
      <c r="A173" s="115"/>
      <c r="B173" s="116"/>
      <c r="C173" s="116"/>
      <c r="D173" s="116"/>
      <c r="E173" s="116"/>
      <c r="F173" s="116"/>
      <c r="G173" s="116"/>
      <c r="H173" s="116"/>
      <c r="I173" s="116"/>
      <c r="J173" s="116"/>
      <c r="K173" s="116"/>
      <c r="L173" s="116"/>
      <c r="M173" s="116"/>
      <c r="N173" s="116"/>
      <c r="O173" s="116"/>
      <c r="P173" s="116"/>
      <c r="Q173" s="116"/>
      <c r="R173" s="116"/>
      <c r="S173" s="116"/>
      <c r="T173" s="116"/>
      <c r="U173" s="116"/>
      <c r="V173" s="116"/>
      <c r="W173" s="116"/>
      <c r="X173" s="116"/>
      <c r="Y173" s="116"/>
      <c r="Z173" s="116"/>
      <c r="AA173" s="116"/>
      <c r="AB173" s="116"/>
      <c r="AC173" s="116"/>
      <c r="AD173" s="116"/>
      <c r="AE173" s="116"/>
    </row>
    <row r="174" spans="1:32" ht="18" customHeight="1">
      <c r="A174" s="48"/>
      <c r="B174" s="64"/>
      <c r="C174" s="48"/>
      <c r="D174" s="48"/>
      <c r="E174" s="64"/>
      <c r="F174" s="48"/>
      <c r="G174" s="48"/>
      <c r="H174" s="64"/>
      <c r="I174" s="64"/>
      <c r="J174" s="48"/>
      <c r="K174" s="64"/>
      <c r="L174" s="48"/>
      <c r="M174" s="48"/>
      <c r="N174" s="64"/>
      <c r="O174" s="48"/>
      <c r="P174" s="64"/>
      <c r="Q174" s="64"/>
      <c r="R174" s="48"/>
      <c r="S174" s="48"/>
      <c r="T174" s="64"/>
      <c r="U174" s="48"/>
      <c r="V174" s="64"/>
      <c r="W174" s="64"/>
      <c r="X174" s="48"/>
      <c r="Y174" s="48"/>
      <c r="Z174" s="48"/>
      <c r="AA174" s="48"/>
      <c r="AB174" s="48"/>
      <c r="AC174" s="48"/>
      <c r="AD174" s="64"/>
      <c r="AE174" s="48"/>
    </row>
    <row r="175" spans="1:32" ht="18" customHeight="1">
      <c r="A175" s="648" t="s">
        <v>637</v>
      </c>
      <c r="B175" s="1242"/>
      <c r="C175" s="1243" t="s">
        <v>19</v>
      </c>
      <c r="D175" s="1244"/>
      <c r="E175" s="1055"/>
      <c r="F175" s="1245"/>
      <c r="G175" s="1243" t="s">
        <v>20</v>
      </c>
      <c r="H175" s="1244"/>
      <c r="I175" s="1055"/>
      <c r="J175" s="1245"/>
      <c r="K175" s="1243" t="s">
        <v>21</v>
      </c>
      <c r="L175" s="1244"/>
      <c r="M175" s="1055"/>
      <c r="N175" s="1245"/>
      <c r="O175" s="1243" t="s">
        <v>22</v>
      </c>
      <c r="P175" s="1244"/>
      <c r="Q175" s="1055"/>
      <c r="R175" s="1245"/>
      <c r="S175" s="1243" t="s">
        <v>23</v>
      </c>
      <c r="T175" s="1244"/>
      <c r="U175" s="1246"/>
      <c r="V175" s="111"/>
      <c r="W175" s="499"/>
      <c r="X175" s="111"/>
      <c r="Y175" s="111"/>
      <c r="Z175" s="111"/>
      <c r="AA175" s="499"/>
      <c r="AB175" s="111"/>
      <c r="AC175" s="111"/>
      <c r="AD175" s="499"/>
      <c r="AE175" s="111"/>
      <c r="AF175" s="111"/>
    </row>
    <row r="176" spans="1:32" ht="18" customHeight="1">
      <c r="A176" s="5506" t="s">
        <v>638</v>
      </c>
      <c r="B176" s="5692" t="s">
        <v>515</v>
      </c>
      <c r="C176" s="5693" t="s">
        <v>639</v>
      </c>
      <c r="D176" s="5693"/>
      <c r="E176" s="5694"/>
      <c r="F176" s="5695" t="s">
        <v>640</v>
      </c>
      <c r="G176" s="5693"/>
      <c r="H176" s="5693"/>
      <c r="I176" s="5694"/>
      <c r="J176" s="5695" t="s">
        <v>639</v>
      </c>
      <c r="K176" s="5693"/>
      <c r="L176" s="5693"/>
      <c r="M176" s="5694"/>
      <c r="N176" s="5695" t="s">
        <v>641</v>
      </c>
      <c r="O176" s="5693"/>
      <c r="P176" s="5693"/>
      <c r="Q176" s="5694"/>
      <c r="R176" s="5695" t="s">
        <v>642</v>
      </c>
      <c r="S176" s="5693"/>
      <c r="T176" s="5693"/>
      <c r="U176" s="5696"/>
      <c r="V176" s="123"/>
      <c r="W176" s="111"/>
      <c r="X176" s="111"/>
      <c r="Y176" s="122"/>
      <c r="Z176" s="123"/>
      <c r="AA176" s="111"/>
      <c r="AB176" s="111"/>
      <c r="AC176" s="111"/>
      <c r="AD176" s="123"/>
      <c r="AE176" s="111"/>
      <c r="AF176" s="111"/>
    </row>
    <row r="177" spans="1:32" ht="18" customHeight="1">
      <c r="A177" s="5506" t="s">
        <v>643</v>
      </c>
      <c r="B177" s="5692" t="s">
        <v>152</v>
      </c>
      <c r="C177" s="5693" t="s">
        <v>644</v>
      </c>
      <c r="D177" s="5693"/>
      <c r="E177" s="5694"/>
      <c r="F177" s="5695" t="s">
        <v>644</v>
      </c>
      <c r="G177" s="5693"/>
      <c r="H177" s="5693"/>
      <c r="I177" s="5694"/>
      <c r="J177" s="5695" t="s">
        <v>644</v>
      </c>
      <c r="K177" s="5693"/>
      <c r="L177" s="5693"/>
      <c r="M177" s="5694"/>
      <c r="N177" s="5695" t="s">
        <v>645</v>
      </c>
      <c r="O177" s="5693"/>
      <c r="P177" s="5693"/>
      <c r="Q177" s="5694"/>
      <c r="R177" s="5695" t="s">
        <v>646</v>
      </c>
      <c r="S177" s="5693"/>
      <c r="T177" s="5693"/>
      <c r="U177" s="5696"/>
      <c r="V177" s="123"/>
      <c r="W177" s="111"/>
      <c r="X177" s="111"/>
      <c r="Y177" s="122"/>
      <c r="Z177" s="123"/>
      <c r="AA177" s="111"/>
      <c r="AB177" s="111"/>
      <c r="AC177" s="111"/>
      <c r="AD177" s="123"/>
      <c r="AE177" s="111"/>
      <c r="AF177" s="111"/>
    </row>
    <row r="178" spans="1:32" ht="18" customHeight="1">
      <c r="A178" s="5506" t="s">
        <v>647</v>
      </c>
      <c r="B178" s="5692" t="s">
        <v>130</v>
      </c>
      <c r="C178" s="5693" t="s">
        <v>644</v>
      </c>
      <c r="D178" s="5693"/>
      <c r="E178" s="5694"/>
      <c r="F178" s="5695" t="s">
        <v>644</v>
      </c>
      <c r="G178" s="5693"/>
      <c r="H178" s="5693"/>
      <c r="I178" s="5694"/>
      <c r="J178" s="5695" t="s">
        <v>648</v>
      </c>
      <c r="K178" s="5693"/>
      <c r="L178" s="5693"/>
      <c r="M178" s="5694"/>
      <c r="N178" s="5695" t="s">
        <v>649</v>
      </c>
      <c r="O178" s="5693"/>
      <c r="P178" s="5693"/>
      <c r="Q178" s="5694"/>
      <c r="R178" s="5695" t="s">
        <v>650</v>
      </c>
      <c r="S178" s="5693"/>
      <c r="T178" s="5693"/>
      <c r="U178" s="5696"/>
      <c r="V178" s="123"/>
      <c r="W178" s="111"/>
      <c r="X178" s="111"/>
      <c r="Y178" s="122"/>
      <c r="Z178" s="123"/>
      <c r="AA178" s="111"/>
      <c r="AB178" s="111"/>
      <c r="AC178" s="111"/>
      <c r="AD178" s="123"/>
      <c r="AE178" s="111"/>
      <c r="AF178" s="111"/>
    </row>
    <row r="179" spans="1:32" ht="18" customHeight="1">
      <c r="A179" s="5506" t="s">
        <v>651</v>
      </c>
      <c r="B179" s="5692" t="s">
        <v>153</v>
      </c>
      <c r="C179" s="5693" t="s">
        <v>652</v>
      </c>
      <c r="D179" s="5693"/>
      <c r="E179" s="5694"/>
      <c r="F179" s="5695" t="s">
        <v>652</v>
      </c>
      <c r="G179" s="5693"/>
      <c r="H179" s="5693"/>
      <c r="I179" s="5694"/>
      <c r="J179" s="5695" t="s">
        <v>652</v>
      </c>
      <c r="K179" s="5693"/>
      <c r="L179" s="5693"/>
      <c r="M179" s="5694"/>
      <c r="N179" s="5695" t="s">
        <v>653</v>
      </c>
      <c r="O179" s="5693"/>
      <c r="P179" s="5693"/>
      <c r="Q179" s="5694"/>
      <c r="R179" s="5695" t="s">
        <v>650</v>
      </c>
      <c r="S179" s="5693"/>
      <c r="T179" s="5693"/>
      <c r="U179" s="5696"/>
      <c r="V179" s="120"/>
      <c r="W179" s="111"/>
      <c r="X179" s="111"/>
      <c r="Y179" s="111"/>
      <c r="Z179" s="120"/>
      <c r="AA179" s="111"/>
      <c r="AB179" s="111"/>
      <c r="AC179" s="111"/>
      <c r="AD179" s="120"/>
      <c r="AE179" s="111"/>
      <c r="AF179" s="111"/>
    </row>
    <row r="180" spans="1:32" ht="18" customHeight="1">
      <c r="A180" s="5697" t="s">
        <v>654</v>
      </c>
      <c r="B180" s="5692" t="s">
        <v>128</v>
      </c>
      <c r="C180" s="5693" t="s">
        <v>655</v>
      </c>
      <c r="D180" s="5693"/>
      <c r="E180" s="5694"/>
      <c r="F180" s="5695" t="s">
        <v>655</v>
      </c>
      <c r="G180" s="5693"/>
      <c r="H180" s="5693"/>
      <c r="I180" s="5694"/>
      <c r="J180" s="5695" t="s">
        <v>655</v>
      </c>
      <c r="K180" s="5693"/>
      <c r="L180" s="5693"/>
      <c r="M180" s="5694"/>
      <c r="N180" s="5695" t="s">
        <v>656</v>
      </c>
      <c r="O180" s="5693"/>
      <c r="P180" s="5693"/>
      <c r="Q180" s="5694"/>
      <c r="R180" s="5695" t="s">
        <v>650</v>
      </c>
      <c r="S180" s="5693"/>
      <c r="T180" s="5693"/>
      <c r="U180" s="5696"/>
      <c r="V180" s="123"/>
      <c r="W180" s="111"/>
      <c r="X180" s="111"/>
      <c r="Y180" s="111"/>
      <c r="Z180" s="123"/>
      <c r="AA180" s="111"/>
      <c r="AB180" s="111"/>
      <c r="AC180" s="111"/>
      <c r="AD180" s="123"/>
      <c r="AE180" s="111"/>
      <c r="AF180" s="111"/>
    </row>
    <row r="181" spans="1:32" ht="18" customHeight="1">
      <c r="A181" s="5506" t="s">
        <v>657</v>
      </c>
      <c r="B181" s="5692" t="s">
        <v>127</v>
      </c>
      <c r="C181" s="5693" t="s">
        <v>658</v>
      </c>
      <c r="D181" s="5693"/>
      <c r="E181" s="5694"/>
      <c r="F181" s="5695" t="s">
        <v>639</v>
      </c>
      <c r="G181" s="5693"/>
      <c r="H181" s="5693"/>
      <c r="I181" s="5694"/>
      <c r="J181" s="5695" t="s">
        <v>639</v>
      </c>
      <c r="K181" s="5693"/>
      <c r="L181" s="5693"/>
      <c r="M181" s="5694"/>
      <c r="N181" s="5695" t="s">
        <v>659</v>
      </c>
      <c r="O181" s="5693"/>
      <c r="P181" s="5693"/>
      <c r="Q181" s="5694"/>
      <c r="R181" s="5695" t="s">
        <v>650</v>
      </c>
      <c r="S181" s="5693"/>
      <c r="T181" s="5693"/>
      <c r="U181" s="5696"/>
      <c r="V181" s="111"/>
      <c r="W181" s="111"/>
      <c r="X181" s="111"/>
      <c r="Y181" s="111"/>
      <c r="Z181" s="123"/>
      <c r="AA181" s="111"/>
      <c r="AB181" s="111"/>
      <c r="AC181" s="111"/>
      <c r="AD181" s="123"/>
      <c r="AE181" s="111"/>
      <c r="AF181" s="111"/>
    </row>
    <row r="182" spans="1:32" ht="18" customHeight="1">
      <c r="A182" s="420" t="s">
        <v>660</v>
      </c>
      <c r="B182" s="5698" t="s">
        <v>123</v>
      </c>
      <c r="C182" s="5699" t="s">
        <v>661</v>
      </c>
      <c r="D182" s="5699"/>
      <c r="E182" s="5700"/>
      <c r="F182" s="5701" t="s">
        <v>661</v>
      </c>
      <c r="G182" s="5699"/>
      <c r="H182" s="5699"/>
      <c r="I182" s="5700"/>
      <c r="J182" s="5701" t="s">
        <v>661</v>
      </c>
      <c r="K182" s="5699"/>
      <c r="L182" s="5699"/>
      <c r="M182" s="5700"/>
      <c r="N182" s="5701" t="s">
        <v>662</v>
      </c>
      <c r="O182" s="5699"/>
      <c r="P182" s="5699"/>
      <c r="Q182" s="5700"/>
      <c r="R182" s="5701" t="s">
        <v>663</v>
      </c>
      <c r="S182" s="5699"/>
      <c r="T182" s="5699"/>
      <c r="U182" s="5702"/>
      <c r="V182" s="111"/>
      <c r="W182" s="111"/>
      <c r="X182" s="111"/>
      <c r="Y182" s="122"/>
      <c r="Z182" s="120"/>
      <c r="AA182" s="111"/>
      <c r="AB182" s="111"/>
      <c r="AC182" s="111"/>
      <c r="AD182" s="123"/>
      <c r="AE182" s="111"/>
      <c r="AF182" s="111"/>
    </row>
    <row r="183" spans="1:32" ht="18" customHeight="1">
      <c r="B183" s="1184"/>
      <c r="C183" s="1049"/>
      <c r="D183" s="1049"/>
      <c r="E183" s="1184"/>
      <c r="F183" s="1049"/>
      <c r="G183" s="1049"/>
      <c r="H183" s="1184"/>
      <c r="I183" s="1184"/>
      <c r="J183" s="1049"/>
      <c r="K183" s="1184"/>
      <c r="L183" s="1049"/>
      <c r="M183" s="1049"/>
      <c r="N183" s="1184"/>
      <c r="O183" s="1049"/>
      <c r="P183" s="1184"/>
      <c r="Q183" s="1184"/>
      <c r="R183" s="1049"/>
      <c r="S183" s="1049"/>
      <c r="T183" s="1184"/>
      <c r="U183" s="1049"/>
      <c r="V183" s="111"/>
      <c r="W183" s="111"/>
      <c r="X183" s="111"/>
      <c r="Y183" s="111"/>
      <c r="Z183" s="120"/>
      <c r="AA183" s="111"/>
      <c r="AB183" s="111"/>
      <c r="AC183" s="111"/>
      <c r="AD183" s="120"/>
      <c r="AE183" s="111"/>
      <c r="AF183" s="111"/>
    </row>
    <row r="184" spans="1:32" ht="18" customHeight="1">
      <c r="A184" s="648" t="s">
        <v>664</v>
      </c>
      <c r="B184" s="1250"/>
      <c r="C184" s="1243" t="s">
        <v>19</v>
      </c>
      <c r="D184" s="1244"/>
      <c r="E184" s="1055"/>
      <c r="F184" s="1245"/>
      <c r="G184" s="1243" t="s">
        <v>20</v>
      </c>
      <c r="H184" s="1244"/>
      <c r="I184" s="1055"/>
      <c r="J184" s="1245"/>
      <c r="K184" s="1243" t="s">
        <v>21</v>
      </c>
      <c r="L184" s="1244"/>
      <c r="M184" s="1055"/>
      <c r="N184" s="1245"/>
      <c r="O184" s="1243" t="s">
        <v>22</v>
      </c>
      <c r="P184" s="1244"/>
      <c r="Q184" s="1055"/>
      <c r="R184" s="1245"/>
      <c r="S184" s="1243" t="s">
        <v>23</v>
      </c>
      <c r="T184" s="1244"/>
      <c r="U184" s="1246"/>
      <c r="V184" s="120"/>
      <c r="W184" s="120"/>
      <c r="X184" s="111"/>
      <c r="Y184" s="111"/>
      <c r="Z184" s="111"/>
      <c r="AA184" s="111"/>
      <c r="AB184" s="111"/>
      <c r="AC184" s="111"/>
      <c r="AD184" s="120"/>
      <c r="AE184" s="111"/>
      <c r="AF184" s="111"/>
    </row>
    <row r="185" spans="1:32" ht="18" customHeight="1">
      <c r="A185" s="5506" t="s">
        <v>665</v>
      </c>
      <c r="B185" s="5692" t="s">
        <v>515</v>
      </c>
      <c r="C185" s="5703" t="s">
        <v>639</v>
      </c>
      <c r="D185" s="5703"/>
      <c r="E185" s="5704"/>
      <c r="F185" s="5695" t="s">
        <v>639</v>
      </c>
      <c r="G185" s="5693"/>
      <c r="H185" s="5693"/>
      <c r="I185" s="5694"/>
      <c r="J185" s="5695" t="s">
        <v>639</v>
      </c>
      <c r="K185" s="5693"/>
      <c r="L185" s="5693"/>
      <c r="M185" s="5694"/>
      <c r="N185" s="5695" t="s">
        <v>641</v>
      </c>
      <c r="O185" s="5693"/>
      <c r="P185" s="5693"/>
      <c r="Q185" s="5694"/>
      <c r="R185" s="5695" t="s">
        <v>642</v>
      </c>
      <c r="S185" s="5693"/>
      <c r="T185" s="5693"/>
      <c r="U185" s="5696"/>
      <c r="V185" s="111"/>
      <c r="W185" s="499"/>
      <c r="X185" s="111"/>
      <c r="Y185" s="111"/>
      <c r="Z185" s="111"/>
      <c r="AA185" s="499"/>
      <c r="AB185" s="111"/>
      <c r="AC185" s="111"/>
      <c r="AD185" s="499"/>
      <c r="AE185" s="111"/>
      <c r="AF185" s="111"/>
    </row>
    <row r="186" spans="1:32" ht="18" customHeight="1">
      <c r="A186" s="5506" t="s">
        <v>666</v>
      </c>
      <c r="B186" s="5692" t="s">
        <v>152</v>
      </c>
      <c r="C186" s="5703" t="s">
        <v>667</v>
      </c>
      <c r="D186" s="5703"/>
      <c r="E186" s="5704"/>
      <c r="F186" s="5695" t="s">
        <v>667</v>
      </c>
      <c r="G186" s="5693"/>
      <c r="H186" s="5693"/>
      <c r="I186" s="5694"/>
      <c r="J186" s="5695" t="s">
        <v>667</v>
      </c>
      <c r="K186" s="5693"/>
      <c r="L186" s="5693"/>
      <c r="M186" s="5694"/>
      <c r="N186" s="5695" t="s">
        <v>668</v>
      </c>
      <c r="O186" s="5693"/>
      <c r="P186" s="5693"/>
      <c r="Q186" s="5694"/>
      <c r="R186" s="5695" t="s">
        <v>669</v>
      </c>
      <c r="S186" s="5693"/>
      <c r="T186" s="5693"/>
      <c r="U186" s="5696"/>
      <c r="V186" s="111"/>
      <c r="W186" s="499"/>
      <c r="X186" s="111"/>
      <c r="Y186" s="111"/>
      <c r="Z186" s="111"/>
      <c r="AA186" s="499"/>
      <c r="AB186" s="111"/>
      <c r="AC186" s="111"/>
      <c r="AD186" s="499"/>
      <c r="AE186" s="111"/>
      <c r="AF186" s="111"/>
    </row>
    <row r="187" spans="1:32" ht="18" customHeight="1">
      <c r="A187" s="5506" t="s">
        <v>261</v>
      </c>
      <c r="B187" s="5692" t="s">
        <v>130</v>
      </c>
      <c r="C187" s="5703" t="s">
        <v>667</v>
      </c>
      <c r="D187" s="5703"/>
      <c r="E187" s="5704"/>
      <c r="F187" s="5695" t="s">
        <v>667</v>
      </c>
      <c r="G187" s="5693"/>
      <c r="H187" s="5693"/>
      <c r="I187" s="5694"/>
      <c r="J187" s="5695" t="s">
        <v>648</v>
      </c>
      <c r="K187" s="5693"/>
      <c r="L187" s="5693"/>
      <c r="M187" s="5694"/>
      <c r="N187" s="5695" t="s">
        <v>670</v>
      </c>
      <c r="O187" s="5693"/>
      <c r="P187" s="5693"/>
      <c r="Q187" s="5694"/>
      <c r="R187" s="5695" t="s">
        <v>650</v>
      </c>
      <c r="S187" s="5693"/>
      <c r="T187" s="5693"/>
      <c r="U187" s="5696"/>
      <c r="V187" s="120"/>
      <c r="W187" s="111"/>
      <c r="X187" s="111"/>
      <c r="Y187" s="111"/>
      <c r="Z187" s="120"/>
      <c r="AA187" s="111"/>
      <c r="AB187" s="111"/>
      <c r="AC187" s="111"/>
      <c r="AD187" s="120"/>
      <c r="AE187" s="111"/>
      <c r="AF187" s="111"/>
    </row>
    <row r="188" spans="1:32" ht="18" customHeight="1">
      <c r="A188" s="5506" t="s">
        <v>265</v>
      </c>
      <c r="B188" s="5692" t="s">
        <v>153</v>
      </c>
      <c r="C188" s="5705" t="s">
        <v>667</v>
      </c>
      <c r="D188" s="5706"/>
      <c r="E188" s="5707"/>
      <c r="F188" s="5695" t="s">
        <v>667</v>
      </c>
      <c r="G188" s="5693"/>
      <c r="H188" s="5693"/>
      <c r="I188" s="5694"/>
      <c r="J188" s="5695" t="s">
        <v>667</v>
      </c>
      <c r="K188" s="5693"/>
      <c r="L188" s="5693"/>
      <c r="M188" s="5694"/>
      <c r="N188" s="5695" t="s">
        <v>671</v>
      </c>
      <c r="O188" s="5693"/>
      <c r="P188" s="5693"/>
      <c r="Q188" s="5694"/>
      <c r="R188" s="5695" t="s">
        <v>650</v>
      </c>
      <c r="S188" s="5693"/>
      <c r="T188" s="5693"/>
      <c r="U188" s="5696"/>
      <c r="V188" s="120"/>
      <c r="W188" s="111"/>
      <c r="X188" s="111"/>
      <c r="Y188" s="111"/>
      <c r="Z188" s="120"/>
      <c r="AA188" s="111"/>
      <c r="AB188" s="111"/>
      <c r="AC188" s="111"/>
      <c r="AD188" s="120"/>
      <c r="AE188" s="111"/>
      <c r="AF188" s="111"/>
    </row>
    <row r="189" spans="1:32" ht="18" customHeight="1">
      <c r="A189" s="5697" t="s">
        <v>272</v>
      </c>
      <c r="B189" s="5692" t="s">
        <v>128</v>
      </c>
      <c r="C189" s="5705" t="s">
        <v>667</v>
      </c>
      <c r="D189" s="5706"/>
      <c r="E189" s="5707"/>
      <c r="F189" s="5695" t="s">
        <v>667</v>
      </c>
      <c r="G189" s="5693"/>
      <c r="H189" s="5693"/>
      <c r="I189" s="5694"/>
      <c r="J189" s="5695" t="s">
        <v>667</v>
      </c>
      <c r="K189" s="5693"/>
      <c r="L189" s="5693"/>
      <c r="M189" s="5694"/>
      <c r="N189" s="5695" t="s">
        <v>671</v>
      </c>
      <c r="O189" s="5693"/>
      <c r="P189" s="5693"/>
      <c r="Q189" s="5694"/>
      <c r="R189" s="5695" t="s">
        <v>650</v>
      </c>
      <c r="S189" s="5693"/>
      <c r="T189" s="5693"/>
      <c r="U189" s="5696"/>
      <c r="V189" s="120"/>
      <c r="W189" s="111"/>
      <c r="X189" s="111"/>
      <c r="Y189" s="111"/>
      <c r="Z189" s="120"/>
      <c r="AA189" s="111"/>
      <c r="AB189" s="111"/>
      <c r="AC189" s="111"/>
      <c r="AD189" s="120"/>
      <c r="AE189" s="111"/>
      <c r="AF189" s="111"/>
    </row>
    <row r="190" spans="1:32" ht="18" customHeight="1">
      <c r="A190" s="5506" t="s">
        <v>275</v>
      </c>
      <c r="B190" s="5692" t="s">
        <v>127</v>
      </c>
      <c r="C190" s="5705" t="s">
        <v>667</v>
      </c>
      <c r="D190" s="5706"/>
      <c r="E190" s="5707"/>
      <c r="F190" s="5695" t="s">
        <v>667</v>
      </c>
      <c r="G190" s="5693"/>
      <c r="H190" s="5693"/>
      <c r="I190" s="5694"/>
      <c r="J190" s="5695" t="s">
        <v>667</v>
      </c>
      <c r="K190" s="5693"/>
      <c r="L190" s="5693"/>
      <c r="M190" s="5694"/>
      <c r="N190" s="5695" t="s">
        <v>668</v>
      </c>
      <c r="O190" s="5693"/>
      <c r="P190" s="5693"/>
      <c r="Q190" s="5694"/>
      <c r="R190" s="5695" t="s">
        <v>669</v>
      </c>
      <c r="S190" s="5693"/>
      <c r="T190" s="5693"/>
      <c r="U190" s="5696"/>
      <c r="V190" s="120"/>
      <c r="W190" s="111"/>
      <c r="X190" s="111"/>
      <c r="Y190" s="111"/>
      <c r="Z190" s="120"/>
      <c r="AA190" s="111"/>
      <c r="AB190" s="111"/>
      <c r="AC190" s="111"/>
      <c r="AD190" s="120"/>
      <c r="AE190" s="111"/>
      <c r="AF190" s="111"/>
    </row>
    <row r="191" spans="1:32" ht="18" customHeight="1">
      <c r="A191" s="420" t="s">
        <v>280</v>
      </c>
      <c r="B191" s="5698" t="s">
        <v>123</v>
      </c>
      <c r="C191" s="5708" t="s">
        <v>661</v>
      </c>
      <c r="D191" s="5709"/>
      <c r="E191" s="5710"/>
      <c r="F191" s="5701" t="s">
        <v>661</v>
      </c>
      <c r="G191" s="5699"/>
      <c r="H191" s="5699"/>
      <c r="I191" s="5700"/>
      <c r="J191" s="5701" t="s">
        <v>661</v>
      </c>
      <c r="K191" s="5699"/>
      <c r="L191" s="5699"/>
      <c r="M191" s="5700"/>
      <c r="N191" s="5701" t="s">
        <v>662</v>
      </c>
      <c r="O191" s="5699"/>
      <c r="P191" s="5699"/>
      <c r="Q191" s="5700"/>
      <c r="R191" s="5701" t="s">
        <v>663</v>
      </c>
      <c r="S191" s="5699"/>
      <c r="T191" s="5699"/>
      <c r="U191" s="5702"/>
      <c r="V191" s="120"/>
      <c r="W191" s="111"/>
      <c r="X191" s="111"/>
      <c r="Y191" s="111"/>
      <c r="Z191" s="120"/>
      <c r="AA191" s="111"/>
      <c r="AB191" s="111"/>
      <c r="AC191" s="111"/>
      <c r="AD191" s="120"/>
      <c r="AE191" s="111"/>
      <c r="AF191" s="111"/>
    </row>
    <row r="192" spans="1:32" ht="18" customHeight="1">
      <c r="A192" s="111"/>
      <c r="B192" s="1335"/>
      <c r="C192" s="1336"/>
      <c r="D192" s="1336"/>
      <c r="E192" s="1335"/>
      <c r="F192" s="1337"/>
      <c r="G192" s="1336"/>
      <c r="H192" s="1335"/>
      <c r="I192" s="1335"/>
      <c r="J192" s="1337"/>
      <c r="K192" s="1336"/>
      <c r="L192" s="1335"/>
      <c r="M192" s="1335"/>
      <c r="N192" s="1337"/>
      <c r="O192" s="1336"/>
      <c r="P192" s="1335"/>
      <c r="Q192" s="1335"/>
      <c r="R192" s="1337"/>
      <c r="S192" s="1336"/>
      <c r="T192" s="1335"/>
      <c r="U192" s="1335"/>
      <c r="V192" s="111"/>
      <c r="W192" s="111"/>
      <c r="X192" s="111"/>
      <c r="Y192" s="111"/>
      <c r="Z192" s="120"/>
      <c r="AA192" s="111"/>
      <c r="AB192" s="111"/>
      <c r="AC192" s="111"/>
      <c r="AD192" s="120"/>
      <c r="AE192" s="111"/>
      <c r="AF192" s="111"/>
    </row>
    <row r="193" spans="1:31" ht="18" customHeight="1">
      <c r="A193" s="433" t="s">
        <v>613</v>
      </c>
      <c r="B193" s="435">
        <v>1</v>
      </c>
      <c r="C193" s="434">
        <v>2</v>
      </c>
      <c r="D193" s="434">
        <v>3</v>
      </c>
      <c r="E193" s="434">
        <v>4</v>
      </c>
      <c r="F193" s="434">
        <v>5</v>
      </c>
      <c r="G193" s="434">
        <v>6</v>
      </c>
      <c r="H193" s="435">
        <v>7</v>
      </c>
      <c r="I193" s="435">
        <v>8</v>
      </c>
      <c r="J193" s="435">
        <v>9</v>
      </c>
      <c r="K193" s="435">
        <v>10</v>
      </c>
      <c r="L193" s="434">
        <v>11</v>
      </c>
      <c r="M193" s="434">
        <v>12</v>
      </c>
      <c r="N193" s="435">
        <v>13</v>
      </c>
      <c r="O193" s="435">
        <v>14</v>
      </c>
      <c r="P193" s="435">
        <v>15</v>
      </c>
      <c r="Q193" s="435">
        <v>16</v>
      </c>
      <c r="R193" s="435">
        <v>17</v>
      </c>
      <c r="S193" s="434">
        <v>18</v>
      </c>
      <c r="T193" s="434">
        <v>19</v>
      </c>
      <c r="U193" s="435">
        <v>20</v>
      </c>
      <c r="V193" s="435">
        <v>21</v>
      </c>
      <c r="W193" s="435">
        <v>22</v>
      </c>
      <c r="X193" s="435">
        <v>23</v>
      </c>
      <c r="Y193" s="435">
        <v>24</v>
      </c>
      <c r="Z193" s="434">
        <v>25</v>
      </c>
      <c r="AA193" s="434">
        <v>26</v>
      </c>
      <c r="AB193" s="435">
        <v>27</v>
      </c>
      <c r="AC193" s="435">
        <v>28</v>
      </c>
      <c r="AD193" s="435">
        <v>29</v>
      </c>
      <c r="AE193" s="721">
        <v>30</v>
      </c>
    </row>
    <row r="194" spans="1:31" ht="18" customHeight="1">
      <c r="A194" s="814" t="s">
        <v>293</v>
      </c>
      <c r="B194" s="484" t="s">
        <v>152</v>
      </c>
      <c r="C194" s="484"/>
      <c r="D194" s="484"/>
      <c r="E194" s="484"/>
      <c r="F194" s="484"/>
      <c r="G194" s="484"/>
      <c r="H194" s="484" t="s">
        <v>152</v>
      </c>
      <c r="I194" s="484" t="s">
        <v>152</v>
      </c>
      <c r="J194" s="484" t="s">
        <v>152</v>
      </c>
      <c r="K194" s="484" t="s">
        <v>152</v>
      </c>
      <c r="L194" s="484"/>
      <c r="M194" s="484"/>
      <c r="N194" s="484" t="s">
        <v>152</v>
      </c>
      <c r="O194" s="484" t="s">
        <v>152</v>
      </c>
      <c r="P194" s="484" t="s">
        <v>152</v>
      </c>
      <c r="Q194" s="484" t="s">
        <v>152</v>
      </c>
      <c r="R194" s="484" t="s">
        <v>152</v>
      </c>
      <c r="S194" s="484"/>
      <c r="T194" s="484"/>
      <c r="U194" s="484" t="s">
        <v>152</v>
      </c>
      <c r="V194" s="484" t="s">
        <v>152</v>
      </c>
      <c r="W194" s="484" t="s">
        <v>152</v>
      </c>
      <c r="X194" s="484" t="s">
        <v>152</v>
      </c>
      <c r="Y194" s="484" t="s">
        <v>152</v>
      </c>
      <c r="Z194" s="484"/>
      <c r="AA194" s="484"/>
      <c r="AB194" s="484" t="s">
        <v>152</v>
      </c>
      <c r="AC194" s="484" t="s">
        <v>152</v>
      </c>
      <c r="AD194" s="484" t="s">
        <v>152</v>
      </c>
      <c r="AE194" s="715" t="s">
        <v>152</v>
      </c>
    </row>
    <row r="195" spans="1:31" ht="18" customHeight="1">
      <c r="A195" s="5711" t="s">
        <v>575</v>
      </c>
      <c r="B195" s="5673" t="s">
        <v>130</v>
      </c>
      <c r="C195" s="5673"/>
      <c r="D195" s="5673"/>
      <c r="E195" s="5673"/>
      <c r="F195" s="5673"/>
      <c r="G195" s="5673"/>
      <c r="H195" s="5712" t="s">
        <v>130</v>
      </c>
      <c r="I195" s="5712" t="s">
        <v>130</v>
      </c>
      <c r="J195" s="5712" t="s">
        <v>130</v>
      </c>
      <c r="K195" s="5712" t="s">
        <v>130</v>
      </c>
      <c r="L195" s="5712"/>
      <c r="M195" s="5712"/>
      <c r="N195" s="5712" t="s">
        <v>130</v>
      </c>
      <c r="O195" s="5712" t="s">
        <v>130</v>
      </c>
      <c r="P195" s="5712" t="s">
        <v>130</v>
      </c>
      <c r="Q195" s="5673" t="s">
        <v>130</v>
      </c>
      <c r="R195" s="5673" t="s">
        <v>130</v>
      </c>
      <c r="S195" s="5673"/>
      <c r="T195" s="5673"/>
      <c r="U195" s="5673" t="s">
        <v>130</v>
      </c>
      <c r="V195" s="5673" t="s">
        <v>130</v>
      </c>
      <c r="W195" s="5673" t="s">
        <v>130</v>
      </c>
      <c r="X195" s="5673" t="s">
        <v>130</v>
      </c>
      <c r="Y195" s="5673" t="s">
        <v>130</v>
      </c>
      <c r="Z195" s="5673"/>
      <c r="AA195" s="5673"/>
      <c r="AB195" s="5673" t="s">
        <v>130</v>
      </c>
      <c r="AC195" s="5673" t="s">
        <v>130</v>
      </c>
      <c r="AD195" s="5673" t="s">
        <v>130</v>
      </c>
      <c r="AE195" s="5713" t="s">
        <v>130</v>
      </c>
    </row>
    <row r="196" spans="1:31" ht="18" customHeight="1">
      <c r="A196" s="5714" t="s">
        <v>295</v>
      </c>
      <c r="B196" s="5602" t="s">
        <v>153</v>
      </c>
      <c r="C196" s="5602"/>
      <c r="D196" s="5602"/>
      <c r="E196" s="5602"/>
      <c r="F196" s="5602"/>
      <c r="G196" s="5602"/>
      <c r="H196" s="5602" t="s">
        <v>153</v>
      </c>
      <c r="I196" s="5602" t="s">
        <v>153</v>
      </c>
      <c r="J196" s="5602" t="s">
        <v>153</v>
      </c>
      <c r="K196" s="5602" t="s">
        <v>153</v>
      </c>
      <c r="L196" s="5602"/>
      <c r="M196" s="5602"/>
      <c r="N196" s="5602" t="s">
        <v>153</v>
      </c>
      <c r="O196" s="5602" t="s">
        <v>153</v>
      </c>
      <c r="P196" s="5602" t="s">
        <v>153</v>
      </c>
      <c r="Q196" s="5602" t="s">
        <v>153</v>
      </c>
      <c r="R196" s="5602" t="s">
        <v>153</v>
      </c>
      <c r="S196" s="5602"/>
      <c r="T196" s="5602"/>
      <c r="U196" s="5602" t="s">
        <v>153</v>
      </c>
      <c r="V196" s="5602" t="s">
        <v>153</v>
      </c>
      <c r="W196" s="5602" t="s">
        <v>153</v>
      </c>
      <c r="X196" s="5602" t="s">
        <v>153</v>
      </c>
      <c r="Y196" s="5602" t="s">
        <v>153</v>
      </c>
      <c r="Z196" s="5602"/>
      <c r="AA196" s="5602"/>
      <c r="AB196" s="5602" t="s">
        <v>153</v>
      </c>
      <c r="AC196" s="5602" t="s">
        <v>153</v>
      </c>
      <c r="AD196" s="5602" t="s">
        <v>153</v>
      </c>
      <c r="AE196" s="5603" t="s">
        <v>153</v>
      </c>
    </row>
    <row r="197" spans="1:31" ht="18" customHeight="1">
      <c r="A197" s="5715" t="s">
        <v>553</v>
      </c>
      <c r="B197" s="5602" t="s">
        <v>128</v>
      </c>
      <c r="C197" s="5602"/>
      <c r="D197" s="5602"/>
      <c r="E197" s="5602"/>
      <c r="F197" s="5602"/>
      <c r="G197" s="5602"/>
      <c r="H197" s="5602" t="s">
        <v>128</v>
      </c>
      <c r="I197" s="5602" t="s">
        <v>128</v>
      </c>
      <c r="J197" s="5602" t="s">
        <v>128</v>
      </c>
      <c r="K197" s="5602" t="s">
        <v>128</v>
      </c>
      <c r="L197" s="5602"/>
      <c r="M197" s="5602"/>
      <c r="N197" s="5602" t="s">
        <v>128</v>
      </c>
      <c r="O197" s="5602" t="s">
        <v>128</v>
      </c>
      <c r="P197" s="5602" t="s">
        <v>128</v>
      </c>
      <c r="Q197" s="5602" t="s">
        <v>128</v>
      </c>
      <c r="R197" s="5602" t="s">
        <v>128</v>
      </c>
      <c r="S197" s="5602"/>
      <c r="T197" s="5602"/>
      <c r="U197" s="5602" t="s">
        <v>128</v>
      </c>
      <c r="V197" s="5602" t="s">
        <v>128</v>
      </c>
      <c r="W197" s="5602" t="s">
        <v>128</v>
      </c>
      <c r="X197" s="5602" t="s">
        <v>128</v>
      </c>
      <c r="Y197" s="5602" t="s">
        <v>128</v>
      </c>
      <c r="Z197" s="5602"/>
      <c r="AA197" s="5602"/>
      <c r="AB197" s="5602" t="s">
        <v>128</v>
      </c>
      <c r="AC197" s="5602" t="s">
        <v>128</v>
      </c>
      <c r="AD197" s="5602" t="s">
        <v>128</v>
      </c>
      <c r="AE197" s="5603" t="s">
        <v>128</v>
      </c>
    </row>
    <row r="198" spans="1:31" ht="18" customHeight="1">
      <c r="A198" s="5716" t="s">
        <v>298</v>
      </c>
      <c r="B198" s="5602" t="s">
        <v>127</v>
      </c>
      <c r="C198" s="5602"/>
      <c r="D198" s="5602"/>
      <c r="E198" s="5602"/>
      <c r="F198" s="5602"/>
      <c r="G198" s="5602"/>
      <c r="H198" s="5602" t="s">
        <v>127</v>
      </c>
      <c r="I198" s="5602" t="s">
        <v>127</v>
      </c>
      <c r="J198" s="5602" t="s">
        <v>127</v>
      </c>
      <c r="K198" s="5602" t="s">
        <v>127</v>
      </c>
      <c r="L198" s="5602"/>
      <c r="M198" s="5602"/>
      <c r="N198" s="5602" t="s">
        <v>127</v>
      </c>
      <c r="O198" s="5602" t="s">
        <v>127</v>
      </c>
      <c r="P198" s="5602" t="s">
        <v>127</v>
      </c>
      <c r="Q198" s="5602" t="s">
        <v>127</v>
      </c>
      <c r="R198" s="5602" t="s">
        <v>127</v>
      </c>
      <c r="S198" s="5602"/>
      <c r="T198" s="5602"/>
      <c r="U198" s="5602" t="s">
        <v>127</v>
      </c>
      <c r="V198" s="5602" t="s">
        <v>127</v>
      </c>
      <c r="W198" s="5602" t="s">
        <v>127</v>
      </c>
      <c r="X198" s="5602" t="s">
        <v>127</v>
      </c>
      <c r="Y198" s="5602" t="s">
        <v>127</v>
      </c>
      <c r="Z198" s="5602"/>
      <c r="AA198" s="5602"/>
      <c r="AB198" s="5602" t="s">
        <v>127</v>
      </c>
      <c r="AC198" s="5602" t="s">
        <v>127</v>
      </c>
      <c r="AD198" s="5602" t="s">
        <v>127</v>
      </c>
      <c r="AE198" s="5603" t="s">
        <v>127</v>
      </c>
    </row>
    <row r="199" spans="1:31" ht="18" customHeight="1">
      <c r="A199" s="5717" t="s">
        <v>299</v>
      </c>
      <c r="B199" s="5602" t="s">
        <v>123</v>
      </c>
      <c r="C199" s="5602"/>
      <c r="D199" s="5602"/>
      <c r="E199" s="5602"/>
      <c r="F199" s="5602"/>
      <c r="G199" s="5602"/>
      <c r="H199" s="5602" t="s">
        <v>123</v>
      </c>
      <c r="I199" s="5602" t="s">
        <v>123</v>
      </c>
      <c r="J199" s="5602" t="s">
        <v>123</v>
      </c>
      <c r="K199" s="5602" t="s">
        <v>123</v>
      </c>
      <c r="L199" s="5602"/>
      <c r="M199" s="5602"/>
      <c r="N199" s="5602" t="s">
        <v>123</v>
      </c>
      <c r="O199" s="5602" t="s">
        <v>123</v>
      </c>
      <c r="P199" s="5602" t="s">
        <v>123</v>
      </c>
      <c r="Q199" s="5602" t="s">
        <v>123</v>
      </c>
      <c r="R199" s="5602" t="s">
        <v>123</v>
      </c>
      <c r="S199" s="5602"/>
      <c r="T199" s="5602"/>
      <c r="U199" s="5602" t="s">
        <v>123</v>
      </c>
      <c r="V199" s="5602" t="s">
        <v>123</v>
      </c>
      <c r="W199" s="5602" t="s">
        <v>123</v>
      </c>
      <c r="X199" s="5602" t="s">
        <v>123</v>
      </c>
      <c r="Y199" s="5602" t="s">
        <v>123</v>
      </c>
      <c r="Z199" s="5602"/>
      <c r="AA199" s="5602"/>
      <c r="AB199" s="5602" t="s">
        <v>123</v>
      </c>
      <c r="AC199" s="5602" t="s">
        <v>123</v>
      </c>
      <c r="AD199" s="5602" t="s">
        <v>123</v>
      </c>
      <c r="AE199" s="5603" t="s">
        <v>123</v>
      </c>
    </row>
    <row r="200" spans="1:31" ht="18" customHeight="1" thickBot="1">
      <c r="A200" s="432" t="s">
        <v>300</v>
      </c>
      <c r="B200" s="5682" t="s">
        <v>116</v>
      </c>
      <c r="C200" s="5682"/>
      <c r="D200" s="5682"/>
      <c r="E200" s="5682"/>
      <c r="F200" s="5682"/>
      <c r="G200" s="5682"/>
      <c r="H200" s="5682" t="s">
        <v>116</v>
      </c>
      <c r="I200" s="5682" t="s">
        <v>116</v>
      </c>
      <c r="J200" s="5682" t="s">
        <v>116</v>
      </c>
      <c r="K200" s="5682" t="s">
        <v>116</v>
      </c>
      <c r="L200" s="5682"/>
      <c r="M200" s="5682"/>
      <c r="N200" s="5682" t="s">
        <v>116</v>
      </c>
      <c r="O200" s="5682" t="s">
        <v>116</v>
      </c>
      <c r="P200" s="5682" t="s">
        <v>116</v>
      </c>
      <c r="Q200" s="5682" t="s">
        <v>116</v>
      </c>
      <c r="R200" s="5682" t="s">
        <v>116</v>
      </c>
      <c r="S200" s="5682"/>
      <c r="T200" s="5682"/>
      <c r="U200" s="5682" t="s">
        <v>116</v>
      </c>
      <c r="V200" s="5682" t="s">
        <v>116</v>
      </c>
      <c r="W200" s="5682" t="s">
        <v>116</v>
      </c>
      <c r="X200" s="5682" t="s">
        <v>116</v>
      </c>
      <c r="Y200" s="5682" t="s">
        <v>116</v>
      </c>
      <c r="Z200" s="5682"/>
      <c r="AA200" s="5682"/>
      <c r="AB200" s="5682" t="s">
        <v>116</v>
      </c>
      <c r="AC200" s="5682" t="s">
        <v>116</v>
      </c>
      <c r="AD200" s="5682" t="s">
        <v>116</v>
      </c>
      <c r="AE200" s="670" t="s">
        <v>116</v>
      </c>
    </row>
    <row r="201" spans="1:31" ht="18" customHeight="1" thickBot="1">
      <c r="A201" s="125"/>
      <c r="B201" s="124"/>
      <c r="C201" s="124"/>
      <c r="D201" s="124"/>
      <c r="E201" s="124"/>
      <c r="F201" s="124"/>
      <c r="G201" s="124"/>
      <c r="H201" s="124"/>
      <c r="I201" s="124"/>
      <c r="J201" s="124"/>
      <c r="K201" s="124"/>
      <c r="L201" s="124"/>
      <c r="M201" s="124"/>
      <c r="N201" s="124"/>
      <c r="O201" s="124"/>
      <c r="P201" s="124"/>
      <c r="Q201" s="124"/>
      <c r="R201" s="124"/>
      <c r="S201" s="124"/>
      <c r="T201" s="124"/>
      <c r="U201" s="124"/>
      <c r="V201" s="124"/>
      <c r="W201" s="124"/>
      <c r="X201" s="124"/>
      <c r="Y201" s="124"/>
      <c r="Z201" s="124"/>
      <c r="AA201" s="124"/>
      <c r="AB201" s="124"/>
      <c r="AC201" s="124"/>
      <c r="AD201" s="124"/>
      <c r="AE201" s="124"/>
    </row>
    <row r="202" spans="1:31" ht="18" customHeight="1">
      <c r="A202" s="2908" t="s">
        <v>615</v>
      </c>
      <c r="B202" s="2765"/>
      <c r="C202" s="2788" t="s">
        <v>19</v>
      </c>
      <c r="D202" s="3064"/>
      <c r="E202" s="2769"/>
      <c r="F202" s="2765"/>
      <c r="G202" s="2788" t="s">
        <v>20</v>
      </c>
      <c r="H202" s="3064"/>
      <c r="I202" s="2769"/>
      <c r="J202" s="2765"/>
      <c r="K202" s="2788" t="s">
        <v>21</v>
      </c>
      <c r="L202" s="3064"/>
      <c r="M202" s="2769"/>
      <c r="N202" s="2765"/>
      <c r="O202" s="2788" t="s">
        <v>22</v>
      </c>
      <c r="P202" s="3064"/>
      <c r="Q202" s="2769"/>
      <c r="R202" s="2765"/>
      <c r="S202" s="2788" t="s">
        <v>23</v>
      </c>
      <c r="T202" s="3064"/>
      <c r="U202" s="2769"/>
      <c r="V202" s="2765"/>
      <c r="W202" s="2788" t="s">
        <v>24</v>
      </c>
      <c r="X202" s="3064"/>
      <c r="Y202" s="2769"/>
      <c r="Z202" s="2765"/>
      <c r="AA202" s="2788" t="s">
        <v>25</v>
      </c>
      <c r="AB202" s="3064"/>
      <c r="AC202" s="3064"/>
      <c r="AD202" s="2791"/>
      <c r="AE202" s="3064"/>
    </row>
    <row r="203" spans="1:31" ht="18" customHeight="1">
      <c r="A203" s="5718" t="s">
        <v>210</v>
      </c>
      <c r="B203" s="543" t="s">
        <v>332</v>
      </c>
      <c r="C203" s="539"/>
      <c r="D203" s="544"/>
      <c r="E203" s="545"/>
      <c r="F203" s="543" t="s">
        <v>332</v>
      </c>
      <c r="G203" s="539"/>
      <c r="H203" s="544"/>
      <c r="I203" s="545"/>
      <c r="J203" s="543" t="s">
        <v>332</v>
      </c>
      <c r="K203" s="539"/>
      <c r="L203" s="544"/>
      <c r="M203" s="545"/>
      <c r="N203" s="543" t="s">
        <v>332</v>
      </c>
      <c r="O203" s="546"/>
      <c r="P203" s="544"/>
      <c r="Q203" s="545"/>
      <c r="R203" s="547" t="s">
        <v>333</v>
      </c>
      <c r="S203" s="539"/>
      <c r="T203" s="544"/>
      <c r="U203" s="545"/>
      <c r="V203" s="541"/>
      <c r="W203" s="539"/>
      <c r="X203" s="531"/>
      <c r="Y203" s="540"/>
      <c r="Z203" s="541"/>
      <c r="AA203" s="539"/>
      <c r="AB203" s="531"/>
      <c r="AC203" s="531"/>
      <c r="AD203" s="542"/>
      <c r="AE203" s="531"/>
    </row>
    <row r="204" spans="1:31" ht="18" customHeight="1">
      <c r="A204" s="5718" t="s">
        <v>212</v>
      </c>
      <c r="B204" s="543" t="s">
        <v>334</v>
      </c>
      <c r="C204" s="539"/>
      <c r="D204" s="544"/>
      <c r="E204" s="545"/>
      <c r="F204" s="543" t="s">
        <v>334</v>
      </c>
      <c r="G204" s="539"/>
      <c r="H204" s="544"/>
      <c r="I204" s="545"/>
      <c r="J204" s="543" t="s">
        <v>334</v>
      </c>
      <c r="K204" s="539"/>
      <c r="L204" s="544"/>
      <c r="M204" s="545"/>
      <c r="N204" s="543" t="s">
        <v>334</v>
      </c>
      <c r="O204" s="539"/>
      <c r="P204" s="544"/>
      <c r="Q204" s="545"/>
      <c r="R204" s="543" t="s">
        <v>335</v>
      </c>
      <c r="S204" s="539"/>
      <c r="T204" s="544"/>
      <c r="U204" s="545"/>
      <c r="V204" s="541"/>
      <c r="W204" s="539"/>
      <c r="X204" s="531"/>
      <c r="Y204" s="540"/>
      <c r="Z204" s="541"/>
      <c r="AA204" s="539"/>
      <c r="AB204" s="531"/>
      <c r="AC204" s="531"/>
      <c r="AD204" s="542"/>
      <c r="AE204" s="531"/>
    </row>
    <row r="205" spans="1:31" ht="18" customHeight="1" thickBot="1">
      <c r="A205" s="5719" t="s">
        <v>336</v>
      </c>
      <c r="B205" s="5683" t="s">
        <v>334</v>
      </c>
      <c r="C205" s="5720"/>
      <c r="D205" s="544"/>
      <c r="E205" s="545"/>
      <c r="F205" s="5683" t="s">
        <v>334</v>
      </c>
      <c r="G205" s="5720"/>
      <c r="H205" s="544"/>
      <c r="I205" s="545"/>
      <c r="J205" s="5683" t="s">
        <v>334</v>
      </c>
      <c r="K205" s="5720"/>
      <c r="L205" s="544"/>
      <c r="M205" s="545"/>
      <c r="N205" s="5683" t="s">
        <v>334</v>
      </c>
      <c r="O205" s="5720"/>
      <c r="P205" s="544"/>
      <c r="Q205" s="545"/>
      <c r="R205" s="5683" t="s">
        <v>335</v>
      </c>
      <c r="S205" s="539"/>
      <c r="T205" s="544"/>
      <c r="U205" s="545"/>
      <c r="V205" s="541"/>
      <c r="W205" s="539"/>
      <c r="X205" s="531"/>
      <c r="Y205" s="540"/>
      <c r="Z205" s="541"/>
      <c r="AA205" s="539"/>
      <c r="AB205" s="531"/>
      <c r="AC205" s="531"/>
      <c r="AD205" s="542"/>
      <c r="AE205" s="531"/>
    </row>
    <row r="206" spans="1:31" ht="18" customHeight="1" thickBot="1">
      <c r="A206" s="37"/>
      <c r="B206" s="42"/>
      <c r="C206" s="5"/>
      <c r="F206" s="42"/>
      <c r="G206" s="5"/>
      <c r="J206" s="42"/>
      <c r="K206" s="5"/>
      <c r="N206" s="42"/>
      <c r="O206" s="5"/>
      <c r="R206" s="42"/>
      <c r="S206" s="42"/>
      <c r="W206" s="42"/>
      <c r="AA206" s="42"/>
      <c r="AD206" s="42"/>
    </row>
    <row r="207" spans="1:31" ht="18" customHeight="1" thickBot="1">
      <c r="A207" s="647" t="s">
        <v>615</v>
      </c>
      <c r="B207" s="865">
        <v>1</v>
      </c>
      <c r="C207" s="866">
        <v>2</v>
      </c>
      <c r="D207" s="866">
        <v>3</v>
      </c>
      <c r="E207" s="866">
        <v>4</v>
      </c>
      <c r="F207" s="866">
        <v>5</v>
      </c>
      <c r="G207" s="866">
        <v>6</v>
      </c>
      <c r="H207" s="865">
        <v>7</v>
      </c>
      <c r="I207" s="865">
        <v>8</v>
      </c>
      <c r="J207" s="865">
        <v>9</v>
      </c>
      <c r="K207" s="865">
        <v>10</v>
      </c>
      <c r="L207" s="866">
        <v>11</v>
      </c>
      <c r="M207" s="866">
        <v>12</v>
      </c>
      <c r="N207" s="865">
        <v>13</v>
      </c>
      <c r="O207" s="865">
        <v>14</v>
      </c>
      <c r="P207" s="865">
        <v>15</v>
      </c>
      <c r="Q207" s="865">
        <v>16</v>
      </c>
      <c r="R207" s="865">
        <v>17</v>
      </c>
      <c r="S207" s="866">
        <v>18</v>
      </c>
      <c r="T207" s="866">
        <v>19</v>
      </c>
      <c r="U207" s="865">
        <v>20</v>
      </c>
      <c r="V207" s="865">
        <v>21</v>
      </c>
      <c r="W207" s="865">
        <v>22</v>
      </c>
      <c r="X207" s="865">
        <v>23</v>
      </c>
      <c r="Y207" s="865">
        <v>24</v>
      </c>
      <c r="Z207" s="866">
        <v>25</v>
      </c>
      <c r="AA207" s="866">
        <v>26</v>
      </c>
      <c r="AB207" s="865">
        <v>27</v>
      </c>
      <c r="AC207" s="865">
        <v>28</v>
      </c>
      <c r="AD207" s="865">
        <v>29</v>
      </c>
      <c r="AE207" s="867">
        <v>30</v>
      </c>
    </row>
    <row r="208" spans="1:31" ht="18" customHeight="1">
      <c r="A208" s="4744" t="s">
        <v>338</v>
      </c>
      <c r="B208" s="5536" t="s">
        <v>40</v>
      </c>
      <c r="C208" s="5523"/>
      <c r="D208" s="5523"/>
      <c r="E208" s="5544"/>
      <c r="F208" s="5544"/>
      <c r="G208" s="5544"/>
      <c r="H208" s="5544" t="s">
        <v>40</v>
      </c>
      <c r="I208" s="5544" t="s">
        <v>40</v>
      </c>
      <c r="J208" s="5544" t="s">
        <v>40</v>
      </c>
      <c r="K208" s="5544" t="s">
        <v>40</v>
      </c>
      <c r="L208" s="5544"/>
      <c r="M208" s="5523"/>
      <c r="N208" s="5523" t="s">
        <v>40</v>
      </c>
      <c r="O208" s="5544" t="s">
        <v>40</v>
      </c>
      <c r="P208" s="5544" t="s">
        <v>40</v>
      </c>
      <c r="Q208" s="5544" t="s">
        <v>40</v>
      </c>
      <c r="R208" s="5544" t="s">
        <v>40</v>
      </c>
      <c r="S208" s="5544"/>
      <c r="T208" s="5544"/>
      <c r="U208" s="5544" t="s">
        <v>40</v>
      </c>
      <c r="V208" s="5536" t="s">
        <v>40</v>
      </c>
      <c r="W208" s="5536" t="s">
        <v>40</v>
      </c>
      <c r="X208" s="5523" t="s">
        <v>40</v>
      </c>
      <c r="Y208" s="5523" t="s">
        <v>40</v>
      </c>
      <c r="Z208" s="5544"/>
      <c r="AA208" s="5544"/>
      <c r="AB208" s="5544" t="s">
        <v>40</v>
      </c>
      <c r="AC208" s="5544" t="s">
        <v>40</v>
      </c>
      <c r="AD208" s="5544" t="s">
        <v>40</v>
      </c>
      <c r="AE208" s="5575" t="s">
        <v>40</v>
      </c>
    </row>
    <row r="209" spans="1:31" ht="18" customHeight="1">
      <c r="A209" s="5721" t="s">
        <v>339</v>
      </c>
      <c r="B209" s="5722"/>
      <c r="C209" s="5722"/>
      <c r="D209" s="5722"/>
      <c r="E209" s="5722"/>
      <c r="F209" s="5722"/>
      <c r="G209" s="5722"/>
      <c r="H209" s="5722"/>
      <c r="I209" s="5722"/>
      <c r="J209" s="5722"/>
      <c r="K209" s="5722"/>
      <c r="L209" s="5722"/>
      <c r="M209" s="5722"/>
      <c r="N209" s="5722"/>
      <c r="O209" s="5722"/>
      <c r="P209" s="5722"/>
      <c r="Q209" s="5722"/>
      <c r="R209" s="5722"/>
      <c r="S209" s="5722"/>
      <c r="T209" s="5722"/>
      <c r="U209" s="5722"/>
      <c r="V209" s="5722"/>
      <c r="W209" s="5722"/>
      <c r="X209" s="5722"/>
      <c r="Y209" s="5722"/>
      <c r="Z209" s="5722"/>
      <c r="AA209" s="5722"/>
      <c r="AB209" s="5722"/>
      <c r="AC209" s="5722"/>
      <c r="AD209" s="5722"/>
      <c r="AE209" s="5723"/>
    </row>
    <row r="210" spans="1:31" ht="18" customHeight="1">
      <c r="A210" s="5520" t="s">
        <v>340</v>
      </c>
      <c r="B210" s="5544" t="s">
        <v>341</v>
      </c>
      <c r="C210" s="5544"/>
      <c r="D210" s="5544"/>
      <c r="E210" s="5544"/>
      <c r="F210" s="5523"/>
      <c r="G210" s="5523"/>
      <c r="H210" s="5544" t="s">
        <v>341</v>
      </c>
      <c r="I210" s="5544" t="s">
        <v>341</v>
      </c>
      <c r="J210" s="5544" t="s">
        <v>341</v>
      </c>
      <c r="K210" s="5544" t="s">
        <v>341</v>
      </c>
      <c r="L210" s="5544"/>
      <c r="M210" s="5523"/>
      <c r="N210" s="5523" t="s">
        <v>341</v>
      </c>
      <c r="O210" s="5544" t="s">
        <v>341</v>
      </c>
      <c r="P210" s="5544" t="s">
        <v>341</v>
      </c>
      <c r="Q210" s="5544" t="s">
        <v>341</v>
      </c>
      <c r="R210" s="5544" t="s">
        <v>341</v>
      </c>
      <c r="S210" s="5544"/>
      <c r="T210" s="5523"/>
      <c r="U210" s="5523" t="s">
        <v>341</v>
      </c>
      <c r="V210" s="5544" t="s">
        <v>341</v>
      </c>
      <c r="W210" s="5544" t="s">
        <v>341</v>
      </c>
      <c r="X210" s="5544" t="s">
        <v>341</v>
      </c>
      <c r="Y210" s="5544" t="s">
        <v>341</v>
      </c>
      <c r="Z210" s="5544"/>
      <c r="AA210" s="5523"/>
      <c r="AB210" s="5523" t="s">
        <v>341</v>
      </c>
      <c r="AC210" s="5544" t="s">
        <v>341</v>
      </c>
      <c r="AD210" s="5544" t="s">
        <v>341</v>
      </c>
      <c r="AE210" s="5575" t="s">
        <v>341</v>
      </c>
    </row>
    <row r="211" spans="1:31" ht="18" customHeight="1">
      <c r="A211" s="5520" t="s">
        <v>343</v>
      </c>
      <c r="B211" s="5544" t="s">
        <v>342</v>
      </c>
      <c r="C211" s="5544"/>
      <c r="D211" s="5544"/>
      <c r="E211" s="5544"/>
      <c r="F211" s="5544"/>
      <c r="G211" s="5544"/>
      <c r="H211" s="5544" t="s">
        <v>342</v>
      </c>
      <c r="I211" s="5544" t="s">
        <v>342</v>
      </c>
      <c r="J211" s="5544" t="s">
        <v>342</v>
      </c>
      <c r="K211" s="5544" t="s">
        <v>342</v>
      </c>
      <c r="L211" s="5544"/>
      <c r="M211" s="5544"/>
      <c r="N211" s="5544" t="s">
        <v>342</v>
      </c>
      <c r="O211" s="5544" t="s">
        <v>342</v>
      </c>
      <c r="P211" s="5544" t="s">
        <v>342</v>
      </c>
      <c r="Q211" s="5544" t="s">
        <v>342</v>
      </c>
      <c r="R211" s="5544" t="s">
        <v>342</v>
      </c>
      <c r="S211" s="5544"/>
      <c r="T211" s="5544"/>
      <c r="U211" s="5544" t="s">
        <v>342</v>
      </c>
      <c r="V211" s="5544" t="s">
        <v>342</v>
      </c>
      <c r="W211" s="5544" t="s">
        <v>342</v>
      </c>
      <c r="X211" s="5544" t="s">
        <v>342</v>
      </c>
      <c r="Y211" s="5544" t="s">
        <v>342</v>
      </c>
      <c r="Z211" s="5544"/>
      <c r="AA211" s="5544"/>
      <c r="AB211" s="5544" t="s">
        <v>342</v>
      </c>
      <c r="AC211" s="5544" t="s">
        <v>342</v>
      </c>
      <c r="AD211" s="5544" t="s">
        <v>342</v>
      </c>
      <c r="AE211" s="5575" t="s">
        <v>342</v>
      </c>
    </row>
    <row r="212" spans="1:31" ht="18" customHeight="1" thickBot="1">
      <c r="A212" s="5604"/>
      <c r="B212" s="5581" t="s">
        <v>346</v>
      </c>
      <c r="C212" s="5581"/>
      <c r="D212" s="5581"/>
      <c r="E212" s="5584"/>
      <c r="F212" s="5584"/>
      <c r="G212" s="5584"/>
      <c r="H212" s="5581" t="s">
        <v>346</v>
      </c>
      <c r="I212" s="5581" t="s">
        <v>346</v>
      </c>
      <c r="J212" s="5581" t="s">
        <v>346</v>
      </c>
      <c r="K212" s="5581" t="s">
        <v>346</v>
      </c>
      <c r="L212" s="5581"/>
      <c r="M212" s="5584"/>
      <c r="N212" s="5584" t="s">
        <v>346</v>
      </c>
      <c r="O212" s="5581" t="s">
        <v>346</v>
      </c>
      <c r="P212" s="5581" t="s">
        <v>346</v>
      </c>
      <c r="Q212" s="5581" t="s">
        <v>346</v>
      </c>
      <c r="R212" s="5581" t="s">
        <v>346</v>
      </c>
      <c r="S212" s="5581"/>
      <c r="T212" s="5584"/>
      <c r="U212" s="5584" t="s">
        <v>346</v>
      </c>
      <c r="V212" s="5581" t="s">
        <v>346</v>
      </c>
      <c r="W212" s="5581" t="s">
        <v>346</v>
      </c>
      <c r="X212" s="5581" t="s">
        <v>346</v>
      </c>
      <c r="Y212" s="5581" t="s">
        <v>346</v>
      </c>
      <c r="Z212" s="5581"/>
      <c r="AA212" s="5584"/>
      <c r="AB212" s="5584" t="s">
        <v>346</v>
      </c>
      <c r="AC212" s="5581" t="s">
        <v>346</v>
      </c>
      <c r="AD212" s="5581" t="s">
        <v>346</v>
      </c>
      <c r="AE212" s="5724" t="s">
        <v>346</v>
      </c>
    </row>
    <row r="213" spans="1:31" ht="18" customHeight="1" thickBot="1">
      <c r="B213" s="108"/>
      <c r="C213" s="108"/>
      <c r="D213" s="108"/>
      <c r="E213" s="108"/>
      <c r="F213" s="108"/>
      <c r="G213" s="108"/>
      <c r="H213" s="108"/>
      <c r="I213" s="108"/>
      <c r="J213" s="108"/>
      <c r="K213" s="108"/>
      <c r="L213" s="108"/>
      <c r="M213" s="108"/>
      <c r="N213" s="108"/>
      <c r="O213" s="108"/>
      <c r="P213" s="108"/>
      <c r="Q213" s="108"/>
      <c r="R213" s="108"/>
      <c r="S213" s="108"/>
      <c r="T213" s="108"/>
      <c r="U213" s="108"/>
      <c r="V213" s="108"/>
      <c r="W213" s="108"/>
      <c r="X213" s="108"/>
      <c r="Y213" s="108"/>
      <c r="Z213" s="108"/>
      <c r="AA213" s="108"/>
      <c r="AB213" s="108"/>
      <c r="AC213" s="108"/>
      <c r="AD213" s="108"/>
      <c r="AE213" s="108"/>
    </row>
    <row r="214" spans="1:31" ht="15.75" thickBot="1">
      <c r="A214" s="989" t="s">
        <v>614</v>
      </c>
      <c r="B214" s="872">
        <v>1</v>
      </c>
      <c r="C214" s="873">
        <v>2</v>
      </c>
      <c r="D214" s="873">
        <v>3</v>
      </c>
      <c r="E214" s="873">
        <v>4</v>
      </c>
      <c r="F214" s="873">
        <v>5</v>
      </c>
      <c r="G214" s="873">
        <v>6</v>
      </c>
      <c r="H214" s="872">
        <v>7</v>
      </c>
      <c r="I214" s="872">
        <v>8</v>
      </c>
      <c r="J214" s="872">
        <v>9</v>
      </c>
      <c r="K214" s="872">
        <v>10</v>
      </c>
      <c r="L214" s="873">
        <v>11</v>
      </c>
      <c r="M214" s="873">
        <v>12</v>
      </c>
      <c r="N214" s="872">
        <v>13</v>
      </c>
      <c r="O214" s="872">
        <v>14</v>
      </c>
      <c r="P214" s="872">
        <v>15</v>
      </c>
      <c r="Q214" s="872">
        <v>16</v>
      </c>
      <c r="R214" s="872">
        <v>17</v>
      </c>
      <c r="S214" s="873">
        <v>18</v>
      </c>
      <c r="T214" s="873">
        <v>19</v>
      </c>
      <c r="U214" s="872">
        <v>20</v>
      </c>
      <c r="V214" s="872">
        <v>21</v>
      </c>
      <c r="W214" s="872">
        <v>22</v>
      </c>
      <c r="X214" s="872">
        <v>23</v>
      </c>
      <c r="Y214" s="872">
        <v>24</v>
      </c>
      <c r="Z214" s="873">
        <v>25</v>
      </c>
      <c r="AA214" s="873">
        <v>26</v>
      </c>
      <c r="AB214" s="872">
        <v>27</v>
      </c>
      <c r="AC214" s="872">
        <v>28</v>
      </c>
      <c r="AD214" s="872">
        <v>29</v>
      </c>
      <c r="AE214" s="874">
        <v>30</v>
      </c>
    </row>
    <row r="215" spans="1:31">
      <c r="A215" s="1513"/>
      <c r="B215" s="5725" t="s">
        <v>40</v>
      </c>
      <c r="C215" s="5726"/>
      <c r="D215" s="5726"/>
      <c r="E215" s="5726"/>
      <c r="F215" s="5726"/>
      <c r="G215" s="5726"/>
      <c r="H215" s="5725" t="s">
        <v>40</v>
      </c>
      <c r="I215" s="5725" t="s">
        <v>40</v>
      </c>
      <c r="J215" s="5725" t="s">
        <v>40</v>
      </c>
      <c r="K215" s="5726" t="s">
        <v>40</v>
      </c>
      <c r="L215" s="5726"/>
      <c r="M215" s="5726"/>
      <c r="N215" s="5726" t="s">
        <v>40</v>
      </c>
      <c r="O215" s="5726" t="s">
        <v>40</v>
      </c>
      <c r="P215" s="5726" t="s">
        <v>40</v>
      </c>
      <c r="Q215" s="5726" t="s">
        <v>40</v>
      </c>
      <c r="R215" s="5726" t="s">
        <v>40</v>
      </c>
      <c r="S215" s="5726"/>
      <c r="T215" s="5726"/>
      <c r="U215" s="5712" t="s">
        <v>40</v>
      </c>
      <c r="V215" s="5726" t="s">
        <v>40</v>
      </c>
      <c r="W215" s="5726" t="s">
        <v>40</v>
      </c>
      <c r="X215" s="5726" t="s">
        <v>40</v>
      </c>
      <c r="Y215" s="5726" t="s">
        <v>40</v>
      </c>
      <c r="Z215" s="5726"/>
      <c r="AA215" s="5726"/>
      <c r="AB215" s="5726" t="s">
        <v>40</v>
      </c>
      <c r="AC215" s="5726" t="s">
        <v>40</v>
      </c>
      <c r="AD215" s="5726" t="s">
        <v>40</v>
      </c>
      <c r="AE215" s="5727" t="s">
        <v>40</v>
      </c>
    </row>
    <row r="216" spans="1:31" ht="12.75">
      <c r="A216" s="5728" t="s">
        <v>312</v>
      </c>
      <c r="B216" s="5729"/>
      <c r="C216" s="5730"/>
      <c r="D216" s="5730"/>
      <c r="E216" s="5730"/>
      <c r="F216" s="5730"/>
      <c r="G216" s="5730"/>
      <c r="H216" s="5729"/>
      <c r="I216" s="5729"/>
      <c r="J216" s="5729"/>
      <c r="K216" s="5730"/>
      <c r="L216" s="5730"/>
      <c r="M216" s="5730"/>
      <c r="N216" s="5730"/>
      <c r="O216" s="5730"/>
      <c r="P216" s="5730"/>
      <c r="Q216" s="5730"/>
      <c r="R216" s="5730"/>
      <c r="S216" s="5730"/>
      <c r="T216" s="5730"/>
      <c r="U216" s="5731"/>
      <c r="V216" s="5730"/>
      <c r="W216" s="5730"/>
      <c r="X216" s="5730"/>
      <c r="Y216" s="5730"/>
      <c r="Z216" s="5730"/>
      <c r="AA216" s="5730"/>
      <c r="AB216" s="5730"/>
      <c r="AC216" s="5730"/>
      <c r="AD216" s="5730"/>
      <c r="AE216" s="5732"/>
    </row>
    <row r="217" spans="1:31" ht="17.25" customHeight="1">
      <c r="A217" s="5733" t="s">
        <v>313</v>
      </c>
      <c r="B217" s="5537" t="s">
        <v>40</v>
      </c>
      <c r="C217" s="5734"/>
      <c r="D217" s="5734"/>
      <c r="E217" s="5734"/>
      <c r="F217" s="5734"/>
      <c r="G217" s="5734"/>
      <c r="H217" s="5537" t="s">
        <v>40</v>
      </c>
      <c r="I217" s="5537" t="s">
        <v>40</v>
      </c>
      <c r="J217" s="5537" t="s">
        <v>40</v>
      </c>
      <c r="K217" s="5734" t="s">
        <v>40</v>
      </c>
      <c r="L217" s="5734"/>
      <c r="M217" s="5734"/>
      <c r="N217" s="5734" t="s">
        <v>40</v>
      </c>
      <c r="O217" s="5734" t="s">
        <v>40</v>
      </c>
      <c r="P217" s="5734" t="s">
        <v>40</v>
      </c>
      <c r="Q217" s="5734" t="s">
        <v>40</v>
      </c>
      <c r="R217" s="5734" t="s">
        <v>40</v>
      </c>
      <c r="S217" s="5734"/>
      <c r="T217" s="5537"/>
      <c r="U217" s="5735" t="s">
        <v>40</v>
      </c>
      <c r="V217" s="5734" t="s">
        <v>40</v>
      </c>
      <c r="W217" s="5734" t="s">
        <v>40</v>
      </c>
      <c r="X217" s="5734" t="s">
        <v>40</v>
      </c>
      <c r="Y217" s="5734" t="s">
        <v>40</v>
      </c>
      <c r="Z217" s="5734"/>
      <c r="AA217" s="5734"/>
      <c r="AB217" s="5734" t="s">
        <v>40</v>
      </c>
      <c r="AC217" s="5734" t="s">
        <v>40</v>
      </c>
      <c r="AD217" s="5734" t="s">
        <v>40</v>
      </c>
      <c r="AE217" s="5736" t="s">
        <v>40</v>
      </c>
    </row>
    <row r="218" spans="1:31" ht="12.75">
      <c r="A218" s="5737" t="s">
        <v>314</v>
      </c>
      <c r="B218" s="5738"/>
      <c r="C218" s="5738"/>
      <c r="D218" s="5738"/>
      <c r="E218" s="5738"/>
      <c r="F218" s="5738"/>
      <c r="G218" s="5738"/>
      <c r="H218" s="5738"/>
      <c r="I218" s="5738"/>
      <c r="J218" s="5738"/>
      <c r="K218" s="5738"/>
      <c r="L218" s="5738"/>
      <c r="M218" s="5738"/>
      <c r="N218" s="5738"/>
      <c r="O218" s="5738"/>
      <c r="P218" s="5738"/>
      <c r="Q218" s="5738"/>
      <c r="R218" s="5738"/>
      <c r="S218" s="5738"/>
      <c r="T218" s="5739"/>
      <c r="U218" s="5739"/>
      <c r="V218" s="5738"/>
      <c r="W218" s="5738"/>
      <c r="X218" s="5738"/>
      <c r="Y218" s="5738"/>
      <c r="Z218" s="5738"/>
      <c r="AA218" s="5738"/>
      <c r="AB218" s="5738"/>
      <c r="AC218" s="5738"/>
      <c r="AD218" s="5738"/>
      <c r="AE218" s="5740"/>
    </row>
    <row r="219" spans="1:31" ht="18.75" customHeight="1">
      <c r="A219" s="5714" t="s">
        <v>315</v>
      </c>
      <c r="B219" s="5537" t="s">
        <v>40</v>
      </c>
      <c r="C219" s="5741"/>
      <c r="D219" s="5741"/>
      <c r="E219" s="5741"/>
      <c r="F219" s="5741"/>
      <c r="G219" s="5741"/>
      <c r="H219" s="5537" t="s">
        <v>40</v>
      </c>
      <c r="I219" s="5537" t="s">
        <v>40</v>
      </c>
      <c r="J219" s="5537" t="s">
        <v>40</v>
      </c>
      <c r="K219" s="5741" t="s">
        <v>40</v>
      </c>
      <c r="L219" s="5741"/>
      <c r="M219" s="5741"/>
      <c r="N219" s="5741" t="s">
        <v>40</v>
      </c>
      <c r="O219" s="5741" t="s">
        <v>40</v>
      </c>
      <c r="P219" s="5741" t="s">
        <v>40</v>
      </c>
      <c r="Q219" s="5741" t="s">
        <v>40</v>
      </c>
      <c r="R219" s="5741" t="s">
        <v>40</v>
      </c>
      <c r="S219" s="5741"/>
      <c r="T219" s="5741"/>
      <c r="U219" s="5741" t="s">
        <v>40</v>
      </c>
      <c r="V219" s="5741" t="s">
        <v>40</v>
      </c>
      <c r="W219" s="5741" t="s">
        <v>40</v>
      </c>
      <c r="X219" s="5741" t="s">
        <v>40</v>
      </c>
      <c r="Y219" s="5741" t="s">
        <v>40</v>
      </c>
      <c r="Z219" s="5741"/>
      <c r="AA219" s="5741"/>
      <c r="AB219" s="5741" t="s">
        <v>40</v>
      </c>
      <c r="AC219" s="5741" t="s">
        <v>40</v>
      </c>
      <c r="AD219" s="5741" t="s">
        <v>40</v>
      </c>
      <c r="AE219" s="5736" t="s">
        <v>40</v>
      </c>
    </row>
    <row r="220" spans="1:31" ht="18" customHeight="1">
      <c r="A220" s="5714" t="s">
        <v>316</v>
      </c>
      <c r="B220" s="5741" t="s">
        <v>40</v>
      </c>
      <c r="C220" s="5734"/>
      <c r="D220" s="5734"/>
      <c r="E220" s="5734"/>
      <c r="F220" s="5734"/>
      <c r="G220" s="5734"/>
      <c r="H220" s="5741" t="s">
        <v>40</v>
      </c>
      <c r="I220" s="5741" t="s">
        <v>40</v>
      </c>
      <c r="J220" s="5741" t="s">
        <v>40</v>
      </c>
      <c r="K220" s="5734" t="s">
        <v>40</v>
      </c>
      <c r="L220" s="5734"/>
      <c r="M220" s="5734"/>
      <c r="N220" s="5734" t="s">
        <v>40</v>
      </c>
      <c r="O220" s="5734" t="s">
        <v>40</v>
      </c>
      <c r="P220" s="5734" t="s">
        <v>40</v>
      </c>
      <c r="Q220" s="5734" t="s">
        <v>40</v>
      </c>
      <c r="R220" s="5734" t="s">
        <v>40</v>
      </c>
      <c r="S220" s="5734"/>
      <c r="T220" s="5537"/>
      <c r="U220" s="5735" t="s">
        <v>40</v>
      </c>
      <c r="V220" s="5734" t="s">
        <v>40</v>
      </c>
      <c r="W220" s="5734" t="s">
        <v>40</v>
      </c>
      <c r="X220" s="5734" t="s">
        <v>40</v>
      </c>
      <c r="Y220" s="5734" t="s">
        <v>40</v>
      </c>
      <c r="Z220" s="5734"/>
      <c r="AA220" s="5734"/>
      <c r="AB220" s="5734" t="s">
        <v>40</v>
      </c>
      <c r="AC220" s="5734" t="s">
        <v>40</v>
      </c>
      <c r="AD220" s="5734" t="s">
        <v>40</v>
      </c>
      <c r="AE220" s="5742" t="s">
        <v>40</v>
      </c>
    </row>
    <row r="221" spans="1:31" ht="18" customHeight="1">
      <c r="A221" s="5714" t="s">
        <v>317</v>
      </c>
      <c r="B221" s="5537" t="s">
        <v>40</v>
      </c>
      <c r="C221" s="5734"/>
      <c r="D221" s="5734"/>
      <c r="E221" s="5734"/>
      <c r="F221" s="5734"/>
      <c r="G221" s="5734"/>
      <c r="H221" s="5537" t="s">
        <v>40</v>
      </c>
      <c r="I221" s="5537" t="s">
        <v>40</v>
      </c>
      <c r="J221" s="5537" t="s">
        <v>40</v>
      </c>
      <c r="K221" s="5734" t="s">
        <v>40</v>
      </c>
      <c r="L221" s="5734"/>
      <c r="M221" s="5734"/>
      <c r="N221" s="5734" t="s">
        <v>40</v>
      </c>
      <c r="O221" s="5734" t="s">
        <v>40</v>
      </c>
      <c r="P221" s="5734" t="s">
        <v>40</v>
      </c>
      <c r="Q221" s="5734" t="s">
        <v>40</v>
      </c>
      <c r="R221" s="5734" t="s">
        <v>40</v>
      </c>
      <c r="S221" s="5734"/>
      <c r="T221" s="5537"/>
      <c r="U221" s="5735" t="s">
        <v>40</v>
      </c>
      <c r="V221" s="5734" t="s">
        <v>40</v>
      </c>
      <c r="W221" s="5734" t="s">
        <v>40</v>
      </c>
      <c r="X221" s="5734" t="s">
        <v>40</v>
      </c>
      <c r="Y221" s="5734" t="s">
        <v>40</v>
      </c>
      <c r="Z221" s="5734"/>
      <c r="AA221" s="5734"/>
      <c r="AB221" s="5734" t="s">
        <v>40</v>
      </c>
      <c r="AC221" s="5734" t="s">
        <v>40</v>
      </c>
      <c r="AD221" s="5734" t="s">
        <v>40</v>
      </c>
      <c r="AE221" s="5743" t="s">
        <v>40</v>
      </c>
    </row>
    <row r="222" spans="1:31" ht="12.75">
      <c r="A222" s="5737" t="s">
        <v>318</v>
      </c>
      <c r="B222" s="5738"/>
      <c r="C222" s="5738"/>
      <c r="D222" s="5738"/>
      <c r="E222" s="5738"/>
      <c r="F222" s="5738"/>
      <c r="G222" s="5738"/>
      <c r="H222" s="5738"/>
      <c r="I222" s="5738"/>
      <c r="J222" s="5738"/>
      <c r="K222" s="5738"/>
      <c r="L222" s="5738"/>
      <c r="M222" s="5738"/>
      <c r="N222" s="5738"/>
      <c r="O222" s="5738"/>
      <c r="P222" s="5738"/>
      <c r="Q222" s="5738"/>
      <c r="R222" s="5738"/>
      <c r="S222" s="5738"/>
      <c r="T222" s="5739"/>
      <c r="U222" s="5739"/>
      <c r="V222" s="5738"/>
      <c r="W222" s="5738"/>
      <c r="X222" s="5738"/>
      <c r="Y222" s="5738"/>
      <c r="Z222" s="5738"/>
      <c r="AA222" s="5738"/>
      <c r="AB222" s="5738"/>
      <c r="AC222" s="5738"/>
      <c r="AD222" s="5738"/>
      <c r="AE222" s="5740"/>
    </row>
    <row r="223" spans="1:31" ht="18.75" customHeight="1">
      <c r="A223" s="5714" t="s">
        <v>319</v>
      </c>
      <c r="B223" s="5537" t="s">
        <v>40</v>
      </c>
      <c r="C223" s="5734"/>
      <c r="D223" s="5734"/>
      <c r="E223" s="5734"/>
      <c r="F223" s="5734"/>
      <c r="G223" s="5734"/>
      <c r="H223" s="5537" t="s">
        <v>40</v>
      </c>
      <c r="I223" s="5537" t="s">
        <v>40</v>
      </c>
      <c r="J223" s="5537" t="s">
        <v>40</v>
      </c>
      <c r="K223" s="5734" t="s">
        <v>40</v>
      </c>
      <c r="L223" s="5734"/>
      <c r="M223" s="5734"/>
      <c r="N223" s="5734" t="s">
        <v>40</v>
      </c>
      <c r="O223" s="5734" t="s">
        <v>40</v>
      </c>
      <c r="P223" s="5734" t="s">
        <v>40</v>
      </c>
      <c r="Q223" s="5734" t="s">
        <v>40</v>
      </c>
      <c r="R223" s="5734" t="s">
        <v>40</v>
      </c>
      <c r="S223" s="5734"/>
      <c r="T223" s="5537"/>
      <c r="U223" s="5735" t="s">
        <v>40</v>
      </c>
      <c r="V223" s="5734" t="s">
        <v>40</v>
      </c>
      <c r="W223" s="5734" t="s">
        <v>40</v>
      </c>
      <c r="X223" s="5734" t="s">
        <v>40</v>
      </c>
      <c r="Y223" s="5734" t="s">
        <v>40</v>
      </c>
      <c r="Z223" s="5734"/>
      <c r="AA223" s="5734"/>
      <c r="AB223" s="5734" t="s">
        <v>40</v>
      </c>
      <c r="AC223" s="5734" t="s">
        <v>40</v>
      </c>
      <c r="AD223" s="5734" t="s">
        <v>40</v>
      </c>
      <c r="AE223" s="5744" t="s">
        <v>40</v>
      </c>
    </row>
    <row r="224" spans="1:31" ht="16.5" customHeight="1">
      <c r="A224" s="5714" t="s">
        <v>320</v>
      </c>
      <c r="B224" s="5537" t="s">
        <v>40</v>
      </c>
      <c r="C224" s="5734"/>
      <c r="D224" s="5734"/>
      <c r="E224" s="5734"/>
      <c r="F224" s="5734"/>
      <c r="G224" s="5734"/>
      <c r="H224" s="5537" t="s">
        <v>40</v>
      </c>
      <c r="I224" s="5537" t="s">
        <v>40</v>
      </c>
      <c r="J224" s="5537" t="s">
        <v>40</v>
      </c>
      <c r="K224" s="5734" t="s">
        <v>40</v>
      </c>
      <c r="L224" s="5734"/>
      <c r="M224" s="5734"/>
      <c r="N224" s="5734" t="s">
        <v>40</v>
      </c>
      <c r="O224" s="5734" t="s">
        <v>40</v>
      </c>
      <c r="P224" s="5734" t="s">
        <v>40</v>
      </c>
      <c r="Q224" s="5734" t="s">
        <v>40</v>
      </c>
      <c r="R224" s="5734" t="s">
        <v>40</v>
      </c>
      <c r="S224" s="5734"/>
      <c r="T224" s="5537"/>
      <c r="U224" s="5735" t="s">
        <v>40</v>
      </c>
      <c r="V224" s="5734" t="s">
        <v>40</v>
      </c>
      <c r="W224" s="5734" t="s">
        <v>40</v>
      </c>
      <c r="X224" s="5734" t="s">
        <v>40</v>
      </c>
      <c r="Y224" s="5734" t="s">
        <v>40</v>
      </c>
      <c r="Z224" s="5734"/>
      <c r="AA224" s="5734"/>
      <c r="AB224" s="5734" t="s">
        <v>40</v>
      </c>
      <c r="AC224" s="5734" t="s">
        <v>40</v>
      </c>
      <c r="AD224" s="5734" t="s">
        <v>40</v>
      </c>
      <c r="AE224" s="5745" t="s">
        <v>40</v>
      </c>
    </row>
    <row r="225" spans="1:31" ht="16.5" customHeight="1">
      <c r="A225" s="5714" t="s">
        <v>321</v>
      </c>
      <c r="B225" s="5735" t="s">
        <v>40</v>
      </c>
      <c r="C225" s="5734"/>
      <c r="D225" s="5734"/>
      <c r="E225" s="5734"/>
      <c r="F225" s="5734"/>
      <c r="G225" s="5734"/>
      <c r="H225" s="5735" t="s">
        <v>40</v>
      </c>
      <c r="I225" s="5735" t="s">
        <v>40</v>
      </c>
      <c r="J225" s="5735" t="s">
        <v>40</v>
      </c>
      <c r="K225" s="5734" t="s">
        <v>40</v>
      </c>
      <c r="L225" s="5734"/>
      <c r="M225" s="5734"/>
      <c r="N225" s="5734" t="s">
        <v>40</v>
      </c>
      <c r="O225" s="5734" t="s">
        <v>40</v>
      </c>
      <c r="P225" s="5734" t="s">
        <v>40</v>
      </c>
      <c r="Q225" s="5734" t="s">
        <v>40</v>
      </c>
      <c r="R225" s="5734" t="s">
        <v>40</v>
      </c>
      <c r="S225" s="5734"/>
      <c r="T225" s="5746"/>
      <c r="U225" s="5747" t="s">
        <v>40</v>
      </c>
      <c r="V225" s="5747" t="s">
        <v>40</v>
      </c>
      <c r="W225" s="5747" t="s">
        <v>40</v>
      </c>
      <c r="X225" s="5747" t="s">
        <v>40</v>
      </c>
      <c r="Y225" s="5747" t="s">
        <v>40</v>
      </c>
      <c r="Z225" s="5734"/>
      <c r="AA225" s="5734"/>
      <c r="AB225" s="5734" t="s">
        <v>40</v>
      </c>
      <c r="AC225" s="5734" t="s">
        <v>40</v>
      </c>
      <c r="AD225" s="5734" t="s">
        <v>40</v>
      </c>
      <c r="AE225" s="5736" t="s">
        <v>40</v>
      </c>
    </row>
    <row r="226" spans="1:31" ht="17.25" customHeight="1">
      <c r="A226" s="5714" t="s">
        <v>322</v>
      </c>
      <c r="B226" s="5537" t="s">
        <v>40</v>
      </c>
      <c r="C226" s="5734"/>
      <c r="D226" s="5734"/>
      <c r="E226" s="5734"/>
      <c r="F226" s="5734"/>
      <c r="G226" s="5734"/>
      <c r="H226" s="5537" t="s">
        <v>40</v>
      </c>
      <c r="I226" s="5537" t="s">
        <v>40</v>
      </c>
      <c r="J226" s="5537" t="s">
        <v>40</v>
      </c>
      <c r="K226" s="5734" t="s">
        <v>40</v>
      </c>
      <c r="L226" s="5734"/>
      <c r="M226" s="5734"/>
      <c r="N226" s="5734" t="s">
        <v>40</v>
      </c>
      <c r="O226" s="5734" t="s">
        <v>40</v>
      </c>
      <c r="P226" s="5734" t="s">
        <v>40</v>
      </c>
      <c r="Q226" s="5734" t="s">
        <v>40</v>
      </c>
      <c r="R226" s="5734" t="s">
        <v>40</v>
      </c>
      <c r="S226" s="5734"/>
      <c r="T226" s="5537"/>
      <c r="U226" s="5735" t="s">
        <v>40</v>
      </c>
      <c r="V226" s="5734" t="s">
        <v>40</v>
      </c>
      <c r="W226" s="5734" t="s">
        <v>40</v>
      </c>
      <c r="X226" s="5734" t="s">
        <v>40</v>
      </c>
      <c r="Y226" s="5734" t="s">
        <v>40</v>
      </c>
      <c r="Z226" s="5734"/>
      <c r="AA226" s="5734"/>
      <c r="AB226" s="5734" t="s">
        <v>40</v>
      </c>
      <c r="AC226" s="5734" t="s">
        <v>40</v>
      </c>
      <c r="AD226" s="5734" t="s">
        <v>40</v>
      </c>
      <c r="AE226" s="5742" t="s">
        <v>40</v>
      </c>
    </row>
    <row r="227" spans="1:31" ht="16.5" customHeight="1">
      <c r="A227" s="5714" t="s">
        <v>323</v>
      </c>
      <c r="B227" s="5537" t="s">
        <v>40</v>
      </c>
      <c r="C227" s="5734"/>
      <c r="D227" s="5734"/>
      <c r="E227" s="5734"/>
      <c r="F227" s="5734"/>
      <c r="G227" s="5734"/>
      <c r="H227" s="5537" t="s">
        <v>40</v>
      </c>
      <c r="I227" s="5537" t="s">
        <v>40</v>
      </c>
      <c r="J227" s="5537" t="s">
        <v>40</v>
      </c>
      <c r="K227" s="5734" t="s">
        <v>40</v>
      </c>
      <c r="L227" s="5734"/>
      <c r="M227" s="5734"/>
      <c r="N227" s="5734" t="s">
        <v>40</v>
      </c>
      <c r="O227" s="5734" t="s">
        <v>40</v>
      </c>
      <c r="P227" s="5734" t="s">
        <v>40</v>
      </c>
      <c r="Q227" s="5734" t="s">
        <v>40</v>
      </c>
      <c r="R227" s="5734" t="s">
        <v>40</v>
      </c>
      <c r="S227" s="5734"/>
      <c r="T227" s="5537"/>
      <c r="U227" s="5735" t="s">
        <v>40</v>
      </c>
      <c r="V227" s="5734" t="s">
        <v>40</v>
      </c>
      <c r="W227" s="5734" t="s">
        <v>40</v>
      </c>
      <c r="X227" s="5734" t="s">
        <v>40</v>
      </c>
      <c r="Y227" s="5734" t="s">
        <v>40</v>
      </c>
      <c r="Z227" s="5734"/>
      <c r="AA227" s="5734"/>
      <c r="AB227" s="5734" t="s">
        <v>40</v>
      </c>
      <c r="AC227" s="5734" t="s">
        <v>40</v>
      </c>
      <c r="AD227" s="5734" t="s">
        <v>40</v>
      </c>
      <c r="AE227" s="5744" t="s">
        <v>40</v>
      </c>
    </row>
    <row r="228" spans="1:31" ht="16.5" customHeight="1">
      <c r="A228" s="5714" t="s">
        <v>324</v>
      </c>
      <c r="B228" s="5537" t="s">
        <v>40</v>
      </c>
      <c r="C228" s="5734"/>
      <c r="D228" s="5734"/>
      <c r="E228" s="5734"/>
      <c r="F228" s="5734"/>
      <c r="G228" s="5734"/>
      <c r="H228" s="5537" t="s">
        <v>40</v>
      </c>
      <c r="I228" s="5537" t="s">
        <v>40</v>
      </c>
      <c r="J228" s="5537" t="s">
        <v>40</v>
      </c>
      <c r="K228" s="5734" t="s">
        <v>40</v>
      </c>
      <c r="L228" s="5734"/>
      <c r="M228" s="5734"/>
      <c r="N228" s="5734" t="s">
        <v>40</v>
      </c>
      <c r="O228" s="5734" t="s">
        <v>40</v>
      </c>
      <c r="P228" s="5734" t="s">
        <v>40</v>
      </c>
      <c r="Q228" s="5734" t="s">
        <v>40</v>
      </c>
      <c r="R228" s="5734" t="s">
        <v>40</v>
      </c>
      <c r="S228" s="5734"/>
      <c r="T228" s="5734"/>
      <c r="U228" s="5734" t="s">
        <v>40</v>
      </c>
      <c r="V228" s="5734" t="s">
        <v>40</v>
      </c>
      <c r="W228" s="5734" t="s">
        <v>40</v>
      </c>
      <c r="X228" s="5734" t="s">
        <v>40</v>
      </c>
      <c r="Y228" s="5734" t="s">
        <v>40</v>
      </c>
      <c r="Z228" s="5734"/>
      <c r="AA228" s="5734"/>
      <c r="AB228" s="5734" t="s">
        <v>40</v>
      </c>
      <c r="AC228" s="5734" t="s">
        <v>40</v>
      </c>
      <c r="AD228" s="5734" t="s">
        <v>40</v>
      </c>
      <c r="AE228" s="5744" t="s">
        <v>40</v>
      </c>
    </row>
    <row r="229" spans="1:31" ht="15.75" customHeight="1">
      <c r="A229" s="5714" t="s">
        <v>326</v>
      </c>
      <c r="B229" s="5537" t="s">
        <v>40</v>
      </c>
      <c r="C229" s="5748"/>
      <c r="D229" s="5748"/>
      <c r="E229" s="5748"/>
      <c r="F229" s="5748"/>
      <c r="G229" s="5748"/>
      <c r="H229" s="5537" t="s">
        <v>40</v>
      </c>
      <c r="I229" s="5537" t="s">
        <v>40</v>
      </c>
      <c r="J229" s="5537" t="s">
        <v>40</v>
      </c>
      <c r="K229" s="5748" t="s">
        <v>40</v>
      </c>
      <c r="L229" s="5748"/>
      <c r="M229" s="5748"/>
      <c r="N229" s="5748" t="s">
        <v>40</v>
      </c>
      <c r="O229" s="5748" t="s">
        <v>40</v>
      </c>
      <c r="P229" s="5748" t="s">
        <v>40</v>
      </c>
      <c r="Q229" s="5748" t="s">
        <v>40</v>
      </c>
      <c r="R229" s="5748" t="s">
        <v>40</v>
      </c>
      <c r="S229" s="5748"/>
      <c r="T229" s="5537"/>
      <c r="U229" s="5735" t="s">
        <v>40</v>
      </c>
      <c r="V229" s="5748" t="s">
        <v>40</v>
      </c>
      <c r="W229" s="5748" t="s">
        <v>40</v>
      </c>
      <c r="X229" s="5748" t="s">
        <v>40</v>
      </c>
      <c r="Y229" s="5748" t="s">
        <v>40</v>
      </c>
      <c r="Z229" s="5748"/>
      <c r="AA229" s="5748"/>
      <c r="AB229" s="5748" t="s">
        <v>40</v>
      </c>
      <c r="AC229" s="5748" t="s">
        <v>40</v>
      </c>
      <c r="AD229" s="5748" t="s">
        <v>40</v>
      </c>
      <c r="AE229" s="5743" t="s">
        <v>40</v>
      </c>
    </row>
    <row r="230" spans="1:31" ht="12.75">
      <c r="A230" s="5737" t="s">
        <v>327</v>
      </c>
      <c r="B230" s="5738"/>
      <c r="C230" s="5738"/>
      <c r="D230" s="5738"/>
      <c r="E230" s="5738"/>
      <c r="F230" s="5738"/>
      <c r="G230" s="5738"/>
      <c r="H230" s="5738"/>
      <c r="I230" s="5738"/>
      <c r="J230" s="5738"/>
      <c r="K230" s="5738"/>
      <c r="L230" s="5738"/>
      <c r="M230" s="5738"/>
      <c r="N230" s="5738"/>
      <c r="O230" s="5738"/>
      <c r="P230" s="5738"/>
      <c r="Q230" s="5738"/>
      <c r="R230" s="5738"/>
      <c r="S230" s="5738"/>
      <c r="T230" s="5739"/>
      <c r="U230" s="5739"/>
      <c r="V230" s="5738"/>
      <c r="W230" s="5738"/>
      <c r="X230" s="5738"/>
      <c r="Y230" s="5738"/>
      <c r="Z230" s="5738"/>
      <c r="AA230" s="5738"/>
      <c r="AB230" s="5738"/>
      <c r="AC230" s="5738"/>
      <c r="AD230" s="5738"/>
      <c r="AE230" s="5740"/>
    </row>
    <row r="231" spans="1:31" ht="18.75" customHeight="1">
      <c r="A231" s="5714" t="s">
        <v>328</v>
      </c>
      <c r="B231" s="5537" t="s">
        <v>40</v>
      </c>
      <c r="C231" s="5734"/>
      <c r="D231" s="5734"/>
      <c r="E231" s="5734"/>
      <c r="F231" s="5734"/>
      <c r="G231" s="5734"/>
      <c r="H231" s="5537" t="s">
        <v>40</v>
      </c>
      <c r="I231" s="5537" t="s">
        <v>40</v>
      </c>
      <c r="J231" s="5537" t="s">
        <v>40</v>
      </c>
      <c r="K231" s="5734" t="s">
        <v>40</v>
      </c>
      <c r="L231" s="5734"/>
      <c r="M231" s="5734"/>
      <c r="N231" s="5734" t="s">
        <v>40</v>
      </c>
      <c r="O231" s="5734" t="s">
        <v>40</v>
      </c>
      <c r="P231" s="5734" t="s">
        <v>40</v>
      </c>
      <c r="Q231" s="5734" t="s">
        <v>40</v>
      </c>
      <c r="R231" s="5734" t="s">
        <v>40</v>
      </c>
      <c r="S231" s="5734"/>
      <c r="T231" s="5537"/>
      <c r="U231" s="5735" t="s">
        <v>40</v>
      </c>
      <c r="V231" s="5734" t="s">
        <v>40</v>
      </c>
      <c r="W231" s="5734" t="s">
        <v>40</v>
      </c>
      <c r="X231" s="5734" t="s">
        <v>40</v>
      </c>
      <c r="Y231" s="5734" t="s">
        <v>40</v>
      </c>
      <c r="Z231" s="5734"/>
      <c r="AA231" s="5734"/>
      <c r="AB231" s="5734" t="s">
        <v>40</v>
      </c>
      <c r="AC231" s="5734" t="s">
        <v>40</v>
      </c>
      <c r="AD231" s="5734" t="s">
        <v>40</v>
      </c>
      <c r="AE231" s="5742" t="s">
        <v>40</v>
      </c>
    </row>
    <row r="232" spans="1:31" ht="14.25" customHeight="1">
      <c r="A232" s="5714" t="s">
        <v>329</v>
      </c>
      <c r="B232" s="5537" t="s">
        <v>40</v>
      </c>
      <c r="C232" s="5734"/>
      <c r="D232" s="5734"/>
      <c r="E232" s="5734"/>
      <c r="F232" s="5734"/>
      <c r="G232" s="5734"/>
      <c r="H232" s="5537" t="s">
        <v>40</v>
      </c>
      <c r="I232" s="5537" t="s">
        <v>40</v>
      </c>
      <c r="J232" s="5537" t="s">
        <v>40</v>
      </c>
      <c r="K232" s="5734" t="s">
        <v>40</v>
      </c>
      <c r="L232" s="5734"/>
      <c r="M232" s="5734"/>
      <c r="N232" s="5734" t="s">
        <v>40</v>
      </c>
      <c r="O232" s="5734" t="s">
        <v>40</v>
      </c>
      <c r="P232" s="5734" t="s">
        <v>40</v>
      </c>
      <c r="Q232" s="5734" t="s">
        <v>40</v>
      </c>
      <c r="R232" s="5734" t="s">
        <v>40</v>
      </c>
      <c r="S232" s="5734"/>
      <c r="T232" s="5537"/>
      <c r="U232" s="5537" t="s">
        <v>40</v>
      </c>
      <c r="V232" s="5734" t="s">
        <v>40</v>
      </c>
      <c r="W232" s="5734" t="s">
        <v>40</v>
      </c>
      <c r="X232" s="5734" t="s">
        <v>40</v>
      </c>
      <c r="Y232" s="5734" t="s">
        <v>40</v>
      </c>
      <c r="Z232" s="5734"/>
      <c r="AA232" s="5734"/>
      <c r="AB232" s="5734" t="s">
        <v>40</v>
      </c>
      <c r="AC232" s="5734" t="s">
        <v>40</v>
      </c>
      <c r="AD232" s="5734" t="s">
        <v>40</v>
      </c>
      <c r="AE232" s="5742" t="s">
        <v>40</v>
      </c>
    </row>
  </sheetData>
  <sheetProtection algorithmName="SHA-512" hashValue="GabqmtSXI2wxv6ncMAE5Fiat53BSTck9Ov0HTnT8ceudNPVtqcUhsxqpUgmMv2T31+qCL+ekH9aC19KkC8r5Sw==" saltValue="I4QiWDducftyo8Z7WXi3Pw==" spinCount="100000" sheet="1" objects="1" scenarios="1"/>
  <mergeCells count="93">
    <mergeCell ref="AC2:AE2"/>
    <mergeCell ref="E2:F2"/>
    <mergeCell ref="G2:I2"/>
    <mergeCell ref="R2:T2"/>
    <mergeCell ref="U2:V2"/>
    <mergeCell ref="W2:X2"/>
    <mergeCell ref="C176:E176"/>
    <mergeCell ref="F176:I176"/>
    <mergeCell ref="J176:M176"/>
    <mergeCell ref="N176:Q176"/>
    <mergeCell ref="R176:U176"/>
    <mergeCell ref="C177:E177"/>
    <mergeCell ref="F177:I177"/>
    <mergeCell ref="J177:M177"/>
    <mergeCell ref="N177:Q177"/>
    <mergeCell ref="R177:U177"/>
    <mergeCell ref="C178:E178"/>
    <mergeCell ref="F178:I178"/>
    <mergeCell ref="J178:M178"/>
    <mergeCell ref="N178:Q178"/>
    <mergeCell ref="R178:U178"/>
    <mergeCell ref="C179:E179"/>
    <mergeCell ref="F179:I179"/>
    <mergeCell ref="J179:M179"/>
    <mergeCell ref="N179:Q179"/>
    <mergeCell ref="R179:U179"/>
    <mergeCell ref="C180:E180"/>
    <mergeCell ref="F180:I180"/>
    <mergeCell ref="J180:M180"/>
    <mergeCell ref="N180:Q180"/>
    <mergeCell ref="R180:U180"/>
    <mergeCell ref="C181:E181"/>
    <mergeCell ref="F181:I181"/>
    <mergeCell ref="J181:M181"/>
    <mergeCell ref="N181:Q181"/>
    <mergeCell ref="R181:U181"/>
    <mergeCell ref="C182:E182"/>
    <mergeCell ref="F182:I182"/>
    <mergeCell ref="J182:M182"/>
    <mergeCell ref="N182:Q182"/>
    <mergeCell ref="R182:U182"/>
    <mergeCell ref="C185:E185"/>
    <mergeCell ref="F185:I185"/>
    <mergeCell ref="J185:M185"/>
    <mergeCell ref="N185:Q185"/>
    <mergeCell ref="R185:U185"/>
    <mergeCell ref="C186:E186"/>
    <mergeCell ref="F186:I186"/>
    <mergeCell ref="J186:M186"/>
    <mergeCell ref="N186:Q186"/>
    <mergeCell ref="R186:U186"/>
    <mergeCell ref="C187:E187"/>
    <mergeCell ref="F187:I187"/>
    <mergeCell ref="J187:M187"/>
    <mergeCell ref="N187:Q187"/>
    <mergeCell ref="R187:U187"/>
    <mergeCell ref="F188:I188"/>
    <mergeCell ref="J188:M188"/>
    <mergeCell ref="N188:Q188"/>
    <mergeCell ref="R188:U188"/>
    <mergeCell ref="F189:I189"/>
    <mergeCell ref="J189:M189"/>
    <mergeCell ref="N189:Q189"/>
    <mergeCell ref="R189:U189"/>
    <mergeCell ref="F190:I190"/>
    <mergeCell ref="J190:M190"/>
    <mergeCell ref="N190:Q190"/>
    <mergeCell ref="R190:U190"/>
    <mergeCell ref="F191:I191"/>
    <mergeCell ref="J191:M191"/>
    <mergeCell ref="N191:Q191"/>
    <mergeCell ref="R191:U191"/>
    <mergeCell ref="Q115:S115"/>
    <mergeCell ref="T115:V115"/>
    <mergeCell ref="B116:D116"/>
    <mergeCell ref="E116:G116"/>
    <mergeCell ref="H116:J116"/>
    <mergeCell ref="K116:M116"/>
    <mergeCell ref="N116:P116"/>
    <mergeCell ref="Q116:S116"/>
    <mergeCell ref="T116:V116"/>
    <mergeCell ref="B115:D115"/>
    <mergeCell ref="E115:G115"/>
    <mergeCell ref="H115:J115"/>
    <mergeCell ref="K115:M115"/>
    <mergeCell ref="N115:P115"/>
    <mergeCell ref="Q117:S117"/>
    <mergeCell ref="T117:V117"/>
    <mergeCell ref="B117:D117"/>
    <mergeCell ref="E117:G117"/>
    <mergeCell ref="H117:J117"/>
    <mergeCell ref="K117:M117"/>
    <mergeCell ref="N117:P117"/>
  </mergeCells>
  <phoneticPr fontId="10" type="noConversion"/>
  <pageMargins left="0.7" right="0.7" top="0.75" bottom="0.75" header="0.3" footer="0.3"/>
  <pageSetup paperSize="9" scale="10" orientation="landscape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9E6A2-BA2B-4FB6-8D07-4397D7EE1BCA}">
  <sheetPr codeName="Ark48">
    <pageSetUpPr fitToPage="1"/>
  </sheetPr>
  <dimension ref="A1:AG239"/>
  <sheetViews>
    <sheetView zoomScale="115" zoomScaleNormal="115" workbookViewId="0">
      <pane xSplit="1" ySplit="2" topLeftCell="B3" activePane="bottomRight" state="frozen"/>
      <selection pane="bottomRight" activeCell="H167" sqref="H167"/>
      <selection pane="bottomLeft"/>
      <selection pane="topRight"/>
    </sheetView>
  </sheetViews>
  <sheetFormatPr defaultRowHeight="12"/>
  <cols>
    <col min="1" max="1" width="31.28515625" customWidth="1"/>
    <col min="2" max="31" width="4.5703125" customWidth="1"/>
    <col min="32" max="32" width="4.28515625" customWidth="1"/>
  </cols>
  <sheetData>
    <row r="1" spans="1:32" ht="15">
      <c r="A1" s="4126" t="s">
        <v>693</v>
      </c>
      <c r="B1" s="2986">
        <v>1</v>
      </c>
      <c r="C1" s="2986">
        <v>2</v>
      </c>
      <c r="D1" s="2986">
        <v>3</v>
      </c>
      <c r="E1" s="2985">
        <v>4</v>
      </c>
      <c r="F1" s="2985">
        <v>5</v>
      </c>
      <c r="G1" s="2985">
        <v>6</v>
      </c>
      <c r="H1" s="2985">
        <v>7</v>
      </c>
      <c r="I1" s="2985">
        <v>8</v>
      </c>
      <c r="J1" s="2986">
        <v>9</v>
      </c>
      <c r="K1" s="2986">
        <v>10</v>
      </c>
      <c r="L1" s="2985">
        <v>11</v>
      </c>
      <c r="M1" s="2985">
        <v>12</v>
      </c>
      <c r="N1" s="2985">
        <v>13</v>
      </c>
      <c r="O1" s="2986">
        <v>14</v>
      </c>
      <c r="P1" s="2985">
        <v>15</v>
      </c>
      <c r="Q1" s="2986">
        <v>16</v>
      </c>
      <c r="R1" s="2986">
        <v>17</v>
      </c>
      <c r="S1" s="2985">
        <v>18</v>
      </c>
      <c r="T1" s="2985">
        <v>19</v>
      </c>
      <c r="U1" s="2985">
        <v>20</v>
      </c>
      <c r="V1" s="2985">
        <v>21</v>
      </c>
      <c r="W1" s="2985">
        <v>22</v>
      </c>
      <c r="X1" s="2986">
        <v>23</v>
      </c>
      <c r="Y1" s="2986">
        <v>24</v>
      </c>
      <c r="Z1" s="2986">
        <v>25</v>
      </c>
      <c r="AA1" s="2985">
        <v>26</v>
      </c>
      <c r="AB1" s="2985">
        <v>27</v>
      </c>
      <c r="AC1" s="2985">
        <v>28</v>
      </c>
      <c r="AD1" s="2985">
        <v>29</v>
      </c>
      <c r="AE1" s="2986">
        <v>30</v>
      </c>
      <c r="AF1" s="2986">
        <v>31</v>
      </c>
    </row>
    <row r="2" spans="1:32" ht="18" customHeight="1">
      <c r="A2" s="1" t="s">
        <v>1</v>
      </c>
      <c r="B2" s="1354" t="s">
        <v>2</v>
      </c>
      <c r="C2" s="1348"/>
      <c r="D2" s="1349"/>
      <c r="E2" s="5115" t="s">
        <v>3</v>
      </c>
      <c r="F2" s="5116"/>
      <c r="G2" s="5117" t="s">
        <v>579</v>
      </c>
      <c r="H2" s="5117"/>
      <c r="I2" s="5117"/>
      <c r="J2" s="1350" t="s">
        <v>5</v>
      </c>
      <c r="K2" s="1351" t="s">
        <v>580</v>
      </c>
      <c r="L2" s="970"/>
      <c r="M2" s="971"/>
      <c r="N2" s="972" t="s">
        <v>7</v>
      </c>
      <c r="O2" s="973"/>
      <c r="P2" s="1352" t="s">
        <v>8</v>
      </c>
      <c r="Q2" s="975"/>
      <c r="R2" s="5118" t="s">
        <v>9</v>
      </c>
      <c r="S2" s="5118"/>
      <c r="T2" s="5118"/>
      <c r="U2" s="5119" t="s">
        <v>11</v>
      </c>
      <c r="V2" s="5119"/>
      <c r="W2" s="5120" t="s">
        <v>12</v>
      </c>
      <c r="X2" s="5120"/>
      <c r="Y2" s="1353" t="s">
        <v>581</v>
      </c>
      <c r="Z2" s="977"/>
      <c r="AA2" s="978" t="s">
        <v>15</v>
      </c>
      <c r="AB2" s="979"/>
      <c r="AC2" s="5749" t="s">
        <v>582</v>
      </c>
      <c r="AD2" s="5749"/>
      <c r="AE2" s="5749"/>
    </row>
    <row r="3" spans="1:32" ht="18" customHeight="1">
      <c r="A3" s="22"/>
      <c r="B3" s="4"/>
      <c r="G3" s="4"/>
      <c r="J3" s="46"/>
      <c r="L3" s="46"/>
      <c r="M3" s="46"/>
      <c r="S3" s="46"/>
      <c r="T3" s="4"/>
      <c r="X3" s="4"/>
    </row>
    <row r="4" spans="1:32" ht="18" customHeight="1">
      <c r="A4" s="411" t="s">
        <v>44</v>
      </c>
      <c r="B4" s="5750"/>
      <c r="C4" s="5751" t="s">
        <v>19</v>
      </c>
      <c r="D4" s="5750"/>
      <c r="E4" s="5750"/>
      <c r="F4" s="5751" t="s">
        <v>20</v>
      </c>
      <c r="G4" s="5750"/>
      <c r="H4" s="5750"/>
      <c r="I4" s="5751" t="s">
        <v>21</v>
      </c>
      <c r="J4" s="5750"/>
      <c r="K4" s="5750"/>
      <c r="L4" s="5751" t="s">
        <v>22</v>
      </c>
      <c r="M4" s="5750"/>
      <c r="N4" s="5750"/>
      <c r="O4" s="5751" t="s">
        <v>23</v>
      </c>
      <c r="P4" s="5750"/>
      <c r="Q4" s="5750"/>
      <c r="R4" s="5751" t="s">
        <v>24</v>
      </c>
      <c r="S4" s="5537"/>
      <c r="T4" s="5537"/>
      <c r="U4" s="5752" t="s">
        <v>25</v>
      </c>
      <c r="V4" s="5537"/>
    </row>
    <row r="5" spans="1:32" ht="18" customHeight="1">
      <c r="A5" s="5753" t="s">
        <v>26</v>
      </c>
      <c r="B5" s="5754" t="s">
        <v>27</v>
      </c>
      <c r="C5" s="5755"/>
      <c r="D5" s="5756"/>
      <c r="E5" s="5754" t="s">
        <v>27</v>
      </c>
      <c r="F5" s="5757"/>
      <c r="G5" s="5757"/>
      <c r="H5" s="5754" t="s">
        <v>27</v>
      </c>
      <c r="I5" s="5757"/>
      <c r="J5" s="5756"/>
      <c r="K5" s="5754" t="s">
        <v>27</v>
      </c>
      <c r="L5" s="5757"/>
      <c r="M5" s="5756"/>
      <c r="N5" s="5754" t="s">
        <v>28</v>
      </c>
      <c r="O5" s="5757"/>
      <c r="P5" s="5756"/>
      <c r="Q5" s="5757"/>
      <c r="R5" s="5757"/>
      <c r="S5" s="5757"/>
      <c r="T5" s="5753"/>
      <c r="U5" s="5757"/>
      <c r="V5" s="5756"/>
      <c r="W5" s="5757"/>
      <c r="X5" s="5757"/>
      <c r="Y5" s="5757"/>
      <c r="Z5" s="5757"/>
      <c r="AA5" s="5758"/>
      <c r="AB5" s="5756"/>
    </row>
    <row r="6" spans="1:32" ht="18" customHeight="1">
      <c r="A6" s="5753" t="s">
        <v>29</v>
      </c>
      <c r="B6" s="5759" t="s">
        <v>30</v>
      </c>
      <c r="C6" s="5760"/>
      <c r="D6" s="5761"/>
      <c r="E6" s="5759" t="s">
        <v>30</v>
      </c>
      <c r="F6" s="5760"/>
      <c r="G6" s="5760"/>
      <c r="H6" s="5759" t="s">
        <v>30</v>
      </c>
      <c r="I6" s="5760"/>
      <c r="J6" s="5761"/>
      <c r="K6" s="5759" t="s">
        <v>30</v>
      </c>
      <c r="L6" s="5760"/>
      <c r="M6" s="5760"/>
      <c r="N6" s="5759" t="s">
        <v>30</v>
      </c>
      <c r="O6" s="5760"/>
      <c r="P6" s="5761"/>
      <c r="Q6" s="5516" t="s">
        <v>31</v>
      </c>
      <c r="R6" s="5517"/>
      <c r="S6" s="5517"/>
      <c r="T6" s="5762" t="s">
        <v>31</v>
      </c>
      <c r="U6" s="5517"/>
      <c r="V6" s="5763"/>
      <c r="W6" s="5757"/>
      <c r="X6" s="5757"/>
      <c r="Y6" s="5757"/>
      <c r="Z6" s="5757"/>
      <c r="AA6" s="5764"/>
      <c r="AB6" s="5756"/>
    </row>
    <row r="7" spans="1:32" ht="18" customHeight="1">
      <c r="A7" s="5753" t="s">
        <v>32</v>
      </c>
      <c r="B7" s="5754" t="s">
        <v>33</v>
      </c>
      <c r="C7" s="5760"/>
      <c r="D7" s="5761"/>
      <c r="E7" s="5754" t="s">
        <v>33</v>
      </c>
      <c r="F7" s="5757"/>
      <c r="G7" s="5757"/>
      <c r="H7" s="5754" t="s">
        <v>33</v>
      </c>
      <c r="I7" s="5757"/>
      <c r="J7" s="5756"/>
      <c r="K7" s="5754" t="s">
        <v>33</v>
      </c>
      <c r="L7" s="5757"/>
      <c r="M7" s="5756"/>
      <c r="N7" s="5754" t="s">
        <v>33</v>
      </c>
      <c r="O7" s="5757"/>
      <c r="P7" s="5756"/>
      <c r="Q7" s="5765" t="s">
        <v>34</v>
      </c>
      <c r="R7" s="5757"/>
      <c r="S7" s="5757"/>
      <c r="T7" s="5754" t="s">
        <v>35</v>
      </c>
      <c r="U7" s="5757"/>
      <c r="V7" s="5756"/>
      <c r="W7" s="5757"/>
      <c r="X7" s="5757"/>
      <c r="Y7" s="5757"/>
      <c r="Z7" s="5757"/>
      <c r="AA7" s="5764"/>
      <c r="AB7" s="5756"/>
    </row>
    <row r="8" spans="1:32" ht="18" customHeight="1"/>
    <row r="9" spans="1:32" ht="18" customHeight="1">
      <c r="A9" s="361" t="s">
        <v>617</v>
      </c>
      <c r="B9" s="372">
        <v>1</v>
      </c>
      <c r="C9" s="372">
        <v>2</v>
      </c>
      <c r="D9" s="372">
        <v>3</v>
      </c>
      <c r="E9" s="373">
        <v>4</v>
      </c>
      <c r="F9" s="373">
        <v>5</v>
      </c>
      <c r="G9" s="373">
        <v>6</v>
      </c>
      <c r="H9" s="373">
        <v>7</v>
      </c>
      <c r="I9" s="373">
        <v>8</v>
      </c>
      <c r="J9" s="372">
        <v>9</v>
      </c>
      <c r="K9" s="372">
        <v>10</v>
      </c>
      <c r="L9" s="373">
        <v>11</v>
      </c>
      <c r="M9" s="373">
        <v>12</v>
      </c>
      <c r="N9" s="373">
        <v>13</v>
      </c>
      <c r="O9" s="372">
        <v>14</v>
      </c>
      <c r="P9" s="373">
        <v>15</v>
      </c>
      <c r="Q9" s="372">
        <v>16</v>
      </c>
      <c r="R9" s="372">
        <v>17</v>
      </c>
      <c r="S9" s="373">
        <v>18</v>
      </c>
      <c r="T9" s="373">
        <v>19</v>
      </c>
      <c r="U9" s="373">
        <v>20</v>
      </c>
      <c r="V9" s="373">
        <v>21</v>
      </c>
      <c r="W9" s="373">
        <v>22</v>
      </c>
      <c r="X9" s="372">
        <v>23</v>
      </c>
      <c r="Y9" s="372">
        <v>24</v>
      </c>
      <c r="Z9" s="372">
        <v>25</v>
      </c>
      <c r="AA9" s="373">
        <v>26</v>
      </c>
      <c r="AB9" s="373">
        <v>27</v>
      </c>
      <c r="AC9" s="373">
        <v>28</v>
      </c>
      <c r="AD9" s="373">
        <v>29</v>
      </c>
      <c r="AE9" s="372">
        <v>30</v>
      </c>
      <c r="AF9" s="374">
        <v>31</v>
      </c>
    </row>
    <row r="10" spans="1:32" ht="18" customHeight="1">
      <c r="A10" s="364" t="s">
        <v>39</v>
      </c>
      <c r="B10" s="339"/>
      <c r="C10" s="339"/>
      <c r="D10" s="339"/>
      <c r="E10" s="339" t="s">
        <v>40</v>
      </c>
      <c r="F10" s="339" t="s">
        <v>40</v>
      </c>
      <c r="G10" s="339" t="s">
        <v>40</v>
      </c>
      <c r="H10" s="339" t="s">
        <v>40</v>
      </c>
      <c r="I10" s="339" t="s">
        <v>40</v>
      </c>
      <c r="J10" s="339"/>
      <c r="K10" s="339"/>
      <c r="L10" s="339" t="s">
        <v>40</v>
      </c>
      <c r="M10" s="339" t="s">
        <v>40</v>
      </c>
      <c r="N10" s="339" t="s">
        <v>40</v>
      </c>
      <c r="O10" s="339"/>
      <c r="P10" s="339" t="s">
        <v>40</v>
      </c>
      <c r="Q10" s="339"/>
      <c r="R10" s="339"/>
      <c r="S10" s="339" t="s">
        <v>40</v>
      </c>
      <c r="T10" s="339" t="s">
        <v>40</v>
      </c>
      <c r="U10" s="339" t="s">
        <v>40</v>
      </c>
      <c r="V10" s="339" t="s">
        <v>40</v>
      </c>
      <c r="W10" s="339" t="s">
        <v>40</v>
      </c>
      <c r="X10" s="339"/>
      <c r="Y10" s="339"/>
      <c r="Z10" s="339"/>
      <c r="AA10" s="339" t="s">
        <v>40</v>
      </c>
      <c r="AB10" s="339" t="s">
        <v>40</v>
      </c>
      <c r="AC10" s="339" t="s">
        <v>40</v>
      </c>
      <c r="AD10" s="339" t="s">
        <v>40</v>
      </c>
      <c r="AE10" s="339"/>
      <c r="AF10" s="380"/>
    </row>
    <row r="11" spans="1:32" ht="18" customHeight="1">
      <c r="A11" s="364" t="s">
        <v>41</v>
      </c>
      <c r="B11" s="340"/>
      <c r="C11" s="340"/>
      <c r="D11" s="340"/>
      <c r="E11" s="339" t="s">
        <v>40</v>
      </c>
      <c r="F11" s="339" t="s">
        <v>40</v>
      </c>
      <c r="G11" s="339" t="s">
        <v>40</v>
      </c>
      <c r="H11" s="339" t="s">
        <v>40</v>
      </c>
      <c r="I11" s="339" t="s">
        <v>40</v>
      </c>
      <c r="J11" s="339"/>
      <c r="K11" s="339"/>
      <c r="L11" s="339" t="s">
        <v>40</v>
      </c>
      <c r="M11" s="339" t="s">
        <v>40</v>
      </c>
      <c r="N11" s="339" t="s">
        <v>40</v>
      </c>
      <c r="O11" s="339"/>
      <c r="P11" s="339" t="s">
        <v>40</v>
      </c>
      <c r="Q11" s="339"/>
      <c r="R11" s="339"/>
      <c r="S11" s="339" t="s">
        <v>40</v>
      </c>
      <c r="T11" s="339" t="s">
        <v>40</v>
      </c>
      <c r="U11" s="339" t="s">
        <v>40</v>
      </c>
      <c r="V11" s="339" t="s">
        <v>40</v>
      </c>
      <c r="W11" s="339" t="s">
        <v>40</v>
      </c>
      <c r="X11" s="339"/>
      <c r="Y11" s="339"/>
      <c r="Z11" s="339"/>
      <c r="AA11" s="339" t="s">
        <v>40</v>
      </c>
      <c r="AB11" s="339" t="s">
        <v>40</v>
      </c>
      <c r="AC11" s="339" t="s">
        <v>40</v>
      </c>
      <c r="AD11" s="339" t="s">
        <v>40</v>
      </c>
      <c r="AE11" s="339"/>
      <c r="AF11" s="380"/>
    </row>
    <row r="12" spans="1:32" ht="18" customHeight="1">
      <c r="A12" s="364" t="s">
        <v>472</v>
      </c>
      <c r="B12" s="763"/>
      <c r="C12" s="763"/>
      <c r="D12" s="764"/>
      <c r="E12" s="442" t="s">
        <v>40</v>
      </c>
      <c r="F12" s="442" t="s">
        <v>40</v>
      </c>
      <c r="G12" s="442" t="s">
        <v>40</v>
      </c>
      <c r="H12" s="442" t="s">
        <v>40</v>
      </c>
      <c r="I12" s="442" t="s">
        <v>40</v>
      </c>
      <c r="J12" s="442"/>
      <c r="K12" s="442"/>
      <c r="L12" s="442" t="s">
        <v>40</v>
      </c>
      <c r="M12" s="442" t="s">
        <v>40</v>
      </c>
      <c r="N12" s="442" t="s">
        <v>40</v>
      </c>
      <c r="O12" s="442"/>
      <c r="P12" s="442" t="s">
        <v>40</v>
      </c>
      <c r="Q12" s="442"/>
      <c r="R12" s="442"/>
      <c r="S12" s="442" t="s">
        <v>40</v>
      </c>
      <c r="T12" s="442" t="s">
        <v>40</v>
      </c>
      <c r="U12" s="442" t="s">
        <v>40</v>
      </c>
      <c r="V12" s="442" t="s">
        <v>40</v>
      </c>
      <c r="W12" s="442" t="s">
        <v>40</v>
      </c>
      <c r="X12" s="442"/>
      <c r="Y12" s="442"/>
      <c r="Z12" s="442"/>
      <c r="AA12" s="442" t="s">
        <v>40</v>
      </c>
      <c r="AB12" s="442" t="s">
        <v>40</v>
      </c>
      <c r="AC12" s="442" t="s">
        <v>40</v>
      </c>
      <c r="AD12" s="442" t="s">
        <v>40</v>
      </c>
      <c r="AE12" s="442"/>
      <c r="AF12" s="447"/>
    </row>
    <row r="13" spans="1:32" ht="18" customHeight="1">
      <c r="A13" s="773" t="s">
        <v>44</v>
      </c>
      <c r="B13" s="774"/>
      <c r="C13" s="774"/>
      <c r="D13" s="774"/>
      <c r="E13" s="774"/>
      <c r="F13" s="774"/>
      <c r="G13" s="774"/>
      <c r="H13" s="774"/>
      <c r="I13" s="774"/>
      <c r="J13" s="774"/>
      <c r="K13" s="774"/>
      <c r="L13" s="774"/>
      <c r="M13" s="774"/>
      <c r="N13" s="774"/>
      <c r="O13" s="774"/>
      <c r="P13" s="774"/>
      <c r="Q13" s="774"/>
      <c r="R13" s="774"/>
      <c r="S13" s="774"/>
      <c r="T13" s="774"/>
      <c r="U13" s="774"/>
      <c r="V13" s="774"/>
      <c r="W13" s="774"/>
      <c r="X13" s="774"/>
      <c r="Y13" s="774"/>
      <c r="Z13" s="774"/>
      <c r="AA13" s="774"/>
      <c r="AB13" s="774"/>
      <c r="AC13" s="774"/>
      <c r="AD13" s="774"/>
      <c r="AE13" s="774"/>
      <c r="AF13" s="775"/>
    </row>
    <row r="14" spans="1:32" ht="18" customHeight="1">
      <c r="A14" s="686" t="s">
        <v>97</v>
      </c>
      <c r="B14" s="776" t="s">
        <v>43</v>
      </c>
      <c r="C14" s="776"/>
      <c r="D14" s="776"/>
      <c r="E14" s="776" t="s">
        <v>46</v>
      </c>
      <c r="F14" s="776" t="s">
        <v>46</v>
      </c>
      <c r="G14" s="776" t="s">
        <v>46</v>
      </c>
      <c r="H14" s="776" t="s">
        <v>46</v>
      </c>
      <c r="I14" s="776" t="s">
        <v>46</v>
      </c>
      <c r="J14" s="776" t="s">
        <v>49</v>
      </c>
      <c r="K14" s="776" t="s">
        <v>49</v>
      </c>
      <c r="L14" s="776" t="s">
        <v>50</v>
      </c>
      <c r="M14" s="776" t="s">
        <v>50</v>
      </c>
      <c r="N14" s="776" t="s">
        <v>50</v>
      </c>
      <c r="O14" s="776" t="s">
        <v>50</v>
      </c>
      <c r="P14" s="776" t="s">
        <v>50</v>
      </c>
      <c r="Q14" s="777"/>
      <c r="R14" s="776"/>
      <c r="S14" s="776" t="s">
        <v>46</v>
      </c>
      <c r="T14" s="777" t="s">
        <v>46</v>
      </c>
      <c r="U14" s="776" t="s">
        <v>46</v>
      </c>
      <c r="V14" s="776" t="s">
        <v>46</v>
      </c>
      <c r="W14" s="776" t="s">
        <v>46</v>
      </c>
      <c r="X14" s="776" t="s">
        <v>47</v>
      </c>
      <c r="Y14" s="778" t="s">
        <v>47</v>
      </c>
      <c r="Z14" s="776" t="s">
        <v>26</v>
      </c>
      <c r="AA14" s="776" t="s">
        <v>26</v>
      </c>
      <c r="AB14" s="776" t="s">
        <v>26</v>
      </c>
      <c r="AC14" s="776" t="s">
        <v>26</v>
      </c>
      <c r="AD14" s="776" t="s">
        <v>26</v>
      </c>
      <c r="AE14" s="776" t="s">
        <v>0</v>
      </c>
      <c r="AF14" s="779"/>
    </row>
    <row r="15" spans="1:32" ht="18" customHeight="1">
      <c r="A15" s="750" t="s">
        <v>51</v>
      </c>
      <c r="B15" s="320" t="s">
        <v>46</v>
      </c>
      <c r="C15" s="741" t="s">
        <v>49</v>
      </c>
      <c r="D15" s="741" t="s">
        <v>49</v>
      </c>
      <c r="E15" s="320" t="s">
        <v>50</v>
      </c>
      <c r="F15" s="320" t="s">
        <v>50</v>
      </c>
      <c r="G15" s="320" t="s">
        <v>50</v>
      </c>
      <c r="H15" s="320" t="s">
        <v>50</v>
      </c>
      <c r="I15" s="320" t="s">
        <v>50</v>
      </c>
      <c r="J15" s="320"/>
      <c r="K15" s="320"/>
      <c r="L15" s="320" t="s">
        <v>46</v>
      </c>
      <c r="M15" s="320" t="s">
        <v>46</v>
      </c>
      <c r="N15" s="320" t="s">
        <v>46</v>
      </c>
      <c r="O15" s="320" t="s">
        <v>46</v>
      </c>
      <c r="P15" s="320" t="s">
        <v>46</v>
      </c>
      <c r="Q15" s="320" t="s">
        <v>47</v>
      </c>
      <c r="R15" s="320" t="s">
        <v>47</v>
      </c>
      <c r="S15" s="320" t="s">
        <v>26</v>
      </c>
      <c r="T15" s="320" t="s">
        <v>26</v>
      </c>
      <c r="U15" s="320" t="s">
        <v>26</v>
      </c>
      <c r="V15" s="320" t="s">
        <v>26</v>
      </c>
      <c r="W15" s="320" t="s">
        <v>26</v>
      </c>
      <c r="X15" s="343"/>
      <c r="Y15" s="343"/>
      <c r="Z15" s="320" t="s">
        <v>43</v>
      </c>
      <c r="AA15" s="320" t="s">
        <v>43</v>
      </c>
      <c r="AB15" s="320" t="s">
        <v>43</v>
      </c>
      <c r="AC15" s="320" t="s">
        <v>43</v>
      </c>
      <c r="AD15" s="320" t="s">
        <v>43</v>
      </c>
      <c r="AE15" s="320"/>
      <c r="AF15" s="399"/>
    </row>
    <row r="16" spans="1:32" ht="18" customHeight="1">
      <c r="A16" s="750" t="s">
        <v>54</v>
      </c>
      <c r="B16" s="354" t="s">
        <v>50</v>
      </c>
      <c r="C16" s="321"/>
      <c r="D16" s="321"/>
      <c r="E16" s="321" t="s">
        <v>46</v>
      </c>
      <c r="F16" s="321" t="s">
        <v>46</v>
      </c>
      <c r="G16" s="321" t="s">
        <v>46</v>
      </c>
      <c r="H16" s="321" t="s">
        <v>46</v>
      </c>
      <c r="I16" s="321" t="s">
        <v>46</v>
      </c>
      <c r="J16" s="321" t="s">
        <v>47</v>
      </c>
      <c r="K16" s="321" t="s">
        <v>47</v>
      </c>
      <c r="L16" s="742" t="s">
        <v>26</v>
      </c>
      <c r="M16" s="740" t="s">
        <v>26</v>
      </c>
      <c r="N16" s="740" t="s">
        <v>26</v>
      </c>
      <c r="O16" s="740" t="s">
        <v>26</v>
      </c>
      <c r="P16" s="341" t="s">
        <v>26</v>
      </c>
      <c r="Q16" s="740"/>
      <c r="R16" s="341"/>
      <c r="S16" s="341" t="s">
        <v>43</v>
      </c>
      <c r="T16" s="740" t="s">
        <v>43</v>
      </c>
      <c r="U16" s="341" t="s">
        <v>43</v>
      </c>
      <c r="V16" s="341" t="s">
        <v>43</v>
      </c>
      <c r="W16" s="341" t="s">
        <v>43</v>
      </c>
      <c r="X16" s="341"/>
      <c r="Y16" s="341"/>
      <c r="Z16" s="341" t="s">
        <v>46</v>
      </c>
      <c r="AA16" s="341" t="s">
        <v>46</v>
      </c>
      <c r="AB16" s="320" t="s">
        <v>46</v>
      </c>
      <c r="AC16" s="320" t="s">
        <v>46</v>
      </c>
      <c r="AD16" s="740" t="s">
        <v>46</v>
      </c>
      <c r="AE16" s="740" t="s">
        <v>49</v>
      </c>
      <c r="AF16" s="751" t="s">
        <v>49</v>
      </c>
    </row>
    <row r="17" spans="1:32" ht="18" customHeight="1">
      <c r="A17" s="364" t="s">
        <v>56</v>
      </c>
      <c r="B17" s="341" t="s">
        <v>46</v>
      </c>
      <c r="C17" s="321" t="s">
        <v>47</v>
      </c>
      <c r="D17" s="321" t="s">
        <v>47</v>
      </c>
      <c r="E17" s="321" t="s">
        <v>26</v>
      </c>
      <c r="F17" s="321" t="s">
        <v>26</v>
      </c>
      <c r="G17" s="321" t="s">
        <v>26</v>
      </c>
      <c r="H17" s="321" t="s">
        <v>26</v>
      </c>
      <c r="I17" s="321" t="s">
        <v>26</v>
      </c>
      <c r="J17" s="321"/>
      <c r="K17" s="321"/>
      <c r="L17" s="341" t="s">
        <v>43</v>
      </c>
      <c r="M17" s="341" t="s">
        <v>43</v>
      </c>
      <c r="N17" s="341" t="s">
        <v>43</v>
      </c>
      <c r="O17" s="743" t="s">
        <v>43</v>
      </c>
      <c r="P17" s="341" t="s">
        <v>43</v>
      </c>
      <c r="Q17" s="739"/>
      <c r="R17" s="744"/>
      <c r="S17" s="341" t="s">
        <v>46</v>
      </c>
      <c r="T17" s="739" t="s">
        <v>46</v>
      </c>
      <c r="U17" s="744" t="s">
        <v>46</v>
      </c>
      <c r="V17" s="341" t="s">
        <v>46</v>
      </c>
      <c r="W17" s="744" t="s">
        <v>46</v>
      </c>
      <c r="X17" s="740" t="s">
        <v>49</v>
      </c>
      <c r="Y17" s="740" t="s">
        <v>49</v>
      </c>
      <c r="Z17" s="341" t="s">
        <v>50</v>
      </c>
      <c r="AA17" s="740" t="s">
        <v>50</v>
      </c>
      <c r="AB17" s="740" t="s">
        <v>50</v>
      </c>
      <c r="AC17" s="341" t="s">
        <v>50</v>
      </c>
      <c r="AD17" s="740" t="s">
        <v>50</v>
      </c>
      <c r="AE17" s="740"/>
      <c r="AF17" s="751"/>
    </row>
    <row r="18" spans="1:32" ht="18" customHeight="1">
      <c r="B18" s="369" t="s">
        <v>26</v>
      </c>
      <c r="C18" s="341"/>
      <c r="D18" s="341"/>
      <c r="E18" s="341" t="s">
        <v>43</v>
      </c>
      <c r="F18" s="341" t="s">
        <v>43</v>
      </c>
      <c r="G18" s="341" t="s">
        <v>43</v>
      </c>
      <c r="H18" s="743" t="s">
        <v>43</v>
      </c>
      <c r="I18" s="341" t="s">
        <v>43</v>
      </c>
      <c r="J18" s="343"/>
      <c r="K18" s="343"/>
      <c r="L18" s="745" t="s">
        <v>46</v>
      </c>
      <c r="M18" s="745" t="s">
        <v>46</v>
      </c>
      <c r="N18" s="745" t="s">
        <v>46</v>
      </c>
      <c r="O18" s="745" t="s">
        <v>46</v>
      </c>
      <c r="P18" s="745" t="s">
        <v>46</v>
      </c>
      <c r="Q18" s="341" t="s">
        <v>49</v>
      </c>
      <c r="R18" s="341" t="s">
        <v>49</v>
      </c>
      <c r="S18" s="341" t="s">
        <v>50</v>
      </c>
      <c r="T18" s="341" t="s">
        <v>50</v>
      </c>
      <c r="U18" s="739" t="s">
        <v>50</v>
      </c>
      <c r="V18" s="341" t="s">
        <v>50</v>
      </c>
      <c r="W18" s="341" t="s">
        <v>50</v>
      </c>
      <c r="X18" s="343"/>
      <c r="Y18" s="341"/>
      <c r="Z18" s="341" t="s">
        <v>46</v>
      </c>
      <c r="AA18" s="746" t="s">
        <v>46</v>
      </c>
      <c r="AB18" s="319" t="s">
        <v>46</v>
      </c>
      <c r="AC18" s="746" t="s">
        <v>46</v>
      </c>
      <c r="AD18" s="746" t="s">
        <v>46</v>
      </c>
      <c r="AE18" s="341" t="s">
        <v>47</v>
      </c>
      <c r="AF18" s="751" t="s">
        <v>47</v>
      </c>
    </row>
    <row r="19" spans="1:32" ht="18" customHeight="1">
      <c r="A19" s="780" t="s">
        <v>58</v>
      </c>
      <c r="B19" s="769"/>
      <c r="C19" s="769"/>
      <c r="D19" s="769"/>
      <c r="E19" s="769"/>
      <c r="F19" s="769"/>
      <c r="G19" s="769"/>
      <c r="H19" s="769"/>
      <c r="I19" s="769"/>
      <c r="J19" s="769"/>
      <c r="K19" s="769"/>
      <c r="L19" s="769"/>
      <c r="M19" s="769"/>
      <c r="N19" s="769"/>
      <c r="O19" s="769"/>
      <c r="P19" s="769"/>
      <c r="Q19" s="769"/>
      <c r="R19" s="769"/>
      <c r="S19" s="769"/>
      <c r="T19" s="769"/>
      <c r="U19" s="769"/>
      <c r="V19" s="769"/>
      <c r="W19" s="769"/>
      <c r="X19" s="769"/>
      <c r="Y19" s="769"/>
      <c r="Z19" s="769"/>
      <c r="AA19" s="769"/>
      <c r="AB19" s="769"/>
      <c r="AC19" s="769"/>
      <c r="AD19" s="769"/>
      <c r="AE19" s="769"/>
      <c r="AF19" s="770"/>
    </row>
    <row r="20" spans="1:32" ht="18" customHeight="1">
      <c r="A20" s="470" t="s">
        <v>694</v>
      </c>
      <c r="B20" s="771"/>
      <c r="C20" s="771"/>
      <c r="D20" s="771"/>
      <c r="E20" s="771" t="s">
        <v>40</v>
      </c>
      <c r="F20" s="771" t="s">
        <v>40</v>
      </c>
      <c r="G20" s="771" t="s">
        <v>40</v>
      </c>
      <c r="H20" s="771" t="s">
        <v>40</v>
      </c>
      <c r="I20" s="771" t="s">
        <v>40</v>
      </c>
      <c r="J20" s="771"/>
      <c r="K20" s="771"/>
      <c r="L20" s="771" t="s">
        <v>40</v>
      </c>
      <c r="M20" s="771" t="s">
        <v>40</v>
      </c>
      <c r="N20" s="771" t="s">
        <v>40</v>
      </c>
      <c r="O20" s="771"/>
      <c r="P20" s="771" t="s">
        <v>40</v>
      </c>
      <c r="Q20" s="771"/>
      <c r="R20" s="771"/>
      <c r="S20" s="771" t="s">
        <v>40</v>
      </c>
      <c r="T20" s="771" t="s">
        <v>40</v>
      </c>
      <c r="U20" s="771" t="s">
        <v>40</v>
      </c>
      <c r="V20" s="771" t="s">
        <v>40</v>
      </c>
      <c r="W20" s="771" t="s">
        <v>40</v>
      </c>
      <c r="X20" s="771"/>
      <c r="Y20" s="771"/>
      <c r="Z20" s="771"/>
      <c r="AA20" s="771" t="s">
        <v>40</v>
      </c>
      <c r="AB20" s="771" t="s">
        <v>40</v>
      </c>
      <c r="AC20" s="771" t="s">
        <v>40</v>
      </c>
      <c r="AD20" s="771" t="s">
        <v>40</v>
      </c>
      <c r="AE20" s="771"/>
      <c r="AF20" s="772"/>
    </row>
    <row r="21" spans="1:32" ht="18" customHeight="1">
      <c r="A21" s="364" t="s">
        <v>364</v>
      </c>
      <c r="B21" s="340"/>
      <c r="C21" s="340"/>
      <c r="D21" s="340"/>
      <c r="E21" s="339" t="s">
        <v>40</v>
      </c>
      <c r="F21" s="339" t="s">
        <v>40</v>
      </c>
      <c r="G21" s="339" t="s">
        <v>40</v>
      </c>
      <c r="H21" s="339" t="s">
        <v>40</v>
      </c>
      <c r="I21" s="339" t="s">
        <v>40</v>
      </c>
      <c r="J21" s="339"/>
      <c r="K21" s="339"/>
      <c r="L21" s="339" t="s">
        <v>40</v>
      </c>
      <c r="M21" s="339" t="s">
        <v>40</v>
      </c>
      <c r="N21" s="339" t="s">
        <v>40</v>
      </c>
      <c r="O21" s="339"/>
      <c r="P21" s="339" t="s">
        <v>40</v>
      </c>
      <c r="Q21" s="339"/>
      <c r="R21" s="339"/>
      <c r="S21" s="339" t="s">
        <v>40</v>
      </c>
      <c r="T21" s="339" t="s">
        <v>40</v>
      </c>
      <c r="U21" s="339" t="s">
        <v>40</v>
      </c>
      <c r="V21" s="339" t="s">
        <v>40</v>
      </c>
      <c r="W21" s="339" t="s">
        <v>40</v>
      </c>
      <c r="X21" s="339"/>
      <c r="Y21" s="339"/>
      <c r="Z21" s="339"/>
      <c r="AA21" s="339" t="s">
        <v>40</v>
      </c>
      <c r="AB21" s="339" t="s">
        <v>40</v>
      </c>
      <c r="AC21" s="339" t="s">
        <v>40</v>
      </c>
      <c r="AD21" s="339" t="s">
        <v>40</v>
      </c>
      <c r="AE21" s="339"/>
      <c r="AF21" s="380"/>
    </row>
    <row r="22" spans="1:32" ht="18" customHeight="1">
      <c r="A22" s="1289" t="s">
        <v>618</v>
      </c>
      <c r="B22" s="1073"/>
      <c r="C22" s="1073"/>
      <c r="D22" s="1073"/>
      <c r="E22" s="1073"/>
      <c r="F22" s="1073"/>
      <c r="G22" s="1073"/>
      <c r="H22" s="1073"/>
      <c r="I22" s="1073"/>
      <c r="J22" s="1073"/>
      <c r="K22" s="1073"/>
      <c r="L22" s="1073"/>
      <c r="M22" s="1073"/>
      <c r="N22" s="1073"/>
      <c r="O22" s="1073"/>
      <c r="P22" s="1073"/>
      <c r="Q22" s="1073"/>
      <c r="R22" s="1073"/>
      <c r="S22" s="1073"/>
      <c r="T22" s="1073"/>
      <c r="U22" s="1073"/>
      <c r="V22" s="1073"/>
      <c r="W22" s="1073"/>
      <c r="X22" s="1073"/>
      <c r="Y22" s="1073"/>
      <c r="Z22" s="1073"/>
      <c r="AA22" s="1073"/>
      <c r="AB22" s="1073"/>
      <c r="AC22" s="1073"/>
      <c r="AD22" s="1073"/>
      <c r="AE22" s="1073"/>
      <c r="AF22" s="1074"/>
    </row>
    <row r="23" spans="1:32" ht="18" customHeight="1">
      <c r="A23" s="364" t="s">
        <v>522</v>
      </c>
      <c r="B23" s="344"/>
      <c r="C23" s="344"/>
      <c r="D23" s="340"/>
      <c r="E23" s="339" t="s">
        <v>40</v>
      </c>
      <c r="F23" s="339" t="s">
        <v>40</v>
      </c>
      <c r="G23" s="339" t="s">
        <v>40</v>
      </c>
      <c r="H23" s="339" t="s">
        <v>40</v>
      </c>
      <c r="I23" s="339" t="s">
        <v>40</v>
      </c>
      <c r="J23" s="339"/>
      <c r="K23" s="339"/>
      <c r="L23" s="339" t="s">
        <v>40</v>
      </c>
      <c r="M23" s="339" t="s">
        <v>40</v>
      </c>
      <c r="N23" s="339" t="s">
        <v>40</v>
      </c>
      <c r="O23" s="339"/>
      <c r="P23" s="339" t="s">
        <v>40</v>
      </c>
      <c r="Q23" s="339"/>
      <c r="R23" s="339"/>
      <c r="S23" s="339" t="s">
        <v>40</v>
      </c>
      <c r="T23" s="339" t="s">
        <v>40</v>
      </c>
      <c r="U23" s="339" t="s">
        <v>40</v>
      </c>
      <c r="V23" s="339" t="s">
        <v>40</v>
      </c>
      <c r="W23" s="339" t="s">
        <v>40</v>
      </c>
      <c r="X23" s="339"/>
      <c r="Y23" s="339"/>
      <c r="Z23" s="339"/>
      <c r="AA23" s="339" t="s">
        <v>40</v>
      </c>
      <c r="AB23" s="339" t="s">
        <v>40</v>
      </c>
      <c r="AC23" s="339" t="s">
        <v>40</v>
      </c>
      <c r="AD23" s="339" t="s">
        <v>40</v>
      </c>
      <c r="AE23" s="339"/>
      <c r="AF23" s="380"/>
    </row>
    <row r="24" spans="1:32" ht="18" customHeight="1" thickBot="1">
      <c r="A24" s="470" t="s">
        <v>59</v>
      </c>
      <c r="B24" s="763"/>
      <c r="C24" s="763"/>
      <c r="D24" s="764"/>
      <c r="E24" s="442"/>
      <c r="F24" s="442"/>
      <c r="G24" s="442"/>
      <c r="H24" s="442"/>
      <c r="I24" s="442"/>
      <c r="J24" s="442"/>
      <c r="K24" s="442"/>
      <c r="L24" s="442"/>
      <c r="M24" s="442"/>
      <c r="N24" s="442"/>
      <c r="O24" s="442"/>
      <c r="P24" s="442"/>
      <c r="Q24" s="442"/>
      <c r="R24" s="442"/>
      <c r="S24" s="442"/>
      <c r="T24" s="442"/>
      <c r="U24" s="442"/>
      <c r="V24" s="442"/>
      <c r="W24" s="442"/>
      <c r="X24" s="442"/>
      <c r="Y24" s="442"/>
      <c r="Z24" s="442"/>
      <c r="AA24" s="442"/>
      <c r="AB24" s="442"/>
      <c r="AC24" s="442"/>
      <c r="AD24" s="442"/>
      <c r="AE24" s="442"/>
      <c r="AF24" s="447"/>
    </row>
    <row r="25" spans="1:32" ht="18" customHeight="1" thickBot="1">
      <c r="A25" s="461" t="s">
        <v>619</v>
      </c>
      <c r="B25" s="761"/>
      <c r="C25" s="761"/>
      <c r="D25" s="762"/>
      <c r="E25" s="755"/>
      <c r="F25" s="755"/>
      <c r="G25" s="755"/>
      <c r="H25" s="755"/>
      <c r="I25" s="755"/>
      <c r="J25" s="755"/>
      <c r="K25" s="755"/>
      <c r="L25" s="755"/>
      <c r="M25" s="755"/>
      <c r="N25" s="755"/>
      <c r="O25" s="755"/>
      <c r="P25" s="755"/>
      <c r="Q25" s="755"/>
      <c r="R25" s="755"/>
      <c r="S25" s="755"/>
      <c r="T25" s="755"/>
      <c r="U25" s="755"/>
      <c r="V25" s="755"/>
      <c r="W25" s="755"/>
      <c r="X25" s="755"/>
      <c r="Y25" s="755"/>
      <c r="Z25" s="755"/>
      <c r="AA25" s="755"/>
      <c r="AB25" s="755"/>
      <c r="AC25" s="755"/>
      <c r="AD25" s="755"/>
      <c r="AE25" s="755"/>
      <c r="AF25" s="756"/>
    </row>
    <row r="26" spans="1:32" ht="18" customHeight="1" thickBot="1">
      <c r="A26" s="765" t="s">
        <v>695</v>
      </c>
      <c r="B26" s="766"/>
      <c r="C26" s="767"/>
      <c r="D26" s="767"/>
      <c r="E26" s="767" t="s">
        <v>40</v>
      </c>
      <c r="F26" s="767" t="s">
        <v>40</v>
      </c>
      <c r="G26" s="767" t="s">
        <v>40</v>
      </c>
      <c r="H26" s="767" t="s">
        <v>40</v>
      </c>
      <c r="I26" s="767" t="s">
        <v>40</v>
      </c>
      <c r="J26" s="767"/>
      <c r="K26" s="767"/>
      <c r="L26" s="767" t="s">
        <v>40</v>
      </c>
      <c r="M26" s="767" t="s">
        <v>40</v>
      </c>
      <c r="N26" s="767" t="s">
        <v>40</v>
      </c>
      <c r="O26" s="767"/>
      <c r="P26" s="767" t="s">
        <v>40</v>
      </c>
      <c r="Q26" s="767"/>
      <c r="R26" s="767"/>
      <c r="S26" s="767" t="s">
        <v>40</v>
      </c>
      <c r="T26" s="767" t="s">
        <v>40</v>
      </c>
      <c r="U26" s="767" t="s">
        <v>40</v>
      </c>
      <c r="V26" s="767" t="s">
        <v>40</v>
      </c>
      <c r="W26" s="767" t="s">
        <v>40</v>
      </c>
      <c r="X26" s="767"/>
      <c r="Y26" s="767"/>
      <c r="Z26" s="767"/>
      <c r="AA26" s="767" t="s">
        <v>40</v>
      </c>
      <c r="AB26" s="767" t="s">
        <v>40</v>
      </c>
      <c r="AC26" s="767" t="s">
        <v>40</v>
      </c>
      <c r="AD26" s="767" t="s">
        <v>40</v>
      </c>
      <c r="AE26" s="767"/>
      <c r="AF26" s="768"/>
    </row>
    <row r="27" spans="1:32" ht="18" customHeight="1">
      <c r="A27" s="753" t="s">
        <v>620</v>
      </c>
      <c r="B27" s="754"/>
      <c r="C27" s="755"/>
      <c r="D27" s="755"/>
      <c r="E27" s="755"/>
      <c r="F27" s="755"/>
      <c r="G27" s="755"/>
      <c r="H27" s="755"/>
      <c r="I27" s="755"/>
      <c r="J27" s="755"/>
      <c r="K27" s="755"/>
      <c r="L27" s="755"/>
      <c r="M27" s="755"/>
      <c r="N27" s="755"/>
      <c r="O27" s="755"/>
      <c r="P27" s="755"/>
      <c r="Q27" s="755"/>
      <c r="R27" s="755"/>
      <c r="S27" s="755"/>
      <c r="T27" s="755"/>
      <c r="U27" s="755"/>
      <c r="V27" s="755"/>
      <c r="W27" s="755"/>
      <c r="X27" s="755"/>
      <c r="Y27" s="755"/>
      <c r="Z27" s="755"/>
      <c r="AA27" s="755"/>
      <c r="AB27" s="755"/>
      <c r="AC27" s="755"/>
      <c r="AD27" s="755"/>
      <c r="AE27" s="755"/>
      <c r="AF27" s="756"/>
    </row>
    <row r="28" spans="1:32" ht="18" customHeight="1">
      <c r="A28" s="757" t="s">
        <v>65</v>
      </c>
      <c r="B28" s="758"/>
      <c r="C28" s="759"/>
      <c r="D28" s="759"/>
      <c r="E28" s="759"/>
      <c r="F28" s="759"/>
      <c r="G28" s="759"/>
      <c r="H28" s="759"/>
      <c r="I28" s="759"/>
      <c r="J28" s="759"/>
      <c r="K28" s="759"/>
      <c r="L28" s="759"/>
      <c r="M28" s="759"/>
      <c r="N28" s="759"/>
      <c r="O28" s="759"/>
      <c r="P28" s="759"/>
      <c r="Q28" s="759"/>
      <c r="R28" s="759"/>
      <c r="S28" s="759"/>
      <c r="T28" s="759"/>
      <c r="U28" s="759"/>
      <c r="V28" s="759"/>
      <c r="W28" s="759"/>
      <c r="X28" s="759"/>
      <c r="Y28" s="759"/>
      <c r="Z28" s="759"/>
      <c r="AA28" s="759"/>
      <c r="AB28" s="759"/>
      <c r="AC28" s="759"/>
      <c r="AD28" s="759"/>
      <c r="AE28" s="759"/>
      <c r="AF28" s="760"/>
    </row>
    <row r="29" spans="1:32" ht="18" customHeight="1">
      <c r="A29" s="422"/>
      <c r="B29" s="127"/>
      <c r="C29" s="129"/>
      <c r="D29" s="129"/>
      <c r="E29" s="129"/>
      <c r="F29" s="129"/>
      <c r="G29" s="129"/>
      <c r="H29" s="129"/>
      <c r="I29" s="129"/>
      <c r="J29" s="129"/>
      <c r="K29" s="129"/>
      <c r="L29" s="129"/>
      <c r="M29" s="129"/>
      <c r="N29" s="129"/>
      <c r="O29" s="129"/>
      <c r="P29" s="129"/>
      <c r="Q29" s="129"/>
      <c r="R29" s="129"/>
      <c r="S29" s="129"/>
      <c r="T29" s="129"/>
      <c r="U29" s="129"/>
      <c r="V29" s="129"/>
      <c r="W29" s="129"/>
      <c r="X29" s="129"/>
      <c r="Y29" s="129"/>
      <c r="Z29" s="129"/>
      <c r="AA29" s="129"/>
      <c r="AB29" s="129"/>
      <c r="AC29" s="129"/>
      <c r="AD29" s="129"/>
      <c r="AE29" s="129"/>
      <c r="AF29" s="129"/>
    </row>
    <row r="30" spans="1:32" ht="15">
      <c r="A30" s="361" t="s">
        <v>584</v>
      </c>
      <c r="B30" s="783">
        <v>1</v>
      </c>
      <c r="C30" s="450">
        <v>2</v>
      </c>
      <c r="D30" s="450">
        <v>3</v>
      </c>
      <c r="E30" s="450">
        <v>4</v>
      </c>
      <c r="F30" s="450">
        <v>5</v>
      </c>
      <c r="G30" s="450">
        <v>6</v>
      </c>
      <c r="H30" s="783">
        <v>7</v>
      </c>
      <c r="I30" s="783">
        <v>8</v>
      </c>
      <c r="J30" s="783">
        <v>9</v>
      </c>
      <c r="K30" s="783">
        <v>10</v>
      </c>
      <c r="L30" s="450">
        <v>11</v>
      </c>
      <c r="M30" s="450">
        <v>12</v>
      </c>
      <c r="N30" s="783">
        <v>13</v>
      </c>
      <c r="O30" s="783">
        <v>14</v>
      </c>
      <c r="P30" s="783">
        <v>15</v>
      </c>
      <c r="Q30" s="783">
        <v>16</v>
      </c>
      <c r="R30" s="783">
        <v>17</v>
      </c>
      <c r="S30" s="450">
        <v>18</v>
      </c>
      <c r="T30" s="450">
        <v>19</v>
      </c>
      <c r="U30" s="783">
        <v>20</v>
      </c>
      <c r="V30" s="783">
        <v>21</v>
      </c>
      <c r="W30" s="783">
        <v>22</v>
      </c>
      <c r="X30" s="783">
        <v>23</v>
      </c>
      <c r="Y30" s="783">
        <v>24</v>
      </c>
      <c r="Z30" s="450">
        <v>25</v>
      </c>
      <c r="AA30" s="450">
        <v>26</v>
      </c>
      <c r="AB30" s="783">
        <v>27</v>
      </c>
      <c r="AC30" s="783">
        <v>28</v>
      </c>
      <c r="AD30" s="783">
        <v>29</v>
      </c>
      <c r="AE30" s="783">
        <v>30</v>
      </c>
      <c r="AF30" s="784">
        <v>31</v>
      </c>
    </row>
    <row r="31" spans="1:32">
      <c r="A31" s="356"/>
      <c r="B31" s="343"/>
      <c r="C31" s="343"/>
      <c r="D31" s="343"/>
      <c r="E31" s="343"/>
      <c r="F31" s="343"/>
      <c r="G31" s="343"/>
      <c r="H31" s="343"/>
      <c r="I31" s="343"/>
      <c r="J31" s="343"/>
      <c r="K31" s="343"/>
      <c r="L31" s="343"/>
      <c r="M31" s="343"/>
      <c r="N31" s="343"/>
      <c r="O31" s="343"/>
      <c r="P31" s="343"/>
      <c r="Q31" s="343"/>
      <c r="R31" s="343"/>
      <c r="S31" s="343"/>
      <c r="T31" s="343"/>
      <c r="U31" s="343"/>
      <c r="V31" s="343"/>
      <c r="W31" s="343"/>
      <c r="X31" s="343"/>
      <c r="Y31" s="343"/>
      <c r="Z31" s="343"/>
      <c r="AA31" s="343"/>
      <c r="AB31" s="343"/>
      <c r="AC31" s="343"/>
      <c r="AD31" s="343"/>
      <c r="AE31" s="343"/>
      <c r="AF31" s="357"/>
    </row>
    <row r="32" spans="1:32">
      <c r="A32" s="356"/>
      <c r="B32" s="343"/>
      <c r="C32" s="343"/>
      <c r="D32" s="343"/>
      <c r="E32" s="343"/>
      <c r="F32" s="343"/>
      <c r="G32" s="343"/>
      <c r="H32" s="343"/>
      <c r="I32" s="343"/>
      <c r="J32" s="343"/>
      <c r="K32" s="343"/>
      <c r="L32" s="343"/>
      <c r="M32" s="343"/>
      <c r="N32" s="343"/>
      <c r="O32" s="343"/>
      <c r="P32" s="343"/>
      <c r="Q32" s="343"/>
      <c r="R32" s="343"/>
      <c r="S32" s="343"/>
      <c r="T32" s="343"/>
      <c r="U32" s="343"/>
      <c r="V32" s="343"/>
      <c r="W32" s="343"/>
      <c r="X32" s="343"/>
      <c r="Y32" s="343"/>
      <c r="Z32" s="343"/>
      <c r="AA32" s="343"/>
      <c r="AB32" s="343"/>
      <c r="AC32" s="343"/>
      <c r="AD32" s="343"/>
      <c r="AE32" s="343"/>
      <c r="AF32" s="357"/>
    </row>
    <row r="33" spans="1:32">
      <c r="A33" s="356"/>
      <c r="B33" s="343"/>
      <c r="C33" s="343"/>
      <c r="D33" s="343"/>
      <c r="E33" s="343"/>
      <c r="F33" s="343"/>
      <c r="G33" s="343"/>
      <c r="H33" s="343"/>
      <c r="I33" s="343"/>
      <c r="J33" s="343"/>
      <c r="K33" s="343"/>
      <c r="L33" s="343"/>
      <c r="M33" s="343"/>
      <c r="N33" s="343"/>
      <c r="O33" s="343"/>
      <c r="P33" s="343"/>
      <c r="Q33" s="343"/>
      <c r="R33" s="343"/>
      <c r="S33" s="343"/>
      <c r="T33" s="343"/>
      <c r="U33" s="343"/>
      <c r="V33" s="343"/>
      <c r="W33" s="343"/>
      <c r="X33" s="343"/>
      <c r="Y33" s="343"/>
      <c r="Z33" s="343"/>
      <c r="AA33" s="343"/>
      <c r="AB33" s="343"/>
      <c r="AC33" s="343"/>
      <c r="AD33" s="343"/>
      <c r="AE33" s="343"/>
      <c r="AF33" s="357"/>
    </row>
    <row r="34" spans="1:32">
      <c r="A34" s="356"/>
      <c r="B34" s="343"/>
      <c r="C34" s="343"/>
      <c r="D34" s="343"/>
      <c r="E34" s="343"/>
      <c r="F34" s="343"/>
      <c r="G34" s="343"/>
      <c r="H34" s="343"/>
      <c r="I34" s="343"/>
      <c r="J34" s="343"/>
      <c r="K34" s="343"/>
      <c r="L34" s="343"/>
      <c r="M34" s="343"/>
      <c r="N34" s="343"/>
      <c r="O34" s="343"/>
      <c r="P34" s="343"/>
      <c r="Q34" s="343"/>
      <c r="R34" s="343"/>
      <c r="S34" s="343"/>
      <c r="T34" s="343"/>
      <c r="U34" s="343"/>
      <c r="V34" s="343"/>
      <c r="W34" s="343"/>
      <c r="X34" s="343"/>
      <c r="Y34" s="343"/>
      <c r="Z34" s="343"/>
      <c r="AA34" s="343"/>
      <c r="AB34" s="343"/>
      <c r="AC34" s="343"/>
      <c r="AD34" s="343"/>
      <c r="AE34" s="343"/>
      <c r="AF34" s="357"/>
    </row>
    <row r="35" spans="1:32">
      <c r="A35" s="358"/>
      <c r="B35" s="359"/>
      <c r="C35" s="359"/>
      <c r="D35" s="359"/>
      <c r="E35" s="359"/>
      <c r="F35" s="359"/>
      <c r="G35" s="359"/>
      <c r="H35" s="359"/>
      <c r="I35" s="359"/>
      <c r="J35" s="359"/>
      <c r="K35" s="359"/>
      <c r="L35" s="359"/>
      <c r="M35" s="359"/>
      <c r="N35" s="359"/>
      <c r="O35" s="359"/>
      <c r="P35" s="359"/>
      <c r="Q35" s="359"/>
      <c r="R35" s="359"/>
      <c r="S35" s="359"/>
      <c r="T35" s="359"/>
      <c r="U35" s="359"/>
      <c r="V35" s="359"/>
      <c r="W35" s="359"/>
      <c r="X35" s="359"/>
      <c r="Y35" s="359"/>
      <c r="Z35" s="359"/>
      <c r="AA35" s="359"/>
      <c r="AB35" s="359"/>
      <c r="AC35" s="359"/>
      <c r="AD35" s="359"/>
      <c r="AE35" s="359"/>
      <c r="AF35" s="360"/>
    </row>
    <row r="37" spans="1:32" ht="18" customHeight="1">
      <c r="A37" s="96" t="s">
        <v>66</v>
      </c>
      <c r="O37" t="s">
        <v>0</v>
      </c>
      <c r="Q37" t="s">
        <v>67</v>
      </c>
      <c r="R37" t="s">
        <v>0</v>
      </c>
      <c r="S37" t="s">
        <v>68</v>
      </c>
    </row>
    <row r="38" spans="1:32" ht="18" customHeight="1">
      <c r="A38" s="3056" t="s">
        <v>69</v>
      </c>
      <c r="B38" s="3057"/>
      <c r="C38" s="3057"/>
      <c r="D38" s="3058" t="s">
        <v>70</v>
      </c>
      <c r="E38" s="3059"/>
      <c r="F38" s="3059"/>
      <c r="G38" s="3059"/>
      <c r="H38" s="3059"/>
      <c r="I38" s="3059"/>
      <c r="J38" s="3059"/>
      <c r="K38" s="3059"/>
      <c r="L38" s="3059"/>
      <c r="M38" s="3060" t="s">
        <v>71</v>
      </c>
      <c r="N38" s="3059"/>
      <c r="O38" s="3059"/>
      <c r="P38" s="3059"/>
      <c r="Q38" s="3059"/>
      <c r="R38" s="3059"/>
      <c r="S38" s="3061"/>
      <c r="T38" s="3062" t="s">
        <v>72</v>
      </c>
      <c r="U38" s="3062"/>
      <c r="V38" s="3062"/>
      <c r="W38" s="3062"/>
      <c r="X38" s="3062"/>
      <c r="Y38" s="3062"/>
      <c r="Z38" s="3062"/>
      <c r="AA38" s="3063" t="s">
        <v>73</v>
      </c>
      <c r="AB38" s="3064"/>
      <c r="AC38" s="3064"/>
      <c r="AD38" s="3064"/>
      <c r="AE38" s="3064"/>
      <c r="AF38" s="3064"/>
    </row>
    <row r="39" spans="1:32" ht="18" customHeight="1">
      <c r="A39" s="5766" t="s">
        <v>74</v>
      </c>
      <c r="B39" s="5767"/>
      <c r="C39" s="5767"/>
      <c r="D39" s="5768" t="s">
        <v>75</v>
      </c>
      <c r="E39" s="5769"/>
      <c r="F39" s="5770"/>
      <c r="G39" s="5770"/>
      <c r="H39" s="5770"/>
      <c r="I39" s="5770"/>
      <c r="J39" s="5770"/>
      <c r="K39" s="5770"/>
      <c r="L39" s="5771"/>
      <c r="M39" s="5772" t="s">
        <v>76</v>
      </c>
      <c r="N39" s="5767"/>
      <c r="O39" s="5773"/>
      <c r="P39" s="5767"/>
      <c r="Q39" s="5767"/>
      <c r="R39" s="5767"/>
      <c r="S39" s="5774"/>
      <c r="T39" s="5768" t="s">
        <v>77</v>
      </c>
      <c r="U39" s="5770"/>
      <c r="V39" s="5769"/>
      <c r="W39" s="5770"/>
      <c r="X39" s="5770"/>
      <c r="Y39" s="5770"/>
      <c r="Z39" s="5771"/>
      <c r="AA39" s="97" t="s">
        <v>78</v>
      </c>
      <c r="AD39" s="59"/>
    </row>
    <row r="40" spans="1:32" ht="18" customHeight="1">
      <c r="A40" s="5775" t="s">
        <v>79</v>
      </c>
      <c r="B40" s="5770"/>
      <c r="C40" s="5770"/>
      <c r="D40" s="5776"/>
      <c r="E40" s="5770"/>
      <c r="F40" s="5770"/>
      <c r="G40" s="5771"/>
      <c r="H40" s="5777" t="s">
        <v>80</v>
      </c>
      <c r="I40" s="5770"/>
      <c r="J40" s="5770"/>
      <c r="K40" s="5770"/>
      <c r="L40" s="5770"/>
      <c r="M40" s="5778"/>
      <c r="N40" s="5770"/>
      <c r="O40" s="5770"/>
      <c r="P40" s="5770"/>
      <c r="Q40" s="5770"/>
      <c r="R40" s="5770"/>
      <c r="S40" s="5770"/>
      <c r="T40" s="5776"/>
      <c r="U40" s="96" t="s">
        <v>81</v>
      </c>
      <c r="AA40" s="5773"/>
      <c r="AB40" s="5767"/>
      <c r="AC40" s="5767"/>
      <c r="AD40" s="5767"/>
      <c r="AE40" s="5767"/>
      <c r="AF40" s="5767"/>
    </row>
    <row r="41" spans="1:32" ht="18" customHeight="1">
      <c r="A41" s="5779" t="s">
        <v>82</v>
      </c>
      <c r="B41" s="5780"/>
      <c r="C41" s="5780"/>
      <c r="D41" s="5781"/>
      <c r="E41" s="5780"/>
      <c r="F41" s="5780"/>
      <c r="G41" s="5782"/>
      <c r="H41" s="5783" t="s">
        <v>83</v>
      </c>
      <c r="I41" s="5782"/>
      <c r="J41" s="5780"/>
      <c r="K41" s="5780"/>
      <c r="L41" s="5780"/>
      <c r="M41" s="5784"/>
      <c r="N41" s="5780"/>
      <c r="O41" s="5780"/>
      <c r="P41" s="5780"/>
      <c r="Q41" s="5785"/>
      <c r="R41" s="5785"/>
      <c r="S41" s="5785"/>
      <c r="T41" s="5781"/>
      <c r="U41" s="5786" t="s">
        <v>84</v>
      </c>
      <c r="V41" s="5780"/>
      <c r="W41" s="5780"/>
      <c r="X41" s="5780"/>
      <c r="Y41" s="5780"/>
      <c r="Z41" s="5780"/>
      <c r="AA41" s="5780"/>
      <c r="AB41" s="5780"/>
      <c r="AC41" s="5780"/>
      <c r="AD41" s="5780"/>
      <c r="AE41" s="5780"/>
      <c r="AF41" s="5780"/>
    </row>
    <row r="42" spans="1:32" ht="18" customHeight="1">
      <c r="A42" s="62" t="s">
        <v>36</v>
      </c>
      <c r="AF42" s="103"/>
    </row>
    <row r="43" spans="1:32" ht="18" customHeight="1">
      <c r="A43" s="426" t="s">
        <v>523</v>
      </c>
      <c r="B43" s="2986">
        <v>1</v>
      </c>
      <c r="C43" s="2986">
        <v>2</v>
      </c>
      <c r="D43" s="2986">
        <v>3</v>
      </c>
      <c r="E43" s="2985">
        <v>4</v>
      </c>
      <c r="F43" s="2985">
        <v>5</v>
      </c>
      <c r="G43" s="2985">
        <v>6</v>
      </c>
      <c r="H43" s="2985">
        <v>7</v>
      </c>
      <c r="I43" s="2985">
        <v>8</v>
      </c>
      <c r="J43" s="2986">
        <v>9</v>
      </c>
      <c r="K43" s="2986">
        <v>10</v>
      </c>
      <c r="L43" s="2985">
        <v>11</v>
      </c>
      <c r="M43" s="2985">
        <v>12</v>
      </c>
      <c r="N43" s="2985">
        <v>13</v>
      </c>
      <c r="O43" s="2986">
        <v>14</v>
      </c>
      <c r="P43" s="2985">
        <v>15</v>
      </c>
      <c r="Q43" s="2986">
        <v>16</v>
      </c>
      <c r="R43" s="2986">
        <v>17</v>
      </c>
      <c r="S43" s="2985">
        <v>18</v>
      </c>
      <c r="T43" s="2985">
        <v>19</v>
      </c>
      <c r="U43" s="2985">
        <v>20</v>
      </c>
      <c r="V43" s="2985">
        <v>21</v>
      </c>
      <c r="W43" s="2985">
        <v>22</v>
      </c>
      <c r="X43" s="2986">
        <v>23</v>
      </c>
      <c r="Y43" s="2986">
        <v>24</v>
      </c>
      <c r="Z43" s="2986">
        <v>25</v>
      </c>
      <c r="AA43" s="2985">
        <v>26</v>
      </c>
      <c r="AB43" s="2985">
        <v>27</v>
      </c>
      <c r="AC43" s="2985">
        <v>28</v>
      </c>
      <c r="AD43" s="2985">
        <v>29</v>
      </c>
      <c r="AE43" s="2986">
        <v>30</v>
      </c>
      <c r="AF43" s="2986">
        <v>31</v>
      </c>
    </row>
    <row r="44" spans="1:32" ht="18" customHeight="1">
      <c r="A44" s="781" t="s">
        <v>85</v>
      </c>
      <c r="B44" s="3088" t="s">
        <v>46</v>
      </c>
      <c r="C44" s="3089"/>
      <c r="D44" s="3088"/>
      <c r="E44" s="3088">
        <v>1</v>
      </c>
      <c r="F44" s="3088">
        <v>1</v>
      </c>
      <c r="G44" s="3088">
        <v>1</v>
      </c>
      <c r="H44" s="3088">
        <v>1</v>
      </c>
      <c r="I44" s="5787">
        <v>1</v>
      </c>
      <c r="J44" s="3088"/>
      <c r="K44" s="3088"/>
      <c r="L44" s="3088">
        <v>9</v>
      </c>
      <c r="M44" s="3088">
        <v>9</v>
      </c>
      <c r="N44" s="3089">
        <v>9</v>
      </c>
      <c r="O44" s="3088">
        <v>9</v>
      </c>
      <c r="P44" s="3090">
        <v>9</v>
      </c>
      <c r="Q44" s="3089" t="s">
        <v>52</v>
      </c>
      <c r="R44" s="3088" t="s">
        <v>53</v>
      </c>
      <c r="S44" s="3088" t="s">
        <v>46</v>
      </c>
      <c r="T44" s="3088" t="s">
        <v>46</v>
      </c>
      <c r="U44" s="3088" t="s">
        <v>46</v>
      </c>
      <c r="V44" s="3088" t="s">
        <v>46</v>
      </c>
      <c r="W44" s="3090" t="s">
        <v>46</v>
      </c>
      <c r="X44" s="3090" t="s">
        <v>91</v>
      </c>
      <c r="Y44" s="3088" t="s">
        <v>89</v>
      </c>
      <c r="Z44" s="3088">
        <v>6</v>
      </c>
      <c r="AA44" s="3090">
        <v>6</v>
      </c>
      <c r="AB44" s="3090">
        <v>6</v>
      </c>
      <c r="AC44" s="3090">
        <v>6</v>
      </c>
      <c r="AD44" s="3088">
        <v>6</v>
      </c>
      <c r="AE44" s="3088"/>
      <c r="AF44" s="3088"/>
    </row>
    <row r="45" spans="1:32" ht="18" customHeight="1">
      <c r="A45" s="364" t="s">
        <v>177</v>
      </c>
      <c r="B45" s="5788" t="s">
        <v>46</v>
      </c>
      <c r="C45" s="5788"/>
      <c r="D45" s="5788"/>
      <c r="E45" s="5788">
        <v>5</v>
      </c>
      <c r="F45" s="5788">
        <v>5</v>
      </c>
      <c r="G45" s="5788">
        <v>5</v>
      </c>
      <c r="H45" s="5788">
        <v>5</v>
      </c>
      <c r="I45" s="5788">
        <v>5</v>
      </c>
      <c r="J45" s="5788"/>
      <c r="K45" s="5788"/>
      <c r="L45" s="5788">
        <v>10</v>
      </c>
      <c r="M45" s="5788">
        <v>10</v>
      </c>
      <c r="N45" s="5788">
        <v>10</v>
      </c>
      <c r="O45" s="5788">
        <v>10</v>
      </c>
      <c r="P45" s="5788">
        <v>10</v>
      </c>
      <c r="Q45" s="5788" t="s">
        <v>53</v>
      </c>
      <c r="R45" s="5788" t="s">
        <v>53</v>
      </c>
      <c r="S45" s="5788" t="s">
        <v>46</v>
      </c>
      <c r="T45" s="5788" t="s">
        <v>46</v>
      </c>
      <c r="U45" s="5788" t="s">
        <v>46</v>
      </c>
      <c r="V45" s="5788" t="s">
        <v>46</v>
      </c>
      <c r="W45" s="5788" t="s">
        <v>46</v>
      </c>
      <c r="X45" s="5788" t="s">
        <v>86</v>
      </c>
      <c r="Y45" s="5788" t="s">
        <v>86</v>
      </c>
      <c r="Z45" s="5788">
        <v>7</v>
      </c>
      <c r="AA45" s="5788">
        <v>7</v>
      </c>
      <c r="AB45" s="5788">
        <v>7</v>
      </c>
      <c r="AC45" s="5788">
        <v>7</v>
      </c>
      <c r="AD45" s="5788">
        <v>7</v>
      </c>
      <c r="AE45" s="5788"/>
      <c r="AF45" s="5788"/>
    </row>
    <row r="46" spans="1:32" ht="18" customHeight="1">
      <c r="A46" s="469" t="s">
        <v>90</v>
      </c>
      <c r="B46" s="5789">
        <v>4</v>
      </c>
      <c r="C46" s="5789"/>
      <c r="D46" s="5790"/>
      <c r="E46" s="5789">
        <v>3</v>
      </c>
      <c r="F46" s="5789">
        <v>3</v>
      </c>
      <c r="G46" s="5789">
        <v>3</v>
      </c>
      <c r="H46" s="5789">
        <v>3</v>
      </c>
      <c r="I46" s="5789">
        <v>3</v>
      </c>
      <c r="J46" s="5789"/>
      <c r="K46" s="5789"/>
      <c r="L46" s="5791">
        <v>11</v>
      </c>
      <c r="M46" s="5789">
        <v>11</v>
      </c>
      <c r="N46" s="5789">
        <v>11</v>
      </c>
      <c r="O46" s="5789">
        <v>11</v>
      </c>
      <c r="P46" s="5789">
        <v>11</v>
      </c>
      <c r="Q46" s="5789" t="s">
        <v>87</v>
      </c>
      <c r="R46" s="5789" t="s">
        <v>87</v>
      </c>
      <c r="S46" s="5792" t="s">
        <v>46</v>
      </c>
      <c r="T46" s="5789" t="s">
        <v>46</v>
      </c>
      <c r="U46" s="5789" t="s">
        <v>46</v>
      </c>
      <c r="V46" s="5789" t="s">
        <v>46</v>
      </c>
      <c r="W46" s="5789" t="s">
        <v>46</v>
      </c>
      <c r="X46" s="5789" t="s">
        <v>89</v>
      </c>
      <c r="Y46" s="5789" t="s">
        <v>89</v>
      </c>
      <c r="Z46" s="5789">
        <v>8</v>
      </c>
      <c r="AA46" s="5789">
        <v>8</v>
      </c>
      <c r="AB46" s="5789">
        <v>8</v>
      </c>
      <c r="AC46" s="5789">
        <v>8</v>
      </c>
      <c r="AD46" s="5789">
        <v>8</v>
      </c>
      <c r="AE46" s="5789"/>
      <c r="AF46" s="5789"/>
    </row>
    <row r="47" spans="1:32" ht="18" customHeight="1">
      <c r="A47" s="470" t="s">
        <v>92</v>
      </c>
      <c r="B47" s="2989">
        <v>1</v>
      </c>
      <c r="C47" s="2990"/>
      <c r="D47" s="2990"/>
      <c r="E47" s="2989">
        <v>9</v>
      </c>
      <c r="F47" s="2989">
        <v>9</v>
      </c>
      <c r="G47" s="3088">
        <v>9</v>
      </c>
      <c r="H47" s="3088">
        <v>9</v>
      </c>
      <c r="I47" s="3089">
        <v>9</v>
      </c>
      <c r="J47" s="3089" t="s">
        <v>52</v>
      </c>
      <c r="K47" s="3088" t="s">
        <v>53</v>
      </c>
      <c r="L47" s="3088" t="s">
        <v>46</v>
      </c>
      <c r="M47" s="3088" t="s">
        <v>46</v>
      </c>
      <c r="N47" s="3090" t="s">
        <v>46</v>
      </c>
      <c r="O47" s="3088" t="s">
        <v>46</v>
      </c>
      <c r="P47" s="3090" t="s">
        <v>46</v>
      </c>
      <c r="Q47" s="3090" t="s">
        <v>91</v>
      </c>
      <c r="R47" s="3089" t="s">
        <v>89</v>
      </c>
      <c r="S47" s="3090">
        <v>6</v>
      </c>
      <c r="T47" s="3090">
        <v>6</v>
      </c>
      <c r="U47" s="3868">
        <v>6</v>
      </c>
      <c r="V47" s="3868">
        <v>6</v>
      </c>
      <c r="W47" s="3868">
        <v>6</v>
      </c>
      <c r="X47" s="3869"/>
      <c r="Y47" s="3869"/>
      <c r="Z47" s="3869" t="s">
        <v>46</v>
      </c>
      <c r="AA47" s="3088" t="s">
        <v>46</v>
      </c>
      <c r="AB47" s="3090" t="s">
        <v>46</v>
      </c>
      <c r="AC47" s="3090" t="s">
        <v>46</v>
      </c>
      <c r="AD47" s="3088" t="s">
        <v>46</v>
      </c>
      <c r="AE47" s="3088"/>
      <c r="AF47" s="2989"/>
    </row>
    <row r="48" spans="1:32" ht="18" customHeight="1">
      <c r="A48" s="365" t="s">
        <v>243</v>
      </c>
      <c r="B48" s="5793"/>
      <c r="C48" s="5793"/>
      <c r="D48" s="5793"/>
      <c r="E48" s="5794">
        <v>10</v>
      </c>
      <c r="F48" s="5794">
        <v>10</v>
      </c>
      <c r="G48" s="5795">
        <v>10</v>
      </c>
      <c r="H48" s="5795">
        <v>10</v>
      </c>
      <c r="I48" s="5796">
        <v>10</v>
      </c>
      <c r="J48" s="5796" t="s">
        <v>53</v>
      </c>
      <c r="K48" s="5795" t="s">
        <v>53</v>
      </c>
      <c r="L48" s="5797" t="s">
        <v>46</v>
      </c>
      <c r="M48" s="5798" t="s">
        <v>46</v>
      </c>
      <c r="N48" s="5798" t="s">
        <v>46</v>
      </c>
      <c r="O48" s="5798" t="s">
        <v>46</v>
      </c>
      <c r="P48" s="5798" t="s">
        <v>46</v>
      </c>
      <c r="Q48" s="5798" t="s">
        <v>86</v>
      </c>
      <c r="R48" s="5798" t="s">
        <v>86</v>
      </c>
      <c r="S48" s="108">
        <v>7</v>
      </c>
      <c r="T48" s="5794">
        <v>7</v>
      </c>
      <c r="U48" s="5799">
        <v>7</v>
      </c>
      <c r="V48" s="5799">
        <v>7</v>
      </c>
      <c r="W48" s="5799">
        <v>7</v>
      </c>
      <c r="X48" s="5795"/>
      <c r="Y48" s="5795"/>
      <c r="Z48" s="5796">
        <v>4</v>
      </c>
      <c r="AA48" s="108">
        <v>4</v>
      </c>
      <c r="AB48" s="5795">
        <v>4</v>
      </c>
      <c r="AC48" s="5795">
        <v>4</v>
      </c>
      <c r="AD48" s="5795">
        <v>4</v>
      </c>
      <c r="AE48" s="5795"/>
      <c r="AF48" s="5793"/>
    </row>
    <row r="49" spans="1:32" ht="18" customHeight="1">
      <c r="A49" s="401" t="s">
        <v>94</v>
      </c>
      <c r="B49" s="5791">
        <v>3</v>
      </c>
      <c r="C49" s="5791"/>
      <c r="D49" s="5791"/>
      <c r="E49" s="5791">
        <v>11</v>
      </c>
      <c r="F49" s="5791">
        <v>11</v>
      </c>
      <c r="G49" s="5791">
        <v>11</v>
      </c>
      <c r="H49" s="5791">
        <v>11</v>
      </c>
      <c r="I49" s="5791">
        <v>11</v>
      </c>
      <c r="J49" s="5791" t="s">
        <v>87</v>
      </c>
      <c r="K49" s="5791" t="s">
        <v>87</v>
      </c>
      <c r="L49" s="5791" t="s">
        <v>46</v>
      </c>
      <c r="M49" s="5791" t="s">
        <v>46</v>
      </c>
      <c r="N49" s="5791" t="s">
        <v>46</v>
      </c>
      <c r="O49" s="5791" t="s">
        <v>46</v>
      </c>
      <c r="P49" s="5791" t="s">
        <v>46</v>
      </c>
      <c r="Q49" s="5791" t="s">
        <v>89</v>
      </c>
      <c r="R49" s="5791" t="s">
        <v>89</v>
      </c>
      <c r="S49" s="5791">
        <v>8</v>
      </c>
      <c r="T49" s="5791">
        <v>8</v>
      </c>
      <c r="U49" s="5791">
        <v>8</v>
      </c>
      <c r="V49" s="5791">
        <v>8</v>
      </c>
      <c r="W49" s="5791">
        <v>8</v>
      </c>
      <c r="X49" s="5791"/>
      <c r="Y49" s="5791"/>
      <c r="Z49" s="5791" t="s">
        <v>46</v>
      </c>
      <c r="AA49" s="5791" t="s">
        <v>46</v>
      </c>
      <c r="AB49" s="5791" t="s">
        <v>46</v>
      </c>
      <c r="AC49" s="5791" t="s">
        <v>46</v>
      </c>
      <c r="AD49" s="5791" t="s">
        <v>46</v>
      </c>
      <c r="AE49" s="5791"/>
      <c r="AF49" s="5791"/>
    </row>
    <row r="50" spans="1:32" ht="18" customHeight="1">
      <c r="A50" s="471" t="s">
        <v>95</v>
      </c>
      <c r="B50" s="501">
        <v>9</v>
      </c>
      <c r="C50" s="508" t="s">
        <v>52</v>
      </c>
      <c r="D50" s="504" t="s">
        <v>53</v>
      </c>
      <c r="E50" s="510" t="s">
        <v>46</v>
      </c>
      <c r="F50" s="510" t="s">
        <v>46</v>
      </c>
      <c r="G50" s="510" t="s">
        <v>46</v>
      </c>
      <c r="H50" s="510" t="s">
        <v>46</v>
      </c>
      <c r="I50" s="510" t="s">
        <v>46</v>
      </c>
      <c r="J50" s="510" t="s">
        <v>91</v>
      </c>
      <c r="K50" s="510" t="s">
        <v>89</v>
      </c>
      <c r="L50" s="508">
        <v>6</v>
      </c>
      <c r="M50" s="508">
        <v>6</v>
      </c>
      <c r="N50" s="508">
        <v>6</v>
      </c>
      <c r="O50" s="508">
        <v>6</v>
      </c>
      <c r="P50" s="508">
        <v>6</v>
      </c>
      <c r="Q50" s="504"/>
      <c r="R50" s="504"/>
      <c r="S50" s="504" t="s">
        <v>46</v>
      </c>
      <c r="T50" s="504" t="s">
        <v>46</v>
      </c>
      <c r="U50" s="508" t="s">
        <v>46</v>
      </c>
      <c r="V50" s="508" t="s">
        <v>46</v>
      </c>
      <c r="W50" s="501" t="s">
        <v>46</v>
      </c>
      <c r="X50" s="504"/>
      <c r="Y50" s="504"/>
      <c r="Z50" s="504"/>
      <c r="AA50" s="504">
        <v>5</v>
      </c>
      <c r="AB50" s="509">
        <v>5</v>
      </c>
      <c r="AC50" s="504">
        <v>5</v>
      </c>
      <c r="AD50" s="504">
        <v>5</v>
      </c>
      <c r="AE50" s="504"/>
      <c r="AF50" s="501"/>
    </row>
    <row r="51" spans="1:32" ht="18" customHeight="1">
      <c r="A51" s="364" t="s">
        <v>96</v>
      </c>
      <c r="B51" s="5800">
        <v>10</v>
      </c>
      <c r="C51" s="5800" t="s">
        <v>53</v>
      </c>
      <c r="D51" s="5800" t="s">
        <v>53</v>
      </c>
      <c r="E51" s="5800" t="s">
        <v>46</v>
      </c>
      <c r="F51" s="5800" t="s">
        <v>46</v>
      </c>
      <c r="G51" s="5800" t="s">
        <v>46</v>
      </c>
      <c r="H51" s="5800" t="s">
        <v>46</v>
      </c>
      <c r="I51" s="5800" t="s">
        <v>46</v>
      </c>
      <c r="J51" s="5800" t="s">
        <v>86</v>
      </c>
      <c r="K51" s="5800" t="s">
        <v>86</v>
      </c>
      <c r="L51" s="5800">
        <v>7</v>
      </c>
      <c r="M51" s="5800">
        <v>7</v>
      </c>
      <c r="N51" s="5800">
        <v>7</v>
      </c>
      <c r="O51" s="5800">
        <v>7</v>
      </c>
      <c r="P51" s="5800">
        <v>7</v>
      </c>
      <c r="Q51" s="5800"/>
      <c r="R51" s="5800"/>
      <c r="S51" s="5800">
        <v>4</v>
      </c>
      <c r="T51" s="5800">
        <v>4</v>
      </c>
      <c r="U51" s="5800">
        <v>4</v>
      </c>
      <c r="V51" s="5800">
        <v>4</v>
      </c>
      <c r="W51" s="5800">
        <v>4</v>
      </c>
      <c r="X51" s="5795"/>
      <c r="Y51" s="5795"/>
      <c r="Z51" s="5795">
        <v>3</v>
      </c>
      <c r="AA51" s="5795">
        <v>3</v>
      </c>
      <c r="AB51" s="5795">
        <v>3</v>
      </c>
      <c r="AC51" s="5799">
        <v>3</v>
      </c>
      <c r="AD51" s="5799">
        <v>3</v>
      </c>
      <c r="AE51" s="5798"/>
      <c r="AF51" s="5800"/>
    </row>
    <row r="52" spans="1:32" ht="18" customHeight="1">
      <c r="A52" s="469" t="s">
        <v>147</v>
      </c>
      <c r="B52" s="5801">
        <v>11</v>
      </c>
      <c r="C52" s="5801" t="s">
        <v>87</v>
      </c>
      <c r="D52" s="5789" t="s">
        <v>87</v>
      </c>
      <c r="E52" s="5789" t="s">
        <v>46</v>
      </c>
      <c r="F52" s="5789" t="s">
        <v>46</v>
      </c>
      <c r="G52" s="5789" t="s">
        <v>46</v>
      </c>
      <c r="H52" s="5789" t="s">
        <v>46</v>
      </c>
      <c r="I52" s="5801" t="s">
        <v>46</v>
      </c>
      <c r="J52" s="5789" t="s">
        <v>89</v>
      </c>
      <c r="K52" s="5802" t="s">
        <v>89</v>
      </c>
      <c r="L52" s="5789">
        <v>8</v>
      </c>
      <c r="M52" s="5802">
        <v>8</v>
      </c>
      <c r="N52" s="5802">
        <v>8</v>
      </c>
      <c r="O52" s="5802">
        <v>8</v>
      </c>
      <c r="P52" s="5789">
        <v>8</v>
      </c>
      <c r="Q52" s="5789"/>
      <c r="R52" s="5789"/>
      <c r="S52" s="5789" t="s">
        <v>46</v>
      </c>
      <c r="T52" s="5789" t="s">
        <v>46</v>
      </c>
      <c r="U52" s="5789" t="s">
        <v>46</v>
      </c>
      <c r="V52" s="5789" t="s">
        <v>46</v>
      </c>
      <c r="W52" s="5789" t="s">
        <v>46</v>
      </c>
      <c r="X52" s="5801"/>
      <c r="Y52" s="5789"/>
      <c r="Z52" s="5789">
        <v>1</v>
      </c>
      <c r="AA52" s="5789">
        <v>1</v>
      </c>
      <c r="AB52" s="5789">
        <v>1</v>
      </c>
      <c r="AC52" s="5789">
        <v>1</v>
      </c>
      <c r="AD52" s="5791">
        <v>1</v>
      </c>
      <c r="AE52" s="5789"/>
      <c r="AF52" s="5801"/>
    </row>
    <row r="53" spans="1:32" ht="18" customHeight="1">
      <c r="A53" s="470"/>
      <c r="B53" s="501" t="s">
        <v>46</v>
      </c>
      <c r="C53" s="508" t="s">
        <v>91</v>
      </c>
      <c r="D53" s="504" t="s">
        <v>89</v>
      </c>
      <c r="E53" s="504">
        <v>6</v>
      </c>
      <c r="F53" s="504">
        <v>6</v>
      </c>
      <c r="G53" s="504">
        <v>6</v>
      </c>
      <c r="H53" s="504">
        <v>6</v>
      </c>
      <c r="I53" s="508">
        <v>6</v>
      </c>
      <c r="J53" s="508"/>
      <c r="K53" s="508"/>
      <c r="L53" s="508" t="s">
        <v>46</v>
      </c>
      <c r="M53" s="508" t="s">
        <v>46</v>
      </c>
      <c r="N53" s="508" t="s">
        <v>46</v>
      </c>
      <c r="O53" s="508" t="s">
        <v>46</v>
      </c>
      <c r="P53" s="508" t="s">
        <v>46</v>
      </c>
      <c r="Q53" s="504"/>
      <c r="R53" s="504"/>
      <c r="S53" s="504">
        <v>5</v>
      </c>
      <c r="T53" s="504">
        <v>5</v>
      </c>
      <c r="U53" s="508">
        <v>5</v>
      </c>
      <c r="V53" s="508">
        <v>5</v>
      </c>
      <c r="W53" s="501">
        <v>5</v>
      </c>
      <c r="X53" s="504"/>
      <c r="Y53" s="504"/>
      <c r="Z53" s="504">
        <v>10</v>
      </c>
      <c r="AA53" s="504">
        <v>10</v>
      </c>
      <c r="AB53" s="509">
        <v>10</v>
      </c>
      <c r="AC53" s="504">
        <v>10</v>
      </c>
      <c r="AD53" s="504">
        <v>10</v>
      </c>
      <c r="AE53" s="504" t="s">
        <v>53</v>
      </c>
      <c r="AF53" s="501" t="s">
        <v>53</v>
      </c>
    </row>
    <row r="54" spans="1:32" ht="18" customHeight="1">
      <c r="A54" s="470" t="s">
        <v>101</v>
      </c>
      <c r="B54" s="5800" t="s">
        <v>46</v>
      </c>
      <c r="C54" s="5800" t="s">
        <v>86</v>
      </c>
      <c r="D54" s="5800" t="s">
        <v>86</v>
      </c>
      <c r="E54" s="5800">
        <v>7</v>
      </c>
      <c r="F54" s="5800">
        <v>7</v>
      </c>
      <c r="G54" s="5800">
        <v>7</v>
      </c>
      <c r="H54" s="5797">
        <v>7</v>
      </c>
      <c r="I54" s="5800">
        <v>7</v>
      </c>
      <c r="J54" s="5800"/>
      <c r="K54" s="5800"/>
      <c r="L54" s="5800">
        <v>4</v>
      </c>
      <c r="M54" s="5799">
        <v>4</v>
      </c>
      <c r="N54" s="5800">
        <v>4</v>
      </c>
      <c r="O54" s="5800">
        <v>4</v>
      </c>
      <c r="P54" s="5800">
        <v>4</v>
      </c>
      <c r="Q54" s="5800"/>
      <c r="R54" s="5800"/>
      <c r="S54" s="5800">
        <v>3</v>
      </c>
      <c r="T54" s="5800">
        <v>3</v>
      </c>
      <c r="U54" s="5795">
        <v>3</v>
      </c>
      <c r="V54" s="5795">
        <v>3</v>
      </c>
      <c r="W54" s="5796">
        <v>3</v>
      </c>
      <c r="X54" s="5795"/>
      <c r="Y54" s="5795"/>
      <c r="Z54" s="5795">
        <v>11</v>
      </c>
      <c r="AA54" s="5795">
        <v>11</v>
      </c>
      <c r="AB54" s="5795">
        <v>11</v>
      </c>
      <c r="AC54" s="5799">
        <v>11</v>
      </c>
      <c r="AD54" s="5799">
        <v>11</v>
      </c>
      <c r="AE54" s="5798" t="s">
        <v>87</v>
      </c>
      <c r="AF54" s="5800" t="s">
        <v>87</v>
      </c>
    </row>
    <row r="55" spans="1:32" ht="18" customHeight="1">
      <c r="A55" s="469" t="s">
        <v>102</v>
      </c>
      <c r="B55" s="5801" t="s">
        <v>46</v>
      </c>
      <c r="C55" s="5801" t="s">
        <v>89</v>
      </c>
      <c r="D55" s="5789" t="s">
        <v>89</v>
      </c>
      <c r="E55" s="5789">
        <v>8</v>
      </c>
      <c r="F55" s="5789">
        <v>8</v>
      </c>
      <c r="G55" s="5789">
        <v>8</v>
      </c>
      <c r="H55" s="5789">
        <v>8</v>
      </c>
      <c r="I55" s="5801">
        <v>8</v>
      </c>
      <c r="J55" s="5789"/>
      <c r="K55" s="5802"/>
      <c r="L55" s="5789" t="s">
        <v>46</v>
      </c>
      <c r="M55" s="5802" t="s">
        <v>46</v>
      </c>
      <c r="N55" s="5802" t="s">
        <v>46</v>
      </c>
      <c r="O55" s="5802" t="s">
        <v>46</v>
      </c>
      <c r="P55" s="5789" t="s">
        <v>46</v>
      </c>
      <c r="Q55" s="5789"/>
      <c r="R55" s="5789"/>
      <c r="S55" s="5789">
        <v>1</v>
      </c>
      <c r="T55" s="5789">
        <v>1</v>
      </c>
      <c r="U55" s="5789">
        <v>1</v>
      </c>
      <c r="V55" s="5789">
        <v>1</v>
      </c>
      <c r="W55" s="5791">
        <v>1</v>
      </c>
      <c r="X55" s="5801"/>
      <c r="Y55" s="5789"/>
      <c r="Z55" s="5789">
        <v>9</v>
      </c>
      <c r="AA55" s="5789">
        <v>9</v>
      </c>
      <c r="AB55" s="5789">
        <v>9</v>
      </c>
      <c r="AC55" s="5789">
        <v>9</v>
      </c>
      <c r="AD55" s="5801">
        <v>9</v>
      </c>
      <c r="AE55" s="5789" t="s">
        <v>52</v>
      </c>
      <c r="AF55" s="5801" t="s">
        <v>53</v>
      </c>
    </row>
    <row r="56" spans="1:32" ht="18" customHeight="1">
      <c r="A56" s="474" t="s">
        <v>190</v>
      </c>
      <c r="B56" s="3089">
        <v>6</v>
      </c>
      <c r="C56" s="2989"/>
      <c r="D56" s="2989"/>
      <c r="E56" s="2989" t="s">
        <v>46</v>
      </c>
      <c r="F56" s="2989" t="s">
        <v>46</v>
      </c>
      <c r="G56" s="2989" t="s">
        <v>46</v>
      </c>
      <c r="H56" s="2989" t="s">
        <v>46</v>
      </c>
      <c r="I56" s="2989" t="s">
        <v>46</v>
      </c>
      <c r="J56" s="3088"/>
      <c r="K56" s="3088"/>
      <c r="L56" s="3088">
        <v>5</v>
      </c>
      <c r="M56" s="3112">
        <v>5</v>
      </c>
      <c r="N56" s="3089">
        <v>5</v>
      </c>
      <c r="O56" s="3088"/>
      <c r="P56" s="3088">
        <v>5</v>
      </c>
      <c r="Q56" s="3089"/>
      <c r="R56" s="3088"/>
      <c r="S56" s="3088">
        <v>10</v>
      </c>
      <c r="T56" s="3090">
        <v>10</v>
      </c>
      <c r="U56" s="3090">
        <v>10</v>
      </c>
      <c r="V56" s="3090">
        <v>10</v>
      </c>
      <c r="W56" s="3090">
        <v>10</v>
      </c>
      <c r="X56" s="3112" t="s">
        <v>53</v>
      </c>
      <c r="Y56" s="3090" t="s">
        <v>53</v>
      </c>
      <c r="Z56" s="3090" t="s">
        <v>46</v>
      </c>
      <c r="AA56" s="3090" t="s">
        <v>46</v>
      </c>
      <c r="AB56" s="3090" t="s">
        <v>46</v>
      </c>
      <c r="AC56" s="3088" t="s">
        <v>46</v>
      </c>
      <c r="AD56" s="3088" t="s">
        <v>46</v>
      </c>
      <c r="AE56" s="3089" t="s">
        <v>86</v>
      </c>
      <c r="AF56" s="3089" t="s">
        <v>86</v>
      </c>
    </row>
    <row r="57" spans="1:32" ht="18" customHeight="1">
      <c r="A57" s="364" t="s">
        <v>105</v>
      </c>
      <c r="B57" s="5799">
        <v>7</v>
      </c>
      <c r="C57" s="5799"/>
      <c r="D57" s="5799"/>
      <c r="E57" s="5799">
        <v>4</v>
      </c>
      <c r="F57" s="5799">
        <v>4</v>
      </c>
      <c r="G57" s="5799">
        <v>4</v>
      </c>
      <c r="H57" s="5797">
        <v>4</v>
      </c>
      <c r="I57" s="5797">
        <v>4</v>
      </c>
      <c r="J57" s="5797"/>
      <c r="K57" s="5797"/>
      <c r="L57" s="5797">
        <v>3</v>
      </c>
      <c r="M57" s="5797">
        <v>3</v>
      </c>
      <c r="N57" s="5799">
        <v>3</v>
      </c>
      <c r="O57" s="5799">
        <v>3</v>
      </c>
      <c r="P57" s="5799">
        <v>3</v>
      </c>
      <c r="Q57" s="5799"/>
      <c r="R57" s="5799"/>
      <c r="S57" s="5797">
        <v>11</v>
      </c>
      <c r="T57" s="5797">
        <v>11</v>
      </c>
      <c r="U57" s="5800">
        <v>11</v>
      </c>
      <c r="V57" s="5800">
        <v>11</v>
      </c>
      <c r="W57" s="5800">
        <v>11</v>
      </c>
      <c r="X57" s="5800" t="s">
        <v>87</v>
      </c>
      <c r="Y57" s="5800" t="s">
        <v>87</v>
      </c>
      <c r="Z57" s="5800" t="s">
        <v>46</v>
      </c>
      <c r="AA57" s="5800" t="s">
        <v>46</v>
      </c>
      <c r="AB57" s="5795" t="s">
        <v>46</v>
      </c>
      <c r="AC57" s="5795" t="s">
        <v>46</v>
      </c>
      <c r="AD57" s="5795" t="s">
        <v>46</v>
      </c>
      <c r="AE57" s="5795" t="s">
        <v>89</v>
      </c>
      <c r="AF57" s="5799" t="s">
        <v>89</v>
      </c>
    </row>
    <row r="58" spans="1:32" ht="18" customHeight="1">
      <c r="A58" s="782" t="s">
        <v>134</v>
      </c>
      <c r="B58" s="5803">
        <v>8</v>
      </c>
      <c r="C58" s="5803"/>
      <c r="D58" s="5803"/>
      <c r="E58" s="5802" t="s">
        <v>46</v>
      </c>
      <c r="F58" s="5802" t="s">
        <v>46</v>
      </c>
      <c r="G58" s="5802" t="s">
        <v>46</v>
      </c>
      <c r="H58" s="5802" t="s">
        <v>46</v>
      </c>
      <c r="I58" s="5802" t="s">
        <v>46</v>
      </c>
      <c r="J58" s="5801"/>
      <c r="K58" s="5789"/>
      <c r="L58" s="5789">
        <v>1</v>
      </c>
      <c r="M58" s="5789">
        <v>1</v>
      </c>
      <c r="N58" s="5791">
        <v>1</v>
      </c>
      <c r="O58" s="5791">
        <v>1</v>
      </c>
      <c r="P58" s="5791">
        <v>1</v>
      </c>
      <c r="Q58" s="5791"/>
      <c r="R58" s="5791"/>
      <c r="S58" s="5791">
        <v>9</v>
      </c>
      <c r="T58" s="5791">
        <v>9</v>
      </c>
      <c r="U58" s="5789">
        <v>9</v>
      </c>
      <c r="V58" s="5789">
        <v>9</v>
      </c>
      <c r="W58" s="5789">
        <v>9</v>
      </c>
      <c r="X58" s="5801" t="s">
        <v>52</v>
      </c>
      <c r="Y58" s="5789" t="s">
        <v>53</v>
      </c>
      <c r="Z58" s="5789" t="s">
        <v>46</v>
      </c>
      <c r="AA58" s="5789" t="s">
        <v>46</v>
      </c>
      <c r="AB58" s="5789" t="s">
        <v>46</v>
      </c>
      <c r="AC58" s="5789" t="s">
        <v>46</v>
      </c>
      <c r="AD58" s="5801" t="s">
        <v>46</v>
      </c>
      <c r="AE58" s="5801" t="s">
        <v>91</v>
      </c>
      <c r="AF58" s="5789" t="s">
        <v>89</v>
      </c>
    </row>
    <row r="59" spans="1:32" ht="18" customHeight="1">
      <c r="B59" s="5804"/>
      <c r="C59" s="5805"/>
      <c r="D59" s="5805"/>
      <c r="E59" s="5805"/>
      <c r="K59" s="5806"/>
      <c r="L59" s="5806"/>
      <c r="O59" s="5806"/>
      <c r="P59" s="5806"/>
      <c r="Q59" s="5806"/>
      <c r="T59" s="5804"/>
      <c r="U59" s="5804"/>
      <c r="V59" s="5806"/>
      <c r="W59" s="5806"/>
      <c r="X59" s="5807"/>
      <c r="Y59" s="5807"/>
      <c r="Z59" s="5807"/>
      <c r="AA59" s="5807"/>
      <c r="AB59" s="5807"/>
      <c r="AC59" s="5807"/>
      <c r="AD59" s="5807"/>
      <c r="AE59" s="5807"/>
    </row>
    <row r="61" spans="1:32" ht="18" customHeight="1">
      <c r="A61" s="805" t="s">
        <v>537</v>
      </c>
      <c r="B61" s="389">
        <v>1</v>
      </c>
      <c r="C61" s="389">
        <v>2</v>
      </c>
      <c r="D61" s="389">
        <v>3</v>
      </c>
      <c r="E61" s="390">
        <v>4</v>
      </c>
      <c r="F61" s="390">
        <v>5</v>
      </c>
      <c r="G61" s="390">
        <v>6</v>
      </c>
      <c r="H61" s="390">
        <v>7</v>
      </c>
      <c r="I61" s="390">
        <v>8</v>
      </c>
      <c r="J61" s="389">
        <v>9</v>
      </c>
      <c r="K61" s="389">
        <v>10</v>
      </c>
      <c r="L61" s="390">
        <v>11</v>
      </c>
      <c r="M61" s="390">
        <v>12</v>
      </c>
      <c r="N61" s="390">
        <v>13</v>
      </c>
      <c r="O61" s="389">
        <v>14</v>
      </c>
      <c r="P61" s="390">
        <v>15</v>
      </c>
      <c r="Q61" s="389">
        <v>16</v>
      </c>
      <c r="R61" s="389">
        <v>17</v>
      </c>
      <c r="S61" s="390">
        <v>18</v>
      </c>
      <c r="T61" s="390">
        <v>19</v>
      </c>
      <c r="U61" s="390">
        <v>20</v>
      </c>
      <c r="V61" s="390">
        <v>21</v>
      </c>
      <c r="W61" s="390">
        <v>22</v>
      </c>
      <c r="X61" s="389">
        <v>23</v>
      </c>
      <c r="Y61" s="389">
        <v>24</v>
      </c>
      <c r="Z61" s="389">
        <v>25</v>
      </c>
      <c r="AA61" s="390">
        <v>26</v>
      </c>
      <c r="AB61" s="390">
        <v>27</v>
      </c>
      <c r="AC61" s="390">
        <v>28</v>
      </c>
      <c r="AD61" s="390">
        <v>29</v>
      </c>
      <c r="AE61" s="389">
        <v>30</v>
      </c>
      <c r="AF61" s="391">
        <v>31</v>
      </c>
    </row>
    <row r="62" spans="1:32" ht="18" customHeight="1">
      <c r="A62" s="1028" t="s">
        <v>112</v>
      </c>
      <c r="B62" s="1037"/>
      <c r="C62" s="1037"/>
      <c r="D62" s="1038"/>
      <c r="E62" s="1030" t="s">
        <v>40</v>
      </c>
      <c r="F62" s="1030" t="s">
        <v>40</v>
      </c>
      <c r="G62" s="1030" t="s">
        <v>40</v>
      </c>
      <c r="H62" s="1037" t="s">
        <v>40</v>
      </c>
      <c r="I62" s="1037" t="s">
        <v>40</v>
      </c>
      <c r="J62" s="1037"/>
      <c r="K62" s="1037"/>
      <c r="L62" s="1030" t="s">
        <v>40</v>
      </c>
      <c r="M62" s="1030" t="s">
        <v>40</v>
      </c>
      <c r="N62" s="1030" t="s">
        <v>40</v>
      </c>
      <c r="O62" s="1037"/>
      <c r="P62" s="1037" t="s">
        <v>40</v>
      </c>
      <c r="Q62" s="1037"/>
      <c r="R62" s="1037"/>
      <c r="S62" s="1030" t="s">
        <v>40</v>
      </c>
      <c r="T62" s="1030" t="s">
        <v>40</v>
      </c>
      <c r="U62" s="1030" t="s">
        <v>40</v>
      </c>
      <c r="V62" s="1037" t="s">
        <v>40</v>
      </c>
      <c r="W62" s="1037" t="s">
        <v>40</v>
      </c>
      <c r="X62" s="1037"/>
      <c r="Y62" s="1037"/>
      <c r="Z62" s="1030"/>
      <c r="AA62" s="1030" t="s">
        <v>40</v>
      </c>
      <c r="AB62" s="1030" t="s">
        <v>40</v>
      </c>
      <c r="AC62" s="1037" t="s">
        <v>40</v>
      </c>
      <c r="AD62" s="1037" t="s">
        <v>40</v>
      </c>
      <c r="AE62" s="1037"/>
      <c r="AF62" s="1039"/>
    </row>
    <row r="63" spans="1:32" ht="18" customHeight="1">
      <c r="A63" s="5587" t="s">
        <v>114</v>
      </c>
      <c r="B63" s="5800"/>
      <c r="C63" s="5800"/>
      <c r="D63" s="5799"/>
      <c r="E63" s="5796" t="s">
        <v>40</v>
      </c>
      <c r="F63" s="5796" t="s">
        <v>40</v>
      </c>
      <c r="G63" s="5796" t="s">
        <v>40</v>
      </c>
      <c r="H63" s="5800" t="s">
        <v>40</v>
      </c>
      <c r="I63" s="5800" t="s">
        <v>40</v>
      </c>
      <c r="J63" s="5800"/>
      <c r="K63" s="5800"/>
      <c r="L63" s="5796" t="s">
        <v>40</v>
      </c>
      <c r="M63" s="5796" t="s">
        <v>40</v>
      </c>
      <c r="N63" s="5796" t="s">
        <v>40</v>
      </c>
      <c r="O63" s="5800"/>
      <c r="P63" s="5800" t="s">
        <v>40</v>
      </c>
      <c r="Q63" s="5800"/>
      <c r="R63" s="5800"/>
      <c r="S63" s="5796" t="s">
        <v>40</v>
      </c>
      <c r="T63" s="5796" t="s">
        <v>40</v>
      </c>
      <c r="U63" s="5796" t="s">
        <v>40</v>
      </c>
      <c r="V63" s="5800" t="s">
        <v>40</v>
      </c>
      <c r="W63" s="5800" t="s">
        <v>40</v>
      </c>
      <c r="X63" s="5800"/>
      <c r="Y63" s="5800"/>
      <c r="Z63" s="5796"/>
      <c r="AA63" s="5796" t="s">
        <v>40</v>
      </c>
      <c r="AB63" s="5796" t="s">
        <v>40</v>
      </c>
      <c r="AC63" s="5800" t="s">
        <v>40</v>
      </c>
      <c r="AD63" s="5800" t="s">
        <v>40</v>
      </c>
      <c r="AE63" s="5800"/>
      <c r="AF63" s="5808"/>
    </row>
    <row r="64" spans="1:32" ht="18" customHeight="1">
      <c r="A64" s="5587" t="s">
        <v>117</v>
      </c>
      <c r="B64" s="5800"/>
      <c r="C64" s="5800"/>
      <c r="D64" s="5799"/>
      <c r="E64" s="5809" t="s">
        <v>40</v>
      </c>
      <c r="F64" s="5809" t="s">
        <v>40</v>
      </c>
      <c r="G64" s="5809" t="s">
        <v>40</v>
      </c>
      <c r="H64" s="5809" t="s">
        <v>40</v>
      </c>
      <c r="I64" s="5809" t="s">
        <v>40</v>
      </c>
      <c r="J64" s="5809"/>
      <c r="K64" s="5809"/>
      <c r="L64" s="5796" t="s">
        <v>40</v>
      </c>
      <c r="M64" s="5796" t="s">
        <v>40</v>
      </c>
      <c r="N64" s="5796" t="s">
        <v>40</v>
      </c>
      <c r="O64" s="5800"/>
      <c r="P64" s="5800" t="s">
        <v>40</v>
      </c>
      <c r="Q64" s="5800"/>
      <c r="R64" s="5800"/>
      <c r="S64" s="5796" t="s">
        <v>40</v>
      </c>
      <c r="T64" s="5796" t="s">
        <v>40</v>
      </c>
      <c r="U64" s="5796" t="s">
        <v>40</v>
      </c>
      <c r="V64" s="5800" t="s">
        <v>40</v>
      </c>
      <c r="W64" s="5800" t="s">
        <v>40</v>
      </c>
      <c r="X64" s="5800"/>
      <c r="Y64" s="5800"/>
      <c r="Z64" s="5796"/>
      <c r="AA64" s="5796" t="s">
        <v>40</v>
      </c>
      <c r="AB64" s="5796" t="s">
        <v>40</v>
      </c>
      <c r="AC64" s="5800" t="s">
        <v>40</v>
      </c>
      <c r="AD64" s="5800" t="s">
        <v>40</v>
      </c>
      <c r="AE64" s="5800"/>
      <c r="AF64" s="5808"/>
    </row>
    <row r="65" spans="1:33" ht="18" customHeight="1">
      <c r="A65" s="5587" t="s">
        <v>622</v>
      </c>
      <c r="B65" s="5800"/>
      <c r="C65" s="5800"/>
      <c r="D65" s="5799"/>
      <c r="E65" s="5796" t="s">
        <v>40</v>
      </c>
      <c r="F65" s="5796" t="s">
        <v>40</v>
      </c>
      <c r="G65" s="5796" t="s">
        <v>40</v>
      </c>
      <c r="H65" s="5800" t="s">
        <v>40</v>
      </c>
      <c r="I65" s="5800" t="s">
        <v>40</v>
      </c>
      <c r="J65" s="5800"/>
      <c r="K65" s="5800"/>
      <c r="L65" s="5796" t="s">
        <v>40</v>
      </c>
      <c r="M65" s="5796" t="s">
        <v>40</v>
      </c>
      <c r="N65" s="5796" t="s">
        <v>40</v>
      </c>
      <c r="O65" s="5800"/>
      <c r="P65" s="5800" t="s">
        <v>40</v>
      </c>
      <c r="Q65" s="5800"/>
      <c r="R65" s="5800"/>
      <c r="S65" s="5796" t="s">
        <v>40</v>
      </c>
      <c r="T65" s="5796" t="s">
        <v>40</v>
      </c>
      <c r="U65" s="5796" t="s">
        <v>40</v>
      </c>
      <c r="V65" s="5800" t="s">
        <v>40</v>
      </c>
      <c r="W65" s="5800" t="s">
        <v>40</v>
      </c>
      <c r="X65" s="5800"/>
      <c r="Y65" s="5800"/>
      <c r="Z65" s="5796"/>
      <c r="AA65" s="5796" t="s">
        <v>40</v>
      </c>
      <c r="AB65" s="5796" t="s">
        <v>40</v>
      </c>
      <c r="AC65" s="5800" t="s">
        <v>40</v>
      </c>
      <c r="AD65" s="5800" t="s">
        <v>40</v>
      </c>
      <c r="AE65" s="5800"/>
      <c r="AF65" s="5808"/>
    </row>
    <row r="66" spans="1:33" ht="18" customHeight="1">
      <c r="A66" s="5587" t="s">
        <v>122</v>
      </c>
      <c r="B66" s="5800"/>
      <c r="C66" s="5800"/>
      <c r="D66" s="5799"/>
      <c r="E66" s="5796" t="s">
        <v>40</v>
      </c>
      <c r="F66" s="5796" t="s">
        <v>40</v>
      </c>
      <c r="G66" s="5796" t="s">
        <v>40</v>
      </c>
      <c r="H66" s="5800" t="s">
        <v>40</v>
      </c>
      <c r="I66" s="5800" t="s">
        <v>40</v>
      </c>
      <c r="J66" s="5800"/>
      <c r="K66" s="5800"/>
      <c r="L66" s="5796" t="s">
        <v>40</v>
      </c>
      <c r="M66" s="5796" t="s">
        <v>40</v>
      </c>
      <c r="N66" s="5796" t="s">
        <v>40</v>
      </c>
      <c r="O66" s="5800"/>
      <c r="P66" s="5800" t="s">
        <v>40</v>
      </c>
      <c r="Q66" s="5800"/>
      <c r="R66" s="5800"/>
      <c r="S66" s="5796" t="s">
        <v>40</v>
      </c>
      <c r="T66" s="5796" t="s">
        <v>40</v>
      </c>
      <c r="U66" s="5796" t="s">
        <v>40</v>
      </c>
      <c r="V66" s="5800" t="s">
        <v>40</v>
      </c>
      <c r="W66" s="5800" t="s">
        <v>40</v>
      </c>
      <c r="X66" s="5800"/>
      <c r="Y66" s="5800"/>
      <c r="Z66" s="5796"/>
      <c r="AA66" s="5796" t="s">
        <v>40</v>
      </c>
      <c r="AB66" s="5796" t="s">
        <v>40</v>
      </c>
      <c r="AC66" s="5800" t="s">
        <v>40</v>
      </c>
      <c r="AD66" s="5800" t="s">
        <v>40</v>
      </c>
      <c r="AE66" s="5800"/>
      <c r="AF66" s="5808"/>
    </row>
    <row r="67" spans="1:33" ht="18" customHeight="1">
      <c r="A67" s="5587" t="s">
        <v>129</v>
      </c>
      <c r="B67" s="5809"/>
      <c r="C67" s="5809"/>
      <c r="D67" s="5809"/>
      <c r="E67" s="5796" t="s">
        <v>40</v>
      </c>
      <c r="F67" s="5796" t="s">
        <v>40</v>
      </c>
      <c r="G67" s="5796" t="s">
        <v>40</v>
      </c>
      <c r="H67" s="5800" t="s">
        <v>40</v>
      </c>
      <c r="I67" s="5800" t="s">
        <v>40</v>
      </c>
      <c r="J67" s="5800"/>
      <c r="K67" s="5800"/>
      <c r="L67" s="5796" t="s">
        <v>40</v>
      </c>
      <c r="M67" s="5796" t="s">
        <v>40</v>
      </c>
      <c r="N67" s="5796" t="s">
        <v>40</v>
      </c>
      <c r="O67" s="5800"/>
      <c r="P67" s="5800" t="s">
        <v>40</v>
      </c>
      <c r="Q67" s="5800"/>
      <c r="R67" s="5800"/>
      <c r="S67" s="5796" t="s">
        <v>40</v>
      </c>
      <c r="T67" s="5796" t="s">
        <v>40</v>
      </c>
      <c r="U67" s="5796" t="s">
        <v>40</v>
      </c>
      <c r="V67" s="5800" t="s">
        <v>40</v>
      </c>
      <c r="W67" s="5800" t="s">
        <v>40</v>
      </c>
      <c r="X67" s="5800"/>
      <c r="Y67" s="5800"/>
      <c r="Z67" s="5796"/>
      <c r="AA67" s="5796" t="s">
        <v>40</v>
      </c>
      <c r="AB67" s="5796" t="s">
        <v>40</v>
      </c>
      <c r="AC67" s="5800" t="s">
        <v>40</v>
      </c>
      <c r="AD67" s="5800" t="s">
        <v>40</v>
      </c>
      <c r="AE67" s="5800"/>
      <c r="AF67" s="5808"/>
    </row>
    <row r="68" spans="1:33" ht="18" customHeight="1">
      <c r="A68" s="5591" t="s">
        <v>140</v>
      </c>
      <c r="B68" s="5800"/>
      <c r="C68" s="5800"/>
      <c r="D68" s="5799"/>
      <c r="E68" s="5796" t="s">
        <v>40</v>
      </c>
      <c r="F68" s="5796" t="s">
        <v>40</v>
      </c>
      <c r="G68" s="5796" t="s">
        <v>40</v>
      </c>
      <c r="H68" s="5800" t="s">
        <v>40</v>
      </c>
      <c r="I68" s="5800" t="s">
        <v>40</v>
      </c>
      <c r="J68" s="5800"/>
      <c r="K68" s="5800"/>
      <c r="L68" s="5796" t="s">
        <v>40</v>
      </c>
      <c r="M68" s="5796" t="s">
        <v>40</v>
      </c>
      <c r="N68" s="5796" t="s">
        <v>40</v>
      </c>
      <c r="O68" s="5800"/>
      <c r="P68" s="5800" t="s">
        <v>40</v>
      </c>
      <c r="Q68" s="5800"/>
      <c r="R68" s="5800"/>
      <c r="S68" s="5796" t="s">
        <v>40</v>
      </c>
      <c r="T68" s="5796" t="s">
        <v>40</v>
      </c>
      <c r="U68" s="5796" t="s">
        <v>40</v>
      </c>
      <c r="V68" s="5800" t="s">
        <v>40</v>
      </c>
      <c r="W68" s="5800" t="s">
        <v>40</v>
      </c>
      <c r="X68" s="5800"/>
      <c r="Y68" s="5800"/>
      <c r="Z68" s="5796"/>
      <c r="AA68" s="5796" t="s">
        <v>40</v>
      </c>
      <c r="AB68" s="5796" t="s">
        <v>40</v>
      </c>
      <c r="AC68" s="5800" t="s">
        <v>40</v>
      </c>
      <c r="AD68" s="5800" t="s">
        <v>40</v>
      </c>
      <c r="AE68" s="5800"/>
      <c r="AF68" s="5808"/>
    </row>
    <row r="69" spans="1:33" ht="18" customHeight="1">
      <c r="A69" s="5547" t="s">
        <v>478</v>
      </c>
      <c r="B69" s="5800"/>
      <c r="C69" s="5800"/>
      <c r="D69" s="5799"/>
      <c r="E69" s="5796" t="s">
        <v>40</v>
      </c>
      <c r="F69" s="5796" t="s">
        <v>40</v>
      </c>
      <c r="G69" s="5796" t="s">
        <v>40</v>
      </c>
      <c r="H69" s="5800" t="s">
        <v>40</v>
      </c>
      <c r="I69" s="5800" t="s">
        <v>40</v>
      </c>
      <c r="J69" s="5800"/>
      <c r="K69" s="5800"/>
      <c r="L69" s="5796" t="s">
        <v>40</v>
      </c>
      <c r="M69" s="5796" t="s">
        <v>40</v>
      </c>
      <c r="N69" s="5796" t="s">
        <v>40</v>
      </c>
      <c r="O69" s="5800"/>
      <c r="P69" s="5800" t="s">
        <v>40</v>
      </c>
      <c r="Q69" s="5800"/>
      <c r="R69" s="5800"/>
      <c r="S69" s="5796" t="s">
        <v>40</v>
      </c>
      <c r="T69" s="5796" t="s">
        <v>40</v>
      </c>
      <c r="U69" s="5796" t="s">
        <v>40</v>
      </c>
      <c r="V69" s="5800" t="s">
        <v>40</v>
      </c>
      <c r="W69" s="5800" t="s">
        <v>40</v>
      </c>
      <c r="X69" s="5800"/>
      <c r="Y69" s="5800"/>
      <c r="Z69" s="5796"/>
      <c r="AA69" s="5796" t="s">
        <v>40</v>
      </c>
      <c r="AB69" s="5796" t="s">
        <v>40</v>
      </c>
      <c r="AC69" s="5800" t="s">
        <v>40</v>
      </c>
      <c r="AD69" s="5800" t="s">
        <v>40</v>
      </c>
      <c r="AE69" s="5800"/>
      <c r="AF69" s="5808"/>
    </row>
    <row r="70" spans="1:33" ht="18" customHeight="1">
      <c r="A70" s="5591" t="s">
        <v>479</v>
      </c>
      <c r="B70" s="5800"/>
      <c r="C70" s="5800"/>
      <c r="D70" s="5799"/>
      <c r="E70" s="5796" t="s">
        <v>40</v>
      </c>
      <c r="F70" s="5796" t="s">
        <v>40</v>
      </c>
      <c r="G70" s="5796" t="s">
        <v>40</v>
      </c>
      <c r="H70" s="5800" t="s">
        <v>40</v>
      </c>
      <c r="I70" s="5800" t="s">
        <v>40</v>
      </c>
      <c r="J70" s="5800"/>
      <c r="K70" s="5800"/>
      <c r="L70" s="5796" t="s">
        <v>40</v>
      </c>
      <c r="M70" s="5796" t="s">
        <v>40</v>
      </c>
      <c r="N70" s="5796" t="s">
        <v>40</v>
      </c>
      <c r="O70" s="5800"/>
      <c r="P70" s="5800" t="s">
        <v>40</v>
      </c>
      <c r="Q70" s="5800"/>
      <c r="R70" s="5800"/>
      <c r="S70" s="5796" t="s">
        <v>40</v>
      </c>
      <c r="T70" s="5796" t="s">
        <v>40</v>
      </c>
      <c r="U70" s="5796" t="s">
        <v>40</v>
      </c>
      <c r="V70" s="5800" t="s">
        <v>40</v>
      </c>
      <c r="W70" s="5800" t="s">
        <v>40</v>
      </c>
      <c r="X70" s="5800"/>
      <c r="Y70" s="5800"/>
      <c r="Z70" s="5796"/>
      <c r="AA70" s="5796" t="s">
        <v>40</v>
      </c>
      <c r="AB70" s="5796" t="s">
        <v>40</v>
      </c>
      <c r="AC70" s="5800" t="s">
        <v>40</v>
      </c>
      <c r="AD70" s="5800" t="s">
        <v>40</v>
      </c>
      <c r="AE70" s="5800"/>
      <c r="AF70" s="5808"/>
    </row>
    <row r="71" spans="1:33" ht="18" customHeight="1">
      <c r="A71" s="5592" t="s">
        <v>564</v>
      </c>
      <c r="B71" s="5800"/>
      <c r="C71" s="5800"/>
      <c r="D71" s="5799"/>
      <c r="E71" s="5796" t="s">
        <v>40</v>
      </c>
      <c r="F71" s="5796" t="s">
        <v>40</v>
      </c>
      <c r="G71" s="5796" t="s">
        <v>40</v>
      </c>
      <c r="H71" s="5800" t="s">
        <v>40</v>
      </c>
      <c r="I71" s="5800" t="s">
        <v>40</v>
      </c>
      <c r="J71" s="5800"/>
      <c r="K71" s="5800"/>
      <c r="L71" s="5796" t="s">
        <v>40</v>
      </c>
      <c r="M71" s="5796" t="s">
        <v>40</v>
      </c>
      <c r="N71" s="5796" t="s">
        <v>40</v>
      </c>
      <c r="O71" s="5800"/>
      <c r="P71" s="5800" t="s">
        <v>40</v>
      </c>
      <c r="Q71" s="5800"/>
      <c r="R71" s="5800"/>
      <c r="S71" s="5796" t="s">
        <v>40</v>
      </c>
      <c r="T71" s="5796" t="s">
        <v>40</v>
      </c>
      <c r="U71" s="5796" t="s">
        <v>40</v>
      </c>
      <c r="V71" s="5800" t="s">
        <v>40</v>
      </c>
      <c r="W71" s="5800" t="s">
        <v>40</v>
      </c>
      <c r="X71" s="5800"/>
      <c r="Y71" s="5800"/>
      <c r="Z71" s="5796"/>
      <c r="AA71" s="5796" t="s">
        <v>40</v>
      </c>
      <c r="AB71" s="5796" t="s">
        <v>40</v>
      </c>
      <c r="AC71" s="5800" t="s">
        <v>40</v>
      </c>
      <c r="AD71" s="5800" t="s">
        <v>40</v>
      </c>
      <c r="AE71" s="5800"/>
      <c r="AF71" s="5808"/>
    </row>
    <row r="72" spans="1:33" ht="18" customHeight="1">
      <c r="A72" s="5593" t="s">
        <v>565</v>
      </c>
      <c r="B72" s="5800"/>
      <c r="C72" s="5800"/>
      <c r="D72" s="5799"/>
      <c r="E72" s="5796" t="s">
        <v>40</v>
      </c>
      <c r="F72" s="5796" t="s">
        <v>40</v>
      </c>
      <c r="G72" s="5796" t="s">
        <v>40</v>
      </c>
      <c r="H72" s="5800" t="s">
        <v>40</v>
      </c>
      <c r="I72" s="5800" t="s">
        <v>40</v>
      </c>
      <c r="J72" s="5800"/>
      <c r="K72" s="5800"/>
      <c r="L72" s="5796" t="s">
        <v>40</v>
      </c>
      <c r="M72" s="5796" t="s">
        <v>40</v>
      </c>
      <c r="N72" s="5796" t="s">
        <v>40</v>
      </c>
      <c r="O72" s="5800"/>
      <c r="P72" s="5800" t="s">
        <v>40</v>
      </c>
      <c r="Q72" s="5800"/>
      <c r="R72" s="5800"/>
      <c r="S72" s="5796" t="s">
        <v>40</v>
      </c>
      <c r="T72" s="5796" t="s">
        <v>40</v>
      </c>
      <c r="U72" s="5796" t="s">
        <v>40</v>
      </c>
      <c r="V72" s="5800" t="s">
        <v>40</v>
      </c>
      <c r="W72" s="5800" t="s">
        <v>40</v>
      </c>
      <c r="X72" s="5800"/>
      <c r="Y72" s="5800"/>
      <c r="Z72" s="5796"/>
      <c r="AA72" s="5796" t="s">
        <v>40</v>
      </c>
      <c r="AB72" s="5796" t="s">
        <v>40</v>
      </c>
      <c r="AC72" s="5800" t="s">
        <v>40</v>
      </c>
      <c r="AD72" s="5800" t="s">
        <v>40</v>
      </c>
      <c r="AE72" s="5800"/>
      <c r="AF72" s="5808"/>
    </row>
    <row r="73" spans="1:33" ht="18" customHeight="1">
      <c r="A73" s="5593" t="s">
        <v>540</v>
      </c>
      <c r="B73" s="5800"/>
      <c r="C73" s="5800"/>
      <c r="D73" s="5799"/>
      <c r="E73" s="5796" t="s">
        <v>40</v>
      </c>
      <c r="F73" s="5796" t="s">
        <v>40</v>
      </c>
      <c r="G73" s="5796" t="s">
        <v>40</v>
      </c>
      <c r="H73" s="5800" t="s">
        <v>40</v>
      </c>
      <c r="I73" s="5800" t="s">
        <v>40</v>
      </c>
      <c r="J73" s="5800"/>
      <c r="K73" s="5800"/>
      <c r="L73" s="5796" t="s">
        <v>40</v>
      </c>
      <c r="M73" s="5796" t="s">
        <v>40</v>
      </c>
      <c r="N73" s="5796" t="s">
        <v>40</v>
      </c>
      <c r="O73" s="5800"/>
      <c r="P73" s="5800" t="s">
        <v>40</v>
      </c>
      <c r="Q73" s="5800"/>
      <c r="R73" s="5800"/>
      <c r="S73" s="5796" t="s">
        <v>40</v>
      </c>
      <c r="T73" s="5796" t="s">
        <v>40</v>
      </c>
      <c r="U73" s="5796" t="s">
        <v>40</v>
      </c>
      <c r="V73" s="5800" t="s">
        <v>40</v>
      </c>
      <c r="W73" s="5800" t="s">
        <v>40</v>
      </c>
      <c r="X73" s="5800" t="s">
        <v>0</v>
      </c>
      <c r="Y73" s="5800"/>
      <c r="Z73" s="5796"/>
      <c r="AA73" s="5796" t="s">
        <v>40</v>
      </c>
      <c r="AB73" s="5796" t="s">
        <v>40</v>
      </c>
      <c r="AC73" s="5800" t="s">
        <v>40</v>
      </c>
      <c r="AD73" s="5800" t="s">
        <v>40</v>
      </c>
      <c r="AE73" s="5800"/>
      <c r="AF73" s="5808"/>
    </row>
    <row r="74" spans="1:33" ht="18" customHeight="1">
      <c r="A74" s="1040" t="s">
        <v>591</v>
      </c>
      <c r="B74" s="5810"/>
      <c r="C74" s="5810"/>
      <c r="D74" s="5811"/>
      <c r="E74" s="5812" t="s">
        <v>40</v>
      </c>
      <c r="F74" s="5812" t="s">
        <v>40</v>
      </c>
      <c r="G74" s="5812" t="s">
        <v>40</v>
      </c>
      <c r="H74" s="5810" t="s">
        <v>40</v>
      </c>
      <c r="I74" s="5810" t="s">
        <v>40</v>
      </c>
      <c r="J74" s="5810"/>
      <c r="K74" s="5810"/>
      <c r="L74" s="5812" t="s">
        <v>40</v>
      </c>
      <c r="M74" s="5812" t="s">
        <v>40</v>
      </c>
      <c r="N74" s="5812" t="s">
        <v>40</v>
      </c>
      <c r="O74" s="5810"/>
      <c r="P74" s="5810" t="s">
        <v>40</v>
      </c>
      <c r="Q74" s="5810"/>
      <c r="R74" s="5810"/>
      <c r="S74" s="5812" t="s">
        <v>40</v>
      </c>
      <c r="T74" s="5812" t="s">
        <v>40</v>
      </c>
      <c r="U74" s="5812" t="s">
        <v>40</v>
      </c>
      <c r="V74" s="5810" t="s">
        <v>40</v>
      </c>
      <c r="W74" s="5810" t="s">
        <v>40</v>
      </c>
      <c r="X74" s="5810"/>
      <c r="Y74" s="5810"/>
      <c r="Z74" s="5812"/>
      <c r="AA74" s="5812" t="s">
        <v>40</v>
      </c>
      <c r="AB74" s="5812" t="s">
        <v>40</v>
      </c>
      <c r="AC74" s="5810" t="s">
        <v>40</v>
      </c>
      <c r="AD74" s="5810" t="s">
        <v>40</v>
      </c>
      <c r="AE74" s="5810"/>
      <c r="AF74" s="5813"/>
    </row>
    <row r="75" spans="1:33" ht="18" customHeight="1">
      <c r="A75" s="785"/>
      <c r="B75" s="128"/>
      <c r="C75" s="128"/>
      <c r="D75" s="113"/>
      <c r="E75" s="116"/>
      <c r="F75" s="116"/>
      <c r="G75" s="116"/>
      <c r="H75" s="128"/>
      <c r="I75" s="128"/>
      <c r="J75" s="128"/>
      <c r="K75" s="128"/>
      <c r="L75" s="116"/>
      <c r="M75" s="116"/>
      <c r="N75" s="116"/>
      <c r="O75" s="128"/>
      <c r="P75" s="128"/>
      <c r="Q75" s="128"/>
      <c r="R75" s="128"/>
      <c r="S75" s="116"/>
      <c r="T75" s="116"/>
      <c r="U75" s="116"/>
      <c r="V75" s="128"/>
      <c r="W75" s="128"/>
      <c r="X75" s="128"/>
      <c r="Y75" s="128"/>
      <c r="Z75" s="116"/>
      <c r="AA75" s="116"/>
      <c r="AB75" s="116"/>
      <c r="AC75" s="128"/>
      <c r="AD75" s="128"/>
      <c r="AE75" s="128"/>
      <c r="AF75" s="128"/>
      <c r="AG75" s="111"/>
    </row>
    <row r="76" spans="1:33" ht="18" customHeight="1">
      <c r="A76" s="787" t="s">
        <v>154</v>
      </c>
      <c r="B76" s="427">
        <v>1</v>
      </c>
      <c r="C76" s="427">
        <v>2</v>
      </c>
      <c r="D76" s="427">
        <v>3</v>
      </c>
      <c r="E76" s="428">
        <v>4</v>
      </c>
      <c r="F76" s="428">
        <v>5</v>
      </c>
      <c r="G76" s="428">
        <v>6</v>
      </c>
      <c r="H76" s="428">
        <v>7</v>
      </c>
      <c r="I76" s="428">
        <v>8</v>
      </c>
      <c r="J76" s="427">
        <v>9</v>
      </c>
      <c r="K76" s="427">
        <v>10</v>
      </c>
      <c r="L76" s="428">
        <v>11</v>
      </c>
      <c r="M76" s="428">
        <v>12</v>
      </c>
      <c r="N76" s="428">
        <v>13</v>
      </c>
      <c r="O76" s="427">
        <v>14</v>
      </c>
      <c r="P76" s="428">
        <v>15</v>
      </c>
      <c r="Q76" s="427">
        <v>16</v>
      </c>
      <c r="R76" s="427">
        <v>17</v>
      </c>
      <c r="S76" s="428">
        <v>18</v>
      </c>
      <c r="T76" s="428">
        <v>19</v>
      </c>
      <c r="U76" s="428">
        <v>20</v>
      </c>
      <c r="V76" s="428">
        <v>21</v>
      </c>
      <c r="W76" s="428">
        <v>22</v>
      </c>
      <c r="X76" s="427">
        <v>23</v>
      </c>
      <c r="Y76" s="427">
        <v>24</v>
      </c>
      <c r="Z76" s="427">
        <v>25</v>
      </c>
      <c r="AA76" s="428">
        <v>26</v>
      </c>
      <c r="AB76" s="428">
        <v>27</v>
      </c>
      <c r="AC76" s="428">
        <v>28</v>
      </c>
      <c r="AD76" s="428">
        <v>29</v>
      </c>
      <c r="AE76" s="427">
        <v>30</v>
      </c>
      <c r="AF76" s="429">
        <v>31</v>
      </c>
    </row>
    <row r="77" spans="1:33" ht="18" customHeight="1">
      <c r="A77" s="5595"/>
      <c r="B77" s="424"/>
      <c r="C77" s="424"/>
      <c r="D77" s="425"/>
      <c r="E77" s="425" t="s">
        <v>40</v>
      </c>
      <c r="F77" s="425" t="s">
        <v>40</v>
      </c>
      <c r="G77" s="423" t="s">
        <v>40</v>
      </c>
      <c r="H77" s="423" t="s">
        <v>40</v>
      </c>
      <c r="I77" s="423" t="s">
        <v>40</v>
      </c>
      <c r="J77" s="424"/>
      <c r="K77" s="424"/>
      <c r="L77" s="424" t="s">
        <v>40</v>
      </c>
      <c r="M77" s="424" t="s">
        <v>40</v>
      </c>
      <c r="N77" s="423" t="s">
        <v>40</v>
      </c>
      <c r="O77" s="423"/>
      <c r="P77" s="423" t="s">
        <v>40</v>
      </c>
      <c r="Q77" s="423"/>
      <c r="R77" s="423"/>
      <c r="S77" s="424" t="s">
        <v>40</v>
      </c>
      <c r="T77" s="424" t="s">
        <v>40</v>
      </c>
      <c r="U77" s="423" t="s">
        <v>40</v>
      </c>
      <c r="V77" s="423" t="s">
        <v>40</v>
      </c>
      <c r="W77" s="424" t="s">
        <v>40</v>
      </c>
      <c r="X77" s="424"/>
      <c r="Y77" s="424"/>
      <c r="Z77" s="424"/>
      <c r="AA77" s="424" t="s">
        <v>40</v>
      </c>
      <c r="AB77" s="423" t="s">
        <v>40</v>
      </c>
      <c r="AC77" s="423" t="s">
        <v>40</v>
      </c>
      <c r="AD77" s="424" t="s">
        <v>40</v>
      </c>
      <c r="AE77" s="424"/>
      <c r="AF77" s="789"/>
    </row>
    <row r="78" spans="1:33" ht="18" customHeight="1">
      <c r="A78" s="5547"/>
      <c r="B78" s="344"/>
      <c r="C78" s="344"/>
      <c r="D78" s="340"/>
      <c r="E78" s="340" t="s">
        <v>40</v>
      </c>
      <c r="F78" s="340" t="s">
        <v>40</v>
      </c>
      <c r="G78" s="320" t="s">
        <v>40</v>
      </c>
      <c r="H78" s="320" t="s">
        <v>40</v>
      </c>
      <c r="I78" s="320" t="s">
        <v>40</v>
      </c>
      <c r="J78" s="344"/>
      <c r="K78" s="344"/>
      <c r="L78" s="344" t="s">
        <v>40</v>
      </c>
      <c r="M78" s="344" t="s">
        <v>40</v>
      </c>
      <c r="N78" s="320" t="s">
        <v>40</v>
      </c>
      <c r="O78" s="320"/>
      <c r="P78" s="320" t="s">
        <v>40</v>
      </c>
      <c r="Q78" s="320"/>
      <c r="R78" s="320"/>
      <c r="S78" s="344" t="s">
        <v>40</v>
      </c>
      <c r="T78" s="344" t="s">
        <v>40</v>
      </c>
      <c r="U78" s="320" t="s">
        <v>40</v>
      </c>
      <c r="V78" s="320" t="s">
        <v>40</v>
      </c>
      <c r="W78" s="344" t="s">
        <v>40</v>
      </c>
      <c r="X78" s="344"/>
      <c r="Y78" s="344"/>
      <c r="Z78" s="344"/>
      <c r="AA78" s="344" t="s">
        <v>40</v>
      </c>
      <c r="AB78" s="320" t="s">
        <v>40</v>
      </c>
      <c r="AC78" s="320" t="s">
        <v>40</v>
      </c>
      <c r="AD78" s="344" t="s">
        <v>40</v>
      </c>
      <c r="AE78" s="344"/>
      <c r="AF78" s="375"/>
    </row>
    <row r="79" spans="1:33" ht="18" customHeight="1">
      <c r="A79" s="686" t="s">
        <v>0</v>
      </c>
      <c r="B79" s="763"/>
      <c r="C79" s="763"/>
      <c r="D79" s="764"/>
      <c r="E79" s="764" t="s">
        <v>40</v>
      </c>
      <c r="F79" s="764" t="s">
        <v>40</v>
      </c>
      <c r="G79" s="444" t="s">
        <v>40</v>
      </c>
      <c r="H79" s="444" t="s">
        <v>40</v>
      </c>
      <c r="I79" s="444" t="s">
        <v>40</v>
      </c>
      <c r="J79" s="763"/>
      <c r="K79" s="763"/>
      <c r="L79" s="763" t="s">
        <v>40</v>
      </c>
      <c r="M79" s="763" t="s">
        <v>40</v>
      </c>
      <c r="N79" s="444" t="s">
        <v>40</v>
      </c>
      <c r="O79" s="444"/>
      <c r="P79" s="444" t="s">
        <v>40</v>
      </c>
      <c r="Q79" s="444"/>
      <c r="R79" s="444"/>
      <c r="S79" s="763" t="s">
        <v>40</v>
      </c>
      <c r="T79" s="763" t="s">
        <v>40</v>
      </c>
      <c r="U79" s="444" t="s">
        <v>40</v>
      </c>
      <c r="V79" s="444" t="s">
        <v>40</v>
      </c>
      <c r="W79" s="763" t="s">
        <v>40</v>
      </c>
      <c r="X79" s="763"/>
      <c r="Y79" s="763"/>
      <c r="Z79" s="763"/>
      <c r="AA79" s="763" t="s">
        <v>40</v>
      </c>
      <c r="AB79" s="444" t="s">
        <v>40</v>
      </c>
      <c r="AC79" s="444" t="s">
        <v>40</v>
      </c>
      <c r="AD79" s="763" t="s">
        <v>40</v>
      </c>
      <c r="AE79" s="763"/>
      <c r="AF79" s="788"/>
    </row>
    <row r="80" spans="1:33" ht="18" customHeight="1">
      <c r="A80" s="787" t="s">
        <v>156</v>
      </c>
      <c r="B80" s="427">
        <v>1</v>
      </c>
      <c r="C80" s="427">
        <v>2</v>
      </c>
      <c r="D80" s="427">
        <v>3</v>
      </c>
      <c r="E80" s="428">
        <v>4</v>
      </c>
      <c r="F80" s="428">
        <v>5</v>
      </c>
      <c r="G80" s="428">
        <v>6</v>
      </c>
      <c r="H80" s="428">
        <v>7</v>
      </c>
      <c r="I80" s="428">
        <v>8</v>
      </c>
      <c r="J80" s="427">
        <v>9</v>
      </c>
      <c r="K80" s="427">
        <v>10</v>
      </c>
      <c r="L80" s="428">
        <v>11</v>
      </c>
      <c r="M80" s="428">
        <v>12</v>
      </c>
      <c r="N80" s="428">
        <v>13</v>
      </c>
      <c r="O80" s="427">
        <v>14</v>
      </c>
      <c r="P80" s="428">
        <v>15</v>
      </c>
      <c r="Q80" s="427">
        <v>16</v>
      </c>
      <c r="R80" s="427">
        <v>17</v>
      </c>
      <c r="S80" s="428">
        <v>18</v>
      </c>
      <c r="T80" s="428">
        <v>19</v>
      </c>
      <c r="U80" s="428">
        <v>20</v>
      </c>
      <c r="V80" s="428">
        <v>21</v>
      </c>
      <c r="W80" s="428">
        <v>22</v>
      </c>
      <c r="X80" s="427">
        <v>23</v>
      </c>
      <c r="Y80" s="427">
        <v>24</v>
      </c>
      <c r="Z80" s="427">
        <v>25</v>
      </c>
      <c r="AA80" s="428">
        <v>26</v>
      </c>
      <c r="AB80" s="428">
        <v>27</v>
      </c>
      <c r="AC80" s="428">
        <v>28</v>
      </c>
      <c r="AD80" s="428">
        <v>29</v>
      </c>
      <c r="AE80" s="427">
        <v>30</v>
      </c>
      <c r="AF80" s="429">
        <v>31</v>
      </c>
    </row>
    <row r="81" spans="1:32" ht="18" customHeight="1">
      <c r="A81" s="470" t="s">
        <v>688</v>
      </c>
      <c r="B81" s="424"/>
      <c r="C81" s="424"/>
      <c r="D81" s="425"/>
      <c r="E81" s="425" t="s">
        <v>40</v>
      </c>
      <c r="F81" s="425" t="s">
        <v>40</v>
      </c>
      <c r="G81" s="423" t="s">
        <v>40</v>
      </c>
      <c r="H81" s="423" t="s">
        <v>40</v>
      </c>
      <c r="I81" s="423" t="s">
        <v>40</v>
      </c>
      <c r="J81" s="424"/>
      <c r="K81" s="424"/>
      <c r="L81" s="424" t="s">
        <v>40</v>
      </c>
      <c r="M81" s="424" t="s">
        <v>40</v>
      </c>
      <c r="N81" s="423" t="s">
        <v>40</v>
      </c>
      <c r="O81" s="423"/>
      <c r="P81" s="423" t="s">
        <v>40</v>
      </c>
      <c r="Q81" s="423"/>
      <c r="R81" s="423"/>
      <c r="S81" s="424" t="s">
        <v>40</v>
      </c>
      <c r="T81" s="424" t="s">
        <v>40</v>
      </c>
      <c r="U81" s="423" t="s">
        <v>40</v>
      </c>
      <c r="V81" s="423" t="s">
        <v>40</v>
      </c>
      <c r="W81" s="424" t="s">
        <v>40</v>
      </c>
      <c r="X81" s="424"/>
      <c r="Y81" s="424"/>
      <c r="Z81" s="424"/>
      <c r="AA81" s="424" t="s">
        <v>40</v>
      </c>
      <c r="AB81" s="423" t="s">
        <v>40</v>
      </c>
      <c r="AC81" s="423" t="s">
        <v>40</v>
      </c>
      <c r="AD81" s="424" t="s">
        <v>40</v>
      </c>
      <c r="AE81" s="424"/>
      <c r="AF81" s="789"/>
    </row>
    <row r="82" spans="1:32" ht="18" customHeight="1">
      <c r="A82" s="364" t="s">
        <v>544</v>
      </c>
      <c r="B82" s="344"/>
      <c r="C82" s="344"/>
      <c r="D82" s="340"/>
      <c r="E82" s="340" t="s">
        <v>40</v>
      </c>
      <c r="F82" s="340" t="s">
        <v>40</v>
      </c>
      <c r="G82" s="320" t="s">
        <v>40</v>
      </c>
      <c r="H82" s="320" t="s">
        <v>40</v>
      </c>
      <c r="I82" s="320" t="s">
        <v>40</v>
      </c>
      <c r="J82" s="344"/>
      <c r="K82" s="344"/>
      <c r="L82" s="344" t="s">
        <v>40</v>
      </c>
      <c r="M82" s="344" t="s">
        <v>40</v>
      </c>
      <c r="N82" s="320" t="s">
        <v>40</v>
      </c>
      <c r="O82" s="320"/>
      <c r="P82" s="320" t="s">
        <v>40</v>
      </c>
      <c r="Q82" s="320"/>
      <c r="R82" s="320"/>
      <c r="S82" s="344" t="s">
        <v>40</v>
      </c>
      <c r="T82" s="344" t="s">
        <v>40</v>
      </c>
      <c r="U82" s="320" t="s">
        <v>40</v>
      </c>
      <c r="V82" s="320" t="s">
        <v>40</v>
      </c>
      <c r="W82" s="344" t="s">
        <v>40</v>
      </c>
      <c r="X82" s="344"/>
      <c r="Y82" s="344"/>
      <c r="Z82" s="344"/>
      <c r="AA82" s="344" t="s">
        <v>40</v>
      </c>
      <c r="AB82" s="320" t="s">
        <v>40</v>
      </c>
      <c r="AC82" s="320" t="s">
        <v>40</v>
      </c>
      <c r="AD82" s="344" t="s">
        <v>40</v>
      </c>
      <c r="AE82" s="344"/>
      <c r="AF82" s="375"/>
    </row>
    <row r="83" spans="1:32" ht="18" customHeight="1">
      <c r="A83" s="686" t="s">
        <v>481</v>
      </c>
      <c r="B83" s="791"/>
      <c r="C83" s="791"/>
      <c r="D83" s="791"/>
      <c r="E83" s="791"/>
      <c r="F83" s="791"/>
      <c r="G83" s="791"/>
      <c r="H83" s="791"/>
      <c r="I83" s="791"/>
      <c r="J83" s="791"/>
      <c r="K83" s="791"/>
      <c r="L83" s="791"/>
      <c r="M83" s="791"/>
      <c r="N83" s="791"/>
      <c r="O83" s="791"/>
      <c r="P83" s="791"/>
      <c r="Q83" s="791"/>
      <c r="R83" s="791"/>
      <c r="S83" s="791"/>
      <c r="T83" s="791"/>
      <c r="U83" s="791"/>
      <c r="V83" s="791"/>
      <c r="W83" s="791"/>
      <c r="X83" s="791"/>
      <c r="Y83" s="791"/>
      <c r="Z83" s="791"/>
      <c r="AA83" s="791"/>
      <c r="AB83" s="791"/>
      <c r="AC83" s="791"/>
      <c r="AD83" s="791"/>
      <c r="AE83" s="791"/>
      <c r="AF83" s="792"/>
    </row>
    <row r="84" spans="1:32" ht="18" customHeight="1">
      <c r="A84" s="790" t="s">
        <v>160</v>
      </c>
      <c r="B84" s="427">
        <v>1</v>
      </c>
      <c r="C84" s="427">
        <v>2</v>
      </c>
      <c r="D84" s="427">
        <v>3</v>
      </c>
      <c r="E84" s="428">
        <v>4</v>
      </c>
      <c r="F84" s="428">
        <v>5</v>
      </c>
      <c r="G84" s="428">
        <v>6</v>
      </c>
      <c r="H84" s="428">
        <v>7</v>
      </c>
      <c r="I84" s="428">
        <v>8</v>
      </c>
      <c r="J84" s="427">
        <v>9</v>
      </c>
      <c r="K84" s="427">
        <v>10</v>
      </c>
      <c r="L84" s="428">
        <v>11</v>
      </c>
      <c r="M84" s="428">
        <v>12</v>
      </c>
      <c r="N84" s="428">
        <v>13</v>
      </c>
      <c r="O84" s="427">
        <v>14</v>
      </c>
      <c r="P84" s="428">
        <v>15</v>
      </c>
      <c r="Q84" s="427">
        <v>16</v>
      </c>
      <c r="R84" s="427">
        <v>17</v>
      </c>
      <c r="S84" s="428">
        <v>18</v>
      </c>
      <c r="T84" s="428">
        <v>19</v>
      </c>
      <c r="U84" s="428">
        <v>20</v>
      </c>
      <c r="V84" s="428">
        <v>21</v>
      </c>
      <c r="W84" s="428">
        <v>22</v>
      </c>
      <c r="X84" s="427">
        <v>23</v>
      </c>
      <c r="Y84" s="427">
        <v>24</v>
      </c>
      <c r="Z84" s="427">
        <v>25</v>
      </c>
      <c r="AA84" s="428">
        <v>26</v>
      </c>
      <c r="AB84" s="428">
        <v>27</v>
      </c>
      <c r="AC84" s="428">
        <v>28</v>
      </c>
      <c r="AD84" s="428">
        <v>29</v>
      </c>
      <c r="AE84" s="427">
        <v>30</v>
      </c>
      <c r="AF84" s="429">
        <v>31</v>
      </c>
    </row>
    <row r="85" spans="1:32" ht="18" customHeight="1">
      <c r="A85" s="470"/>
      <c r="B85" s="424"/>
      <c r="C85" s="424"/>
      <c r="D85" s="425"/>
      <c r="E85" s="425"/>
      <c r="F85" s="425"/>
      <c r="G85" s="423"/>
      <c r="H85" s="423"/>
      <c r="I85" s="423"/>
      <c r="J85" s="424"/>
      <c r="K85" s="424"/>
      <c r="L85" s="424"/>
      <c r="M85" s="424"/>
      <c r="N85" s="423"/>
      <c r="O85" s="793"/>
      <c r="P85" s="423"/>
      <c r="Q85" s="423"/>
      <c r="R85" s="423"/>
      <c r="S85" s="424"/>
      <c r="T85" s="793"/>
      <c r="U85" s="423"/>
      <c r="V85" s="423"/>
      <c r="W85" s="424"/>
      <c r="X85" s="424"/>
      <c r="Y85" s="424"/>
      <c r="Z85" s="424"/>
      <c r="AA85" s="424"/>
      <c r="AB85" s="423"/>
      <c r="AC85" s="423"/>
      <c r="AD85" s="424"/>
      <c r="AE85" s="424"/>
      <c r="AF85" s="789"/>
    </row>
    <row r="86" spans="1:32" ht="18" customHeight="1">
      <c r="A86" s="469"/>
      <c r="B86" s="379"/>
      <c r="C86" s="379"/>
      <c r="D86" s="377"/>
      <c r="E86" s="377"/>
      <c r="F86" s="377"/>
      <c r="G86" s="378"/>
      <c r="H86" s="378"/>
      <c r="I86" s="378"/>
      <c r="J86" s="379"/>
      <c r="K86" s="379"/>
      <c r="L86" s="379"/>
      <c r="M86" s="379"/>
      <c r="N86" s="378"/>
      <c r="O86" s="378"/>
      <c r="P86" s="378"/>
      <c r="Q86" s="378"/>
      <c r="R86" s="378"/>
      <c r="S86" s="379"/>
      <c r="T86" s="379"/>
      <c r="U86" s="378"/>
      <c r="V86" s="378"/>
      <c r="W86" s="379"/>
      <c r="X86" s="379"/>
      <c r="Y86" s="379"/>
      <c r="Z86" s="379"/>
      <c r="AA86" s="379"/>
      <c r="AB86" s="378"/>
      <c r="AC86" s="378"/>
      <c r="AD86" s="379"/>
      <c r="AE86" s="379"/>
      <c r="AF86" s="697"/>
    </row>
    <row r="87" spans="1:32" ht="18" customHeight="1">
      <c r="A87" s="68"/>
      <c r="B87" s="176"/>
      <c r="C87" s="176"/>
      <c r="D87" s="176"/>
      <c r="E87" s="176"/>
      <c r="F87" s="176"/>
      <c r="G87" s="176"/>
      <c r="H87" s="176"/>
      <c r="I87" s="176"/>
      <c r="J87" s="176"/>
      <c r="K87" s="176"/>
      <c r="L87" s="176"/>
      <c r="M87" s="176"/>
      <c r="N87" s="176"/>
      <c r="O87" s="176"/>
      <c r="P87" s="176"/>
      <c r="Q87" s="176"/>
      <c r="R87" s="176"/>
      <c r="S87" s="176"/>
      <c r="T87" s="176"/>
      <c r="U87" s="176"/>
      <c r="V87" s="176"/>
      <c r="W87" s="176"/>
      <c r="X87" s="176"/>
      <c r="Y87" s="176"/>
      <c r="Z87" s="176"/>
      <c r="AA87" s="176"/>
      <c r="AB87" s="176"/>
      <c r="AC87" s="176"/>
      <c r="AD87" s="176"/>
      <c r="AE87" s="176"/>
    </row>
    <row r="88" spans="1:32" ht="18" customHeight="1">
      <c r="B88" s="110"/>
      <c r="C88" s="110"/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</row>
    <row r="89" spans="1:32" ht="18" customHeight="1">
      <c r="A89" s="5752" t="s">
        <v>161</v>
      </c>
      <c r="B89" s="5537"/>
      <c r="C89" s="5752" t="s">
        <v>19</v>
      </c>
      <c r="D89" s="5537"/>
      <c r="E89" s="5537"/>
      <c r="F89" s="5752" t="s">
        <v>20</v>
      </c>
      <c r="G89" s="5537"/>
      <c r="H89" s="5537"/>
      <c r="I89" s="5752" t="s">
        <v>21</v>
      </c>
      <c r="J89" s="5537"/>
      <c r="K89" s="5537"/>
      <c r="L89" s="5752" t="s">
        <v>22</v>
      </c>
      <c r="M89" s="5537"/>
      <c r="N89" s="5537"/>
      <c r="O89" s="5752" t="s">
        <v>23</v>
      </c>
      <c r="P89" s="5537"/>
      <c r="Q89" s="5750"/>
      <c r="R89" s="5751" t="s">
        <v>24</v>
      </c>
      <c r="S89" s="5537"/>
      <c r="T89" s="5537"/>
      <c r="U89" s="5752" t="s">
        <v>25</v>
      </c>
      <c r="V89" s="5537"/>
      <c r="W89" s="68"/>
      <c r="X89" s="68"/>
      <c r="Y89" s="68"/>
      <c r="Z89" s="68"/>
      <c r="AA89" s="68"/>
      <c r="AB89" s="68"/>
      <c r="AC89" s="68"/>
      <c r="AD89" s="68"/>
      <c r="AE89" s="68"/>
    </row>
    <row r="90" spans="1:32" ht="18" customHeight="1">
      <c r="A90" s="5814" t="s">
        <v>162</v>
      </c>
      <c r="B90" s="5815" t="s">
        <v>163</v>
      </c>
      <c r="C90" s="5816"/>
      <c r="D90" s="5816"/>
      <c r="E90" s="5815" t="s">
        <v>163</v>
      </c>
      <c r="F90" s="5816"/>
      <c r="G90" s="5816"/>
      <c r="H90" s="5815" t="s">
        <v>163</v>
      </c>
      <c r="I90" s="5816"/>
      <c r="J90" s="5816"/>
      <c r="K90" s="5815" t="s">
        <v>163</v>
      </c>
      <c r="L90" s="5816"/>
      <c r="M90" s="5816"/>
      <c r="N90" s="5815" t="s">
        <v>163</v>
      </c>
      <c r="O90" s="5816"/>
      <c r="P90" s="5816"/>
      <c r="Q90" s="5817"/>
      <c r="R90" s="5816"/>
      <c r="S90" s="5816"/>
      <c r="T90" s="5817" t="s">
        <v>164</v>
      </c>
      <c r="U90" s="5816"/>
      <c r="V90" s="5818"/>
      <c r="W90" s="68"/>
      <c r="X90" s="68"/>
      <c r="Y90" s="68"/>
      <c r="Z90" s="68"/>
      <c r="AA90" s="68"/>
      <c r="AB90" s="68"/>
      <c r="AC90" s="68"/>
      <c r="AD90" s="68"/>
      <c r="AE90" s="68"/>
    </row>
    <row r="91" spans="1:32" ht="18" customHeight="1">
      <c r="A91" s="5814" t="s">
        <v>165</v>
      </c>
      <c r="B91" s="5819" t="s">
        <v>166</v>
      </c>
      <c r="C91" s="5820"/>
      <c r="D91" s="5820"/>
      <c r="E91" s="5819" t="s">
        <v>167</v>
      </c>
      <c r="F91" s="5820"/>
      <c r="G91" s="5820"/>
      <c r="H91" s="5819" t="s">
        <v>167</v>
      </c>
      <c r="I91" s="5820"/>
      <c r="J91" s="5820"/>
      <c r="K91" s="5819" t="s">
        <v>167</v>
      </c>
      <c r="L91" s="5820"/>
      <c r="M91" s="5820"/>
      <c r="N91" s="5819" t="s">
        <v>168</v>
      </c>
      <c r="O91" s="5820"/>
      <c r="P91" s="5820"/>
      <c r="Q91" s="242"/>
      <c r="R91" s="46"/>
      <c r="S91" s="5818"/>
      <c r="T91" s="242"/>
      <c r="U91" s="46"/>
      <c r="V91" s="5818"/>
      <c r="W91" s="68"/>
      <c r="X91" s="68"/>
      <c r="Y91" s="68"/>
      <c r="Z91" s="68"/>
      <c r="AA91" s="68"/>
      <c r="AB91" s="68"/>
      <c r="AC91" s="68"/>
      <c r="AD91" s="68"/>
      <c r="AE91" s="68"/>
    </row>
    <row r="92" spans="1:32" ht="18" customHeight="1">
      <c r="A92" s="5814" t="s">
        <v>169</v>
      </c>
      <c r="B92" s="5821" t="s">
        <v>170</v>
      </c>
      <c r="C92" s="5770"/>
      <c r="D92" s="5770"/>
      <c r="E92" s="5821" t="s">
        <v>171</v>
      </c>
      <c r="F92" s="5778"/>
      <c r="G92" s="5770"/>
      <c r="H92" s="5821" t="s">
        <v>171</v>
      </c>
      <c r="I92" s="5757"/>
      <c r="J92" s="5756"/>
      <c r="K92" s="5617" t="s">
        <v>172</v>
      </c>
      <c r="L92" s="5757"/>
      <c r="M92" s="5618"/>
      <c r="N92" s="5821" t="s">
        <v>172</v>
      </c>
      <c r="O92" s="5770"/>
      <c r="P92" s="5770"/>
      <c r="Q92" s="5617" t="s">
        <v>173</v>
      </c>
      <c r="R92" s="5757"/>
      <c r="S92" s="5756"/>
      <c r="T92" s="5617" t="s">
        <v>173</v>
      </c>
      <c r="U92" s="5757"/>
      <c r="V92" s="5756"/>
      <c r="W92" s="68"/>
      <c r="X92" s="68"/>
      <c r="Y92" s="68"/>
      <c r="Z92" s="68"/>
      <c r="AA92" s="68"/>
      <c r="AB92" s="68"/>
      <c r="AC92" s="68"/>
      <c r="AD92" s="68"/>
      <c r="AE92" s="68"/>
    </row>
    <row r="93" spans="1:32" ht="18" customHeight="1">
      <c r="A93" s="5814" t="s">
        <v>174</v>
      </c>
      <c r="B93" s="5821" t="s">
        <v>46</v>
      </c>
      <c r="C93" s="5770"/>
      <c r="D93" s="5770"/>
      <c r="E93" s="5821" t="s">
        <v>46</v>
      </c>
      <c r="F93" s="5778"/>
      <c r="G93" s="5770"/>
      <c r="H93" s="5617" t="s">
        <v>46</v>
      </c>
      <c r="I93" s="5757"/>
      <c r="J93" s="5756"/>
      <c r="K93" s="5617" t="s">
        <v>46</v>
      </c>
      <c r="L93" s="5757"/>
      <c r="M93" s="5618"/>
      <c r="N93" s="5821" t="s">
        <v>46</v>
      </c>
      <c r="O93" s="5770"/>
      <c r="P93" s="5770"/>
      <c r="Q93" s="5617"/>
      <c r="R93" s="5757"/>
      <c r="S93" s="5756"/>
      <c r="T93" s="5617"/>
      <c r="U93" s="5757"/>
      <c r="V93" s="5822"/>
      <c r="W93" s="68"/>
      <c r="X93" s="68"/>
      <c r="Y93" s="68"/>
      <c r="Z93" s="68"/>
      <c r="AA93" s="68"/>
      <c r="AB93" s="68"/>
      <c r="AC93" s="68"/>
      <c r="AD93" s="68"/>
      <c r="AE93" s="68"/>
    </row>
    <row r="94" spans="1:32" ht="18" customHeight="1">
      <c r="A94" s="243"/>
      <c r="B94" s="244"/>
      <c r="E94" s="244"/>
      <c r="F94" s="68"/>
      <c r="H94" s="68"/>
      <c r="K94" s="68"/>
      <c r="M94" s="32"/>
      <c r="N94" s="244"/>
      <c r="Q94" s="68"/>
      <c r="T94" s="68"/>
      <c r="W94" s="68"/>
      <c r="X94" s="68"/>
      <c r="Y94" s="68"/>
      <c r="Z94" s="68"/>
      <c r="AA94" s="68"/>
      <c r="AB94" s="68"/>
      <c r="AC94" s="68"/>
      <c r="AD94" s="68"/>
      <c r="AE94" s="68"/>
    </row>
    <row r="95" spans="1:32" ht="18" customHeight="1">
      <c r="A95" s="794" t="s">
        <v>696</v>
      </c>
      <c r="B95" s="434">
        <v>1</v>
      </c>
      <c r="C95" s="434">
        <v>2</v>
      </c>
      <c r="D95" s="434">
        <v>3</v>
      </c>
      <c r="E95" s="435">
        <v>4</v>
      </c>
      <c r="F95" s="435">
        <v>5</v>
      </c>
      <c r="G95" s="435">
        <v>6</v>
      </c>
      <c r="H95" s="435">
        <v>7</v>
      </c>
      <c r="I95" s="435">
        <v>8</v>
      </c>
      <c r="J95" s="434">
        <v>9</v>
      </c>
      <c r="K95" s="434">
        <v>10</v>
      </c>
      <c r="L95" s="435">
        <v>11</v>
      </c>
      <c r="M95" s="435">
        <v>12</v>
      </c>
      <c r="N95" s="435">
        <v>13</v>
      </c>
      <c r="O95" s="434">
        <v>14</v>
      </c>
      <c r="P95" s="435">
        <v>15</v>
      </c>
      <c r="Q95" s="434">
        <v>16</v>
      </c>
      <c r="R95" s="434">
        <v>17</v>
      </c>
      <c r="S95" s="435">
        <v>18</v>
      </c>
      <c r="T95" s="435">
        <v>19</v>
      </c>
      <c r="U95" s="435">
        <v>20</v>
      </c>
      <c r="V95" s="435">
        <v>21</v>
      </c>
      <c r="W95" s="435">
        <v>22</v>
      </c>
      <c r="X95" s="434">
        <v>23</v>
      </c>
      <c r="Y95" s="434">
        <v>24</v>
      </c>
      <c r="Z95" s="434">
        <v>25</v>
      </c>
      <c r="AA95" s="435">
        <v>26</v>
      </c>
      <c r="AB95" s="435">
        <v>27</v>
      </c>
      <c r="AC95" s="435">
        <v>28</v>
      </c>
      <c r="AD95" s="435">
        <v>29</v>
      </c>
      <c r="AE95" s="434">
        <v>30</v>
      </c>
      <c r="AF95" s="436">
        <v>31</v>
      </c>
    </row>
    <row r="96" spans="1:32" ht="18" customHeight="1">
      <c r="A96" s="795" t="s">
        <v>175</v>
      </c>
      <c r="B96" s="585" t="s">
        <v>46</v>
      </c>
      <c r="C96" s="585"/>
      <c r="D96" s="585"/>
      <c r="E96" s="599">
        <v>25</v>
      </c>
      <c r="F96" s="599">
        <v>25</v>
      </c>
      <c r="G96" s="599">
        <v>25</v>
      </c>
      <c r="H96" s="599">
        <v>25</v>
      </c>
      <c r="I96" s="599">
        <v>25</v>
      </c>
      <c r="J96" s="599"/>
      <c r="K96" s="599">
        <v>26</v>
      </c>
      <c r="L96" s="585">
        <v>26</v>
      </c>
      <c r="M96" s="585">
        <v>26</v>
      </c>
      <c r="N96" s="585">
        <v>26</v>
      </c>
      <c r="O96" s="585"/>
      <c r="P96" s="585">
        <v>26</v>
      </c>
      <c r="Q96" s="585"/>
      <c r="R96" s="585"/>
      <c r="S96" s="1434" t="s">
        <v>121</v>
      </c>
      <c r="T96" s="1434" t="s">
        <v>121</v>
      </c>
      <c r="U96" s="1434" t="s">
        <v>121</v>
      </c>
      <c r="V96" s="1434" t="s">
        <v>121</v>
      </c>
      <c r="W96" s="1434" t="s">
        <v>121</v>
      </c>
      <c r="X96" s="1434" t="s">
        <v>120</v>
      </c>
      <c r="Y96" s="613" t="s">
        <v>120</v>
      </c>
      <c r="Z96" s="592" t="s">
        <v>46</v>
      </c>
      <c r="AA96" s="592" t="s">
        <v>46</v>
      </c>
      <c r="AB96" s="592" t="s">
        <v>46</v>
      </c>
      <c r="AC96" s="585" t="s">
        <v>46</v>
      </c>
      <c r="AD96" s="585" t="s">
        <v>46</v>
      </c>
      <c r="AE96" s="585"/>
      <c r="AF96" s="796"/>
    </row>
    <row r="97" spans="1:32" ht="18" customHeight="1">
      <c r="A97" s="5617" t="s">
        <v>176</v>
      </c>
      <c r="B97" s="5823"/>
      <c r="C97" s="5823"/>
      <c r="D97" s="5823">
        <v>26</v>
      </c>
      <c r="E97" s="5823">
        <v>26</v>
      </c>
      <c r="F97" s="5823">
        <v>26</v>
      </c>
      <c r="G97" s="5823">
        <v>26</v>
      </c>
      <c r="H97" s="5823">
        <v>26</v>
      </c>
      <c r="I97" s="5823">
        <v>26</v>
      </c>
      <c r="J97" s="585"/>
      <c r="K97" s="585"/>
      <c r="L97" s="585" t="s">
        <v>121</v>
      </c>
      <c r="M97" s="585" t="s">
        <v>121</v>
      </c>
      <c r="N97" s="585" t="s">
        <v>121</v>
      </c>
      <c r="O97" s="585" t="s">
        <v>120</v>
      </c>
      <c r="P97" s="585" t="s">
        <v>121</v>
      </c>
      <c r="Q97" s="5823" t="s">
        <v>120</v>
      </c>
      <c r="R97" s="5823" t="s">
        <v>120</v>
      </c>
      <c r="S97" s="5823" t="s">
        <v>46</v>
      </c>
      <c r="T97" s="5823" t="s">
        <v>46</v>
      </c>
      <c r="U97" s="5823" t="s">
        <v>46</v>
      </c>
      <c r="V97" s="5823" t="s">
        <v>46</v>
      </c>
      <c r="W97" s="5823" t="s">
        <v>46</v>
      </c>
      <c r="X97" s="5823"/>
      <c r="Y97" s="5823"/>
      <c r="Z97" s="5823"/>
      <c r="AA97" s="5823">
        <v>25</v>
      </c>
      <c r="AB97" s="5823">
        <v>25</v>
      </c>
      <c r="AC97" s="5823">
        <v>25</v>
      </c>
      <c r="AD97" s="5823">
        <v>25</v>
      </c>
      <c r="AE97" s="5823"/>
      <c r="AF97" s="5824">
        <v>26</v>
      </c>
    </row>
    <row r="98" spans="1:32" ht="18" customHeight="1">
      <c r="A98" s="5825" t="s">
        <v>135</v>
      </c>
      <c r="B98" s="5823"/>
      <c r="C98" s="5823"/>
      <c r="D98" s="5823"/>
      <c r="E98" s="5823" t="s">
        <v>121</v>
      </c>
      <c r="F98" s="5823" t="s">
        <v>121</v>
      </c>
      <c r="G98" s="5823" t="s">
        <v>121</v>
      </c>
      <c r="H98" s="5823" t="s">
        <v>121</v>
      </c>
      <c r="I98" s="5823" t="s">
        <v>121</v>
      </c>
      <c r="J98" s="5823" t="s">
        <v>120</v>
      </c>
      <c r="K98" s="5823" t="s">
        <v>120</v>
      </c>
      <c r="L98" s="5823" t="s">
        <v>46</v>
      </c>
      <c r="M98" s="5823" t="s">
        <v>46</v>
      </c>
      <c r="N98" s="5823" t="s">
        <v>46</v>
      </c>
      <c r="O98" s="5823" t="s">
        <v>46</v>
      </c>
      <c r="P98" s="5823" t="s">
        <v>46</v>
      </c>
      <c r="Q98" s="5823"/>
      <c r="R98" s="5823"/>
      <c r="S98" s="5823">
        <v>25</v>
      </c>
      <c r="T98" s="5823">
        <v>25</v>
      </c>
      <c r="U98" s="5823">
        <v>25</v>
      </c>
      <c r="V98" s="5823">
        <v>25</v>
      </c>
      <c r="W98" s="5823">
        <v>25</v>
      </c>
      <c r="X98" s="5823"/>
      <c r="Y98" s="5823">
        <v>26</v>
      </c>
      <c r="Z98" s="5823"/>
      <c r="AA98" s="5823">
        <v>26</v>
      </c>
      <c r="AB98" s="5823">
        <v>26</v>
      </c>
      <c r="AC98" s="5823">
        <v>26</v>
      </c>
      <c r="AD98" s="5823">
        <v>26</v>
      </c>
      <c r="AE98" s="5823"/>
      <c r="AF98" s="5824"/>
    </row>
    <row r="99" spans="1:32" ht="18" customHeight="1">
      <c r="A99" s="5826" t="s">
        <v>146</v>
      </c>
      <c r="B99" s="5827" t="s">
        <v>120</v>
      </c>
      <c r="C99" s="5827" t="s">
        <v>120</v>
      </c>
      <c r="D99" s="5827" t="s">
        <v>120</v>
      </c>
      <c r="E99" s="5827" t="s">
        <v>46</v>
      </c>
      <c r="F99" s="5827" t="s">
        <v>46</v>
      </c>
      <c r="G99" s="5827" t="s">
        <v>46</v>
      </c>
      <c r="H99" s="5827" t="s">
        <v>46</v>
      </c>
      <c r="I99" s="5827" t="s">
        <v>46</v>
      </c>
      <c r="J99" s="5827"/>
      <c r="K99" s="5827"/>
      <c r="L99" s="5827">
        <v>25</v>
      </c>
      <c r="M99" s="5827">
        <v>25</v>
      </c>
      <c r="N99" s="5827">
        <v>25</v>
      </c>
      <c r="O99" s="5827"/>
      <c r="P99" s="5827">
        <v>25</v>
      </c>
      <c r="Q99" s="5827"/>
      <c r="R99" s="5827">
        <v>26</v>
      </c>
      <c r="S99" s="5827">
        <v>26</v>
      </c>
      <c r="T99" s="5827">
        <v>26</v>
      </c>
      <c r="U99" s="5827">
        <v>26</v>
      </c>
      <c r="V99" s="5827">
        <v>26</v>
      </c>
      <c r="W99" s="5827">
        <v>26</v>
      </c>
      <c r="X99" s="5827"/>
      <c r="Y99" s="5827"/>
      <c r="Z99" s="5827" t="s">
        <v>120</v>
      </c>
      <c r="AA99" s="5827" t="s">
        <v>121</v>
      </c>
      <c r="AB99" s="5827" t="s">
        <v>121</v>
      </c>
      <c r="AC99" s="5827" t="s">
        <v>121</v>
      </c>
      <c r="AD99" s="5827" t="s">
        <v>121</v>
      </c>
      <c r="AE99" s="5827" t="s">
        <v>120</v>
      </c>
      <c r="AF99" s="5828" t="s">
        <v>120</v>
      </c>
    </row>
    <row r="100" spans="1:32" ht="18" customHeight="1">
      <c r="A100" s="68"/>
      <c r="B100" s="176"/>
      <c r="C100" s="176"/>
      <c r="D100" s="176"/>
      <c r="E100" s="176"/>
      <c r="F100" s="176"/>
      <c r="G100" s="176"/>
      <c r="H100" s="176"/>
      <c r="I100" s="176"/>
      <c r="J100" s="176"/>
      <c r="K100" s="176"/>
      <c r="L100" s="176"/>
      <c r="M100" s="176"/>
      <c r="N100" s="176"/>
      <c r="O100" s="176"/>
      <c r="P100" s="176"/>
      <c r="Q100" s="176"/>
      <c r="R100" s="176"/>
      <c r="S100" s="176"/>
      <c r="T100" s="176"/>
      <c r="U100" s="176"/>
      <c r="V100" s="176"/>
      <c r="W100" s="176"/>
      <c r="X100" s="176"/>
      <c r="Y100" s="176"/>
      <c r="Z100" s="176"/>
      <c r="AA100" s="176"/>
      <c r="AB100" s="176"/>
      <c r="AC100" s="176"/>
      <c r="AD100" s="176"/>
      <c r="AE100" s="176"/>
    </row>
    <row r="101" spans="1:32" ht="18" customHeight="1">
      <c r="A101" s="134" t="s">
        <v>180</v>
      </c>
      <c r="B101" s="135"/>
      <c r="C101" s="135"/>
      <c r="D101" s="136" t="s">
        <v>181</v>
      </c>
      <c r="E101" s="135"/>
      <c r="F101" s="135"/>
      <c r="G101" s="135"/>
      <c r="H101" s="135"/>
      <c r="I101" s="135"/>
      <c r="J101" s="135" t="s">
        <v>0</v>
      </c>
      <c r="K101" s="135"/>
      <c r="L101" s="135"/>
      <c r="M101" s="135"/>
      <c r="N101" s="135"/>
      <c r="O101" s="135"/>
      <c r="P101" s="135"/>
      <c r="Q101" s="147" t="s">
        <v>0</v>
      </c>
      <c r="R101" s="147"/>
      <c r="S101" s="147"/>
      <c r="T101" s="108"/>
      <c r="U101" s="108"/>
      <c r="V101" s="108"/>
      <c r="W101" s="108"/>
      <c r="X101" s="108"/>
      <c r="Y101" s="108"/>
      <c r="Z101" s="108"/>
      <c r="AA101" s="108"/>
      <c r="AB101" s="108"/>
      <c r="AC101" s="108"/>
      <c r="AD101" s="108"/>
      <c r="AE101" s="108"/>
      <c r="AF101" s="108"/>
    </row>
    <row r="102" spans="1:32" ht="18" customHeight="1">
      <c r="A102" s="798" t="s">
        <v>178</v>
      </c>
      <c r="B102" s="427">
        <v>1</v>
      </c>
      <c r="C102" s="427">
        <v>2</v>
      </c>
      <c r="D102" s="427">
        <v>3</v>
      </c>
      <c r="E102" s="428">
        <v>4</v>
      </c>
      <c r="F102" s="428">
        <v>5</v>
      </c>
      <c r="G102" s="428">
        <v>6</v>
      </c>
      <c r="H102" s="428">
        <v>7</v>
      </c>
      <c r="I102" s="428">
        <v>8</v>
      </c>
      <c r="J102" s="427">
        <v>9</v>
      </c>
      <c r="K102" s="427">
        <v>10</v>
      </c>
      <c r="L102" s="428">
        <v>11</v>
      </c>
      <c r="M102" s="428">
        <v>12</v>
      </c>
      <c r="N102" s="428">
        <v>13</v>
      </c>
      <c r="O102" s="427">
        <v>14</v>
      </c>
      <c r="P102" s="428">
        <v>15</v>
      </c>
      <c r="Q102" s="427">
        <v>16</v>
      </c>
      <c r="R102" s="427">
        <v>17</v>
      </c>
      <c r="S102" s="428">
        <v>18</v>
      </c>
      <c r="T102" s="428">
        <v>19</v>
      </c>
      <c r="U102" s="428">
        <v>20</v>
      </c>
      <c r="V102" s="428">
        <v>21</v>
      </c>
      <c r="W102" s="428">
        <v>22</v>
      </c>
      <c r="X102" s="427">
        <v>23</v>
      </c>
      <c r="Y102" s="427">
        <v>24</v>
      </c>
      <c r="Z102" s="427">
        <v>25</v>
      </c>
      <c r="AA102" s="428">
        <v>26</v>
      </c>
      <c r="AB102" s="428">
        <v>27</v>
      </c>
      <c r="AC102" s="428">
        <v>28</v>
      </c>
      <c r="AD102" s="428">
        <v>29</v>
      </c>
      <c r="AE102" s="427">
        <v>30</v>
      </c>
      <c r="AF102" s="429">
        <v>31</v>
      </c>
    </row>
    <row r="103" spans="1:32" ht="18" customHeight="1">
      <c r="A103" s="689" t="s">
        <v>184</v>
      </c>
      <c r="B103" s="644" t="s">
        <v>46</v>
      </c>
      <c r="C103" s="644"/>
      <c r="D103" s="644"/>
      <c r="E103" s="644" t="s">
        <v>118</v>
      </c>
      <c r="F103" s="644" t="s">
        <v>118</v>
      </c>
      <c r="G103" s="644" t="s">
        <v>118</v>
      </c>
      <c r="H103" s="644" t="s">
        <v>118</v>
      </c>
      <c r="I103" s="644" t="s">
        <v>118</v>
      </c>
      <c r="J103" s="644" t="s">
        <v>118</v>
      </c>
      <c r="K103" s="644" t="s">
        <v>118</v>
      </c>
      <c r="L103" s="644" t="s">
        <v>46</v>
      </c>
      <c r="M103" s="644" t="s">
        <v>46</v>
      </c>
      <c r="N103" s="644" t="s">
        <v>46</v>
      </c>
      <c r="O103" s="644" t="s">
        <v>46</v>
      </c>
      <c r="P103" s="644" t="s">
        <v>46</v>
      </c>
      <c r="Q103" s="644"/>
      <c r="R103" s="644"/>
      <c r="S103" s="644" t="s">
        <v>118</v>
      </c>
      <c r="T103" s="644" t="s">
        <v>118</v>
      </c>
      <c r="U103" s="644" t="s">
        <v>118</v>
      </c>
      <c r="V103" s="644" t="s">
        <v>118</v>
      </c>
      <c r="W103" s="644" t="s">
        <v>118</v>
      </c>
      <c r="X103" s="644" t="s">
        <v>118</v>
      </c>
      <c r="Y103" s="644" t="s">
        <v>118</v>
      </c>
      <c r="Z103" s="644" t="s">
        <v>46</v>
      </c>
      <c r="AA103" s="644" t="s">
        <v>46</v>
      </c>
      <c r="AB103" s="644" t="s">
        <v>46</v>
      </c>
      <c r="AC103" s="644" t="s">
        <v>46</v>
      </c>
      <c r="AD103" s="644" t="s">
        <v>46</v>
      </c>
      <c r="AE103" s="644"/>
      <c r="AF103" s="690"/>
    </row>
    <row r="104" spans="1:32" ht="18" customHeight="1">
      <c r="A104" s="366" t="s">
        <v>195</v>
      </c>
      <c r="B104" s="351" t="s">
        <v>118</v>
      </c>
      <c r="C104" s="351" t="s">
        <v>118</v>
      </c>
      <c r="D104" s="351" t="s">
        <v>118</v>
      </c>
      <c r="E104" s="351" t="s">
        <v>46</v>
      </c>
      <c r="F104" s="351" t="s">
        <v>46</v>
      </c>
      <c r="G104" s="351" t="s">
        <v>46</v>
      </c>
      <c r="H104" s="351" t="s">
        <v>46</v>
      </c>
      <c r="I104" s="351" t="s">
        <v>46</v>
      </c>
      <c r="J104" s="351"/>
      <c r="K104" s="351"/>
      <c r="L104" s="351" t="s">
        <v>118</v>
      </c>
      <c r="M104" s="351" t="s">
        <v>118</v>
      </c>
      <c r="N104" s="351" t="s">
        <v>118</v>
      </c>
      <c r="O104" s="351" t="s">
        <v>118</v>
      </c>
      <c r="P104" s="351" t="s">
        <v>118</v>
      </c>
      <c r="Q104" s="351" t="s">
        <v>118</v>
      </c>
      <c r="R104" s="351" t="s">
        <v>118</v>
      </c>
      <c r="S104" s="351" t="s">
        <v>46</v>
      </c>
      <c r="T104" s="351" t="s">
        <v>46</v>
      </c>
      <c r="U104" s="351" t="s">
        <v>46</v>
      </c>
      <c r="V104" s="351" t="s">
        <v>46</v>
      </c>
      <c r="W104" s="351" t="s">
        <v>46</v>
      </c>
      <c r="X104" s="351"/>
      <c r="Y104" s="351"/>
      <c r="Z104" s="351" t="s">
        <v>118</v>
      </c>
      <c r="AA104" s="351" t="s">
        <v>118</v>
      </c>
      <c r="AB104" s="351" t="s">
        <v>118</v>
      </c>
      <c r="AC104" s="351" t="s">
        <v>118</v>
      </c>
      <c r="AD104" s="351" t="s">
        <v>118</v>
      </c>
      <c r="AE104" s="351" t="s">
        <v>118</v>
      </c>
      <c r="AF104" s="393" t="s">
        <v>118</v>
      </c>
    </row>
    <row r="105" spans="1:32" ht="18" customHeight="1">
      <c r="A105" s="394" t="s">
        <v>385</v>
      </c>
      <c r="B105" s="395"/>
      <c r="C105" s="395"/>
      <c r="D105" s="395"/>
      <c r="E105" s="395"/>
      <c r="F105" s="395"/>
      <c r="G105" s="395"/>
      <c r="H105" s="395"/>
      <c r="I105" s="395"/>
      <c r="J105" s="395"/>
      <c r="K105" s="395"/>
      <c r="L105" s="395"/>
      <c r="M105" s="395"/>
      <c r="N105" s="395"/>
      <c r="O105" s="395"/>
      <c r="P105" s="395"/>
      <c r="Q105" s="395"/>
      <c r="R105" s="395"/>
      <c r="S105" s="395"/>
      <c r="T105" s="395"/>
      <c r="U105" s="395"/>
      <c r="V105" s="395"/>
      <c r="W105" s="395"/>
      <c r="X105" s="395"/>
      <c r="Y105" s="395"/>
      <c r="Z105" s="395"/>
      <c r="AA105" s="395"/>
      <c r="AB105" s="395"/>
      <c r="AC105" s="395"/>
      <c r="AD105" s="395"/>
      <c r="AE105" s="395"/>
      <c r="AF105" s="396"/>
    </row>
    <row r="106" spans="1:32" ht="18" customHeight="1">
      <c r="A106" s="142"/>
      <c r="B106" s="124"/>
      <c r="C106" s="124"/>
      <c r="D106" s="116"/>
      <c r="E106" s="116"/>
      <c r="F106" s="116"/>
      <c r="G106" s="116"/>
      <c r="H106" s="116"/>
      <c r="I106" s="116"/>
      <c r="J106" s="116"/>
      <c r="K106" s="116"/>
      <c r="L106" s="116"/>
      <c r="M106" s="116"/>
      <c r="N106" s="116"/>
      <c r="O106" s="116"/>
      <c r="P106" s="116"/>
      <c r="Q106" s="116"/>
      <c r="R106" s="116"/>
      <c r="S106" s="116"/>
      <c r="T106" s="116"/>
      <c r="U106" s="116"/>
      <c r="V106" s="116"/>
      <c r="W106" s="116"/>
      <c r="X106" s="116"/>
      <c r="Y106" s="116"/>
      <c r="Z106" s="116"/>
      <c r="AA106" s="116"/>
      <c r="AB106" s="116"/>
      <c r="AC106" s="116"/>
      <c r="AD106" s="116"/>
      <c r="AE106" s="116"/>
    </row>
    <row r="107" spans="1:32" ht="18" customHeight="1">
      <c r="A107" s="134" t="s">
        <v>180</v>
      </c>
      <c r="B107" s="135"/>
      <c r="C107" s="135"/>
      <c r="D107" s="136" t="s">
        <v>189</v>
      </c>
      <c r="E107" s="135"/>
      <c r="F107" s="135"/>
      <c r="G107" s="135"/>
      <c r="H107" s="135"/>
      <c r="I107" s="135"/>
      <c r="J107" s="135" t="s">
        <v>0</v>
      </c>
      <c r="K107" s="135"/>
      <c r="L107" s="135"/>
      <c r="M107" s="135"/>
      <c r="N107" s="135"/>
      <c r="O107" s="135"/>
      <c r="P107" s="135"/>
      <c r="Q107" s="147" t="s">
        <v>0</v>
      </c>
      <c r="R107" s="147"/>
      <c r="S107" s="147"/>
      <c r="T107" s="101"/>
      <c r="U107" s="101"/>
    </row>
    <row r="108" spans="1:32" ht="18" customHeight="1">
      <c r="A108" s="799" t="s">
        <v>188</v>
      </c>
      <c r="B108" s="434">
        <v>1</v>
      </c>
      <c r="C108" s="434">
        <v>2</v>
      </c>
      <c r="D108" s="434">
        <v>3</v>
      </c>
      <c r="E108" s="435">
        <v>4</v>
      </c>
      <c r="F108" s="435">
        <v>5</v>
      </c>
      <c r="G108" s="435">
        <v>6</v>
      </c>
      <c r="H108" s="435">
        <v>7</v>
      </c>
      <c r="I108" s="435">
        <v>8</v>
      </c>
      <c r="J108" s="434">
        <v>9</v>
      </c>
      <c r="K108" s="434">
        <v>10</v>
      </c>
      <c r="L108" s="435">
        <v>11</v>
      </c>
      <c r="M108" s="435">
        <v>12</v>
      </c>
      <c r="N108" s="435">
        <v>13</v>
      </c>
      <c r="O108" s="434">
        <v>14</v>
      </c>
      <c r="P108" s="435">
        <v>15</v>
      </c>
      <c r="Q108" s="434">
        <v>16</v>
      </c>
      <c r="R108" s="434">
        <v>17</v>
      </c>
      <c r="S108" s="435">
        <v>18</v>
      </c>
      <c r="T108" s="435">
        <v>19</v>
      </c>
      <c r="U108" s="435">
        <v>20</v>
      </c>
      <c r="V108" s="435">
        <v>21</v>
      </c>
      <c r="W108" s="435">
        <v>22</v>
      </c>
      <c r="X108" s="434">
        <v>23</v>
      </c>
      <c r="Y108" s="434">
        <v>24</v>
      </c>
      <c r="Z108" s="434">
        <v>25</v>
      </c>
      <c r="AA108" s="435">
        <v>26</v>
      </c>
      <c r="AB108" s="435">
        <v>27</v>
      </c>
      <c r="AC108" s="435">
        <v>28</v>
      </c>
      <c r="AD108" s="435">
        <v>29</v>
      </c>
      <c r="AE108" s="434">
        <v>30</v>
      </c>
      <c r="AF108" s="436">
        <v>31</v>
      </c>
    </row>
    <row r="109" spans="1:32" ht="18" customHeight="1">
      <c r="A109" s="475"/>
      <c r="B109" s="480" t="s">
        <v>46</v>
      </c>
      <c r="C109" s="484"/>
      <c r="D109" s="484"/>
      <c r="E109" s="484" t="s">
        <v>61</v>
      </c>
      <c r="F109" s="484" t="s">
        <v>61</v>
      </c>
      <c r="G109" s="484" t="s">
        <v>61</v>
      </c>
      <c r="H109" s="480" t="s">
        <v>61</v>
      </c>
      <c r="I109" s="480" t="s">
        <v>61</v>
      </c>
      <c r="J109" s="480" t="s">
        <v>61</v>
      </c>
      <c r="K109" s="480" t="s">
        <v>61</v>
      </c>
      <c r="L109" s="480" t="s">
        <v>46</v>
      </c>
      <c r="M109" s="480" t="s">
        <v>46</v>
      </c>
      <c r="N109" s="480" t="s">
        <v>46</v>
      </c>
      <c r="O109" s="480" t="s">
        <v>46</v>
      </c>
      <c r="P109" s="480" t="s">
        <v>46</v>
      </c>
      <c r="Q109" s="484"/>
      <c r="R109" s="484"/>
      <c r="S109" s="484" t="s">
        <v>61</v>
      </c>
      <c r="T109" s="484" t="s">
        <v>61</v>
      </c>
      <c r="U109" s="484" t="s">
        <v>61</v>
      </c>
      <c r="V109" s="480" t="s">
        <v>61</v>
      </c>
      <c r="W109" s="480" t="s">
        <v>61</v>
      </c>
      <c r="X109" s="480" t="s">
        <v>61</v>
      </c>
      <c r="Y109" s="480" t="s">
        <v>61</v>
      </c>
      <c r="Z109" s="480" t="s">
        <v>46</v>
      </c>
      <c r="AA109" s="480" t="s">
        <v>46</v>
      </c>
      <c r="AB109" s="480" t="s">
        <v>46</v>
      </c>
      <c r="AC109" s="480" t="s">
        <v>46</v>
      </c>
      <c r="AD109" s="480" t="s">
        <v>46</v>
      </c>
      <c r="AE109" s="484"/>
      <c r="AF109" s="715"/>
    </row>
    <row r="110" spans="1:32" ht="18" customHeight="1">
      <c r="A110" s="476" t="s">
        <v>191</v>
      </c>
      <c r="B110" s="5677" t="s">
        <v>61</v>
      </c>
      <c r="C110" s="5677" t="s">
        <v>61</v>
      </c>
      <c r="D110" s="5677" t="s">
        <v>61</v>
      </c>
      <c r="E110" s="5677" t="s">
        <v>46</v>
      </c>
      <c r="F110" s="5679" t="s">
        <v>46</v>
      </c>
      <c r="G110" s="5679" t="s">
        <v>46</v>
      </c>
      <c r="H110" s="5679" t="s">
        <v>46</v>
      </c>
      <c r="I110" s="5679" t="s">
        <v>46</v>
      </c>
      <c r="J110" s="5680"/>
      <c r="K110" s="5681"/>
      <c r="L110" s="5682" t="s">
        <v>61</v>
      </c>
      <c r="M110" s="5682" t="s">
        <v>61</v>
      </c>
      <c r="N110" s="5682" t="s">
        <v>61</v>
      </c>
      <c r="O110" s="5677" t="s">
        <v>61</v>
      </c>
      <c r="P110" s="5677" t="s">
        <v>61</v>
      </c>
      <c r="Q110" s="5677" t="s">
        <v>61</v>
      </c>
      <c r="R110" s="5677" t="s">
        <v>61</v>
      </c>
      <c r="S110" s="5677" t="s">
        <v>46</v>
      </c>
      <c r="T110" s="5679" t="s">
        <v>46</v>
      </c>
      <c r="U110" s="5679" t="s">
        <v>46</v>
      </c>
      <c r="V110" s="5679" t="s">
        <v>46</v>
      </c>
      <c r="W110" s="5679" t="s">
        <v>46</v>
      </c>
      <c r="X110" s="5680"/>
      <c r="Y110" s="5681"/>
      <c r="Z110" s="5682" t="s">
        <v>61</v>
      </c>
      <c r="AA110" s="5682" t="s">
        <v>61</v>
      </c>
      <c r="AB110" s="5682" t="s">
        <v>61</v>
      </c>
      <c r="AC110" s="5677" t="s">
        <v>61</v>
      </c>
      <c r="AD110" s="5677" t="s">
        <v>61</v>
      </c>
      <c r="AE110" s="5677" t="s">
        <v>61</v>
      </c>
      <c r="AF110" s="398" t="s">
        <v>61</v>
      </c>
    </row>
    <row r="111" spans="1:32" ht="18" customHeight="1">
      <c r="A111" s="157" t="s">
        <v>0</v>
      </c>
      <c r="B111" s="116" t="s">
        <v>0</v>
      </c>
      <c r="C111" s="116" t="s">
        <v>0</v>
      </c>
      <c r="D111" s="116" t="s">
        <v>0</v>
      </c>
      <c r="E111" s="116" t="s">
        <v>0</v>
      </c>
      <c r="F111" s="116" t="s">
        <v>0</v>
      </c>
      <c r="G111" s="116" t="s">
        <v>0</v>
      </c>
      <c r="H111" s="116" t="s">
        <v>0</v>
      </c>
      <c r="I111" s="116" t="s">
        <v>0</v>
      </c>
      <c r="J111" s="116" t="s">
        <v>0</v>
      </c>
      <c r="K111" s="116" t="s">
        <v>0</v>
      </c>
      <c r="L111" s="116" t="s">
        <v>0</v>
      </c>
      <c r="M111" s="116" t="s">
        <v>0</v>
      </c>
      <c r="N111" s="116" t="s">
        <v>0</v>
      </c>
      <c r="O111" s="116" t="s">
        <v>0</v>
      </c>
      <c r="P111" s="116" t="s">
        <v>0</v>
      </c>
      <c r="Q111" s="116" t="s">
        <v>0</v>
      </c>
      <c r="R111" s="116" t="s">
        <v>0</v>
      </c>
      <c r="S111" s="116" t="s">
        <v>0</v>
      </c>
      <c r="T111" s="116" t="s">
        <v>0</v>
      </c>
      <c r="U111" s="116" t="s">
        <v>0</v>
      </c>
      <c r="V111" s="116" t="s">
        <v>0</v>
      </c>
      <c r="W111" s="116" t="s">
        <v>0</v>
      </c>
      <c r="X111" s="116" t="s">
        <v>0</v>
      </c>
      <c r="Y111" s="116" t="s">
        <v>0</v>
      </c>
      <c r="Z111" s="116" t="s">
        <v>0</v>
      </c>
      <c r="AA111" s="116" t="s">
        <v>0</v>
      </c>
      <c r="AB111" s="116" t="s">
        <v>0</v>
      </c>
      <c r="AC111" s="116" t="s">
        <v>0</v>
      </c>
      <c r="AD111" s="116" t="s">
        <v>0</v>
      </c>
      <c r="AE111" s="116" t="s">
        <v>0</v>
      </c>
    </row>
    <row r="112" spans="1:32" ht="18" customHeight="1"/>
    <row r="113" spans="1:32" ht="18" customHeight="1">
      <c r="A113" s="801" t="s">
        <v>180</v>
      </c>
      <c r="B113" s="802"/>
      <c r="C113" s="802"/>
      <c r="D113" s="803" t="s">
        <v>193</v>
      </c>
      <c r="E113" s="802"/>
      <c r="F113" s="802"/>
      <c r="G113" s="802"/>
      <c r="H113" s="802"/>
      <c r="I113" s="802"/>
      <c r="J113" s="802" t="s">
        <v>0</v>
      </c>
      <c r="K113" s="802"/>
      <c r="L113" s="802"/>
      <c r="M113" s="802"/>
      <c r="N113" s="802"/>
      <c r="O113" s="802"/>
      <c r="P113" s="802"/>
      <c r="Q113" s="147" t="s">
        <v>0</v>
      </c>
      <c r="R113" s="147"/>
      <c r="S113" s="147"/>
    </row>
    <row r="114" spans="1:32" ht="18" customHeight="1">
      <c r="A114" s="800" t="s">
        <v>192</v>
      </c>
      <c r="B114" s="866">
        <v>1</v>
      </c>
      <c r="C114" s="866">
        <v>2</v>
      </c>
      <c r="D114" s="866">
        <v>3</v>
      </c>
      <c r="E114" s="865">
        <v>4</v>
      </c>
      <c r="F114" s="865">
        <v>5</v>
      </c>
      <c r="G114" s="865">
        <v>6</v>
      </c>
      <c r="H114" s="865">
        <v>7</v>
      </c>
      <c r="I114" s="865">
        <v>8</v>
      </c>
      <c r="J114" s="866">
        <v>9</v>
      </c>
      <c r="K114" s="866">
        <v>10</v>
      </c>
      <c r="L114" s="865">
        <v>11</v>
      </c>
      <c r="M114" s="865">
        <v>12</v>
      </c>
      <c r="N114" s="865">
        <v>13</v>
      </c>
      <c r="O114" s="866">
        <v>14</v>
      </c>
      <c r="P114" s="865">
        <v>15</v>
      </c>
      <c r="Q114" s="866">
        <v>16</v>
      </c>
      <c r="R114" s="866">
        <v>17</v>
      </c>
      <c r="S114" s="865">
        <v>18</v>
      </c>
      <c r="T114" s="865">
        <v>19</v>
      </c>
      <c r="U114" s="865">
        <v>20</v>
      </c>
      <c r="V114" s="865">
        <v>21</v>
      </c>
      <c r="W114" s="865">
        <v>22</v>
      </c>
      <c r="X114" s="866">
        <v>23</v>
      </c>
      <c r="Y114" s="866">
        <v>24</v>
      </c>
      <c r="Z114" s="866">
        <v>25</v>
      </c>
      <c r="AA114" s="865">
        <v>26</v>
      </c>
      <c r="AB114" s="865">
        <v>27</v>
      </c>
      <c r="AC114" s="865">
        <v>28</v>
      </c>
      <c r="AD114" s="865">
        <v>29</v>
      </c>
      <c r="AE114" s="866">
        <v>30</v>
      </c>
      <c r="AF114" s="868">
        <v>31</v>
      </c>
    </row>
    <row r="115" spans="1:32" ht="18" customHeight="1">
      <c r="A115" s="1515" t="s">
        <v>194</v>
      </c>
      <c r="B115" s="1505" t="s">
        <v>46</v>
      </c>
      <c r="C115" s="1505"/>
      <c r="D115" s="1504"/>
      <c r="E115" s="1504" t="s">
        <v>139</v>
      </c>
      <c r="F115" s="1504" t="s">
        <v>139</v>
      </c>
      <c r="G115" s="1504" t="s">
        <v>139</v>
      </c>
      <c r="H115" s="1504" t="s">
        <v>139</v>
      </c>
      <c r="I115" s="1505" t="s">
        <v>139</v>
      </c>
      <c r="J115" s="1505" t="s">
        <v>139</v>
      </c>
      <c r="K115" s="1505" t="s">
        <v>139</v>
      </c>
      <c r="L115" s="1505" t="s">
        <v>46</v>
      </c>
      <c r="M115" s="1505" t="s">
        <v>46</v>
      </c>
      <c r="N115" s="1505" t="s">
        <v>46</v>
      </c>
      <c r="O115" s="1505" t="s">
        <v>46</v>
      </c>
      <c r="P115" s="1505" t="s">
        <v>46</v>
      </c>
      <c r="Q115" s="1505"/>
      <c r="R115" s="1504"/>
      <c r="S115" s="1504" t="s">
        <v>139</v>
      </c>
      <c r="T115" s="1504" t="s">
        <v>139</v>
      </c>
      <c r="U115" s="1504" t="s">
        <v>139</v>
      </c>
      <c r="V115" s="1504" t="s">
        <v>139</v>
      </c>
      <c r="W115" s="1505" t="s">
        <v>139</v>
      </c>
      <c r="X115" s="1505" t="s">
        <v>139</v>
      </c>
      <c r="Y115" s="1505" t="s">
        <v>139</v>
      </c>
      <c r="Z115" s="1505" t="s">
        <v>46</v>
      </c>
      <c r="AA115" s="1505" t="s">
        <v>46</v>
      </c>
      <c r="AB115" s="1505" t="s">
        <v>46</v>
      </c>
      <c r="AC115" s="1505" t="s">
        <v>46</v>
      </c>
      <c r="AD115" s="1505" t="s">
        <v>46</v>
      </c>
      <c r="AE115" s="1505"/>
      <c r="AF115" s="1516"/>
    </row>
    <row r="116" spans="1:32" ht="18" customHeight="1">
      <c r="A116" s="932" t="s">
        <v>185</v>
      </c>
      <c r="B116" s="5677" t="s">
        <v>139</v>
      </c>
      <c r="C116" s="5677" t="s">
        <v>139</v>
      </c>
      <c r="D116" s="5677" t="s">
        <v>139</v>
      </c>
      <c r="E116" s="5677" t="s">
        <v>46</v>
      </c>
      <c r="F116" s="5677" t="s">
        <v>46</v>
      </c>
      <c r="G116" s="5677" t="s">
        <v>46</v>
      </c>
      <c r="H116" s="5677" t="s">
        <v>46</v>
      </c>
      <c r="I116" s="5677" t="s">
        <v>46</v>
      </c>
      <c r="J116" s="5677"/>
      <c r="K116" s="5682"/>
      <c r="L116" s="5682" t="s">
        <v>139</v>
      </c>
      <c r="M116" s="5682" t="s">
        <v>139</v>
      </c>
      <c r="N116" s="5682" t="s">
        <v>139</v>
      </c>
      <c r="O116" s="5682" t="s">
        <v>139</v>
      </c>
      <c r="P116" s="5677" t="s">
        <v>139</v>
      </c>
      <c r="Q116" s="5677" t="s">
        <v>139</v>
      </c>
      <c r="R116" s="5677" t="s">
        <v>139</v>
      </c>
      <c r="S116" s="5677" t="s">
        <v>46</v>
      </c>
      <c r="T116" s="5677" t="s">
        <v>46</v>
      </c>
      <c r="U116" s="5677" t="s">
        <v>46</v>
      </c>
      <c r="V116" s="5677" t="s">
        <v>46</v>
      </c>
      <c r="W116" s="5677" t="s">
        <v>46</v>
      </c>
      <c r="X116" s="5677"/>
      <c r="Y116" s="5682"/>
      <c r="Z116" s="5682" t="s">
        <v>139</v>
      </c>
      <c r="AA116" s="5682" t="s">
        <v>139</v>
      </c>
      <c r="AB116" s="5682" t="s">
        <v>139</v>
      </c>
      <c r="AC116" s="5682" t="s">
        <v>139</v>
      </c>
      <c r="AD116" s="5677" t="s">
        <v>139</v>
      </c>
      <c r="AE116" s="5677" t="s">
        <v>139</v>
      </c>
      <c r="AF116" s="398" t="s">
        <v>139</v>
      </c>
    </row>
    <row r="117" spans="1:32" ht="18" customHeight="1">
      <c r="A117" s="68"/>
      <c r="B117" s="108"/>
      <c r="C117" s="108"/>
      <c r="D117" s="108"/>
      <c r="E117" s="108"/>
      <c r="F117" s="108"/>
      <c r="G117" s="108"/>
      <c r="H117" s="108"/>
      <c r="I117" s="108"/>
      <c r="J117" s="108"/>
      <c r="K117" s="108"/>
      <c r="L117" s="108"/>
      <c r="M117" s="108"/>
      <c r="N117" s="108"/>
      <c r="O117" s="108"/>
      <c r="P117" s="108"/>
      <c r="Q117" s="108"/>
      <c r="R117" s="108"/>
      <c r="S117" s="108"/>
      <c r="T117" s="108"/>
      <c r="U117" s="108"/>
      <c r="V117" s="108"/>
      <c r="W117" s="108"/>
      <c r="X117" s="108"/>
      <c r="Y117" s="108"/>
      <c r="Z117" s="108"/>
      <c r="AA117" s="108"/>
      <c r="AB117" s="108"/>
      <c r="AC117" s="108"/>
      <c r="AD117" s="108"/>
      <c r="AE117" s="108"/>
    </row>
    <row r="118" spans="1:32" ht="18" customHeight="1">
      <c r="A118" s="801" t="s">
        <v>180</v>
      </c>
      <c r="B118" s="802"/>
      <c r="C118" s="802"/>
      <c r="D118" s="803"/>
      <c r="E118" s="802"/>
      <c r="F118" s="802"/>
      <c r="G118" s="802"/>
      <c r="H118" s="802"/>
      <c r="I118" s="802"/>
      <c r="J118" s="802" t="s">
        <v>0</v>
      </c>
      <c r="K118" s="802"/>
      <c r="L118" s="802"/>
      <c r="M118" s="802"/>
      <c r="N118" s="802"/>
      <c r="O118" s="802"/>
      <c r="P118" s="802"/>
      <c r="Q118" s="147" t="s">
        <v>0</v>
      </c>
      <c r="R118" s="147"/>
      <c r="S118" s="147"/>
    </row>
    <row r="119" spans="1:32" ht="18" customHeight="1">
      <c r="A119" s="804" t="s">
        <v>196</v>
      </c>
      <c r="B119" s="434">
        <v>1</v>
      </c>
      <c r="C119" s="434">
        <v>2</v>
      </c>
      <c r="D119" s="434">
        <v>3</v>
      </c>
      <c r="E119" s="435">
        <v>4</v>
      </c>
      <c r="F119" s="435">
        <v>5</v>
      </c>
      <c r="G119" s="435">
        <v>6</v>
      </c>
      <c r="H119" s="435">
        <v>7</v>
      </c>
      <c r="I119" s="435">
        <v>8</v>
      </c>
      <c r="J119" s="434">
        <v>9</v>
      </c>
      <c r="K119" s="434">
        <v>10</v>
      </c>
      <c r="L119" s="435">
        <v>11</v>
      </c>
      <c r="M119" s="435">
        <v>12</v>
      </c>
      <c r="N119" s="435">
        <v>13</v>
      </c>
      <c r="O119" s="434">
        <v>14</v>
      </c>
      <c r="P119" s="435">
        <v>15</v>
      </c>
      <c r="Q119" s="434">
        <v>16</v>
      </c>
      <c r="R119" s="434">
        <v>17</v>
      </c>
      <c r="S119" s="435">
        <v>18</v>
      </c>
      <c r="T119" s="435">
        <v>19</v>
      </c>
      <c r="U119" s="435">
        <v>20</v>
      </c>
      <c r="V119" s="435">
        <v>21</v>
      </c>
      <c r="W119" s="435">
        <v>22</v>
      </c>
      <c r="X119" s="434">
        <v>23</v>
      </c>
      <c r="Y119" s="434">
        <v>24</v>
      </c>
      <c r="Z119" s="434">
        <v>25</v>
      </c>
      <c r="AA119" s="435">
        <v>26</v>
      </c>
      <c r="AB119" s="435">
        <v>27</v>
      </c>
      <c r="AC119" s="435">
        <v>28</v>
      </c>
      <c r="AD119" s="435">
        <v>29</v>
      </c>
      <c r="AE119" s="434">
        <v>30</v>
      </c>
      <c r="AF119" s="436">
        <v>31</v>
      </c>
    </row>
    <row r="120" spans="1:32" ht="18" customHeight="1">
      <c r="A120" s="797" t="s">
        <v>392</v>
      </c>
      <c r="B120" s="480" t="s">
        <v>46</v>
      </c>
      <c r="C120" s="480"/>
      <c r="D120" s="484"/>
      <c r="E120" s="484" t="s">
        <v>113</v>
      </c>
      <c r="F120" s="484" t="s">
        <v>113</v>
      </c>
      <c r="G120" s="484" t="s">
        <v>113</v>
      </c>
      <c r="H120" s="484" t="s">
        <v>113</v>
      </c>
      <c r="I120" s="484" t="s">
        <v>113</v>
      </c>
      <c r="J120" s="484" t="s">
        <v>113</v>
      </c>
      <c r="K120" s="484" t="s">
        <v>113</v>
      </c>
      <c r="L120" s="480" t="s">
        <v>46</v>
      </c>
      <c r="M120" s="480" t="s">
        <v>46</v>
      </c>
      <c r="N120" s="480" t="s">
        <v>46</v>
      </c>
      <c r="O120" s="480" t="s">
        <v>46</v>
      </c>
      <c r="P120" s="480" t="s">
        <v>46</v>
      </c>
      <c r="Q120" s="480"/>
      <c r="R120" s="484"/>
      <c r="S120" s="484" t="s">
        <v>113</v>
      </c>
      <c r="T120" s="484" t="s">
        <v>113</v>
      </c>
      <c r="U120" s="484" t="s">
        <v>113</v>
      </c>
      <c r="V120" s="484" t="s">
        <v>113</v>
      </c>
      <c r="W120" s="484" t="s">
        <v>113</v>
      </c>
      <c r="X120" s="484" t="s">
        <v>113</v>
      </c>
      <c r="Y120" s="484" t="s">
        <v>113</v>
      </c>
      <c r="Z120" s="480" t="s">
        <v>46</v>
      </c>
      <c r="AA120" s="480" t="s">
        <v>46</v>
      </c>
      <c r="AB120" s="480" t="s">
        <v>46</v>
      </c>
      <c r="AC120" s="480" t="s">
        <v>46</v>
      </c>
      <c r="AD120" s="480" t="s">
        <v>46</v>
      </c>
      <c r="AE120" s="480"/>
      <c r="AF120" s="715"/>
    </row>
    <row r="121" spans="1:32" ht="18" customHeight="1">
      <c r="A121" s="431" t="s">
        <v>155</v>
      </c>
      <c r="B121" s="5682" t="s">
        <v>113</v>
      </c>
      <c r="C121" s="5682" t="s">
        <v>113</v>
      </c>
      <c r="D121" s="5682" t="s">
        <v>113</v>
      </c>
      <c r="E121" s="5677" t="s">
        <v>46</v>
      </c>
      <c r="F121" s="5677" t="s">
        <v>46</v>
      </c>
      <c r="G121" s="5677" t="s">
        <v>46</v>
      </c>
      <c r="H121" s="5677" t="s">
        <v>46</v>
      </c>
      <c r="I121" s="5677" t="s">
        <v>46</v>
      </c>
      <c r="J121" s="5677" t="s">
        <v>0</v>
      </c>
      <c r="K121" s="5677" t="s">
        <v>0</v>
      </c>
      <c r="L121" s="5682" t="s">
        <v>113</v>
      </c>
      <c r="M121" s="5682" t="s">
        <v>113</v>
      </c>
      <c r="N121" s="5682" t="s">
        <v>113</v>
      </c>
      <c r="O121" s="5682" t="s">
        <v>113</v>
      </c>
      <c r="P121" s="5682" t="s">
        <v>113</v>
      </c>
      <c r="Q121" s="5682" t="s">
        <v>113</v>
      </c>
      <c r="R121" s="5682" t="s">
        <v>113</v>
      </c>
      <c r="S121" s="5677" t="s">
        <v>46</v>
      </c>
      <c r="T121" s="5677" t="s">
        <v>46</v>
      </c>
      <c r="U121" s="5677" t="s">
        <v>46</v>
      </c>
      <c r="V121" s="5677" t="s">
        <v>46</v>
      </c>
      <c r="W121" s="5677" t="s">
        <v>46</v>
      </c>
      <c r="X121" s="5677" t="s">
        <v>0</v>
      </c>
      <c r="Y121" s="5677" t="s">
        <v>0</v>
      </c>
      <c r="Z121" s="5682" t="s">
        <v>113</v>
      </c>
      <c r="AA121" s="5682" t="s">
        <v>113</v>
      </c>
      <c r="AB121" s="5682" t="s">
        <v>113</v>
      </c>
      <c r="AC121" s="5682" t="s">
        <v>113</v>
      </c>
      <c r="AD121" s="5682" t="s">
        <v>113</v>
      </c>
      <c r="AE121" s="5682" t="s">
        <v>113</v>
      </c>
      <c r="AF121" s="670" t="s">
        <v>113</v>
      </c>
    </row>
    <row r="122" spans="1:32" ht="18" customHeight="1">
      <c r="A122" s="101"/>
      <c r="B122" s="99"/>
      <c r="C122" s="99"/>
      <c r="D122" s="99"/>
      <c r="E122" s="99"/>
      <c r="F122" s="99"/>
      <c r="G122" s="108"/>
      <c r="H122" s="108"/>
      <c r="I122" s="108"/>
      <c r="J122" s="108"/>
      <c r="K122" s="108"/>
      <c r="L122" s="108"/>
      <c r="M122" s="108"/>
      <c r="N122" s="99"/>
      <c r="O122" s="99"/>
      <c r="P122" s="99"/>
      <c r="Q122" s="99"/>
      <c r="R122" s="99"/>
      <c r="S122" s="99"/>
      <c r="T122" s="99"/>
      <c r="U122" s="108"/>
      <c r="V122" s="108"/>
      <c r="W122" s="108"/>
      <c r="X122" s="108"/>
      <c r="Y122" s="108"/>
      <c r="Z122" s="108"/>
      <c r="AA122" s="108"/>
      <c r="AB122" s="99"/>
      <c r="AC122" s="99"/>
      <c r="AD122" s="99"/>
      <c r="AE122" s="99"/>
    </row>
    <row r="123" spans="1:32" ht="18" customHeight="1">
      <c r="A123" s="2764" t="s">
        <v>201</v>
      </c>
      <c r="B123" s="2765"/>
      <c r="C123" s="2766" t="s">
        <v>19</v>
      </c>
      <c r="D123" s="2767"/>
      <c r="E123" s="2765"/>
      <c r="F123" s="2768" t="s">
        <v>20</v>
      </c>
      <c r="G123" s="2769"/>
      <c r="H123" s="2770"/>
      <c r="I123" s="2768" t="s">
        <v>21</v>
      </c>
      <c r="J123" s="2771"/>
      <c r="K123" s="2770"/>
      <c r="L123" s="2772" t="s">
        <v>22</v>
      </c>
      <c r="M123" s="2771"/>
      <c r="N123" s="2770"/>
      <c r="O123" s="2768" t="s">
        <v>23</v>
      </c>
      <c r="P123" s="2773"/>
      <c r="Q123" s="2770"/>
      <c r="R123" s="2768" t="s">
        <v>24</v>
      </c>
      <c r="S123" s="2774"/>
      <c r="T123" s="2770"/>
      <c r="U123" s="2768" t="s">
        <v>25</v>
      </c>
      <c r="V123" s="2773"/>
      <c r="W123" s="2883" t="s">
        <v>202</v>
      </c>
      <c r="X123" s="2776"/>
      <c r="Y123" s="2776"/>
      <c r="Z123" s="2777"/>
      <c r="AA123" s="2778" t="s">
        <v>108</v>
      </c>
      <c r="AB123" s="2779"/>
      <c r="AC123" s="2779"/>
      <c r="AD123" s="3059"/>
      <c r="AE123" s="3059"/>
      <c r="AF123" s="105"/>
    </row>
    <row r="124" spans="1:32" ht="18" customHeight="1">
      <c r="A124" s="5829" t="s">
        <v>203</v>
      </c>
      <c r="B124" s="5821" t="s">
        <v>204</v>
      </c>
      <c r="C124" s="5770"/>
      <c r="D124" s="5771"/>
      <c r="E124" s="5821" t="s">
        <v>204</v>
      </c>
      <c r="F124" s="5770"/>
      <c r="G124" s="5771"/>
      <c r="H124" s="5821" t="s">
        <v>204</v>
      </c>
      <c r="I124" s="5770"/>
      <c r="J124" s="5771"/>
      <c r="K124" s="5821" t="s">
        <v>204</v>
      </c>
      <c r="L124" s="5770"/>
      <c r="M124" s="5771"/>
      <c r="N124" s="5821" t="s">
        <v>205</v>
      </c>
      <c r="O124" s="5770"/>
      <c r="P124" s="5771"/>
      <c r="Q124" s="5821"/>
      <c r="R124" s="5770"/>
      <c r="S124" s="5771"/>
      <c r="T124" s="5821"/>
      <c r="U124" s="5770"/>
      <c r="V124" s="5771"/>
      <c r="W124" s="5821"/>
      <c r="X124" s="5778"/>
      <c r="Y124" s="5778"/>
      <c r="Z124" s="5778"/>
      <c r="AA124" s="5817"/>
      <c r="AB124" s="5778"/>
      <c r="AC124" s="5778"/>
      <c r="AD124" s="5778"/>
      <c r="AE124" s="5778"/>
      <c r="AF124" s="105"/>
    </row>
    <row r="126" spans="1:32" ht="18" customHeight="1">
      <c r="A126" s="5830" t="s">
        <v>201</v>
      </c>
      <c r="B126" s="2986">
        <v>1</v>
      </c>
      <c r="C126" s="2986">
        <v>2</v>
      </c>
      <c r="D126" s="2986">
        <v>3</v>
      </c>
      <c r="E126" s="2985">
        <v>4</v>
      </c>
      <c r="F126" s="2985">
        <v>5</v>
      </c>
      <c r="G126" s="2985">
        <v>6</v>
      </c>
      <c r="H126" s="2985">
        <v>7</v>
      </c>
      <c r="I126" s="2985">
        <v>8</v>
      </c>
      <c r="J126" s="2986">
        <v>9</v>
      </c>
      <c r="K126" s="2986">
        <v>10</v>
      </c>
      <c r="L126" s="2985">
        <v>11</v>
      </c>
      <c r="M126" s="2985">
        <v>12</v>
      </c>
      <c r="N126" s="2985">
        <v>13</v>
      </c>
      <c r="O126" s="2986">
        <v>14</v>
      </c>
      <c r="P126" s="2985">
        <v>15</v>
      </c>
      <c r="Q126" s="2986">
        <v>16</v>
      </c>
      <c r="R126" s="2986">
        <v>17</v>
      </c>
      <c r="S126" s="2985">
        <v>18</v>
      </c>
      <c r="T126" s="2985">
        <v>19</v>
      </c>
      <c r="U126" s="2985">
        <v>20</v>
      </c>
      <c r="V126" s="2985">
        <v>21</v>
      </c>
      <c r="W126" s="2985">
        <v>22</v>
      </c>
      <c r="X126" s="2986">
        <v>23</v>
      </c>
      <c r="Y126" s="2986">
        <v>24</v>
      </c>
      <c r="Z126" s="2986">
        <v>25</v>
      </c>
      <c r="AA126" s="2985">
        <v>26</v>
      </c>
      <c r="AB126" s="2985">
        <v>27</v>
      </c>
      <c r="AC126" s="2985">
        <v>28</v>
      </c>
      <c r="AD126" s="2985">
        <v>29</v>
      </c>
      <c r="AE126" s="2986">
        <v>30</v>
      </c>
      <c r="AF126" s="2986">
        <v>31</v>
      </c>
    </row>
    <row r="127" spans="1:32" ht="18" customHeight="1">
      <c r="A127" s="3035" t="s">
        <v>206</v>
      </c>
      <c r="B127" s="3089"/>
      <c r="C127" s="3089"/>
      <c r="D127" s="3089"/>
      <c r="E127" s="3089" t="s">
        <v>207</v>
      </c>
      <c r="F127" s="3089" t="s">
        <v>207</v>
      </c>
      <c r="G127" s="3089" t="s">
        <v>207</v>
      </c>
      <c r="H127" s="3089" t="s">
        <v>207</v>
      </c>
      <c r="I127" s="3089" t="s">
        <v>207</v>
      </c>
      <c r="J127" s="3089"/>
      <c r="K127" s="3089"/>
      <c r="L127" s="3089" t="s">
        <v>207</v>
      </c>
      <c r="M127" s="3089" t="s">
        <v>207</v>
      </c>
      <c r="N127" s="3089" t="s">
        <v>207</v>
      </c>
      <c r="O127" s="3089"/>
      <c r="P127" s="3089" t="s">
        <v>207</v>
      </c>
      <c r="Q127" s="3089"/>
      <c r="R127" s="3089"/>
      <c r="S127" s="3089" t="s">
        <v>207</v>
      </c>
      <c r="T127" s="3089" t="s">
        <v>207</v>
      </c>
      <c r="U127" s="3089" t="s">
        <v>207</v>
      </c>
      <c r="V127" s="3089" t="s">
        <v>207</v>
      </c>
      <c r="W127" s="3089" t="s">
        <v>207</v>
      </c>
      <c r="X127" s="3089"/>
      <c r="Y127" s="3089"/>
      <c r="Z127" s="3089"/>
      <c r="AA127" s="3089" t="s">
        <v>207</v>
      </c>
      <c r="AB127" s="3089" t="s">
        <v>207</v>
      </c>
      <c r="AC127" s="3089" t="s">
        <v>207</v>
      </c>
      <c r="AD127" s="3089" t="s">
        <v>207</v>
      </c>
      <c r="AE127" s="3089"/>
      <c r="AF127" s="3089"/>
    </row>
    <row r="128" spans="1:32" ht="18" customHeight="1">
      <c r="A128" s="68"/>
      <c r="B128" s="108"/>
      <c r="C128" s="108"/>
      <c r="D128" s="108"/>
      <c r="E128" s="108"/>
      <c r="F128" s="108"/>
      <c r="G128" s="108"/>
      <c r="H128" s="108"/>
      <c r="I128" s="108"/>
      <c r="J128" s="108"/>
      <c r="K128" s="108"/>
      <c r="L128" s="108"/>
      <c r="M128" s="108"/>
      <c r="N128" s="108"/>
      <c r="O128" s="108"/>
      <c r="P128" s="108"/>
      <c r="Q128" s="108"/>
      <c r="R128" s="108"/>
      <c r="S128" s="108"/>
      <c r="T128" s="108"/>
      <c r="U128" s="108"/>
      <c r="V128" s="108"/>
      <c r="W128" s="108"/>
      <c r="X128" s="108"/>
      <c r="Y128" s="108"/>
      <c r="Z128" s="108"/>
      <c r="AA128" s="108"/>
      <c r="AB128" s="108"/>
      <c r="AC128" s="108"/>
      <c r="AD128" s="108"/>
      <c r="AE128" s="108"/>
      <c r="AF128" s="105"/>
    </row>
    <row r="129" spans="1:32" ht="18" customHeight="1">
      <c r="A129" s="648" t="s">
        <v>208</v>
      </c>
      <c r="B129" s="649"/>
      <c r="C129" s="650" t="s">
        <v>19</v>
      </c>
      <c r="D129" s="651"/>
      <c r="E129" s="652"/>
      <c r="F129" s="649"/>
      <c r="G129" s="650" t="s">
        <v>20</v>
      </c>
      <c r="H129" s="651"/>
      <c r="I129" s="652"/>
      <c r="J129" s="649"/>
      <c r="K129" s="650" t="s">
        <v>21</v>
      </c>
      <c r="L129" s="651"/>
      <c r="M129" s="652"/>
      <c r="N129" s="649"/>
      <c r="O129" s="650" t="s">
        <v>22</v>
      </c>
      <c r="P129" s="651"/>
      <c r="Q129" s="652"/>
      <c r="R129" s="649"/>
      <c r="S129" s="650" t="s">
        <v>23</v>
      </c>
      <c r="T129" s="651"/>
      <c r="U129" s="652"/>
      <c r="V129" s="649"/>
      <c r="W129" s="650" t="s">
        <v>24</v>
      </c>
      <c r="X129" s="651"/>
      <c r="Y129" s="652"/>
      <c r="Z129" s="649"/>
      <c r="AA129" s="650" t="s">
        <v>25</v>
      </c>
      <c r="AB129" s="651"/>
      <c r="AC129" s="651"/>
      <c r="AD129" s="702" t="s">
        <v>108</v>
      </c>
      <c r="AE129" s="651"/>
      <c r="AF129" s="653"/>
    </row>
    <row r="130" spans="1:32" ht="18" customHeight="1">
      <c r="A130" s="5831" t="s">
        <v>210</v>
      </c>
      <c r="B130" s="5832">
        <v>69</v>
      </c>
      <c r="C130" s="5833" t="s">
        <v>211</v>
      </c>
      <c r="D130" s="5833"/>
      <c r="E130" s="5834"/>
      <c r="F130" s="5832">
        <v>69</v>
      </c>
      <c r="G130" s="5833" t="s">
        <v>211</v>
      </c>
      <c r="H130" s="5833"/>
      <c r="I130" s="5834"/>
      <c r="J130" s="5832">
        <v>69</v>
      </c>
      <c r="K130" s="5833" t="s">
        <v>211</v>
      </c>
      <c r="L130" s="5833"/>
      <c r="M130" s="5834"/>
      <c r="N130" s="5832">
        <v>69</v>
      </c>
      <c r="O130" s="5833" t="s">
        <v>211</v>
      </c>
      <c r="P130" s="5833"/>
      <c r="Q130" s="5834"/>
      <c r="R130" s="5832">
        <v>69</v>
      </c>
      <c r="S130" s="5833" t="s">
        <v>211</v>
      </c>
      <c r="T130" s="5833"/>
      <c r="U130" s="5834"/>
      <c r="V130" s="5832"/>
      <c r="W130" s="5835"/>
      <c r="X130" s="5835"/>
      <c r="Y130" s="5836"/>
      <c r="Z130" s="5832"/>
      <c r="AA130" s="5833"/>
      <c r="AB130" s="5833"/>
      <c r="AC130" s="5816"/>
      <c r="AD130" s="5837">
        <v>35</v>
      </c>
      <c r="AE130" s="5833"/>
      <c r="AF130" s="5838"/>
    </row>
    <row r="131" spans="1:32" ht="18" customHeight="1">
      <c r="A131" s="5831" t="s">
        <v>212</v>
      </c>
      <c r="B131" s="5832">
        <v>79</v>
      </c>
      <c r="C131" s="5833" t="s">
        <v>213</v>
      </c>
      <c r="D131" s="5833"/>
      <c r="E131" s="5834"/>
      <c r="F131" s="5832">
        <v>79</v>
      </c>
      <c r="G131" s="5833" t="s">
        <v>213</v>
      </c>
      <c r="H131" s="5833"/>
      <c r="I131" s="5834"/>
      <c r="J131" s="5832">
        <v>79</v>
      </c>
      <c r="K131" s="5833" t="s">
        <v>213</v>
      </c>
      <c r="L131" s="5833"/>
      <c r="M131" s="5834"/>
      <c r="N131" s="5832">
        <v>79</v>
      </c>
      <c r="O131" s="5833" t="s">
        <v>213</v>
      </c>
      <c r="P131" s="5833"/>
      <c r="Q131" s="5834"/>
      <c r="R131" s="5832">
        <v>79</v>
      </c>
      <c r="S131" s="5833" t="s">
        <v>213</v>
      </c>
      <c r="T131" s="5833"/>
      <c r="U131" s="5834"/>
      <c r="V131" s="5832"/>
      <c r="W131" s="5833"/>
      <c r="X131" s="5833"/>
      <c r="Y131" s="5834"/>
      <c r="Z131" s="5833"/>
      <c r="AA131" s="5833"/>
      <c r="AB131" s="5833"/>
      <c r="AC131" s="5816"/>
      <c r="AD131" s="5837">
        <v>40</v>
      </c>
      <c r="AE131" s="5833"/>
      <c r="AF131" s="5838"/>
    </row>
    <row r="132" spans="1:32" ht="18" customHeight="1">
      <c r="A132" s="5831" t="s">
        <v>214</v>
      </c>
      <c r="B132" s="5832">
        <v>89</v>
      </c>
      <c r="C132" s="5833" t="s">
        <v>215</v>
      </c>
      <c r="D132" s="5833"/>
      <c r="E132" s="5834"/>
      <c r="F132" s="5832">
        <v>89</v>
      </c>
      <c r="G132" s="5833" t="s">
        <v>215</v>
      </c>
      <c r="H132" s="5833"/>
      <c r="I132" s="5834"/>
      <c r="J132" s="5832">
        <v>89</v>
      </c>
      <c r="K132" s="5833" t="s">
        <v>215</v>
      </c>
      <c r="L132" s="5833"/>
      <c r="M132" s="5834"/>
      <c r="N132" s="5832">
        <v>89</v>
      </c>
      <c r="O132" s="5833" t="s">
        <v>215</v>
      </c>
      <c r="P132" s="5833"/>
      <c r="Q132" s="5834"/>
      <c r="R132" s="5832">
        <v>89</v>
      </c>
      <c r="S132" s="5833" t="s">
        <v>216</v>
      </c>
      <c r="T132" s="5833"/>
      <c r="U132" s="5834"/>
      <c r="V132" s="5839"/>
      <c r="W132" s="5840" t="s">
        <v>217</v>
      </c>
      <c r="X132" s="5840"/>
      <c r="Y132" s="5818"/>
      <c r="Z132" s="5839"/>
      <c r="AA132" s="5840"/>
      <c r="AB132" s="5840"/>
      <c r="AC132" s="5820"/>
      <c r="AD132" s="5837">
        <v>44</v>
      </c>
      <c r="AE132" s="5833"/>
      <c r="AF132" s="5838"/>
    </row>
    <row r="133" spans="1:32" ht="18" customHeight="1">
      <c r="A133" s="654" t="s">
        <v>218</v>
      </c>
      <c r="B133" s="5839">
        <v>99</v>
      </c>
      <c r="C133" s="5840" t="s">
        <v>219</v>
      </c>
      <c r="D133" s="5840"/>
      <c r="E133" s="5818"/>
      <c r="F133" s="5839">
        <v>99</v>
      </c>
      <c r="G133" s="5840" t="s">
        <v>219</v>
      </c>
      <c r="H133" s="5840"/>
      <c r="I133" s="5818"/>
      <c r="J133" s="5839">
        <v>99</v>
      </c>
      <c r="K133" s="5840" t="s">
        <v>219</v>
      </c>
      <c r="L133" s="5840"/>
      <c r="M133" s="5818"/>
      <c r="N133" s="5839">
        <v>99</v>
      </c>
      <c r="O133" s="5840" t="s">
        <v>219</v>
      </c>
      <c r="P133" s="5840"/>
      <c r="Q133" s="5818"/>
      <c r="R133" s="5839">
        <v>99</v>
      </c>
      <c r="S133" s="5840" t="s">
        <v>220</v>
      </c>
      <c r="T133" s="5840"/>
      <c r="U133" s="5820"/>
      <c r="V133" s="5819"/>
      <c r="W133" s="5820"/>
      <c r="X133" s="5840"/>
      <c r="Y133" s="5818"/>
      <c r="Z133" s="5819"/>
      <c r="AA133" s="5820"/>
      <c r="AB133" s="5840"/>
      <c r="AC133" s="5818"/>
      <c r="AD133" s="5841">
        <v>28</v>
      </c>
      <c r="AE133" s="5840"/>
      <c r="AF133" s="5842"/>
    </row>
    <row r="134" spans="1:32" ht="18" customHeight="1">
      <c r="A134" s="5843" t="s">
        <v>221</v>
      </c>
      <c r="B134" s="5844" t="s">
        <v>159</v>
      </c>
      <c r="C134" s="5845" t="s">
        <v>222</v>
      </c>
      <c r="D134" s="5846"/>
      <c r="E134" s="5847"/>
      <c r="F134" s="5844" t="s">
        <v>159</v>
      </c>
      <c r="G134" s="5845" t="s">
        <v>222</v>
      </c>
      <c r="H134" s="5846"/>
      <c r="I134" s="5846"/>
      <c r="J134" s="5844" t="s">
        <v>159</v>
      </c>
      <c r="K134" s="5845" t="s">
        <v>222</v>
      </c>
      <c r="L134" s="5846"/>
      <c r="M134" s="5847"/>
      <c r="N134" s="5844" t="s">
        <v>159</v>
      </c>
      <c r="O134" s="5845" t="s">
        <v>222</v>
      </c>
      <c r="P134" s="5846"/>
      <c r="Q134" s="5845"/>
      <c r="R134" s="5844" t="s">
        <v>159</v>
      </c>
      <c r="S134" s="5845" t="s">
        <v>223</v>
      </c>
      <c r="T134" s="5845"/>
      <c r="U134" s="5847"/>
      <c r="V134" s="5846"/>
      <c r="W134" s="5845"/>
      <c r="X134" s="5845"/>
      <c r="Y134" s="5845"/>
      <c r="Z134" s="5848"/>
      <c r="AA134" s="5849"/>
      <c r="AB134" s="5845"/>
      <c r="AC134" s="5850"/>
      <c r="AD134" s="5845"/>
      <c r="AE134" s="5845"/>
      <c r="AF134" s="5851"/>
    </row>
    <row r="135" spans="1:32" ht="18" customHeight="1">
      <c r="A135" s="100"/>
      <c r="B135" s="101"/>
      <c r="C135" s="101"/>
      <c r="D135" s="101"/>
      <c r="E135" s="101"/>
      <c r="F135" s="101"/>
      <c r="G135" s="101"/>
      <c r="H135" s="101"/>
      <c r="I135" s="101"/>
      <c r="J135" s="101"/>
      <c r="K135" s="101"/>
      <c r="L135" s="101"/>
      <c r="M135" s="101"/>
      <c r="N135" s="101"/>
      <c r="O135" s="101"/>
      <c r="P135" s="101"/>
      <c r="Q135" s="101"/>
      <c r="R135" s="101"/>
      <c r="S135" s="101"/>
      <c r="T135" s="101"/>
      <c r="U135" s="101"/>
      <c r="V135" s="101"/>
      <c r="W135" s="101"/>
      <c r="X135" s="101"/>
      <c r="Y135" s="101"/>
      <c r="Z135" s="101"/>
      <c r="AA135" s="101"/>
      <c r="AB135" s="101"/>
      <c r="AC135" s="101"/>
      <c r="AD135" s="101"/>
      <c r="AE135" s="101"/>
      <c r="AF135" s="101"/>
    </row>
    <row r="136" spans="1:32" ht="18" customHeight="1">
      <c r="A136" s="805" t="s">
        <v>208</v>
      </c>
      <c r="B136" s="866">
        <v>1</v>
      </c>
      <c r="C136" s="866">
        <v>2</v>
      </c>
      <c r="D136" s="866">
        <v>3</v>
      </c>
      <c r="E136" s="865">
        <v>4</v>
      </c>
      <c r="F136" s="865">
        <v>5</v>
      </c>
      <c r="G136" s="865">
        <v>6</v>
      </c>
      <c r="H136" s="865">
        <v>7</v>
      </c>
      <c r="I136" s="865">
        <v>8</v>
      </c>
      <c r="J136" s="866">
        <v>9</v>
      </c>
      <c r="K136" s="866">
        <v>10</v>
      </c>
      <c r="L136" s="865">
        <v>11</v>
      </c>
      <c r="M136" s="865">
        <v>12</v>
      </c>
      <c r="N136" s="865">
        <v>13</v>
      </c>
      <c r="O136" s="866">
        <v>14</v>
      </c>
      <c r="P136" s="865">
        <v>15</v>
      </c>
      <c r="Q136" s="866">
        <v>16</v>
      </c>
      <c r="R136" s="866">
        <v>17</v>
      </c>
      <c r="S136" s="865">
        <v>18</v>
      </c>
      <c r="T136" s="865">
        <v>19</v>
      </c>
      <c r="U136" s="865">
        <v>20</v>
      </c>
      <c r="V136" s="865">
        <v>21</v>
      </c>
      <c r="W136" s="865">
        <v>22</v>
      </c>
      <c r="X136" s="866">
        <v>23</v>
      </c>
      <c r="Y136" s="866">
        <v>24</v>
      </c>
      <c r="Z136" s="866">
        <v>25</v>
      </c>
      <c r="AA136" s="865">
        <v>26</v>
      </c>
      <c r="AB136" s="865">
        <v>27</v>
      </c>
      <c r="AC136" s="865">
        <v>28</v>
      </c>
      <c r="AD136" s="865">
        <v>29</v>
      </c>
      <c r="AE136" s="866">
        <v>30</v>
      </c>
      <c r="AF136" s="868">
        <v>31</v>
      </c>
    </row>
    <row r="137" spans="1:32" ht="18" customHeight="1">
      <c r="A137" s="4611" t="s">
        <v>224</v>
      </c>
      <c r="B137" s="3088"/>
      <c r="C137" s="2816">
        <v>89</v>
      </c>
      <c r="D137" s="3089"/>
      <c r="E137" s="3089">
        <v>99</v>
      </c>
      <c r="F137" s="3090">
        <v>99</v>
      </c>
      <c r="G137" s="3088">
        <v>99</v>
      </c>
      <c r="H137" s="3090">
        <v>99</v>
      </c>
      <c r="I137" s="3090" t="s">
        <v>46</v>
      </c>
      <c r="J137" s="3088"/>
      <c r="K137" s="3090"/>
      <c r="L137" s="3089" t="s">
        <v>159</v>
      </c>
      <c r="M137" s="3090" t="s">
        <v>159</v>
      </c>
      <c r="N137" s="3088" t="s">
        <v>159</v>
      </c>
      <c r="O137" s="3088"/>
      <c r="P137" s="3088" t="s">
        <v>159</v>
      </c>
      <c r="Q137" s="3088"/>
      <c r="R137" s="3089"/>
      <c r="S137" s="3089">
        <v>69</v>
      </c>
      <c r="T137" s="3088">
        <v>69</v>
      </c>
      <c r="U137" s="3088">
        <v>69</v>
      </c>
      <c r="V137" s="3088">
        <v>69</v>
      </c>
      <c r="W137" s="3088">
        <v>69</v>
      </c>
      <c r="X137" s="3088"/>
      <c r="Y137" s="3088"/>
      <c r="Z137" s="3090"/>
      <c r="AA137" s="3088">
        <v>79</v>
      </c>
      <c r="AB137" s="3088">
        <v>79</v>
      </c>
      <c r="AC137" s="3088">
        <v>79</v>
      </c>
      <c r="AD137" s="3088">
        <v>79</v>
      </c>
      <c r="AE137" s="3090"/>
      <c r="AF137" s="5225"/>
    </row>
    <row r="138" spans="1:32" ht="18" customHeight="1">
      <c r="A138" s="5852" t="s">
        <v>225</v>
      </c>
      <c r="B138" s="5797"/>
      <c r="C138" s="5796"/>
      <c r="D138" s="5797"/>
      <c r="E138" s="5797" t="s">
        <v>159</v>
      </c>
      <c r="F138" s="5797" t="s">
        <v>159</v>
      </c>
      <c r="G138" s="5795" t="s">
        <v>159</v>
      </c>
      <c r="H138" s="5799" t="s">
        <v>159</v>
      </c>
      <c r="I138" s="5795" t="s">
        <v>159</v>
      </c>
      <c r="J138" s="5795"/>
      <c r="K138" s="5796"/>
      <c r="L138" s="5796">
        <v>69</v>
      </c>
      <c r="M138" s="5795">
        <v>69</v>
      </c>
      <c r="N138" s="5800">
        <v>69</v>
      </c>
      <c r="O138" s="5795"/>
      <c r="P138" s="5795">
        <v>69</v>
      </c>
      <c r="Q138" s="5799"/>
      <c r="R138" s="5795"/>
      <c r="S138" s="5796">
        <v>79</v>
      </c>
      <c r="T138" s="5795">
        <v>79</v>
      </c>
      <c r="U138" s="5795">
        <v>79</v>
      </c>
      <c r="V138" s="5795">
        <v>79</v>
      </c>
      <c r="W138" s="5795">
        <v>79</v>
      </c>
      <c r="X138" s="5795"/>
      <c r="Y138" s="5795"/>
      <c r="Z138" s="5796"/>
      <c r="AA138" s="5799">
        <v>89</v>
      </c>
      <c r="AB138" s="5800">
        <v>89</v>
      </c>
      <c r="AC138" s="5800">
        <v>89</v>
      </c>
      <c r="AD138" s="5800">
        <v>89</v>
      </c>
      <c r="AE138" s="5800">
        <v>89</v>
      </c>
      <c r="AF138" s="5853"/>
    </row>
    <row r="139" spans="1:32" ht="18" customHeight="1">
      <c r="A139" s="5587" t="s">
        <v>124</v>
      </c>
      <c r="B139" s="5854"/>
      <c r="C139" s="5796"/>
      <c r="D139" s="5797"/>
      <c r="E139" s="5854">
        <v>69</v>
      </c>
      <c r="F139" s="5855">
        <v>69</v>
      </c>
      <c r="G139" s="5788">
        <v>69</v>
      </c>
      <c r="H139" s="5799">
        <v>69</v>
      </c>
      <c r="I139" s="5854">
        <v>69</v>
      </c>
      <c r="J139" s="5854"/>
      <c r="K139" s="5854"/>
      <c r="L139" s="5854">
        <v>79</v>
      </c>
      <c r="M139" s="5795">
        <v>79</v>
      </c>
      <c r="N139" s="5800">
        <v>79</v>
      </c>
      <c r="O139" s="5823"/>
      <c r="P139" s="5800">
        <v>79</v>
      </c>
      <c r="Q139" s="5800"/>
      <c r="R139" s="5800"/>
      <c r="S139" s="5800">
        <v>89</v>
      </c>
      <c r="T139" s="5800">
        <v>89</v>
      </c>
      <c r="U139" s="5800">
        <v>89</v>
      </c>
      <c r="V139" s="5800">
        <v>89</v>
      </c>
      <c r="W139" s="5800">
        <v>89</v>
      </c>
      <c r="X139" s="5854">
        <v>89</v>
      </c>
      <c r="Y139" s="5854"/>
      <c r="Z139" s="5854"/>
      <c r="AA139" s="5854">
        <v>99</v>
      </c>
      <c r="AB139" s="5854">
        <v>99</v>
      </c>
      <c r="AC139" s="5854">
        <v>99</v>
      </c>
      <c r="AD139" s="5854" t="s">
        <v>46</v>
      </c>
      <c r="AE139" s="5854"/>
      <c r="AF139" s="5856"/>
    </row>
    <row r="140" spans="1:32" ht="18" customHeight="1">
      <c r="A140" s="5852" t="s">
        <v>226</v>
      </c>
      <c r="B140" s="5796"/>
      <c r="C140" s="5796"/>
      <c r="D140" s="5796"/>
      <c r="E140" s="5796">
        <v>79</v>
      </c>
      <c r="F140" s="5796">
        <v>79</v>
      </c>
      <c r="G140" s="5796">
        <v>79</v>
      </c>
      <c r="H140" s="5799">
        <v>79</v>
      </c>
      <c r="I140" s="5796">
        <v>79</v>
      </c>
      <c r="J140" s="5796"/>
      <c r="K140" s="5796"/>
      <c r="L140" s="5796">
        <v>89</v>
      </c>
      <c r="M140" s="5795">
        <v>89</v>
      </c>
      <c r="N140" s="5796">
        <v>89</v>
      </c>
      <c r="O140" s="5796"/>
      <c r="P140" s="5823">
        <v>89</v>
      </c>
      <c r="Q140" s="5823">
        <v>89</v>
      </c>
      <c r="R140" s="5796"/>
      <c r="S140" s="5796">
        <v>99</v>
      </c>
      <c r="T140" s="5796">
        <v>99</v>
      </c>
      <c r="U140" s="5796">
        <v>99</v>
      </c>
      <c r="V140" s="5796">
        <v>99</v>
      </c>
      <c r="W140" s="5796" t="s">
        <v>46</v>
      </c>
      <c r="X140" s="5823"/>
      <c r="Y140" s="5823"/>
      <c r="Z140" s="5796"/>
      <c r="AA140" s="5796" t="s">
        <v>159</v>
      </c>
      <c r="AB140" s="5796" t="s">
        <v>159</v>
      </c>
      <c r="AC140" s="5796" t="s">
        <v>64</v>
      </c>
      <c r="AD140" s="5796" t="s">
        <v>64</v>
      </c>
      <c r="AE140" s="5796"/>
      <c r="AF140" s="5857"/>
    </row>
    <row r="141" spans="1:32" ht="18" customHeight="1">
      <c r="A141" s="5858" t="s">
        <v>227</v>
      </c>
      <c r="B141" s="5827"/>
      <c r="C141" s="5827"/>
      <c r="D141" s="5812"/>
      <c r="E141" s="5859">
        <v>89</v>
      </c>
      <c r="F141" s="5859">
        <v>89</v>
      </c>
      <c r="G141" s="5859">
        <v>89</v>
      </c>
      <c r="H141" s="5859">
        <v>89</v>
      </c>
      <c r="I141" s="5859">
        <v>89</v>
      </c>
      <c r="J141" s="5859">
        <v>89</v>
      </c>
      <c r="K141" s="5859"/>
      <c r="L141" s="5812">
        <v>99</v>
      </c>
      <c r="M141" s="5860">
        <v>99</v>
      </c>
      <c r="N141" s="5827">
        <v>99</v>
      </c>
      <c r="O141" s="5827"/>
      <c r="P141" s="5827" t="s">
        <v>46</v>
      </c>
      <c r="Q141" s="5827"/>
      <c r="R141" s="5812"/>
      <c r="S141" s="5861" t="s">
        <v>159</v>
      </c>
      <c r="T141" s="5827" t="s">
        <v>159</v>
      </c>
      <c r="U141" s="5827" t="s">
        <v>159</v>
      </c>
      <c r="V141" s="5827" t="s">
        <v>159</v>
      </c>
      <c r="W141" s="5827" t="s">
        <v>159</v>
      </c>
      <c r="X141" s="5827"/>
      <c r="Y141" s="5827"/>
      <c r="Z141" s="5810"/>
      <c r="AA141" s="5827">
        <v>69</v>
      </c>
      <c r="AB141" s="5812">
        <v>69</v>
      </c>
      <c r="AC141" s="5812">
        <v>69</v>
      </c>
      <c r="AD141" s="5812">
        <v>69</v>
      </c>
      <c r="AE141" s="5812"/>
      <c r="AF141" s="5828"/>
    </row>
    <row r="142" spans="1:32" ht="18" customHeight="1">
      <c r="A142" s="178"/>
      <c r="B142" s="176"/>
      <c r="C142" s="176"/>
      <c r="D142" s="176"/>
      <c r="E142" s="108"/>
      <c r="F142" s="99"/>
      <c r="G142" s="99"/>
      <c r="H142" s="99"/>
      <c r="I142" s="99"/>
      <c r="J142" s="99"/>
      <c r="K142" s="108"/>
      <c r="L142" s="108"/>
      <c r="M142" s="176"/>
      <c r="N142" s="176"/>
      <c r="O142" s="176"/>
      <c r="P142" s="176"/>
      <c r="Q142" s="176"/>
      <c r="R142" s="108"/>
      <c r="S142" s="174"/>
      <c r="T142" s="176"/>
      <c r="U142" s="176"/>
      <c r="V142" s="176"/>
      <c r="W142" s="176"/>
      <c r="X142" s="176"/>
      <c r="Y142" s="175"/>
      <c r="Z142" s="175"/>
      <c r="AA142" s="176"/>
      <c r="AB142" s="176"/>
      <c r="AC142" s="176"/>
      <c r="AD142" s="176"/>
      <c r="AE142" s="176"/>
      <c r="AF142" s="806"/>
    </row>
    <row r="143" spans="1:32" ht="18" customHeight="1">
      <c r="A143" s="648" t="s">
        <v>228</v>
      </c>
      <c r="B143" s="649"/>
      <c r="C143" s="650" t="s">
        <v>19</v>
      </c>
      <c r="D143" s="651"/>
      <c r="E143" s="652"/>
      <c r="F143" s="649"/>
      <c r="G143" s="650" t="s">
        <v>20</v>
      </c>
      <c r="H143" s="651"/>
      <c r="I143" s="652"/>
      <c r="J143" s="649"/>
      <c r="K143" s="650" t="s">
        <v>21</v>
      </c>
      <c r="L143" s="651"/>
      <c r="M143" s="652"/>
      <c r="N143" s="649"/>
      <c r="O143" s="650" t="s">
        <v>22</v>
      </c>
      <c r="P143" s="651"/>
      <c r="Q143" s="652"/>
      <c r="R143" s="649"/>
      <c r="S143" s="650" t="s">
        <v>23</v>
      </c>
      <c r="T143" s="651"/>
      <c r="U143" s="652"/>
      <c r="V143" s="649"/>
      <c r="W143" s="650" t="s">
        <v>24</v>
      </c>
      <c r="X143" s="651"/>
      <c r="Y143" s="652"/>
      <c r="Z143" s="649"/>
      <c r="AA143" s="650" t="s">
        <v>25</v>
      </c>
      <c r="AB143" s="651"/>
      <c r="AC143" s="651"/>
      <c r="AD143" s="702" t="s">
        <v>108</v>
      </c>
      <c r="AE143" s="651"/>
      <c r="AF143" s="653"/>
    </row>
    <row r="144" spans="1:32" ht="18" customHeight="1">
      <c r="A144" s="5831" t="s">
        <v>229</v>
      </c>
      <c r="B144" s="5817" t="s">
        <v>230</v>
      </c>
      <c r="C144" s="5833"/>
      <c r="D144" s="5833"/>
      <c r="E144" s="5834"/>
      <c r="F144" s="5817" t="s">
        <v>230</v>
      </c>
      <c r="G144" s="5833"/>
      <c r="H144" s="5833"/>
      <c r="I144" s="5834"/>
      <c r="J144" s="5817" t="s">
        <v>230</v>
      </c>
      <c r="K144" s="5833"/>
      <c r="L144" s="5833"/>
      <c r="M144" s="5834"/>
      <c r="N144" s="5817" t="s">
        <v>231</v>
      </c>
      <c r="O144" s="5833"/>
      <c r="P144" s="5833"/>
      <c r="Q144" s="5834"/>
      <c r="R144" s="5817" t="s">
        <v>232</v>
      </c>
      <c r="S144" s="5833"/>
      <c r="T144" s="5833"/>
      <c r="U144" s="5834"/>
      <c r="V144" s="5817" t="s">
        <v>233</v>
      </c>
      <c r="W144" s="5835"/>
      <c r="X144" s="5835"/>
      <c r="Y144" s="5836"/>
      <c r="Z144" s="5817" t="s">
        <v>233</v>
      </c>
      <c r="AA144" s="5833"/>
      <c r="AB144" s="5833"/>
      <c r="AC144" s="5816"/>
      <c r="AD144" s="5837">
        <v>68</v>
      </c>
      <c r="AE144" s="530"/>
      <c r="AF144" s="703"/>
    </row>
    <row r="145" spans="1:32" ht="18" customHeight="1">
      <c r="A145" s="5831"/>
      <c r="B145" s="5817" t="s">
        <v>220</v>
      </c>
      <c r="C145" s="5833"/>
      <c r="D145" s="5833"/>
      <c r="E145" s="5834"/>
      <c r="F145" s="5817" t="s">
        <v>220</v>
      </c>
      <c r="G145" s="5833"/>
      <c r="H145" s="5833"/>
      <c r="I145" s="5834"/>
      <c r="J145" s="5817" t="s">
        <v>220</v>
      </c>
      <c r="K145" s="5833"/>
      <c r="L145" s="5833"/>
      <c r="M145" s="5834"/>
      <c r="N145" s="5817" t="s">
        <v>220</v>
      </c>
      <c r="O145" s="5833"/>
      <c r="P145" s="5833"/>
      <c r="Q145" s="5834"/>
      <c r="R145" s="5817" t="s">
        <v>220</v>
      </c>
      <c r="S145" s="5833"/>
      <c r="T145" s="5833"/>
      <c r="U145" s="5834"/>
      <c r="V145" s="5817" t="s">
        <v>220</v>
      </c>
      <c r="W145" s="5833"/>
      <c r="X145" s="5833"/>
      <c r="Y145" s="5834"/>
      <c r="Z145" s="5833" t="s">
        <v>220</v>
      </c>
      <c r="AA145" s="5833"/>
      <c r="AB145" s="5833"/>
      <c r="AC145" s="5816"/>
      <c r="AD145" s="5837">
        <v>0</v>
      </c>
      <c r="AE145" s="530"/>
      <c r="AF145" s="703"/>
    </row>
    <row r="146" spans="1:32" ht="18" customHeight="1">
      <c r="A146" s="5831" t="s">
        <v>234</v>
      </c>
      <c r="B146" s="5817" t="s">
        <v>231</v>
      </c>
      <c r="C146" s="5833"/>
      <c r="D146" s="5833"/>
      <c r="E146" s="5834"/>
      <c r="F146" s="5817" t="s">
        <v>231</v>
      </c>
      <c r="G146" s="5833"/>
      <c r="H146" s="5833"/>
      <c r="I146" s="5834"/>
      <c r="J146" s="5817" t="s">
        <v>231</v>
      </c>
      <c r="K146" s="5833"/>
      <c r="L146" s="5833"/>
      <c r="M146" s="5834"/>
      <c r="N146" s="5817" t="s">
        <v>230</v>
      </c>
      <c r="O146" s="5833"/>
      <c r="P146" s="5833"/>
      <c r="Q146" s="5834"/>
      <c r="R146" s="5817" t="s">
        <v>230</v>
      </c>
      <c r="S146" s="5833"/>
      <c r="T146" s="5833"/>
      <c r="U146" s="5834"/>
      <c r="V146" s="5817" t="s">
        <v>232</v>
      </c>
      <c r="W146" s="5835"/>
      <c r="X146" s="5835"/>
      <c r="Y146" s="5836"/>
      <c r="Z146" s="5817" t="s">
        <v>232</v>
      </c>
      <c r="AA146" s="5833"/>
      <c r="AB146" s="5833"/>
      <c r="AC146" s="5816"/>
      <c r="AD146" s="5837">
        <v>68</v>
      </c>
      <c r="AE146" s="5833"/>
      <c r="AF146" s="5838"/>
    </row>
    <row r="147" spans="1:32" ht="18" customHeight="1">
      <c r="A147" s="5831"/>
      <c r="B147" s="5817" t="s">
        <v>220</v>
      </c>
      <c r="C147" s="5833"/>
      <c r="D147" s="5833"/>
      <c r="E147" s="5834"/>
      <c r="F147" s="5817" t="s">
        <v>220</v>
      </c>
      <c r="G147" s="5833"/>
      <c r="H147" s="5833"/>
      <c r="I147" s="5834"/>
      <c r="J147" s="5817" t="s">
        <v>220</v>
      </c>
      <c r="K147" s="5833"/>
      <c r="L147" s="5833"/>
      <c r="M147" s="5834"/>
      <c r="N147" s="5817" t="s">
        <v>220</v>
      </c>
      <c r="O147" s="5833"/>
      <c r="P147" s="5833"/>
      <c r="Q147" s="5834"/>
      <c r="R147" s="5817" t="s">
        <v>220</v>
      </c>
      <c r="S147" s="5833"/>
      <c r="T147" s="5833"/>
      <c r="U147" s="5834"/>
      <c r="V147" s="5817" t="s">
        <v>220</v>
      </c>
      <c r="W147" s="5833"/>
      <c r="X147" s="5833"/>
      <c r="Y147" s="5834"/>
      <c r="Z147" s="5833" t="s">
        <v>220</v>
      </c>
      <c r="AA147" s="5833"/>
      <c r="AB147" s="5833"/>
      <c r="AC147" s="5816"/>
      <c r="AD147" s="5837">
        <v>0</v>
      </c>
      <c r="AE147" s="5833"/>
      <c r="AF147" s="5838"/>
    </row>
    <row r="148" spans="1:32" ht="18" customHeight="1">
      <c r="A148" s="5831" t="s">
        <v>235</v>
      </c>
      <c r="B148" s="5817" t="s">
        <v>230</v>
      </c>
      <c r="C148" s="5833"/>
      <c r="D148" s="5833"/>
      <c r="E148" s="5834"/>
      <c r="F148" s="5817" t="s">
        <v>230</v>
      </c>
      <c r="G148" s="5833"/>
      <c r="H148" s="5833"/>
      <c r="I148" s="5834"/>
      <c r="J148" s="5817" t="s">
        <v>230</v>
      </c>
      <c r="K148" s="5833"/>
      <c r="L148" s="5833"/>
      <c r="M148" s="5834"/>
      <c r="N148" s="5817" t="s">
        <v>230</v>
      </c>
      <c r="O148" s="5833"/>
      <c r="P148" s="5833"/>
      <c r="Q148" s="5834"/>
      <c r="R148" s="5817" t="s">
        <v>230</v>
      </c>
      <c r="S148" s="5833"/>
      <c r="T148" s="5833"/>
      <c r="U148" s="5834"/>
      <c r="V148" s="5817" t="s">
        <v>236</v>
      </c>
      <c r="W148" s="5840"/>
      <c r="X148" s="5840"/>
      <c r="Y148" s="5818"/>
      <c r="Z148" s="5817" t="s">
        <v>236</v>
      </c>
      <c r="AA148" s="5840"/>
      <c r="AB148" s="5840"/>
      <c r="AC148" s="5820"/>
      <c r="AD148" s="5837">
        <v>68</v>
      </c>
      <c r="AE148" s="5833"/>
      <c r="AF148" s="5838"/>
    </row>
    <row r="149" spans="1:32" ht="18" customHeight="1">
      <c r="A149" s="5843"/>
      <c r="B149" s="5862" t="s">
        <v>220</v>
      </c>
      <c r="C149" s="5863"/>
      <c r="D149" s="5863"/>
      <c r="E149" s="5864"/>
      <c r="F149" s="5862" t="s">
        <v>220</v>
      </c>
      <c r="G149" s="5863"/>
      <c r="H149" s="5863"/>
      <c r="I149" s="5864"/>
      <c r="J149" s="5862" t="s">
        <v>220</v>
      </c>
      <c r="K149" s="5863"/>
      <c r="L149" s="5863"/>
      <c r="M149" s="5864"/>
      <c r="N149" s="5862" t="s">
        <v>220</v>
      </c>
      <c r="O149" s="5863"/>
      <c r="P149" s="5863"/>
      <c r="Q149" s="5864"/>
      <c r="R149" s="5862" t="s">
        <v>220</v>
      </c>
      <c r="S149" s="5863"/>
      <c r="T149" s="5863"/>
      <c r="U149" s="5849"/>
      <c r="V149" s="5862" t="s">
        <v>220</v>
      </c>
      <c r="W149" s="5849"/>
      <c r="X149" s="5863"/>
      <c r="Y149" s="5864"/>
      <c r="Z149" s="5862" t="s">
        <v>220</v>
      </c>
      <c r="AA149" s="5849"/>
      <c r="AB149" s="5863"/>
      <c r="AC149" s="5864"/>
      <c r="AD149" s="5865" t="s">
        <v>438</v>
      </c>
      <c r="AE149" s="5863"/>
      <c r="AF149" s="5851"/>
    </row>
    <row r="150" spans="1:32" ht="18" customHeight="1">
      <c r="A150" s="100"/>
      <c r="B150" s="101"/>
      <c r="C150" s="101"/>
      <c r="D150" s="101"/>
      <c r="E150" s="101"/>
      <c r="F150" s="101"/>
      <c r="G150" s="101"/>
      <c r="H150" s="101"/>
      <c r="I150" s="101"/>
      <c r="J150" s="101"/>
      <c r="K150" s="101"/>
      <c r="L150" s="101"/>
      <c r="M150" s="101"/>
      <c r="N150" s="101"/>
      <c r="O150" s="101"/>
      <c r="P150" s="101"/>
      <c r="Q150" s="101"/>
      <c r="R150" s="101"/>
      <c r="S150" s="101"/>
      <c r="T150" s="101"/>
      <c r="U150" s="101"/>
      <c r="V150" s="101"/>
      <c r="W150" s="101"/>
      <c r="X150" s="101"/>
      <c r="Y150" s="101"/>
      <c r="Z150" s="101"/>
      <c r="AA150" s="101"/>
      <c r="AB150" s="101"/>
      <c r="AC150" s="101"/>
      <c r="AD150" s="101"/>
      <c r="AE150" s="101"/>
      <c r="AF150" s="101"/>
    </row>
    <row r="151" spans="1:32" ht="18" customHeight="1">
      <c r="A151" s="805" t="s">
        <v>228</v>
      </c>
      <c r="B151" s="866">
        <v>1</v>
      </c>
      <c r="C151" s="866">
        <v>2</v>
      </c>
      <c r="D151" s="866">
        <v>3</v>
      </c>
      <c r="E151" s="865">
        <v>4</v>
      </c>
      <c r="F151" s="865">
        <v>5</v>
      </c>
      <c r="G151" s="865">
        <v>6</v>
      </c>
      <c r="H151" s="865">
        <v>7</v>
      </c>
      <c r="I151" s="865">
        <v>8</v>
      </c>
      <c r="J151" s="866">
        <v>9</v>
      </c>
      <c r="K151" s="866">
        <v>10</v>
      </c>
      <c r="L151" s="865">
        <v>11</v>
      </c>
      <c r="M151" s="865">
        <v>12</v>
      </c>
      <c r="N151" s="865">
        <v>13</v>
      </c>
      <c r="O151" s="866">
        <v>14</v>
      </c>
      <c r="P151" s="865">
        <v>15</v>
      </c>
      <c r="Q151" s="866">
        <v>16</v>
      </c>
      <c r="R151" s="866">
        <v>17</v>
      </c>
      <c r="S151" s="865">
        <v>18</v>
      </c>
      <c r="T151" s="865">
        <v>19</v>
      </c>
      <c r="U151" s="865">
        <v>20</v>
      </c>
      <c r="V151" s="865">
        <v>21</v>
      </c>
      <c r="W151" s="865">
        <v>22</v>
      </c>
      <c r="X151" s="866">
        <v>23</v>
      </c>
      <c r="Y151" s="866">
        <v>24</v>
      </c>
      <c r="Z151" s="866">
        <v>25</v>
      </c>
      <c r="AA151" s="865">
        <v>26</v>
      </c>
      <c r="AB151" s="865">
        <v>27</v>
      </c>
      <c r="AC151" s="865">
        <v>28</v>
      </c>
      <c r="AD151" s="865">
        <v>29</v>
      </c>
      <c r="AE151" s="866">
        <v>30</v>
      </c>
      <c r="AF151" s="868">
        <v>31</v>
      </c>
    </row>
    <row r="152" spans="1:32" ht="18" customHeight="1">
      <c r="A152" s="5591" t="s">
        <v>237</v>
      </c>
      <c r="B152" s="2829" t="s">
        <v>46</v>
      </c>
      <c r="C152" s="2830"/>
      <c r="D152" s="2830"/>
      <c r="E152" s="2830">
        <v>22</v>
      </c>
      <c r="F152" s="2830">
        <v>22</v>
      </c>
      <c r="G152" s="2829">
        <v>22</v>
      </c>
      <c r="H152" s="2829">
        <v>22</v>
      </c>
      <c r="I152" s="2829">
        <v>22</v>
      </c>
      <c r="J152" s="2831">
        <v>22</v>
      </c>
      <c r="K152" s="2831">
        <v>22</v>
      </c>
      <c r="L152" s="2831" t="s">
        <v>46</v>
      </c>
      <c r="M152" s="2830" t="s">
        <v>46</v>
      </c>
      <c r="N152" s="2830" t="s">
        <v>46</v>
      </c>
      <c r="O152" s="2830" t="s">
        <v>46</v>
      </c>
      <c r="P152" s="2830" t="s">
        <v>46</v>
      </c>
      <c r="Q152" s="2830"/>
      <c r="R152" s="2830"/>
      <c r="S152" s="2830">
        <v>23</v>
      </c>
      <c r="T152" s="2830">
        <v>23</v>
      </c>
      <c r="U152" s="2829">
        <v>23</v>
      </c>
      <c r="V152" s="2829">
        <v>23</v>
      </c>
      <c r="W152" s="2829">
        <v>23</v>
      </c>
      <c r="X152" s="2829">
        <v>23</v>
      </c>
      <c r="Y152" s="2829">
        <v>23</v>
      </c>
      <c r="Z152" s="2829" t="s">
        <v>46</v>
      </c>
      <c r="AA152" s="2829" t="s">
        <v>46</v>
      </c>
      <c r="AB152" s="2832" t="s">
        <v>46</v>
      </c>
      <c r="AC152" s="2832" t="s">
        <v>46</v>
      </c>
      <c r="AD152" s="2832" t="s">
        <v>46</v>
      </c>
      <c r="AE152" s="2829"/>
      <c r="AF152" s="4639"/>
    </row>
    <row r="153" spans="1:32" ht="18" customHeight="1">
      <c r="A153" s="5591" t="s">
        <v>238</v>
      </c>
      <c r="B153" s="5600" t="s">
        <v>46</v>
      </c>
      <c r="C153" s="5600"/>
      <c r="D153" s="5602"/>
      <c r="E153" s="5629">
        <v>23</v>
      </c>
      <c r="F153" s="5629">
        <v>23</v>
      </c>
      <c r="G153" s="5629">
        <v>23</v>
      </c>
      <c r="H153" s="5629">
        <v>23</v>
      </c>
      <c r="I153" s="5629">
        <v>23</v>
      </c>
      <c r="J153" s="5673">
        <v>23</v>
      </c>
      <c r="K153" s="5673">
        <v>23</v>
      </c>
      <c r="L153" s="5673" t="s">
        <v>46</v>
      </c>
      <c r="M153" s="5601" t="s">
        <v>46</v>
      </c>
      <c r="N153" s="5601" t="s">
        <v>46</v>
      </c>
      <c r="O153" s="5601" t="s">
        <v>46</v>
      </c>
      <c r="P153" s="5601" t="s">
        <v>46</v>
      </c>
      <c r="Q153" s="5600"/>
      <c r="R153" s="5602"/>
      <c r="S153" s="5629">
        <v>21</v>
      </c>
      <c r="T153" s="5629">
        <v>21</v>
      </c>
      <c r="U153" s="5629">
        <v>21</v>
      </c>
      <c r="V153" s="5629">
        <v>21</v>
      </c>
      <c r="W153" s="5629">
        <v>21</v>
      </c>
      <c r="X153" s="5600">
        <v>21</v>
      </c>
      <c r="Y153" s="5600">
        <v>21</v>
      </c>
      <c r="Z153" s="5600" t="s">
        <v>46</v>
      </c>
      <c r="AA153" s="5600" t="s">
        <v>46</v>
      </c>
      <c r="AB153" s="5629" t="s">
        <v>46</v>
      </c>
      <c r="AC153" s="5629" t="s">
        <v>46</v>
      </c>
      <c r="AD153" s="5629" t="s">
        <v>46</v>
      </c>
      <c r="AE153" s="5629"/>
      <c r="AF153" s="5674"/>
    </row>
    <row r="154" spans="1:32" ht="18" customHeight="1">
      <c r="A154" s="5591" t="s">
        <v>239</v>
      </c>
      <c r="B154" s="5600" t="s">
        <v>46</v>
      </c>
      <c r="C154" s="5601"/>
      <c r="D154" s="5601"/>
      <c r="E154" s="5601">
        <v>21</v>
      </c>
      <c r="F154" s="5601">
        <v>21</v>
      </c>
      <c r="G154" s="5601">
        <v>21</v>
      </c>
      <c r="H154" s="5600">
        <v>21</v>
      </c>
      <c r="I154" s="5600">
        <v>21</v>
      </c>
      <c r="J154" s="5673">
        <v>21</v>
      </c>
      <c r="K154" s="5673">
        <v>21</v>
      </c>
      <c r="L154" s="5673" t="s">
        <v>46</v>
      </c>
      <c r="M154" s="5601" t="s">
        <v>46</v>
      </c>
      <c r="N154" s="5601" t="s">
        <v>46</v>
      </c>
      <c r="O154" s="5601" t="s">
        <v>46</v>
      </c>
      <c r="P154" s="5601" t="s">
        <v>46</v>
      </c>
      <c r="Q154" s="5600"/>
      <c r="R154" s="5602"/>
      <c r="S154" s="5600">
        <v>22</v>
      </c>
      <c r="T154" s="5600">
        <v>22</v>
      </c>
      <c r="U154" s="5600">
        <v>22</v>
      </c>
      <c r="V154" s="5600">
        <v>22</v>
      </c>
      <c r="W154" s="5600">
        <v>22</v>
      </c>
      <c r="X154" s="5600">
        <v>22</v>
      </c>
      <c r="Y154" s="5600">
        <v>22</v>
      </c>
      <c r="Z154" s="5600" t="s">
        <v>46</v>
      </c>
      <c r="AA154" s="5600" t="s">
        <v>46</v>
      </c>
      <c r="AB154" s="5629" t="s">
        <v>46</v>
      </c>
      <c r="AC154" s="5629" t="s">
        <v>46</v>
      </c>
      <c r="AD154" s="5629" t="s">
        <v>46</v>
      </c>
      <c r="AE154" s="5600"/>
      <c r="AF154" s="5674"/>
    </row>
    <row r="155" spans="1:32" ht="18" customHeight="1">
      <c r="A155" s="655" t="s">
        <v>240</v>
      </c>
      <c r="B155" s="5600">
        <v>21</v>
      </c>
      <c r="C155" s="5673">
        <v>21</v>
      </c>
      <c r="D155" s="5673">
        <v>21</v>
      </c>
      <c r="E155" s="5673" t="s">
        <v>46</v>
      </c>
      <c r="F155" s="5601" t="s">
        <v>46</v>
      </c>
      <c r="G155" s="5601" t="s">
        <v>46</v>
      </c>
      <c r="H155" s="5601" t="s">
        <v>46</v>
      </c>
      <c r="I155" s="5601" t="s">
        <v>46</v>
      </c>
      <c r="J155" s="5601"/>
      <c r="K155" s="5601"/>
      <c r="L155" s="5601">
        <v>22</v>
      </c>
      <c r="M155" s="5601">
        <v>22</v>
      </c>
      <c r="N155" s="5601">
        <v>22</v>
      </c>
      <c r="O155" s="5600">
        <v>22</v>
      </c>
      <c r="P155" s="5600">
        <v>22</v>
      </c>
      <c r="Q155" s="5628">
        <v>22</v>
      </c>
      <c r="R155" s="5628">
        <v>22</v>
      </c>
      <c r="S155" s="5600" t="s">
        <v>46</v>
      </c>
      <c r="T155" s="5629" t="s">
        <v>46</v>
      </c>
      <c r="U155" s="5629" t="s">
        <v>46</v>
      </c>
      <c r="V155" s="5602" t="s">
        <v>46</v>
      </c>
      <c r="W155" s="5600" t="s">
        <v>46</v>
      </c>
      <c r="X155" s="5601"/>
      <c r="Y155" s="5601"/>
      <c r="Z155" s="5601">
        <v>23</v>
      </c>
      <c r="AA155" s="5601">
        <v>23</v>
      </c>
      <c r="AB155" s="5600">
        <v>23</v>
      </c>
      <c r="AC155" s="5600">
        <v>23</v>
      </c>
      <c r="AD155" s="5600">
        <v>23</v>
      </c>
      <c r="AE155" s="5600">
        <v>23</v>
      </c>
      <c r="AF155" s="5674">
        <v>23</v>
      </c>
    </row>
    <row r="156" spans="1:32" ht="18" customHeight="1">
      <c r="A156" s="5866" t="s">
        <v>242</v>
      </c>
      <c r="B156" s="5601">
        <v>22</v>
      </c>
      <c r="C156" s="5676">
        <v>22</v>
      </c>
      <c r="D156" s="5676">
        <v>22</v>
      </c>
      <c r="E156" s="5676" t="s">
        <v>46</v>
      </c>
      <c r="F156" s="5676" t="s">
        <v>46</v>
      </c>
      <c r="G156" s="5676" t="s">
        <v>46</v>
      </c>
      <c r="H156" s="5676" t="s">
        <v>46</v>
      </c>
      <c r="I156" s="5676" t="s">
        <v>46</v>
      </c>
      <c r="J156" s="5600"/>
      <c r="K156" s="5602"/>
      <c r="L156" s="5600">
        <v>23</v>
      </c>
      <c r="M156" s="5600">
        <v>23</v>
      </c>
      <c r="N156" s="5600">
        <v>23</v>
      </c>
      <c r="O156" s="5600">
        <v>23</v>
      </c>
      <c r="P156" s="5600">
        <v>23</v>
      </c>
      <c r="Q156" s="5628">
        <v>23</v>
      </c>
      <c r="R156" s="5628">
        <v>23</v>
      </c>
      <c r="S156" s="5600" t="s">
        <v>46</v>
      </c>
      <c r="T156" s="5629" t="s">
        <v>46</v>
      </c>
      <c r="U156" s="5629" t="s">
        <v>46</v>
      </c>
      <c r="V156" s="5602" t="s">
        <v>46</v>
      </c>
      <c r="W156" s="5600" t="s">
        <v>46</v>
      </c>
      <c r="X156" s="5600"/>
      <c r="Y156" s="5602"/>
      <c r="Z156" s="5629">
        <v>21</v>
      </c>
      <c r="AA156" s="5629">
        <v>21</v>
      </c>
      <c r="AB156" s="5629">
        <v>21</v>
      </c>
      <c r="AC156" s="5629">
        <v>21</v>
      </c>
      <c r="AD156" s="5629">
        <v>21</v>
      </c>
      <c r="AE156" s="5600">
        <v>21</v>
      </c>
      <c r="AF156" s="5867">
        <v>21</v>
      </c>
    </row>
    <row r="157" spans="1:32" ht="18" customHeight="1">
      <c r="A157" s="656"/>
      <c r="B157" s="5677">
        <v>23</v>
      </c>
      <c r="C157" s="5678">
        <v>23</v>
      </c>
      <c r="D157" s="5678">
        <v>23</v>
      </c>
      <c r="E157" s="5678" t="s">
        <v>46</v>
      </c>
      <c r="F157" s="5679" t="s">
        <v>46</v>
      </c>
      <c r="G157" s="5679" t="s">
        <v>46</v>
      </c>
      <c r="H157" s="5679" t="s">
        <v>46</v>
      </c>
      <c r="I157" s="5679" t="s">
        <v>46</v>
      </c>
      <c r="J157" s="5679"/>
      <c r="K157" s="5679"/>
      <c r="L157" s="5679">
        <v>21</v>
      </c>
      <c r="M157" s="5677">
        <v>21</v>
      </c>
      <c r="N157" s="5677">
        <v>21</v>
      </c>
      <c r="O157" s="5677">
        <v>21</v>
      </c>
      <c r="P157" s="5677">
        <v>21</v>
      </c>
      <c r="Q157" s="5680">
        <v>21</v>
      </c>
      <c r="R157" s="5680">
        <v>21</v>
      </c>
      <c r="S157" s="5677" t="s">
        <v>46</v>
      </c>
      <c r="T157" s="5681" t="s">
        <v>46</v>
      </c>
      <c r="U157" s="5681" t="s">
        <v>46</v>
      </c>
      <c r="V157" s="5682" t="s">
        <v>46</v>
      </c>
      <c r="W157" s="5677" t="s">
        <v>46</v>
      </c>
      <c r="X157" s="5677"/>
      <c r="Y157" s="5682"/>
      <c r="Z157" s="5677">
        <v>22</v>
      </c>
      <c r="AA157" s="5677">
        <v>22</v>
      </c>
      <c r="AB157" s="5677">
        <v>22</v>
      </c>
      <c r="AC157" s="5677">
        <v>22</v>
      </c>
      <c r="AD157" s="5677">
        <v>22</v>
      </c>
      <c r="AE157" s="5677">
        <v>22</v>
      </c>
      <c r="AF157" s="398">
        <v>22</v>
      </c>
    </row>
    <row r="158" spans="1:32" ht="18" customHeight="1">
      <c r="A158" s="68"/>
      <c r="B158" s="108"/>
      <c r="C158" s="108"/>
      <c r="D158" s="99"/>
      <c r="E158" s="108"/>
      <c r="F158" s="108"/>
      <c r="G158" s="173"/>
      <c r="H158" s="173"/>
      <c r="I158" s="173"/>
      <c r="J158" s="173"/>
      <c r="K158" s="173"/>
      <c r="L158" s="173"/>
      <c r="M158" s="109"/>
      <c r="N158" s="109"/>
      <c r="O158" s="99"/>
      <c r="P158" s="108"/>
      <c r="Q158" s="108"/>
      <c r="R158" s="99"/>
      <c r="S158" s="108"/>
      <c r="T158" s="108"/>
      <c r="U158" s="108"/>
      <c r="V158" s="108"/>
      <c r="W158" s="108"/>
      <c r="X158" s="108"/>
      <c r="Y158" s="108"/>
      <c r="Z158" s="108"/>
      <c r="AA158" s="109"/>
      <c r="AB158" s="109"/>
      <c r="AC158" s="99"/>
      <c r="AD158" s="108"/>
      <c r="AE158" s="108"/>
      <c r="AF158" s="65"/>
    </row>
    <row r="159" spans="1:32" ht="18" customHeight="1">
      <c r="A159" s="2764" t="s">
        <v>244</v>
      </c>
      <c r="B159" s="2765"/>
      <c r="C159" s="2788" t="s">
        <v>19</v>
      </c>
      <c r="D159" s="3064"/>
      <c r="E159" s="2769"/>
      <c r="F159" s="2765"/>
      <c r="G159" s="2788" t="s">
        <v>20</v>
      </c>
      <c r="H159" s="3064"/>
      <c r="I159" s="2769"/>
      <c r="J159" s="2765"/>
      <c r="K159" s="2788" t="s">
        <v>21</v>
      </c>
      <c r="L159" s="3064"/>
      <c r="M159" s="2769"/>
      <c r="N159" s="2765"/>
      <c r="O159" s="2788" t="s">
        <v>22</v>
      </c>
      <c r="P159" s="3064"/>
      <c r="Q159" s="2769"/>
      <c r="R159" s="2765"/>
      <c r="S159" s="2788" t="s">
        <v>23</v>
      </c>
      <c r="T159" s="3064"/>
      <c r="U159" s="2769"/>
      <c r="V159" s="2765"/>
      <c r="W159" s="2788" t="s">
        <v>24</v>
      </c>
      <c r="X159" s="3064"/>
      <c r="Y159" s="2769"/>
      <c r="Z159" s="2765"/>
      <c r="AA159" s="2788" t="s">
        <v>25</v>
      </c>
      <c r="AB159" s="3064"/>
      <c r="AC159" s="3064"/>
      <c r="AD159" s="2791" t="s">
        <v>108</v>
      </c>
      <c r="AE159" s="3064"/>
      <c r="AF159" s="2841"/>
    </row>
    <row r="160" spans="1:32" ht="18" customHeight="1">
      <c r="A160" s="5868" t="s">
        <v>210</v>
      </c>
      <c r="B160" s="5817" t="s">
        <v>211</v>
      </c>
      <c r="C160" s="5770"/>
      <c r="D160" s="5770"/>
      <c r="E160" s="5834"/>
      <c r="F160" s="5817" t="s">
        <v>211</v>
      </c>
      <c r="G160" s="5770"/>
      <c r="H160" s="5770"/>
      <c r="I160" s="5834"/>
      <c r="J160" s="5817" t="s">
        <v>211</v>
      </c>
      <c r="K160" s="5770"/>
      <c r="L160" s="5770"/>
      <c r="M160" s="5834"/>
      <c r="N160" s="5817" t="s">
        <v>245</v>
      </c>
      <c r="O160" s="5770"/>
      <c r="P160" s="5770"/>
      <c r="Q160" s="5834"/>
      <c r="R160" s="5817" t="s">
        <v>220</v>
      </c>
      <c r="S160" s="5770"/>
      <c r="T160" s="5770"/>
      <c r="U160" s="5834"/>
      <c r="V160" s="5869"/>
      <c r="W160" s="5870"/>
      <c r="X160" s="5870"/>
      <c r="Y160" s="5836"/>
      <c r="Z160" s="5832"/>
      <c r="AA160" s="5770"/>
      <c r="AB160" s="5770"/>
      <c r="AC160" s="5816"/>
      <c r="AD160" s="5837">
        <v>27</v>
      </c>
      <c r="AE160" s="5770"/>
      <c r="AF160" s="5871"/>
    </row>
    <row r="161" spans="1:32" ht="18" customHeight="1">
      <c r="A161" s="5868" t="s">
        <v>212</v>
      </c>
      <c r="B161" s="5817" t="s">
        <v>246</v>
      </c>
      <c r="C161" s="5770"/>
      <c r="D161" s="5770"/>
      <c r="E161" s="5834"/>
      <c r="F161" s="5817" t="s">
        <v>246</v>
      </c>
      <c r="G161" s="5770"/>
      <c r="H161" s="5770"/>
      <c r="I161" s="5834"/>
      <c r="J161" s="5817" t="s">
        <v>246</v>
      </c>
      <c r="K161" s="5770"/>
      <c r="L161" s="5770"/>
      <c r="M161" s="5834"/>
      <c r="N161" s="5817" t="s">
        <v>246</v>
      </c>
      <c r="O161" s="5770"/>
      <c r="P161" s="5770"/>
      <c r="Q161" s="5834"/>
      <c r="R161" s="5817" t="s">
        <v>211</v>
      </c>
      <c r="S161" s="5770"/>
      <c r="T161" s="5770"/>
      <c r="U161" s="5834"/>
      <c r="V161" s="5817"/>
      <c r="W161" s="5770"/>
      <c r="X161" s="5770"/>
      <c r="Y161" s="5834"/>
      <c r="Z161" s="5770"/>
      <c r="AA161" s="5770"/>
      <c r="AB161" s="5770"/>
      <c r="AC161" s="5816"/>
      <c r="AD161" s="5837">
        <v>39</v>
      </c>
      <c r="AE161" s="5770"/>
      <c r="AF161" s="5871"/>
    </row>
    <row r="162" spans="1:32" ht="18" customHeight="1">
      <c r="A162" s="5868" t="s">
        <v>214</v>
      </c>
      <c r="B162" s="5817" t="s">
        <v>246</v>
      </c>
      <c r="C162" s="5770"/>
      <c r="D162" s="5770"/>
      <c r="E162" s="5834"/>
      <c r="F162" s="5817" t="s">
        <v>246</v>
      </c>
      <c r="G162" s="5770"/>
      <c r="H162" s="5770"/>
      <c r="I162" s="5834"/>
      <c r="J162" s="5817" t="s">
        <v>246</v>
      </c>
      <c r="K162" s="5770"/>
      <c r="L162" s="5770"/>
      <c r="M162" s="5834"/>
      <c r="N162" s="5817" t="s">
        <v>246</v>
      </c>
      <c r="O162" s="5770"/>
      <c r="P162" s="5770"/>
      <c r="Q162" s="5834"/>
      <c r="R162" s="5817" t="s">
        <v>246</v>
      </c>
      <c r="S162" s="5770"/>
      <c r="T162" s="5770"/>
      <c r="U162" s="5834"/>
      <c r="V162" s="5819" t="s">
        <v>217</v>
      </c>
      <c r="W162" s="5767"/>
      <c r="X162" s="5767"/>
      <c r="Y162" s="5818"/>
      <c r="Z162" s="5839"/>
      <c r="AA162" s="5767"/>
      <c r="AB162" s="5767"/>
      <c r="AC162" s="5820"/>
      <c r="AD162" s="5837">
        <v>45</v>
      </c>
      <c r="AE162" s="5770"/>
      <c r="AF162" s="5871"/>
    </row>
    <row r="163" spans="1:32" ht="18" customHeight="1">
      <c r="A163" s="1484" t="s">
        <v>218</v>
      </c>
      <c r="B163" s="5872"/>
      <c r="C163" s="5780"/>
      <c r="D163" s="5780"/>
      <c r="E163" s="5873"/>
      <c r="F163" s="5872"/>
      <c r="G163" s="5780"/>
      <c r="H163" s="5780"/>
      <c r="I163" s="5873"/>
      <c r="J163" s="5872"/>
      <c r="K163" s="5780"/>
      <c r="L163" s="5780"/>
      <c r="M163" s="5873"/>
      <c r="N163" s="5872"/>
      <c r="O163" s="5780"/>
      <c r="P163" s="5780"/>
      <c r="Q163" s="5873"/>
      <c r="R163" s="5872"/>
      <c r="S163" s="5780"/>
      <c r="T163" s="5780"/>
      <c r="U163" s="5874"/>
      <c r="V163" s="5872"/>
      <c r="W163" s="5874"/>
      <c r="X163" s="5780"/>
      <c r="Y163" s="5873"/>
      <c r="Z163" s="5872"/>
      <c r="AA163" s="5874"/>
      <c r="AB163" s="5780"/>
      <c r="AC163" s="5873"/>
      <c r="AD163" s="5875"/>
      <c r="AE163" s="5780"/>
      <c r="AF163" s="5876"/>
    </row>
    <row r="164" spans="1:32" ht="18" customHeight="1">
      <c r="A164" s="1"/>
    </row>
    <row r="165" spans="1:32" ht="18" customHeight="1">
      <c r="A165" s="805" t="s">
        <v>609</v>
      </c>
      <c r="B165" s="866">
        <v>1</v>
      </c>
      <c r="C165" s="866">
        <v>2</v>
      </c>
      <c r="D165" s="866">
        <v>3</v>
      </c>
      <c r="E165" s="865">
        <v>4</v>
      </c>
      <c r="F165" s="865">
        <v>5</v>
      </c>
      <c r="G165" s="865">
        <v>6</v>
      </c>
      <c r="H165" s="865">
        <v>7</v>
      </c>
      <c r="I165" s="865">
        <v>8</v>
      </c>
      <c r="J165" s="866">
        <v>9</v>
      </c>
      <c r="K165" s="866">
        <v>10</v>
      </c>
      <c r="L165" s="865">
        <v>11</v>
      </c>
      <c r="M165" s="865">
        <v>12</v>
      </c>
      <c r="N165" s="865">
        <v>13</v>
      </c>
      <c r="O165" s="866">
        <v>14</v>
      </c>
      <c r="P165" s="865">
        <v>15</v>
      </c>
      <c r="Q165" s="866">
        <v>16</v>
      </c>
      <c r="R165" s="866">
        <v>17</v>
      </c>
      <c r="S165" s="865">
        <v>18</v>
      </c>
      <c r="T165" s="865">
        <v>19</v>
      </c>
      <c r="U165" s="865">
        <v>20</v>
      </c>
      <c r="V165" s="865">
        <v>21</v>
      </c>
      <c r="W165" s="865">
        <v>22</v>
      </c>
      <c r="X165" s="866">
        <v>23</v>
      </c>
      <c r="Y165" s="866">
        <v>24</v>
      </c>
      <c r="Z165" s="866">
        <v>25</v>
      </c>
      <c r="AA165" s="865">
        <v>26</v>
      </c>
      <c r="AB165" s="865">
        <v>27</v>
      </c>
      <c r="AC165" s="865">
        <v>28</v>
      </c>
      <c r="AD165" s="865">
        <v>29</v>
      </c>
      <c r="AE165" s="866">
        <v>30</v>
      </c>
      <c r="AF165" s="868">
        <v>31</v>
      </c>
    </row>
    <row r="166" spans="1:32" ht="18" customHeight="1">
      <c r="A166" s="4668" t="s">
        <v>247</v>
      </c>
      <c r="B166" s="3089"/>
      <c r="C166" s="3089"/>
      <c r="D166" s="3089"/>
      <c r="E166" s="3089" t="s">
        <v>40</v>
      </c>
      <c r="F166" s="2848" t="s">
        <v>40</v>
      </c>
      <c r="G166" s="3089" t="s">
        <v>40</v>
      </c>
      <c r="H166" s="3089" t="s">
        <v>40</v>
      </c>
      <c r="I166" s="3089" t="s">
        <v>40</v>
      </c>
      <c r="J166" s="3089" t="s">
        <v>248</v>
      </c>
      <c r="K166" s="3089"/>
      <c r="L166" s="3089" t="s">
        <v>40</v>
      </c>
      <c r="M166" s="3089" t="s">
        <v>40</v>
      </c>
      <c r="N166" s="3089" t="s">
        <v>40</v>
      </c>
      <c r="O166" s="3089"/>
      <c r="P166" s="3089" t="s">
        <v>40</v>
      </c>
      <c r="Q166" s="2848"/>
      <c r="R166" s="3089"/>
      <c r="S166" s="3089" t="s">
        <v>40</v>
      </c>
      <c r="T166" s="3089" t="s">
        <v>40</v>
      </c>
      <c r="U166" s="3089" t="s">
        <v>40</v>
      </c>
      <c r="V166" s="3089" t="s">
        <v>40</v>
      </c>
      <c r="W166" s="3089" t="s">
        <v>40</v>
      </c>
      <c r="X166" s="3089"/>
      <c r="Y166" s="3089"/>
      <c r="Z166" s="3089"/>
      <c r="AA166" s="2848" t="s">
        <v>40</v>
      </c>
      <c r="AB166" s="3089" t="s">
        <v>40</v>
      </c>
      <c r="AC166" s="3089" t="s">
        <v>40</v>
      </c>
      <c r="AD166" s="3089" t="s">
        <v>40</v>
      </c>
      <c r="AE166" s="3089" t="s">
        <v>248</v>
      </c>
      <c r="AF166" s="5178"/>
    </row>
    <row r="167" spans="1:32" ht="18" customHeight="1">
      <c r="A167" s="5877" t="s">
        <v>249</v>
      </c>
      <c r="B167" s="5796"/>
      <c r="C167" s="5796" t="s">
        <v>248</v>
      </c>
      <c r="D167" s="5796"/>
      <c r="E167" s="5796" t="s">
        <v>251</v>
      </c>
      <c r="F167" s="5796" t="s">
        <v>251</v>
      </c>
      <c r="G167" s="5796" t="s">
        <v>251</v>
      </c>
      <c r="H167" s="5878" t="s">
        <v>251</v>
      </c>
      <c r="I167" s="5796" t="s">
        <v>46</v>
      </c>
      <c r="J167" s="5796"/>
      <c r="K167" s="5796"/>
      <c r="L167" s="5796" t="s">
        <v>250</v>
      </c>
      <c r="M167" s="5796" t="s">
        <v>250</v>
      </c>
      <c r="N167" s="5796" t="s">
        <v>250</v>
      </c>
      <c r="O167" s="5796"/>
      <c r="P167" s="5796" t="s">
        <v>250</v>
      </c>
      <c r="Q167" s="5796"/>
      <c r="R167" s="5796"/>
      <c r="S167" s="5796" t="s">
        <v>248</v>
      </c>
      <c r="T167" s="5796" t="s">
        <v>248</v>
      </c>
      <c r="U167" s="5796" t="s">
        <v>248</v>
      </c>
      <c r="V167" s="5796" t="s">
        <v>248</v>
      </c>
      <c r="W167" s="5796" t="s">
        <v>248</v>
      </c>
      <c r="X167" s="5796" t="s">
        <v>248</v>
      </c>
      <c r="Y167" s="5796"/>
      <c r="Z167" s="5796"/>
      <c r="AA167" s="5796" t="s">
        <v>251</v>
      </c>
      <c r="AB167" s="5796" t="s">
        <v>251</v>
      </c>
      <c r="AC167" s="5796" t="s">
        <v>251</v>
      </c>
      <c r="AD167" s="5796" t="s">
        <v>46</v>
      </c>
      <c r="AE167" s="5796"/>
      <c r="AF167" s="5857"/>
    </row>
    <row r="168" spans="1:32" ht="18" customHeight="1">
      <c r="A168" s="5877" t="s">
        <v>512</v>
      </c>
      <c r="B168" s="5796"/>
      <c r="C168" s="5800"/>
      <c r="D168" s="5800"/>
      <c r="E168" s="5796" t="s">
        <v>250</v>
      </c>
      <c r="F168" s="5796" t="s">
        <v>250</v>
      </c>
      <c r="G168" s="5796" t="s">
        <v>250</v>
      </c>
      <c r="H168" s="5796" t="s">
        <v>250</v>
      </c>
      <c r="I168" s="5796" t="s">
        <v>250</v>
      </c>
      <c r="J168" s="5800"/>
      <c r="K168" s="5796"/>
      <c r="L168" s="5796" t="s">
        <v>248</v>
      </c>
      <c r="M168" s="5800" t="s">
        <v>248</v>
      </c>
      <c r="N168" s="5800" t="s">
        <v>248</v>
      </c>
      <c r="O168" s="5796"/>
      <c r="P168" s="5796" t="s">
        <v>248</v>
      </c>
      <c r="Q168" s="5796" t="s">
        <v>248</v>
      </c>
      <c r="R168" s="5796"/>
      <c r="S168" s="5796" t="s">
        <v>251</v>
      </c>
      <c r="T168" s="5796" t="s">
        <v>251</v>
      </c>
      <c r="U168" s="5796" t="s">
        <v>251</v>
      </c>
      <c r="V168" s="5796" t="s">
        <v>251</v>
      </c>
      <c r="W168" s="5796" t="s">
        <v>46</v>
      </c>
      <c r="X168" s="5800"/>
      <c r="Y168" s="5800"/>
      <c r="Z168" s="5796"/>
      <c r="AA168" s="5796" t="s">
        <v>250</v>
      </c>
      <c r="AB168" s="5796" t="s">
        <v>250</v>
      </c>
      <c r="AC168" s="5796" t="s">
        <v>250</v>
      </c>
      <c r="AD168" s="5796" t="s">
        <v>250</v>
      </c>
      <c r="AE168" s="5800"/>
      <c r="AF168" s="5808"/>
    </row>
    <row r="169" spans="1:32" ht="18" customHeight="1">
      <c r="A169" s="5879" t="s">
        <v>253</v>
      </c>
      <c r="B169" s="5812"/>
      <c r="C169" s="5880"/>
      <c r="D169" s="5812"/>
      <c r="E169" s="5812"/>
      <c r="F169" s="5812"/>
      <c r="G169" s="5812"/>
      <c r="H169" s="5812"/>
      <c r="I169" s="5812"/>
      <c r="J169" s="5812"/>
      <c r="K169" s="5812"/>
      <c r="L169" s="5812"/>
      <c r="M169" s="5812"/>
      <c r="N169" s="5812"/>
      <c r="O169" s="5812"/>
      <c r="P169" s="5812"/>
      <c r="Q169" s="5812"/>
      <c r="R169" s="5812"/>
      <c r="S169" s="5812"/>
      <c r="T169" s="5812"/>
      <c r="U169" s="5812"/>
      <c r="V169" s="5812"/>
      <c r="W169" s="5812"/>
      <c r="X169" s="5880"/>
      <c r="Y169" s="5812"/>
      <c r="Z169" s="5812"/>
      <c r="AA169" s="5812"/>
      <c r="AB169" s="5812"/>
      <c r="AC169" s="5812"/>
      <c r="AD169" s="5812"/>
      <c r="AE169" s="5812"/>
      <c r="AF169" s="5881"/>
    </row>
    <row r="170" spans="1:32" ht="18" customHeight="1">
      <c r="A170" s="68"/>
      <c r="B170" s="108"/>
      <c r="C170" s="108"/>
      <c r="D170" s="108"/>
      <c r="E170" s="108"/>
      <c r="F170" s="108"/>
      <c r="G170" s="108"/>
      <c r="H170" s="108"/>
      <c r="I170" s="108"/>
      <c r="J170" s="108"/>
      <c r="K170" s="108"/>
      <c r="L170" s="108"/>
      <c r="M170" s="108"/>
      <c r="N170" s="108"/>
      <c r="O170" s="108"/>
      <c r="P170" s="108"/>
      <c r="Q170" s="108"/>
      <c r="R170" s="108"/>
      <c r="S170" s="108"/>
      <c r="T170" s="108"/>
      <c r="U170" s="108"/>
      <c r="V170" s="108"/>
      <c r="W170" s="108"/>
      <c r="X170" s="108"/>
      <c r="Y170" s="108"/>
      <c r="Z170" s="108"/>
      <c r="AA170" s="108"/>
      <c r="AB170" s="108"/>
      <c r="AC170" s="108"/>
      <c r="AD170" s="108"/>
      <c r="AE170" s="108"/>
      <c r="AF170" s="65"/>
    </row>
    <row r="171" spans="1:32" ht="18" customHeight="1">
      <c r="A171" s="811" t="s">
        <v>254</v>
      </c>
      <c r="B171" s="668"/>
      <c r="C171" s="662" t="s">
        <v>19</v>
      </c>
      <c r="D171" s="663"/>
      <c r="E171" s="412"/>
      <c r="F171" s="664"/>
      <c r="G171" s="662" t="s">
        <v>20</v>
      </c>
      <c r="H171" s="663"/>
      <c r="I171" s="412"/>
      <c r="J171" s="664"/>
      <c r="K171" s="662" t="s">
        <v>21</v>
      </c>
      <c r="L171" s="663"/>
      <c r="M171" s="412"/>
      <c r="N171" s="664"/>
      <c r="O171" s="662" t="s">
        <v>22</v>
      </c>
      <c r="P171" s="663"/>
      <c r="Q171" s="412"/>
      <c r="R171" s="664"/>
      <c r="S171" s="662" t="s">
        <v>23</v>
      </c>
      <c r="T171" s="663"/>
      <c r="U171" s="412"/>
      <c r="V171" s="664"/>
      <c r="W171" s="662" t="s">
        <v>24</v>
      </c>
      <c r="X171" s="663"/>
      <c r="Y171" s="412"/>
      <c r="Z171" s="664"/>
      <c r="AA171" s="662" t="s">
        <v>25</v>
      </c>
      <c r="AB171" s="663"/>
      <c r="AC171" s="663"/>
      <c r="AD171" s="693" t="s">
        <v>108</v>
      </c>
      <c r="AE171" s="663"/>
      <c r="AF171" s="665"/>
    </row>
    <row r="172" spans="1:32" ht="18" customHeight="1">
      <c r="A172" s="5882" t="s">
        <v>256</v>
      </c>
      <c r="B172" s="5883" t="s">
        <v>257</v>
      </c>
      <c r="C172" s="5884" t="s">
        <v>258</v>
      </c>
      <c r="D172" s="5885"/>
      <c r="E172" s="5886"/>
      <c r="F172" s="5887"/>
      <c r="G172" s="5888" t="s">
        <v>258</v>
      </c>
      <c r="H172" s="5889"/>
      <c r="I172" s="5886"/>
      <c r="J172" s="5887"/>
      <c r="K172" s="5888" t="s">
        <v>258</v>
      </c>
      <c r="L172" s="5889"/>
      <c r="M172" s="5886"/>
      <c r="N172" s="5887"/>
      <c r="O172" s="5888" t="s">
        <v>259</v>
      </c>
      <c r="P172" s="5889"/>
      <c r="Q172" s="5886"/>
      <c r="R172" s="5887"/>
      <c r="S172" s="5888" t="s">
        <v>260</v>
      </c>
      <c r="T172" s="5889"/>
      <c r="U172" s="5886"/>
      <c r="V172" s="5890"/>
      <c r="W172" s="5757"/>
      <c r="X172" s="5757"/>
      <c r="Y172" s="5756"/>
      <c r="Z172" s="5890"/>
      <c r="AA172" s="5757"/>
      <c r="AB172" s="5757"/>
      <c r="AC172" s="5757"/>
      <c r="AD172" s="5890"/>
      <c r="AE172" s="5757"/>
      <c r="AF172" s="5891"/>
    </row>
    <row r="173" spans="1:32" ht="18" customHeight="1">
      <c r="A173" s="5882" t="s">
        <v>261</v>
      </c>
      <c r="B173" s="5883" t="s">
        <v>130</v>
      </c>
      <c r="C173" s="5884" t="s">
        <v>258</v>
      </c>
      <c r="D173" s="5885"/>
      <c r="E173" s="5886"/>
      <c r="F173" s="5887"/>
      <c r="G173" s="5888" t="s">
        <v>258</v>
      </c>
      <c r="H173" s="5889"/>
      <c r="I173" s="5886"/>
      <c r="J173" s="5887"/>
      <c r="K173" s="5888" t="s">
        <v>262</v>
      </c>
      <c r="L173" s="5889"/>
      <c r="M173" s="5886"/>
      <c r="N173" s="5887"/>
      <c r="O173" s="5888" t="s">
        <v>263</v>
      </c>
      <c r="P173" s="5889"/>
      <c r="Q173" s="5886"/>
      <c r="R173" s="5887"/>
      <c r="S173" s="5888" t="s">
        <v>264</v>
      </c>
      <c r="T173" s="5889"/>
      <c r="U173" s="5886"/>
      <c r="V173" s="5890"/>
      <c r="W173" s="5757"/>
      <c r="X173" s="5757"/>
      <c r="Y173" s="5756"/>
      <c r="Z173" s="5890"/>
      <c r="AA173" s="5757"/>
      <c r="AB173" s="5757"/>
      <c r="AC173" s="5757"/>
      <c r="AD173" s="5890"/>
      <c r="AE173" s="5757"/>
      <c r="AF173" s="5891"/>
    </row>
    <row r="174" spans="1:32" ht="18" customHeight="1">
      <c r="A174" s="5882" t="s">
        <v>265</v>
      </c>
      <c r="B174" s="5883" t="s">
        <v>153</v>
      </c>
      <c r="C174" s="5884" t="s">
        <v>266</v>
      </c>
      <c r="D174" s="5885"/>
      <c r="E174" s="5886"/>
      <c r="F174" s="5887"/>
      <c r="G174" s="5884" t="s">
        <v>266</v>
      </c>
      <c r="H174" s="5889"/>
      <c r="I174" s="5886"/>
      <c r="J174" s="5887"/>
      <c r="K174" s="5884" t="s">
        <v>266</v>
      </c>
      <c r="L174" s="5889"/>
      <c r="M174" s="5886"/>
      <c r="N174" s="5887"/>
      <c r="O174" s="5888" t="s">
        <v>267</v>
      </c>
      <c r="P174" s="5889"/>
      <c r="Q174" s="5886"/>
      <c r="R174" s="5887"/>
      <c r="S174" s="5888" t="s">
        <v>264</v>
      </c>
      <c r="T174" s="5889"/>
      <c r="U174" s="5886"/>
      <c r="V174" s="5890"/>
      <c r="W174" s="5757"/>
      <c r="X174" s="5757"/>
      <c r="Y174" s="5756"/>
      <c r="Z174" s="5890"/>
      <c r="AA174" s="5757"/>
      <c r="AB174" s="5757"/>
      <c r="AC174" s="5757"/>
      <c r="AD174" s="5890"/>
      <c r="AE174" s="5757"/>
      <c r="AF174" s="5891"/>
    </row>
    <row r="175" spans="1:32" ht="18" customHeight="1">
      <c r="A175" s="5697" t="s">
        <v>272</v>
      </c>
      <c r="B175" s="5883" t="s">
        <v>128</v>
      </c>
      <c r="C175" s="5884" t="s">
        <v>273</v>
      </c>
      <c r="D175" s="5885"/>
      <c r="E175" s="5892"/>
      <c r="F175" s="5893"/>
      <c r="G175" s="5884" t="s">
        <v>273</v>
      </c>
      <c r="H175" s="5894"/>
      <c r="I175" s="5892"/>
      <c r="J175" s="5893"/>
      <c r="K175" s="5884" t="s">
        <v>273</v>
      </c>
      <c r="L175" s="5894"/>
      <c r="M175" s="5892"/>
      <c r="N175" s="5893"/>
      <c r="O175" s="5888" t="s">
        <v>274</v>
      </c>
      <c r="P175" s="5894"/>
      <c r="Q175" s="5892"/>
      <c r="R175" s="5893"/>
      <c r="S175" s="5888" t="s">
        <v>264</v>
      </c>
      <c r="T175" s="5894"/>
      <c r="U175" s="5756"/>
      <c r="V175" s="5895"/>
      <c r="W175" s="5896"/>
      <c r="X175" s="5896"/>
      <c r="Y175" s="5822"/>
      <c r="Z175" s="5895"/>
      <c r="AA175" s="5896"/>
      <c r="AB175" s="5896"/>
      <c r="AC175" s="5896"/>
      <c r="AD175" s="5895"/>
      <c r="AE175" s="5896"/>
      <c r="AF175" s="5897"/>
    </row>
    <row r="176" spans="1:32" ht="18" customHeight="1">
      <c r="A176" s="5882" t="s">
        <v>275</v>
      </c>
      <c r="B176" s="5883" t="s">
        <v>127</v>
      </c>
      <c r="C176" s="5884" t="s">
        <v>276</v>
      </c>
      <c r="D176" s="5885"/>
      <c r="E176" s="5886"/>
      <c r="F176" s="5887"/>
      <c r="G176" s="5884" t="s">
        <v>276</v>
      </c>
      <c r="H176" s="5889"/>
      <c r="I176" s="5886"/>
      <c r="J176" s="5887"/>
      <c r="K176" s="5884" t="s">
        <v>276</v>
      </c>
      <c r="L176" s="5889"/>
      <c r="M176" s="5886"/>
      <c r="N176" s="5887"/>
      <c r="O176" s="5888" t="s">
        <v>277</v>
      </c>
      <c r="P176" s="5889"/>
      <c r="Q176" s="5886"/>
      <c r="R176" s="5887"/>
      <c r="S176" s="5888" t="s">
        <v>264</v>
      </c>
      <c r="T176" s="5889"/>
      <c r="U176" s="5886"/>
      <c r="V176" s="5890"/>
      <c r="W176" s="5757"/>
      <c r="X176" s="5757"/>
      <c r="Y176" s="5757"/>
      <c r="Z176" s="5890"/>
      <c r="AA176" s="5757"/>
      <c r="AB176" s="5757"/>
      <c r="AC176" s="5757"/>
      <c r="AD176" s="5890"/>
      <c r="AE176" s="5757"/>
      <c r="AF176" s="5891"/>
    </row>
    <row r="177" spans="1:32" ht="18" customHeight="1">
      <c r="A177" s="5882" t="s">
        <v>446</v>
      </c>
      <c r="B177" s="5883" t="s">
        <v>403</v>
      </c>
      <c r="C177" s="5884" t="s">
        <v>279</v>
      </c>
      <c r="D177" s="5885"/>
      <c r="E177" s="5886"/>
      <c r="F177" s="5887"/>
      <c r="G177" s="5888" t="s">
        <v>279</v>
      </c>
      <c r="H177" s="5889"/>
      <c r="I177" s="5886"/>
      <c r="J177" s="5887"/>
      <c r="K177" s="5888" t="s">
        <v>279</v>
      </c>
      <c r="L177" s="5889"/>
      <c r="M177" s="5889"/>
      <c r="N177" s="5887"/>
      <c r="O177" s="5888" t="s">
        <v>279</v>
      </c>
      <c r="P177" s="5889"/>
      <c r="Q177" s="5889"/>
      <c r="R177" s="5887"/>
      <c r="S177" s="5888" t="s">
        <v>264</v>
      </c>
      <c r="T177" s="5889"/>
      <c r="U177" s="5886"/>
      <c r="V177" s="5753"/>
      <c r="W177" s="5757"/>
      <c r="X177" s="5757"/>
      <c r="Y177" s="5757"/>
      <c r="Z177" s="5890"/>
      <c r="AA177" s="5757"/>
      <c r="AB177" s="5757"/>
      <c r="AC177" s="5757"/>
      <c r="AD177" s="5890"/>
      <c r="AE177" s="5757"/>
      <c r="AF177" s="5891"/>
    </row>
    <row r="178" spans="1:32" ht="18" customHeight="1">
      <c r="A178" s="5882" t="s">
        <v>278</v>
      </c>
      <c r="B178" s="5883" t="s">
        <v>116</v>
      </c>
      <c r="C178" s="5884" t="s">
        <v>279</v>
      </c>
      <c r="D178" s="5885"/>
      <c r="E178" s="5886"/>
      <c r="F178" s="5887"/>
      <c r="G178" s="5888" t="s">
        <v>279</v>
      </c>
      <c r="H178" s="5889"/>
      <c r="I178" s="5886"/>
      <c r="J178" s="5887"/>
      <c r="K178" s="5888" t="s">
        <v>279</v>
      </c>
      <c r="L178" s="5889"/>
      <c r="M178" s="5889"/>
      <c r="N178" s="5887"/>
      <c r="O178" s="5888" t="s">
        <v>279</v>
      </c>
      <c r="P178" s="5889"/>
      <c r="Q178" s="5889"/>
      <c r="R178" s="5887"/>
      <c r="S178" s="5888" t="s">
        <v>264</v>
      </c>
      <c r="T178" s="5889"/>
      <c r="U178" s="5886"/>
      <c r="V178" s="5753"/>
      <c r="W178" s="5757"/>
      <c r="X178" s="5757"/>
      <c r="Y178" s="5756"/>
      <c r="Z178" s="5898"/>
      <c r="AA178" s="5757"/>
      <c r="AB178" s="5757"/>
      <c r="AC178" s="5757"/>
      <c r="AD178" s="5890"/>
      <c r="AE178" s="5757"/>
      <c r="AF178" s="5891"/>
    </row>
    <row r="179" spans="1:32" ht="18" customHeight="1">
      <c r="A179" s="420" t="s">
        <v>280</v>
      </c>
      <c r="B179" s="5899" t="s">
        <v>123</v>
      </c>
      <c r="C179" s="5900" t="s">
        <v>281</v>
      </c>
      <c r="D179" s="5901"/>
      <c r="E179" s="5902"/>
      <c r="F179" s="5903"/>
      <c r="G179" s="5904" t="s">
        <v>281</v>
      </c>
      <c r="H179" s="5905"/>
      <c r="I179" s="5902"/>
      <c r="J179" s="5903"/>
      <c r="K179" s="5904" t="s">
        <v>281</v>
      </c>
      <c r="L179" s="5905"/>
      <c r="M179" s="5905"/>
      <c r="N179" s="5903"/>
      <c r="O179" s="5904" t="s">
        <v>282</v>
      </c>
      <c r="P179" s="5905"/>
      <c r="Q179" s="5905"/>
      <c r="R179" s="5903"/>
      <c r="S179" s="5904" t="s">
        <v>283</v>
      </c>
      <c r="T179" s="5905"/>
      <c r="U179" s="5902"/>
      <c r="V179" s="666"/>
      <c r="W179" s="666"/>
      <c r="X179" s="666"/>
      <c r="Y179" s="666"/>
      <c r="Z179" s="667"/>
      <c r="AA179" s="666"/>
      <c r="AB179" s="666"/>
      <c r="AC179" s="666"/>
      <c r="AD179" s="667"/>
      <c r="AE179" s="666"/>
      <c r="AF179" s="812"/>
    </row>
    <row r="180" spans="1:32" ht="18" customHeight="1">
      <c r="B180" s="110"/>
      <c r="E180" s="110"/>
      <c r="H180" s="110"/>
      <c r="I180" s="110"/>
      <c r="K180" s="110"/>
      <c r="N180" s="110"/>
      <c r="P180" s="110"/>
      <c r="Q180" s="110"/>
      <c r="T180" s="110"/>
      <c r="V180" s="110"/>
      <c r="W180" s="110"/>
      <c r="AD180" s="110"/>
      <c r="AF180" s="65"/>
    </row>
    <row r="181" spans="1:32" ht="18" customHeight="1">
      <c r="A181" s="813" t="s">
        <v>697</v>
      </c>
      <c r="B181" s="668"/>
      <c r="C181" s="662" t="s">
        <v>19</v>
      </c>
      <c r="D181" s="663"/>
      <c r="E181" s="412"/>
      <c r="F181" s="664"/>
      <c r="G181" s="662" t="s">
        <v>20</v>
      </c>
      <c r="H181" s="663"/>
      <c r="I181" s="412"/>
      <c r="J181" s="664"/>
      <c r="K181" s="662" t="s">
        <v>21</v>
      </c>
      <c r="L181" s="663"/>
      <c r="M181" s="412"/>
      <c r="N181" s="664"/>
      <c r="O181" s="662" t="s">
        <v>22</v>
      </c>
      <c r="P181" s="663"/>
      <c r="Q181" s="412"/>
      <c r="R181" s="664"/>
      <c r="S181" s="662" t="s">
        <v>23</v>
      </c>
      <c r="T181" s="663"/>
      <c r="U181" s="412"/>
      <c r="V181" s="664"/>
      <c r="W181" s="662" t="s">
        <v>24</v>
      </c>
      <c r="X181" s="663"/>
      <c r="Y181" s="412"/>
      <c r="Z181" s="664"/>
      <c r="AA181" s="662" t="s">
        <v>25</v>
      </c>
      <c r="AB181" s="663"/>
      <c r="AC181" s="663"/>
      <c r="AD181" s="693" t="s">
        <v>108</v>
      </c>
      <c r="AE181" s="663"/>
      <c r="AF181" s="665"/>
    </row>
    <row r="182" spans="1:32" ht="18" customHeight="1">
      <c r="A182" s="5882" t="s">
        <v>514</v>
      </c>
      <c r="B182" s="5883" t="s">
        <v>515</v>
      </c>
      <c r="C182" s="5884" t="s">
        <v>276</v>
      </c>
      <c r="D182" s="5885"/>
      <c r="E182" s="5886"/>
      <c r="F182" s="5887"/>
      <c r="G182" s="5884" t="s">
        <v>516</v>
      </c>
      <c r="H182" s="5885"/>
      <c r="I182" s="5886"/>
      <c r="J182" s="5887"/>
      <c r="K182" s="5884" t="s">
        <v>517</v>
      </c>
      <c r="L182" s="5885"/>
      <c r="M182" s="5886"/>
      <c r="N182" s="5887"/>
      <c r="O182" s="5888" t="s">
        <v>518</v>
      </c>
      <c r="P182" s="5889"/>
      <c r="Q182" s="5886"/>
      <c r="R182" s="5887"/>
      <c r="S182" s="5884" t="s">
        <v>519</v>
      </c>
      <c r="T182" s="5885"/>
      <c r="U182" s="5886"/>
      <c r="V182" s="111"/>
      <c r="W182" s="499"/>
      <c r="X182" s="111"/>
      <c r="Y182" s="111"/>
      <c r="Z182" s="111"/>
      <c r="AA182" s="499"/>
      <c r="AB182" s="111"/>
      <c r="AC182" s="111"/>
      <c r="AD182" s="499"/>
      <c r="AE182" s="111"/>
      <c r="AF182" s="671"/>
    </row>
    <row r="183" spans="1:32" ht="18" customHeight="1">
      <c r="A183" s="5882" t="s">
        <v>256</v>
      </c>
      <c r="B183" s="5883" t="s">
        <v>152</v>
      </c>
      <c r="C183" s="5884" t="s">
        <v>285</v>
      </c>
      <c r="D183" s="5885"/>
      <c r="E183" s="5886"/>
      <c r="F183" s="5887"/>
      <c r="G183" s="5884" t="s">
        <v>285</v>
      </c>
      <c r="H183" s="5889"/>
      <c r="I183" s="5886"/>
      <c r="J183" s="5887"/>
      <c r="K183" s="5884" t="s">
        <v>285</v>
      </c>
      <c r="L183" s="5889"/>
      <c r="M183" s="5886"/>
      <c r="N183" s="5887"/>
      <c r="O183" s="5888" t="s">
        <v>286</v>
      </c>
      <c r="P183" s="5889"/>
      <c r="Q183" s="5886"/>
      <c r="R183" s="5887"/>
      <c r="S183" s="5888" t="s">
        <v>287</v>
      </c>
      <c r="T183" s="5889"/>
      <c r="U183" s="5886"/>
      <c r="V183" s="5890"/>
      <c r="W183" s="5757"/>
      <c r="X183" s="5757"/>
      <c r="Y183" s="5756"/>
      <c r="Z183" s="5890"/>
      <c r="AA183" s="5757"/>
      <c r="AB183" s="5757"/>
      <c r="AC183" s="5757"/>
      <c r="AD183" s="5890"/>
      <c r="AE183" s="5757"/>
      <c r="AF183" s="5891"/>
    </row>
    <row r="184" spans="1:32" ht="18" customHeight="1">
      <c r="A184" s="5882" t="s">
        <v>261</v>
      </c>
      <c r="B184" s="5883" t="s">
        <v>130</v>
      </c>
      <c r="C184" s="5884" t="s">
        <v>285</v>
      </c>
      <c r="D184" s="5885"/>
      <c r="E184" s="5886"/>
      <c r="F184" s="5887"/>
      <c r="G184" s="5884" t="s">
        <v>285</v>
      </c>
      <c r="H184" s="5889"/>
      <c r="I184" s="5886"/>
      <c r="J184" s="5887"/>
      <c r="K184" s="5888" t="s">
        <v>262</v>
      </c>
      <c r="L184" s="5889"/>
      <c r="M184" s="5886"/>
      <c r="N184" s="5887"/>
      <c r="O184" s="5888" t="s">
        <v>288</v>
      </c>
      <c r="P184" s="5889"/>
      <c r="Q184" s="5886"/>
      <c r="R184" s="5887"/>
      <c r="S184" s="5888" t="s">
        <v>289</v>
      </c>
      <c r="T184" s="5889"/>
      <c r="U184" s="5886"/>
      <c r="V184" s="5890"/>
      <c r="W184" s="5757"/>
      <c r="X184" s="5757"/>
      <c r="Y184" s="5756"/>
      <c r="Z184" s="5890"/>
      <c r="AA184" s="5757"/>
      <c r="AB184" s="5757"/>
      <c r="AC184" s="5757"/>
      <c r="AD184" s="5890"/>
      <c r="AE184" s="5757"/>
      <c r="AF184" s="5891"/>
    </row>
    <row r="185" spans="1:32" ht="18" customHeight="1">
      <c r="A185" s="5882" t="s">
        <v>265</v>
      </c>
      <c r="B185" s="5883" t="s">
        <v>153</v>
      </c>
      <c r="C185" s="5884" t="s">
        <v>285</v>
      </c>
      <c r="D185" s="5885"/>
      <c r="E185" s="5886"/>
      <c r="F185" s="5887"/>
      <c r="G185" s="5884" t="s">
        <v>285</v>
      </c>
      <c r="H185" s="5889"/>
      <c r="I185" s="5886"/>
      <c r="J185" s="5887"/>
      <c r="K185" s="5884" t="s">
        <v>285</v>
      </c>
      <c r="L185" s="5889"/>
      <c r="M185" s="5886"/>
      <c r="N185" s="5887"/>
      <c r="O185" s="5888" t="s">
        <v>290</v>
      </c>
      <c r="P185" s="5889"/>
      <c r="Q185" s="5886"/>
      <c r="R185" s="5887"/>
      <c r="S185" s="5888" t="s">
        <v>289</v>
      </c>
      <c r="T185" s="5889"/>
      <c r="U185" s="5886"/>
      <c r="V185" s="5890"/>
      <c r="W185" s="5757"/>
      <c r="X185" s="5757"/>
      <c r="Y185" s="5756"/>
      <c r="Z185" s="5890"/>
      <c r="AA185" s="5757"/>
      <c r="AB185" s="5757"/>
      <c r="AC185" s="5757"/>
      <c r="AD185" s="5890"/>
      <c r="AE185" s="5757"/>
      <c r="AF185" s="5891"/>
    </row>
    <row r="186" spans="1:32" ht="18" customHeight="1">
      <c r="A186" s="5697" t="s">
        <v>272</v>
      </c>
      <c r="B186" s="5883" t="s">
        <v>128</v>
      </c>
      <c r="C186" s="5884" t="s">
        <v>285</v>
      </c>
      <c r="D186" s="5885"/>
      <c r="E186" s="5886"/>
      <c r="F186" s="5887"/>
      <c r="G186" s="5884" t="s">
        <v>285</v>
      </c>
      <c r="H186" s="5889"/>
      <c r="I186" s="5886"/>
      <c r="J186" s="5887"/>
      <c r="K186" s="5884" t="s">
        <v>285</v>
      </c>
      <c r="L186" s="5889"/>
      <c r="M186" s="5886"/>
      <c r="N186" s="5887"/>
      <c r="O186" s="5888" t="s">
        <v>290</v>
      </c>
      <c r="P186" s="5889"/>
      <c r="Q186" s="5886"/>
      <c r="R186" s="5887"/>
      <c r="S186" s="5888" t="s">
        <v>289</v>
      </c>
      <c r="T186" s="5889"/>
      <c r="U186" s="5886"/>
      <c r="V186" s="5895"/>
      <c r="W186" s="5896"/>
      <c r="X186" s="5896"/>
      <c r="Y186" s="5822"/>
      <c r="Z186" s="5895"/>
      <c r="AA186" s="5896"/>
      <c r="AB186" s="5896"/>
      <c r="AC186" s="5896"/>
      <c r="AD186" s="5895"/>
      <c r="AE186" s="5896"/>
      <c r="AF186" s="5897"/>
    </row>
    <row r="187" spans="1:32" ht="18" customHeight="1">
      <c r="A187" s="5882" t="s">
        <v>275</v>
      </c>
      <c r="B187" s="5883" t="s">
        <v>127</v>
      </c>
      <c r="C187" s="5884" t="s">
        <v>285</v>
      </c>
      <c r="D187" s="5885"/>
      <c r="E187" s="5886"/>
      <c r="F187" s="5887"/>
      <c r="G187" s="5884" t="s">
        <v>285</v>
      </c>
      <c r="H187" s="5889"/>
      <c r="I187" s="5886"/>
      <c r="J187" s="5887"/>
      <c r="K187" s="5884" t="s">
        <v>285</v>
      </c>
      <c r="L187" s="5889"/>
      <c r="M187" s="5886"/>
      <c r="N187" s="5887"/>
      <c r="O187" s="5888" t="s">
        <v>286</v>
      </c>
      <c r="P187" s="5889"/>
      <c r="Q187" s="5886"/>
      <c r="R187" s="5887"/>
      <c r="S187" s="5888" t="s">
        <v>287</v>
      </c>
      <c r="T187" s="5889"/>
      <c r="U187" s="5886"/>
      <c r="V187" s="5890"/>
      <c r="W187" s="5757"/>
      <c r="X187" s="5757"/>
      <c r="Y187" s="5757"/>
      <c r="Z187" s="5890"/>
      <c r="AA187" s="5757"/>
      <c r="AB187" s="5757"/>
      <c r="AC187" s="5757"/>
      <c r="AD187" s="5890"/>
      <c r="AE187" s="5757"/>
      <c r="AF187" s="5891"/>
    </row>
    <row r="188" spans="1:32" ht="18" customHeight="1">
      <c r="A188" s="5882" t="s">
        <v>278</v>
      </c>
      <c r="B188" s="5883" t="s">
        <v>116</v>
      </c>
      <c r="C188" s="5884" t="s">
        <v>279</v>
      </c>
      <c r="D188" s="5885"/>
      <c r="E188" s="5886"/>
      <c r="F188" s="5887"/>
      <c r="G188" s="5888" t="s">
        <v>279</v>
      </c>
      <c r="H188" s="5889"/>
      <c r="I188" s="5886"/>
      <c r="J188" s="5887"/>
      <c r="K188" s="5888" t="s">
        <v>279</v>
      </c>
      <c r="L188" s="5889"/>
      <c r="M188" s="5889"/>
      <c r="N188" s="5887"/>
      <c r="O188" s="5888" t="s">
        <v>279</v>
      </c>
      <c r="P188" s="5889"/>
      <c r="Q188" s="5889"/>
      <c r="R188" s="5887"/>
      <c r="S188" s="5888" t="s">
        <v>264</v>
      </c>
      <c r="T188" s="5889"/>
      <c r="U188" s="5886"/>
      <c r="V188" s="5753"/>
      <c r="W188" s="5757"/>
      <c r="X188" s="5757"/>
      <c r="Y188" s="5756"/>
      <c r="Z188" s="5898"/>
      <c r="AA188" s="5757"/>
      <c r="AB188" s="5757"/>
      <c r="AC188" s="5757"/>
      <c r="AD188" s="5890"/>
      <c r="AE188" s="5757"/>
      <c r="AF188" s="5891"/>
    </row>
    <row r="189" spans="1:32" ht="18" customHeight="1">
      <c r="A189" s="420" t="s">
        <v>280</v>
      </c>
      <c r="B189" s="5899" t="s">
        <v>123</v>
      </c>
      <c r="C189" s="5900" t="s">
        <v>281</v>
      </c>
      <c r="D189" s="5901"/>
      <c r="E189" s="5902"/>
      <c r="F189" s="5903"/>
      <c r="G189" s="5904" t="s">
        <v>281</v>
      </c>
      <c r="H189" s="5905"/>
      <c r="I189" s="5902"/>
      <c r="J189" s="5903"/>
      <c r="K189" s="5904" t="s">
        <v>281</v>
      </c>
      <c r="L189" s="5905"/>
      <c r="M189" s="5905"/>
      <c r="N189" s="5903"/>
      <c r="O189" s="5904" t="s">
        <v>282</v>
      </c>
      <c r="P189" s="5905"/>
      <c r="Q189" s="5905"/>
      <c r="R189" s="5903"/>
      <c r="S189" s="5904" t="s">
        <v>283</v>
      </c>
      <c r="T189" s="5905"/>
      <c r="U189" s="5902"/>
      <c r="V189" s="5906"/>
      <c r="W189" s="5907"/>
      <c r="X189" s="5907"/>
      <c r="Y189" s="5908"/>
      <c r="Z189" s="5909"/>
      <c r="AA189" s="5907"/>
      <c r="AB189" s="5907"/>
      <c r="AC189" s="5907"/>
      <c r="AD189" s="5910"/>
      <c r="AE189" s="5907"/>
      <c r="AF189" s="5911"/>
    </row>
    <row r="190" spans="1:32" ht="18" customHeight="1">
      <c r="A190" s="119"/>
      <c r="B190" s="110"/>
      <c r="C190" s="68"/>
      <c r="F190" s="110"/>
      <c r="G190" s="68"/>
      <c r="J190" s="110"/>
      <c r="K190" s="68"/>
      <c r="N190" s="110"/>
      <c r="O190" s="68"/>
      <c r="R190" s="110"/>
      <c r="S190" s="68"/>
      <c r="Z190" s="110"/>
      <c r="AD190" s="110"/>
      <c r="AF190" s="65"/>
    </row>
    <row r="191" spans="1:32" ht="18" customHeight="1">
      <c r="A191" s="815" t="s">
        <v>613</v>
      </c>
      <c r="B191" s="816">
        <v>1</v>
      </c>
      <c r="C191" s="434">
        <v>2</v>
      </c>
      <c r="D191" s="434">
        <v>3</v>
      </c>
      <c r="E191" s="435">
        <v>4</v>
      </c>
      <c r="F191" s="435">
        <v>5</v>
      </c>
      <c r="G191" s="435">
        <v>6</v>
      </c>
      <c r="H191" s="435">
        <v>7</v>
      </c>
      <c r="I191" s="435">
        <v>8</v>
      </c>
      <c r="J191" s="434">
        <v>9</v>
      </c>
      <c r="K191" s="434">
        <v>10</v>
      </c>
      <c r="L191" s="435">
        <v>11</v>
      </c>
      <c r="M191" s="435">
        <v>12</v>
      </c>
      <c r="N191" s="435">
        <v>13</v>
      </c>
      <c r="O191" s="434">
        <v>14</v>
      </c>
      <c r="P191" s="435">
        <v>15</v>
      </c>
      <c r="Q191" s="434">
        <v>16</v>
      </c>
      <c r="R191" s="434">
        <v>17</v>
      </c>
      <c r="S191" s="435">
        <v>18</v>
      </c>
      <c r="T191" s="435">
        <v>19</v>
      </c>
      <c r="U191" s="435">
        <v>20</v>
      </c>
      <c r="V191" s="435">
        <v>21</v>
      </c>
      <c r="W191" s="435">
        <v>22</v>
      </c>
      <c r="X191" s="434">
        <v>23</v>
      </c>
      <c r="Y191" s="434">
        <v>24</v>
      </c>
      <c r="Z191" s="434">
        <v>25</v>
      </c>
      <c r="AA191" s="435">
        <v>26</v>
      </c>
      <c r="AB191" s="435">
        <v>27</v>
      </c>
      <c r="AC191" s="435">
        <v>28</v>
      </c>
      <c r="AD191" s="435">
        <v>29</v>
      </c>
      <c r="AE191" s="434">
        <v>30</v>
      </c>
      <c r="AF191" s="436">
        <v>31</v>
      </c>
    </row>
    <row r="192" spans="1:32" ht="18" customHeight="1">
      <c r="A192" s="814" t="s">
        <v>296</v>
      </c>
      <c r="B192" s="484"/>
      <c r="C192" s="484"/>
      <c r="D192" s="484"/>
      <c r="E192" s="484" t="s">
        <v>257</v>
      </c>
      <c r="F192" s="484" t="s">
        <v>257</v>
      </c>
      <c r="G192" s="484" t="s">
        <v>257</v>
      </c>
      <c r="H192" s="484" t="s">
        <v>257</v>
      </c>
      <c r="I192" s="484" t="s">
        <v>257</v>
      </c>
      <c r="J192" s="484"/>
      <c r="K192" s="484"/>
      <c r="L192" s="484" t="s">
        <v>257</v>
      </c>
      <c r="M192" s="484" t="s">
        <v>257</v>
      </c>
      <c r="N192" s="484" t="s">
        <v>257</v>
      </c>
      <c r="O192" s="484"/>
      <c r="P192" s="484" t="s">
        <v>257</v>
      </c>
      <c r="Q192" s="484"/>
      <c r="R192" s="484"/>
      <c r="S192" s="484" t="s">
        <v>257</v>
      </c>
      <c r="T192" s="484" t="s">
        <v>257</v>
      </c>
      <c r="U192" s="484" t="s">
        <v>257</v>
      </c>
      <c r="V192" s="484" t="s">
        <v>257</v>
      </c>
      <c r="W192" s="484" t="s">
        <v>257</v>
      </c>
      <c r="X192" s="484"/>
      <c r="Y192" s="484"/>
      <c r="Z192" s="484"/>
      <c r="AA192" s="484" t="s">
        <v>257</v>
      </c>
      <c r="AB192" s="484" t="s">
        <v>257</v>
      </c>
      <c r="AC192" s="484" t="s">
        <v>257</v>
      </c>
      <c r="AD192" s="484" t="s">
        <v>257</v>
      </c>
      <c r="AE192" s="484"/>
      <c r="AF192" s="715"/>
    </row>
    <row r="193" spans="1:32" ht="18" customHeight="1">
      <c r="A193" s="5711" t="s">
        <v>575</v>
      </c>
      <c r="B193" s="5673"/>
      <c r="C193" s="5673"/>
      <c r="D193" s="5673"/>
      <c r="E193" s="5712" t="s">
        <v>130</v>
      </c>
      <c r="F193" s="5712" t="s">
        <v>130</v>
      </c>
      <c r="G193" s="5712" t="s">
        <v>130</v>
      </c>
      <c r="H193" s="5673" t="s">
        <v>130</v>
      </c>
      <c r="I193" s="5673" t="s">
        <v>130</v>
      </c>
      <c r="J193" s="5673"/>
      <c r="K193" s="5673"/>
      <c r="L193" s="5712" t="s">
        <v>130</v>
      </c>
      <c r="M193" s="5712" t="s">
        <v>130</v>
      </c>
      <c r="N193" s="5712" t="s">
        <v>130</v>
      </c>
      <c r="O193" s="5673"/>
      <c r="P193" s="5673" t="s">
        <v>130</v>
      </c>
      <c r="Q193" s="5673"/>
      <c r="R193" s="5673"/>
      <c r="S193" s="5712" t="s">
        <v>130</v>
      </c>
      <c r="T193" s="5712" t="s">
        <v>130</v>
      </c>
      <c r="U193" s="5712" t="s">
        <v>130</v>
      </c>
      <c r="V193" s="5673" t="s">
        <v>130</v>
      </c>
      <c r="W193" s="5673" t="s">
        <v>130</v>
      </c>
      <c r="X193" s="5673"/>
      <c r="Y193" s="5673"/>
      <c r="Z193" s="5712"/>
      <c r="AA193" s="5712" t="s">
        <v>130</v>
      </c>
      <c r="AB193" s="5712" t="s">
        <v>130</v>
      </c>
      <c r="AC193" s="5673" t="s">
        <v>130</v>
      </c>
      <c r="AD193" s="5673" t="s">
        <v>130</v>
      </c>
      <c r="AE193" s="5673"/>
      <c r="AF193" s="5713"/>
    </row>
    <row r="194" spans="1:32" ht="18" customHeight="1">
      <c r="A194" s="5714" t="s">
        <v>295</v>
      </c>
      <c r="B194" s="5602"/>
      <c r="C194" s="5602"/>
      <c r="D194" s="5602"/>
      <c r="E194" s="5602" t="s">
        <v>153</v>
      </c>
      <c r="F194" s="5602" t="s">
        <v>153</v>
      </c>
      <c r="G194" s="5602" t="s">
        <v>153</v>
      </c>
      <c r="H194" s="5602" t="s">
        <v>153</v>
      </c>
      <c r="I194" s="5602" t="s">
        <v>153</v>
      </c>
      <c r="J194" s="5602"/>
      <c r="K194" s="5602"/>
      <c r="L194" s="5602" t="s">
        <v>153</v>
      </c>
      <c r="M194" s="5602" t="s">
        <v>153</v>
      </c>
      <c r="N194" s="5602" t="s">
        <v>153</v>
      </c>
      <c r="O194" s="5602"/>
      <c r="P194" s="5602" t="s">
        <v>153</v>
      </c>
      <c r="Q194" s="5602"/>
      <c r="R194" s="5602"/>
      <c r="S194" s="5602" t="s">
        <v>153</v>
      </c>
      <c r="T194" s="5602" t="s">
        <v>153</v>
      </c>
      <c r="U194" s="5602" t="s">
        <v>153</v>
      </c>
      <c r="V194" s="5602" t="s">
        <v>153</v>
      </c>
      <c r="W194" s="5602" t="s">
        <v>153</v>
      </c>
      <c r="X194" s="5602"/>
      <c r="Y194" s="5602"/>
      <c r="Z194" s="5602"/>
      <c r="AA194" s="5602" t="s">
        <v>153</v>
      </c>
      <c r="AB194" s="5602" t="s">
        <v>153</v>
      </c>
      <c r="AC194" s="5602" t="s">
        <v>153</v>
      </c>
      <c r="AD194" s="5602" t="s">
        <v>153</v>
      </c>
      <c r="AE194" s="5602"/>
      <c r="AF194" s="5603"/>
    </row>
    <row r="195" spans="1:32" ht="18" customHeight="1">
      <c r="A195" s="5711" t="s">
        <v>296</v>
      </c>
      <c r="B195" s="5602"/>
      <c r="C195" s="5602"/>
      <c r="D195" s="5602"/>
      <c r="E195" s="5602" t="s">
        <v>132</v>
      </c>
      <c r="F195" s="5602" t="s">
        <v>132</v>
      </c>
      <c r="G195" s="5602" t="s">
        <v>132</v>
      </c>
      <c r="H195" s="5602" t="s">
        <v>132</v>
      </c>
      <c r="I195" s="5602" t="s">
        <v>132</v>
      </c>
      <c r="J195" s="5602"/>
      <c r="K195" s="5602"/>
      <c r="L195" s="5602" t="s">
        <v>132</v>
      </c>
      <c r="M195" s="5602" t="s">
        <v>132</v>
      </c>
      <c r="N195" s="5602" t="s">
        <v>132</v>
      </c>
      <c r="O195" s="5602"/>
      <c r="P195" s="5602" t="s">
        <v>132</v>
      </c>
      <c r="Q195" s="5602"/>
      <c r="R195" s="5602"/>
      <c r="S195" s="5602" t="s">
        <v>132</v>
      </c>
      <c r="T195" s="5602" t="s">
        <v>132</v>
      </c>
      <c r="U195" s="5602" t="s">
        <v>132</v>
      </c>
      <c r="V195" s="5602" t="s">
        <v>132</v>
      </c>
      <c r="W195" s="5602" t="s">
        <v>132</v>
      </c>
      <c r="X195" s="5602"/>
      <c r="Y195" s="5602"/>
      <c r="Z195" s="5602"/>
      <c r="AA195" s="5602" t="s">
        <v>132</v>
      </c>
      <c r="AB195" s="5602" t="s">
        <v>132</v>
      </c>
      <c r="AC195" s="5602" t="s">
        <v>132</v>
      </c>
      <c r="AD195" s="5602" t="s">
        <v>132</v>
      </c>
      <c r="AE195" s="5602"/>
      <c r="AF195" s="5603"/>
    </row>
    <row r="196" spans="1:32" ht="18" customHeight="1">
      <c r="A196" s="5715" t="s">
        <v>297</v>
      </c>
      <c r="B196" s="5602"/>
      <c r="C196" s="5602"/>
      <c r="D196" s="5602"/>
      <c r="E196" s="5602" t="s">
        <v>128</v>
      </c>
      <c r="F196" s="5602" t="s">
        <v>128</v>
      </c>
      <c r="G196" s="5602" t="s">
        <v>128</v>
      </c>
      <c r="H196" s="5602" t="s">
        <v>128</v>
      </c>
      <c r="I196" s="5602" t="s">
        <v>128</v>
      </c>
      <c r="J196" s="5602"/>
      <c r="K196" s="5602"/>
      <c r="L196" s="5602" t="s">
        <v>128</v>
      </c>
      <c r="M196" s="5602" t="s">
        <v>128</v>
      </c>
      <c r="N196" s="5602" t="s">
        <v>128</v>
      </c>
      <c r="O196" s="5602"/>
      <c r="P196" s="5602" t="s">
        <v>128</v>
      </c>
      <c r="Q196" s="5602"/>
      <c r="R196" s="5602"/>
      <c r="S196" s="5602" t="s">
        <v>128</v>
      </c>
      <c r="T196" s="5602" t="s">
        <v>128</v>
      </c>
      <c r="U196" s="5602" t="s">
        <v>128</v>
      </c>
      <c r="V196" s="5602" t="s">
        <v>128</v>
      </c>
      <c r="W196" s="5602" t="s">
        <v>128</v>
      </c>
      <c r="X196" s="5602"/>
      <c r="Y196" s="5602"/>
      <c r="Z196" s="5602"/>
      <c r="AA196" s="5602" t="s">
        <v>128</v>
      </c>
      <c r="AB196" s="5602" t="s">
        <v>128</v>
      </c>
      <c r="AC196" s="5602" t="s">
        <v>128</v>
      </c>
      <c r="AD196" s="5602" t="s">
        <v>128</v>
      </c>
      <c r="AE196" s="5602"/>
      <c r="AF196" s="5603"/>
    </row>
    <row r="197" spans="1:32" ht="18" customHeight="1">
      <c r="A197" s="5716" t="s">
        <v>298</v>
      </c>
      <c r="B197" s="5602"/>
      <c r="C197" s="5602"/>
      <c r="D197" s="5602"/>
      <c r="E197" s="5602" t="s">
        <v>127</v>
      </c>
      <c r="F197" s="5602" t="s">
        <v>127</v>
      </c>
      <c r="G197" s="5602" t="s">
        <v>127</v>
      </c>
      <c r="H197" s="5602" t="s">
        <v>127</v>
      </c>
      <c r="I197" s="5602" t="s">
        <v>127</v>
      </c>
      <c r="J197" s="5602"/>
      <c r="K197" s="5602"/>
      <c r="L197" s="5602" t="s">
        <v>127</v>
      </c>
      <c r="M197" s="5602" t="s">
        <v>127</v>
      </c>
      <c r="N197" s="5602" t="s">
        <v>127</v>
      </c>
      <c r="O197" s="5602"/>
      <c r="P197" s="5602" t="s">
        <v>127</v>
      </c>
      <c r="Q197" s="5602"/>
      <c r="R197" s="5602"/>
      <c r="S197" s="5602" t="s">
        <v>127</v>
      </c>
      <c r="T197" s="5602" t="s">
        <v>127</v>
      </c>
      <c r="U197" s="5602" t="s">
        <v>127</v>
      </c>
      <c r="V197" s="5602" t="s">
        <v>127</v>
      </c>
      <c r="W197" s="5602" t="s">
        <v>127</v>
      </c>
      <c r="X197" s="5602"/>
      <c r="Y197" s="5602"/>
      <c r="Z197" s="5602"/>
      <c r="AA197" s="5602" t="s">
        <v>127</v>
      </c>
      <c r="AB197" s="5602" t="s">
        <v>127</v>
      </c>
      <c r="AC197" s="5602" t="s">
        <v>127</v>
      </c>
      <c r="AD197" s="5602" t="s">
        <v>127</v>
      </c>
      <c r="AE197" s="5602"/>
      <c r="AF197" s="5603"/>
    </row>
    <row r="198" spans="1:32" ht="18" customHeight="1">
      <c r="A198" s="5591" t="s">
        <v>577</v>
      </c>
      <c r="B198" s="5602"/>
      <c r="C198" s="5602"/>
      <c r="D198" s="5602"/>
      <c r="E198" s="5602" t="s">
        <v>403</v>
      </c>
      <c r="F198" s="5602" t="s">
        <v>403</v>
      </c>
      <c r="G198" s="5602" t="s">
        <v>403</v>
      </c>
      <c r="H198" s="5602" t="s">
        <v>403</v>
      </c>
      <c r="I198" s="5602" t="s">
        <v>403</v>
      </c>
      <c r="J198" s="5602"/>
      <c r="K198" s="5602"/>
      <c r="L198" s="5602" t="s">
        <v>403</v>
      </c>
      <c r="M198" s="5602" t="s">
        <v>403</v>
      </c>
      <c r="N198" s="5602" t="s">
        <v>403</v>
      </c>
      <c r="O198" s="5602"/>
      <c r="P198" s="5602" t="s">
        <v>403</v>
      </c>
      <c r="Q198" s="5602"/>
      <c r="R198" s="5602"/>
      <c r="S198" s="5602" t="s">
        <v>403</v>
      </c>
      <c r="T198" s="5602" t="s">
        <v>403</v>
      </c>
      <c r="U198" s="5602" t="s">
        <v>403</v>
      </c>
      <c r="V198" s="5602" t="s">
        <v>403</v>
      </c>
      <c r="W198" s="5602" t="s">
        <v>403</v>
      </c>
      <c r="X198" s="5602"/>
      <c r="Y198" s="5602"/>
      <c r="Z198" s="5602"/>
      <c r="AA198" s="5602" t="s">
        <v>403</v>
      </c>
      <c r="AB198" s="5602" t="s">
        <v>403</v>
      </c>
      <c r="AC198" s="5602" t="s">
        <v>403</v>
      </c>
      <c r="AD198" s="5602" t="s">
        <v>403</v>
      </c>
      <c r="AE198" s="5602"/>
      <c r="AF198" s="5603"/>
    </row>
    <row r="199" spans="1:32" ht="18" customHeight="1">
      <c r="A199" s="5717" t="s">
        <v>299</v>
      </c>
      <c r="B199" s="5602"/>
      <c r="C199" s="5602"/>
      <c r="D199" s="5602"/>
      <c r="E199" s="5602" t="s">
        <v>123</v>
      </c>
      <c r="F199" s="5602" t="s">
        <v>123</v>
      </c>
      <c r="G199" s="5602" t="s">
        <v>123</v>
      </c>
      <c r="H199" s="5602" t="s">
        <v>123</v>
      </c>
      <c r="I199" s="5602" t="s">
        <v>123</v>
      </c>
      <c r="J199" s="5602"/>
      <c r="K199" s="5602"/>
      <c r="L199" s="5602" t="s">
        <v>123</v>
      </c>
      <c r="M199" s="5602" t="s">
        <v>123</v>
      </c>
      <c r="N199" s="5602" t="s">
        <v>123</v>
      </c>
      <c r="O199" s="5602"/>
      <c r="P199" s="5602" t="s">
        <v>123</v>
      </c>
      <c r="Q199" s="5602"/>
      <c r="R199" s="5602"/>
      <c r="S199" s="5602" t="s">
        <v>123</v>
      </c>
      <c r="T199" s="5602" t="s">
        <v>123</v>
      </c>
      <c r="U199" s="5602" t="s">
        <v>123</v>
      </c>
      <c r="V199" s="5602" t="s">
        <v>123</v>
      </c>
      <c r="W199" s="5602" t="s">
        <v>123</v>
      </c>
      <c r="X199" s="5602"/>
      <c r="Y199" s="5602"/>
      <c r="Z199" s="5602"/>
      <c r="AA199" s="5602" t="s">
        <v>123</v>
      </c>
      <c r="AB199" s="5602" t="s">
        <v>123</v>
      </c>
      <c r="AC199" s="5602" t="s">
        <v>123</v>
      </c>
      <c r="AD199" s="5602" t="s">
        <v>123</v>
      </c>
      <c r="AE199" s="5602"/>
      <c r="AF199" s="5603"/>
    </row>
    <row r="200" spans="1:32" ht="18" customHeight="1">
      <c r="A200" s="432" t="s">
        <v>300</v>
      </c>
      <c r="B200" s="5682"/>
      <c r="C200" s="5682"/>
      <c r="D200" s="5682"/>
      <c r="E200" s="5682" t="s">
        <v>116</v>
      </c>
      <c r="F200" s="5682" t="s">
        <v>116</v>
      </c>
      <c r="G200" s="5682" t="s">
        <v>116</v>
      </c>
      <c r="H200" s="5682" t="s">
        <v>116</v>
      </c>
      <c r="I200" s="5682" t="s">
        <v>116</v>
      </c>
      <c r="J200" s="5682"/>
      <c r="K200" s="5682"/>
      <c r="L200" s="5682" t="s">
        <v>116</v>
      </c>
      <c r="M200" s="5682" t="s">
        <v>116</v>
      </c>
      <c r="N200" s="5682" t="s">
        <v>116</v>
      </c>
      <c r="O200" s="5682"/>
      <c r="P200" s="5682" t="s">
        <v>116</v>
      </c>
      <c r="Q200" s="5682"/>
      <c r="R200" s="5682"/>
      <c r="S200" s="5682" t="s">
        <v>116</v>
      </c>
      <c r="T200" s="5682" t="s">
        <v>116</v>
      </c>
      <c r="U200" s="5682" t="s">
        <v>116</v>
      </c>
      <c r="V200" s="5682" t="s">
        <v>116</v>
      </c>
      <c r="W200" s="5682" t="s">
        <v>116</v>
      </c>
      <c r="X200" s="5682"/>
      <c r="Y200" s="5682"/>
      <c r="Z200" s="5682"/>
      <c r="AA200" s="5682" t="s">
        <v>116</v>
      </c>
      <c r="AB200" s="5682" t="s">
        <v>116</v>
      </c>
      <c r="AC200" s="5682" t="s">
        <v>116</v>
      </c>
      <c r="AD200" s="5682" t="s">
        <v>116</v>
      </c>
      <c r="AE200" s="5682"/>
      <c r="AF200" s="670"/>
    </row>
    <row r="201" spans="1:32" ht="18" customHeight="1">
      <c r="A201" s="37"/>
    </row>
    <row r="202" spans="1:32" ht="18" customHeight="1">
      <c r="A202" s="5912" t="s">
        <v>303</v>
      </c>
      <c r="B202" s="2882" t="s">
        <v>19</v>
      </c>
      <c r="C202" s="2883"/>
      <c r="D202" s="2883"/>
      <c r="E202" s="2883"/>
      <c r="F202" s="2882" t="s">
        <v>20</v>
      </c>
      <c r="G202" s="2883"/>
      <c r="H202" s="2883"/>
      <c r="I202" s="2883"/>
      <c r="J202" s="2882" t="s">
        <v>21</v>
      </c>
      <c r="K202" s="2883"/>
      <c r="L202" s="2883"/>
      <c r="M202" s="2883"/>
      <c r="N202" s="2882" t="s">
        <v>22</v>
      </c>
      <c r="O202" s="2883"/>
      <c r="P202" s="2883"/>
      <c r="Q202" s="2883"/>
      <c r="R202" s="2882" t="s">
        <v>23</v>
      </c>
      <c r="S202" s="2883"/>
      <c r="T202" s="2883"/>
      <c r="U202" s="2883"/>
      <c r="V202" s="2882" t="s">
        <v>24</v>
      </c>
      <c r="W202" s="3064"/>
      <c r="X202" s="2883"/>
      <c r="Y202" s="2884"/>
      <c r="Z202" s="2882" t="s">
        <v>25</v>
      </c>
      <c r="AA202" s="3064"/>
      <c r="AB202" s="2883"/>
      <c r="AC202" s="2884"/>
      <c r="AD202" s="2885" t="s">
        <v>108</v>
      </c>
      <c r="AE202" s="2883"/>
      <c r="AF202" s="2841"/>
    </row>
    <row r="203" spans="1:32" ht="18" customHeight="1">
      <c r="A203" s="5913">
        <v>3701</v>
      </c>
      <c r="B203" s="68" t="s">
        <v>304</v>
      </c>
      <c r="C203" s="68"/>
      <c r="D203" s="68"/>
      <c r="E203" s="68"/>
      <c r="F203" s="227" t="s">
        <v>305</v>
      </c>
      <c r="G203" s="68"/>
      <c r="H203" s="68"/>
      <c r="I203" s="68"/>
      <c r="J203" s="227" t="s">
        <v>305</v>
      </c>
      <c r="K203" s="68"/>
      <c r="L203" s="68"/>
      <c r="M203" s="68"/>
      <c r="N203" s="227" t="s">
        <v>305</v>
      </c>
      <c r="O203" s="68"/>
      <c r="P203" s="68"/>
      <c r="Q203" s="68"/>
      <c r="R203" s="227" t="s">
        <v>306</v>
      </c>
      <c r="S203" s="68"/>
      <c r="T203" s="68"/>
      <c r="U203" s="68"/>
      <c r="V203" s="5821"/>
      <c r="W203" s="5914"/>
      <c r="X203" s="5778"/>
      <c r="Y203" s="5915"/>
      <c r="Z203" s="5821"/>
      <c r="AA203" s="5914"/>
      <c r="AB203" s="5778"/>
      <c r="AC203" s="5915"/>
      <c r="AD203" s="5832"/>
      <c r="AE203" s="5778"/>
      <c r="AF203" s="5871"/>
    </row>
    <row r="204" spans="1:32" ht="18" customHeight="1">
      <c r="A204" s="5912">
        <v>3700</v>
      </c>
      <c r="B204" s="5778" t="s">
        <v>204</v>
      </c>
      <c r="C204" s="5778"/>
      <c r="D204" s="5778"/>
      <c r="E204" s="5778"/>
      <c r="F204" s="5916" t="s">
        <v>204</v>
      </c>
      <c r="G204" s="5778"/>
      <c r="H204" s="5778"/>
      <c r="I204" s="5778"/>
      <c r="J204" s="5916" t="s">
        <v>204</v>
      </c>
      <c r="K204" s="5778"/>
      <c r="L204" s="5778"/>
      <c r="M204" s="5778"/>
      <c r="N204" s="5916" t="s">
        <v>204</v>
      </c>
      <c r="O204" s="5778"/>
      <c r="P204" s="5778"/>
      <c r="Q204" s="5778"/>
      <c r="R204" s="5916" t="s">
        <v>205</v>
      </c>
      <c r="S204" s="5778"/>
      <c r="T204" s="5778"/>
      <c r="U204" s="5778"/>
      <c r="V204" s="5821"/>
      <c r="W204" s="5778"/>
      <c r="X204" s="5778"/>
      <c r="Y204" s="5834"/>
      <c r="Z204" s="5832"/>
      <c r="AA204" s="5778"/>
      <c r="AB204" s="5778"/>
      <c r="AC204" s="5816"/>
      <c r="AD204" s="5917"/>
      <c r="AE204" s="5778"/>
      <c r="AF204" s="5871"/>
    </row>
    <row r="205" spans="1:32" ht="18" customHeight="1">
      <c r="A205" s="5912">
        <v>8514</v>
      </c>
      <c r="B205" s="5778" t="s">
        <v>305</v>
      </c>
      <c r="C205" s="5778"/>
      <c r="D205" s="5778"/>
      <c r="E205" s="5778"/>
      <c r="F205" s="5916" t="s">
        <v>305</v>
      </c>
      <c r="G205" s="5778"/>
      <c r="H205" s="5778"/>
      <c r="I205" s="5778"/>
      <c r="J205" s="5916" t="s">
        <v>305</v>
      </c>
      <c r="K205" s="5778"/>
      <c r="L205" s="5778"/>
      <c r="M205" s="5778"/>
      <c r="N205" s="5916" t="s">
        <v>305</v>
      </c>
      <c r="O205" s="5778"/>
      <c r="P205" s="5778"/>
      <c r="Q205" s="5778"/>
      <c r="R205" s="5916" t="s">
        <v>307</v>
      </c>
      <c r="S205" s="5778"/>
      <c r="T205" s="5778"/>
      <c r="U205" s="5778"/>
      <c r="V205" s="5821"/>
      <c r="W205" s="5778"/>
      <c r="X205" s="5778"/>
      <c r="Y205" s="5834"/>
      <c r="Z205" s="5817"/>
      <c r="AA205" s="5778"/>
      <c r="AB205" s="5778"/>
      <c r="AC205" s="5816"/>
      <c r="AD205" s="5817"/>
      <c r="AE205" s="5778"/>
      <c r="AF205" s="5871"/>
    </row>
    <row r="206" spans="1:32" ht="18" customHeight="1">
      <c r="A206" s="5912">
        <v>8500</v>
      </c>
      <c r="B206" s="531" t="s">
        <v>308</v>
      </c>
      <c r="C206" s="531"/>
      <c r="D206" s="531"/>
      <c r="E206" s="531"/>
      <c r="F206" s="534" t="s">
        <v>308</v>
      </c>
      <c r="G206" s="531"/>
      <c r="H206" s="531"/>
      <c r="I206" s="531"/>
      <c r="J206" s="534" t="s">
        <v>308</v>
      </c>
      <c r="K206" s="531"/>
      <c r="L206" s="531"/>
      <c r="M206" s="531"/>
      <c r="N206" s="534" t="s">
        <v>308</v>
      </c>
      <c r="O206" s="531"/>
      <c r="P206" s="531"/>
      <c r="Q206" s="531"/>
      <c r="R206" s="534" t="s">
        <v>309</v>
      </c>
      <c r="S206" s="531"/>
      <c r="T206" s="531"/>
      <c r="U206" s="531"/>
      <c r="V206" s="5821"/>
      <c r="W206" s="531"/>
      <c r="X206" s="531"/>
      <c r="Y206" s="535"/>
      <c r="Z206" s="536"/>
      <c r="AA206" s="531"/>
      <c r="AB206" s="531"/>
      <c r="AC206" s="535"/>
      <c r="AD206" s="536"/>
      <c r="AE206" s="531"/>
      <c r="AF206" s="466"/>
    </row>
    <row r="207" spans="1:32" ht="18" customHeight="1">
      <c r="A207" s="5912">
        <v>8514</v>
      </c>
      <c r="B207" s="537" t="s">
        <v>305</v>
      </c>
      <c r="C207" s="537"/>
      <c r="D207" s="537"/>
      <c r="E207" s="537"/>
      <c r="F207" s="538" t="s">
        <v>305</v>
      </c>
      <c r="G207" s="537"/>
      <c r="H207" s="537"/>
      <c r="I207" s="537"/>
      <c r="J207" s="538" t="s">
        <v>305</v>
      </c>
      <c r="K207" s="537"/>
      <c r="L207" s="537"/>
      <c r="M207" s="537"/>
      <c r="N207" s="538" t="s">
        <v>305</v>
      </c>
      <c r="O207" s="537"/>
      <c r="P207" s="537"/>
      <c r="Q207" s="537"/>
      <c r="R207" s="538" t="s">
        <v>307</v>
      </c>
      <c r="S207" s="537"/>
      <c r="T207" s="537"/>
      <c r="U207" s="537"/>
      <c r="V207" s="5918"/>
      <c r="W207" s="539"/>
      <c r="X207" s="531"/>
      <c r="Y207" s="540"/>
      <c r="Z207" s="541"/>
      <c r="AA207" s="539"/>
      <c r="AB207" s="531"/>
      <c r="AC207" s="531"/>
      <c r="AD207" s="542"/>
      <c r="AE207" s="531"/>
      <c r="AF207" s="466"/>
    </row>
    <row r="208" spans="1:32" ht="18" customHeight="1" thickBot="1">
      <c r="A208" s="5919" t="s">
        <v>310</v>
      </c>
      <c r="B208" s="5784" t="s">
        <v>10</v>
      </c>
      <c r="C208" s="5784"/>
      <c r="D208" s="5784"/>
      <c r="E208" s="5784"/>
      <c r="F208" s="5920" t="s">
        <v>10</v>
      </c>
      <c r="G208" s="5784"/>
      <c r="H208" s="5784"/>
      <c r="I208" s="5784"/>
      <c r="J208" s="5921" t="s">
        <v>10</v>
      </c>
      <c r="K208" s="5784"/>
      <c r="L208" s="5784"/>
      <c r="M208" s="5784"/>
      <c r="N208" s="5920" t="s">
        <v>10</v>
      </c>
      <c r="O208" s="5784"/>
      <c r="P208" s="5784"/>
      <c r="Q208" s="5784"/>
      <c r="R208" s="5920" t="s">
        <v>10</v>
      </c>
      <c r="S208" s="5784"/>
      <c r="T208" s="5784"/>
      <c r="U208" s="5784"/>
      <c r="V208" s="5921"/>
      <c r="W208" s="5784"/>
      <c r="X208" s="5784"/>
      <c r="Y208" s="5873"/>
      <c r="Z208" s="5922"/>
      <c r="AA208" s="5784"/>
      <c r="AB208" s="5784"/>
      <c r="AC208" s="5874"/>
      <c r="AD208" s="5923"/>
      <c r="AE208" s="5784"/>
      <c r="AF208" s="5876"/>
    </row>
    <row r="209" spans="1:32" ht="18" customHeight="1" thickBot="1"/>
    <row r="210" spans="1:32" ht="18" customHeight="1">
      <c r="A210" s="817" t="s">
        <v>331</v>
      </c>
      <c r="B210" s="657"/>
      <c r="C210" s="650" t="s">
        <v>19</v>
      </c>
      <c r="D210" s="658"/>
      <c r="E210" s="659"/>
      <c r="F210" s="657"/>
      <c r="G210" s="650" t="s">
        <v>20</v>
      </c>
      <c r="H210" s="658"/>
      <c r="I210" s="659"/>
      <c r="J210" s="657"/>
      <c r="K210" s="650" t="s">
        <v>21</v>
      </c>
      <c r="L210" s="658"/>
      <c r="M210" s="659"/>
      <c r="N210" s="657"/>
      <c r="O210" s="650" t="s">
        <v>22</v>
      </c>
      <c r="P210" s="658"/>
      <c r="Q210" s="659"/>
      <c r="R210" s="657"/>
      <c r="S210" s="650" t="s">
        <v>23</v>
      </c>
      <c r="T210" s="658"/>
      <c r="U210" s="659"/>
      <c r="V210" s="657"/>
      <c r="W210" s="650" t="s">
        <v>24</v>
      </c>
      <c r="X210" s="658"/>
      <c r="Y210" s="659"/>
      <c r="Z210" s="657"/>
      <c r="AA210" s="650" t="s">
        <v>25</v>
      </c>
      <c r="AB210" s="658"/>
      <c r="AC210" s="660"/>
      <c r="AD210" s="2788"/>
      <c r="AE210" s="3064"/>
      <c r="AF210" s="3064"/>
    </row>
    <row r="211" spans="1:32" ht="18" customHeight="1">
      <c r="A211" s="5924" t="s">
        <v>210</v>
      </c>
      <c r="B211" s="543" t="s">
        <v>332</v>
      </c>
      <c r="C211" s="539"/>
      <c r="D211" s="544"/>
      <c r="E211" s="545"/>
      <c r="F211" s="543" t="s">
        <v>332</v>
      </c>
      <c r="G211" s="539"/>
      <c r="H211" s="544"/>
      <c r="I211" s="545"/>
      <c r="J211" s="543" t="s">
        <v>332</v>
      </c>
      <c r="K211" s="539"/>
      <c r="L211" s="544"/>
      <c r="M211" s="545"/>
      <c r="N211" s="543" t="s">
        <v>332</v>
      </c>
      <c r="O211" s="546"/>
      <c r="P211" s="544"/>
      <c r="Q211" s="545"/>
      <c r="R211" s="547" t="s">
        <v>333</v>
      </c>
      <c r="S211" s="539"/>
      <c r="T211" s="544"/>
      <c r="U211" s="545"/>
      <c r="V211" s="541"/>
      <c r="W211" s="539"/>
      <c r="X211" s="531"/>
      <c r="Y211" s="540"/>
      <c r="Z211" s="541"/>
      <c r="AA211" s="539"/>
      <c r="AB211" s="531"/>
      <c r="AC211" s="818"/>
      <c r="AD211" s="539"/>
      <c r="AE211" s="531"/>
      <c r="AF211" s="516"/>
    </row>
    <row r="212" spans="1:32" ht="18" customHeight="1">
      <c r="A212" s="5924" t="s">
        <v>212</v>
      </c>
      <c r="B212" s="543" t="s">
        <v>334</v>
      </c>
      <c r="C212" s="539"/>
      <c r="D212" s="544"/>
      <c r="E212" s="545"/>
      <c r="F212" s="543" t="s">
        <v>334</v>
      </c>
      <c r="G212" s="539"/>
      <c r="H212" s="544"/>
      <c r="I212" s="545"/>
      <c r="J212" s="543" t="s">
        <v>334</v>
      </c>
      <c r="K212" s="539"/>
      <c r="L212" s="544"/>
      <c r="M212" s="545"/>
      <c r="N212" s="543" t="s">
        <v>334</v>
      </c>
      <c r="O212" s="539"/>
      <c r="P212" s="544"/>
      <c r="Q212" s="545"/>
      <c r="R212" s="543" t="s">
        <v>335</v>
      </c>
      <c r="S212" s="539"/>
      <c r="T212" s="544"/>
      <c r="U212" s="545"/>
      <c r="V212" s="541"/>
      <c r="W212" s="539"/>
      <c r="X212" s="531"/>
      <c r="Y212" s="540"/>
      <c r="Z212" s="541"/>
      <c r="AA212" s="539"/>
      <c r="AB212" s="531"/>
      <c r="AC212" s="818"/>
      <c r="AD212" s="539"/>
      <c r="AE212" s="531"/>
      <c r="AF212" s="516"/>
    </row>
    <row r="213" spans="1:32" ht="18" customHeight="1">
      <c r="A213" s="5925" t="s">
        <v>336</v>
      </c>
      <c r="B213" s="5926" t="s">
        <v>334</v>
      </c>
      <c r="C213" s="5927"/>
      <c r="D213" s="819"/>
      <c r="E213" s="820"/>
      <c r="F213" s="5926" t="s">
        <v>334</v>
      </c>
      <c r="G213" s="5927"/>
      <c r="H213" s="819"/>
      <c r="I213" s="820"/>
      <c r="J213" s="5926" t="s">
        <v>334</v>
      </c>
      <c r="K213" s="5927"/>
      <c r="L213" s="819"/>
      <c r="M213" s="820"/>
      <c r="N213" s="5926" t="s">
        <v>334</v>
      </c>
      <c r="O213" s="5927"/>
      <c r="P213" s="819"/>
      <c r="Q213" s="820"/>
      <c r="R213" s="5926" t="s">
        <v>335</v>
      </c>
      <c r="S213" s="821"/>
      <c r="T213" s="819"/>
      <c r="U213" s="820"/>
      <c r="V213" s="822"/>
      <c r="W213" s="821"/>
      <c r="X213" s="823"/>
      <c r="Y213" s="824"/>
      <c r="Z213" s="822"/>
      <c r="AA213" s="821"/>
      <c r="AB213" s="823"/>
      <c r="AC213" s="825"/>
      <c r="AD213" s="539"/>
      <c r="AE213" s="531"/>
      <c r="AF213" s="516"/>
    </row>
    <row r="214" spans="1:32" ht="18" customHeight="1" thickBot="1">
      <c r="A214" s="37"/>
      <c r="B214" s="42"/>
      <c r="C214" s="5"/>
      <c r="F214" s="42"/>
      <c r="G214" s="5"/>
      <c r="J214" s="42"/>
      <c r="K214" s="5"/>
      <c r="N214" s="42"/>
      <c r="O214" s="5"/>
      <c r="R214" s="42"/>
      <c r="S214" s="42"/>
      <c r="W214" s="42"/>
      <c r="AA214" s="42"/>
      <c r="AD214" s="42"/>
    </row>
    <row r="215" spans="1:32" ht="18" customHeight="1" thickBot="1">
      <c r="A215" s="805" t="s">
        <v>615</v>
      </c>
      <c r="B215" s="866">
        <v>1</v>
      </c>
      <c r="C215" s="866">
        <v>2</v>
      </c>
      <c r="D215" s="866">
        <v>3</v>
      </c>
      <c r="E215" s="865">
        <v>4</v>
      </c>
      <c r="F215" s="865">
        <v>5</v>
      </c>
      <c r="G215" s="865">
        <v>6</v>
      </c>
      <c r="H215" s="865">
        <v>7</v>
      </c>
      <c r="I215" s="865">
        <v>8</v>
      </c>
      <c r="J215" s="866">
        <v>9</v>
      </c>
      <c r="K215" s="866">
        <v>10</v>
      </c>
      <c r="L215" s="865">
        <v>11</v>
      </c>
      <c r="M215" s="865">
        <v>12</v>
      </c>
      <c r="N215" s="865">
        <v>13</v>
      </c>
      <c r="O215" s="866">
        <v>14</v>
      </c>
      <c r="P215" s="865">
        <v>15</v>
      </c>
      <c r="Q215" s="866">
        <v>16</v>
      </c>
      <c r="R215" s="866">
        <v>17</v>
      </c>
      <c r="S215" s="865">
        <v>18</v>
      </c>
      <c r="T215" s="865">
        <v>19</v>
      </c>
      <c r="U215" s="865">
        <v>20</v>
      </c>
      <c r="V215" s="865">
        <v>21</v>
      </c>
      <c r="W215" s="865">
        <v>22</v>
      </c>
      <c r="X215" s="866">
        <v>23</v>
      </c>
      <c r="Y215" s="866">
        <v>24</v>
      </c>
      <c r="Z215" s="866">
        <v>25</v>
      </c>
      <c r="AA215" s="865">
        <v>26</v>
      </c>
      <c r="AB215" s="865">
        <v>27</v>
      </c>
      <c r="AC215" s="865">
        <v>28</v>
      </c>
      <c r="AD215" s="865">
        <v>29</v>
      </c>
      <c r="AE215" s="866">
        <v>30</v>
      </c>
      <c r="AF215" s="868">
        <v>31</v>
      </c>
    </row>
    <row r="216" spans="1:32" ht="18" customHeight="1">
      <c r="A216" s="4744" t="s">
        <v>338</v>
      </c>
      <c r="B216" s="5796"/>
      <c r="C216" s="5800"/>
      <c r="D216" s="5800"/>
      <c r="E216" s="5800" t="s">
        <v>40</v>
      </c>
      <c r="F216" s="5795" t="s">
        <v>40</v>
      </c>
      <c r="G216" s="5795" t="s">
        <v>40</v>
      </c>
      <c r="H216" s="5795" t="s">
        <v>40</v>
      </c>
      <c r="I216" s="5795" t="s">
        <v>40</v>
      </c>
      <c r="J216" s="5795"/>
      <c r="K216" s="5795"/>
      <c r="L216" s="5800" t="s">
        <v>40</v>
      </c>
      <c r="M216" s="5795" t="s">
        <v>40</v>
      </c>
      <c r="N216" s="5795" t="s">
        <v>40</v>
      </c>
      <c r="O216" s="5795"/>
      <c r="P216" s="5795" t="s">
        <v>40</v>
      </c>
      <c r="Q216" s="5795"/>
      <c r="R216" s="5795"/>
      <c r="S216" s="5800" t="s">
        <v>40</v>
      </c>
      <c r="T216" s="5795" t="s">
        <v>40</v>
      </c>
      <c r="U216" s="5795" t="s">
        <v>40</v>
      </c>
      <c r="V216" s="5795" t="s">
        <v>40</v>
      </c>
      <c r="W216" s="5795" t="s">
        <v>40</v>
      </c>
      <c r="X216" s="5795"/>
      <c r="Y216" s="5795"/>
      <c r="Z216" s="5800"/>
      <c r="AA216" s="5795" t="s">
        <v>40</v>
      </c>
      <c r="AB216" s="5795" t="s">
        <v>40</v>
      </c>
      <c r="AC216" s="5795" t="s">
        <v>40</v>
      </c>
      <c r="AD216" s="5795" t="s">
        <v>40</v>
      </c>
      <c r="AE216" s="5795"/>
      <c r="AF216" s="5928"/>
    </row>
    <row r="217" spans="1:32" ht="18" customHeight="1">
      <c r="A217" s="5929" t="s">
        <v>339</v>
      </c>
      <c r="B217" s="5930"/>
      <c r="C217" s="5930"/>
      <c r="D217" s="5930"/>
      <c r="E217" s="5930"/>
      <c r="F217" s="5930"/>
      <c r="G217" s="5930"/>
      <c r="H217" s="5930"/>
      <c r="I217" s="5930"/>
      <c r="J217" s="5930"/>
      <c r="K217" s="5930"/>
      <c r="L217" s="5930"/>
      <c r="M217" s="5930"/>
      <c r="N217" s="5930"/>
      <c r="O217" s="5930"/>
      <c r="P217" s="5930"/>
      <c r="Q217" s="5930"/>
      <c r="R217" s="5930"/>
      <c r="S217" s="5930"/>
      <c r="T217" s="5930"/>
      <c r="U217" s="5930"/>
      <c r="V217" s="5930"/>
      <c r="W217" s="5930"/>
      <c r="X217" s="5930"/>
      <c r="Y217" s="5930"/>
      <c r="Z217" s="5930"/>
      <c r="AA217" s="5930"/>
      <c r="AB217" s="5930"/>
      <c r="AC217" s="5930"/>
      <c r="AD217" s="5930"/>
      <c r="AE217" s="5930"/>
      <c r="AF217" s="5931"/>
    </row>
    <row r="218" spans="1:32" ht="18" customHeight="1">
      <c r="A218" s="5932" t="s">
        <v>340</v>
      </c>
      <c r="B218" s="5795"/>
      <c r="C218" s="5795"/>
      <c r="D218" s="5795"/>
      <c r="E218" s="5800" t="s">
        <v>341</v>
      </c>
      <c r="F218" s="5795" t="s">
        <v>341</v>
      </c>
      <c r="G218" s="5795" t="s">
        <v>341</v>
      </c>
      <c r="H218" s="5795" t="s">
        <v>341</v>
      </c>
      <c r="I218" s="5795" t="s">
        <v>341</v>
      </c>
      <c r="J218" s="5795"/>
      <c r="K218" s="5800"/>
      <c r="L218" s="5800" t="s">
        <v>341</v>
      </c>
      <c r="M218" s="5795" t="s">
        <v>341</v>
      </c>
      <c r="N218" s="5795" t="s">
        <v>341</v>
      </c>
      <c r="O218" s="5795"/>
      <c r="P218" s="5795" t="s">
        <v>341</v>
      </c>
      <c r="Q218" s="5795"/>
      <c r="R218" s="5800"/>
      <c r="S218" s="5800" t="s">
        <v>341</v>
      </c>
      <c r="T218" s="5795" t="s">
        <v>341</v>
      </c>
      <c r="U218" s="5795" t="s">
        <v>341</v>
      </c>
      <c r="V218" s="5795" t="s">
        <v>341</v>
      </c>
      <c r="W218" s="5795" t="s">
        <v>341</v>
      </c>
      <c r="X218" s="5795"/>
      <c r="Y218" s="5800"/>
      <c r="Z218" s="5800"/>
      <c r="AA218" s="5795" t="s">
        <v>341</v>
      </c>
      <c r="AB218" s="5795" t="s">
        <v>341</v>
      </c>
      <c r="AC218" s="5795" t="s">
        <v>341</v>
      </c>
      <c r="AD218" s="5795" t="s">
        <v>341</v>
      </c>
      <c r="AE218" s="5795"/>
      <c r="AF218" s="5808"/>
    </row>
    <row r="219" spans="1:32" ht="18" customHeight="1">
      <c r="A219" s="5932" t="s">
        <v>343</v>
      </c>
      <c r="B219" s="5795"/>
      <c r="C219" s="5795"/>
      <c r="D219" s="5795"/>
      <c r="E219" s="5795" t="s">
        <v>342</v>
      </c>
      <c r="F219" s="5795" t="s">
        <v>342</v>
      </c>
      <c r="G219" s="5795" t="s">
        <v>342</v>
      </c>
      <c r="H219" s="5795" t="s">
        <v>342</v>
      </c>
      <c r="I219" s="5795" t="s">
        <v>342</v>
      </c>
      <c r="J219" s="5795"/>
      <c r="K219" s="5795"/>
      <c r="L219" s="5795" t="s">
        <v>342</v>
      </c>
      <c r="M219" s="5795" t="s">
        <v>342</v>
      </c>
      <c r="N219" s="5795" t="s">
        <v>342</v>
      </c>
      <c r="O219" s="5795"/>
      <c r="P219" s="5795" t="s">
        <v>342</v>
      </c>
      <c r="Q219" s="5795"/>
      <c r="R219" s="5795"/>
      <c r="S219" s="5795" t="s">
        <v>342</v>
      </c>
      <c r="T219" s="5795" t="s">
        <v>342</v>
      </c>
      <c r="U219" s="5795" t="s">
        <v>342</v>
      </c>
      <c r="V219" s="5795" t="s">
        <v>342</v>
      </c>
      <c r="W219" s="5795" t="s">
        <v>342</v>
      </c>
      <c r="X219" s="5795"/>
      <c r="Y219" s="5795"/>
      <c r="Z219" s="5795"/>
      <c r="AA219" s="5795" t="s">
        <v>342</v>
      </c>
      <c r="AB219" s="5795" t="s">
        <v>342</v>
      </c>
      <c r="AC219" s="5795" t="s">
        <v>342</v>
      </c>
      <c r="AD219" s="5795" t="s">
        <v>342</v>
      </c>
      <c r="AE219" s="5795"/>
      <c r="AF219" s="5928"/>
    </row>
    <row r="220" spans="1:32" ht="18" customHeight="1">
      <c r="A220" s="5933"/>
      <c r="B220" s="5860"/>
      <c r="C220" s="5860"/>
      <c r="D220" s="5860"/>
      <c r="E220" s="5810" t="s">
        <v>346</v>
      </c>
      <c r="F220" s="5860" t="s">
        <v>346</v>
      </c>
      <c r="G220" s="5860" t="s">
        <v>346</v>
      </c>
      <c r="H220" s="5860" t="s">
        <v>346</v>
      </c>
      <c r="I220" s="5860" t="s">
        <v>346</v>
      </c>
      <c r="J220" s="5860"/>
      <c r="K220" s="5810"/>
      <c r="L220" s="5810" t="s">
        <v>346</v>
      </c>
      <c r="M220" s="5860" t="s">
        <v>346</v>
      </c>
      <c r="N220" s="5860" t="s">
        <v>346</v>
      </c>
      <c r="O220" s="5860"/>
      <c r="P220" s="5860" t="s">
        <v>346</v>
      </c>
      <c r="Q220" s="5860"/>
      <c r="R220" s="5810"/>
      <c r="S220" s="5810" t="s">
        <v>346</v>
      </c>
      <c r="T220" s="5860" t="s">
        <v>346</v>
      </c>
      <c r="U220" s="5860" t="s">
        <v>346</v>
      </c>
      <c r="V220" s="5860" t="s">
        <v>346</v>
      </c>
      <c r="W220" s="5860" t="s">
        <v>346</v>
      </c>
      <c r="X220" s="5860"/>
      <c r="Y220" s="5810"/>
      <c r="Z220" s="5810"/>
      <c r="AA220" s="5860" t="s">
        <v>346</v>
      </c>
      <c r="AB220" s="5860" t="s">
        <v>346</v>
      </c>
      <c r="AC220" s="5860" t="s">
        <v>346</v>
      </c>
      <c r="AD220" s="5860" t="s">
        <v>346</v>
      </c>
      <c r="AE220" s="5860"/>
      <c r="AF220" s="5813"/>
    </row>
    <row r="221" spans="1:32" ht="18" customHeight="1" thickBot="1">
      <c r="B221" s="108"/>
      <c r="C221" s="108"/>
      <c r="D221" s="108"/>
      <c r="E221" s="108"/>
      <c r="F221" s="108"/>
      <c r="G221" s="108"/>
      <c r="H221" s="108"/>
      <c r="I221" s="108"/>
      <c r="J221" s="108"/>
      <c r="K221" s="108"/>
      <c r="L221" s="108"/>
      <c r="M221" s="108"/>
      <c r="N221" s="108"/>
      <c r="O221" s="108"/>
      <c r="P221" s="108"/>
      <c r="Q221" s="108"/>
      <c r="R221" s="108"/>
      <c r="S221" s="108"/>
      <c r="T221" s="108"/>
      <c r="U221" s="108"/>
      <c r="V221" s="108"/>
      <c r="W221" s="108"/>
      <c r="X221" s="108"/>
      <c r="Y221" s="108"/>
      <c r="Z221" s="108"/>
      <c r="AA221" s="108"/>
      <c r="AB221" s="108"/>
      <c r="AC221" s="108"/>
      <c r="AD221" s="108"/>
      <c r="AE221" s="108"/>
    </row>
    <row r="222" spans="1:32" ht="15.75" thickBot="1">
      <c r="A222" s="989" t="s">
        <v>318</v>
      </c>
      <c r="B222" s="866">
        <v>1</v>
      </c>
      <c r="C222" s="866">
        <v>2</v>
      </c>
      <c r="D222" s="866">
        <v>3</v>
      </c>
      <c r="E222" s="865">
        <v>4</v>
      </c>
      <c r="F222" s="865">
        <v>5</v>
      </c>
      <c r="G222" s="865">
        <v>6</v>
      </c>
      <c r="H222" s="865">
        <v>7</v>
      </c>
      <c r="I222" s="865">
        <v>8</v>
      </c>
      <c r="J222" s="866">
        <v>9</v>
      </c>
      <c r="K222" s="866">
        <v>10</v>
      </c>
      <c r="L222" s="865">
        <v>11</v>
      </c>
      <c r="M222" s="865">
        <v>12</v>
      </c>
      <c r="N222" s="865">
        <v>13</v>
      </c>
      <c r="O222" s="866">
        <v>14</v>
      </c>
      <c r="P222" s="865">
        <v>15</v>
      </c>
      <c r="Q222" s="866">
        <v>16</v>
      </c>
      <c r="R222" s="866">
        <v>17</v>
      </c>
      <c r="S222" s="865">
        <v>18</v>
      </c>
      <c r="T222" s="865">
        <v>19</v>
      </c>
      <c r="U222" s="865">
        <v>20</v>
      </c>
      <c r="V222" s="865">
        <v>21</v>
      </c>
      <c r="W222" s="865">
        <v>22</v>
      </c>
      <c r="X222" s="866">
        <v>23</v>
      </c>
      <c r="Y222" s="866">
        <v>24</v>
      </c>
      <c r="Z222" s="866">
        <v>25</v>
      </c>
      <c r="AA222" s="865">
        <v>26</v>
      </c>
      <c r="AB222" s="865">
        <v>27</v>
      </c>
      <c r="AC222" s="865">
        <v>28</v>
      </c>
      <c r="AD222" s="865">
        <v>29</v>
      </c>
      <c r="AE222" s="866">
        <v>30</v>
      </c>
      <c r="AF222" s="868">
        <v>31</v>
      </c>
    </row>
    <row r="223" spans="1:32" ht="12.75">
      <c r="A223" s="5728" t="s">
        <v>312</v>
      </c>
      <c r="B223" s="5934"/>
      <c r="C223" s="5934"/>
      <c r="D223" s="5934"/>
      <c r="E223" s="5934"/>
      <c r="F223" s="5731"/>
      <c r="G223" s="5731"/>
      <c r="H223" s="5731"/>
      <c r="I223" s="5934"/>
      <c r="J223" s="5934"/>
      <c r="K223" s="5934"/>
      <c r="L223" s="5934"/>
      <c r="M223" s="5731"/>
      <c r="N223" s="5731"/>
      <c r="O223" s="5731"/>
      <c r="P223" s="5934"/>
      <c r="Q223" s="5934"/>
      <c r="R223" s="5934"/>
      <c r="S223" s="5934"/>
      <c r="T223" s="5731"/>
      <c r="U223" s="5731"/>
      <c r="V223" s="5731"/>
      <c r="W223" s="5934"/>
      <c r="X223" s="5934"/>
      <c r="Y223" s="5934"/>
      <c r="Z223" s="5934"/>
      <c r="AA223" s="5731"/>
      <c r="AB223" s="5731"/>
      <c r="AC223" s="5731"/>
      <c r="AD223" s="5934"/>
      <c r="AE223" s="5934"/>
      <c r="AF223" s="5935"/>
    </row>
    <row r="224" spans="1:32">
      <c r="A224" s="5733" t="s">
        <v>313</v>
      </c>
      <c r="B224" s="5795"/>
      <c r="C224" s="5795"/>
      <c r="D224" s="5800"/>
      <c r="E224" s="5800" t="s">
        <v>40</v>
      </c>
      <c r="F224" s="5795" t="s">
        <v>40</v>
      </c>
      <c r="G224" s="5795" t="s">
        <v>40</v>
      </c>
      <c r="H224" s="5795" t="s">
        <v>40</v>
      </c>
      <c r="I224" s="5795" t="s">
        <v>40</v>
      </c>
      <c r="J224" s="5795"/>
      <c r="K224" s="5795"/>
      <c r="L224" s="5795" t="s">
        <v>40</v>
      </c>
      <c r="M224" s="5796" t="s">
        <v>40</v>
      </c>
      <c r="N224" s="5796" t="s">
        <v>40</v>
      </c>
      <c r="O224" s="5800"/>
      <c r="P224" s="5800" t="s">
        <v>40</v>
      </c>
      <c r="Q224" s="5795"/>
      <c r="R224" s="5795"/>
      <c r="S224" s="5795" t="s">
        <v>40</v>
      </c>
      <c r="T224" s="5795" t="s">
        <v>40</v>
      </c>
      <c r="U224" s="5795" t="s">
        <v>40</v>
      </c>
      <c r="V224" s="5795" t="s">
        <v>40</v>
      </c>
      <c r="W224" s="5795" t="s">
        <v>40</v>
      </c>
      <c r="X224" s="5795"/>
      <c r="Y224" s="5800"/>
      <c r="Z224" s="5800"/>
      <c r="AA224" s="5795" t="s">
        <v>40</v>
      </c>
      <c r="AB224" s="5795" t="s">
        <v>40</v>
      </c>
      <c r="AC224" s="5795" t="s">
        <v>40</v>
      </c>
      <c r="AD224" s="5795" t="s">
        <v>40</v>
      </c>
      <c r="AE224" s="5795"/>
      <c r="AF224" s="5857"/>
    </row>
    <row r="225" spans="1:32" ht="12.75">
      <c r="A225" s="5737" t="s">
        <v>314</v>
      </c>
      <c r="B225" s="5738"/>
      <c r="C225" s="5738"/>
      <c r="D225" s="5738"/>
      <c r="E225" s="5738"/>
      <c r="F225" s="5739"/>
      <c r="G225" s="5739"/>
      <c r="H225" s="5739"/>
      <c r="I225" s="5738"/>
      <c r="J225" s="5738"/>
      <c r="K225" s="5738"/>
      <c r="L225" s="5738"/>
      <c r="M225" s="5739"/>
      <c r="N225" s="5739"/>
      <c r="O225" s="5739"/>
      <c r="P225" s="5738"/>
      <c r="Q225" s="5738"/>
      <c r="R225" s="5738"/>
      <c r="S225" s="5738"/>
      <c r="T225" s="5739"/>
      <c r="U225" s="5739"/>
      <c r="V225" s="5739"/>
      <c r="W225" s="5738"/>
      <c r="X225" s="5738"/>
      <c r="Y225" s="5738"/>
      <c r="Z225" s="5738"/>
      <c r="AA225" s="5739"/>
      <c r="AB225" s="5739"/>
      <c r="AC225" s="5739"/>
      <c r="AD225" s="5738"/>
      <c r="AE225" s="5738"/>
      <c r="AF225" s="5936"/>
    </row>
    <row r="226" spans="1:32">
      <c r="A226" s="5714" t="s">
        <v>315</v>
      </c>
      <c r="B226" s="5795"/>
      <c r="C226" s="5795"/>
      <c r="D226" s="5800"/>
      <c r="E226" s="5800" t="s">
        <v>40</v>
      </c>
      <c r="F226" s="5795" t="s">
        <v>40</v>
      </c>
      <c r="G226" s="5795" t="s">
        <v>40</v>
      </c>
      <c r="H226" s="5795" t="s">
        <v>40</v>
      </c>
      <c r="I226" s="5795" t="s">
        <v>40</v>
      </c>
      <c r="J226" s="5795"/>
      <c r="K226" s="5795"/>
      <c r="L226" s="5795" t="s">
        <v>40</v>
      </c>
      <c r="M226" s="5796" t="s">
        <v>40</v>
      </c>
      <c r="N226" s="5796" t="s">
        <v>40</v>
      </c>
      <c r="O226" s="5800"/>
      <c r="P226" s="5800" t="s">
        <v>40</v>
      </c>
      <c r="Q226" s="5795"/>
      <c r="R226" s="5795"/>
      <c r="S226" s="5795" t="s">
        <v>40</v>
      </c>
      <c r="T226" s="5795" t="s">
        <v>40</v>
      </c>
      <c r="U226" s="5795" t="s">
        <v>40</v>
      </c>
      <c r="V226" s="5795" t="s">
        <v>40</v>
      </c>
      <c r="W226" s="5795" t="s">
        <v>40</v>
      </c>
      <c r="X226" s="5795"/>
      <c r="Y226" s="5800"/>
      <c r="Z226" s="5800"/>
      <c r="AA226" s="5795" t="s">
        <v>40</v>
      </c>
      <c r="AB226" s="5795" t="s">
        <v>40</v>
      </c>
      <c r="AC226" s="5795" t="s">
        <v>40</v>
      </c>
      <c r="AD226" s="5795" t="s">
        <v>40</v>
      </c>
      <c r="AE226" s="5795"/>
      <c r="AF226" s="5857"/>
    </row>
    <row r="227" spans="1:32">
      <c r="A227" s="5714" t="s">
        <v>316</v>
      </c>
      <c r="B227" s="5795"/>
      <c r="C227" s="5795"/>
      <c r="D227" s="5800"/>
      <c r="E227" s="5800" t="s">
        <v>40</v>
      </c>
      <c r="F227" s="5795" t="s">
        <v>40</v>
      </c>
      <c r="G227" s="5795" t="s">
        <v>40</v>
      </c>
      <c r="H227" s="5795" t="s">
        <v>40</v>
      </c>
      <c r="I227" s="5795" t="s">
        <v>40</v>
      </c>
      <c r="J227" s="5795"/>
      <c r="K227" s="5795"/>
      <c r="L227" s="5795" t="s">
        <v>40</v>
      </c>
      <c r="M227" s="5796" t="s">
        <v>40</v>
      </c>
      <c r="N227" s="5796" t="s">
        <v>40</v>
      </c>
      <c r="O227" s="5800"/>
      <c r="P227" s="5800" t="s">
        <v>40</v>
      </c>
      <c r="Q227" s="5795"/>
      <c r="R227" s="5795"/>
      <c r="S227" s="5795" t="s">
        <v>40</v>
      </c>
      <c r="T227" s="5795" t="s">
        <v>40</v>
      </c>
      <c r="U227" s="5795" t="s">
        <v>40</v>
      </c>
      <c r="V227" s="5795" t="s">
        <v>40</v>
      </c>
      <c r="W227" s="5795" t="s">
        <v>40</v>
      </c>
      <c r="X227" s="5795"/>
      <c r="Y227" s="5800"/>
      <c r="Z227" s="5800"/>
      <c r="AA227" s="5795" t="s">
        <v>40</v>
      </c>
      <c r="AB227" s="5795" t="s">
        <v>40</v>
      </c>
      <c r="AC227" s="5795" t="s">
        <v>40</v>
      </c>
      <c r="AD227" s="5795" t="s">
        <v>40</v>
      </c>
      <c r="AE227" s="5795"/>
      <c r="AF227" s="5857"/>
    </row>
    <row r="228" spans="1:32">
      <c r="A228" s="5714" t="s">
        <v>317</v>
      </c>
      <c r="B228" s="5795"/>
      <c r="C228" s="5795"/>
      <c r="D228" s="5800"/>
      <c r="E228" s="5800" t="s">
        <v>40</v>
      </c>
      <c r="F228" s="5795" t="s">
        <v>40</v>
      </c>
      <c r="G228" s="5795" t="s">
        <v>40</v>
      </c>
      <c r="H228" s="5795" t="s">
        <v>40</v>
      </c>
      <c r="I228" s="5795" t="s">
        <v>40</v>
      </c>
      <c r="J228" s="5795"/>
      <c r="K228" s="5795"/>
      <c r="L228" s="5795" t="s">
        <v>40</v>
      </c>
      <c r="M228" s="5796" t="s">
        <v>40</v>
      </c>
      <c r="N228" s="5796" t="s">
        <v>40</v>
      </c>
      <c r="O228" s="5800"/>
      <c r="P228" s="5800" t="s">
        <v>40</v>
      </c>
      <c r="Q228" s="5795"/>
      <c r="R228" s="5795"/>
      <c r="S228" s="5795" t="s">
        <v>40</v>
      </c>
      <c r="T228" s="5795" t="s">
        <v>40</v>
      </c>
      <c r="U228" s="5795" t="s">
        <v>40</v>
      </c>
      <c r="V228" s="5795" t="s">
        <v>40</v>
      </c>
      <c r="W228" s="5795" t="s">
        <v>40</v>
      </c>
      <c r="X228" s="5795"/>
      <c r="Y228" s="5800"/>
      <c r="Z228" s="5800"/>
      <c r="AA228" s="5795" t="s">
        <v>40</v>
      </c>
      <c r="AB228" s="5795" t="s">
        <v>40</v>
      </c>
      <c r="AC228" s="5795" t="s">
        <v>40</v>
      </c>
      <c r="AD228" s="5795" t="s">
        <v>40</v>
      </c>
      <c r="AE228" s="5795"/>
      <c r="AF228" s="5857"/>
    </row>
    <row r="229" spans="1:32" ht="12.75">
      <c r="A229" s="5737" t="s">
        <v>318</v>
      </c>
      <c r="B229" s="5738"/>
      <c r="C229" s="5738"/>
      <c r="D229" s="5738"/>
      <c r="E229" s="5738"/>
      <c r="F229" s="5739"/>
      <c r="G229" s="5739"/>
      <c r="H229" s="5739"/>
      <c r="I229" s="5738"/>
      <c r="J229" s="5738"/>
      <c r="K229" s="5738"/>
      <c r="L229" s="5738"/>
      <c r="M229" s="5739"/>
      <c r="N229" s="5739"/>
      <c r="O229" s="5739"/>
      <c r="P229" s="5738"/>
      <c r="Q229" s="5738"/>
      <c r="R229" s="5738"/>
      <c r="S229" s="5738"/>
      <c r="T229" s="5739"/>
      <c r="U229" s="5739"/>
      <c r="V229" s="5739"/>
      <c r="W229" s="5738"/>
      <c r="X229" s="5738"/>
      <c r="Y229" s="5738"/>
      <c r="Z229" s="5738"/>
      <c r="AA229" s="5739"/>
      <c r="AB229" s="5739"/>
      <c r="AC229" s="5739"/>
      <c r="AD229" s="5738"/>
      <c r="AE229" s="5738"/>
      <c r="AF229" s="5936"/>
    </row>
    <row r="230" spans="1:32">
      <c r="A230" s="5714" t="s">
        <v>319</v>
      </c>
      <c r="B230" s="5795"/>
      <c r="C230" s="5795"/>
      <c r="D230" s="5800"/>
      <c r="E230" s="5800" t="s">
        <v>40</v>
      </c>
      <c r="F230" s="5795" t="s">
        <v>40</v>
      </c>
      <c r="G230" s="5795" t="s">
        <v>40</v>
      </c>
      <c r="H230" s="5795" t="s">
        <v>40</v>
      </c>
      <c r="I230" s="5795" t="s">
        <v>40</v>
      </c>
      <c r="J230" s="5795"/>
      <c r="K230" s="5795"/>
      <c r="L230" s="5795" t="s">
        <v>40</v>
      </c>
      <c r="M230" s="5796" t="s">
        <v>40</v>
      </c>
      <c r="N230" s="5796" t="s">
        <v>40</v>
      </c>
      <c r="O230" s="5800"/>
      <c r="P230" s="5800" t="s">
        <v>40</v>
      </c>
      <c r="Q230" s="5795"/>
      <c r="R230" s="5795"/>
      <c r="S230" s="5795" t="s">
        <v>40</v>
      </c>
      <c r="T230" s="5795" t="s">
        <v>40</v>
      </c>
      <c r="U230" s="5795" t="s">
        <v>40</v>
      </c>
      <c r="V230" s="5795" t="s">
        <v>40</v>
      </c>
      <c r="W230" s="5795" t="s">
        <v>40</v>
      </c>
      <c r="X230" s="5795"/>
      <c r="Y230" s="5800"/>
      <c r="Z230" s="5800"/>
      <c r="AA230" s="5795" t="s">
        <v>40</v>
      </c>
      <c r="AB230" s="5795" t="s">
        <v>40</v>
      </c>
      <c r="AC230" s="5795" t="s">
        <v>40</v>
      </c>
      <c r="AD230" s="5795" t="s">
        <v>40</v>
      </c>
      <c r="AE230" s="5795"/>
      <c r="AF230" s="5857"/>
    </row>
    <row r="231" spans="1:32">
      <c r="A231" s="5714" t="s">
        <v>320</v>
      </c>
      <c r="B231" s="5795"/>
      <c r="C231" s="5795"/>
      <c r="D231" s="5800"/>
      <c r="E231" s="5800" t="s">
        <v>40</v>
      </c>
      <c r="F231" s="5795" t="s">
        <v>40</v>
      </c>
      <c r="G231" s="5795" t="s">
        <v>40</v>
      </c>
      <c r="H231" s="5795" t="s">
        <v>40</v>
      </c>
      <c r="I231" s="5795" t="s">
        <v>40</v>
      </c>
      <c r="J231" s="5795"/>
      <c r="K231" s="5795"/>
      <c r="L231" s="5795" t="s">
        <v>40</v>
      </c>
      <c r="M231" s="5796" t="s">
        <v>40</v>
      </c>
      <c r="N231" s="5796" t="s">
        <v>40</v>
      </c>
      <c r="O231" s="5800"/>
      <c r="P231" s="5800" t="s">
        <v>40</v>
      </c>
      <c r="Q231" s="5795"/>
      <c r="R231" s="5795"/>
      <c r="S231" s="5795" t="s">
        <v>40</v>
      </c>
      <c r="T231" s="5795" t="s">
        <v>40</v>
      </c>
      <c r="U231" s="5795" t="s">
        <v>40</v>
      </c>
      <c r="V231" s="5795" t="s">
        <v>40</v>
      </c>
      <c r="W231" s="5795" t="s">
        <v>40</v>
      </c>
      <c r="X231" s="5795"/>
      <c r="Y231" s="5800"/>
      <c r="Z231" s="5800"/>
      <c r="AA231" s="5795" t="s">
        <v>40</v>
      </c>
      <c r="AB231" s="5795" t="s">
        <v>40</v>
      </c>
      <c r="AC231" s="5795" t="s">
        <v>40</v>
      </c>
      <c r="AD231" s="5795" t="s">
        <v>40</v>
      </c>
      <c r="AE231" s="5795"/>
      <c r="AF231" s="5857"/>
    </row>
    <row r="232" spans="1:32">
      <c r="A232" s="5714" t="s">
        <v>321</v>
      </c>
      <c r="B232" s="5795"/>
      <c r="C232" s="5795"/>
      <c r="D232" s="5800"/>
      <c r="E232" s="5800" t="s">
        <v>40</v>
      </c>
      <c r="F232" s="5795" t="s">
        <v>40</v>
      </c>
      <c r="G232" s="5795" t="s">
        <v>40</v>
      </c>
      <c r="H232" s="5795" t="s">
        <v>40</v>
      </c>
      <c r="I232" s="5795" t="s">
        <v>40</v>
      </c>
      <c r="J232" s="5795"/>
      <c r="K232" s="5795"/>
      <c r="L232" s="5795" t="s">
        <v>40</v>
      </c>
      <c r="M232" s="5796" t="s">
        <v>40</v>
      </c>
      <c r="N232" s="5796" t="s">
        <v>40</v>
      </c>
      <c r="O232" s="5800"/>
      <c r="P232" s="5800" t="s">
        <v>40</v>
      </c>
      <c r="Q232" s="5795"/>
      <c r="R232" s="5795"/>
      <c r="S232" s="5795" t="s">
        <v>40</v>
      </c>
      <c r="T232" s="5795" t="s">
        <v>40</v>
      </c>
      <c r="U232" s="5795" t="s">
        <v>40</v>
      </c>
      <c r="V232" s="5795" t="s">
        <v>40</v>
      </c>
      <c r="W232" s="5795" t="s">
        <v>40</v>
      </c>
      <c r="X232" s="5795"/>
      <c r="Y232" s="5800"/>
      <c r="Z232" s="5800"/>
      <c r="AA232" s="5795" t="s">
        <v>40</v>
      </c>
      <c r="AB232" s="5795" t="s">
        <v>40</v>
      </c>
      <c r="AC232" s="5795" t="s">
        <v>40</v>
      </c>
      <c r="AD232" s="5795" t="s">
        <v>40</v>
      </c>
      <c r="AE232" s="5795"/>
      <c r="AF232" s="5857"/>
    </row>
    <row r="233" spans="1:32">
      <c r="A233" s="5714" t="s">
        <v>322</v>
      </c>
      <c r="B233" s="5795"/>
      <c r="C233" s="5795"/>
      <c r="D233" s="5800"/>
      <c r="E233" s="5800" t="s">
        <v>40</v>
      </c>
      <c r="F233" s="5795" t="s">
        <v>40</v>
      </c>
      <c r="G233" s="5795" t="s">
        <v>40</v>
      </c>
      <c r="H233" s="5795" t="s">
        <v>40</v>
      </c>
      <c r="I233" s="5795" t="s">
        <v>40</v>
      </c>
      <c r="J233" s="5795"/>
      <c r="K233" s="5795"/>
      <c r="L233" s="5795" t="s">
        <v>40</v>
      </c>
      <c r="M233" s="5796" t="s">
        <v>40</v>
      </c>
      <c r="N233" s="5796" t="s">
        <v>40</v>
      </c>
      <c r="O233" s="5800"/>
      <c r="P233" s="5800" t="s">
        <v>40</v>
      </c>
      <c r="Q233" s="5795"/>
      <c r="R233" s="5795"/>
      <c r="S233" s="5795" t="s">
        <v>40</v>
      </c>
      <c r="T233" s="5795" t="s">
        <v>40</v>
      </c>
      <c r="U233" s="5795" t="s">
        <v>40</v>
      </c>
      <c r="V233" s="5795" t="s">
        <v>40</v>
      </c>
      <c r="W233" s="5795" t="s">
        <v>40</v>
      </c>
      <c r="X233" s="5795"/>
      <c r="Y233" s="5800"/>
      <c r="Z233" s="5800"/>
      <c r="AA233" s="5795" t="s">
        <v>40</v>
      </c>
      <c r="AB233" s="5795" t="s">
        <v>40</v>
      </c>
      <c r="AC233" s="5795" t="s">
        <v>40</v>
      </c>
      <c r="AD233" s="5795" t="s">
        <v>40</v>
      </c>
      <c r="AE233" s="5795"/>
      <c r="AF233" s="5857"/>
    </row>
    <row r="234" spans="1:32">
      <c r="A234" s="5714" t="s">
        <v>323</v>
      </c>
      <c r="B234" s="5795"/>
      <c r="C234" s="5795"/>
      <c r="D234" s="5800"/>
      <c r="E234" s="5800" t="s">
        <v>40</v>
      </c>
      <c r="F234" s="5795" t="s">
        <v>40</v>
      </c>
      <c r="G234" s="5795" t="s">
        <v>40</v>
      </c>
      <c r="H234" s="5795" t="s">
        <v>40</v>
      </c>
      <c r="I234" s="5795" t="s">
        <v>40</v>
      </c>
      <c r="J234" s="5795"/>
      <c r="K234" s="5795"/>
      <c r="L234" s="5795" t="s">
        <v>40</v>
      </c>
      <c r="M234" s="5796" t="s">
        <v>40</v>
      </c>
      <c r="N234" s="5796" t="s">
        <v>40</v>
      </c>
      <c r="O234" s="5800"/>
      <c r="P234" s="5800" t="s">
        <v>40</v>
      </c>
      <c r="Q234" s="5795"/>
      <c r="R234" s="5795"/>
      <c r="S234" s="5795" t="s">
        <v>40</v>
      </c>
      <c r="T234" s="5795" t="s">
        <v>40</v>
      </c>
      <c r="U234" s="5795" t="s">
        <v>40</v>
      </c>
      <c r="V234" s="5795" t="s">
        <v>40</v>
      </c>
      <c r="W234" s="5795" t="s">
        <v>40</v>
      </c>
      <c r="X234" s="5795"/>
      <c r="Y234" s="5800"/>
      <c r="Z234" s="5800"/>
      <c r="AA234" s="5795" t="s">
        <v>40</v>
      </c>
      <c r="AB234" s="5795" t="s">
        <v>40</v>
      </c>
      <c r="AC234" s="5795" t="s">
        <v>40</v>
      </c>
      <c r="AD234" s="5795" t="s">
        <v>40</v>
      </c>
      <c r="AE234" s="5795"/>
      <c r="AF234" s="5857"/>
    </row>
    <row r="235" spans="1:32">
      <c r="A235" s="5714" t="s">
        <v>324</v>
      </c>
      <c r="B235" s="5795"/>
      <c r="C235" s="5795"/>
      <c r="D235" s="5800"/>
      <c r="E235" s="5800" t="s">
        <v>40</v>
      </c>
      <c r="F235" s="5795" t="s">
        <v>40</v>
      </c>
      <c r="G235" s="5795" t="s">
        <v>40</v>
      </c>
      <c r="H235" s="5795" t="s">
        <v>40</v>
      </c>
      <c r="I235" s="5795" t="s">
        <v>40</v>
      </c>
      <c r="J235" s="5795"/>
      <c r="K235" s="5795"/>
      <c r="L235" s="5795" t="s">
        <v>40</v>
      </c>
      <c r="M235" s="5796" t="s">
        <v>40</v>
      </c>
      <c r="N235" s="5796" t="s">
        <v>40</v>
      </c>
      <c r="O235" s="5800"/>
      <c r="P235" s="5800" t="s">
        <v>40</v>
      </c>
      <c r="Q235" s="5795"/>
      <c r="R235" s="5795"/>
      <c r="S235" s="5795" t="s">
        <v>40</v>
      </c>
      <c r="T235" s="5795" t="s">
        <v>40</v>
      </c>
      <c r="U235" s="5795" t="s">
        <v>40</v>
      </c>
      <c r="V235" s="5795" t="s">
        <v>40</v>
      </c>
      <c r="W235" s="5795" t="s">
        <v>40</v>
      </c>
      <c r="X235" s="5795"/>
      <c r="Y235" s="5800"/>
      <c r="Z235" s="5800"/>
      <c r="AA235" s="5795" t="s">
        <v>40</v>
      </c>
      <c r="AB235" s="5795" t="s">
        <v>40</v>
      </c>
      <c r="AC235" s="5795" t="s">
        <v>40</v>
      </c>
      <c r="AD235" s="5795" t="s">
        <v>40</v>
      </c>
      <c r="AE235" s="5795"/>
      <c r="AF235" s="5857"/>
    </row>
    <row r="236" spans="1:32">
      <c r="A236" s="5714" t="s">
        <v>326</v>
      </c>
      <c r="B236" s="5795"/>
      <c r="C236" s="5795"/>
      <c r="D236" s="5800"/>
      <c r="E236" s="5800" t="s">
        <v>40</v>
      </c>
      <c r="F236" s="5795" t="s">
        <v>40</v>
      </c>
      <c r="G236" s="5795" t="s">
        <v>40</v>
      </c>
      <c r="H236" s="5795" t="s">
        <v>40</v>
      </c>
      <c r="I236" s="5795" t="s">
        <v>40</v>
      </c>
      <c r="J236" s="5795"/>
      <c r="K236" s="5795"/>
      <c r="L236" s="5795" t="s">
        <v>40</v>
      </c>
      <c r="M236" s="5796" t="s">
        <v>40</v>
      </c>
      <c r="N236" s="5796" t="s">
        <v>40</v>
      </c>
      <c r="O236" s="5800"/>
      <c r="P236" s="5800" t="s">
        <v>40</v>
      </c>
      <c r="Q236" s="5795"/>
      <c r="R236" s="5795"/>
      <c r="S236" s="5795" t="s">
        <v>40</v>
      </c>
      <c r="T236" s="5795" t="s">
        <v>40</v>
      </c>
      <c r="U236" s="5795" t="s">
        <v>40</v>
      </c>
      <c r="V236" s="5795" t="s">
        <v>40</v>
      </c>
      <c r="W236" s="5795" t="s">
        <v>40</v>
      </c>
      <c r="X236" s="5795"/>
      <c r="Y236" s="5800"/>
      <c r="Z236" s="5800"/>
      <c r="AA236" s="5795" t="s">
        <v>40</v>
      </c>
      <c r="AB236" s="5795" t="s">
        <v>40</v>
      </c>
      <c r="AC236" s="5795" t="s">
        <v>40</v>
      </c>
      <c r="AD236" s="5795" t="s">
        <v>40</v>
      </c>
      <c r="AE236" s="5795"/>
      <c r="AF236" s="5857"/>
    </row>
    <row r="237" spans="1:32" ht="12.75">
      <c r="A237" s="5737" t="s">
        <v>327</v>
      </c>
      <c r="B237" s="5738"/>
      <c r="C237" s="5738"/>
      <c r="D237" s="5738"/>
      <c r="E237" s="5738"/>
      <c r="F237" s="5739"/>
      <c r="G237" s="5739"/>
      <c r="H237" s="5739"/>
      <c r="I237" s="5738"/>
      <c r="J237" s="5738"/>
      <c r="K237" s="5738"/>
      <c r="L237" s="5738"/>
      <c r="M237" s="5739"/>
      <c r="N237" s="5739"/>
      <c r="O237" s="5739"/>
      <c r="P237" s="5738"/>
      <c r="Q237" s="5738"/>
      <c r="R237" s="5738"/>
      <c r="S237" s="5738"/>
      <c r="T237" s="5739"/>
      <c r="U237" s="5739"/>
      <c r="V237" s="5739"/>
      <c r="W237" s="5738"/>
      <c r="X237" s="5738"/>
      <c r="Y237" s="5738"/>
      <c r="Z237" s="5738"/>
      <c r="AA237" s="5739"/>
      <c r="AB237" s="5739"/>
      <c r="AC237" s="5739"/>
      <c r="AD237" s="5738"/>
      <c r="AE237" s="5738"/>
      <c r="AF237" s="5936"/>
    </row>
    <row r="238" spans="1:32">
      <c r="A238" s="5714" t="s">
        <v>328</v>
      </c>
      <c r="B238" s="5795"/>
      <c r="C238" s="5795"/>
      <c r="D238" s="5800"/>
      <c r="E238" s="5800" t="s">
        <v>40</v>
      </c>
      <c r="F238" s="5795" t="s">
        <v>40</v>
      </c>
      <c r="G238" s="5795" t="s">
        <v>40</v>
      </c>
      <c r="H238" s="5795" t="s">
        <v>40</v>
      </c>
      <c r="I238" s="5795" t="s">
        <v>40</v>
      </c>
      <c r="J238" s="5795"/>
      <c r="K238" s="5795"/>
      <c r="L238" s="5795" t="s">
        <v>40</v>
      </c>
      <c r="M238" s="5796" t="s">
        <v>40</v>
      </c>
      <c r="N238" s="5796" t="s">
        <v>40</v>
      </c>
      <c r="O238" s="5800"/>
      <c r="P238" s="5800" t="s">
        <v>40</v>
      </c>
      <c r="Q238" s="5795"/>
      <c r="R238" s="5795"/>
      <c r="S238" s="5795" t="s">
        <v>40</v>
      </c>
      <c r="T238" s="5795" t="s">
        <v>40</v>
      </c>
      <c r="U238" s="5795" t="s">
        <v>40</v>
      </c>
      <c r="V238" s="5795" t="s">
        <v>40</v>
      </c>
      <c r="W238" s="5795" t="s">
        <v>40</v>
      </c>
      <c r="X238" s="5795"/>
      <c r="Y238" s="5800"/>
      <c r="Z238" s="5800"/>
      <c r="AA238" s="5795" t="s">
        <v>40</v>
      </c>
      <c r="AB238" s="5795" t="s">
        <v>40</v>
      </c>
      <c r="AC238" s="5795" t="s">
        <v>40</v>
      </c>
      <c r="AD238" s="5795" t="s">
        <v>40</v>
      </c>
      <c r="AE238" s="5795"/>
      <c r="AF238" s="5857"/>
    </row>
    <row r="239" spans="1:32" ht="12.75" thickBot="1">
      <c r="A239" s="965" t="s">
        <v>329</v>
      </c>
      <c r="B239" s="5860"/>
      <c r="C239" s="5860"/>
      <c r="D239" s="5810"/>
      <c r="E239" s="5810" t="s">
        <v>40</v>
      </c>
      <c r="F239" s="5860" t="s">
        <v>40</v>
      </c>
      <c r="G239" s="5860" t="s">
        <v>40</v>
      </c>
      <c r="H239" s="5860" t="s">
        <v>40</v>
      </c>
      <c r="I239" s="5860" t="s">
        <v>40</v>
      </c>
      <c r="J239" s="5860"/>
      <c r="K239" s="5860"/>
      <c r="L239" s="5860" t="s">
        <v>40</v>
      </c>
      <c r="M239" s="5812" t="s">
        <v>40</v>
      </c>
      <c r="N239" s="5812" t="s">
        <v>40</v>
      </c>
      <c r="O239" s="5810"/>
      <c r="P239" s="5810" t="s">
        <v>40</v>
      </c>
      <c r="Q239" s="5860"/>
      <c r="R239" s="5860"/>
      <c r="S239" s="5860" t="s">
        <v>40</v>
      </c>
      <c r="T239" s="5860" t="s">
        <v>40</v>
      </c>
      <c r="U239" s="5860" t="s">
        <v>40</v>
      </c>
      <c r="V239" s="5860" t="s">
        <v>40</v>
      </c>
      <c r="W239" s="5860" t="s">
        <v>40</v>
      </c>
      <c r="X239" s="5860"/>
      <c r="Y239" s="5810"/>
      <c r="Z239" s="5810"/>
      <c r="AA239" s="5860" t="s">
        <v>40</v>
      </c>
      <c r="AB239" s="5860" t="s">
        <v>40</v>
      </c>
      <c r="AC239" s="5860" t="s">
        <v>40</v>
      </c>
      <c r="AD239" s="5860" t="s">
        <v>40</v>
      </c>
      <c r="AE239" s="5860"/>
      <c r="AF239" s="5881"/>
    </row>
  </sheetData>
  <sheetProtection algorithmName="SHA-512" hashValue="aDArEN1PmHdP57BG3nxzkmqiWO+OpEPOiMuNEkUoOg0Jk1Sr4fKFo0a51WJCom/9ZA1gg7aN/eV9ghqwQ1zwhw==" saltValue="9H6fwhv1RzIqXSzoGzXGSA==" spinCount="100000" sheet="1" objects="1" scenarios="1"/>
  <protectedRanges>
    <protectedRange algorithmName="SHA-512" hashValue="Q5LeWj4todAnf+r/WsjvqcEdbiVuqEUf7g8iRgWLe9Cwh9uBEh3MFELZfjgcQSaYyPlSyJMfqoxQF22eirT6zA==" saltValue="Tzokoji+zbBMfr+o4sqwAw==" spinCount="100000" sqref="B22:AF22" name="Område1"/>
  </protectedRanges>
  <mergeCells count="6">
    <mergeCell ref="AC2:AE2"/>
    <mergeCell ref="E2:F2"/>
    <mergeCell ref="G2:I2"/>
    <mergeCell ref="R2:T2"/>
    <mergeCell ref="U2:V2"/>
    <mergeCell ref="W2:X2"/>
  </mergeCells>
  <pageMargins left="0.7" right="0.7" top="0.75" bottom="0.75" header="0.3" footer="0.3"/>
  <pageSetup paperSize="9" scale="10" orientation="landscape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BBB95-A852-4609-A165-E91F6F511C1A}">
  <sheetPr codeName="Ark46">
    <pageSetUpPr fitToPage="1"/>
  </sheetPr>
  <dimension ref="A1:AG228"/>
  <sheetViews>
    <sheetView zoomScale="115" zoomScaleNormal="115" workbookViewId="0">
      <pane ySplit="1" topLeftCell="A2" activePane="bottomLeft" state="frozen"/>
      <selection pane="bottomLeft" activeCell="B165" sqref="B165:E165"/>
    </sheetView>
  </sheetViews>
  <sheetFormatPr defaultRowHeight="12"/>
  <cols>
    <col min="1" max="1" width="31.28515625" customWidth="1"/>
    <col min="2" max="31" width="4.5703125" customWidth="1"/>
    <col min="32" max="32" width="4.28515625" customWidth="1"/>
  </cols>
  <sheetData>
    <row r="1" spans="1:31" ht="15">
      <c r="A1" s="4126" t="s">
        <v>698</v>
      </c>
      <c r="B1" s="2985">
        <v>1</v>
      </c>
      <c r="C1" s="2985">
        <v>2</v>
      </c>
      <c r="D1" s="2985">
        <v>3</v>
      </c>
      <c r="E1" s="2985">
        <v>4</v>
      </c>
      <c r="F1" s="2985">
        <v>5</v>
      </c>
      <c r="G1" s="2986">
        <v>6</v>
      </c>
      <c r="H1" s="2986">
        <v>7</v>
      </c>
      <c r="I1" s="2985">
        <v>8</v>
      </c>
      <c r="J1" s="2985">
        <v>9</v>
      </c>
      <c r="K1" s="2985">
        <v>10</v>
      </c>
      <c r="L1" s="2985">
        <v>11</v>
      </c>
      <c r="M1" s="2985">
        <v>12</v>
      </c>
      <c r="N1" s="2986">
        <v>13</v>
      </c>
      <c r="O1" s="2986">
        <v>14</v>
      </c>
      <c r="P1" s="2985">
        <v>15</v>
      </c>
      <c r="Q1" s="2985">
        <v>16</v>
      </c>
      <c r="R1" s="2985">
        <v>17</v>
      </c>
      <c r="S1" s="2985">
        <v>18</v>
      </c>
      <c r="T1" s="2985">
        <v>19</v>
      </c>
      <c r="U1" s="2986">
        <v>20</v>
      </c>
      <c r="V1" s="2986">
        <v>21</v>
      </c>
      <c r="W1" s="2985">
        <v>22</v>
      </c>
      <c r="X1" s="2985">
        <v>23</v>
      </c>
      <c r="Y1" s="2985">
        <v>24</v>
      </c>
      <c r="Z1" s="2985">
        <v>25</v>
      </c>
      <c r="AA1" s="2985">
        <v>26</v>
      </c>
      <c r="AB1" s="2986">
        <v>27</v>
      </c>
      <c r="AC1" s="2986">
        <v>28</v>
      </c>
      <c r="AD1" s="2985">
        <v>29</v>
      </c>
      <c r="AE1" s="2985">
        <v>30</v>
      </c>
    </row>
    <row r="2" spans="1:31" ht="18" customHeight="1">
      <c r="A2" s="1" t="s">
        <v>1</v>
      </c>
      <c r="B2" s="919" t="s">
        <v>2</v>
      </c>
      <c r="C2" s="966"/>
      <c r="D2" s="967"/>
      <c r="E2" s="5115" t="s">
        <v>3</v>
      </c>
      <c r="F2" s="5116"/>
      <c r="G2" s="1672" t="s">
        <v>579</v>
      </c>
      <c r="H2" s="1672"/>
      <c r="I2" s="1672"/>
      <c r="J2" s="968" t="s">
        <v>5</v>
      </c>
      <c r="K2" s="969" t="s">
        <v>580</v>
      </c>
      <c r="L2" s="970"/>
      <c r="M2" s="971"/>
      <c r="N2" s="972" t="s">
        <v>7</v>
      </c>
      <c r="O2" s="973"/>
      <c r="P2" s="974" t="s">
        <v>8</v>
      </c>
      <c r="Q2" s="975"/>
      <c r="R2" s="5118" t="s">
        <v>9</v>
      </c>
      <c r="S2" s="5118"/>
      <c r="T2" s="5118"/>
      <c r="U2" s="5119" t="s">
        <v>11</v>
      </c>
      <c r="V2" s="5119"/>
      <c r="W2" s="5120" t="s">
        <v>12</v>
      </c>
      <c r="X2" s="5120"/>
      <c r="Y2" s="976" t="s">
        <v>581</v>
      </c>
      <c r="Z2" s="977"/>
      <c r="AA2" s="978" t="s">
        <v>15</v>
      </c>
      <c r="AB2" s="979"/>
      <c r="AC2" s="5749" t="s">
        <v>582</v>
      </c>
      <c r="AD2" s="5749"/>
      <c r="AE2" s="5749"/>
    </row>
    <row r="3" spans="1:31" ht="18" customHeight="1">
      <c r="A3" s="22"/>
      <c r="B3" s="4"/>
      <c r="G3" s="4"/>
      <c r="J3" s="46"/>
      <c r="L3" s="46"/>
      <c r="M3" s="46"/>
      <c r="S3" s="46"/>
      <c r="T3" s="4"/>
      <c r="X3" s="4"/>
    </row>
    <row r="4" spans="1:31" ht="18" customHeight="1">
      <c r="A4" s="96" t="s">
        <v>18</v>
      </c>
      <c r="B4" s="5937"/>
      <c r="C4" s="5938" t="s">
        <v>19</v>
      </c>
      <c r="D4" s="5937"/>
      <c r="E4" s="5937"/>
      <c r="F4" s="5938" t="s">
        <v>20</v>
      </c>
      <c r="G4" s="5937"/>
      <c r="H4" s="5937"/>
      <c r="I4" s="5938" t="s">
        <v>21</v>
      </c>
      <c r="J4" s="5937"/>
      <c r="K4" s="5937"/>
      <c r="L4" s="5938" t="s">
        <v>22</v>
      </c>
      <c r="M4" s="5937"/>
      <c r="N4" s="5937"/>
      <c r="O4" s="5938" t="s">
        <v>23</v>
      </c>
      <c r="P4" s="5937"/>
      <c r="Q4" s="5937"/>
      <c r="R4" s="5938" t="s">
        <v>24</v>
      </c>
      <c r="S4" s="5939"/>
      <c r="T4" s="5939"/>
      <c r="U4" s="5940" t="s">
        <v>25</v>
      </c>
      <c r="V4" s="5939"/>
    </row>
    <row r="5" spans="1:31" ht="18" customHeight="1">
      <c r="A5" s="5753" t="s">
        <v>26</v>
      </c>
      <c r="B5" s="5754" t="s">
        <v>27</v>
      </c>
      <c r="C5" s="5755"/>
      <c r="D5" s="5756"/>
      <c r="E5" s="5754" t="s">
        <v>27</v>
      </c>
      <c r="F5" s="5757"/>
      <c r="G5" s="5757"/>
      <c r="H5" s="5754" t="s">
        <v>27</v>
      </c>
      <c r="I5" s="5757"/>
      <c r="J5" s="5756"/>
      <c r="K5" s="5754" t="s">
        <v>27</v>
      </c>
      <c r="L5" s="5757"/>
      <c r="M5" s="5756"/>
      <c r="N5" s="5754" t="s">
        <v>28</v>
      </c>
      <c r="O5" s="5757"/>
      <c r="P5" s="5756"/>
      <c r="Q5" s="5757"/>
      <c r="R5" s="5757"/>
      <c r="S5" s="5757"/>
      <c r="T5" s="5753"/>
      <c r="U5" s="5757"/>
      <c r="V5" s="5756"/>
      <c r="W5" s="5757"/>
      <c r="X5" s="5757"/>
      <c r="Y5" s="5757"/>
      <c r="Z5" s="5757"/>
      <c r="AA5" s="5758"/>
      <c r="AB5" s="5756"/>
    </row>
    <row r="6" spans="1:31" ht="18" customHeight="1">
      <c r="A6" s="5753" t="s">
        <v>29</v>
      </c>
      <c r="B6" s="5759" t="s">
        <v>30</v>
      </c>
      <c r="C6" s="5760"/>
      <c r="D6" s="5761"/>
      <c r="E6" s="5759" t="s">
        <v>30</v>
      </c>
      <c r="F6" s="5760"/>
      <c r="G6" s="5760"/>
      <c r="H6" s="5759" t="s">
        <v>30</v>
      </c>
      <c r="I6" s="5760"/>
      <c r="J6" s="5761"/>
      <c r="K6" s="5759" t="s">
        <v>30</v>
      </c>
      <c r="L6" s="5760"/>
      <c r="M6" s="5760"/>
      <c r="N6" s="5759" t="s">
        <v>30</v>
      </c>
      <c r="O6" s="5760"/>
      <c r="P6" s="5761"/>
      <c r="Q6" s="5941" t="s">
        <v>31</v>
      </c>
      <c r="R6" s="5942"/>
      <c r="S6" s="5942"/>
      <c r="T6" s="5762" t="s">
        <v>31</v>
      </c>
      <c r="U6" s="5942"/>
      <c r="V6" s="5943"/>
      <c r="W6" s="5757"/>
      <c r="X6" s="5757"/>
      <c r="Y6" s="5757"/>
      <c r="Z6" s="5757"/>
      <c r="AA6" s="5764"/>
      <c r="AB6" s="5756"/>
    </row>
    <row r="7" spans="1:31" ht="18" customHeight="1">
      <c r="A7" s="5753" t="s">
        <v>32</v>
      </c>
      <c r="B7" s="5754" t="s">
        <v>33</v>
      </c>
      <c r="C7" s="5760"/>
      <c r="D7" s="5761"/>
      <c r="E7" s="5754" t="s">
        <v>33</v>
      </c>
      <c r="F7" s="5757"/>
      <c r="G7" s="5757"/>
      <c r="H7" s="5754" t="s">
        <v>33</v>
      </c>
      <c r="I7" s="5757"/>
      <c r="J7" s="5756"/>
      <c r="K7" s="5754" t="s">
        <v>33</v>
      </c>
      <c r="L7" s="5757"/>
      <c r="M7" s="5756"/>
      <c r="N7" s="5754" t="s">
        <v>33</v>
      </c>
      <c r="O7" s="5757"/>
      <c r="P7" s="5756"/>
      <c r="Q7" s="5765" t="s">
        <v>34</v>
      </c>
      <c r="R7" s="5757"/>
      <c r="S7" s="5757"/>
      <c r="T7" s="5754" t="s">
        <v>35</v>
      </c>
      <c r="U7" s="5757"/>
      <c r="V7" s="5756"/>
      <c r="W7" s="5757"/>
      <c r="X7" s="5757"/>
      <c r="Y7" s="5757"/>
      <c r="Z7" s="5757"/>
      <c r="AA7" s="5764"/>
      <c r="AB7" s="5756"/>
    </row>
    <row r="8" spans="1:31" ht="18" customHeight="1"/>
    <row r="9" spans="1:31" ht="18" customHeight="1">
      <c r="A9" s="869" t="s">
        <v>617</v>
      </c>
      <c r="B9" s="865">
        <v>1</v>
      </c>
      <c r="C9" s="865">
        <v>2</v>
      </c>
      <c r="D9" s="865">
        <v>3</v>
      </c>
      <c r="E9" s="865">
        <v>4</v>
      </c>
      <c r="F9" s="865">
        <v>5</v>
      </c>
      <c r="G9" s="866">
        <v>6</v>
      </c>
      <c r="H9" s="866">
        <v>7</v>
      </c>
      <c r="I9" s="865">
        <v>8</v>
      </c>
      <c r="J9" s="865">
        <v>9</v>
      </c>
      <c r="K9" s="865">
        <v>10</v>
      </c>
      <c r="L9" s="865">
        <v>11</v>
      </c>
      <c r="M9" s="865">
        <v>12</v>
      </c>
      <c r="N9" s="866">
        <v>13</v>
      </c>
      <c r="O9" s="866">
        <v>14</v>
      </c>
      <c r="P9" s="865">
        <v>15</v>
      </c>
      <c r="Q9" s="865">
        <v>16</v>
      </c>
      <c r="R9" s="865">
        <v>17</v>
      </c>
      <c r="S9" s="865">
        <v>18</v>
      </c>
      <c r="T9" s="865">
        <v>19</v>
      </c>
      <c r="U9" s="866">
        <v>20</v>
      </c>
      <c r="V9" s="866">
        <v>21</v>
      </c>
      <c r="W9" s="865">
        <v>22</v>
      </c>
      <c r="X9" s="865">
        <v>23</v>
      </c>
      <c r="Y9" s="865">
        <v>24</v>
      </c>
      <c r="Z9" s="865">
        <v>25</v>
      </c>
      <c r="AA9" s="865">
        <v>26</v>
      </c>
      <c r="AB9" s="866">
        <v>27</v>
      </c>
      <c r="AC9" s="866">
        <v>28</v>
      </c>
      <c r="AD9" s="865">
        <v>29</v>
      </c>
      <c r="AE9" s="867">
        <v>30</v>
      </c>
    </row>
    <row r="10" spans="1:31" ht="18" customHeight="1">
      <c r="A10" s="4785" t="s">
        <v>39</v>
      </c>
      <c r="B10" s="2990" t="s">
        <v>40</v>
      </c>
      <c r="C10" s="2990" t="s">
        <v>40</v>
      </c>
      <c r="D10" s="2990" t="s">
        <v>40</v>
      </c>
      <c r="E10" s="2990" t="s">
        <v>40</v>
      </c>
      <c r="F10" s="2990" t="s">
        <v>40</v>
      </c>
      <c r="G10" s="2990"/>
      <c r="H10" s="2990"/>
      <c r="I10" s="2990" t="s">
        <v>40</v>
      </c>
      <c r="J10" s="2990" t="s">
        <v>40</v>
      </c>
      <c r="K10" s="2990" t="s">
        <v>40</v>
      </c>
      <c r="L10" s="2848" t="s">
        <v>40</v>
      </c>
      <c r="M10" s="2989" t="s">
        <v>40</v>
      </c>
      <c r="N10" s="2990"/>
      <c r="O10" s="2990"/>
      <c r="P10" s="2990" t="s">
        <v>40</v>
      </c>
      <c r="Q10" s="2990" t="s">
        <v>40</v>
      </c>
      <c r="R10" s="2990" t="s">
        <v>40</v>
      </c>
      <c r="S10" s="2848" t="s">
        <v>40</v>
      </c>
      <c r="T10" s="2989" t="s">
        <v>40</v>
      </c>
      <c r="U10" s="2990"/>
      <c r="V10" s="2990"/>
      <c r="W10" s="2990" t="s">
        <v>40</v>
      </c>
      <c r="X10" s="2990" t="s">
        <v>40</v>
      </c>
      <c r="Y10" s="2990" t="s">
        <v>40</v>
      </c>
      <c r="Z10" s="2848" t="s">
        <v>40</v>
      </c>
      <c r="AA10" s="2989" t="s">
        <v>40</v>
      </c>
      <c r="AB10" s="2990"/>
      <c r="AC10" s="2990"/>
      <c r="AD10" s="2990" t="s">
        <v>40</v>
      </c>
      <c r="AE10" s="5285" t="s">
        <v>40</v>
      </c>
    </row>
    <row r="11" spans="1:31" ht="18" customHeight="1">
      <c r="A11" s="5932" t="s">
        <v>41</v>
      </c>
      <c r="B11" s="5797" t="s">
        <v>40</v>
      </c>
      <c r="C11" s="5797" t="s">
        <v>40</v>
      </c>
      <c r="D11" s="5797" t="s">
        <v>40</v>
      </c>
      <c r="E11" s="5944" t="s">
        <v>40</v>
      </c>
      <c r="F11" s="5800" t="s">
        <v>40</v>
      </c>
      <c r="G11" s="5797"/>
      <c r="H11" s="5797"/>
      <c r="I11" s="5797" t="s">
        <v>40</v>
      </c>
      <c r="J11" s="5797" t="s">
        <v>40</v>
      </c>
      <c r="K11" s="5797" t="s">
        <v>40</v>
      </c>
      <c r="L11" s="5944" t="s">
        <v>40</v>
      </c>
      <c r="M11" s="5800" t="s">
        <v>40</v>
      </c>
      <c r="N11" s="5797"/>
      <c r="O11" s="5797"/>
      <c r="P11" s="5797" t="s">
        <v>40</v>
      </c>
      <c r="Q11" s="5797" t="s">
        <v>40</v>
      </c>
      <c r="R11" s="5797" t="s">
        <v>40</v>
      </c>
      <c r="S11" s="5944" t="s">
        <v>40</v>
      </c>
      <c r="T11" s="5800" t="s">
        <v>40</v>
      </c>
      <c r="U11" s="5797"/>
      <c r="V11" s="5797"/>
      <c r="W11" s="5797" t="s">
        <v>40</v>
      </c>
      <c r="X11" s="5797" t="s">
        <v>40</v>
      </c>
      <c r="Y11" s="5797" t="s">
        <v>40</v>
      </c>
      <c r="Z11" s="5944" t="s">
        <v>40</v>
      </c>
      <c r="AA11" s="5800" t="s">
        <v>40</v>
      </c>
      <c r="AB11" s="5797"/>
      <c r="AC11" s="5797"/>
      <c r="AD11" s="5797" t="s">
        <v>40</v>
      </c>
      <c r="AE11" s="5853" t="s">
        <v>40</v>
      </c>
    </row>
    <row r="12" spans="1:31" ht="18" customHeight="1">
      <c r="A12" s="5945"/>
      <c r="B12" s="5792" t="s">
        <v>40</v>
      </c>
      <c r="C12" s="5792" t="s">
        <v>40</v>
      </c>
      <c r="D12" s="5792" t="s">
        <v>40</v>
      </c>
      <c r="E12" s="5946" t="s">
        <v>40</v>
      </c>
      <c r="F12" s="5791" t="s">
        <v>40</v>
      </c>
      <c r="G12" s="5792"/>
      <c r="H12" s="5792"/>
      <c r="I12" s="5792" t="s">
        <v>40</v>
      </c>
      <c r="J12" s="5792" t="s">
        <v>40</v>
      </c>
      <c r="K12" s="5792" t="s">
        <v>40</v>
      </c>
      <c r="L12" s="5946" t="s">
        <v>40</v>
      </c>
      <c r="M12" s="5791" t="s">
        <v>40</v>
      </c>
      <c r="N12" s="5792"/>
      <c r="O12" s="5792"/>
      <c r="P12" s="5792" t="s">
        <v>40</v>
      </c>
      <c r="Q12" s="5792" t="s">
        <v>40</v>
      </c>
      <c r="R12" s="5792" t="s">
        <v>40</v>
      </c>
      <c r="S12" s="5946" t="s">
        <v>40</v>
      </c>
      <c r="T12" s="5791" t="s">
        <v>40</v>
      </c>
      <c r="U12" s="5792"/>
      <c r="V12" s="5792"/>
      <c r="W12" s="5792" t="s">
        <v>40</v>
      </c>
      <c r="X12" s="5792" t="s">
        <v>40</v>
      </c>
      <c r="Y12" s="5792" t="s">
        <v>40</v>
      </c>
      <c r="Z12" s="5946" t="s">
        <v>40</v>
      </c>
      <c r="AA12" s="5791" t="s">
        <v>40</v>
      </c>
      <c r="AB12" s="5792"/>
      <c r="AC12" s="5792"/>
      <c r="AD12" s="5792" t="s">
        <v>40</v>
      </c>
      <c r="AE12" s="5947" t="s">
        <v>40</v>
      </c>
    </row>
    <row r="13" spans="1:31" ht="18" customHeight="1">
      <c r="A13" s="561" t="s">
        <v>44</v>
      </c>
      <c r="B13" s="506"/>
      <c r="C13" s="506"/>
      <c r="D13" s="506"/>
      <c r="E13" s="506"/>
      <c r="F13" s="506"/>
      <c r="G13" s="506"/>
      <c r="H13" s="506"/>
      <c r="I13" s="506"/>
      <c r="J13" s="506"/>
      <c r="K13" s="506"/>
      <c r="L13" s="506"/>
      <c r="M13" s="506"/>
      <c r="N13" s="506"/>
      <c r="O13" s="506"/>
      <c r="P13" s="506"/>
      <c r="Q13" s="506"/>
      <c r="R13" s="506"/>
      <c r="S13" s="506"/>
      <c r="T13" s="506"/>
      <c r="U13" s="506"/>
      <c r="V13" s="506"/>
      <c r="W13" s="506"/>
      <c r="X13" s="506"/>
      <c r="Y13" s="506"/>
      <c r="Z13" s="506"/>
      <c r="AA13" s="506"/>
      <c r="AB13" s="506"/>
      <c r="AC13" s="506"/>
      <c r="AD13" s="506"/>
      <c r="AE13" s="562"/>
    </row>
    <row r="14" spans="1:31" ht="18" customHeight="1">
      <c r="A14" s="563" t="s">
        <v>45</v>
      </c>
      <c r="B14" s="5794" t="s">
        <v>43</v>
      </c>
      <c r="C14" s="5794" t="s">
        <v>43</v>
      </c>
      <c r="D14" s="5794" t="s">
        <v>43</v>
      </c>
      <c r="E14" s="5794" t="s">
        <v>43</v>
      </c>
      <c r="F14" s="5794" t="s">
        <v>43</v>
      </c>
      <c r="G14" s="5794"/>
      <c r="H14" s="5794"/>
      <c r="I14" s="5794" t="s">
        <v>46</v>
      </c>
      <c r="J14" s="5794" t="s">
        <v>46</v>
      </c>
      <c r="K14" s="5794" t="s">
        <v>46</v>
      </c>
      <c r="L14" s="5793" t="s">
        <v>46</v>
      </c>
      <c r="M14" s="5794" t="s">
        <v>46</v>
      </c>
      <c r="N14" s="5794" t="s">
        <v>49</v>
      </c>
      <c r="O14" s="5793" t="s">
        <v>49</v>
      </c>
      <c r="P14" s="5794" t="s">
        <v>50</v>
      </c>
      <c r="Q14" s="5794" t="s">
        <v>50</v>
      </c>
      <c r="R14" s="5794" t="s">
        <v>50</v>
      </c>
      <c r="S14" s="5794" t="s">
        <v>50</v>
      </c>
      <c r="T14" s="5799" t="s">
        <v>50</v>
      </c>
      <c r="U14" s="5794"/>
      <c r="V14" s="5794"/>
      <c r="W14" s="5794" t="s">
        <v>46</v>
      </c>
      <c r="X14" s="5794" t="s">
        <v>46</v>
      </c>
      <c r="Y14" s="5794" t="s">
        <v>46</v>
      </c>
      <c r="Z14" s="5794" t="s">
        <v>46</v>
      </c>
      <c r="AA14" s="5794" t="s">
        <v>46</v>
      </c>
      <c r="AB14" s="5794" t="s">
        <v>47</v>
      </c>
      <c r="AC14" s="5794" t="s">
        <v>47</v>
      </c>
      <c r="AD14" s="5794" t="s">
        <v>26</v>
      </c>
      <c r="AE14" s="5948" t="s">
        <v>26</v>
      </c>
    </row>
    <row r="15" spans="1:31" ht="18" customHeight="1">
      <c r="A15" s="5949" t="s">
        <v>51</v>
      </c>
      <c r="B15" s="5796" t="s">
        <v>46</v>
      </c>
      <c r="C15" s="5796" t="s">
        <v>46</v>
      </c>
      <c r="D15" s="5796" t="s">
        <v>46</v>
      </c>
      <c r="E15" s="5796" t="s">
        <v>46</v>
      </c>
      <c r="F15" s="5796" t="s">
        <v>46</v>
      </c>
      <c r="G15" s="5796" t="s">
        <v>49</v>
      </c>
      <c r="H15" s="5796" t="s">
        <v>49</v>
      </c>
      <c r="I15" s="5796" t="s">
        <v>50</v>
      </c>
      <c r="J15" s="5796" t="s">
        <v>50</v>
      </c>
      <c r="K15" s="5796" t="s">
        <v>50</v>
      </c>
      <c r="L15" s="5796" t="s">
        <v>50</v>
      </c>
      <c r="M15" s="5796" t="s">
        <v>50</v>
      </c>
      <c r="N15" s="5796"/>
      <c r="O15" s="5796"/>
      <c r="P15" s="5796" t="s">
        <v>46</v>
      </c>
      <c r="Q15" s="5796" t="s">
        <v>46</v>
      </c>
      <c r="R15" s="5796" t="s">
        <v>46</v>
      </c>
      <c r="S15" s="5939" t="s">
        <v>46</v>
      </c>
      <c r="T15" s="5939" t="s">
        <v>46</v>
      </c>
      <c r="U15" s="5796" t="s">
        <v>47</v>
      </c>
      <c r="V15" s="5796" t="s">
        <v>47</v>
      </c>
      <c r="W15" s="5796" t="s">
        <v>26</v>
      </c>
      <c r="X15" s="5796" t="s">
        <v>26</v>
      </c>
      <c r="Y15" s="5796" t="s">
        <v>26</v>
      </c>
      <c r="Z15" s="5796" t="s">
        <v>26</v>
      </c>
      <c r="AA15" s="5796" t="s">
        <v>26</v>
      </c>
      <c r="AB15" s="5796"/>
      <c r="AC15" s="5796"/>
      <c r="AD15" s="5796" t="s">
        <v>43</v>
      </c>
      <c r="AE15" s="5857" t="s">
        <v>43</v>
      </c>
    </row>
    <row r="16" spans="1:31" ht="18" customHeight="1">
      <c r="A16" s="5949" t="s">
        <v>54</v>
      </c>
      <c r="B16" s="5950" t="s">
        <v>50</v>
      </c>
      <c r="C16" s="5950" t="s">
        <v>50</v>
      </c>
      <c r="D16" s="5950" t="s">
        <v>50</v>
      </c>
      <c r="E16" s="5950" t="s">
        <v>50</v>
      </c>
      <c r="F16" s="5950" t="s">
        <v>50</v>
      </c>
      <c r="G16" s="5788"/>
      <c r="H16" s="5799"/>
      <c r="I16" s="5799" t="s">
        <v>46</v>
      </c>
      <c r="J16" s="5799" t="s">
        <v>46</v>
      </c>
      <c r="K16" s="5794" t="s">
        <v>46</v>
      </c>
      <c r="L16" s="5799" t="s">
        <v>46</v>
      </c>
      <c r="M16" s="5794" t="s">
        <v>46</v>
      </c>
      <c r="N16" s="5794" t="s">
        <v>47</v>
      </c>
      <c r="O16" s="5799" t="s">
        <v>47</v>
      </c>
      <c r="P16" s="5794" t="s">
        <v>26</v>
      </c>
      <c r="Q16" s="5794" t="s">
        <v>26</v>
      </c>
      <c r="R16" s="5794" t="s">
        <v>26</v>
      </c>
      <c r="S16" s="5794" t="s">
        <v>26</v>
      </c>
      <c r="T16" s="5794" t="s">
        <v>26</v>
      </c>
      <c r="U16" s="5794"/>
      <c r="V16" s="5794"/>
      <c r="W16" s="5796" t="s">
        <v>43</v>
      </c>
      <c r="X16" s="5796" t="s">
        <v>43</v>
      </c>
      <c r="Y16" s="5799" t="s">
        <v>43</v>
      </c>
      <c r="Z16" s="5799" t="s">
        <v>43</v>
      </c>
      <c r="AA16" s="5799" t="s">
        <v>43</v>
      </c>
      <c r="AB16" s="5794"/>
      <c r="AC16" s="5794"/>
      <c r="AD16" s="5794" t="s">
        <v>46</v>
      </c>
      <c r="AE16" s="5948" t="s">
        <v>46</v>
      </c>
    </row>
    <row r="17" spans="1:33" ht="18" customHeight="1">
      <c r="A17" s="5932" t="s">
        <v>56</v>
      </c>
      <c r="B17" s="5950" t="s">
        <v>46</v>
      </c>
      <c r="C17" s="5950" t="s">
        <v>46</v>
      </c>
      <c r="D17" s="5950" t="s">
        <v>46</v>
      </c>
      <c r="E17" s="5950" t="s">
        <v>46</v>
      </c>
      <c r="F17" s="5950" t="s">
        <v>46</v>
      </c>
      <c r="G17" s="5794" t="s">
        <v>47</v>
      </c>
      <c r="H17" s="5794" t="s">
        <v>47</v>
      </c>
      <c r="I17" s="5794" t="s">
        <v>26</v>
      </c>
      <c r="J17" s="5951" t="s">
        <v>26</v>
      </c>
      <c r="K17" s="5794" t="s">
        <v>26</v>
      </c>
      <c r="L17" s="5793" t="s">
        <v>26</v>
      </c>
      <c r="M17" s="5800" t="s">
        <v>26</v>
      </c>
      <c r="N17" s="5794"/>
      <c r="O17" s="5793"/>
      <c r="P17" s="5800" t="s">
        <v>43</v>
      </c>
      <c r="Q17" s="5794" t="s">
        <v>43</v>
      </c>
      <c r="R17" s="5800" t="s">
        <v>43</v>
      </c>
      <c r="S17" s="5799" t="s">
        <v>43</v>
      </c>
      <c r="T17" s="5799" t="s">
        <v>43</v>
      </c>
      <c r="U17" s="5794"/>
      <c r="V17" s="5799"/>
      <c r="W17" s="5799" t="s">
        <v>46</v>
      </c>
      <c r="X17" s="5794" t="s">
        <v>46</v>
      </c>
      <c r="Y17" s="5799" t="s">
        <v>46</v>
      </c>
      <c r="Z17" s="5799" t="s">
        <v>46</v>
      </c>
      <c r="AA17" s="5799" t="s">
        <v>46</v>
      </c>
      <c r="AB17" s="5799" t="s">
        <v>49</v>
      </c>
      <c r="AC17" s="5799" t="s">
        <v>49</v>
      </c>
      <c r="AD17" s="5796" t="s">
        <v>50</v>
      </c>
      <c r="AE17" s="5857" t="s">
        <v>50</v>
      </c>
    </row>
    <row r="18" spans="1:33" ht="18" customHeight="1">
      <c r="A18" s="5932" t="s">
        <v>472</v>
      </c>
      <c r="B18" s="5794" t="s">
        <v>26</v>
      </c>
      <c r="C18" s="5951" t="s">
        <v>26</v>
      </c>
      <c r="D18" s="5794" t="s">
        <v>26</v>
      </c>
      <c r="E18" s="5939" t="s">
        <v>26</v>
      </c>
      <c r="F18" s="5939" t="s">
        <v>26</v>
      </c>
      <c r="G18" s="5952"/>
      <c r="H18" s="5952"/>
      <c r="I18" s="5952" t="s">
        <v>43</v>
      </c>
      <c r="J18" s="5952" t="s">
        <v>43</v>
      </c>
      <c r="K18" s="5952" t="s">
        <v>43</v>
      </c>
      <c r="L18" s="5794" t="s">
        <v>43</v>
      </c>
      <c r="M18" s="5794" t="s">
        <v>43</v>
      </c>
      <c r="N18" s="5794"/>
      <c r="O18" s="5794"/>
      <c r="P18" s="5793" t="s">
        <v>46</v>
      </c>
      <c r="Q18" s="5794" t="s">
        <v>46</v>
      </c>
      <c r="R18" s="5794" t="s">
        <v>46</v>
      </c>
      <c r="S18" s="5939" t="s">
        <v>46</v>
      </c>
      <c r="T18" s="5794" t="s">
        <v>46</v>
      </c>
      <c r="U18" s="5794" t="s">
        <v>49</v>
      </c>
      <c r="V18" s="5797" t="s">
        <v>49</v>
      </c>
      <c r="W18" s="5795" t="s">
        <v>50</v>
      </c>
      <c r="X18" s="5797" t="s">
        <v>50</v>
      </c>
      <c r="Y18" s="5797" t="s">
        <v>50</v>
      </c>
      <c r="Z18" s="5794" t="s">
        <v>50</v>
      </c>
      <c r="AA18" s="5799" t="s">
        <v>50</v>
      </c>
      <c r="AB18" s="5794"/>
      <c r="AC18" s="5794"/>
      <c r="AD18" s="5855" t="s">
        <v>46</v>
      </c>
      <c r="AE18" s="5953" t="s">
        <v>46</v>
      </c>
    </row>
    <row r="19" spans="1:33" ht="18" customHeight="1">
      <c r="A19" s="5945" t="s">
        <v>97</v>
      </c>
      <c r="B19" s="5791" t="s">
        <v>40</v>
      </c>
      <c r="C19" s="5954" t="s">
        <v>40</v>
      </c>
      <c r="D19" s="5954" t="s">
        <v>40</v>
      </c>
      <c r="E19" s="5954" t="s">
        <v>40</v>
      </c>
      <c r="F19" s="5954" t="s">
        <v>40</v>
      </c>
      <c r="G19" s="5802"/>
      <c r="H19" s="5802"/>
      <c r="I19" s="5954" t="s">
        <v>40</v>
      </c>
      <c r="J19" s="5802" t="s">
        <v>40</v>
      </c>
      <c r="K19" s="5802" t="s">
        <v>40</v>
      </c>
      <c r="L19" s="5954" t="s">
        <v>40</v>
      </c>
      <c r="M19" s="5802" t="s">
        <v>40</v>
      </c>
      <c r="N19" s="5802"/>
      <c r="O19" s="5802"/>
      <c r="P19" s="5802" t="s">
        <v>40</v>
      </c>
      <c r="Q19" s="5802" t="s">
        <v>40</v>
      </c>
      <c r="R19" s="5801" t="s">
        <v>40</v>
      </c>
      <c r="S19" s="5801" t="s">
        <v>40</v>
      </c>
      <c r="T19" s="5954" t="s">
        <v>40</v>
      </c>
      <c r="U19" s="5954"/>
      <c r="V19" s="5954"/>
      <c r="W19" s="5954" t="s">
        <v>40</v>
      </c>
      <c r="X19" s="5954" t="s">
        <v>40</v>
      </c>
      <c r="Y19" s="5954" t="s">
        <v>40</v>
      </c>
      <c r="Z19" s="5955" t="s">
        <v>40</v>
      </c>
      <c r="AA19" s="5954" t="s">
        <v>40</v>
      </c>
      <c r="AB19" s="5956"/>
      <c r="AC19" s="5791"/>
      <c r="AD19" s="5794" t="s">
        <v>40</v>
      </c>
      <c r="AE19" s="5808" t="s">
        <v>40</v>
      </c>
    </row>
    <row r="20" spans="1:33" ht="18" customHeight="1">
      <c r="A20" s="386" t="s">
        <v>58</v>
      </c>
      <c r="B20" s="3034"/>
      <c r="C20" s="3034"/>
      <c r="D20" s="3034"/>
      <c r="E20" s="3034"/>
      <c r="F20" s="3034"/>
      <c r="G20" s="3034"/>
      <c r="H20" s="3034"/>
      <c r="I20" s="3034"/>
      <c r="J20" s="3034"/>
      <c r="K20" s="3034"/>
      <c r="L20" s="3034"/>
      <c r="M20" s="3034"/>
      <c r="N20" s="3034"/>
      <c r="O20" s="3034"/>
      <c r="P20" s="3034"/>
      <c r="Q20" s="3034"/>
      <c r="R20" s="3034"/>
      <c r="S20" s="3034"/>
      <c r="T20" s="3034"/>
      <c r="U20" s="3034"/>
      <c r="V20" s="3034"/>
      <c r="W20" s="3034"/>
      <c r="X20" s="3034"/>
      <c r="Y20" s="3034"/>
      <c r="Z20" s="3034"/>
      <c r="AA20" s="3034"/>
      <c r="AB20" s="3034"/>
      <c r="AC20" s="3034"/>
      <c r="AD20" s="3034"/>
      <c r="AE20" s="5957"/>
    </row>
    <row r="21" spans="1:33" ht="18" customHeight="1">
      <c r="A21" s="4822" t="s">
        <v>59</v>
      </c>
      <c r="B21" s="2990" t="s">
        <v>40</v>
      </c>
      <c r="C21" s="2990" t="s">
        <v>40</v>
      </c>
      <c r="D21" s="2990" t="s">
        <v>40</v>
      </c>
      <c r="E21" s="2990" t="s">
        <v>40</v>
      </c>
      <c r="F21" s="2990" t="s">
        <v>40</v>
      </c>
      <c r="G21" s="2990"/>
      <c r="H21" s="2990"/>
      <c r="I21" s="2990" t="s">
        <v>40</v>
      </c>
      <c r="J21" s="2990" t="s">
        <v>40</v>
      </c>
      <c r="K21" s="2990" t="s">
        <v>40</v>
      </c>
      <c r="L21" s="2848" t="s">
        <v>40</v>
      </c>
      <c r="M21" s="2989" t="s">
        <v>40</v>
      </c>
      <c r="N21" s="2990"/>
      <c r="O21" s="2990"/>
      <c r="P21" s="2990" t="s">
        <v>40</v>
      </c>
      <c r="Q21" s="2990" t="s">
        <v>40</v>
      </c>
      <c r="R21" s="2990" t="s">
        <v>40</v>
      </c>
      <c r="S21" s="2848" t="s">
        <v>40</v>
      </c>
      <c r="T21" s="2989" t="s">
        <v>40</v>
      </c>
      <c r="U21" s="2990"/>
      <c r="V21" s="2990"/>
      <c r="W21" s="2990" t="s">
        <v>40</v>
      </c>
      <c r="X21" s="2990" t="s">
        <v>40</v>
      </c>
      <c r="Y21" s="2990" t="s">
        <v>40</v>
      </c>
      <c r="Z21" s="2848" t="s">
        <v>40</v>
      </c>
      <c r="AA21" s="2989" t="s">
        <v>40</v>
      </c>
      <c r="AB21" s="2990"/>
      <c r="AC21" s="2990"/>
      <c r="AD21" s="2990" t="s">
        <v>40</v>
      </c>
      <c r="AE21" s="5285" t="s">
        <v>40</v>
      </c>
    </row>
    <row r="22" spans="1:33" ht="18" customHeight="1">
      <c r="A22" s="826" t="s">
        <v>364</v>
      </c>
      <c r="B22" s="5797" t="s">
        <v>40</v>
      </c>
      <c r="C22" s="5797" t="s">
        <v>40</v>
      </c>
      <c r="D22" s="5797" t="s">
        <v>40</v>
      </c>
      <c r="E22" s="5944" t="s">
        <v>40</v>
      </c>
      <c r="F22" s="5800" t="s">
        <v>40</v>
      </c>
      <c r="G22" s="5797"/>
      <c r="H22" s="5797"/>
      <c r="I22" s="5797" t="s">
        <v>40</v>
      </c>
      <c r="J22" s="5797" t="s">
        <v>40</v>
      </c>
      <c r="K22" s="5797" t="s">
        <v>40</v>
      </c>
      <c r="L22" s="5944" t="s">
        <v>40</v>
      </c>
      <c r="M22" s="5800" t="s">
        <v>40</v>
      </c>
      <c r="N22" s="5797"/>
      <c r="O22" s="5797"/>
      <c r="P22" s="5797" t="s">
        <v>40</v>
      </c>
      <c r="Q22" s="5797" t="s">
        <v>40</v>
      </c>
      <c r="R22" s="5797" t="s">
        <v>40</v>
      </c>
      <c r="S22" s="5944" t="s">
        <v>40</v>
      </c>
      <c r="T22" s="5800" t="s">
        <v>40</v>
      </c>
      <c r="U22" s="5797"/>
      <c r="V22" s="5797"/>
      <c r="W22" s="5797" t="s">
        <v>40</v>
      </c>
      <c r="X22" s="5797" t="s">
        <v>40</v>
      </c>
      <c r="Y22" s="5797" t="s">
        <v>40</v>
      </c>
      <c r="Z22" s="5944" t="s">
        <v>40</v>
      </c>
      <c r="AA22" s="5800" t="s">
        <v>40</v>
      </c>
      <c r="AB22" s="5797"/>
      <c r="AC22" s="5797"/>
      <c r="AD22" s="5797" t="s">
        <v>40</v>
      </c>
      <c r="AE22" s="5853" t="s">
        <v>40</v>
      </c>
    </row>
    <row r="23" spans="1:33" ht="18" customHeight="1">
      <c r="A23" s="5932" t="s">
        <v>522</v>
      </c>
      <c r="B23" s="5797" t="s">
        <v>40</v>
      </c>
      <c r="C23" s="5797" t="s">
        <v>40</v>
      </c>
      <c r="D23" s="5797" t="s">
        <v>40</v>
      </c>
      <c r="E23" s="5944" t="s">
        <v>40</v>
      </c>
      <c r="F23" s="5800" t="s">
        <v>40</v>
      </c>
      <c r="G23" s="5797"/>
      <c r="H23" s="5797"/>
      <c r="I23" s="5797" t="s">
        <v>40</v>
      </c>
      <c r="J23" s="5797" t="s">
        <v>40</v>
      </c>
      <c r="K23" s="5797" t="s">
        <v>40</v>
      </c>
      <c r="L23" s="5944" t="s">
        <v>40</v>
      </c>
      <c r="M23" s="5800" t="s">
        <v>40</v>
      </c>
      <c r="N23" s="5797"/>
      <c r="O23" s="5797"/>
      <c r="P23" s="5797" t="s">
        <v>40</v>
      </c>
      <c r="Q23" s="5797" t="s">
        <v>40</v>
      </c>
      <c r="R23" s="5797" t="s">
        <v>40</v>
      </c>
      <c r="S23" s="5944" t="s">
        <v>40</v>
      </c>
      <c r="T23" s="5800" t="s">
        <v>40</v>
      </c>
      <c r="U23" s="5797"/>
      <c r="V23" s="5797"/>
      <c r="W23" s="5797" t="s">
        <v>40</v>
      </c>
      <c r="X23" s="5797" t="s">
        <v>40</v>
      </c>
      <c r="Y23" s="5797" t="s">
        <v>40</v>
      </c>
      <c r="Z23" s="5944" t="s">
        <v>40</v>
      </c>
      <c r="AA23" s="5800" t="s">
        <v>40</v>
      </c>
      <c r="AB23" s="5797"/>
      <c r="AC23" s="5797"/>
      <c r="AD23" s="5797" t="s">
        <v>40</v>
      </c>
      <c r="AE23" s="5853" t="s">
        <v>40</v>
      </c>
    </row>
    <row r="24" spans="1:33" ht="18" customHeight="1">
      <c r="A24" s="5958" t="s">
        <v>694</v>
      </c>
      <c r="B24" s="5797"/>
      <c r="C24" s="5797"/>
      <c r="D24" s="5797"/>
      <c r="E24" s="5944"/>
      <c r="F24" s="5800"/>
      <c r="G24" s="5797"/>
      <c r="H24" s="5797"/>
      <c r="I24" s="5797"/>
      <c r="J24" s="5797"/>
      <c r="K24" s="5797"/>
      <c r="L24" s="5944"/>
      <c r="M24" s="5800"/>
      <c r="N24" s="5797"/>
      <c r="O24" s="5797"/>
      <c r="P24" s="5797"/>
      <c r="Q24" s="5797"/>
      <c r="R24" s="5797"/>
      <c r="S24" s="5944"/>
      <c r="T24" s="5800"/>
      <c r="U24" s="5797"/>
      <c r="V24" s="5797"/>
      <c r="W24" s="5797"/>
      <c r="X24" s="5797"/>
      <c r="Y24" s="5797"/>
      <c r="Z24" s="5944"/>
      <c r="AA24" s="5800"/>
      <c r="AB24" s="5797"/>
      <c r="AC24" s="5797"/>
      <c r="AD24" s="5797"/>
      <c r="AE24" s="5853"/>
    </row>
    <row r="25" spans="1:33" ht="18" customHeight="1">
      <c r="A25" s="461" t="s">
        <v>619</v>
      </c>
      <c r="B25" s="5959"/>
      <c r="C25" s="5959"/>
      <c r="D25" s="5959"/>
      <c r="E25" s="5960"/>
      <c r="F25" s="5961"/>
      <c r="G25" s="5959"/>
      <c r="H25" s="5959"/>
      <c r="I25" s="5959"/>
      <c r="J25" s="5959"/>
      <c r="K25" s="5959"/>
      <c r="L25" s="5960"/>
      <c r="M25" s="5961"/>
      <c r="N25" s="5959"/>
      <c r="O25" s="5959"/>
      <c r="P25" s="5959"/>
      <c r="Q25" s="5959"/>
      <c r="R25" s="5959"/>
      <c r="S25" s="5960"/>
      <c r="T25" s="5961"/>
      <c r="U25" s="5959"/>
      <c r="V25" s="5959"/>
      <c r="W25" s="5959"/>
      <c r="X25" s="5959"/>
      <c r="Y25" s="5959"/>
      <c r="Z25" s="5960"/>
      <c r="AA25" s="5961"/>
      <c r="AB25" s="5959"/>
      <c r="AC25" s="5959"/>
      <c r="AD25" s="5959"/>
      <c r="AE25" s="5962"/>
    </row>
    <row r="26" spans="1:33" ht="18" customHeight="1">
      <c r="A26" s="5547" t="s">
        <v>297</v>
      </c>
      <c r="B26" s="5797"/>
      <c r="C26" s="5797"/>
      <c r="D26" s="5797"/>
      <c r="E26" s="5944"/>
      <c r="F26" s="5800"/>
      <c r="G26" s="5797"/>
      <c r="H26" s="5797"/>
      <c r="I26" s="5797"/>
      <c r="J26" s="5797"/>
      <c r="K26" s="5797"/>
      <c r="L26" s="5944"/>
      <c r="M26" s="5800"/>
      <c r="N26" s="5797"/>
      <c r="O26" s="5797"/>
      <c r="P26" s="5797"/>
      <c r="Q26" s="5797"/>
      <c r="R26" s="5797"/>
      <c r="S26" s="5944"/>
      <c r="T26" s="5800"/>
      <c r="U26" s="5797"/>
      <c r="V26" s="5797"/>
      <c r="W26" s="5797"/>
      <c r="X26" s="5797"/>
      <c r="Y26" s="5797"/>
      <c r="Z26" s="5944"/>
      <c r="AA26" s="5800"/>
      <c r="AB26" s="5797"/>
      <c r="AC26" s="5797"/>
      <c r="AD26" s="5797"/>
      <c r="AE26" s="5853"/>
    </row>
    <row r="27" spans="1:33" ht="18" customHeight="1">
      <c r="A27" s="808" t="s">
        <v>620</v>
      </c>
      <c r="B27" s="5959"/>
      <c r="C27" s="5959"/>
      <c r="D27" s="5959"/>
      <c r="E27" s="5960"/>
      <c r="F27" s="5961"/>
      <c r="G27" s="5959"/>
      <c r="H27" s="5959"/>
      <c r="I27" s="5959"/>
      <c r="J27" s="5959"/>
      <c r="K27" s="5959"/>
      <c r="L27" s="5960"/>
      <c r="M27" s="5961"/>
      <c r="N27" s="5959"/>
      <c r="O27" s="5959"/>
      <c r="P27" s="5959"/>
      <c r="Q27" s="5959"/>
      <c r="R27" s="5959"/>
      <c r="S27" s="5960"/>
      <c r="T27" s="5961"/>
      <c r="U27" s="5959"/>
      <c r="V27" s="5959"/>
      <c r="W27" s="5959"/>
      <c r="X27" s="5959"/>
      <c r="Y27" s="5959"/>
      <c r="Z27" s="5960"/>
      <c r="AA27" s="5961"/>
      <c r="AB27" s="5959"/>
      <c r="AC27" s="5959"/>
      <c r="AD27" s="5959"/>
      <c r="AE27" s="5962"/>
    </row>
    <row r="28" spans="1:33" ht="18" customHeight="1">
      <c r="A28" s="5963" t="s">
        <v>65</v>
      </c>
      <c r="B28" s="5880" t="s">
        <v>40</v>
      </c>
      <c r="C28" s="5880" t="s">
        <v>40</v>
      </c>
      <c r="D28" s="5880" t="s">
        <v>40</v>
      </c>
      <c r="E28" s="5880" t="s">
        <v>40</v>
      </c>
      <c r="F28" s="5880" t="s">
        <v>40</v>
      </c>
      <c r="G28" s="5880"/>
      <c r="H28" s="5880"/>
      <c r="I28" s="5880" t="s">
        <v>40</v>
      </c>
      <c r="J28" s="5880" t="s">
        <v>40</v>
      </c>
      <c r="K28" s="5880" t="s">
        <v>40</v>
      </c>
      <c r="L28" s="5861" t="s">
        <v>40</v>
      </c>
      <c r="M28" s="5810" t="s">
        <v>40</v>
      </c>
      <c r="N28" s="5880"/>
      <c r="O28" s="5880"/>
      <c r="P28" s="5880" t="s">
        <v>40</v>
      </c>
      <c r="Q28" s="5880" t="s">
        <v>40</v>
      </c>
      <c r="R28" s="5880" t="s">
        <v>40</v>
      </c>
      <c r="S28" s="5861" t="s">
        <v>40</v>
      </c>
      <c r="T28" s="5810" t="s">
        <v>40</v>
      </c>
      <c r="U28" s="5880"/>
      <c r="V28" s="5880"/>
      <c r="W28" s="5880" t="s">
        <v>40</v>
      </c>
      <c r="X28" s="5880" t="s">
        <v>40</v>
      </c>
      <c r="Y28" s="5880" t="s">
        <v>40</v>
      </c>
      <c r="Z28" s="5861" t="s">
        <v>40</v>
      </c>
      <c r="AA28" s="5810" t="s">
        <v>40</v>
      </c>
      <c r="AB28" s="5880"/>
      <c r="AC28" s="5880"/>
      <c r="AD28" s="5880" t="s">
        <v>40</v>
      </c>
      <c r="AE28" s="5964" t="s">
        <v>40</v>
      </c>
    </row>
    <row r="29" spans="1:33">
      <c r="AF29" s="111"/>
      <c r="AG29" s="111"/>
    </row>
    <row r="30" spans="1:33" ht="15">
      <c r="A30" s="362" t="s">
        <v>584</v>
      </c>
      <c r="B30" s="872">
        <v>1</v>
      </c>
      <c r="C30" s="872">
        <v>2</v>
      </c>
      <c r="D30" s="872">
        <v>3</v>
      </c>
      <c r="E30" s="872">
        <v>4</v>
      </c>
      <c r="F30" s="872">
        <v>5</v>
      </c>
      <c r="G30" s="866">
        <v>6</v>
      </c>
      <c r="H30" s="866">
        <v>7</v>
      </c>
      <c r="I30" s="872">
        <v>8</v>
      </c>
      <c r="J30" s="872">
        <v>9</v>
      </c>
      <c r="K30" s="872">
        <v>10</v>
      </c>
      <c r="L30" s="872">
        <v>11</v>
      </c>
      <c r="M30" s="872">
        <v>12</v>
      </c>
      <c r="N30" s="866">
        <v>13</v>
      </c>
      <c r="O30" s="866">
        <v>14</v>
      </c>
      <c r="P30" s="872">
        <v>15</v>
      </c>
      <c r="Q30" s="872">
        <v>16</v>
      </c>
      <c r="R30" s="872">
        <v>17</v>
      </c>
      <c r="S30" s="872">
        <v>18</v>
      </c>
      <c r="T30" s="872">
        <v>19</v>
      </c>
      <c r="U30" s="866">
        <v>20</v>
      </c>
      <c r="V30" s="866">
        <v>21</v>
      </c>
      <c r="W30" s="872">
        <v>22</v>
      </c>
      <c r="X30" s="872">
        <v>23</v>
      </c>
      <c r="Y30" s="872">
        <v>24</v>
      </c>
      <c r="Z30" s="872">
        <v>25</v>
      </c>
      <c r="AA30" s="872">
        <v>26</v>
      </c>
      <c r="AB30" s="866">
        <v>27</v>
      </c>
      <c r="AC30" s="866">
        <v>28</v>
      </c>
      <c r="AD30" s="872">
        <v>29</v>
      </c>
      <c r="AE30" s="874">
        <v>30</v>
      </c>
      <c r="AF30" s="111"/>
      <c r="AG30" s="111"/>
    </row>
    <row r="31" spans="1:33">
      <c r="A31" s="356"/>
      <c r="B31" s="343"/>
      <c r="C31" s="343"/>
      <c r="D31" s="343"/>
      <c r="E31" s="343"/>
      <c r="F31" s="343"/>
      <c r="G31" s="343"/>
      <c r="H31" s="343"/>
      <c r="I31" s="343"/>
      <c r="J31" s="343"/>
      <c r="K31" s="343"/>
      <c r="L31" s="343"/>
      <c r="M31" s="343"/>
      <c r="N31" s="343"/>
      <c r="O31" s="343"/>
      <c r="P31" s="343"/>
      <c r="Q31" s="343"/>
      <c r="R31" s="343"/>
      <c r="S31" s="343"/>
      <c r="T31" s="343"/>
      <c r="U31" s="343"/>
      <c r="V31" s="343"/>
      <c r="W31" s="343"/>
      <c r="X31" s="343"/>
      <c r="Y31" s="343"/>
      <c r="Z31" s="343"/>
      <c r="AA31" s="343"/>
      <c r="AB31" s="343"/>
      <c r="AC31" s="343"/>
      <c r="AD31" s="343"/>
      <c r="AE31" s="357"/>
      <c r="AF31" s="111"/>
      <c r="AG31" s="111"/>
    </row>
    <row r="32" spans="1:33">
      <c r="A32" s="356"/>
      <c r="B32" s="343"/>
      <c r="C32" s="343"/>
      <c r="D32" s="343"/>
      <c r="E32" s="343"/>
      <c r="F32" s="343"/>
      <c r="G32" s="343"/>
      <c r="H32" s="343"/>
      <c r="I32" s="343"/>
      <c r="J32" s="343"/>
      <c r="K32" s="343"/>
      <c r="L32" s="343"/>
      <c r="M32" s="343"/>
      <c r="N32" s="343"/>
      <c r="O32" s="343"/>
      <c r="P32" s="343"/>
      <c r="Q32" s="343"/>
      <c r="R32" s="343"/>
      <c r="S32" s="343"/>
      <c r="T32" s="343"/>
      <c r="U32" s="343"/>
      <c r="V32" s="343"/>
      <c r="W32" s="343"/>
      <c r="X32" s="343"/>
      <c r="Y32" s="343"/>
      <c r="Z32" s="343"/>
      <c r="AA32" s="343"/>
      <c r="AB32" s="343"/>
      <c r="AC32" s="343"/>
      <c r="AD32" s="343"/>
      <c r="AE32" s="357"/>
      <c r="AF32" s="111"/>
      <c r="AG32" s="111"/>
    </row>
    <row r="33" spans="1:33">
      <c r="A33" s="356"/>
      <c r="B33" s="343"/>
      <c r="C33" s="343"/>
      <c r="D33" s="343"/>
      <c r="E33" s="343"/>
      <c r="F33" s="343"/>
      <c r="G33" s="343"/>
      <c r="H33" s="343"/>
      <c r="I33" s="343"/>
      <c r="J33" s="343"/>
      <c r="K33" s="343"/>
      <c r="L33" s="343"/>
      <c r="M33" s="343"/>
      <c r="N33" s="343"/>
      <c r="O33" s="343"/>
      <c r="P33" s="343"/>
      <c r="Q33" s="343"/>
      <c r="R33" s="343"/>
      <c r="S33" s="343"/>
      <c r="T33" s="343"/>
      <c r="U33" s="343"/>
      <c r="V33" s="343"/>
      <c r="W33" s="343"/>
      <c r="X33" s="343"/>
      <c r="Y33" s="343"/>
      <c r="Z33" s="343"/>
      <c r="AA33" s="343"/>
      <c r="AB33" s="343"/>
      <c r="AC33" s="343"/>
      <c r="AD33" s="343"/>
      <c r="AE33" s="357"/>
      <c r="AF33" s="111"/>
      <c r="AG33" s="111"/>
    </row>
    <row r="34" spans="1:33">
      <c r="A34" s="356"/>
      <c r="B34" s="343"/>
      <c r="C34" s="343"/>
      <c r="D34" s="343"/>
      <c r="E34" s="343"/>
      <c r="F34" s="343"/>
      <c r="G34" s="343"/>
      <c r="H34" s="343"/>
      <c r="I34" s="343"/>
      <c r="J34" s="343"/>
      <c r="K34" s="343"/>
      <c r="L34" s="343"/>
      <c r="M34" s="343"/>
      <c r="N34" s="343"/>
      <c r="O34" s="343"/>
      <c r="P34" s="343"/>
      <c r="Q34" s="343"/>
      <c r="R34" s="343"/>
      <c r="S34" s="343"/>
      <c r="T34" s="343"/>
      <c r="U34" s="343"/>
      <c r="V34" s="343"/>
      <c r="W34" s="343"/>
      <c r="X34" s="343"/>
      <c r="Y34" s="343"/>
      <c r="Z34" s="343"/>
      <c r="AA34" s="343"/>
      <c r="AB34" s="343"/>
      <c r="AC34" s="343"/>
      <c r="AD34" s="343"/>
      <c r="AE34" s="357"/>
      <c r="AF34" s="111"/>
      <c r="AG34" s="111"/>
    </row>
    <row r="35" spans="1:33">
      <c r="A35" s="356"/>
      <c r="B35" s="343"/>
      <c r="C35" s="343"/>
      <c r="D35" s="343"/>
      <c r="E35" s="343"/>
      <c r="F35" s="343"/>
      <c r="G35" s="343"/>
      <c r="H35" s="343"/>
      <c r="I35" s="343"/>
      <c r="J35" s="343"/>
      <c r="K35" s="343"/>
      <c r="L35" s="343"/>
      <c r="M35" s="343"/>
      <c r="N35" s="343"/>
      <c r="O35" s="343"/>
      <c r="P35" s="343"/>
      <c r="Q35" s="343"/>
      <c r="R35" s="343"/>
      <c r="S35" s="343"/>
      <c r="T35" s="343"/>
      <c r="U35" s="343"/>
      <c r="V35" s="343"/>
      <c r="W35" s="343"/>
      <c r="X35" s="343"/>
      <c r="Y35" s="343"/>
      <c r="Z35" s="343"/>
      <c r="AA35" s="343"/>
      <c r="AB35" s="343"/>
      <c r="AC35" s="343"/>
      <c r="AD35" s="343"/>
      <c r="AE35" s="357"/>
      <c r="AF35" s="111"/>
      <c r="AG35" s="111"/>
    </row>
    <row r="36" spans="1:33" ht="18" customHeight="1">
      <c r="A36" s="358"/>
      <c r="B36" s="359"/>
      <c r="C36" s="359"/>
      <c r="D36" s="359"/>
      <c r="E36" s="359"/>
      <c r="F36" s="359"/>
      <c r="G36" s="359"/>
      <c r="H36" s="359"/>
      <c r="I36" s="359"/>
      <c r="J36" s="359"/>
      <c r="K36" s="359"/>
      <c r="L36" s="359"/>
      <c r="M36" s="359"/>
      <c r="N36" s="359"/>
      <c r="O36" s="359"/>
      <c r="P36" s="359"/>
      <c r="Q36" s="359"/>
      <c r="R36" s="359"/>
      <c r="S36" s="359"/>
      <c r="T36" s="359"/>
      <c r="U36" s="359"/>
      <c r="V36" s="359"/>
      <c r="W36" s="359"/>
      <c r="X36" s="359"/>
      <c r="Y36" s="359"/>
      <c r="Z36" s="359"/>
      <c r="AA36" s="359"/>
      <c r="AB36" s="359"/>
      <c r="AC36" s="359"/>
      <c r="AD36" s="359"/>
      <c r="AE36" s="360"/>
      <c r="AF36" s="111"/>
      <c r="AG36" s="111"/>
    </row>
    <row r="37" spans="1:33" ht="18" customHeight="1">
      <c r="A37" s="111"/>
      <c r="B37" s="111"/>
      <c r="C37" s="111"/>
      <c r="D37" s="111"/>
      <c r="E37" s="111"/>
      <c r="F37" s="111"/>
      <c r="G37" s="111"/>
      <c r="H37" s="111"/>
      <c r="I37" s="111"/>
      <c r="J37" s="111"/>
      <c r="K37" s="111"/>
      <c r="L37" s="111"/>
      <c r="M37" s="111"/>
      <c r="N37" s="111"/>
      <c r="O37" s="111"/>
      <c r="P37" s="111"/>
      <c r="Q37" s="111"/>
      <c r="R37" s="111"/>
      <c r="S37" s="111"/>
      <c r="T37" s="111"/>
      <c r="U37" s="111"/>
      <c r="V37" s="111"/>
      <c r="W37" s="111"/>
      <c r="X37" s="111"/>
      <c r="Y37" s="111"/>
      <c r="Z37" s="111"/>
      <c r="AA37" s="111"/>
      <c r="AB37" s="111"/>
      <c r="AC37" s="111"/>
      <c r="AD37" s="111"/>
      <c r="AE37" s="111"/>
      <c r="AF37" s="111"/>
      <c r="AG37" s="111"/>
    </row>
    <row r="38" spans="1:33" ht="18" customHeight="1">
      <c r="A38" s="310" t="s">
        <v>66</v>
      </c>
      <c r="B38" s="111"/>
      <c r="C38" s="111"/>
      <c r="D38" s="111"/>
      <c r="E38" s="111"/>
      <c r="F38" s="111"/>
      <c r="G38" s="111"/>
      <c r="H38" s="111"/>
      <c r="I38" s="111"/>
      <c r="J38" s="111"/>
      <c r="K38" s="111"/>
      <c r="L38" s="111"/>
      <c r="M38" s="111"/>
      <c r="N38" s="111"/>
      <c r="O38" s="111"/>
      <c r="P38" s="111"/>
      <c r="Q38" s="111"/>
      <c r="R38" s="111"/>
      <c r="S38" s="111"/>
      <c r="T38" s="111"/>
      <c r="U38" s="111"/>
      <c r="V38" s="111"/>
      <c r="W38" s="111"/>
      <c r="X38" s="111"/>
      <c r="Y38" s="111"/>
      <c r="Z38" s="111"/>
      <c r="AA38" s="111"/>
      <c r="AB38" s="111"/>
      <c r="AC38" s="111"/>
      <c r="AD38" s="111"/>
      <c r="AE38" s="111"/>
      <c r="AF38" s="111"/>
      <c r="AG38" s="111"/>
    </row>
    <row r="39" spans="1:33" ht="18" customHeight="1">
      <c r="A39" s="3056" t="s">
        <v>69</v>
      </c>
      <c r="B39" s="131"/>
      <c r="C39" s="131"/>
      <c r="D39" s="827" t="s">
        <v>70</v>
      </c>
      <c r="E39" s="111"/>
      <c r="F39" s="111"/>
      <c r="G39" s="111"/>
      <c r="H39" s="111"/>
      <c r="I39" s="111"/>
      <c r="J39" s="111"/>
      <c r="K39" s="111"/>
      <c r="L39" s="111"/>
      <c r="M39" s="828" t="s">
        <v>71</v>
      </c>
      <c r="N39" s="111"/>
      <c r="O39" s="111"/>
      <c r="P39" s="111"/>
      <c r="Q39" s="111"/>
      <c r="R39" s="111"/>
      <c r="S39" s="829"/>
      <c r="T39" s="831" t="s">
        <v>72</v>
      </c>
      <c r="U39" s="831"/>
      <c r="V39" s="831"/>
      <c r="W39" s="831"/>
      <c r="X39" s="831"/>
      <c r="Y39" s="831"/>
      <c r="Z39" s="831"/>
      <c r="AA39" s="830" t="s">
        <v>73</v>
      </c>
      <c r="AB39" s="516"/>
      <c r="AC39" s="516"/>
      <c r="AD39" s="516"/>
      <c r="AE39" s="516"/>
      <c r="AF39" s="516"/>
      <c r="AG39" s="111"/>
    </row>
    <row r="40" spans="1:33" ht="18" customHeight="1">
      <c r="A40" s="5766" t="s">
        <v>74</v>
      </c>
      <c r="B40" s="5767"/>
      <c r="C40" s="5767"/>
      <c r="D40" s="5768" t="s">
        <v>75</v>
      </c>
      <c r="E40" s="5769"/>
      <c r="F40" s="5770"/>
      <c r="G40" s="5770"/>
      <c r="H40" s="5770"/>
      <c r="I40" s="5770"/>
      <c r="J40" s="5770"/>
      <c r="K40" s="5770"/>
      <c r="L40" s="5771"/>
      <c r="M40" s="5772" t="s">
        <v>76</v>
      </c>
      <c r="N40" s="5767"/>
      <c r="O40" s="5773"/>
      <c r="P40" s="5767"/>
      <c r="Q40" s="5767"/>
      <c r="R40" s="5767"/>
      <c r="S40" s="5774"/>
      <c r="T40" s="5768" t="s">
        <v>77</v>
      </c>
      <c r="U40" s="5770"/>
      <c r="V40" s="5769"/>
      <c r="W40" s="5770"/>
      <c r="X40" s="5770"/>
      <c r="Y40" s="5770"/>
      <c r="Z40" s="5771"/>
      <c r="AA40" s="97" t="s">
        <v>78</v>
      </c>
      <c r="AD40" s="59"/>
    </row>
    <row r="41" spans="1:33" ht="18" customHeight="1">
      <c r="A41" s="5775" t="s">
        <v>79</v>
      </c>
      <c r="B41" s="5770"/>
      <c r="C41" s="5770"/>
      <c r="D41" s="5776"/>
      <c r="E41" s="5770"/>
      <c r="F41" s="5770"/>
      <c r="G41" s="5771"/>
      <c r="H41" s="5777" t="s">
        <v>80</v>
      </c>
      <c r="I41" s="5770"/>
      <c r="J41" s="5770"/>
      <c r="K41" s="5770"/>
      <c r="L41" s="5770"/>
      <c r="M41" s="5778"/>
      <c r="N41" s="5770"/>
      <c r="O41" s="5770"/>
      <c r="P41" s="5770"/>
      <c r="Q41" s="5770"/>
      <c r="R41" s="5770"/>
      <c r="S41" s="5770"/>
      <c r="T41" s="5776"/>
      <c r="U41" s="96" t="s">
        <v>81</v>
      </c>
      <c r="AA41" s="5773"/>
      <c r="AB41" s="5767"/>
      <c r="AC41" s="5767"/>
      <c r="AD41" s="5767"/>
      <c r="AE41" s="5767"/>
      <c r="AF41" s="5767"/>
    </row>
    <row r="42" spans="1:33" ht="18" customHeight="1">
      <c r="A42" s="5779" t="s">
        <v>82</v>
      </c>
      <c r="B42" s="5780"/>
      <c r="C42" s="5780"/>
      <c r="D42" s="5781"/>
      <c r="E42" s="5780"/>
      <c r="F42" s="5780"/>
      <c r="G42" s="5782"/>
      <c r="H42" s="5783" t="s">
        <v>83</v>
      </c>
      <c r="I42" s="5782"/>
      <c r="J42" s="5780"/>
      <c r="K42" s="5780"/>
      <c r="L42" s="5780"/>
      <c r="M42" s="5784"/>
      <c r="N42" s="5780"/>
      <c r="O42" s="5780"/>
      <c r="P42" s="5780"/>
      <c r="Q42" s="5785"/>
      <c r="R42" s="5785"/>
      <c r="S42" s="5785"/>
      <c r="T42" s="5781"/>
      <c r="U42" s="5786" t="s">
        <v>84</v>
      </c>
      <c r="V42" s="5780"/>
      <c r="W42" s="5780"/>
      <c r="X42" s="5780"/>
      <c r="Y42" s="5780"/>
      <c r="Z42" s="5780"/>
      <c r="AA42" s="5780"/>
      <c r="AB42" s="5780"/>
      <c r="AC42" s="5780"/>
      <c r="AD42" s="5780"/>
      <c r="AE42" s="5780"/>
      <c r="AF42" s="5780"/>
    </row>
    <row r="43" spans="1:33" ht="18" customHeight="1">
      <c r="A43" s="62" t="s">
        <v>36</v>
      </c>
    </row>
    <row r="44" spans="1:33" ht="18" customHeight="1">
      <c r="A44" s="426" t="s">
        <v>523</v>
      </c>
      <c r="B44" s="2985">
        <v>1</v>
      </c>
      <c r="C44" s="2985">
        <v>2</v>
      </c>
      <c r="D44" s="2985">
        <v>3</v>
      </c>
      <c r="E44" s="2985">
        <v>4</v>
      </c>
      <c r="F44" s="2985">
        <v>5</v>
      </c>
      <c r="G44" s="2986">
        <v>6</v>
      </c>
      <c r="H44" s="2986">
        <v>7</v>
      </c>
      <c r="I44" s="2985">
        <v>8</v>
      </c>
      <c r="J44" s="2985">
        <v>9</v>
      </c>
      <c r="K44" s="2985">
        <v>10</v>
      </c>
      <c r="L44" s="2985">
        <v>11</v>
      </c>
      <c r="M44" s="2985">
        <v>12</v>
      </c>
      <c r="N44" s="2986">
        <v>13</v>
      </c>
      <c r="O44" s="2986">
        <v>14</v>
      </c>
      <c r="P44" s="2985">
        <v>15</v>
      </c>
      <c r="Q44" s="2985">
        <v>16</v>
      </c>
      <c r="R44" s="2985">
        <v>17</v>
      </c>
      <c r="S44" s="2985">
        <v>18</v>
      </c>
      <c r="T44" s="2985">
        <v>19</v>
      </c>
      <c r="U44" s="2986">
        <v>20</v>
      </c>
      <c r="V44" s="2986">
        <v>21</v>
      </c>
      <c r="W44" s="2985">
        <v>22</v>
      </c>
      <c r="X44" s="2985">
        <v>23</v>
      </c>
      <c r="Y44" s="2985">
        <v>24</v>
      </c>
      <c r="Z44" s="2985">
        <v>25</v>
      </c>
      <c r="AA44" s="2985">
        <v>26</v>
      </c>
      <c r="AB44" s="2986">
        <v>27</v>
      </c>
      <c r="AC44" s="2986">
        <v>28</v>
      </c>
      <c r="AD44" s="2985">
        <v>29</v>
      </c>
      <c r="AE44" s="2985">
        <v>30</v>
      </c>
    </row>
    <row r="45" spans="1:33" ht="18" customHeight="1">
      <c r="A45" s="931" t="s">
        <v>85</v>
      </c>
      <c r="B45" s="3088" t="s">
        <v>46</v>
      </c>
      <c r="C45" s="3089" t="s">
        <v>46</v>
      </c>
      <c r="D45" s="3088" t="s">
        <v>46</v>
      </c>
      <c r="E45" s="3088" t="s">
        <v>46</v>
      </c>
      <c r="F45" s="3088" t="s">
        <v>46</v>
      </c>
      <c r="G45" s="3088"/>
      <c r="H45" s="3088"/>
      <c r="I45" s="5787">
        <v>5</v>
      </c>
      <c r="J45" s="3088">
        <v>5</v>
      </c>
      <c r="K45" s="3088">
        <v>5</v>
      </c>
      <c r="L45" s="3088">
        <v>5</v>
      </c>
      <c r="M45" s="3088">
        <v>5</v>
      </c>
      <c r="N45" s="3089"/>
      <c r="O45" s="3088"/>
      <c r="P45" s="3090">
        <v>10</v>
      </c>
      <c r="Q45" s="3089">
        <v>10</v>
      </c>
      <c r="R45" s="3088">
        <v>10</v>
      </c>
      <c r="S45" s="3088">
        <v>10</v>
      </c>
      <c r="T45" s="3088">
        <v>10</v>
      </c>
      <c r="U45" s="3088" t="s">
        <v>53</v>
      </c>
      <c r="V45" s="3088" t="s">
        <v>53</v>
      </c>
      <c r="W45" s="3090" t="s">
        <v>46</v>
      </c>
      <c r="X45" s="3090" t="s">
        <v>46</v>
      </c>
      <c r="Y45" s="3088" t="s">
        <v>46</v>
      </c>
      <c r="Z45" s="3088" t="s">
        <v>46</v>
      </c>
      <c r="AA45" s="3090" t="s">
        <v>46</v>
      </c>
      <c r="AB45" s="3090" t="s">
        <v>86</v>
      </c>
      <c r="AC45" s="3090" t="s">
        <v>86</v>
      </c>
      <c r="AD45" s="3088">
        <v>7</v>
      </c>
      <c r="AE45" s="3088">
        <v>7</v>
      </c>
    </row>
    <row r="46" spans="1:33" ht="18" customHeight="1">
      <c r="A46" s="364" t="s">
        <v>177</v>
      </c>
      <c r="B46" s="5788">
        <v>4</v>
      </c>
      <c r="C46" s="5788">
        <v>4</v>
      </c>
      <c r="D46" s="5788">
        <v>4</v>
      </c>
      <c r="E46" s="5788">
        <v>4</v>
      </c>
      <c r="F46" s="5788">
        <v>4</v>
      </c>
      <c r="G46" s="5788"/>
      <c r="H46" s="5788"/>
      <c r="I46" s="5788">
        <v>3</v>
      </c>
      <c r="J46" s="5788">
        <v>3</v>
      </c>
      <c r="K46" s="5788">
        <v>3</v>
      </c>
      <c r="L46" s="5788">
        <v>3</v>
      </c>
      <c r="M46" s="5788">
        <v>3</v>
      </c>
      <c r="N46" s="5788"/>
      <c r="O46" s="5788"/>
      <c r="P46" s="5788">
        <v>11</v>
      </c>
      <c r="Q46" s="5788">
        <v>11</v>
      </c>
      <c r="R46" s="5788">
        <v>11</v>
      </c>
      <c r="S46" s="5788">
        <v>11</v>
      </c>
      <c r="T46" s="5788">
        <v>11</v>
      </c>
      <c r="U46" s="5788" t="s">
        <v>87</v>
      </c>
      <c r="V46" s="5788" t="s">
        <v>87</v>
      </c>
      <c r="W46" s="5788" t="s">
        <v>46</v>
      </c>
      <c r="X46" s="5788" t="s">
        <v>46</v>
      </c>
      <c r="Y46" s="5788" t="s">
        <v>46</v>
      </c>
      <c r="Z46" s="5788" t="s">
        <v>46</v>
      </c>
      <c r="AA46" s="5788" t="s">
        <v>46</v>
      </c>
      <c r="AB46" s="5788" t="s">
        <v>89</v>
      </c>
      <c r="AC46" s="5788" t="s">
        <v>89</v>
      </c>
      <c r="AD46" s="5788">
        <v>8</v>
      </c>
      <c r="AE46" s="5788">
        <v>8</v>
      </c>
    </row>
    <row r="47" spans="1:33" ht="18" customHeight="1">
      <c r="A47" s="469" t="s">
        <v>90</v>
      </c>
      <c r="B47" s="5789" t="s">
        <v>46</v>
      </c>
      <c r="C47" s="5789" t="s">
        <v>46</v>
      </c>
      <c r="D47" s="5790" t="s">
        <v>46</v>
      </c>
      <c r="E47" s="5789" t="s">
        <v>46</v>
      </c>
      <c r="F47" s="5789" t="s">
        <v>46</v>
      </c>
      <c r="G47" s="5789"/>
      <c r="H47" s="5789"/>
      <c r="I47" s="5789">
        <v>1</v>
      </c>
      <c r="J47" s="5789">
        <v>1</v>
      </c>
      <c r="K47" s="5789">
        <v>1</v>
      </c>
      <c r="L47" s="5791">
        <v>1</v>
      </c>
      <c r="M47" s="5789">
        <v>1</v>
      </c>
      <c r="N47" s="5789"/>
      <c r="O47" s="5789"/>
      <c r="P47" s="5789">
        <v>9</v>
      </c>
      <c r="Q47" s="5789">
        <v>9</v>
      </c>
      <c r="R47" s="5789">
        <v>9</v>
      </c>
      <c r="S47" s="5792">
        <v>9</v>
      </c>
      <c r="T47" s="5789">
        <v>9</v>
      </c>
      <c r="U47" s="5789" t="s">
        <v>52</v>
      </c>
      <c r="V47" s="5789" t="s">
        <v>53</v>
      </c>
      <c r="W47" s="5789" t="s">
        <v>46</v>
      </c>
      <c r="X47" s="5789" t="s">
        <v>46</v>
      </c>
      <c r="Y47" s="5789" t="s">
        <v>46</v>
      </c>
      <c r="Z47" s="5789" t="s">
        <v>46</v>
      </c>
      <c r="AA47" s="5789" t="s">
        <v>46</v>
      </c>
      <c r="AB47" s="5789" t="s">
        <v>91</v>
      </c>
      <c r="AC47" s="5789" t="s">
        <v>89</v>
      </c>
      <c r="AD47" s="5789">
        <v>6</v>
      </c>
      <c r="AE47" s="5789">
        <v>6</v>
      </c>
    </row>
    <row r="48" spans="1:33" ht="18" customHeight="1">
      <c r="A48" s="470" t="s">
        <v>92</v>
      </c>
      <c r="B48" s="2989">
        <v>5</v>
      </c>
      <c r="C48" s="2990">
        <v>5</v>
      </c>
      <c r="D48" s="2990">
        <v>5</v>
      </c>
      <c r="E48" s="2989">
        <v>5</v>
      </c>
      <c r="F48" s="2989">
        <v>5</v>
      </c>
      <c r="G48" s="3088"/>
      <c r="H48" s="3088"/>
      <c r="I48" s="3089">
        <v>10</v>
      </c>
      <c r="J48" s="3089">
        <v>10</v>
      </c>
      <c r="K48" s="3088">
        <v>10</v>
      </c>
      <c r="L48" s="3088">
        <v>10</v>
      </c>
      <c r="M48" s="3088">
        <v>10</v>
      </c>
      <c r="N48" s="3090" t="s">
        <v>53</v>
      </c>
      <c r="O48" s="3088" t="s">
        <v>53</v>
      </c>
      <c r="P48" s="3090" t="s">
        <v>46</v>
      </c>
      <c r="Q48" s="3090" t="s">
        <v>46</v>
      </c>
      <c r="R48" s="3089" t="s">
        <v>46</v>
      </c>
      <c r="S48" s="3090" t="s">
        <v>46</v>
      </c>
      <c r="T48" s="3090" t="s">
        <v>46</v>
      </c>
      <c r="U48" s="3868" t="s">
        <v>86</v>
      </c>
      <c r="V48" s="3868" t="s">
        <v>86</v>
      </c>
      <c r="W48" s="3868">
        <v>7</v>
      </c>
      <c r="X48" s="3869">
        <v>7</v>
      </c>
      <c r="Y48" s="3869">
        <v>7</v>
      </c>
      <c r="Z48" s="3869">
        <v>7</v>
      </c>
      <c r="AA48" s="3088">
        <v>7</v>
      </c>
      <c r="AB48" s="3090"/>
      <c r="AC48" s="3090"/>
      <c r="AD48" s="3088">
        <v>4</v>
      </c>
      <c r="AE48" s="3088">
        <v>4</v>
      </c>
    </row>
    <row r="49" spans="1:31" ht="18" customHeight="1">
      <c r="A49" s="365" t="s">
        <v>243</v>
      </c>
      <c r="B49" s="5793">
        <v>3</v>
      </c>
      <c r="C49" s="5793">
        <v>3</v>
      </c>
      <c r="D49" s="5793">
        <v>3</v>
      </c>
      <c r="E49" s="5794">
        <v>3</v>
      </c>
      <c r="F49" s="5794">
        <v>3</v>
      </c>
      <c r="G49" s="5795"/>
      <c r="H49" s="5795"/>
      <c r="I49" s="5796">
        <v>11</v>
      </c>
      <c r="J49" s="5796">
        <v>11</v>
      </c>
      <c r="K49" s="5795">
        <v>11</v>
      </c>
      <c r="L49" s="5797">
        <v>11</v>
      </c>
      <c r="M49" s="5798">
        <v>11</v>
      </c>
      <c r="N49" s="5798" t="s">
        <v>87</v>
      </c>
      <c r="O49" s="5798" t="s">
        <v>87</v>
      </c>
      <c r="P49" s="5798" t="s">
        <v>46</v>
      </c>
      <c r="Q49" s="5798" t="s">
        <v>46</v>
      </c>
      <c r="R49" s="5798" t="s">
        <v>46</v>
      </c>
      <c r="S49" s="108" t="s">
        <v>46</v>
      </c>
      <c r="T49" s="5794" t="s">
        <v>46</v>
      </c>
      <c r="U49" s="5799" t="s">
        <v>89</v>
      </c>
      <c r="V49" s="5799" t="s">
        <v>89</v>
      </c>
      <c r="W49" s="5799">
        <v>8</v>
      </c>
      <c r="X49" s="5795">
        <v>8</v>
      </c>
      <c r="Y49" s="5795">
        <v>8</v>
      </c>
      <c r="Z49" s="5796">
        <v>8</v>
      </c>
      <c r="AA49" s="108">
        <v>8</v>
      </c>
      <c r="AB49" s="5795"/>
      <c r="AC49" s="5795"/>
      <c r="AD49" s="5795" t="s">
        <v>46</v>
      </c>
      <c r="AE49" s="5795" t="s">
        <v>46</v>
      </c>
    </row>
    <row r="50" spans="1:31" ht="18" customHeight="1">
      <c r="A50" s="401" t="s">
        <v>94</v>
      </c>
      <c r="B50" s="5791">
        <v>1</v>
      </c>
      <c r="C50" s="5791">
        <v>1</v>
      </c>
      <c r="D50" s="5791">
        <v>1</v>
      </c>
      <c r="E50" s="5791">
        <v>1</v>
      </c>
      <c r="F50" s="5791">
        <v>1</v>
      </c>
      <c r="G50" s="5791"/>
      <c r="H50" s="5791"/>
      <c r="I50" s="5791">
        <v>9</v>
      </c>
      <c r="J50" s="5791">
        <v>9</v>
      </c>
      <c r="K50" s="5791">
        <v>9</v>
      </c>
      <c r="L50" s="5791">
        <v>9</v>
      </c>
      <c r="M50" s="5791">
        <v>9</v>
      </c>
      <c r="N50" s="5791" t="s">
        <v>52</v>
      </c>
      <c r="O50" s="5791" t="s">
        <v>53</v>
      </c>
      <c r="P50" s="5791" t="s">
        <v>46</v>
      </c>
      <c r="Q50" s="5791" t="s">
        <v>46</v>
      </c>
      <c r="R50" s="5791" t="s">
        <v>46</v>
      </c>
      <c r="S50" s="5791" t="s">
        <v>46</v>
      </c>
      <c r="T50" s="5791" t="s">
        <v>46</v>
      </c>
      <c r="U50" s="5791" t="s">
        <v>91</v>
      </c>
      <c r="V50" s="5791" t="s">
        <v>89</v>
      </c>
      <c r="W50" s="5791">
        <v>6</v>
      </c>
      <c r="X50" s="5791">
        <v>6</v>
      </c>
      <c r="Y50" s="5791">
        <v>6</v>
      </c>
      <c r="Z50" s="5791">
        <v>6</v>
      </c>
      <c r="AA50" s="5791">
        <v>6</v>
      </c>
      <c r="AB50" s="5791"/>
      <c r="AC50" s="5791"/>
      <c r="AD50" s="5791" t="s">
        <v>46</v>
      </c>
      <c r="AE50" s="5791" t="s">
        <v>46</v>
      </c>
    </row>
    <row r="51" spans="1:31" ht="18" customHeight="1">
      <c r="A51" s="471" t="s">
        <v>95</v>
      </c>
      <c r="B51" s="501">
        <v>10</v>
      </c>
      <c r="C51" s="508">
        <v>10</v>
      </c>
      <c r="D51" s="504">
        <v>10</v>
      </c>
      <c r="E51" s="504">
        <v>10</v>
      </c>
      <c r="F51" s="504">
        <v>10</v>
      </c>
      <c r="G51" s="504" t="s">
        <v>53</v>
      </c>
      <c r="H51" s="504" t="s">
        <v>53</v>
      </c>
      <c r="I51" s="508" t="s">
        <v>46</v>
      </c>
      <c r="J51" s="508" t="s">
        <v>46</v>
      </c>
      <c r="K51" s="508" t="s">
        <v>46</v>
      </c>
      <c r="L51" s="508" t="s">
        <v>46</v>
      </c>
      <c r="M51" s="508" t="s">
        <v>46</v>
      </c>
      <c r="N51" s="508" t="s">
        <v>86</v>
      </c>
      <c r="O51" s="508" t="s">
        <v>86</v>
      </c>
      <c r="P51" s="508">
        <v>7</v>
      </c>
      <c r="Q51" s="504">
        <v>7</v>
      </c>
      <c r="R51" s="504">
        <v>7</v>
      </c>
      <c r="S51" s="504">
        <v>7</v>
      </c>
      <c r="T51" s="504">
        <v>7</v>
      </c>
      <c r="U51" s="508"/>
      <c r="V51" s="508"/>
      <c r="W51" s="501">
        <v>4</v>
      </c>
      <c r="X51" s="504">
        <v>4</v>
      </c>
      <c r="Y51" s="504">
        <v>4</v>
      </c>
      <c r="Z51" s="504">
        <v>4</v>
      </c>
      <c r="AA51" s="504">
        <v>4</v>
      </c>
      <c r="AB51" s="509"/>
      <c r="AC51" s="504"/>
      <c r="AD51" s="504">
        <v>3</v>
      </c>
      <c r="AE51" s="504">
        <v>3</v>
      </c>
    </row>
    <row r="52" spans="1:31" ht="18" customHeight="1">
      <c r="A52" s="364" t="s">
        <v>96</v>
      </c>
      <c r="B52" s="5800">
        <v>11</v>
      </c>
      <c r="C52" s="5800">
        <v>11</v>
      </c>
      <c r="D52" s="5800">
        <v>11</v>
      </c>
      <c r="E52" s="5800">
        <v>11</v>
      </c>
      <c r="F52" s="5800">
        <v>11</v>
      </c>
      <c r="G52" s="5800" t="s">
        <v>87</v>
      </c>
      <c r="H52" s="5800" t="s">
        <v>87</v>
      </c>
      <c r="I52" s="5800" t="s">
        <v>46</v>
      </c>
      <c r="J52" s="5800" t="s">
        <v>46</v>
      </c>
      <c r="K52" s="5800" t="s">
        <v>46</v>
      </c>
      <c r="L52" s="5800" t="s">
        <v>46</v>
      </c>
      <c r="M52" s="5800" t="s">
        <v>46</v>
      </c>
      <c r="N52" s="5800" t="s">
        <v>89</v>
      </c>
      <c r="O52" s="5800" t="s">
        <v>89</v>
      </c>
      <c r="P52" s="5800">
        <v>8</v>
      </c>
      <c r="Q52" s="5800">
        <v>8</v>
      </c>
      <c r="R52" s="5800">
        <v>8</v>
      </c>
      <c r="S52" s="5800">
        <v>8</v>
      </c>
      <c r="T52" s="5800">
        <v>8</v>
      </c>
      <c r="U52" s="5800"/>
      <c r="V52" s="5800"/>
      <c r="W52" s="5800" t="s">
        <v>46</v>
      </c>
      <c r="X52" s="5795" t="s">
        <v>46</v>
      </c>
      <c r="Y52" s="5795" t="s">
        <v>46</v>
      </c>
      <c r="Z52" s="5795" t="s">
        <v>46</v>
      </c>
      <c r="AA52" s="5795" t="s">
        <v>46</v>
      </c>
      <c r="AB52" s="5795"/>
      <c r="AC52" s="5799"/>
      <c r="AD52" s="5799">
        <v>1</v>
      </c>
      <c r="AE52" s="5798">
        <v>1</v>
      </c>
    </row>
    <row r="53" spans="1:31" ht="18" customHeight="1">
      <c r="A53" s="469" t="s">
        <v>147</v>
      </c>
      <c r="B53" s="5801">
        <v>9</v>
      </c>
      <c r="C53" s="5801">
        <v>9</v>
      </c>
      <c r="D53" s="5789">
        <v>9</v>
      </c>
      <c r="E53" s="5789">
        <v>9</v>
      </c>
      <c r="F53" s="5789">
        <v>9</v>
      </c>
      <c r="G53" s="5789" t="s">
        <v>52</v>
      </c>
      <c r="H53" s="5789" t="s">
        <v>53</v>
      </c>
      <c r="I53" s="5801" t="s">
        <v>46</v>
      </c>
      <c r="J53" s="5789" t="s">
        <v>46</v>
      </c>
      <c r="K53" s="5802" t="s">
        <v>46</v>
      </c>
      <c r="L53" s="5789" t="s">
        <v>46</v>
      </c>
      <c r="M53" s="5802" t="s">
        <v>46</v>
      </c>
      <c r="N53" s="5802" t="s">
        <v>91</v>
      </c>
      <c r="O53" s="5802" t="s">
        <v>89</v>
      </c>
      <c r="P53" s="5789">
        <v>6</v>
      </c>
      <c r="Q53" s="5789">
        <v>6</v>
      </c>
      <c r="R53" s="5789">
        <v>6</v>
      </c>
      <c r="S53" s="5789">
        <v>6</v>
      </c>
      <c r="T53" s="5789">
        <v>6</v>
      </c>
      <c r="U53" s="5789"/>
      <c r="V53" s="5789"/>
      <c r="W53" s="5789" t="s">
        <v>46</v>
      </c>
      <c r="X53" s="5801" t="s">
        <v>46</v>
      </c>
      <c r="Y53" s="5789" t="s">
        <v>46</v>
      </c>
      <c r="Z53" s="5789" t="s">
        <v>46</v>
      </c>
      <c r="AA53" s="5789" t="s">
        <v>46</v>
      </c>
      <c r="AB53" s="5789"/>
      <c r="AC53" s="5789"/>
      <c r="AD53" s="5791">
        <v>5</v>
      </c>
      <c r="AE53" s="5789">
        <v>5</v>
      </c>
    </row>
    <row r="54" spans="1:31" ht="18" customHeight="1">
      <c r="A54" s="473"/>
      <c r="B54" s="501" t="s">
        <v>46</v>
      </c>
      <c r="C54" s="508" t="s">
        <v>46</v>
      </c>
      <c r="D54" s="504" t="s">
        <v>46</v>
      </c>
      <c r="E54" s="504" t="s">
        <v>46</v>
      </c>
      <c r="F54" s="504" t="s">
        <v>46</v>
      </c>
      <c r="G54" s="504" t="s">
        <v>86</v>
      </c>
      <c r="H54" s="504" t="s">
        <v>86</v>
      </c>
      <c r="I54" s="508">
        <v>7</v>
      </c>
      <c r="J54" s="508">
        <v>7</v>
      </c>
      <c r="K54" s="508">
        <v>7</v>
      </c>
      <c r="L54" s="508">
        <v>7</v>
      </c>
      <c r="M54" s="508">
        <v>7</v>
      </c>
      <c r="N54" s="508"/>
      <c r="O54" s="508"/>
      <c r="P54" s="508">
        <v>4</v>
      </c>
      <c r="Q54" s="504">
        <v>4</v>
      </c>
      <c r="R54" s="504">
        <v>4</v>
      </c>
      <c r="S54" s="504">
        <v>4</v>
      </c>
      <c r="T54" s="504">
        <v>4</v>
      </c>
      <c r="U54" s="508"/>
      <c r="V54" s="508"/>
      <c r="W54" s="501">
        <v>3</v>
      </c>
      <c r="X54" s="504">
        <v>3</v>
      </c>
      <c r="Y54" s="504">
        <v>3</v>
      </c>
      <c r="Z54" s="504">
        <v>3</v>
      </c>
      <c r="AA54" s="504">
        <v>3</v>
      </c>
      <c r="AB54" s="509"/>
      <c r="AC54" s="504"/>
      <c r="AD54" s="504">
        <v>11</v>
      </c>
      <c r="AE54" s="504">
        <v>11</v>
      </c>
    </row>
    <row r="55" spans="1:31" ht="18" customHeight="1">
      <c r="A55" s="470" t="s">
        <v>101</v>
      </c>
      <c r="B55" s="5800" t="s">
        <v>46</v>
      </c>
      <c r="C55" s="5800" t="s">
        <v>46</v>
      </c>
      <c r="D55" s="5800" t="s">
        <v>46</v>
      </c>
      <c r="E55" s="5800" t="s">
        <v>46</v>
      </c>
      <c r="F55" s="5800" t="s">
        <v>46</v>
      </c>
      <c r="G55" s="5800" t="s">
        <v>89</v>
      </c>
      <c r="H55" s="5797" t="s">
        <v>89</v>
      </c>
      <c r="I55" s="5800">
        <v>8</v>
      </c>
      <c r="J55" s="5800">
        <v>8</v>
      </c>
      <c r="K55" s="5800">
        <v>8</v>
      </c>
      <c r="L55" s="5800">
        <v>8</v>
      </c>
      <c r="M55" s="5799">
        <v>8</v>
      </c>
      <c r="N55" s="5800"/>
      <c r="O55" s="5800"/>
      <c r="P55" s="5800" t="s">
        <v>46</v>
      </c>
      <c r="Q55" s="5800" t="s">
        <v>46</v>
      </c>
      <c r="R55" s="5800" t="s">
        <v>46</v>
      </c>
      <c r="S55" s="5800" t="s">
        <v>46</v>
      </c>
      <c r="T55" s="5800" t="s">
        <v>46</v>
      </c>
      <c r="U55" s="5795"/>
      <c r="V55" s="5795"/>
      <c r="W55" s="5796">
        <v>1</v>
      </c>
      <c r="X55" s="5795">
        <v>1</v>
      </c>
      <c r="Y55" s="5795">
        <v>1</v>
      </c>
      <c r="Z55" s="5795">
        <v>1</v>
      </c>
      <c r="AA55" s="5795">
        <v>1</v>
      </c>
      <c r="AB55" s="5795"/>
      <c r="AC55" s="5799"/>
      <c r="AD55" s="5799">
        <v>9</v>
      </c>
      <c r="AE55" s="5798">
        <v>9</v>
      </c>
    </row>
    <row r="56" spans="1:31" ht="18" customHeight="1">
      <c r="A56" s="469" t="s">
        <v>102</v>
      </c>
      <c r="B56" s="5801" t="s">
        <v>46</v>
      </c>
      <c r="C56" s="5801" t="s">
        <v>46</v>
      </c>
      <c r="D56" s="5789" t="s">
        <v>46</v>
      </c>
      <c r="E56" s="5789" t="s">
        <v>46</v>
      </c>
      <c r="F56" s="5789" t="s">
        <v>46</v>
      </c>
      <c r="G56" s="5789" t="s">
        <v>91</v>
      </c>
      <c r="H56" s="5789" t="s">
        <v>89</v>
      </c>
      <c r="I56" s="5801">
        <v>6</v>
      </c>
      <c r="J56" s="5789">
        <v>6</v>
      </c>
      <c r="K56" s="5802">
        <v>6</v>
      </c>
      <c r="L56" s="5789">
        <v>6</v>
      </c>
      <c r="M56" s="5802">
        <v>6</v>
      </c>
      <c r="N56" s="5802"/>
      <c r="O56" s="5802"/>
      <c r="P56" s="5789" t="s">
        <v>46</v>
      </c>
      <c r="Q56" s="5789" t="s">
        <v>46</v>
      </c>
      <c r="R56" s="5789" t="s">
        <v>46</v>
      </c>
      <c r="S56" s="5789" t="s">
        <v>46</v>
      </c>
      <c r="T56" s="5789" t="s">
        <v>46</v>
      </c>
      <c r="U56" s="5789"/>
      <c r="V56" s="5789"/>
      <c r="W56" s="5791">
        <v>5</v>
      </c>
      <c r="X56" s="5801">
        <v>5</v>
      </c>
      <c r="Y56" s="5789">
        <v>5</v>
      </c>
      <c r="Z56" s="5789">
        <v>5</v>
      </c>
      <c r="AA56" s="5789">
        <v>5</v>
      </c>
      <c r="AB56" s="5789"/>
      <c r="AC56" s="5789"/>
      <c r="AD56" s="5801">
        <v>10</v>
      </c>
      <c r="AE56" s="5789">
        <v>10</v>
      </c>
    </row>
    <row r="57" spans="1:31" ht="18" customHeight="1">
      <c r="A57" s="474" t="s">
        <v>190</v>
      </c>
      <c r="B57" s="3089">
        <v>7</v>
      </c>
      <c r="C57" s="2989">
        <v>7</v>
      </c>
      <c r="D57" s="2989">
        <v>7</v>
      </c>
      <c r="E57" s="2989">
        <v>7</v>
      </c>
      <c r="F57" s="2989">
        <v>7</v>
      </c>
      <c r="G57" s="2989"/>
      <c r="H57" s="2989"/>
      <c r="I57" s="2989">
        <v>4</v>
      </c>
      <c r="J57" s="3088">
        <v>4</v>
      </c>
      <c r="K57" s="3088">
        <v>4</v>
      </c>
      <c r="L57" s="3088">
        <v>4</v>
      </c>
      <c r="M57" s="3112">
        <v>4</v>
      </c>
      <c r="N57" s="3089"/>
      <c r="O57" s="3088"/>
      <c r="P57" s="3088">
        <v>3</v>
      </c>
      <c r="Q57" s="3089">
        <v>3</v>
      </c>
      <c r="R57" s="3088">
        <v>3</v>
      </c>
      <c r="S57" s="3088">
        <v>3</v>
      </c>
      <c r="T57" s="3090">
        <v>3</v>
      </c>
      <c r="U57" s="3090"/>
      <c r="V57" s="3090"/>
      <c r="W57" s="3090">
        <v>11</v>
      </c>
      <c r="X57" s="3112">
        <v>11</v>
      </c>
      <c r="Y57" s="3090">
        <v>11</v>
      </c>
      <c r="Z57" s="3090">
        <v>11</v>
      </c>
      <c r="AA57" s="3090">
        <v>11</v>
      </c>
      <c r="AB57" s="3090" t="s">
        <v>87</v>
      </c>
      <c r="AC57" s="3088" t="s">
        <v>87</v>
      </c>
      <c r="AD57" s="3088" t="s">
        <v>46</v>
      </c>
      <c r="AE57" s="3089" t="s">
        <v>46</v>
      </c>
    </row>
    <row r="58" spans="1:31" ht="18" customHeight="1">
      <c r="A58" s="364" t="s">
        <v>105</v>
      </c>
      <c r="B58" s="5799">
        <v>8</v>
      </c>
      <c r="C58" s="5799">
        <v>8</v>
      </c>
      <c r="D58" s="5799">
        <v>8</v>
      </c>
      <c r="E58" s="5799">
        <v>8</v>
      </c>
      <c r="F58" s="5799">
        <v>8</v>
      </c>
      <c r="G58" s="5799"/>
      <c r="H58" s="5797"/>
      <c r="I58" s="5797" t="s">
        <v>46</v>
      </c>
      <c r="J58" s="5797" t="s">
        <v>46</v>
      </c>
      <c r="K58" s="5797" t="s">
        <v>46</v>
      </c>
      <c r="L58" s="5797" t="s">
        <v>46</v>
      </c>
      <c r="M58" s="5797" t="s">
        <v>46</v>
      </c>
      <c r="N58" s="5799"/>
      <c r="O58" s="5799"/>
      <c r="P58" s="5799">
        <v>1</v>
      </c>
      <c r="Q58" s="5799">
        <v>1</v>
      </c>
      <c r="R58" s="5799">
        <v>1</v>
      </c>
      <c r="S58" s="5797">
        <v>1</v>
      </c>
      <c r="T58" s="5797">
        <v>1</v>
      </c>
      <c r="U58" s="5800"/>
      <c r="V58" s="5800"/>
      <c r="W58" s="5800">
        <v>9</v>
      </c>
      <c r="X58" s="5800">
        <v>9</v>
      </c>
      <c r="Y58" s="5800">
        <v>9</v>
      </c>
      <c r="Z58" s="5800">
        <v>9</v>
      </c>
      <c r="AA58" s="5800">
        <v>9</v>
      </c>
      <c r="AB58" s="5795" t="s">
        <v>52</v>
      </c>
      <c r="AC58" s="5795" t="s">
        <v>53</v>
      </c>
      <c r="AD58" s="5795" t="s">
        <v>46</v>
      </c>
      <c r="AE58" s="5795" t="s">
        <v>46</v>
      </c>
    </row>
    <row r="59" spans="1:31" ht="18" customHeight="1">
      <c r="A59" s="367" t="s">
        <v>134</v>
      </c>
      <c r="B59" s="5789">
        <v>6</v>
      </c>
      <c r="C59" s="5789">
        <v>6</v>
      </c>
      <c r="D59" s="5789">
        <v>6</v>
      </c>
      <c r="E59" s="5802">
        <v>6</v>
      </c>
      <c r="F59" s="5802">
        <v>6</v>
      </c>
      <c r="G59" s="5802"/>
      <c r="H59" s="5802"/>
      <c r="I59" s="5802" t="s">
        <v>46</v>
      </c>
      <c r="J59" s="5801" t="s">
        <v>46</v>
      </c>
      <c r="K59" s="5789" t="s">
        <v>46</v>
      </c>
      <c r="L59" s="5789" t="s">
        <v>46</v>
      </c>
      <c r="M59" s="5789" t="s">
        <v>46</v>
      </c>
      <c r="N59" s="5791"/>
      <c r="O59" s="5791"/>
      <c r="P59" s="5791">
        <v>5</v>
      </c>
      <c r="Q59" s="5791">
        <v>5</v>
      </c>
      <c r="R59" s="5791">
        <v>5</v>
      </c>
      <c r="S59" s="5791">
        <v>5</v>
      </c>
      <c r="T59" s="5791">
        <v>5</v>
      </c>
      <c r="U59" s="5789"/>
      <c r="V59" s="5789"/>
      <c r="W59" s="5789">
        <v>10</v>
      </c>
      <c r="X59" s="5801">
        <v>10</v>
      </c>
      <c r="Y59" s="5789">
        <v>10</v>
      </c>
      <c r="Z59" s="5789">
        <v>10</v>
      </c>
      <c r="AA59" s="5789">
        <v>10</v>
      </c>
      <c r="AB59" s="5789" t="s">
        <v>53</v>
      </c>
      <c r="AC59" s="5789" t="s">
        <v>53</v>
      </c>
      <c r="AD59" s="5801" t="s">
        <v>46</v>
      </c>
      <c r="AE59" s="5801" t="s">
        <v>46</v>
      </c>
    </row>
    <row r="60" spans="1:31" ht="18" customHeight="1">
      <c r="B60" s="5804"/>
      <c r="C60" s="5805"/>
      <c r="D60" s="5805"/>
      <c r="E60" s="5805"/>
      <c r="K60" s="5806"/>
      <c r="L60" s="5806"/>
      <c r="O60" s="5806"/>
      <c r="P60" s="5806"/>
      <c r="Q60" s="5806"/>
      <c r="T60" s="5804"/>
      <c r="U60" s="5804"/>
      <c r="V60" s="5806"/>
      <c r="W60" s="5806"/>
      <c r="X60" s="5807"/>
      <c r="Y60" s="5807"/>
      <c r="Z60" s="5807"/>
      <c r="AA60" s="5807"/>
      <c r="AB60" s="5807"/>
      <c r="AC60" s="5807"/>
      <c r="AD60" s="5807"/>
      <c r="AE60" s="5807"/>
    </row>
    <row r="62" spans="1:31" ht="18" customHeight="1">
      <c r="A62" s="363" t="s">
        <v>537</v>
      </c>
      <c r="B62" s="2985">
        <v>1</v>
      </c>
      <c r="C62" s="2985">
        <v>2</v>
      </c>
      <c r="D62" s="2985">
        <v>3</v>
      </c>
      <c r="E62" s="2985">
        <v>4</v>
      </c>
      <c r="F62" s="2985">
        <v>5</v>
      </c>
      <c r="G62" s="2986">
        <v>6</v>
      </c>
      <c r="H62" s="2986">
        <v>7</v>
      </c>
      <c r="I62" s="2985">
        <v>8</v>
      </c>
      <c r="J62" s="2985">
        <v>9</v>
      </c>
      <c r="K62" s="2985">
        <v>10</v>
      </c>
      <c r="L62" s="2985">
        <v>11</v>
      </c>
      <c r="M62" s="2985">
        <v>12</v>
      </c>
      <c r="N62" s="2986">
        <v>13</v>
      </c>
      <c r="O62" s="2986">
        <v>14</v>
      </c>
      <c r="P62" s="2985">
        <v>15</v>
      </c>
      <c r="Q62" s="2985">
        <v>16</v>
      </c>
      <c r="R62" s="2985">
        <v>17</v>
      </c>
      <c r="S62" s="2985">
        <v>18</v>
      </c>
      <c r="T62" s="2985">
        <v>19</v>
      </c>
      <c r="U62" s="2986">
        <v>20</v>
      </c>
      <c r="V62" s="2986">
        <v>21</v>
      </c>
      <c r="W62" s="2985">
        <v>22</v>
      </c>
      <c r="X62" s="2985">
        <v>23</v>
      </c>
      <c r="Y62" s="2985">
        <v>24</v>
      </c>
      <c r="Z62" s="2985">
        <v>25</v>
      </c>
      <c r="AA62" s="2985">
        <v>26</v>
      </c>
      <c r="AB62" s="2986">
        <v>27</v>
      </c>
      <c r="AC62" s="2986">
        <v>28</v>
      </c>
      <c r="AD62" s="2985">
        <v>29</v>
      </c>
      <c r="AE62" s="2985">
        <v>30</v>
      </c>
    </row>
    <row r="63" spans="1:31" ht="18" customHeight="1">
      <c r="A63" s="5587" t="s">
        <v>112</v>
      </c>
      <c r="B63" s="5797" t="s">
        <v>40</v>
      </c>
      <c r="C63" s="5797" t="s">
        <v>40</v>
      </c>
      <c r="D63" s="5797" t="s">
        <v>40</v>
      </c>
      <c r="E63" s="5944" t="s">
        <v>40</v>
      </c>
      <c r="F63" s="5800" t="s">
        <v>40</v>
      </c>
      <c r="G63" s="5797"/>
      <c r="H63" s="5797"/>
      <c r="I63" s="5797" t="s">
        <v>40</v>
      </c>
      <c r="J63" s="5797" t="s">
        <v>40</v>
      </c>
      <c r="K63" s="5797" t="s">
        <v>40</v>
      </c>
      <c r="L63" s="5944" t="s">
        <v>40</v>
      </c>
      <c r="M63" s="5800" t="s">
        <v>40</v>
      </c>
      <c r="N63" s="5797"/>
      <c r="O63" s="5797"/>
      <c r="P63" s="5797" t="s">
        <v>40</v>
      </c>
      <c r="Q63" s="5797" t="s">
        <v>40</v>
      </c>
      <c r="R63" s="5797" t="s">
        <v>40</v>
      </c>
      <c r="S63" s="5944" t="s">
        <v>40</v>
      </c>
      <c r="T63" s="5800" t="s">
        <v>40</v>
      </c>
      <c r="U63" s="5797"/>
      <c r="V63" s="5797"/>
      <c r="W63" s="5797" t="s">
        <v>40</v>
      </c>
      <c r="X63" s="5797" t="s">
        <v>40</v>
      </c>
      <c r="Y63" s="5797" t="s">
        <v>40</v>
      </c>
      <c r="Z63" s="5944" t="s">
        <v>40</v>
      </c>
      <c r="AA63" s="5800" t="s">
        <v>40</v>
      </c>
      <c r="AB63" s="5797"/>
      <c r="AC63" s="5797"/>
      <c r="AD63" s="5797" t="s">
        <v>40</v>
      </c>
      <c r="AE63" s="5797" t="s">
        <v>40</v>
      </c>
    </row>
    <row r="64" spans="1:31" ht="18" customHeight="1">
      <c r="A64" s="5587" t="s">
        <v>114</v>
      </c>
      <c r="B64" s="5797" t="s">
        <v>40</v>
      </c>
      <c r="C64" s="5797" t="s">
        <v>40</v>
      </c>
      <c r="D64" s="5797" t="s">
        <v>40</v>
      </c>
      <c r="E64" s="5944" t="s">
        <v>40</v>
      </c>
      <c r="F64" s="5800" t="s">
        <v>40</v>
      </c>
      <c r="G64" s="5797"/>
      <c r="H64" s="5797"/>
      <c r="I64" s="5797" t="s">
        <v>40</v>
      </c>
      <c r="J64" s="5797" t="s">
        <v>40</v>
      </c>
      <c r="K64" s="5797" t="s">
        <v>40</v>
      </c>
      <c r="L64" s="5944" t="s">
        <v>40</v>
      </c>
      <c r="M64" s="5800" t="s">
        <v>40</v>
      </c>
      <c r="N64" s="5797"/>
      <c r="O64" s="5797"/>
      <c r="P64" s="5797" t="s">
        <v>40</v>
      </c>
      <c r="Q64" s="5797" t="s">
        <v>40</v>
      </c>
      <c r="R64" s="5797" t="s">
        <v>40</v>
      </c>
      <c r="S64" s="5944" t="s">
        <v>40</v>
      </c>
      <c r="T64" s="5800" t="s">
        <v>40</v>
      </c>
      <c r="U64" s="5797"/>
      <c r="V64" s="5797"/>
      <c r="W64" s="5797" t="s">
        <v>40</v>
      </c>
      <c r="X64" s="5797" t="s">
        <v>40</v>
      </c>
      <c r="Y64" s="5797" t="s">
        <v>40</v>
      </c>
      <c r="Z64" s="5944" t="s">
        <v>40</v>
      </c>
      <c r="AA64" s="5800" t="s">
        <v>40</v>
      </c>
      <c r="AB64" s="5797"/>
      <c r="AC64" s="5797"/>
      <c r="AD64" s="5797" t="s">
        <v>40</v>
      </c>
      <c r="AE64" s="5797" t="s">
        <v>40</v>
      </c>
    </row>
    <row r="65" spans="1:31" ht="18" customHeight="1">
      <c r="A65" s="5587" t="s">
        <v>117</v>
      </c>
      <c r="B65" s="5797" t="s">
        <v>40</v>
      </c>
      <c r="C65" s="5797" t="s">
        <v>40</v>
      </c>
      <c r="D65" s="5797" t="s">
        <v>40</v>
      </c>
      <c r="E65" s="5944" t="s">
        <v>40</v>
      </c>
      <c r="F65" s="5800" t="s">
        <v>40</v>
      </c>
      <c r="G65" s="5797"/>
      <c r="H65" s="5797"/>
      <c r="I65" s="5797" t="s">
        <v>40</v>
      </c>
      <c r="J65" s="5797" t="s">
        <v>40</v>
      </c>
      <c r="K65" s="5797" t="s">
        <v>40</v>
      </c>
      <c r="L65" s="5944" t="s">
        <v>40</v>
      </c>
      <c r="M65" s="5800" t="s">
        <v>40</v>
      </c>
      <c r="N65" s="5797"/>
      <c r="O65" s="5797"/>
      <c r="P65" s="5797" t="s">
        <v>40</v>
      </c>
      <c r="Q65" s="5797" t="s">
        <v>40</v>
      </c>
      <c r="R65" s="5797" t="s">
        <v>40</v>
      </c>
      <c r="S65" s="5944" t="s">
        <v>40</v>
      </c>
      <c r="T65" s="5800" t="s">
        <v>40</v>
      </c>
      <c r="U65" s="5797"/>
      <c r="V65" s="5797"/>
      <c r="W65" s="5797" t="s">
        <v>40</v>
      </c>
      <c r="X65" s="5797" t="s">
        <v>40</v>
      </c>
      <c r="Y65" s="5797" t="s">
        <v>40</v>
      </c>
      <c r="Z65" s="5944" t="s">
        <v>40</v>
      </c>
      <c r="AA65" s="5800" t="s">
        <v>40</v>
      </c>
      <c r="AB65" s="5797"/>
      <c r="AC65" s="5797"/>
      <c r="AD65" s="5797" t="s">
        <v>40</v>
      </c>
      <c r="AE65" s="5797" t="s">
        <v>40</v>
      </c>
    </row>
    <row r="66" spans="1:31" ht="18" customHeight="1">
      <c r="A66" s="5587" t="s">
        <v>622</v>
      </c>
      <c r="B66" s="5797" t="s">
        <v>40</v>
      </c>
      <c r="C66" s="5797" t="s">
        <v>40</v>
      </c>
      <c r="D66" s="5797" t="s">
        <v>40</v>
      </c>
      <c r="E66" s="5944" t="s">
        <v>40</v>
      </c>
      <c r="F66" s="5800" t="s">
        <v>40</v>
      </c>
      <c r="G66" s="5797"/>
      <c r="H66" s="5797"/>
      <c r="I66" s="5797" t="s">
        <v>40</v>
      </c>
      <c r="J66" s="5797" t="s">
        <v>40</v>
      </c>
      <c r="K66" s="5797" t="s">
        <v>40</v>
      </c>
      <c r="L66" s="5944" t="s">
        <v>40</v>
      </c>
      <c r="M66" s="5800" t="s">
        <v>40</v>
      </c>
      <c r="N66" s="5797"/>
      <c r="O66" s="5797"/>
      <c r="P66" s="5797" t="s">
        <v>40</v>
      </c>
      <c r="Q66" s="5797" t="s">
        <v>40</v>
      </c>
      <c r="R66" s="5797" t="s">
        <v>40</v>
      </c>
      <c r="S66" s="5944" t="s">
        <v>40</v>
      </c>
      <c r="T66" s="5800" t="s">
        <v>40</v>
      </c>
      <c r="U66" s="5797"/>
      <c r="V66" s="5797"/>
      <c r="W66" s="5797" t="s">
        <v>40</v>
      </c>
      <c r="X66" s="5797" t="s">
        <v>40</v>
      </c>
      <c r="Y66" s="5797" t="s">
        <v>40</v>
      </c>
      <c r="Z66" s="5944" t="s">
        <v>40</v>
      </c>
      <c r="AA66" s="5800" t="s">
        <v>40</v>
      </c>
      <c r="AB66" s="5797"/>
      <c r="AC66" s="5797"/>
      <c r="AD66" s="5797" t="s">
        <v>40</v>
      </c>
      <c r="AE66" s="5797" t="s">
        <v>40</v>
      </c>
    </row>
    <row r="67" spans="1:31" ht="18" customHeight="1">
      <c r="A67" s="5587" t="s">
        <v>122</v>
      </c>
      <c r="B67" s="5797" t="s">
        <v>40</v>
      </c>
      <c r="C67" s="5797" t="s">
        <v>40</v>
      </c>
      <c r="D67" s="5797" t="s">
        <v>40</v>
      </c>
      <c r="E67" s="5944" t="s">
        <v>40</v>
      </c>
      <c r="F67" s="5800" t="s">
        <v>40</v>
      </c>
      <c r="G67" s="5797"/>
      <c r="H67" s="5797"/>
      <c r="I67" s="5797" t="s">
        <v>40</v>
      </c>
      <c r="J67" s="5797" t="s">
        <v>40</v>
      </c>
      <c r="K67" s="5797" t="s">
        <v>40</v>
      </c>
      <c r="L67" s="5944" t="s">
        <v>40</v>
      </c>
      <c r="M67" s="5800" t="s">
        <v>40</v>
      </c>
      <c r="N67" s="5797"/>
      <c r="O67" s="5797"/>
      <c r="P67" s="5797" t="s">
        <v>40</v>
      </c>
      <c r="Q67" s="5797" t="s">
        <v>40</v>
      </c>
      <c r="R67" s="5797" t="s">
        <v>40</v>
      </c>
      <c r="S67" s="5944" t="s">
        <v>40</v>
      </c>
      <c r="T67" s="5800" t="s">
        <v>40</v>
      </c>
      <c r="U67" s="5797"/>
      <c r="V67" s="5797"/>
      <c r="W67" s="5797" t="s">
        <v>40</v>
      </c>
      <c r="X67" s="5797" t="s">
        <v>40</v>
      </c>
      <c r="Y67" s="5797" t="s">
        <v>40</v>
      </c>
      <c r="Z67" s="5944" t="s">
        <v>40</v>
      </c>
      <c r="AA67" s="5800" t="s">
        <v>40</v>
      </c>
      <c r="AB67" s="5797"/>
      <c r="AC67" s="5797"/>
      <c r="AD67" s="5797" t="s">
        <v>40</v>
      </c>
      <c r="AE67" s="5797" t="s">
        <v>40</v>
      </c>
    </row>
    <row r="68" spans="1:31" ht="18" customHeight="1">
      <c r="A68" s="5587" t="s">
        <v>129</v>
      </c>
      <c r="B68" s="5797" t="s">
        <v>40</v>
      </c>
      <c r="C68" s="5797" t="s">
        <v>40</v>
      </c>
      <c r="D68" s="5797" t="s">
        <v>40</v>
      </c>
      <c r="E68" s="5944" t="s">
        <v>40</v>
      </c>
      <c r="F68" s="5800" t="s">
        <v>40</v>
      </c>
      <c r="G68" s="5797"/>
      <c r="H68" s="5797"/>
      <c r="I68" s="5797" t="s">
        <v>40</v>
      </c>
      <c r="J68" s="5797" t="s">
        <v>40</v>
      </c>
      <c r="K68" s="5797" t="s">
        <v>40</v>
      </c>
      <c r="L68" s="5944" t="s">
        <v>40</v>
      </c>
      <c r="M68" s="5800" t="s">
        <v>40</v>
      </c>
      <c r="N68" s="5797"/>
      <c r="O68" s="5797"/>
      <c r="P68" s="5797" t="s">
        <v>40</v>
      </c>
      <c r="Q68" s="5797" t="s">
        <v>40</v>
      </c>
      <c r="R68" s="5797" t="s">
        <v>40</v>
      </c>
      <c r="S68" s="5944" t="s">
        <v>40</v>
      </c>
      <c r="T68" s="5800" t="s">
        <v>40</v>
      </c>
      <c r="U68" s="5797"/>
      <c r="V68" s="5797"/>
      <c r="W68" s="5797" t="s">
        <v>40</v>
      </c>
      <c r="X68" s="5797" t="s">
        <v>40</v>
      </c>
      <c r="Y68" s="5797" t="s">
        <v>40</v>
      </c>
      <c r="Z68" s="5944" t="s">
        <v>40</v>
      </c>
      <c r="AA68" s="5800" t="s">
        <v>40</v>
      </c>
      <c r="AB68" s="5797"/>
      <c r="AC68" s="5797"/>
      <c r="AD68" s="5797" t="s">
        <v>40</v>
      </c>
      <c r="AE68" s="5797" t="s">
        <v>40</v>
      </c>
    </row>
    <row r="69" spans="1:31" ht="18" customHeight="1">
      <c r="A69" s="5591" t="s">
        <v>140</v>
      </c>
      <c r="B69" s="5797" t="s">
        <v>40</v>
      </c>
      <c r="C69" s="5797" t="s">
        <v>40</v>
      </c>
      <c r="D69" s="5797" t="s">
        <v>40</v>
      </c>
      <c r="E69" s="5944" t="s">
        <v>40</v>
      </c>
      <c r="F69" s="5800" t="s">
        <v>40</v>
      </c>
      <c r="G69" s="5797"/>
      <c r="H69" s="5797"/>
      <c r="I69" s="5797" t="s">
        <v>40</v>
      </c>
      <c r="J69" s="5797" t="s">
        <v>40</v>
      </c>
      <c r="K69" s="5797" t="s">
        <v>40</v>
      </c>
      <c r="L69" s="5944" t="s">
        <v>40</v>
      </c>
      <c r="M69" s="5800" t="s">
        <v>40</v>
      </c>
      <c r="N69" s="5797"/>
      <c r="O69" s="5797"/>
      <c r="P69" s="5797" t="s">
        <v>40</v>
      </c>
      <c r="Q69" s="5797" t="s">
        <v>40</v>
      </c>
      <c r="R69" s="5797" t="s">
        <v>40</v>
      </c>
      <c r="S69" s="5944" t="s">
        <v>40</v>
      </c>
      <c r="T69" s="5800" t="s">
        <v>40</v>
      </c>
      <c r="U69" s="5797"/>
      <c r="V69" s="5797"/>
      <c r="W69" s="5797" t="s">
        <v>40</v>
      </c>
      <c r="X69" s="5797" t="s">
        <v>40</v>
      </c>
      <c r="Y69" s="5797" t="s">
        <v>40</v>
      </c>
      <c r="Z69" s="5944" t="s">
        <v>40</v>
      </c>
      <c r="AA69" s="5800" t="s">
        <v>40</v>
      </c>
      <c r="AB69" s="5797"/>
      <c r="AC69" s="5797"/>
      <c r="AD69" s="5797" t="s">
        <v>40</v>
      </c>
      <c r="AE69" s="5797" t="s">
        <v>40</v>
      </c>
    </row>
    <row r="70" spans="1:31" ht="18" customHeight="1">
      <c r="A70" s="5547" t="s">
        <v>478</v>
      </c>
      <c r="B70" s="5797" t="s">
        <v>40</v>
      </c>
      <c r="C70" s="5797" t="s">
        <v>40</v>
      </c>
      <c r="D70" s="5797" t="s">
        <v>40</v>
      </c>
      <c r="E70" s="5944" t="s">
        <v>40</v>
      </c>
      <c r="F70" s="5800" t="s">
        <v>40</v>
      </c>
      <c r="G70" s="5797"/>
      <c r="H70" s="5797"/>
      <c r="I70" s="5797" t="s">
        <v>40</v>
      </c>
      <c r="J70" s="5797" t="s">
        <v>40</v>
      </c>
      <c r="K70" s="5797" t="s">
        <v>40</v>
      </c>
      <c r="L70" s="5944" t="s">
        <v>40</v>
      </c>
      <c r="M70" s="5800" t="s">
        <v>40</v>
      </c>
      <c r="N70" s="5797"/>
      <c r="O70" s="5797"/>
      <c r="P70" s="5797" t="s">
        <v>40</v>
      </c>
      <c r="Q70" s="5797" t="s">
        <v>40</v>
      </c>
      <c r="R70" s="5797" t="s">
        <v>40</v>
      </c>
      <c r="S70" s="5944" t="s">
        <v>40</v>
      </c>
      <c r="T70" s="5800" t="s">
        <v>40</v>
      </c>
      <c r="U70" s="5797"/>
      <c r="V70" s="5797"/>
      <c r="W70" s="5797" t="s">
        <v>40</v>
      </c>
      <c r="X70" s="5797" t="s">
        <v>40</v>
      </c>
      <c r="Y70" s="5797" t="s">
        <v>40</v>
      </c>
      <c r="Z70" s="5944" t="s">
        <v>40</v>
      </c>
      <c r="AA70" s="5800" t="s">
        <v>40</v>
      </c>
      <c r="AB70" s="5797"/>
      <c r="AC70" s="5797"/>
      <c r="AD70" s="5797" t="s">
        <v>40</v>
      </c>
      <c r="AE70" s="5797" t="s">
        <v>40</v>
      </c>
    </row>
    <row r="71" spans="1:31" ht="18" customHeight="1">
      <c r="A71" s="5591" t="s">
        <v>479</v>
      </c>
      <c r="B71" s="5797" t="s">
        <v>40</v>
      </c>
      <c r="C71" s="5797" t="s">
        <v>40</v>
      </c>
      <c r="D71" s="5797" t="s">
        <v>40</v>
      </c>
      <c r="E71" s="5944" t="s">
        <v>40</v>
      </c>
      <c r="F71" s="5800" t="s">
        <v>40</v>
      </c>
      <c r="G71" s="5797"/>
      <c r="H71" s="5797"/>
      <c r="I71" s="5797" t="s">
        <v>40</v>
      </c>
      <c r="J71" s="5797" t="s">
        <v>40</v>
      </c>
      <c r="K71" s="5797" t="s">
        <v>40</v>
      </c>
      <c r="L71" s="5944" t="s">
        <v>40</v>
      </c>
      <c r="M71" s="5800" t="s">
        <v>40</v>
      </c>
      <c r="N71" s="5797"/>
      <c r="O71" s="5797"/>
      <c r="P71" s="5797" t="s">
        <v>40</v>
      </c>
      <c r="Q71" s="5797" t="s">
        <v>40</v>
      </c>
      <c r="R71" s="5797" t="s">
        <v>40</v>
      </c>
      <c r="S71" s="5944" t="s">
        <v>40</v>
      </c>
      <c r="T71" s="5800" t="s">
        <v>40</v>
      </c>
      <c r="U71" s="5797"/>
      <c r="V71" s="5797"/>
      <c r="W71" s="5797" t="s">
        <v>40</v>
      </c>
      <c r="X71" s="5797" t="s">
        <v>40</v>
      </c>
      <c r="Y71" s="5797" t="s">
        <v>40</v>
      </c>
      <c r="Z71" s="5944" t="s">
        <v>40</v>
      </c>
      <c r="AA71" s="5800" t="s">
        <v>40</v>
      </c>
      <c r="AB71" s="5797"/>
      <c r="AC71" s="5797"/>
      <c r="AD71" s="5797" t="s">
        <v>40</v>
      </c>
      <c r="AE71" s="5797" t="s">
        <v>40</v>
      </c>
    </row>
    <row r="72" spans="1:31" ht="18" customHeight="1">
      <c r="A72" s="5592" t="s">
        <v>564</v>
      </c>
      <c r="B72" s="5797" t="s">
        <v>40</v>
      </c>
      <c r="C72" s="5797" t="s">
        <v>40</v>
      </c>
      <c r="D72" s="5797" t="s">
        <v>40</v>
      </c>
      <c r="E72" s="5944" t="s">
        <v>40</v>
      </c>
      <c r="F72" s="5800" t="s">
        <v>40</v>
      </c>
      <c r="G72" s="5797"/>
      <c r="H72" s="5797"/>
      <c r="I72" s="5797" t="s">
        <v>40</v>
      </c>
      <c r="J72" s="5797" t="s">
        <v>40</v>
      </c>
      <c r="K72" s="5797" t="s">
        <v>40</v>
      </c>
      <c r="L72" s="5944" t="s">
        <v>40</v>
      </c>
      <c r="M72" s="5800" t="s">
        <v>40</v>
      </c>
      <c r="N72" s="5797"/>
      <c r="O72" s="5797"/>
      <c r="P72" s="5797" t="s">
        <v>40</v>
      </c>
      <c r="Q72" s="5797" t="s">
        <v>40</v>
      </c>
      <c r="R72" s="5797" t="s">
        <v>40</v>
      </c>
      <c r="S72" s="5944" t="s">
        <v>40</v>
      </c>
      <c r="T72" s="5800" t="s">
        <v>40</v>
      </c>
      <c r="U72" s="5797"/>
      <c r="V72" s="5797"/>
      <c r="W72" s="5797" t="s">
        <v>40</v>
      </c>
      <c r="X72" s="5797" t="s">
        <v>40</v>
      </c>
      <c r="Y72" s="5797" t="s">
        <v>40</v>
      </c>
      <c r="Z72" s="5944" t="s">
        <v>40</v>
      </c>
      <c r="AA72" s="5800" t="s">
        <v>40</v>
      </c>
      <c r="AB72" s="5797"/>
      <c r="AC72" s="5797"/>
      <c r="AD72" s="5797" t="s">
        <v>40</v>
      </c>
      <c r="AE72" s="5797" t="s">
        <v>40</v>
      </c>
    </row>
    <row r="73" spans="1:31" ht="18" customHeight="1">
      <c r="A73" s="5593" t="s">
        <v>565</v>
      </c>
      <c r="B73" s="5797" t="s">
        <v>40</v>
      </c>
      <c r="C73" s="5797" t="s">
        <v>40</v>
      </c>
      <c r="D73" s="5797" t="s">
        <v>40</v>
      </c>
      <c r="E73" s="5944" t="s">
        <v>40</v>
      </c>
      <c r="F73" s="5800" t="s">
        <v>40</v>
      </c>
      <c r="G73" s="5797"/>
      <c r="H73" s="5797"/>
      <c r="I73" s="5797" t="s">
        <v>40</v>
      </c>
      <c r="J73" s="5797" t="s">
        <v>40</v>
      </c>
      <c r="K73" s="5797" t="s">
        <v>40</v>
      </c>
      <c r="L73" s="5944" t="s">
        <v>40</v>
      </c>
      <c r="M73" s="5800" t="s">
        <v>40</v>
      </c>
      <c r="N73" s="5797"/>
      <c r="O73" s="5797"/>
      <c r="P73" s="5797" t="s">
        <v>40</v>
      </c>
      <c r="Q73" s="5797" t="s">
        <v>40</v>
      </c>
      <c r="R73" s="5797" t="s">
        <v>40</v>
      </c>
      <c r="S73" s="5944" t="s">
        <v>40</v>
      </c>
      <c r="T73" s="5800" t="s">
        <v>40</v>
      </c>
      <c r="U73" s="5797"/>
      <c r="V73" s="5797"/>
      <c r="W73" s="5797" t="s">
        <v>40</v>
      </c>
      <c r="X73" s="5797" t="s">
        <v>40</v>
      </c>
      <c r="Y73" s="5797" t="s">
        <v>40</v>
      </c>
      <c r="Z73" s="5944" t="s">
        <v>40</v>
      </c>
      <c r="AA73" s="5800" t="s">
        <v>40</v>
      </c>
      <c r="AB73" s="5797"/>
      <c r="AC73" s="5797"/>
      <c r="AD73" s="5797" t="s">
        <v>40</v>
      </c>
      <c r="AE73" s="5797" t="s">
        <v>40</v>
      </c>
    </row>
    <row r="74" spans="1:31" ht="18" customHeight="1">
      <c r="A74" s="5593" t="s">
        <v>540</v>
      </c>
      <c r="B74" s="5797" t="s">
        <v>40</v>
      </c>
      <c r="C74" s="5797" t="s">
        <v>40</v>
      </c>
      <c r="D74" s="5797" t="s">
        <v>40</v>
      </c>
      <c r="E74" s="5944" t="s">
        <v>40</v>
      </c>
      <c r="F74" s="5800" t="s">
        <v>40</v>
      </c>
      <c r="G74" s="5797"/>
      <c r="H74" s="5797"/>
      <c r="I74" s="5797" t="s">
        <v>40</v>
      </c>
      <c r="J74" s="5797" t="s">
        <v>40</v>
      </c>
      <c r="K74" s="5797" t="s">
        <v>40</v>
      </c>
      <c r="L74" s="5944" t="s">
        <v>40</v>
      </c>
      <c r="M74" s="5800" t="s">
        <v>40</v>
      </c>
      <c r="N74" s="5797"/>
      <c r="O74" s="5797"/>
      <c r="P74" s="5797" t="s">
        <v>40</v>
      </c>
      <c r="Q74" s="5797" t="s">
        <v>40</v>
      </c>
      <c r="R74" s="5797" t="s">
        <v>40</v>
      </c>
      <c r="S74" s="5944" t="s">
        <v>40</v>
      </c>
      <c r="T74" s="5800" t="s">
        <v>40</v>
      </c>
      <c r="U74" s="5797"/>
      <c r="V74" s="5797"/>
      <c r="W74" s="5797" t="s">
        <v>40</v>
      </c>
      <c r="X74" s="5797" t="s">
        <v>40</v>
      </c>
      <c r="Y74" s="5797" t="s">
        <v>40</v>
      </c>
      <c r="Z74" s="5944" t="s">
        <v>40</v>
      </c>
      <c r="AA74" s="5800" t="s">
        <v>40</v>
      </c>
      <c r="AB74" s="5797"/>
      <c r="AC74" s="5797"/>
      <c r="AD74" s="5797" t="s">
        <v>40</v>
      </c>
      <c r="AE74" s="5797" t="s">
        <v>40</v>
      </c>
    </row>
    <row r="75" spans="1:31" ht="18" customHeight="1">
      <c r="A75" s="5965" t="s">
        <v>591</v>
      </c>
      <c r="B75" s="5797" t="s">
        <v>40</v>
      </c>
      <c r="C75" s="5797" t="s">
        <v>40</v>
      </c>
      <c r="D75" s="5797" t="s">
        <v>40</v>
      </c>
      <c r="E75" s="5944" t="s">
        <v>40</v>
      </c>
      <c r="F75" s="5800" t="s">
        <v>40</v>
      </c>
      <c r="G75" s="5797"/>
      <c r="H75" s="5797"/>
      <c r="I75" s="5797" t="s">
        <v>40</v>
      </c>
      <c r="J75" s="5797" t="s">
        <v>40</v>
      </c>
      <c r="K75" s="5797" t="s">
        <v>40</v>
      </c>
      <c r="L75" s="5944" t="s">
        <v>40</v>
      </c>
      <c r="M75" s="5800" t="s">
        <v>40</v>
      </c>
      <c r="N75" s="5797"/>
      <c r="O75" s="5797"/>
      <c r="P75" s="5797" t="s">
        <v>40</v>
      </c>
      <c r="Q75" s="5797" t="s">
        <v>40</v>
      </c>
      <c r="R75" s="5797" t="s">
        <v>40</v>
      </c>
      <c r="S75" s="5944" t="s">
        <v>40</v>
      </c>
      <c r="T75" s="5800" t="s">
        <v>40</v>
      </c>
      <c r="U75" s="5797"/>
      <c r="V75" s="5797"/>
      <c r="W75" s="5797" t="s">
        <v>40</v>
      </c>
      <c r="X75" s="5797" t="s">
        <v>40</v>
      </c>
      <c r="Y75" s="5797" t="s">
        <v>40</v>
      </c>
      <c r="Z75" s="5944" t="s">
        <v>40</v>
      </c>
      <c r="AA75" s="5800" t="s">
        <v>40</v>
      </c>
      <c r="AB75" s="5797"/>
      <c r="AC75" s="5797"/>
      <c r="AD75" s="5797" t="s">
        <v>40</v>
      </c>
      <c r="AE75" s="5797" t="s">
        <v>40</v>
      </c>
    </row>
    <row r="76" spans="1:31" ht="18" customHeight="1">
      <c r="A76" s="1517" t="s">
        <v>154</v>
      </c>
      <c r="B76" s="2985">
        <v>1</v>
      </c>
      <c r="C76" s="2985">
        <v>2</v>
      </c>
      <c r="D76" s="2985">
        <v>3</v>
      </c>
      <c r="E76" s="2985">
        <v>4</v>
      </c>
      <c r="F76" s="2985">
        <v>5</v>
      </c>
      <c r="G76" s="2986">
        <v>6</v>
      </c>
      <c r="H76" s="2986">
        <v>7</v>
      </c>
      <c r="I76" s="2985">
        <v>8</v>
      </c>
      <c r="J76" s="2985">
        <v>9</v>
      </c>
      <c r="K76" s="2985">
        <v>10</v>
      </c>
      <c r="L76" s="2985">
        <v>11</v>
      </c>
      <c r="M76" s="2985">
        <v>12</v>
      </c>
      <c r="N76" s="2986">
        <v>13</v>
      </c>
      <c r="O76" s="2986">
        <v>14</v>
      </c>
      <c r="P76" s="2985">
        <v>15</v>
      </c>
      <c r="Q76" s="2985">
        <v>16</v>
      </c>
      <c r="R76" s="2985">
        <v>17</v>
      </c>
      <c r="S76" s="2985">
        <v>18</v>
      </c>
      <c r="T76" s="2985">
        <v>19</v>
      </c>
      <c r="U76" s="2986">
        <v>20</v>
      </c>
      <c r="V76" s="2986">
        <v>21</v>
      </c>
      <c r="W76" s="2985">
        <v>22</v>
      </c>
      <c r="X76" s="2985">
        <v>23</v>
      </c>
      <c r="Y76" s="2985">
        <v>24</v>
      </c>
      <c r="Z76" s="2985">
        <v>25</v>
      </c>
      <c r="AA76" s="2985">
        <v>26</v>
      </c>
      <c r="AB76" s="2986">
        <v>27</v>
      </c>
      <c r="AC76" s="2986">
        <v>28</v>
      </c>
      <c r="AD76" s="2985">
        <v>29</v>
      </c>
      <c r="AE76" s="2985">
        <v>30</v>
      </c>
    </row>
    <row r="77" spans="1:31" ht="18" customHeight="1">
      <c r="A77" s="5595"/>
      <c r="B77" s="5800" t="s">
        <v>40</v>
      </c>
      <c r="C77" s="5800" t="s">
        <v>40</v>
      </c>
      <c r="D77" s="5799" t="s">
        <v>40</v>
      </c>
      <c r="E77" s="5799" t="s">
        <v>40</v>
      </c>
      <c r="F77" s="5799" t="s">
        <v>40</v>
      </c>
      <c r="G77" s="5796"/>
      <c r="H77" s="5796"/>
      <c r="I77" s="5796" t="s">
        <v>40</v>
      </c>
      <c r="J77" s="5800" t="s">
        <v>40</v>
      </c>
      <c r="K77" s="5800" t="s">
        <v>40</v>
      </c>
      <c r="L77" s="5800" t="s">
        <v>40</v>
      </c>
      <c r="M77" s="5800" t="s">
        <v>40</v>
      </c>
      <c r="N77" s="5796"/>
      <c r="O77" s="5796"/>
      <c r="P77" s="5796" t="s">
        <v>40</v>
      </c>
      <c r="Q77" s="5796" t="s">
        <v>40</v>
      </c>
      <c r="R77" s="5796" t="s">
        <v>40</v>
      </c>
      <c r="S77" s="5800" t="s">
        <v>40</v>
      </c>
      <c r="T77" s="5800" t="s">
        <v>40</v>
      </c>
      <c r="U77" s="5796"/>
      <c r="V77" s="5796"/>
      <c r="W77" s="5800" t="s">
        <v>40</v>
      </c>
      <c r="X77" s="5800" t="s">
        <v>40</v>
      </c>
      <c r="Y77" s="5800" t="s">
        <v>40</v>
      </c>
      <c r="Z77" s="5800" t="s">
        <v>40</v>
      </c>
      <c r="AA77" s="5800" t="s">
        <v>40</v>
      </c>
      <c r="AB77" s="5796"/>
      <c r="AC77" s="5796"/>
      <c r="AD77" s="5800" t="s">
        <v>40</v>
      </c>
      <c r="AE77" s="5800" t="s">
        <v>40</v>
      </c>
    </row>
    <row r="78" spans="1:31" ht="18" customHeight="1">
      <c r="A78" s="5547"/>
      <c r="B78" s="5800" t="s">
        <v>40</v>
      </c>
      <c r="C78" s="5800" t="s">
        <v>40</v>
      </c>
      <c r="D78" s="5799" t="s">
        <v>40</v>
      </c>
      <c r="E78" s="5799" t="s">
        <v>40</v>
      </c>
      <c r="F78" s="5799" t="s">
        <v>40</v>
      </c>
      <c r="G78" s="5796"/>
      <c r="H78" s="5796"/>
      <c r="I78" s="5796" t="s">
        <v>40</v>
      </c>
      <c r="J78" s="5800" t="s">
        <v>40</v>
      </c>
      <c r="K78" s="5800" t="s">
        <v>40</v>
      </c>
      <c r="L78" s="5800" t="s">
        <v>40</v>
      </c>
      <c r="M78" s="5800" t="s">
        <v>40</v>
      </c>
      <c r="N78" s="5796"/>
      <c r="O78" s="5796"/>
      <c r="P78" s="5796" t="s">
        <v>40</v>
      </c>
      <c r="Q78" s="5796" t="s">
        <v>40</v>
      </c>
      <c r="R78" s="5796" t="s">
        <v>40</v>
      </c>
      <c r="S78" s="5800" t="s">
        <v>40</v>
      </c>
      <c r="T78" s="5800" t="s">
        <v>40</v>
      </c>
      <c r="U78" s="5796"/>
      <c r="V78" s="5796"/>
      <c r="W78" s="5800" t="s">
        <v>40</v>
      </c>
      <c r="X78" s="5800" t="s">
        <v>40</v>
      </c>
      <c r="Y78" s="5800" t="s">
        <v>40</v>
      </c>
      <c r="Z78" s="5800" t="s">
        <v>40</v>
      </c>
      <c r="AA78" s="5800" t="s">
        <v>40</v>
      </c>
      <c r="AB78" s="5796"/>
      <c r="AC78" s="5796"/>
      <c r="AD78" s="5800" t="s">
        <v>40</v>
      </c>
      <c r="AE78" s="5800" t="s">
        <v>40</v>
      </c>
    </row>
    <row r="79" spans="1:31" ht="18" customHeight="1">
      <c r="A79" s="1481" t="s">
        <v>156</v>
      </c>
      <c r="B79" s="2985">
        <v>1</v>
      </c>
      <c r="C79" s="2985">
        <v>2</v>
      </c>
      <c r="D79" s="2985">
        <v>3</v>
      </c>
      <c r="E79" s="2985">
        <v>4</v>
      </c>
      <c r="F79" s="2985">
        <v>5</v>
      </c>
      <c r="G79" s="2986">
        <v>6</v>
      </c>
      <c r="H79" s="2986">
        <v>7</v>
      </c>
      <c r="I79" s="2985">
        <v>8</v>
      </c>
      <c r="J79" s="2985">
        <v>9</v>
      </c>
      <c r="K79" s="2985">
        <v>10</v>
      </c>
      <c r="L79" s="2985">
        <v>11</v>
      </c>
      <c r="M79" s="2985">
        <v>12</v>
      </c>
      <c r="N79" s="2986">
        <v>13</v>
      </c>
      <c r="O79" s="2986">
        <v>14</v>
      </c>
      <c r="P79" s="2985">
        <v>15</v>
      </c>
      <c r="Q79" s="2985">
        <v>16</v>
      </c>
      <c r="R79" s="2985">
        <v>17</v>
      </c>
      <c r="S79" s="2985">
        <v>18</v>
      </c>
      <c r="T79" s="2985">
        <v>19</v>
      </c>
      <c r="U79" s="2986">
        <v>20</v>
      </c>
      <c r="V79" s="2986">
        <v>21</v>
      </c>
      <c r="W79" s="2985">
        <v>22</v>
      </c>
      <c r="X79" s="2985">
        <v>23</v>
      </c>
      <c r="Y79" s="2985">
        <v>24</v>
      </c>
      <c r="Z79" s="2985">
        <v>25</v>
      </c>
      <c r="AA79" s="2985">
        <v>26</v>
      </c>
      <c r="AB79" s="2986">
        <v>27</v>
      </c>
      <c r="AC79" s="2986">
        <v>28</v>
      </c>
      <c r="AD79" s="2985">
        <v>29</v>
      </c>
      <c r="AE79" s="2985">
        <v>30</v>
      </c>
    </row>
    <row r="80" spans="1:31" ht="18" customHeight="1">
      <c r="A80" s="5591" t="s">
        <v>688</v>
      </c>
      <c r="B80" s="5797" t="s">
        <v>40</v>
      </c>
      <c r="C80" s="5797" t="s">
        <v>40</v>
      </c>
      <c r="D80" s="5797" t="s">
        <v>40</v>
      </c>
      <c r="E80" s="5944" t="s">
        <v>40</v>
      </c>
      <c r="F80" s="5800" t="s">
        <v>40</v>
      </c>
      <c r="G80" s="5797"/>
      <c r="H80" s="5797"/>
      <c r="I80" s="5797" t="s">
        <v>40</v>
      </c>
      <c r="J80" s="5797" t="s">
        <v>40</v>
      </c>
      <c r="K80" s="5797" t="s">
        <v>40</v>
      </c>
      <c r="L80" s="5944" t="s">
        <v>40</v>
      </c>
      <c r="M80" s="5800" t="s">
        <v>40</v>
      </c>
      <c r="N80" s="5797"/>
      <c r="O80" s="5797"/>
      <c r="P80" s="5797" t="s">
        <v>40</v>
      </c>
      <c r="Q80" s="5797" t="s">
        <v>40</v>
      </c>
      <c r="R80" s="5797" t="s">
        <v>40</v>
      </c>
      <c r="S80" s="5944" t="s">
        <v>40</v>
      </c>
      <c r="T80" s="5800" t="s">
        <v>40</v>
      </c>
      <c r="U80" s="5797"/>
      <c r="V80" s="5797"/>
      <c r="W80" s="5797" t="s">
        <v>40</v>
      </c>
      <c r="X80" s="5797" t="s">
        <v>40</v>
      </c>
      <c r="Y80" s="5797" t="s">
        <v>40</v>
      </c>
      <c r="Z80" s="5944" t="s">
        <v>40</v>
      </c>
      <c r="AA80" s="5800" t="s">
        <v>40</v>
      </c>
      <c r="AB80" s="5797"/>
      <c r="AC80" s="5797"/>
      <c r="AD80" s="5797" t="s">
        <v>40</v>
      </c>
      <c r="AE80" s="5797" t="s">
        <v>40</v>
      </c>
    </row>
    <row r="81" spans="1:31" ht="18" customHeight="1">
      <c r="A81" s="364" t="s">
        <v>544</v>
      </c>
      <c r="B81" s="5797" t="s">
        <v>40</v>
      </c>
      <c r="C81" s="5797" t="s">
        <v>40</v>
      </c>
      <c r="D81" s="5797" t="s">
        <v>40</v>
      </c>
      <c r="E81" s="5944" t="s">
        <v>40</v>
      </c>
      <c r="F81" s="5800" t="s">
        <v>40</v>
      </c>
      <c r="G81" s="5797"/>
      <c r="H81" s="5797"/>
      <c r="I81" s="5797" t="s">
        <v>40</v>
      </c>
      <c r="J81" s="5797" t="s">
        <v>40</v>
      </c>
      <c r="K81" s="5797" t="s">
        <v>40</v>
      </c>
      <c r="L81" s="5944" t="s">
        <v>40</v>
      </c>
      <c r="M81" s="5800" t="s">
        <v>40</v>
      </c>
      <c r="N81" s="5797"/>
      <c r="O81" s="5797"/>
      <c r="P81" s="5797" t="s">
        <v>40</v>
      </c>
      <c r="Q81" s="5797" t="s">
        <v>40</v>
      </c>
      <c r="R81" s="5797" t="s">
        <v>40</v>
      </c>
      <c r="S81" s="5944" t="s">
        <v>40</v>
      </c>
      <c r="T81" s="5800" t="s">
        <v>40</v>
      </c>
      <c r="U81" s="5797"/>
      <c r="V81" s="5797"/>
      <c r="W81" s="5797" t="s">
        <v>40</v>
      </c>
      <c r="X81" s="5797" t="s">
        <v>40</v>
      </c>
      <c r="Y81" s="5797" t="s">
        <v>40</v>
      </c>
      <c r="Z81" s="5944" t="s">
        <v>40</v>
      </c>
      <c r="AA81" s="5800" t="s">
        <v>40</v>
      </c>
      <c r="AB81" s="5797"/>
      <c r="AC81" s="5797"/>
      <c r="AD81" s="5797" t="s">
        <v>40</v>
      </c>
      <c r="AE81" s="5797" t="s">
        <v>40</v>
      </c>
    </row>
    <row r="82" spans="1:31" ht="18" customHeight="1">
      <c r="A82" s="469" t="s">
        <v>481</v>
      </c>
      <c r="B82" s="5797" t="s">
        <v>40</v>
      </c>
      <c r="C82" s="5797" t="s">
        <v>40</v>
      </c>
      <c r="D82" s="5797" t="s">
        <v>40</v>
      </c>
      <c r="E82" s="5944" t="s">
        <v>40</v>
      </c>
      <c r="F82" s="5800" t="s">
        <v>40</v>
      </c>
      <c r="G82" s="5797"/>
      <c r="H82" s="5797"/>
      <c r="I82" s="5797" t="s">
        <v>40</v>
      </c>
      <c r="J82" s="5797" t="s">
        <v>40</v>
      </c>
      <c r="K82" s="5797" t="s">
        <v>40</v>
      </c>
      <c r="L82" s="5944" t="s">
        <v>40</v>
      </c>
      <c r="M82" s="5800" t="s">
        <v>40</v>
      </c>
      <c r="N82" s="5797"/>
      <c r="O82" s="5797"/>
      <c r="P82" s="5797" t="s">
        <v>40</v>
      </c>
      <c r="Q82" s="5797" t="s">
        <v>40</v>
      </c>
      <c r="R82" s="5797" t="s">
        <v>40</v>
      </c>
      <c r="S82" s="5944" t="s">
        <v>40</v>
      </c>
      <c r="T82" s="5800" t="s">
        <v>40</v>
      </c>
      <c r="U82" s="5797"/>
      <c r="V82" s="5797"/>
      <c r="W82" s="5797" t="s">
        <v>40</v>
      </c>
      <c r="X82" s="5797" t="s">
        <v>40</v>
      </c>
      <c r="Y82" s="5797" t="s">
        <v>40</v>
      </c>
      <c r="Z82" s="5944" t="s">
        <v>40</v>
      </c>
      <c r="AA82" s="5800" t="s">
        <v>40</v>
      </c>
      <c r="AB82" s="5797"/>
      <c r="AC82" s="5797"/>
      <c r="AD82" s="5797" t="s">
        <v>40</v>
      </c>
      <c r="AE82" s="5797" t="s">
        <v>40</v>
      </c>
    </row>
    <row r="83" spans="1:31" ht="18" customHeight="1">
      <c r="A83" s="430" t="s">
        <v>160</v>
      </c>
      <c r="B83" s="2985">
        <v>1</v>
      </c>
      <c r="C83" s="2985">
        <v>2</v>
      </c>
      <c r="D83" s="2985">
        <v>3</v>
      </c>
      <c r="E83" s="2985">
        <v>4</v>
      </c>
      <c r="F83" s="2985">
        <v>5</v>
      </c>
      <c r="G83" s="2986">
        <v>6</v>
      </c>
      <c r="H83" s="2986">
        <v>7</v>
      </c>
      <c r="I83" s="2985">
        <v>8</v>
      </c>
      <c r="J83" s="2985">
        <v>9</v>
      </c>
      <c r="K83" s="2985">
        <v>10</v>
      </c>
      <c r="L83" s="2985">
        <v>11</v>
      </c>
      <c r="M83" s="2985">
        <v>12</v>
      </c>
      <c r="N83" s="2986">
        <v>13</v>
      </c>
      <c r="O83" s="2986">
        <v>14</v>
      </c>
      <c r="P83" s="2985">
        <v>15</v>
      </c>
      <c r="Q83" s="2985">
        <v>16</v>
      </c>
      <c r="R83" s="2985">
        <v>17</v>
      </c>
      <c r="S83" s="2985">
        <v>18</v>
      </c>
      <c r="T83" s="2985">
        <v>19</v>
      </c>
      <c r="U83" s="2986">
        <v>20</v>
      </c>
      <c r="V83" s="2986">
        <v>21</v>
      </c>
      <c r="W83" s="2985">
        <v>22</v>
      </c>
      <c r="X83" s="2985">
        <v>23</v>
      </c>
      <c r="Y83" s="2985">
        <v>24</v>
      </c>
      <c r="Z83" s="2985">
        <v>25</v>
      </c>
      <c r="AA83" s="2985">
        <v>26</v>
      </c>
      <c r="AB83" s="2986">
        <v>27</v>
      </c>
      <c r="AC83" s="2986">
        <v>28</v>
      </c>
      <c r="AD83" s="2985">
        <v>29</v>
      </c>
      <c r="AE83" s="2985">
        <v>30</v>
      </c>
    </row>
    <row r="84" spans="1:31" ht="18" customHeight="1">
      <c r="A84" s="355"/>
      <c r="B84" s="5797" t="s">
        <v>40</v>
      </c>
      <c r="C84" s="5797" t="s">
        <v>40</v>
      </c>
      <c r="D84" s="5797" t="s">
        <v>40</v>
      </c>
      <c r="E84" s="5944" t="s">
        <v>40</v>
      </c>
      <c r="F84" s="5800" t="s">
        <v>40</v>
      </c>
      <c r="G84" s="5797"/>
      <c r="H84" s="5797"/>
      <c r="I84" s="5797" t="s">
        <v>40</v>
      </c>
      <c r="J84" s="5797" t="s">
        <v>40</v>
      </c>
      <c r="K84" s="5797" t="s">
        <v>40</v>
      </c>
      <c r="L84" s="5944" t="s">
        <v>40</v>
      </c>
      <c r="M84" s="5800" t="s">
        <v>40</v>
      </c>
      <c r="N84" s="5797"/>
      <c r="O84" s="5797"/>
      <c r="P84" s="5797" t="s">
        <v>40</v>
      </c>
      <c r="Q84" s="5797" t="s">
        <v>40</v>
      </c>
      <c r="R84" s="5797" t="s">
        <v>40</v>
      </c>
      <c r="S84" s="5944" t="s">
        <v>40</v>
      </c>
      <c r="T84" s="5800" t="s">
        <v>40</v>
      </c>
      <c r="U84" s="5797"/>
      <c r="V84" s="5797"/>
      <c r="W84" s="5797" t="s">
        <v>40</v>
      </c>
      <c r="X84" s="5797" t="s">
        <v>40</v>
      </c>
      <c r="Y84" s="5797" t="s">
        <v>40</v>
      </c>
      <c r="Z84" s="5944" t="s">
        <v>40</v>
      </c>
      <c r="AA84" s="5800" t="s">
        <v>40</v>
      </c>
      <c r="AB84" s="5797"/>
      <c r="AC84" s="5797"/>
      <c r="AD84" s="5797" t="s">
        <v>40</v>
      </c>
      <c r="AE84" s="5797" t="s">
        <v>40</v>
      </c>
    </row>
    <row r="85" spans="1:31" ht="18" customHeight="1">
      <c r="A85" s="5933"/>
      <c r="B85" s="5797" t="s">
        <v>40</v>
      </c>
      <c r="C85" s="5797" t="s">
        <v>40</v>
      </c>
      <c r="D85" s="5797" t="s">
        <v>40</v>
      </c>
      <c r="E85" s="5944" t="s">
        <v>40</v>
      </c>
      <c r="F85" s="5800" t="s">
        <v>40</v>
      </c>
      <c r="G85" s="5797"/>
      <c r="H85" s="5797"/>
      <c r="I85" s="5797" t="s">
        <v>40</v>
      </c>
      <c r="J85" s="5797" t="s">
        <v>40</v>
      </c>
      <c r="K85" s="5797" t="s">
        <v>40</v>
      </c>
      <c r="L85" s="5944" t="s">
        <v>40</v>
      </c>
      <c r="M85" s="5800" t="s">
        <v>40</v>
      </c>
      <c r="N85" s="5797"/>
      <c r="O85" s="5797"/>
      <c r="P85" s="5797" t="s">
        <v>40</v>
      </c>
      <c r="Q85" s="5797" t="s">
        <v>40</v>
      </c>
      <c r="R85" s="5797" t="s">
        <v>40</v>
      </c>
      <c r="S85" s="5944" t="s">
        <v>40</v>
      </c>
      <c r="T85" s="5800" t="s">
        <v>40</v>
      </c>
      <c r="U85" s="5797"/>
      <c r="V85" s="5797"/>
      <c r="W85" s="5797" t="s">
        <v>40</v>
      </c>
      <c r="X85" s="5797" t="s">
        <v>40</v>
      </c>
      <c r="Y85" s="5797" t="s">
        <v>40</v>
      </c>
      <c r="Z85" s="5944" t="s">
        <v>40</v>
      </c>
      <c r="AA85" s="5800" t="s">
        <v>40</v>
      </c>
      <c r="AB85" s="5797"/>
      <c r="AC85" s="5797"/>
      <c r="AD85" s="5797" t="s">
        <v>40</v>
      </c>
      <c r="AE85" s="5797" t="s">
        <v>40</v>
      </c>
    </row>
    <row r="86" spans="1:31" ht="18" customHeight="1">
      <c r="A86" s="68"/>
      <c r="B86" s="176"/>
      <c r="C86" s="176"/>
      <c r="D86" s="176"/>
      <c r="E86" s="176"/>
      <c r="F86" s="176"/>
      <c r="G86" s="176"/>
      <c r="H86" s="176"/>
      <c r="I86" s="176"/>
      <c r="J86" s="176"/>
      <c r="K86" s="176"/>
      <c r="L86" s="176"/>
      <c r="M86" s="176"/>
      <c r="N86" s="176"/>
      <c r="O86" s="176"/>
      <c r="P86" s="176"/>
      <c r="Q86" s="176"/>
      <c r="R86" s="176"/>
      <c r="S86" s="176"/>
      <c r="T86" s="176"/>
      <c r="U86" s="176"/>
      <c r="V86" s="176"/>
      <c r="W86" s="176"/>
      <c r="X86" s="176"/>
      <c r="Y86" s="176"/>
      <c r="Z86" s="176"/>
      <c r="AA86" s="176"/>
      <c r="AB86" s="176"/>
      <c r="AC86" s="176"/>
      <c r="AD86" s="176"/>
      <c r="AE86" s="176"/>
    </row>
    <row r="87" spans="1:31" ht="18" customHeight="1">
      <c r="B87" s="110"/>
      <c r="C87" s="110"/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</row>
    <row r="88" spans="1:31" ht="18" customHeight="1">
      <c r="A88" s="363" t="s">
        <v>161</v>
      </c>
      <c r="B88" s="5939"/>
      <c r="C88" s="5940" t="s">
        <v>19</v>
      </c>
      <c r="D88" s="5939"/>
      <c r="E88" s="5939"/>
      <c r="F88" s="5940" t="s">
        <v>20</v>
      </c>
      <c r="G88" s="5939"/>
      <c r="H88" s="5939"/>
      <c r="I88" s="5940" t="s">
        <v>21</v>
      </c>
      <c r="J88" s="5939"/>
      <c r="K88" s="5939"/>
      <c r="L88" s="5940" t="s">
        <v>22</v>
      </c>
      <c r="M88" s="5939"/>
      <c r="N88" s="5939"/>
      <c r="O88" s="5940" t="s">
        <v>23</v>
      </c>
      <c r="P88" s="5939"/>
      <c r="Q88" s="5937"/>
      <c r="R88" s="5938" t="s">
        <v>24</v>
      </c>
      <c r="S88" s="5939"/>
      <c r="T88" s="5939"/>
      <c r="U88" s="5940" t="s">
        <v>25</v>
      </c>
      <c r="V88" s="5939"/>
      <c r="W88" s="68"/>
      <c r="X88" s="68"/>
      <c r="Y88" s="68"/>
      <c r="Z88" s="68"/>
      <c r="AA88" s="68"/>
      <c r="AB88" s="68"/>
      <c r="AC88" s="68"/>
      <c r="AD88" s="68"/>
      <c r="AE88" s="68"/>
    </row>
    <row r="89" spans="1:31" ht="18" customHeight="1">
      <c r="A89" s="5814" t="s">
        <v>162</v>
      </c>
      <c r="B89" s="5815" t="s">
        <v>163</v>
      </c>
      <c r="C89" s="5816"/>
      <c r="D89" s="5816"/>
      <c r="E89" s="5815" t="s">
        <v>163</v>
      </c>
      <c r="F89" s="5816"/>
      <c r="G89" s="5816"/>
      <c r="H89" s="5815" t="s">
        <v>163</v>
      </c>
      <c r="I89" s="5816"/>
      <c r="J89" s="5816"/>
      <c r="K89" s="5815" t="s">
        <v>163</v>
      </c>
      <c r="L89" s="5816"/>
      <c r="M89" s="5816"/>
      <c r="N89" s="5815" t="s">
        <v>163</v>
      </c>
      <c r="O89" s="5816"/>
      <c r="P89" s="5816"/>
      <c r="Q89" s="5817"/>
      <c r="R89" s="5816"/>
      <c r="S89" s="5816"/>
      <c r="T89" s="5817" t="s">
        <v>164</v>
      </c>
      <c r="U89" s="5816"/>
      <c r="V89" s="5818"/>
      <c r="W89" s="68"/>
      <c r="X89" s="68"/>
      <c r="Y89" s="68"/>
      <c r="Z89" s="68"/>
      <c r="AA89" s="68"/>
      <c r="AB89" s="68"/>
      <c r="AC89" s="68"/>
      <c r="AD89" s="68"/>
      <c r="AE89" s="68"/>
    </row>
    <row r="90" spans="1:31" ht="18" customHeight="1">
      <c r="A90" s="5814" t="s">
        <v>165</v>
      </c>
      <c r="B90" s="5819" t="s">
        <v>166</v>
      </c>
      <c r="C90" s="5820"/>
      <c r="D90" s="5820"/>
      <c r="E90" s="5819" t="s">
        <v>167</v>
      </c>
      <c r="F90" s="5820"/>
      <c r="G90" s="5820"/>
      <c r="H90" s="5819" t="s">
        <v>167</v>
      </c>
      <c r="I90" s="5820"/>
      <c r="J90" s="5820"/>
      <c r="K90" s="5819" t="s">
        <v>167</v>
      </c>
      <c r="L90" s="5820"/>
      <c r="M90" s="5820"/>
      <c r="N90" s="5819" t="s">
        <v>168</v>
      </c>
      <c r="O90" s="5820"/>
      <c r="P90" s="5820"/>
      <c r="Q90" s="242"/>
      <c r="R90" s="46"/>
      <c r="S90" s="5818"/>
      <c r="T90" s="242"/>
      <c r="U90" s="46"/>
      <c r="V90" s="5818"/>
      <c r="W90" s="68"/>
      <c r="X90" s="68"/>
      <c r="Y90" s="68"/>
      <c r="Z90" s="68"/>
      <c r="AA90" s="68"/>
      <c r="AB90" s="68"/>
      <c r="AC90" s="68"/>
      <c r="AD90" s="68"/>
      <c r="AE90" s="68"/>
    </row>
    <row r="91" spans="1:31" ht="18" customHeight="1">
      <c r="A91" s="5814" t="s">
        <v>169</v>
      </c>
      <c r="B91" s="5821" t="s">
        <v>170</v>
      </c>
      <c r="C91" s="5770"/>
      <c r="D91" s="5770"/>
      <c r="E91" s="5821" t="s">
        <v>171</v>
      </c>
      <c r="F91" s="5778"/>
      <c r="G91" s="5770"/>
      <c r="H91" s="5821" t="s">
        <v>171</v>
      </c>
      <c r="I91" s="5757"/>
      <c r="J91" s="5756"/>
      <c r="K91" s="5617" t="s">
        <v>172</v>
      </c>
      <c r="L91" s="5757"/>
      <c r="M91" s="5618"/>
      <c r="N91" s="5821" t="s">
        <v>172</v>
      </c>
      <c r="O91" s="5770"/>
      <c r="P91" s="5770"/>
      <c r="Q91" s="5617" t="s">
        <v>173</v>
      </c>
      <c r="R91" s="5757"/>
      <c r="S91" s="5756"/>
      <c r="T91" s="5617" t="s">
        <v>173</v>
      </c>
      <c r="U91" s="5757"/>
      <c r="V91" s="5756"/>
      <c r="W91" s="68"/>
      <c r="X91" s="68"/>
      <c r="Y91" s="68"/>
      <c r="Z91" s="68"/>
      <c r="AA91" s="68"/>
      <c r="AB91" s="68"/>
      <c r="AC91" s="68"/>
      <c r="AD91" s="68"/>
      <c r="AE91" s="68"/>
    </row>
    <row r="92" spans="1:31" ht="18" customHeight="1">
      <c r="A92" s="5814" t="s">
        <v>174</v>
      </c>
      <c r="B92" s="5821" t="s">
        <v>46</v>
      </c>
      <c r="C92" s="5770"/>
      <c r="D92" s="5770"/>
      <c r="E92" s="5821" t="s">
        <v>46</v>
      </c>
      <c r="F92" s="5778"/>
      <c r="G92" s="5770"/>
      <c r="H92" s="5617" t="s">
        <v>46</v>
      </c>
      <c r="I92" s="5757"/>
      <c r="J92" s="5756"/>
      <c r="K92" s="5617" t="s">
        <v>46</v>
      </c>
      <c r="L92" s="5757"/>
      <c r="M92" s="5618"/>
      <c r="N92" s="5821" t="s">
        <v>46</v>
      </c>
      <c r="O92" s="5770"/>
      <c r="P92" s="5770"/>
      <c r="Q92" s="5617"/>
      <c r="R92" s="5757"/>
      <c r="S92" s="5756"/>
      <c r="T92" s="5617"/>
      <c r="U92" s="5757"/>
      <c r="V92" s="5822"/>
      <c r="W92" s="68"/>
      <c r="X92" s="68"/>
      <c r="Y92" s="68"/>
      <c r="Z92" s="68"/>
      <c r="AA92" s="68"/>
      <c r="AB92" s="68"/>
      <c r="AC92" s="68"/>
      <c r="AD92" s="68"/>
      <c r="AE92" s="68"/>
    </row>
    <row r="93" spans="1:31" ht="18" customHeight="1">
      <c r="A93" s="243"/>
      <c r="B93" s="244"/>
      <c r="E93" s="244"/>
      <c r="F93" s="68"/>
      <c r="H93" s="68"/>
      <c r="K93" s="68"/>
      <c r="M93" s="32"/>
      <c r="N93" s="244"/>
      <c r="Q93" s="68"/>
      <c r="T93" s="68"/>
      <c r="W93" s="68"/>
      <c r="X93" s="68"/>
      <c r="Y93" s="68"/>
      <c r="Z93" s="68"/>
      <c r="AA93" s="68"/>
      <c r="AB93" s="68"/>
      <c r="AC93" s="68"/>
      <c r="AD93" s="68"/>
      <c r="AE93" s="68"/>
    </row>
    <row r="94" spans="1:31" ht="18" customHeight="1">
      <c r="A94" s="363" t="s">
        <v>161</v>
      </c>
      <c r="B94" s="2985">
        <v>1</v>
      </c>
      <c r="C94" s="2985">
        <v>2</v>
      </c>
      <c r="D94" s="2985">
        <v>3</v>
      </c>
      <c r="E94" s="2985">
        <v>4</v>
      </c>
      <c r="F94" s="2985">
        <v>5</v>
      </c>
      <c r="G94" s="2986">
        <v>6</v>
      </c>
      <c r="H94" s="2986">
        <v>7</v>
      </c>
      <c r="I94" s="2985">
        <v>8</v>
      </c>
      <c r="J94" s="2985">
        <v>9</v>
      </c>
      <c r="K94" s="2985">
        <v>10</v>
      </c>
      <c r="L94" s="2985">
        <v>11</v>
      </c>
      <c r="M94" s="2985">
        <v>12</v>
      </c>
      <c r="N94" s="2986">
        <v>13</v>
      </c>
      <c r="O94" s="2986">
        <v>14</v>
      </c>
      <c r="P94" s="2985">
        <v>15</v>
      </c>
      <c r="Q94" s="2985">
        <v>16</v>
      </c>
      <c r="R94" s="2985">
        <v>17</v>
      </c>
      <c r="S94" s="2985">
        <v>18</v>
      </c>
      <c r="T94" s="2985">
        <v>19</v>
      </c>
      <c r="U94" s="2986">
        <v>20</v>
      </c>
      <c r="V94" s="2986">
        <v>21</v>
      </c>
      <c r="W94" s="2985">
        <v>22</v>
      </c>
      <c r="X94" s="2985">
        <v>23</v>
      </c>
      <c r="Y94" s="2985">
        <v>24</v>
      </c>
      <c r="Z94" s="2985">
        <v>25</v>
      </c>
      <c r="AA94" s="2985">
        <v>26</v>
      </c>
      <c r="AB94" s="2986">
        <v>27</v>
      </c>
      <c r="AC94" s="2986">
        <v>28</v>
      </c>
      <c r="AD94" s="2985">
        <v>29</v>
      </c>
      <c r="AE94" s="2985">
        <v>30</v>
      </c>
    </row>
    <row r="95" spans="1:31" ht="18" customHeight="1">
      <c r="A95" s="5192" t="s">
        <v>175</v>
      </c>
      <c r="B95" s="5823">
        <v>25</v>
      </c>
      <c r="C95" s="5823">
        <v>25</v>
      </c>
      <c r="D95" s="5823">
        <v>25</v>
      </c>
      <c r="E95" s="5823">
        <v>25</v>
      </c>
      <c r="F95" s="5823">
        <v>25</v>
      </c>
      <c r="G95" s="5823"/>
      <c r="H95" s="5823">
        <v>26</v>
      </c>
      <c r="I95" s="5823">
        <v>26</v>
      </c>
      <c r="J95" s="5823">
        <v>26</v>
      </c>
      <c r="K95" s="5823">
        <v>26</v>
      </c>
      <c r="L95" s="5823"/>
      <c r="M95" s="5823">
        <v>26</v>
      </c>
      <c r="N95" s="585"/>
      <c r="O95" s="585"/>
      <c r="P95" s="585" t="s">
        <v>121</v>
      </c>
      <c r="Q95" s="585" t="s">
        <v>121</v>
      </c>
      <c r="R95" s="585" t="s">
        <v>121</v>
      </c>
      <c r="S95" s="585" t="s">
        <v>121</v>
      </c>
      <c r="T95" s="585" t="s">
        <v>121</v>
      </c>
      <c r="U95" s="5823" t="s">
        <v>120</v>
      </c>
      <c r="V95" s="5939" t="s">
        <v>120</v>
      </c>
      <c r="W95" s="5939" t="s">
        <v>46</v>
      </c>
      <c r="X95" s="5939" t="s">
        <v>46</v>
      </c>
      <c r="Y95" s="5939" t="s">
        <v>46</v>
      </c>
      <c r="Z95" s="5823" t="s">
        <v>46</v>
      </c>
      <c r="AA95" s="5823" t="s">
        <v>46</v>
      </c>
      <c r="AB95" s="5823"/>
      <c r="AC95" s="5796"/>
      <c r="AD95" s="5823">
        <v>25</v>
      </c>
      <c r="AE95" s="5823">
        <v>25</v>
      </c>
    </row>
    <row r="96" spans="1:31" ht="18" customHeight="1">
      <c r="A96" s="5595" t="s">
        <v>176</v>
      </c>
      <c r="B96" s="5823">
        <v>26</v>
      </c>
      <c r="C96" s="5823">
        <v>26</v>
      </c>
      <c r="D96" s="5823">
        <v>26</v>
      </c>
      <c r="E96" s="5823">
        <v>26</v>
      </c>
      <c r="F96" s="5823">
        <v>26</v>
      </c>
      <c r="G96" s="585"/>
      <c r="H96" s="585"/>
      <c r="I96" s="585" t="s">
        <v>121</v>
      </c>
      <c r="J96" s="585" t="s">
        <v>121</v>
      </c>
      <c r="K96" s="585" t="s">
        <v>121</v>
      </c>
      <c r="L96" s="585" t="s">
        <v>120</v>
      </c>
      <c r="M96" s="585" t="s">
        <v>121</v>
      </c>
      <c r="N96" s="5823" t="s">
        <v>120</v>
      </c>
      <c r="O96" s="5823" t="s">
        <v>120</v>
      </c>
      <c r="P96" s="5823" t="s">
        <v>46</v>
      </c>
      <c r="Q96" s="5823" t="s">
        <v>46</v>
      </c>
      <c r="R96" s="5823" t="s">
        <v>46</v>
      </c>
      <c r="S96" s="5823" t="s">
        <v>46</v>
      </c>
      <c r="T96" s="5823" t="s">
        <v>46</v>
      </c>
      <c r="U96" s="5823"/>
      <c r="V96" s="5823"/>
      <c r="W96" s="5823"/>
      <c r="X96" s="5823">
        <v>25</v>
      </c>
      <c r="Y96" s="5823">
        <v>25</v>
      </c>
      <c r="Z96" s="5823">
        <v>25</v>
      </c>
      <c r="AA96" s="5823">
        <v>25</v>
      </c>
      <c r="AB96" s="5823"/>
      <c r="AC96" s="5823">
        <v>26</v>
      </c>
      <c r="AD96" s="5823">
        <v>26</v>
      </c>
      <c r="AE96" s="5823">
        <v>26</v>
      </c>
    </row>
    <row r="97" spans="1:31" ht="18" customHeight="1">
      <c r="A97" s="5627" t="s">
        <v>135</v>
      </c>
      <c r="B97" s="5823" t="s">
        <v>121</v>
      </c>
      <c r="C97" s="5823" t="s">
        <v>121</v>
      </c>
      <c r="D97" s="5823" t="s">
        <v>121</v>
      </c>
      <c r="E97" s="5823" t="s">
        <v>121</v>
      </c>
      <c r="F97" s="5823" t="s">
        <v>121</v>
      </c>
      <c r="G97" s="5823" t="s">
        <v>120</v>
      </c>
      <c r="H97" s="5823" t="s">
        <v>120</v>
      </c>
      <c r="I97" s="5823" t="s">
        <v>46</v>
      </c>
      <c r="J97" s="5823" t="s">
        <v>46</v>
      </c>
      <c r="K97" s="5823" t="s">
        <v>46</v>
      </c>
      <c r="L97" s="5823" t="s">
        <v>46</v>
      </c>
      <c r="M97" s="5823" t="s">
        <v>46</v>
      </c>
      <c r="N97" s="5823"/>
      <c r="O97" s="5823"/>
      <c r="P97" s="5823">
        <v>25</v>
      </c>
      <c r="Q97" s="5823">
        <v>25</v>
      </c>
      <c r="R97" s="5823">
        <v>25</v>
      </c>
      <c r="S97" s="5823">
        <v>25</v>
      </c>
      <c r="T97" s="5823">
        <v>25</v>
      </c>
      <c r="U97" s="5823"/>
      <c r="V97" s="5823">
        <v>26</v>
      </c>
      <c r="W97" s="5823"/>
      <c r="X97" s="5823">
        <v>26</v>
      </c>
      <c r="Y97" s="5823">
        <v>26</v>
      </c>
      <c r="Z97" s="5823">
        <v>26</v>
      </c>
      <c r="AA97" s="5823">
        <v>26</v>
      </c>
      <c r="AB97" s="5823"/>
      <c r="AC97" s="5823"/>
      <c r="AD97" s="5823" t="s">
        <v>121</v>
      </c>
      <c r="AE97" s="5823" t="s">
        <v>121</v>
      </c>
    </row>
    <row r="98" spans="1:31" ht="18" customHeight="1">
      <c r="A98" s="462" t="s">
        <v>146</v>
      </c>
      <c r="B98" s="5823" t="s">
        <v>46</v>
      </c>
      <c r="C98" s="5823" t="s">
        <v>46</v>
      </c>
      <c r="D98" s="5823" t="s">
        <v>46</v>
      </c>
      <c r="E98" s="5823" t="s">
        <v>46</v>
      </c>
      <c r="F98" s="5823" t="s">
        <v>46</v>
      </c>
      <c r="G98" s="5823"/>
      <c r="H98" s="5823"/>
      <c r="I98" s="5823">
        <v>25</v>
      </c>
      <c r="J98" s="5823">
        <v>25</v>
      </c>
      <c r="K98" s="5823">
        <v>25</v>
      </c>
      <c r="L98" s="5823"/>
      <c r="M98" s="5823">
        <v>25</v>
      </c>
      <c r="N98" s="5823"/>
      <c r="O98" s="5823">
        <v>26</v>
      </c>
      <c r="P98" s="5823">
        <v>26</v>
      </c>
      <c r="Q98" s="5823">
        <v>26</v>
      </c>
      <c r="R98" s="5823">
        <v>26</v>
      </c>
      <c r="S98" s="5823">
        <v>26</v>
      </c>
      <c r="T98" s="5823">
        <v>26</v>
      </c>
      <c r="U98" s="5823"/>
      <c r="V98" s="5823"/>
      <c r="W98" s="5823" t="s">
        <v>120</v>
      </c>
      <c r="X98" s="5823" t="s">
        <v>121</v>
      </c>
      <c r="Y98" s="5823" t="s">
        <v>121</v>
      </c>
      <c r="Z98" s="5823" t="s">
        <v>121</v>
      </c>
      <c r="AA98" s="5823" t="s">
        <v>121</v>
      </c>
      <c r="AB98" s="5823" t="s">
        <v>120</v>
      </c>
      <c r="AC98" s="5823" t="s">
        <v>120</v>
      </c>
      <c r="AD98" s="5823" t="s">
        <v>46</v>
      </c>
      <c r="AE98" s="5823" t="s">
        <v>46</v>
      </c>
    </row>
    <row r="99" spans="1:31" ht="18" customHeight="1">
      <c r="A99" s="68"/>
      <c r="B99" s="176"/>
      <c r="C99" s="176"/>
      <c r="D99" s="176"/>
      <c r="E99" s="176"/>
      <c r="F99" s="176"/>
      <c r="G99" s="176"/>
      <c r="H99" s="176"/>
      <c r="I99" s="176"/>
      <c r="J99" s="176"/>
      <c r="K99" s="176"/>
      <c r="L99" s="176"/>
      <c r="M99" s="176"/>
      <c r="N99" s="176"/>
      <c r="O99" s="176"/>
      <c r="P99" s="176"/>
      <c r="Q99" s="176"/>
      <c r="R99" s="176"/>
      <c r="S99" s="176"/>
      <c r="T99" s="176"/>
      <c r="U99" s="176"/>
      <c r="V99" s="176"/>
      <c r="W99" s="176"/>
      <c r="X99" s="176"/>
      <c r="Y99" s="176"/>
      <c r="Z99" s="176"/>
      <c r="AA99" s="176"/>
      <c r="AB99" s="176"/>
      <c r="AC99" s="176"/>
      <c r="AD99" s="176"/>
      <c r="AE99" s="176"/>
    </row>
    <row r="100" spans="1:31" ht="18" customHeight="1">
      <c r="A100" s="134" t="s">
        <v>180</v>
      </c>
      <c r="B100" s="135"/>
      <c r="C100" s="135"/>
      <c r="D100" s="136" t="s">
        <v>181</v>
      </c>
      <c r="E100" s="135"/>
      <c r="F100" s="135"/>
      <c r="G100" s="135"/>
      <c r="H100" s="135"/>
      <c r="I100" s="135"/>
      <c r="J100" s="135" t="s">
        <v>0</v>
      </c>
      <c r="K100" s="135"/>
      <c r="L100" s="135"/>
      <c r="M100" s="135"/>
      <c r="N100" s="135"/>
      <c r="O100" s="135"/>
      <c r="P100" s="135"/>
      <c r="Q100" s="147" t="s">
        <v>0</v>
      </c>
      <c r="R100" s="147"/>
      <c r="S100" s="147"/>
      <c r="T100" s="108"/>
      <c r="U100" s="108"/>
      <c r="V100" s="108"/>
      <c r="W100" s="108"/>
      <c r="X100" s="108"/>
      <c r="Y100" s="108"/>
      <c r="Z100" s="108"/>
      <c r="AA100" s="108"/>
      <c r="AB100" s="108"/>
      <c r="AC100" s="108"/>
      <c r="AD100" s="108"/>
      <c r="AE100" s="108"/>
    </row>
    <row r="101" spans="1:31" ht="18" customHeight="1">
      <c r="A101" s="388" t="s">
        <v>178</v>
      </c>
      <c r="B101" s="2985">
        <v>1</v>
      </c>
      <c r="C101" s="2985">
        <v>2</v>
      </c>
      <c r="D101" s="2985">
        <v>3</v>
      </c>
      <c r="E101" s="2985">
        <v>4</v>
      </c>
      <c r="F101" s="2985">
        <v>5</v>
      </c>
      <c r="G101" s="2986">
        <v>6</v>
      </c>
      <c r="H101" s="2986">
        <v>7</v>
      </c>
      <c r="I101" s="2985">
        <v>8</v>
      </c>
      <c r="J101" s="2985">
        <v>9</v>
      </c>
      <c r="K101" s="2985">
        <v>10</v>
      </c>
      <c r="L101" s="2985">
        <v>11</v>
      </c>
      <c r="M101" s="2985">
        <v>12</v>
      </c>
      <c r="N101" s="2986">
        <v>13</v>
      </c>
      <c r="O101" s="2986">
        <v>14</v>
      </c>
      <c r="P101" s="2985">
        <v>15</v>
      </c>
      <c r="Q101" s="2985">
        <v>16</v>
      </c>
      <c r="R101" s="2985">
        <v>17</v>
      </c>
      <c r="S101" s="2985">
        <v>18</v>
      </c>
      <c r="T101" s="2985">
        <v>19</v>
      </c>
      <c r="U101" s="2986">
        <v>20</v>
      </c>
      <c r="V101" s="2986">
        <v>21</v>
      </c>
      <c r="W101" s="2985">
        <v>22</v>
      </c>
      <c r="X101" s="2985">
        <v>23</v>
      </c>
      <c r="Y101" s="2985">
        <v>24</v>
      </c>
      <c r="Z101" s="2985">
        <v>25</v>
      </c>
      <c r="AA101" s="2985">
        <v>26</v>
      </c>
      <c r="AB101" s="2986">
        <v>27</v>
      </c>
      <c r="AC101" s="2986">
        <v>28</v>
      </c>
      <c r="AD101" s="2985">
        <v>29</v>
      </c>
      <c r="AE101" s="2985">
        <v>30</v>
      </c>
    </row>
    <row r="102" spans="1:31" ht="18" customHeight="1">
      <c r="A102" s="392" t="s">
        <v>184</v>
      </c>
      <c r="B102" s="5966" t="s">
        <v>118</v>
      </c>
      <c r="C102" s="5966" t="s">
        <v>118</v>
      </c>
      <c r="D102" s="5966" t="s">
        <v>118</v>
      </c>
      <c r="E102" s="5966" t="s">
        <v>118</v>
      </c>
      <c r="F102" s="5966" t="s">
        <v>118</v>
      </c>
      <c r="G102" s="5966" t="s">
        <v>118</v>
      </c>
      <c r="H102" s="5966" t="s">
        <v>118</v>
      </c>
      <c r="I102" s="5966" t="s">
        <v>46</v>
      </c>
      <c r="J102" s="5966" t="s">
        <v>46</v>
      </c>
      <c r="K102" s="5966" t="s">
        <v>46</v>
      </c>
      <c r="L102" s="5966" t="s">
        <v>46</v>
      </c>
      <c r="M102" s="5966" t="s">
        <v>46</v>
      </c>
      <c r="N102" s="5966"/>
      <c r="O102" s="5966"/>
      <c r="P102" s="5966" t="s">
        <v>118</v>
      </c>
      <c r="Q102" s="5966" t="s">
        <v>118</v>
      </c>
      <c r="R102" s="5966" t="s">
        <v>118</v>
      </c>
      <c r="S102" s="5966" t="s">
        <v>118</v>
      </c>
      <c r="T102" s="5966" t="s">
        <v>118</v>
      </c>
      <c r="U102" s="5966" t="s">
        <v>118</v>
      </c>
      <c r="V102" s="5966" t="s">
        <v>118</v>
      </c>
      <c r="W102" s="5966" t="s">
        <v>46</v>
      </c>
      <c r="X102" s="5966" t="s">
        <v>46</v>
      </c>
      <c r="Y102" s="5966" t="s">
        <v>46</v>
      </c>
      <c r="Z102" s="5966" t="s">
        <v>46</v>
      </c>
      <c r="AA102" s="5966" t="s">
        <v>46</v>
      </c>
      <c r="AB102" s="5966"/>
      <c r="AC102" s="5966"/>
      <c r="AD102" s="5966" t="s">
        <v>118</v>
      </c>
      <c r="AE102" s="5966" t="s">
        <v>118</v>
      </c>
    </row>
    <row r="103" spans="1:31" ht="18" customHeight="1">
      <c r="A103" s="366" t="s">
        <v>195</v>
      </c>
      <c r="B103" s="724"/>
      <c r="C103" s="724"/>
      <c r="D103" s="724"/>
      <c r="E103" s="724"/>
      <c r="F103" s="724"/>
      <c r="G103" s="724"/>
      <c r="H103" s="724"/>
      <c r="I103" s="724"/>
      <c r="J103" s="724"/>
      <c r="K103" s="724"/>
      <c r="L103" s="724"/>
      <c r="M103" s="724"/>
      <c r="N103" s="724"/>
      <c r="O103" s="724"/>
      <c r="P103" s="724"/>
      <c r="Q103" s="724"/>
      <c r="R103" s="724"/>
      <c r="S103" s="724"/>
      <c r="T103" s="724"/>
      <c r="U103" s="724"/>
      <c r="V103" s="724"/>
      <c r="W103" s="724"/>
      <c r="X103" s="724"/>
      <c r="Y103" s="724"/>
      <c r="Z103" s="724"/>
      <c r="AA103" s="724"/>
      <c r="AB103" s="724"/>
      <c r="AC103" s="724"/>
      <c r="AD103" s="724"/>
      <c r="AE103" s="724"/>
    </row>
    <row r="104" spans="1:31" ht="18" customHeight="1">
      <c r="A104" s="394" t="s">
        <v>385</v>
      </c>
      <c r="B104" s="5967" t="s">
        <v>46</v>
      </c>
      <c r="C104" s="5967" t="s">
        <v>46</v>
      </c>
      <c r="D104" s="5967" t="s">
        <v>46</v>
      </c>
      <c r="E104" s="5967" t="s">
        <v>46</v>
      </c>
      <c r="F104" s="5967" t="s">
        <v>46</v>
      </c>
      <c r="G104" s="5967"/>
      <c r="H104" s="5967"/>
      <c r="I104" s="5967" t="s">
        <v>118</v>
      </c>
      <c r="J104" s="5967" t="s">
        <v>118</v>
      </c>
      <c r="K104" s="5967" t="s">
        <v>118</v>
      </c>
      <c r="L104" s="5967" t="s">
        <v>118</v>
      </c>
      <c r="M104" s="5967" t="s">
        <v>118</v>
      </c>
      <c r="N104" s="5967" t="s">
        <v>118</v>
      </c>
      <c r="O104" s="5967" t="s">
        <v>118</v>
      </c>
      <c r="P104" s="5967" t="s">
        <v>46</v>
      </c>
      <c r="Q104" s="5967" t="s">
        <v>46</v>
      </c>
      <c r="R104" s="5967" t="s">
        <v>46</v>
      </c>
      <c r="S104" s="5967" t="s">
        <v>46</v>
      </c>
      <c r="T104" s="5967" t="s">
        <v>46</v>
      </c>
      <c r="U104" s="5967"/>
      <c r="V104" s="5967"/>
      <c r="W104" s="5967" t="s">
        <v>118</v>
      </c>
      <c r="X104" s="5967" t="s">
        <v>118</v>
      </c>
      <c r="Y104" s="5967" t="s">
        <v>118</v>
      </c>
      <c r="Z104" s="5967" t="s">
        <v>118</v>
      </c>
      <c r="AA104" s="5967" t="s">
        <v>118</v>
      </c>
      <c r="AB104" s="5967" t="s">
        <v>118</v>
      </c>
      <c r="AC104" s="5967" t="s">
        <v>118</v>
      </c>
      <c r="AD104" s="5967" t="s">
        <v>46</v>
      </c>
      <c r="AE104" s="5967" t="s">
        <v>46</v>
      </c>
    </row>
    <row r="105" spans="1:31" ht="18" customHeight="1"/>
    <row r="106" spans="1:31" ht="18" customHeight="1">
      <c r="A106" s="134" t="s">
        <v>180</v>
      </c>
      <c r="B106" s="135"/>
      <c r="C106" s="135"/>
      <c r="D106" s="136" t="s">
        <v>189</v>
      </c>
      <c r="E106" s="135"/>
      <c r="F106" s="135"/>
      <c r="G106" s="135"/>
      <c r="H106" s="135"/>
      <c r="I106" s="135"/>
      <c r="J106" s="135" t="s">
        <v>0</v>
      </c>
      <c r="K106" s="135"/>
      <c r="L106" s="135"/>
      <c r="M106" s="135"/>
      <c r="N106" s="135"/>
      <c r="O106" s="135"/>
      <c r="P106" s="135"/>
      <c r="Q106" s="147" t="s">
        <v>0</v>
      </c>
      <c r="R106" s="147"/>
      <c r="S106" s="147"/>
      <c r="T106" s="101"/>
      <c r="U106" s="101"/>
    </row>
    <row r="107" spans="1:31" ht="18" customHeight="1">
      <c r="A107" s="478" t="s">
        <v>188</v>
      </c>
      <c r="B107" s="2985">
        <v>1</v>
      </c>
      <c r="C107" s="2985">
        <v>2</v>
      </c>
      <c r="D107" s="2985">
        <v>3</v>
      </c>
      <c r="E107" s="2985">
        <v>4</v>
      </c>
      <c r="F107" s="2985">
        <v>5</v>
      </c>
      <c r="G107" s="2986">
        <v>6</v>
      </c>
      <c r="H107" s="2986">
        <v>7</v>
      </c>
      <c r="I107" s="2985">
        <v>8</v>
      </c>
      <c r="J107" s="2985">
        <v>9</v>
      </c>
      <c r="K107" s="2985">
        <v>10</v>
      </c>
      <c r="L107" s="2985">
        <v>11</v>
      </c>
      <c r="M107" s="2985">
        <v>12</v>
      </c>
      <c r="N107" s="2986">
        <v>13</v>
      </c>
      <c r="O107" s="2986">
        <v>14</v>
      </c>
      <c r="P107" s="2985">
        <v>15</v>
      </c>
      <c r="Q107" s="2985">
        <v>16</v>
      </c>
      <c r="R107" s="2985">
        <v>17</v>
      </c>
      <c r="S107" s="2985">
        <v>18</v>
      </c>
      <c r="T107" s="2985">
        <v>19</v>
      </c>
      <c r="U107" s="2986">
        <v>20</v>
      </c>
      <c r="V107" s="2986">
        <v>21</v>
      </c>
      <c r="W107" s="2985">
        <v>22</v>
      </c>
      <c r="X107" s="2985">
        <v>23</v>
      </c>
      <c r="Y107" s="2985">
        <v>24</v>
      </c>
      <c r="Z107" s="2985">
        <v>25</v>
      </c>
      <c r="AA107" s="2985">
        <v>26</v>
      </c>
      <c r="AB107" s="2986">
        <v>27</v>
      </c>
      <c r="AC107" s="2986">
        <v>28</v>
      </c>
      <c r="AD107" s="2985">
        <v>29</v>
      </c>
      <c r="AE107" s="2985">
        <v>30</v>
      </c>
    </row>
    <row r="108" spans="1:31" ht="18" customHeight="1">
      <c r="A108" s="5968"/>
      <c r="B108" s="484" t="s">
        <v>61</v>
      </c>
      <c r="C108" s="484" t="s">
        <v>61</v>
      </c>
      <c r="D108" s="484" t="s">
        <v>61</v>
      </c>
      <c r="E108" s="480" t="s">
        <v>61</v>
      </c>
      <c r="F108" s="480" t="s">
        <v>61</v>
      </c>
      <c r="G108" s="480" t="s">
        <v>61</v>
      </c>
      <c r="H108" s="480" t="s">
        <v>61</v>
      </c>
      <c r="I108" s="480" t="s">
        <v>46</v>
      </c>
      <c r="J108" s="480" t="s">
        <v>46</v>
      </c>
      <c r="K108" s="480" t="s">
        <v>46</v>
      </c>
      <c r="L108" s="480" t="s">
        <v>46</v>
      </c>
      <c r="M108" s="480" t="s">
        <v>46</v>
      </c>
      <c r="N108" s="484"/>
      <c r="O108" s="484"/>
      <c r="P108" s="484" t="s">
        <v>61</v>
      </c>
      <c r="Q108" s="484" t="s">
        <v>61</v>
      </c>
      <c r="R108" s="484" t="s">
        <v>61</v>
      </c>
      <c r="S108" s="480" t="s">
        <v>61</v>
      </c>
      <c r="T108" s="480" t="s">
        <v>61</v>
      </c>
      <c r="U108" s="480" t="s">
        <v>61</v>
      </c>
      <c r="V108" s="480" t="s">
        <v>61</v>
      </c>
      <c r="W108" s="480" t="s">
        <v>46</v>
      </c>
      <c r="X108" s="480" t="s">
        <v>46</v>
      </c>
      <c r="Y108" s="480" t="s">
        <v>46</v>
      </c>
      <c r="Z108" s="480" t="s">
        <v>46</v>
      </c>
      <c r="AA108" s="480" t="s">
        <v>46</v>
      </c>
      <c r="AB108" s="484"/>
      <c r="AC108" s="484"/>
      <c r="AD108" s="484" t="s">
        <v>61</v>
      </c>
      <c r="AE108" s="484" t="s">
        <v>61</v>
      </c>
    </row>
    <row r="109" spans="1:31" ht="18" customHeight="1">
      <c r="A109" s="5968" t="s">
        <v>191</v>
      </c>
      <c r="B109" s="5600" t="s">
        <v>46</v>
      </c>
      <c r="C109" s="5601" t="s">
        <v>46</v>
      </c>
      <c r="D109" s="5601" t="s">
        <v>46</v>
      </c>
      <c r="E109" s="5601" t="s">
        <v>46</v>
      </c>
      <c r="F109" s="5601" t="s">
        <v>46</v>
      </c>
      <c r="G109" s="5628"/>
      <c r="H109" s="5629"/>
      <c r="I109" s="5602" t="s">
        <v>61</v>
      </c>
      <c r="J109" s="5602" t="s">
        <v>61</v>
      </c>
      <c r="K109" s="5602" t="s">
        <v>61</v>
      </c>
      <c r="L109" s="5600" t="s">
        <v>61</v>
      </c>
      <c r="M109" s="5600" t="s">
        <v>61</v>
      </c>
      <c r="N109" s="5600" t="s">
        <v>61</v>
      </c>
      <c r="O109" s="5600" t="s">
        <v>61</v>
      </c>
      <c r="P109" s="5600" t="s">
        <v>46</v>
      </c>
      <c r="Q109" s="5601" t="s">
        <v>46</v>
      </c>
      <c r="R109" s="5601" t="s">
        <v>46</v>
      </c>
      <c r="S109" s="5601" t="s">
        <v>46</v>
      </c>
      <c r="T109" s="5601" t="s">
        <v>46</v>
      </c>
      <c r="U109" s="5628"/>
      <c r="V109" s="5629"/>
      <c r="W109" s="5602" t="s">
        <v>61</v>
      </c>
      <c r="X109" s="5602" t="s">
        <v>61</v>
      </c>
      <c r="Y109" s="5602" t="s">
        <v>61</v>
      </c>
      <c r="Z109" s="5600" t="s">
        <v>61</v>
      </c>
      <c r="AA109" s="5600" t="s">
        <v>61</v>
      </c>
      <c r="AB109" s="5600" t="s">
        <v>61</v>
      </c>
      <c r="AC109" s="5600" t="s">
        <v>61</v>
      </c>
      <c r="AD109" s="5600" t="s">
        <v>46</v>
      </c>
      <c r="AE109" s="5601" t="s">
        <v>46</v>
      </c>
    </row>
    <row r="110" spans="1:31" ht="18" customHeight="1">
      <c r="A110" s="1455" t="s">
        <v>0</v>
      </c>
      <c r="B110" s="1456" t="s">
        <v>0</v>
      </c>
      <c r="C110" s="1456" t="s">
        <v>0</v>
      </c>
      <c r="D110" s="1456" t="s">
        <v>0</v>
      </c>
      <c r="E110" s="1456" t="s">
        <v>0</v>
      </c>
      <c r="F110" s="1456" t="s">
        <v>0</v>
      </c>
      <c r="G110" s="1456" t="s">
        <v>0</v>
      </c>
      <c r="H110" s="1456" t="s">
        <v>0</v>
      </c>
      <c r="I110" s="1456" t="s">
        <v>0</v>
      </c>
      <c r="J110" s="1456" t="s">
        <v>0</v>
      </c>
      <c r="K110" s="1456" t="s">
        <v>0</v>
      </c>
      <c r="L110" s="1456" t="s">
        <v>0</v>
      </c>
      <c r="M110" s="1456" t="s">
        <v>0</v>
      </c>
      <c r="N110" s="1456" t="s">
        <v>0</v>
      </c>
      <c r="O110" s="1456" t="s">
        <v>0</v>
      </c>
      <c r="P110" s="1456" t="s">
        <v>0</v>
      </c>
      <c r="Q110" s="1456" t="s">
        <v>0</v>
      </c>
      <c r="R110" s="1456" t="s">
        <v>0</v>
      </c>
      <c r="S110" s="1456" t="s">
        <v>0</v>
      </c>
      <c r="T110" s="1456" t="s">
        <v>0</v>
      </c>
      <c r="U110" s="1456" t="s">
        <v>0</v>
      </c>
      <c r="V110" s="1456" t="s">
        <v>0</v>
      </c>
      <c r="W110" s="1456" t="s">
        <v>0</v>
      </c>
      <c r="X110" s="1456" t="s">
        <v>0</v>
      </c>
      <c r="Y110" s="1456" t="s">
        <v>0</v>
      </c>
      <c r="Z110" s="1456" t="s">
        <v>0</v>
      </c>
      <c r="AA110" s="1456" t="s">
        <v>0</v>
      </c>
      <c r="AB110" s="1456" t="s">
        <v>0</v>
      </c>
      <c r="AC110" s="1456" t="s">
        <v>0</v>
      </c>
      <c r="AD110" s="1456" t="s">
        <v>0</v>
      </c>
      <c r="AE110" s="1456" t="s">
        <v>0</v>
      </c>
    </row>
    <row r="111" spans="1:31" ht="18" customHeight="1">
      <c r="A111" s="134" t="s">
        <v>180</v>
      </c>
      <c r="B111" s="135"/>
      <c r="C111" s="135"/>
      <c r="D111" s="136" t="s">
        <v>193</v>
      </c>
      <c r="E111" s="135"/>
      <c r="F111" s="135"/>
      <c r="G111" s="135"/>
      <c r="H111" s="135"/>
      <c r="I111" s="135"/>
      <c r="J111" s="135" t="s">
        <v>0</v>
      </c>
      <c r="K111" s="135"/>
      <c r="L111" s="135"/>
      <c r="M111" s="135"/>
      <c r="N111" s="135"/>
      <c r="O111" s="135"/>
      <c r="P111" s="135"/>
      <c r="Q111" s="147" t="s">
        <v>0</v>
      </c>
      <c r="R111" s="147"/>
      <c r="S111" s="147"/>
    </row>
    <row r="112" spans="1:31" ht="18" customHeight="1">
      <c r="A112" s="387" t="s">
        <v>192</v>
      </c>
      <c r="B112" s="2985">
        <v>1</v>
      </c>
      <c r="C112" s="2985">
        <v>2</v>
      </c>
      <c r="D112" s="2985">
        <v>3</v>
      </c>
      <c r="E112" s="2985">
        <v>4</v>
      </c>
      <c r="F112" s="2985">
        <v>5</v>
      </c>
      <c r="G112" s="2986">
        <v>6</v>
      </c>
      <c r="H112" s="2986">
        <v>7</v>
      </c>
      <c r="I112" s="2985">
        <v>8</v>
      </c>
      <c r="J112" s="2985">
        <v>9</v>
      </c>
      <c r="K112" s="2985">
        <v>10</v>
      </c>
      <c r="L112" s="2985">
        <v>11</v>
      </c>
      <c r="M112" s="2985">
        <v>12</v>
      </c>
      <c r="N112" s="2986">
        <v>13</v>
      </c>
      <c r="O112" s="2986">
        <v>14</v>
      </c>
      <c r="P112" s="2985">
        <v>15</v>
      </c>
      <c r="Q112" s="2985">
        <v>16</v>
      </c>
      <c r="R112" s="2985">
        <v>17</v>
      </c>
      <c r="S112" s="2985">
        <v>18</v>
      </c>
      <c r="T112" s="2985">
        <v>19</v>
      </c>
      <c r="U112" s="2986">
        <v>20</v>
      </c>
      <c r="V112" s="2986">
        <v>21</v>
      </c>
      <c r="W112" s="2985">
        <v>22</v>
      </c>
      <c r="X112" s="2985">
        <v>23</v>
      </c>
      <c r="Y112" s="2985">
        <v>24</v>
      </c>
      <c r="Z112" s="2985">
        <v>25</v>
      </c>
      <c r="AA112" s="2985">
        <v>26</v>
      </c>
      <c r="AB112" s="2986">
        <v>27</v>
      </c>
      <c r="AC112" s="2986">
        <v>28</v>
      </c>
      <c r="AD112" s="2985">
        <v>29</v>
      </c>
      <c r="AE112" s="2985">
        <v>30</v>
      </c>
    </row>
    <row r="113" spans="1:31" ht="18" customHeight="1">
      <c r="A113" s="1518" t="s">
        <v>194</v>
      </c>
      <c r="B113" s="1504" t="s">
        <v>139</v>
      </c>
      <c r="C113" s="1504" t="s">
        <v>139</v>
      </c>
      <c r="D113" s="1504" t="s">
        <v>139</v>
      </c>
      <c r="E113" s="1504" t="s">
        <v>139</v>
      </c>
      <c r="F113" s="1505" t="s">
        <v>139</v>
      </c>
      <c r="G113" s="1505" t="s">
        <v>139</v>
      </c>
      <c r="H113" s="1505" t="s">
        <v>139</v>
      </c>
      <c r="I113" s="1505" t="s">
        <v>46</v>
      </c>
      <c r="J113" s="1505" t="s">
        <v>46</v>
      </c>
      <c r="K113" s="1505" t="s">
        <v>46</v>
      </c>
      <c r="L113" s="1505" t="s">
        <v>46</v>
      </c>
      <c r="M113" s="1505" t="s">
        <v>46</v>
      </c>
      <c r="N113" s="1505"/>
      <c r="O113" s="1504"/>
      <c r="P113" s="1504" t="s">
        <v>139</v>
      </c>
      <c r="Q113" s="1504" t="s">
        <v>139</v>
      </c>
      <c r="R113" s="1504" t="s">
        <v>139</v>
      </c>
      <c r="S113" s="1504" t="s">
        <v>139</v>
      </c>
      <c r="T113" s="1505" t="s">
        <v>139</v>
      </c>
      <c r="U113" s="1505" t="s">
        <v>139</v>
      </c>
      <c r="V113" s="1505" t="s">
        <v>139</v>
      </c>
      <c r="W113" s="1505" t="s">
        <v>46</v>
      </c>
      <c r="X113" s="1505" t="s">
        <v>46</v>
      </c>
      <c r="Y113" s="1505" t="s">
        <v>46</v>
      </c>
      <c r="Z113" s="1505" t="s">
        <v>46</v>
      </c>
      <c r="AA113" s="1505" t="s">
        <v>46</v>
      </c>
      <c r="AB113" s="1505"/>
      <c r="AC113" s="1504"/>
      <c r="AD113" s="1504" t="s">
        <v>139</v>
      </c>
      <c r="AE113" s="1504" t="s">
        <v>139</v>
      </c>
    </row>
    <row r="114" spans="1:31" ht="18" customHeight="1">
      <c r="A114" s="5759" t="s">
        <v>185</v>
      </c>
      <c r="B114" s="5600" t="s">
        <v>46</v>
      </c>
      <c r="C114" s="5600" t="s">
        <v>46</v>
      </c>
      <c r="D114" s="5600" t="s">
        <v>46</v>
      </c>
      <c r="E114" s="5600" t="s">
        <v>46</v>
      </c>
      <c r="F114" s="5600" t="s">
        <v>46</v>
      </c>
      <c r="G114" s="5600"/>
      <c r="H114" s="5602"/>
      <c r="I114" s="5602" t="s">
        <v>139</v>
      </c>
      <c r="J114" s="5602" t="s">
        <v>139</v>
      </c>
      <c r="K114" s="5602" t="s">
        <v>139</v>
      </c>
      <c r="L114" s="5602" t="s">
        <v>139</v>
      </c>
      <c r="M114" s="5600" t="s">
        <v>139</v>
      </c>
      <c r="N114" s="5600" t="s">
        <v>139</v>
      </c>
      <c r="O114" s="5600" t="s">
        <v>139</v>
      </c>
      <c r="P114" s="5600" t="s">
        <v>46</v>
      </c>
      <c r="Q114" s="5600" t="s">
        <v>46</v>
      </c>
      <c r="R114" s="5600" t="s">
        <v>46</v>
      </c>
      <c r="S114" s="5600" t="s">
        <v>46</v>
      </c>
      <c r="T114" s="5600" t="s">
        <v>46</v>
      </c>
      <c r="U114" s="5600"/>
      <c r="V114" s="5602"/>
      <c r="W114" s="5602" t="s">
        <v>139</v>
      </c>
      <c r="X114" s="5602" t="s">
        <v>139</v>
      </c>
      <c r="Y114" s="5602" t="s">
        <v>139</v>
      </c>
      <c r="Z114" s="5602" t="s">
        <v>139</v>
      </c>
      <c r="AA114" s="5600" t="s">
        <v>139</v>
      </c>
      <c r="AB114" s="5600" t="s">
        <v>139</v>
      </c>
      <c r="AC114" s="5600" t="s">
        <v>139</v>
      </c>
      <c r="AD114" s="5600" t="s">
        <v>46</v>
      </c>
      <c r="AE114" s="5600" t="s">
        <v>46</v>
      </c>
    </row>
    <row r="115" spans="1:31" ht="18" customHeight="1">
      <c r="A115" s="68"/>
      <c r="B115" s="108"/>
      <c r="C115" s="108"/>
      <c r="D115" s="108"/>
      <c r="E115" s="108"/>
      <c r="F115" s="108"/>
      <c r="G115" s="108"/>
      <c r="H115" s="108"/>
      <c r="I115" s="108"/>
      <c r="J115" s="108"/>
      <c r="K115" s="108"/>
      <c r="L115" s="108"/>
      <c r="M115" s="108"/>
      <c r="N115" s="108"/>
      <c r="O115" s="108"/>
      <c r="P115" s="108"/>
      <c r="Q115" s="108"/>
      <c r="R115" s="108"/>
      <c r="S115" s="108"/>
      <c r="T115" s="108"/>
      <c r="U115" s="108"/>
      <c r="V115" s="108"/>
      <c r="W115" s="108"/>
      <c r="X115" s="108"/>
      <c r="Y115" s="108"/>
      <c r="Z115" s="108"/>
      <c r="AA115" s="108"/>
      <c r="AB115" s="108"/>
      <c r="AC115" s="108"/>
      <c r="AD115" s="108"/>
      <c r="AE115" s="108"/>
    </row>
    <row r="116" spans="1:31" ht="18" customHeight="1">
      <c r="A116" s="134" t="s">
        <v>180</v>
      </c>
      <c r="B116" s="135"/>
      <c r="C116" s="135"/>
      <c r="D116" s="136"/>
      <c r="E116" s="135"/>
      <c r="F116" s="135"/>
      <c r="G116" s="135"/>
      <c r="H116" s="135"/>
      <c r="I116" s="135"/>
      <c r="J116" s="135" t="s">
        <v>0</v>
      </c>
      <c r="K116" s="135"/>
      <c r="L116" s="135"/>
      <c r="M116" s="135"/>
      <c r="N116" s="135"/>
      <c r="O116" s="135"/>
      <c r="P116" s="135"/>
      <c r="Q116" s="147" t="s">
        <v>0</v>
      </c>
      <c r="R116" s="147"/>
      <c r="S116" s="147"/>
    </row>
    <row r="117" spans="1:31" ht="18" customHeight="1">
      <c r="A117" s="691" t="s">
        <v>635</v>
      </c>
      <c r="B117" s="2985">
        <v>1</v>
      </c>
      <c r="C117" s="2985">
        <v>2</v>
      </c>
      <c r="D117" s="2985">
        <v>3</v>
      </c>
      <c r="E117" s="2985">
        <v>4</v>
      </c>
      <c r="F117" s="2985">
        <v>5</v>
      </c>
      <c r="G117" s="2986">
        <v>6</v>
      </c>
      <c r="H117" s="2986">
        <v>7</v>
      </c>
      <c r="I117" s="2985">
        <v>8</v>
      </c>
      <c r="J117" s="2985">
        <v>9</v>
      </c>
      <c r="K117" s="2985">
        <v>10</v>
      </c>
      <c r="L117" s="2985">
        <v>11</v>
      </c>
      <c r="M117" s="2985">
        <v>12</v>
      </c>
      <c r="N117" s="2986">
        <v>13</v>
      </c>
      <c r="O117" s="2986">
        <v>14</v>
      </c>
      <c r="P117" s="2985">
        <v>15</v>
      </c>
      <c r="Q117" s="2985">
        <v>16</v>
      </c>
      <c r="R117" s="2985">
        <v>17</v>
      </c>
      <c r="S117" s="2985">
        <v>18</v>
      </c>
      <c r="T117" s="2985">
        <v>19</v>
      </c>
      <c r="U117" s="2986">
        <v>20</v>
      </c>
      <c r="V117" s="2986">
        <v>21</v>
      </c>
      <c r="W117" s="2985">
        <v>22</v>
      </c>
      <c r="X117" s="2985">
        <v>23</v>
      </c>
      <c r="Y117" s="2985">
        <v>24</v>
      </c>
      <c r="Z117" s="2985">
        <v>25</v>
      </c>
      <c r="AA117" s="2985">
        <v>26</v>
      </c>
      <c r="AB117" s="2986">
        <v>27</v>
      </c>
      <c r="AC117" s="2986">
        <v>28</v>
      </c>
      <c r="AD117" s="2985">
        <v>29</v>
      </c>
      <c r="AE117" s="2985">
        <v>30</v>
      </c>
    </row>
    <row r="118" spans="1:31" ht="18" customHeight="1">
      <c r="A118" s="1498" t="s">
        <v>392</v>
      </c>
      <c r="B118" s="5602" t="s">
        <v>113</v>
      </c>
      <c r="C118" s="5602" t="s">
        <v>113</v>
      </c>
      <c r="D118" s="5602" t="s">
        <v>113</v>
      </c>
      <c r="E118" s="5602" t="s">
        <v>113</v>
      </c>
      <c r="F118" s="5602" t="s">
        <v>113</v>
      </c>
      <c r="G118" s="5602" t="s">
        <v>113</v>
      </c>
      <c r="H118" s="5602" t="s">
        <v>113</v>
      </c>
      <c r="I118" s="5600" t="s">
        <v>46</v>
      </c>
      <c r="J118" s="5600" t="s">
        <v>46</v>
      </c>
      <c r="K118" s="5600" t="s">
        <v>46</v>
      </c>
      <c r="L118" s="5600" t="s">
        <v>46</v>
      </c>
      <c r="M118" s="5600" t="s">
        <v>46</v>
      </c>
      <c r="N118" s="5600"/>
      <c r="O118" s="5602"/>
      <c r="P118" s="5602" t="s">
        <v>113</v>
      </c>
      <c r="Q118" s="5602" t="s">
        <v>113</v>
      </c>
      <c r="R118" s="5602" t="s">
        <v>113</v>
      </c>
      <c r="S118" s="5602" t="s">
        <v>113</v>
      </c>
      <c r="T118" s="5602" t="s">
        <v>113</v>
      </c>
      <c r="U118" s="5602" t="s">
        <v>113</v>
      </c>
      <c r="V118" s="5602" t="s">
        <v>113</v>
      </c>
      <c r="W118" s="5600" t="s">
        <v>46</v>
      </c>
      <c r="X118" s="5600" t="s">
        <v>46</v>
      </c>
      <c r="Y118" s="5600" t="s">
        <v>46</v>
      </c>
      <c r="Z118" s="5600" t="s">
        <v>46</v>
      </c>
      <c r="AA118" s="5600" t="s">
        <v>46</v>
      </c>
      <c r="AB118" s="5600"/>
      <c r="AC118" s="5602"/>
      <c r="AD118" s="5602" t="s">
        <v>113</v>
      </c>
      <c r="AE118" s="5602" t="s">
        <v>113</v>
      </c>
    </row>
    <row r="119" spans="1:31" ht="18" customHeight="1">
      <c r="A119" s="431" t="s">
        <v>155</v>
      </c>
      <c r="B119" s="5600" t="s">
        <v>46</v>
      </c>
      <c r="C119" s="5600" t="s">
        <v>46</v>
      </c>
      <c r="D119" s="5600" t="s">
        <v>46</v>
      </c>
      <c r="E119" s="5600" t="s">
        <v>46</v>
      </c>
      <c r="F119" s="5600" t="s">
        <v>46</v>
      </c>
      <c r="G119" s="5600" t="s">
        <v>0</v>
      </c>
      <c r="H119" s="5600" t="s">
        <v>0</v>
      </c>
      <c r="I119" s="5602" t="s">
        <v>113</v>
      </c>
      <c r="J119" s="5602" t="s">
        <v>113</v>
      </c>
      <c r="K119" s="5602" t="s">
        <v>113</v>
      </c>
      <c r="L119" s="5602" t="s">
        <v>113</v>
      </c>
      <c r="M119" s="5602" t="s">
        <v>113</v>
      </c>
      <c r="N119" s="5602" t="s">
        <v>113</v>
      </c>
      <c r="O119" s="5602" t="s">
        <v>113</v>
      </c>
      <c r="P119" s="5600" t="s">
        <v>46</v>
      </c>
      <c r="Q119" s="5600" t="s">
        <v>46</v>
      </c>
      <c r="R119" s="5600" t="s">
        <v>46</v>
      </c>
      <c r="S119" s="5600" t="s">
        <v>46</v>
      </c>
      <c r="T119" s="5600" t="s">
        <v>46</v>
      </c>
      <c r="U119" s="5600" t="s">
        <v>0</v>
      </c>
      <c r="V119" s="5600" t="s">
        <v>0</v>
      </c>
      <c r="W119" s="5602" t="s">
        <v>113</v>
      </c>
      <c r="X119" s="5602" t="s">
        <v>113</v>
      </c>
      <c r="Y119" s="5602" t="s">
        <v>113</v>
      </c>
      <c r="Z119" s="5602" t="s">
        <v>113</v>
      </c>
      <c r="AA119" s="5602" t="s">
        <v>113</v>
      </c>
      <c r="AB119" s="5602" t="s">
        <v>113</v>
      </c>
      <c r="AC119" s="5602" t="s">
        <v>113</v>
      </c>
      <c r="AD119" s="5600" t="s">
        <v>46</v>
      </c>
      <c r="AE119" s="5600" t="s">
        <v>46</v>
      </c>
    </row>
    <row r="120" spans="1:31" ht="18" customHeight="1">
      <c r="A120" s="101"/>
      <c r="B120" s="99"/>
      <c r="C120" s="99"/>
      <c r="D120" s="99"/>
      <c r="E120" s="99"/>
      <c r="F120" s="99"/>
      <c r="G120" s="108"/>
      <c r="H120" s="108"/>
      <c r="I120" s="108"/>
      <c r="J120" s="108"/>
      <c r="K120" s="108"/>
      <c r="L120" s="108"/>
      <c r="M120" s="108"/>
      <c r="N120" s="99"/>
      <c r="O120" s="99"/>
      <c r="P120" s="99"/>
      <c r="Q120" s="99"/>
      <c r="R120" s="99"/>
      <c r="S120" s="99"/>
      <c r="T120" s="99"/>
      <c r="U120" s="108"/>
      <c r="V120" s="108"/>
      <c r="W120" s="108"/>
      <c r="X120" s="108"/>
      <c r="Y120" s="108"/>
      <c r="Z120" s="108"/>
      <c r="AA120" s="108"/>
      <c r="AB120" s="99"/>
      <c r="AC120" s="99"/>
      <c r="AD120" s="99"/>
      <c r="AE120" s="99"/>
    </row>
    <row r="121" spans="1:31" ht="18" customHeight="1">
      <c r="A121" s="2764" t="s">
        <v>201</v>
      </c>
      <c r="B121" s="2765"/>
      <c r="C121" s="2766" t="s">
        <v>19</v>
      </c>
      <c r="D121" s="2767"/>
      <c r="E121" s="2765"/>
      <c r="F121" s="2768" t="s">
        <v>20</v>
      </c>
      <c r="G121" s="2769"/>
      <c r="H121" s="2770"/>
      <c r="I121" s="2768" t="s">
        <v>21</v>
      </c>
      <c r="J121" s="2771"/>
      <c r="K121" s="2770"/>
      <c r="L121" s="2772" t="s">
        <v>22</v>
      </c>
      <c r="M121" s="2771"/>
      <c r="N121" s="2770"/>
      <c r="O121" s="2768" t="s">
        <v>23</v>
      </c>
      <c r="P121" s="2773"/>
      <c r="Q121" s="2770"/>
      <c r="R121" s="2768" t="s">
        <v>24</v>
      </c>
      <c r="S121" s="2774"/>
      <c r="T121" s="2770"/>
      <c r="U121" s="2768" t="s">
        <v>25</v>
      </c>
      <c r="V121" s="2773"/>
      <c r="W121" s="2883" t="s">
        <v>202</v>
      </c>
      <c r="X121" s="2776"/>
      <c r="Y121" s="2776"/>
      <c r="Z121" s="2777"/>
      <c r="AA121" s="2778" t="s">
        <v>108</v>
      </c>
      <c r="AB121" s="2779"/>
      <c r="AC121" s="2779"/>
      <c r="AD121" s="3059"/>
      <c r="AE121" s="3059"/>
    </row>
    <row r="122" spans="1:31" ht="18" customHeight="1">
      <c r="A122" s="5829" t="s">
        <v>203</v>
      </c>
      <c r="B122" s="5821" t="s">
        <v>204</v>
      </c>
      <c r="C122" s="5770"/>
      <c r="D122" s="5771"/>
      <c r="E122" s="5821" t="s">
        <v>204</v>
      </c>
      <c r="F122" s="5770"/>
      <c r="G122" s="5771"/>
      <c r="H122" s="5821" t="s">
        <v>204</v>
      </c>
      <c r="I122" s="5770"/>
      <c r="J122" s="5771"/>
      <c r="K122" s="5821" t="s">
        <v>204</v>
      </c>
      <c r="L122" s="5770"/>
      <c r="M122" s="5771"/>
      <c r="N122" s="5821" t="s">
        <v>205</v>
      </c>
      <c r="O122" s="5770"/>
      <c r="P122" s="5771"/>
      <c r="Q122" s="5821"/>
      <c r="R122" s="5770"/>
      <c r="S122" s="5771"/>
      <c r="T122" s="5821"/>
      <c r="U122" s="5770"/>
      <c r="V122" s="5771"/>
      <c r="W122" s="5821"/>
      <c r="X122" s="5778"/>
      <c r="Y122" s="5778"/>
      <c r="Z122" s="5778"/>
      <c r="AA122" s="5817"/>
      <c r="AB122" s="5778"/>
      <c r="AC122" s="5778"/>
      <c r="AD122" s="5778"/>
      <c r="AE122" s="5778"/>
    </row>
    <row r="124" spans="1:31" ht="18" customHeight="1">
      <c r="A124" s="363" t="s">
        <v>201</v>
      </c>
      <c r="B124" s="2985">
        <v>1</v>
      </c>
      <c r="C124" s="2985">
        <v>2</v>
      </c>
      <c r="D124" s="2985">
        <v>3</v>
      </c>
      <c r="E124" s="2985">
        <v>4</v>
      </c>
      <c r="F124" s="2985">
        <v>5</v>
      </c>
      <c r="G124" s="2986">
        <v>6</v>
      </c>
      <c r="H124" s="2986">
        <v>7</v>
      </c>
      <c r="I124" s="2985">
        <v>8</v>
      </c>
      <c r="J124" s="2985">
        <v>9</v>
      </c>
      <c r="K124" s="2985">
        <v>10</v>
      </c>
      <c r="L124" s="2985">
        <v>11</v>
      </c>
      <c r="M124" s="2985">
        <v>12</v>
      </c>
      <c r="N124" s="2986">
        <v>13</v>
      </c>
      <c r="O124" s="2986">
        <v>14</v>
      </c>
      <c r="P124" s="2985">
        <v>15</v>
      </c>
      <c r="Q124" s="2985">
        <v>16</v>
      </c>
      <c r="R124" s="2985">
        <v>17</v>
      </c>
      <c r="S124" s="2985">
        <v>18</v>
      </c>
      <c r="T124" s="2985">
        <v>19</v>
      </c>
      <c r="U124" s="2986">
        <v>20</v>
      </c>
      <c r="V124" s="2986">
        <v>21</v>
      </c>
      <c r="W124" s="2985">
        <v>22</v>
      </c>
      <c r="X124" s="2985">
        <v>23</v>
      </c>
      <c r="Y124" s="2985">
        <v>24</v>
      </c>
      <c r="Z124" s="2985">
        <v>25</v>
      </c>
      <c r="AA124" s="2985">
        <v>26</v>
      </c>
      <c r="AB124" s="2986">
        <v>27</v>
      </c>
      <c r="AC124" s="2986">
        <v>28</v>
      </c>
      <c r="AD124" s="2985">
        <v>29</v>
      </c>
      <c r="AE124" s="2985">
        <v>30</v>
      </c>
    </row>
    <row r="125" spans="1:31" ht="18" customHeight="1">
      <c r="A125" s="3035" t="s">
        <v>206</v>
      </c>
      <c r="B125" s="3089" t="s">
        <v>207</v>
      </c>
      <c r="C125" s="3089" t="s">
        <v>207</v>
      </c>
      <c r="D125" s="3089" t="s">
        <v>207</v>
      </c>
      <c r="E125" s="3089" t="s">
        <v>207</v>
      </c>
      <c r="F125" s="3089" t="s">
        <v>207</v>
      </c>
      <c r="G125" s="3089"/>
      <c r="H125" s="3089"/>
      <c r="I125" s="3089" t="s">
        <v>207</v>
      </c>
      <c r="J125" s="3089" t="s">
        <v>207</v>
      </c>
      <c r="K125" s="3089" t="s">
        <v>207</v>
      </c>
      <c r="L125" s="3089" t="s">
        <v>207</v>
      </c>
      <c r="M125" s="3089" t="s">
        <v>207</v>
      </c>
      <c r="N125" s="3089"/>
      <c r="O125" s="3089"/>
      <c r="P125" s="3089" t="s">
        <v>207</v>
      </c>
      <c r="Q125" s="3089" t="s">
        <v>207</v>
      </c>
      <c r="R125" s="3089" t="s">
        <v>207</v>
      </c>
      <c r="S125" s="3089" t="s">
        <v>207</v>
      </c>
      <c r="T125" s="3089" t="s">
        <v>207</v>
      </c>
      <c r="U125" s="3089"/>
      <c r="V125" s="3089"/>
      <c r="W125" s="3089" t="s">
        <v>207</v>
      </c>
      <c r="X125" s="3089" t="s">
        <v>207</v>
      </c>
      <c r="Y125" s="3089" t="s">
        <v>207</v>
      </c>
      <c r="Z125" s="3089" t="s">
        <v>207</v>
      </c>
      <c r="AA125" s="3089" t="s">
        <v>207</v>
      </c>
      <c r="AB125" s="3089"/>
      <c r="AC125" s="3089"/>
      <c r="AD125" s="3089" t="s">
        <v>207</v>
      </c>
      <c r="AE125" s="3089" t="s">
        <v>207</v>
      </c>
    </row>
    <row r="126" spans="1:31" ht="18" customHeight="1">
      <c r="A126" s="68"/>
      <c r="B126" s="108"/>
      <c r="C126" s="108"/>
      <c r="D126" s="108"/>
      <c r="E126" s="108"/>
      <c r="F126" s="108"/>
      <c r="G126" s="108"/>
      <c r="H126" s="108"/>
      <c r="I126" s="108"/>
      <c r="J126" s="108"/>
      <c r="K126" s="108"/>
      <c r="L126" s="108"/>
      <c r="M126" s="108"/>
      <c r="N126" s="108"/>
      <c r="O126" s="108"/>
      <c r="P126" s="108"/>
      <c r="Q126" s="108"/>
      <c r="R126" s="108"/>
      <c r="S126" s="108"/>
      <c r="T126" s="108"/>
      <c r="U126" s="108"/>
      <c r="V126" s="108"/>
      <c r="W126" s="108"/>
      <c r="X126" s="108"/>
      <c r="Y126" s="108"/>
      <c r="Z126" s="108"/>
      <c r="AA126" s="108"/>
      <c r="AB126" s="108"/>
      <c r="AC126" s="108"/>
      <c r="AD126" s="108"/>
      <c r="AE126" s="108"/>
    </row>
    <row r="127" spans="1:31" ht="18" customHeight="1">
      <c r="A127" s="648" t="s">
        <v>208</v>
      </c>
      <c r="B127" s="649"/>
      <c r="C127" s="650" t="s">
        <v>19</v>
      </c>
      <c r="D127" s="651"/>
      <c r="E127" s="652"/>
      <c r="F127" s="649"/>
      <c r="G127" s="650" t="s">
        <v>20</v>
      </c>
      <c r="H127" s="651"/>
      <c r="I127" s="652"/>
      <c r="J127" s="649"/>
      <c r="K127" s="650" t="s">
        <v>21</v>
      </c>
      <c r="L127" s="651"/>
      <c r="M127" s="652"/>
      <c r="N127" s="649"/>
      <c r="O127" s="650" t="s">
        <v>22</v>
      </c>
      <c r="P127" s="651"/>
      <c r="Q127" s="652"/>
      <c r="R127" s="649"/>
      <c r="S127" s="650" t="s">
        <v>23</v>
      </c>
      <c r="T127" s="651"/>
      <c r="U127" s="652"/>
      <c r="V127" s="649"/>
      <c r="W127" s="650" t="s">
        <v>24</v>
      </c>
      <c r="X127" s="651"/>
      <c r="Y127" s="652"/>
      <c r="Z127" s="649"/>
      <c r="AA127" s="650" t="s">
        <v>25</v>
      </c>
      <c r="AB127" s="651"/>
      <c r="AC127" s="651"/>
      <c r="AD127" s="702" t="s">
        <v>108</v>
      </c>
      <c r="AE127" s="653"/>
    </row>
    <row r="128" spans="1:31" ht="18" customHeight="1">
      <c r="A128" s="5831" t="s">
        <v>210</v>
      </c>
      <c r="B128" s="5832">
        <v>69</v>
      </c>
      <c r="C128" s="5833" t="s">
        <v>211</v>
      </c>
      <c r="D128" s="5833"/>
      <c r="E128" s="5834"/>
      <c r="F128" s="5832">
        <v>69</v>
      </c>
      <c r="G128" s="5833" t="s">
        <v>211</v>
      </c>
      <c r="H128" s="5833"/>
      <c r="I128" s="5834"/>
      <c r="J128" s="5832">
        <v>69</v>
      </c>
      <c r="K128" s="5833" t="s">
        <v>211</v>
      </c>
      <c r="L128" s="5833"/>
      <c r="M128" s="5834"/>
      <c r="N128" s="5832">
        <v>69</v>
      </c>
      <c r="O128" s="5833" t="s">
        <v>211</v>
      </c>
      <c r="P128" s="5833"/>
      <c r="Q128" s="5834"/>
      <c r="R128" s="5832">
        <v>69</v>
      </c>
      <c r="S128" s="5833" t="s">
        <v>211</v>
      </c>
      <c r="T128" s="5833"/>
      <c r="U128" s="5834"/>
      <c r="V128" s="5832"/>
      <c r="W128" s="5835"/>
      <c r="X128" s="5835"/>
      <c r="Y128" s="5836"/>
      <c r="Z128" s="5832"/>
      <c r="AA128" s="5833"/>
      <c r="AB128" s="5833"/>
      <c r="AC128" s="5816"/>
      <c r="AD128" s="5837">
        <v>35</v>
      </c>
      <c r="AE128" s="5838"/>
    </row>
    <row r="129" spans="1:31" ht="18" customHeight="1">
      <c r="A129" s="5831" t="s">
        <v>212</v>
      </c>
      <c r="B129" s="5832">
        <v>79</v>
      </c>
      <c r="C129" s="5833" t="s">
        <v>213</v>
      </c>
      <c r="D129" s="5833"/>
      <c r="E129" s="5834"/>
      <c r="F129" s="5832">
        <v>79</v>
      </c>
      <c r="G129" s="5833" t="s">
        <v>213</v>
      </c>
      <c r="H129" s="5833"/>
      <c r="I129" s="5834"/>
      <c r="J129" s="5832">
        <v>79</v>
      </c>
      <c r="K129" s="5833" t="s">
        <v>213</v>
      </c>
      <c r="L129" s="5833"/>
      <c r="M129" s="5834"/>
      <c r="N129" s="5832">
        <v>79</v>
      </c>
      <c r="O129" s="5833" t="s">
        <v>213</v>
      </c>
      <c r="P129" s="5833"/>
      <c r="Q129" s="5834"/>
      <c r="R129" s="5832">
        <v>79</v>
      </c>
      <c r="S129" s="5833" t="s">
        <v>213</v>
      </c>
      <c r="T129" s="5833"/>
      <c r="U129" s="5834"/>
      <c r="V129" s="5832"/>
      <c r="W129" s="5833"/>
      <c r="X129" s="5833"/>
      <c r="Y129" s="5834"/>
      <c r="Z129" s="5833"/>
      <c r="AA129" s="5833"/>
      <c r="AB129" s="5833"/>
      <c r="AC129" s="5816"/>
      <c r="AD129" s="5837">
        <v>40</v>
      </c>
      <c r="AE129" s="5838"/>
    </row>
    <row r="130" spans="1:31" ht="18" customHeight="1">
      <c r="A130" s="5831" t="s">
        <v>214</v>
      </c>
      <c r="B130" s="5832">
        <v>89</v>
      </c>
      <c r="C130" s="5833" t="s">
        <v>215</v>
      </c>
      <c r="D130" s="5833"/>
      <c r="E130" s="5834"/>
      <c r="F130" s="5832">
        <v>89</v>
      </c>
      <c r="G130" s="5833" t="s">
        <v>215</v>
      </c>
      <c r="H130" s="5833"/>
      <c r="I130" s="5834"/>
      <c r="J130" s="5832">
        <v>89</v>
      </c>
      <c r="K130" s="5833" t="s">
        <v>215</v>
      </c>
      <c r="L130" s="5833"/>
      <c r="M130" s="5834"/>
      <c r="N130" s="5832">
        <v>89</v>
      </c>
      <c r="O130" s="5833" t="s">
        <v>215</v>
      </c>
      <c r="P130" s="5833"/>
      <c r="Q130" s="5834"/>
      <c r="R130" s="5832">
        <v>89</v>
      </c>
      <c r="S130" s="5833" t="s">
        <v>216</v>
      </c>
      <c r="T130" s="5833"/>
      <c r="U130" s="5834"/>
      <c r="V130" s="5839"/>
      <c r="W130" s="5840" t="s">
        <v>217</v>
      </c>
      <c r="X130" s="5840"/>
      <c r="Y130" s="5818"/>
      <c r="Z130" s="5839"/>
      <c r="AA130" s="5840"/>
      <c r="AB130" s="5840"/>
      <c r="AC130" s="5820"/>
      <c r="AD130" s="5837">
        <v>44</v>
      </c>
      <c r="AE130" s="5838"/>
    </row>
    <row r="131" spans="1:31" ht="18" customHeight="1">
      <c r="A131" s="654" t="s">
        <v>218</v>
      </c>
      <c r="B131" s="5839">
        <v>99</v>
      </c>
      <c r="C131" s="5840" t="s">
        <v>219</v>
      </c>
      <c r="D131" s="5840"/>
      <c r="E131" s="5818"/>
      <c r="F131" s="5839">
        <v>99</v>
      </c>
      <c r="G131" s="5840" t="s">
        <v>219</v>
      </c>
      <c r="H131" s="5840"/>
      <c r="I131" s="5818"/>
      <c r="J131" s="5839">
        <v>99</v>
      </c>
      <c r="K131" s="5840" t="s">
        <v>219</v>
      </c>
      <c r="L131" s="5840"/>
      <c r="M131" s="5818"/>
      <c r="N131" s="5839">
        <v>99</v>
      </c>
      <c r="O131" s="5840" t="s">
        <v>219</v>
      </c>
      <c r="P131" s="5840"/>
      <c r="Q131" s="5818"/>
      <c r="R131" s="5839">
        <v>99</v>
      </c>
      <c r="S131" s="5840" t="s">
        <v>220</v>
      </c>
      <c r="T131" s="5840"/>
      <c r="U131" s="5820"/>
      <c r="V131" s="5819"/>
      <c r="W131" s="5820"/>
      <c r="X131" s="5840"/>
      <c r="Y131" s="5818"/>
      <c r="Z131" s="5819"/>
      <c r="AA131" s="5820"/>
      <c r="AB131" s="5840"/>
      <c r="AC131" s="5818"/>
      <c r="AD131" s="5841">
        <v>28</v>
      </c>
      <c r="AE131" s="5842"/>
    </row>
    <row r="132" spans="1:31" ht="18" customHeight="1">
      <c r="A132" s="5843" t="s">
        <v>221</v>
      </c>
      <c r="B132" s="5844" t="s">
        <v>159</v>
      </c>
      <c r="C132" s="5845" t="s">
        <v>222</v>
      </c>
      <c r="D132" s="5846"/>
      <c r="E132" s="5847"/>
      <c r="F132" s="5844" t="s">
        <v>159</v>
      </c>
      <c r="G132" s="5845" t="s">
        <v>222</v>
      </c>
      <c r="H132" s="5846"/>
      <c r="I132" s="5846"/>
      <c r="J132" s="5844" t="s">
        <v>159</v>
      </c>
      <c r="K132" s="5845" t="s">
        <v>222</v>
      </c>
      <c r="L132" s="5846"/>
      <c r="M132" s="5847"/>
      <c r="N132" s="5844" t="s">
        <v>159</v>
      </c>
      <c r="O132" s="5845" t="s">
        <v>222</v>
      </c>
      <c r="P132" s="5846"/>
      <c r="Q132" s="5845"/>
      <c r="R132" s="5844" t="s">
        <v>159</v>
      </c>
      <c r="S132" s="5845" t="s">
        <v>223</v>
      </c>
      <c r="T132" s="5845"/>
      <c r="U132" s="5847"/>
      <c r="V132" s="5846"/>
      <c r="W132" s="5845"/>
      <c r="X132" s="5845"/>
      <c r="Y132" s="5845"/>
      <c r="Z132" s="5848"/>
      <c r="AA132" s="5849"/>
      <c r="AB132" s="5845"/>
      <c r="AC132" s="5850"/>
      <c r="AD132" s="5845"/>
      <c r="AE132" s="5969"/>
    </row>
    <row r="133" spans="1:31" ht="18" customHeight="1">
      <c r="A133" s="100"/>
      <c r="B133" s="101"/>
      <c r="C133" s="101"/>
      <c r="D133" s="101"/>
      <c r="E133" s="101"/>
      <c r="F133" s="101"/>
      <c r="G133" s="101"/>
      <c r="H133" s="101"/>
      <c r="I133" s="101"/>
      <c r="J133" s="101"/>
      <c r="K133" s="101"/>
      <c r="L133" s="101"/>
      <c r="M133" s="101"/>
      <c r="N133" s="101"/>
      <c r="O133" s="101"/>
      <c r="P133" s="101"/>
      <c r="Q133" s="101"/>
      <c r="R133" s="101"/>
      <c r="S133" s="101"/>
      <c r="T133" s="101"/>
      <c r="U133" s="101"/>
      <c r="V133" s="101"/>
      <c r="W133" s="101"/>
      <c r="X133" s="101"/>
      <c r="Y133" s="101"/>
      <c r="Z133" s="101"/>
      <c r="AA133" s="101"/>
      <c r="AB133" s="101"/>
      <c r="AC133" s="101"/>
      <c r="AD133" s="101"/>
      <c r="AE133" s="101"/>
    </row>
    <row r="134" spans="1:31" ht="18" customHeight="1">
      <c r="A134" s="363" t="s">
        <v>208</v>
      </c>
      <c r="B134" s="2985">
        <v>1</v>
      </c>
      <c r="C134" s="2985">
        <v>2</v>
      </c>
      <c r="D134" s="2985">
        <v>3</v>
      </c>
      <c r="E134" s="2985">
        <v>4</v>
      </c>
      <c r="F134" s="2985">
        <v>5</v>
      </c>
      <c r="G134" s="2986">
        <v>6</v>
      </c>
      <c r="H134" s="2986">
        <v>7</v>
      </c>
      <c r="I134" s="2985">
        <v>8</v>
      </c>
      <c r="J134" s="2985">
        <v>9</v>
      </c>
      <c r="K134" s="2985">
        <v>10</v>
      </c>
      <c r="L134" s="2985">
        <v>11</v>
      </c>
      <c r="M134" s="2985">
        <v>12</v>
      </c>
      <c r="N134" s="2986">
        <v>13</v>
      </c>
      <c r="O134" s="2986">
        <v>14</v>
      </c>
      <c r="P134" s="2985">
        <v>15</v>
      </c>
      <c r="Q134" s="2985">
        <v>16</v>
      </c>
      <c r="R134" s="2985">
        <v>17</v>
      </c>
      <c r="S134" s="2985">
        <v>18</v>
      </c>
      <c r="T134" s="2985">
        <v>19</v>
      </c>
      <c r="U134" s="2986">
        <v>20</v>
      </c>
      <c r="V134" s="2986">
        <v>21</v>
      </c>
      <c r="W134" s="2985">
        <v>22</v>
      </c>
      <c r="X134" s="2985">
        <v>23</v>
      </c>
      <c r="Y134" s="2985">
        <v>24</v>
      </c>
      <c r="Z134" s="2985">
        <v>25</v>
      </c>
      <c r="AA134" s="2985">
        <v>26</v>
      </c>
      <c r="AB134" s="2986">
        <v>27</v>
      </c>
      <c r="AC134" s="2986">
        <v>28</v>
      </c>
      <c r="AD134" s="2985">
        <v>29</v>
      </c>
      <c r="AE134" s="2985">
        <v>30</v>
      </c>
    </row>
    <row r="135" spans="1:31" ht="18" customHeight="1">
      <c r="A135" s="2815" t="s">
        <v>224</v>
      </c>
      <c r="B135" s="3088">
        <v>89</v>
      </c>
      <c r="C135" s="2816">
        <v>89</v>
      </c>
      <c r="D135" s="3089">
        <v>89</v>
      </c>
      <c r="E135" s="3089">
        <v>89</v>
      </c>
      <c r="F135" s="3090">
        <v>89</v>
      </c>
      <c r="G135" s="3088">
        <v>89</v>
      </c>
      <c r="H135" s="3090"/>
      <c r="I135" s="3090">
        <v>99</v>
      </c>
      <c r="J135" s="3088">
        <v>99</v>
      </c>
      <c r="K135" s="3090">
        <v>99</v>
      </c>
      <c r="L135" s="3089">
        <v>99</v>
      </c>
      <c r="M135" s="3090" t="s">
        <v>46</v>
      </c>
      <c r="N135" s="3088"/>
      <c r="O135" s="3088"/>
      <c r="P135" s="3088" t="s">
        <v>159</v>
      </c>
      <c r="Q135" s="3088" t="s">
        <v>159</v>
      </c>
      <c r="R135" s="3089" t="s">
        <v>159</v>
      </c>
      <c r="S135" s="3089" t="s">
        <v>159</v>
      </c>
      <c r="T135" s="3088" t="s">
        <v>159</v>
      </c>
      <c r="U135" s="3088"/>
      <c r="V135" s="3088"/>
      <c r="W135" s="3088">
        <v>69</v>
      </c>
      <c r="X135" s="3088">
        <v>69</v>
      </c>
      <c r="Y135" s="3088">
        <v>69</v>
      </c>
      <c r="Z135" s="3090">
        <v>69</v>
      </c>
      <c r="AA135" s="3088">
        <v>69</v>
      </c>
      <c r="AB135" s="3088"/>
      <c r="AC135" s="3088"/>
      <c r="AD135" s="3088">
        <v>79</v>
      </c>
      <c r="AE135" s="3090">
        <v>79</v>
      </c>
    </row>
    <row r="136" spans="1:31" ht="18" customHeight="1">
      <c r="A136" s="5970" t="s">
        <v>225</v>
      </c>
      <c r="B136" s="5797">
        <v>99</v>
      </c>
      <c r="C136" s="5796">
        <v>99</v>
      </c>
      <c r="D136" s="5797">
        <v>99</v>
      </c>
      <c r="E136" s="5797">
        <v>99</v>
      </c>
      <c r="F136" s="5797" t="s">
        <v>46</v>
      </c>
      <c r="G136" s="5795"/>
      <c r="H136" s="5799"/>
      <c r="I136" s="5795" t="s">
        <v>159</v>
      </c>
      <c r="J136" s="5795" t="s">
        <v>159</v>
      </c>
      <c r="K136" s="5796" t="s">
        <v>159</v>
      </c>
      <c r="L136" s="5796" t="s">
        <v>159</v>
      </c>
      <c r="M136" s="5795" t="s">
        <v>159</v>
      </c>
      <c r="N136" s="5800"/>
      <c r="O136" s="5795"/>
      <c r="P136" s="5795">
        <v>69</v>
      </c>
      <c r="Q136" s="5799">
        <v>69</v>
      </c>
      <c r="R136" s="5795">
        <v>69</v>
      </c>
      <c r="S136" s="5796">
        <v>69</v>
      </c>
      <c r="T136" s="5795">
        <v>69</v>
      </c>
      <c r="U136" s="5795"/>
      <c r="V136" s="5795"/>
      <c r="W136" s="5795">
        <v>79</v>
      </c>
      <c r="X136" s="5795">
        <v>79</v>
      </c>
      <c r="Y136" s="5795">
        <v>79</v>
      </c>
      <c r="Z136" s="5796">
        <v>79</v>
      </c>
      <c r="AA136" s="5799">
        <v>79</v>
      </c>
      <c r="AB136" s="5800"/>
      <c r="AC136" s="5800"/>
      <c r="AD136" s="5800">
        <v>89</v>
      </c>
      <c r="AE136" s="5800">
        <v>89</v>
      </c>
    </row>
    <row r="137" spans="1:31" ht="18" customHeight="1">
      <c r="A137" s="5971" t="s">
        <v>124</v>
      </c>
      <c r="B137" s="5854" t="s">
        <v>159</v>
      </c>
      <c r="C137" s="5796" t="s">
        <v>159</v>
      </c>
      <c r="D137" s="5797" t="s">
        <v>159</v>
      </c>
      <c r="E137" s="5854" t="s">
        <v>159</v>
      </c>
      <c r="F137" s="5855" t="s">
        <v>159</v>
      </c>
      <c r="G137" s="5788"/>
      <c r="H137" s="5799"/>
      <c r="I137" s="5854">
        <v>69</v>
      </c>
      <c r="J137" s="5854">
        <v>69</v>
      </c>
      <c r="K137" s="5854">
        <v>69</v>
      </c>
      <c r="L137" s="5854">
        <v>69</v>
      </c>
      <c r="M137" s="5795">
        <v>69</v>
      </c>
      <c r="N137" s="5800"/>
      <c r="O137" s="5823"/>
      <c r="P137" s="5800">
        <v>79</v>
      </c>
      <c r="Q137" s="5800">
        <v>79</v>
      </c>
      <c r="R137" s="5800">
        <v>79</v>
      </c>
      <c r="S137" s="5800">
        <v>79</v>
      </c>
      <c r="T137" s="5800">
        <v>79</v>
      </c>
      <c r="U137" s="5800"/>
      <c r="V137" s="5800"/>
      <c r="W137" s="5800">
        <v>89</v>
      </c>
      <c r="X137" s="5854">
        <v>89</v>
      </c>
      <c r="Y137" s="5854">
        <v>89</v>
      </c>
      <c r="Z137" s="5854">
        <v>89</v>
      </c>
      <c r="AA137" s="5854">
        <v>89</v>
      </c>
      <c r="AB137" s="5854">
        <v>89</v>
      </c>
      <c r="AC137" s="5854"/>
      <c r="AD137" s="5854">
        <v>99</v>
      </c>
      <c r="AE137" s="5854">
        <v>99</v>
      </c>
    </row>
    <row r="138" spans="1:31" ht="18" customHeight="1">
      <c r="A138" s="5970" t="s">
        <v>226</v>
      </c>
      <c r="B138" s="5796">
        <v>69</v>
      </c>
      <c r="C138" s="5796">
        <v>69</v>
      </c>
      <c r="D138" s="5796">
        <v>69</v>
      </c>
      <c r="E138" s="5796">
        <v>69</v>
      </c>
      <c r="F138" s="5796">
        <v>69</v>
      </c>
      <c r="G138" s="5796"/>
      <c r="H138" s="5799"/>
      <c r="I138" s="5796">
        <v>79</v>
      </c>
      <c r="J138" s="5796">
        <v>79</v>
      </c>
      <c r="K138" s="5796">
        <v>79</v>
      </c>
      <c r="L138" s="5796">
        <v>79</v>
      </c>
      <c r="M138" s="5795">
        <v>79</v>
      </c>
      <c r="N138" s="5796"/>
      <c r="O138" s="5796"/>
      <c r="P138" s="5823">
        <v>89</v>
      </c>
      <c r="Q138" s="5823">
        <v>89</v>
      </c>
      <c r="R138" s="5796">
        <v>89</v>
      </c>
      <c r="S138" s="5796">
        <v>89</v>
      </c>
      <c r="T138" s="5796">
        <v>89</v>
      </c>
      <c r="U138" s="5796">
        <v>89</v>
      </c>
      <c r="V138" s="5796"/>
      <c r="W138" s="5796">
        <v>99</v>
      </c>
      <c r="X138" s="5823">
        <v>99</v>
      </c>
      <c r="Y138" s="5823">
        <v>99</v>
      </c>
      <c r="Z138" s="5796">
        <v>99</v>
      </c>
      <c r="AA138" s="5796" t="s">
        <v>46</v>
      </c>
      <c r="AB138" s="5796"/>
      <c r="AC138" s="5796"/>
      <c r="AD138" s="5796" t="s">
        <v>159</v>
      </c>
      <c r="AE138" s="5796" t="s">
        <v>159</v>
      </c>
    </row>
    <row r="139" spans="1:31" ht="18" customHeight="1">
      <c r="A139" s="5972" t="s">
        <v>227</v>
      </c>
      <c r="B139" s="5973">
        <v>79</v>
      </c>
      <c r="C139" s="5973">
        <v>79</v>
      </c>
      <c r="D139" s="5801">
        <v>79</v>
      </c>
      <c r="E139" s="5791">
        <v>79</v>
      </c>
      <c r="F139" s="5791">
        <v>79</v>
      </c>
      <c r="G139" s="5789"/>
      <c r="H139" s="5789"/>
      <c r="I139" s="5789">
        <v>89</v>
      </c>
      <c r="J139" s="5789">
        <v>89</v>
      </c>
      <c r="K139" s="5801">
        <v>89</v>
      </c>
      <c r="L139" s="5801">
        <v>89</v>
      </c>
      <c r="M139" s="5789">
        <v>89</v>
      </c>
      <c r="N139" s="5973">
        <v>89</v>
      </c>
      <c r="O139" s="5973"/>
      <c r="P139" s="5973">
        <v>99</v>
      </c>
      <c r="Q139" s="5973">
        <v>99</v>
      </c>
      <c r="R139" s="5801">
        <v>99</v>
      </c>
      <c r="S139" s="5946">
        <v>99</v>
      </c>
      <c r="T139" s="5973" t="s">
        <v>46</v>
      </c>
      <c r="U139" s="5973"/>
      <c r="V139" s="5973"/>
      <c r="W139" s="5973" t="s">
        <v>159</v>
      </c>
      <c r="X139" s="5973" t="s">
        <v>159</v>
      </c>
      <c r="Y139" s="5973" t="s">
        <v>159</v>
      </c>
      <c r="Z139" s="5791" t="s">
        <v>159</v>
      </c>
      <c r="AA139" s="5973" t="s">
        <v>159</v>
      </c>
      <c r="AB139" s="5801"/>
      <c r="AC139" s="5801"/>
      <c r="AD139" s="5801">
        <v>69</v>
      </c>
      <c r="AE139" s="5801">
        <v>69</v>
      </c>
    </row>
    <row r="140" spans="1:31" ht="18" customHeight="1">
      <c r="A140" s="178"/>
      <c r="B140" s="176"/>
      <c r="C140" s="176"/>
      <c r="D140" s="176"/>
      <c r="E140" s="108"/>
      <c r="F140" s="99"/>
      <c r="G140" s="99"/>
      <c r="H140" s="99"/>
      <c r="I140" s="99"/>
      <c r="J140" s="99"/>
      <c r="K140" s="108"/>
      <c r="L140" s="108"/>
      <c r="M140" s="176"/>
      <c r="N140" s="176"/>
      <c r="O140" s="176"/>
      <c r="P140" s="176"/>
      <c r="Q140" s="176"/>
      <c r="R140" s="108"/>
      <c r="S140" s="174"/>
      <c r="T140" s="176"/>
      <c r="U140" s="176"/>
      <c r="V140" s="176"/>
      <c r="W140" s="176"/>
      <c r="X140" s="176"/>
      <c r="Y140" s="175"/>
      <c r="Z140" s="175"/>
      <c r="AA140" s="176"/>
      <c r="AB140" s="176"/>
      <c r="AC140" s="176"/>
      <c r="AD140" s="176"/>
      <c r="AE140" s="176"/>
    </row>
    <row r="141" spans="1:31" ht="18" customHeight="1">
      <c r="A141" s="836" t="s">
        <v>228</v>
      </c>
      <c r="B141" s="2789"/>
      <c r="C141" s="2788" t="s">
        <v>19</v>
      </c>
      <c r="D141" s="2789"/>
      <c r="E141" s="2790"/>
      <c r="F141" s="2787"/>
      <c r="G141" s="2788" t="s">
        <v>20</v>
      </c>
      <c r="H141" s="2789"/>
      <c r="I141" s="2790"/>
      <c r="J141" s="2787"/>
      <c r="K141" s="2788" t="s">
        <v>21</v>
      </c>
      <c r="L141" s="2789"/>
      <c r="M141" s="2790"/>
      <c r="N141" s="2787"/>
      <c r="O141" s="2788" t="s">
        <v>22</v>
      </c>
      <c r="P141" s="2789"/>
      <c r="Q141" s="2790"/>
      <c r="R141" s="2787"/>
      <c r="S141" s="2788" t="s">
        <v>23</v>
      </c>
      <c r="T141" s="2789"/>
      <c r="U141" s="2790"/>
      <c r="V141" s="2787"/>
      <c r="W141" s="2788" t="s">
        <v>24</v>
      </c>
      <c r="X141" s="2789"/>
      <c r="Y141" s="2790"/>
      <c r="Z141" s="2787"/>
      <c r="AA141" s="2788" t="s">
        <v>25</v>
      </c>
      <c r="AB141" s="2789"/>
      <c r="AC141" s="2789"/>
      <c r="AD141" s="2791" t="s">
        <v>108</v>
      </c>
      <c r="AE141" s="2789"/>
    </row>
    <row r="142" spans="1:31" ht="18" customHeight="1">
      <c r="A142" s="569" t="s">
        <v>229</v>
      </c>
      <c r="B142" s="5817" t="s">
        <v>230</v>
      </c>
      <c r="C142" s="5833"/>
      <c r="D142" s="5833"/>
      <c r="E142" s="5834"/>
      <c r="F142" s="5817" t="s">
        <v>230</v>
      </c>
      <c r="G142" s="5833"/>
      <c r="H142" s="5833"/>
      <c r="I142" s="5834"/>
      <c r="J142" s="5817" t="s">
        <v>230</v>
      </c>
      <c r="K142" s="5833"/>
      <c r="L142" s="5833"/>
      <c r="M142" s="5834"/>
      <c r="N142" s="5817" t="s">
        <v>231</v>
      </c>
      <c r="O142" s="5833"/>
      <c r="P142" s="5833"/>
      <c r="Q142" s="5834"/>
      <c r="R142" s="5817" t="s">
        <v>232</v>
      </c>
      <c r="S142" s="5833"/>
      <c r="T142" s="5833"/>
      <c r="U142" s="5834"/>
      <c r="V142" s="5817" t="s">
        <v>233</v>
      </c>
      <c r="W142" s="5835"/>
      <c r="X142" s="5835"/>
      <c r="Y142" s="5836"/>
      <c r="Z142" s="5817" t="s">
        <v>233</v>
      </c>
      <c r="AA142" s="5833"/>
      <c r="AB142" s="5833"/>
      <c r="AC142" s="5816"/>
      <c r="AD142" s="5837">
        <v>68</v>
      </c>
      <c r="AE142" s="530"/>
    </row>
    <row r="143" spans="1:31" ht="18" customHeight="1">
      <c r="A143" s="5868"/>
      <c r="B143" s="5817" t="s">
        <v>220</v>
      </c>
      <c r="C143" s="5833"/>
      <c r="D143" s="5833"/>
      <c r="E143" s="5834"/>
      <c r="F143" s="5817" t="s">
        <v>220</v>
      </c>
      <c r="G143" s="5833"/>
      <c r="H143" s="5833"/>
      <c r="I143" s="5834"/>
      <c r="J143" s="5817" t="s">
        <v>220</v>
      </c>
      <c r="K143" s="5833"/>
      <c r="L143" s="5833"/>
      <c r="M143" s="5834"/>
      <c r="N143" s="5817" t="s">
        <v>220</v>
      </c>
      <c r="O143" s="5833"/>
      <c r="P143" s="5833"/>
      <c r="Q143" s="5834"/>
      <c r="R143" s="5817" t="s">
        <v>220</v>
      </c>
      <c r="S143" s="5833"/>
      <c r="T143" s="5833"/>
      <c r="U143" s="5834"/>
      <c r="V143" s="5817" t="s">
        <v>220</v>
      </c>
      <c r="W143" s="5833"/>
      <c r="X143" s="5833"/>
      <c r="Y143" s="5834"/>
      <c r="Z143" s="5833" t="s">
        <v>220</v>
      </c>
      <c r="AA143" s="5833"/>
      <c r="AB143" s="5833"/>
      <c r="AC143" s="5816"/>
      <c r="AD143" s="5837">
        <v>0</v>
      </c>
      <c r="AE143" s="530"/>
    </row>
    <row r="144" spans="1:31" ht="18" customHeight="1">
      <c r="A144" s="5868" t="s">
        <v>234</v>
      </c>
      <c r="B144" s="5817" t="s">
        <v>231</v>
      </c>
      <c r="C144" s="5833"/>
      <c r="D144" s="5833"/>
      <c r="E144" s="5834"/>
      <c r="F144" s="5817" t="s">
        <v>231</v>
      </c>
      <c r="G144" s="5833"/>
      <c r="H144" s="5833"/>
      <c r="I144" s="5834"/>
      <c r="J144" s="5817" t="s">
        <v>231</v>
      </c>
      <c r="K144" s="5833"/>
      <c r="L144" s="5833"/>
      <c r="M144" s="5834"/>
      <c r="N144" s="5817" t="s">
        <v>230</v>
      </c>
      <c r="O144" s="5833"/>
      <c r="P144" s="5833"/>
      <c r="Q144" s="5834"/>
      <c r="R144" s="5817" t="s">
        <v>230</v>
      </c>
      <c r="S144" s="5833"/>
      <c r="T144" s="5833"/>
      <c r="U144" s="5834"/>
      <c r="V144" s="5817" t="s">
        <v>232</v>
      </c>
      <c r="W144" s="5835"/>
      <c r="X144" s="5835"/>
      <c r="Y144" s="5836"/>
      <c r="Z144" s="5817" t="s">
        <v>232</v>
      </c>
      <c r="AA144" s="5833"/>
      <c r="AB144" s="5833"/>
      <c r="AC144" s="5816"/>
      <c r="AD144" s="5837">
        <v>68</v>
      </c>
      <c r="AE144" s="5833"/>
    </row>
    <row r="145" spans="1:31" ht="18" customHeight="1">
      <c r="A145" s="5868"/>
      <c r="B145" s="5817" t="s">
        <v>220</v>
      </c>
      <c r="C145" s="5833"/>
      <c r="D145" s="5833"/>
      <c r="E145" s="5834"/>
      <c r="F145" s="5817" t="s">
        <v>220</v>
      </c>
      <c r="G145" s="5833"/>
      <c r="H145" s="5833"/>
      <c r="I145" s="5834"/>
      <c r="J145" s="5817" t="s">
        <v>220</v>
      </c>
      <c r="K145" s="5833"/>
      <c r="L145" s="5833"/>
      <c r="M145" s="5834"/>
      <c r="N145" s="5817" t="s">
        <v>220</v>
      </c>
      <c r="O145" s="5833"/>
      <c r="P145" s="5833"/>
      <c r="Q145" s="5834"/>
      <c r="R145" s="5817" t="s">
        <v>220</v>
      </c>
      <c r="S145" s="5833"/>
      <c r="T145" s="5833"/>
      <c r="U145" s="5834"/>
      <c r="V145" s="5817" t="s">
        <v>220</v>
      </c>
      <c r="W145" s="5833"/>
      <c r="X145" s="5833"/>
      <c r="Y145" s="5834"/>
      <c r="Z145" s="5833" t="s">
        <v>220</v>
      </c>
      <c r="AA145" s="5833"/>
      <c r="AB145" s="5833"/>
      <c r="AC145" s="5816"/>
      <c r="AD145" s="5837">
        <v>0</v>
      </c>
      <c r="AE145" s="5833"/>
    </row>
    <row r="146" spans="1:31" ht="18" customHeight="1">
      <c r="A146" s="5868" t="s">
        <v>235</v>
      </c>
      <c r="B146" s="5817" t="s">
        <v>230</v>
      </c>
      <c r="C146" s="5833"/>
      <c r="D146" s="5833"/>
      <c r="E146" s="5834"/>
      <c r="F146" s="5817" t="s">
        <v>230</v>
      </c>
      <c r="G146" s="5833"/>
      <c r="H146" s="5833"/>
      <c r="I146" s="5834"/>
      <c r="J146" s="5817" t="s">
        <v>230</v>
      </c>
      <c r="K146" s="5833"/>
      <c r="L146" s="5833"/>
      <c r="M146" s="5834"/>
      <c r="N146" s="5817" t="s">
        <v>230</v>
      </c>
      <c r="O146" s="5833"/>
      <c r="P146" s="5833"/>
      <c r="Q146" s="5834"/>
      <c r="R146" s="5817" t="s">
        <v>230</v>
      </c>
      <c r="S146" s="5833"/>
      <c r="T146" s="5833"/>
      <c r="U146" s="5834"/>
      <c r="V146" s="5817" t="s">
        <v>236</v>
      </c>
      <c r="W146" s="5840"/>
      <c r="X146" s="5840"/>
      <c r="Y146" s="5818"/>
      <c r="Z146" s="5817" t="s">
        <v>236</v>
      </c>
      <c r="AA146" s="5840"/>
      <c r="AB146" s="5840"/>
      <c r="AC146" s="5820"/>
      <c r="AD146" s="5837">
        <v>68</v>
      </c>
      <c r="AE146" s="5833"/>
    </row>
    <row r="147" spans="1:31" ht="18" customHeight="1">
      <c r="A147" s="5868"/>
      <c r="B147" s="5872" t="s">
        <v>220</v>
      </c>
      <c r="C147" s="5974"/>
      <c r="D147" s="5974"/>
      <c r="E147" s="5873"/>
      <c r="F147" s="5872" t="s">
        <v>220</v>
      </c>
      <c r="G147" s="5974"/>
      <c r="H147" s="5974"/>
      <c r="I147" s="5873"/>
      <c r="J147" s="5872" t="s">
        <v>220</v>
      </c>
      <c r="K147" s="5974"/>
      <c r="L147" s="5974"/>
      <c r="M147" s="5873"/>
      <c r="N147" s="5872" t="s">
        <v>220</v>
      </c>
      <c r="O147" s="5974"/>
      <c r="P147" s="5974"/>
      <c r="Q147" s="5873"/>
      <c r="R147" s="5872" t="s">
        <v>220</v>
      </c>
      <c r="S147" s="5974"/>
      <c r="T147" s="5974"/>
      <c r="U147" s="5874"/>
      <c r="V147" s="5872" t="s">
        <v>220</v>
      </c>
      <c r="W147" s="5874"/>
      <c r="X147" s="5974"/>
      <c r="Y147" s="5873"/>
      <c r="Z147" s="5872" t="s">
        <v>220</v>
      </c>
      <c r="AA147" s="5874"/>
      <c r="AB147" s="5974"/>
      <c r="AC147" s="5873"/>
      <c r="AD147" s="5975">
        <v>0</v>
      </c>
      <c r="AE147" s="5974"/>
    </row>
    <row r="148" spans="1:31" ht="18" customHeight="1">
      <c r="A148" s="100"/>
      <c r="B148" s="101"/>
      <c r="C148" s="101"/>
      <c r="D148" s="101"/>
      <c r="E148" s="101"/>
      <c r="F148" s="101"/>
      <c r="G148" s="101"/>
      <c r="H148" s="101"/>
      <c r="I148" s="101"/>
      <c r="J148" s="101"/>
      <c r="K148" s="101"/>
      <c r="L148" s="101"/>
      <c r="M148" s="101"/>
      <c r="N148" s="101"/>
      <c r="O148" s="101"/>
      <c r="P148" s="101"/>
      <c r="Q148" s="101"/>
      <c r="R148" s="101"/>
      <c r="S148" s="101"/>
      <c r="T148" s="101"/>
      <c r="U148" s="101"/>
      <c r="V148" s="101"/>
      <c r="W148" s="101"/>
      <c r="X148" s="101"/>
      <c r="Y148" s="101"/>
      <c r="Z148" s="101"/>
      <c r="AA148" s="101"/>
      <c r="AB148" s="101"/>
      <c r="AC148" s="101"/>
      <c r="AD148" s="101"/>
      <c r="AE148" s="101"/>
    </row>
    <row r="149" spans="1:31" ht="18" customHeight="1">
      <c r="A149" s="371" t="s">
        <v>228</v>
      </c>
      <c r="B149" s="865">
        <v>1</v>
      </c>
      <c r="C149" s="865">
        <v>2</v>
      </c>
      <c r="D149" s="865">
        <v>3</v>
      </c>
      <c r="E149" s="865">
        <v>4</v>
      </c>
      <c r="F149" s="865">
        <v>5</v>
      </c>
      <c r="G149" s="866">
        <v>6</v>
      </c>
      <c r="H149" s="866">
        <v>7</v>
      </c>
      <c r="I149" s="865">
        <v>8</v>
      </c>
      <c r="J149" s="865">
        <v>9</v>
      </c>
      <c r="K149" s="865">
        <v>10</v>
      </c>
      <c r="L149" s="865">
        <v>11</v>
      </c>
      <c r="M149" s="865">
        <v>12</v>
      </c>
      <c r="N149" s="866">
        <v>13</v>
      </c>
      <c r="O149" s="866">
        <v>14</v>
      </c>
      <c r="P149" s="865">
        <v>15</v>
      </c>
      <c r="Q149" s="865">
        <v>16</v>
      </c>
      <c r="R149" s="865">
        <v>17</v>
      </c>
      <c r="S149" s="865">
        <v>18</v>
      </c>
      <c r="T149" s="865">
        <v>19</v>
      </c>
      <c r="U149" s="866">
        <v>20</v>
      </c>
      <c r="V149" s="866">
        <v>21</v>
      </c>
      <c r="W149" s="865">
        <v>22</v>
      </c>
      <c r="X149" s="865">
        <v>23</v>
      </c>
      <c r="Y149" s="865">
        <v>24</v>
      </c>
      <c r="Z149" s="865">
        <v>25</v>
      </c>
      <c r="AA149" s="865">
        <v>26</v>
      </c>
      <c r="AB149" s="866">
        <v>27</v>
      </c>
      <c r="AC149" s="866">
        <v>28</v>
      </c>
      <c r="AD149" s="865">
        <v>29</v>
      </c>
      <c r="AE149" s="867">
        <v>30</v>
      </c>
    </row>
    <row r="150" spans="1:31" ht="18" customHeight="1">
      <c r="A150" s="5591" t="s">
        <v>237</v>
      </c>
      <c r="B150" s="2829">
        <v>21</v>
      </c>
      <c r="C150" s="2830">
        <v>21</v>
      </c>
      <c r="D150" s="2830">
        <v>21</v>
      </c>
      <c r="E150" s="2830">
        <v>21</v>
      </c>
      <c r="F150" s="2830">
        <v>21</v>
      </c>
      <c r="G150" s="2829">
        <v>21</v>
      </c>
      <c r="H150" s="2829">
        <v>21</v>
      </c>
      <c r="I150" s="2829" t="s">
        <v>46</v>
      </c>
      <c r="J150" s="2831" t="s">
        <v>46</v>
      </c>
      <c r="K150" s="2831" t="s">
        <v>46</v>
      </c>
      <c r="L150" s="2831" t="s">
        <v>46</v>
      </c>
      <c r="M150" s="2830" t="s">
        <v>46</v>
      </c>
      <c r="N150" s="2830"/>
      <c r="O150" s="2830"/>
      <c r="P150" s="2830">
        <v>22</v>
      </c>
      <c r="Q150" s="2830">
        <v>22</v>
      </c>
      <c r="R150" s="2830">
        <v>22</v>
      </c>
      <c r="S150" s="2830">
        <v>22</v>
      </c>
      <c r="T150" s="2830">
        <v>22</v>
      </c>
      <c r="U150" s="2829">
        <v>22</v>
      </c>
      <c r="V150" s="2829">
        <v>22</v>
      </c>
      <c r="W150" s="2829" t="s">
        <v>46</v>
      </c>
      <c r="X150" s="2829" t="s">
        <v>46</v>
      </c>
      <c r="Y150" s="2829" t="s">
        <v>46</v>
      </c>
      <c r="Z150" s="2829" t="s">
        <v>46</v>
      </c>
      <c r="AA150" s="2829" t="s">
        <v>46</v>
      </c>
      <c r="AB150" s="2832"/>
      <c r="AC150" s="2832"/>
      <c r="AD150" s="2832">
        <v>23</v>
      </c>
      <c r="AE150" s="4639">
        <v>23</v>
      </c>
    </row>
    <row r="151" spans="1:31" ht="18" customHeight="1">
      <c r="A151" s="5591" t="s">
        <v>238</v>
      </c>
      <c r="B151" s="5600">
        <v>22</v>
      </c>
      <c r="C151" s="5600">
        <v>22</v>
      </c>
      <c r="D151" s="5602">
        <v>22</v>
      </c>
      <c r="E151" s="5629">
        <v>22</v>
      </c>
      <c r="F151" s="5629">
        <v>22</v>
      </c>
      <c r="G151" s="5629">
        <v>22</v>
      </c>
      <c r="H151" s="5629">
        <v>22</v>
      </c>
      <c r="I151" s="5629" t="s">
        <v>46</v>
      </c>
      <c r="J151" s="5673" t="s">
        <v>46</v>
      </c>
      <c r="K151" s="5673" t="s">
        <v>46</v>
      </c>
      <c r="L151" s="5673" t="s">
        <v>46</v>
      </c>
      <c r="M151" s="5601" t="s">
        <v>46</v>
      </c>
      <c r="N151" s="5601"/>
      <c r="O151" s="5601"/>
      <c r="P151" s="5601">
        <v>23</v>
      </c>
      <c r="Q151" s="5600">
        <v>23</v>
      </c>
      <c r="R151" s="5602">
        <v>23</v>
      </c>
      <c r="S151" s="5629">
        <v>23</v>
      </c>
      <c r="T151" s="5629">
        <v>23</v>
      </c>
      <c r="U151" s="5629">
        <v>23</v>
      </c>
      <c r="V151" s="5629">
        <v>23</v>
      </c>
      <c r="W151" s="5629" t="s">
        <v>46</v>
      </c>
      <c r="X151" s="5600" t="s">
        <v>46</v>
      </c>
      <c r="Y151" s="5600" t="s">
        <v>46</v>
      </c>
      <c r="Z151" s="5600" t="s">
        <v>46</v>
      </c>
      <c r="AA151" s="5600" t="s">
        <v>46</v>
      </c>
      <c r="AB151" s="5629"/>
      <c r="AC151" s="5629"/>
      <c r="AD151" s="5629">
        <v>21</v>
      </c>
      <c r="AE151" s="5672">
        <v>21</v>
      </c>
    </row>
    <row r="152" spans="1:31" ht="18" customHeight="1">
      <c r="A152" s="5591" t="s">
        <v>239</v>
      </c>
      <c r="B152" s="5600">
        <v>23</v>
      </c>
      <c r="C152" s="5601">
        <v>23</v>
      </c>
      <c r="D152" s="5601">
        <v>23</v>
      </c>
      <c r="E152" s="5601">
        <v>23</v>
      </c>
      <c r="F152" s="5601">
        <v>23</v>
      </c>
      <c r="G152" s="5601">
        <v>23</v>
      </c>
      <c r="H152" s="5600">
        <v>23</v>
      </c>
      <c r="I152" s="5600" t="s">
        <v>46</v>
      </c>
      <c r="J152" s="5673" t="s">
        <v>46</v>
      </c>
      <c r="K152" s="5673" t="s">
        <v>46</v>
      </c>
      <c r="L152" s="5673" t="s">
        <v>46</v>
      </c>
      <c r="M152" s="5601" t="s">
        <v>46</v>
      </c>
      <c r="N152" s="5601"/>
      <c r="O152" s="5601"/>
      <c r="P152" s="5601">
        <v>21</v>
      </c>
      <c r="Q152" s="5600">
        <v>21</v>
      </c>
      <c r="R152" s="5602">
        <v>21</v>
      </c>
      <c r="S152" s="5600">
        <v>21</v>
      </c>
      <c r="T152" s="5600">
        <v>21</v>
      </c>
      <c r="U152" s="5600">
        <v>21</v>
      </c>
      <c r="V152" s="5600">
        <v>21</v>
      </c>
      <c r="W152" s="5600" t="s">
        <v>46</v>
      </c>
      <c r="X152" s="5600" t="s">
        <v>46</v>
      </c>
      <c r="Y152" s="5600" t="s">
        <v>46</v>
      </c>
      <c r="Z152" s="5600" t="s">
        <v>46</v>
      </c>
      <c r="AA152" s="5600" t="s">
        <v>46</v>
      </c>
      <c r="AB152" s="5629"/>
      <c r="AC152" s="5629"/>
      <c r="AD152" s="5629">
        <v>22</v>
      </c>
      <c r="AE152" s="5674">
        <v>22</v>
      </c>
    </row>
    <row r="153" spans="1:31" ht="18" customHeight="1">
      <c r="A153" s="655" t="s">
        <v>240</v>
      </c>
      <c r="B153" s="5600" t="s">
        <v>46</v>
      </c>
      <c r="C153" s="5673" t="s">
        <v>46</v>
      </c>
      <c r="D153" s="5673" t="s">
        <v>46</v>
      </c>
      <c r="E153" s="5673" t="s">
        <v>46</v>
      </c>
      <c r="F153" s="5601" t="s">
        <v>46</v>
      </c>
      <c r="G153" s="5601"/>
      <c r="H153" s="5601"/>
      <c r="I153" s="5601">
        <v>21</v>
      </c>
      <c r="J153" s="5601">
        <v>21</v>
      </c>
      <c r="K153" s="5601">
        <v>21</v>
      </c>
      <c r="L153" s="5601">
        <v>21</v>
      </c>
      <c r="M153" s="5601">
        <v>21</v>
      </c>
      <c r="N153" s="5601">
        <v>21</v>
      </c>
      <c r="O153" s="5600">
        <v>21</v>
      </c>
      <c r="P153" s="5600" t="s">
        <v>46</v>
      </c>
      <c r="Q153" s="5628" t="s">
        <v>46</v>
      </c>
      <c r="R153" s="5628" t="s">
        <v>46</v>
      </c>
      <c r="S153" s="5600" t="s">
        <v>46</v>
      </c>
      <c r="T153" s="5629" t="s">
        <v>46</v>
      </c>
      <c r="U153" s="5629"/>
      <c r="V153" s="5602"/>
      <c r="W153" s="5600">
        <v>22</v>
      </c>
      <c r="X153" s="5601">
        <v>22</v>
      </c>
      <c r="Y153" s="5601">
        <v>22</v>
      </c>
      <c r="Z153" s="5601">
        <v>22</v>
      </c>
      <c r="AA153" s="5601">
        <v>22</v>
      </c>
      <c r="AB153" s="5600">
        <v>22</v>
      </c>
      <c r="AC153" s="5600">
        <v>22</v>
      </c>
      <c r="AD153" s="5600" t="s">
        <v>46</v>
      </c>
      <c r="AE153" s="5674" t="s">
        <v>46</v>
      </c>
    </row>
    <row r="154" spans="1:31" ht="18" customHeight="1">
      <c r="A154" s="5866" t="s">
        <v>242</v>
      </c>
      <c r="B154" s="5601" t="s">
        <v>46</v>
      </c>
      <c r="C154" s="5676" t="s">
        <v>46</v>
      </c>
      <c r="D154" s="5676" t="s">
        <v>46</v>
      </c>
      <c r="E154" s="5676" t="s">
        <v>46</v>
      </c>
      <c r="F154" s="5676" t="s">
        <v>46</v>
      </c>
      <c r="G154" s="5676"/>
      <c r="H154" s="5676"/>
      <c r="I154" s="5676">
        <v>22</v>
      </c>
      <c r="J154" s="5600">
        <v>22</v>
      </c>
      <c r="K154" s="5602">
        <v>22</v>
      </c>
      <c r="L154" s="5600">
        <v>22</v>
      </c>
      <c r="M154" s="5600">
        <v>22</v>
      </c>
      <c r="N154" s="5600">
        <v>22</v>
      </c>
      <c r="O154" s="5600">
        <v>22</v>
      </c>
      <c r="P154" s="5600" t="s">
        <v>46</v>
      </c>
      <c r="Q154" s="5628" t="s">
        <v>46</v>
      </c>
      <c r="R154" s="5628" t="s">
        <v>46</v>
      </c>
      <c r="S154" s="5600" t="s">
        <v>46</v>
      </c>
      <c r="T154" s="5629" t="s">
        <v>46</v>
      </c>
      <c r="U154" s="5629"/>
      <c r="V154" s="5602"/>
      <c r="W154" s="5600">
        <v>23</v>
      </c>
      <c r="X154" s="5600">
        <v>23</v>
      </c>
      <c r="Y154" s="5602">
        <v>23</v>
      </c>
      <c r="Z154" s="5629">
        <v>23</v>
      </c>
      <c r="AA154" s="5629">
        <v>23</v>
      </c>
      <c r="AB154" s="5629">
        <v>23</v>
      </c>
      <c r="AC154" s="5629">
        <v>23</v>
      </c>
      <c r="AD154" s="5629" t="s">
        <v>46</v>
      </c>
      <c r="AE154" s="5674" t="s">
        <v>46</v>
      </c>
    </row>
    <row r="155" spans="1:31" ht="18" customHeight="1">
      <c r="A155" s="656"/>
      <c r="B155" s="5677" t="s">
        <v>46</v>
      </c>
      <c r="C155" s="5678" t="s">
        <v>46</v>
      </c>
      <c r="D155" s="5678" t="s">
        <v>46</v>
      </c>
      <c r="E155" s="5678" t="s">
        <v>46</v>
      </c>
      <c r="F155" s="5679" t="s">
        <v>46</v>
      </c>
      <c r="G155" s="5679"/>
      <c r="H155" s="5679"/>
      <c r="I155" s="5679">
        <v>23</v>
      </c>
      <c r="J155" s="5679">
        <v>23</v>
      </c>
      <c r="K155" s="5679">
        <v>23</v>
      </c>
      <c r="L155" s="5679">
        <v>23</v>
      </c>
      <c r="M155" s="5677">
        <v>23</v>
      </c>
      <c r="N155" s="5677">
        <v>23</v>
      </c>
      <c r="O155" s="5677">
        <v>23</v>
      </c>
      <c r="P155" s="5677" t="s">
        <v>46</v>
      </c>
      <c r="Q155" s="5680" t="s">
        <v>46</v>
      </c>
      <c r="R155" s="5680" t="s">
        <v>46</v>
      </c>
      <c r="S155" s="5677" t="s">
        <v>46</v>
      </c>
      <c r="T155" s="5681" t="s">
        <v>46</v>
      </c>
      <c r="U155" s="5681"/>
      <c r="V155" s="5682"/>
      <c r="W155" s="5677">
        <v>21</v>
      </c>
      <c r="X155" s="5677">
        <v>21</v>
      </c>
      <c r="Y155" s="5682">
        <v>21</v>
      </c>
      <c r="Z155" s="5677">
        <v>21</v>
      </c>
      <c r="AA155" s="5677">
        <v>21</v>
      </c>
      <c r="AB155" s="5677">
        <v>21</v>
      </c>
      <c r="AC155" s="5677">
        <v>21</v>
      </c>
      <c r="AD155" s="5677" t="s">
        <v>46</v>
      </c>
      <c r="AE155" s="398" t="s">
        <v>46</v>
      </c>
    </row>
    <row r="156" spans="1:31" ht="18" customHeight="1">
      <c r="A156" s="68"/>
      <c r="B156" s="108"/>
      <c r="C156" s="108"/>
      <c r="D156" s="99"/>
      <c r="E156" s="108"/>
      <c r="F156" s="108"/>
      <c r="G156" s="173"/>
      <c r="H156" s="173"/>
      <c r="I156" s="173"/>
      <c r="J156" s="173"/>
      <c r="K156" s="173"/>
      <c r="L156" s="173"/>
      <c r="M156" s="109"/>
      <c r="N156" s="109"/>
      <c r="O156" s="99"/>
      <c r="P156" s="108"/>
      <c r="Q156" s="108"/>
      <c r="R156" s="99"/>
      <c r="S156" s="108"/>
      <c r="T156" s="108"/>
      <c r="U156" s="108"/>
      <c r="V156" s="108"/>
      <c r="W156" s="108"/>
      <c r="X156" s="108"/>
      <c r="Y156" s="108"/>
      <c r="Z156" s="108"/>
      <c r="AA156" s="109"/>
      <c r="AB156" s="109"/>
      <c r="AC156" s="99"/>
      <c r="AD156" s="108"/>
      <c r="AE156" s="108"/>
    </row>
    <row r="157" spans="1:31" ht="18" customHeight="1">
      <c r="A157" s="833" t="s">
        <v>244</v>
      </c>
      <c r="B157" s="3064"/>
      <c r="C157" s="2788" t="s">
        <v>19</v>
      </c>
      <c r="D157" s="3064"/>
      <c r="E157" s="2769"/>
      <c r="F157" s="2765"/>
      <c r="G157" s="2788" t="s">
        <v>20</v>
      </c>
      <c r="H157" s="3064"/>
      <c r="I157" s="2769"/>
      <c r="J157" s="2765"/>
      <c r="K157" s="2788" t="s">
        <v>21</v>
      </c>
      <c r="L157" s="3064"/>
      <c r="M157" s="2769"/>
      <c r="N157" s="2765"/>
      <c r="O157" s="2788" t="s">
        <v>22</v>
      </c>
      <c r="P157" s="3064"/>
      <c r="Q157" s="2769"/>
      <c r="R157" s="2765"/>
      <c r="S157" s="2788" t="s">
        <v>23</v>
      </c>
      <c r="T157" s="3064"/>
      <c r="U157" s="2769"/>
      <c r="V157" s="2765"/>
      <c r="W157" s="2788" t="s">
        <v>24</v>
      </c>
      <c r="X157" s="3064"/>
      <c r="Y157" s="2769"/>
      <c r="Z157" s="2765"/>
      <c r="AA157" s="2788" t="s">
        <v>25</v>
      </c>
      <c r="AB157" s="3064"/>
      <c r="AC157" s="3064"/>
      <c r="AD157" s="2791" t="s">
        <v>108</v>
      </c>
      <c r="AE157" s="3064"/>
    </row>
    <row r="158" spans="1:31" ht="18" customHeight="1">
      <c r="A158" s="569" t="s">
        <v>210</v>
      </c>
      <c r="B158" s="5817" t="s">
        <v>211</v>
      </c>
      <c r="C158" s="5770"/>
      <c r="D158" s="5770"/>
      <c r="E158" s="5834"/>
      <c r="F158" s="5817" t="s">
        <v>211</v>
      </c>
      <c r="G158" s="5770"/>
      <c r="H158" s="5770"/>
      <c r="I158" s="5834"/>
      <c r="J158" s="5817" t="s">
        <v>211</v>
      </c>
      <c r="K158" s="5770"/>
      <c r="L158" s="5770"/>
      <c r="M158" s="5834"/>
      <c r="N158" s="5817" t="s">
        <v>245</v>
      </c>
      <c r="O158" s="5770"/>
      <c r="P158" s="5770"/>
      <c r="Q158" s="5834"/>
      <c r="R158" s="5817" t="s">
        <v>220</v>
      </c>
      <c r="S158" s="5770"/>
      <c r="T158" s="5770"/>
      <c r="U158" s="5834"/>
      <c r="V158" s="5869"/>
      <c r="W158" s="5870"/>
      <c r="X158" s="5870"/>
      <c r="Y158" s="5836"/>
      <c r="Z158" s="5832"/>
      <c r="AA158" s="5770"/>
      <c r="AB158" s="5770"/>
      <c r="AC158" s="5816"/>
      <c r="AD158" s="5837">
        <v>27</v>
      </c>
      <c r="AE158" s="5770"/>
    </row>
    <row r="159" spans="1:31" ht="18" customHeight="1">
      <c r="A159" s="5868" t="s">
        <v>212</v>
      </c>
      <c r="B159" s="5817" t="s">
        <v>246</v>
      </c>
      <c r="C159" s="5770"/>
      <c r="D159" s="5770"/>
      <c r="E159" s="5834"/>
      <c r="F159" s="5817" t="s">
        <v>246</v>
      </c>
      <c r="G159" s="5770"/>
      <c r="H159" s="5770"/>
      <c r="I159" s="5834"/>
      <c r="J159" s="5817" t="s">
        <v>246</v>
      </c>
      <c r="K159" s="5770"/>
      <c r="L159" s="5770"/>
      <c r="M159" s="5834"/>
      <c r="N159" s="5817" t="s">
        <v>246</v>
      </c>
      <c r="O159" s="5770"/>
      <c r="P159" s="5770"/>
      <c r="Q159" s="5834"/>
      <c r="R159" s="5817" t="s">
        <v>211</v>
      </c>
      <c r="S159" s="5770"/>
      <c r="T159" s="5770"/>
      <c r="U159" s="5834"/>
      <c r="V159" s="5817"/>
      <c r="W159" s="5770"/>
      <c r="X159" s="5770"/>
      <c r="Y159" s="5834"/>
      <c r="Z159" s="5770"/>
      <c r="AA159" s="5770"/>
      <c r="AB159" s="5770"/>
      <c r="AC159" s="5816"/>
      <c r="AD159" s="5837">
        <v>39</v>
      </c>
      <c r="AE159" s="5770"/>
    </row>
    <row r="160" spans="1:31" ht="18" customHeight="1">
      <c r="A160" s="5868" t="s">
        <v>214</v>
      </c>
      <c r="B160" s="5817" t="s">
        <v>246</v>
      </c>
      <c r="C160" s="5770"/>
      <c r="D160" s="5770"/>
      <c r="E160" s="5834"/>
      <c r="F160" s="5817" t="s">
        <v>246</v>
      </c>
      <c r="G160" s="5770"/>
      <c r="H160" s="5770"/>
      <c r="I160" s="5834"/>
      <c r="J160" s="5817" t="s">
        <v>246</v>
      </c>
      <c r="K160" s="5770"/>
      <c r="L160" s="5770"/>
      <c r="M160" s="5834"/>
      <c r="N160" s="5817" t="s">
        <v>246</v>
      </c>
      <c r="O160" s="5770"/>
      <c r="P160" s="5770"/>
      <c r="Q160" s="5834"/>
      <c r="R160" s="5817" t="s">
        <v>246</v>
      </c>
      <c r="S160" s="5770"/>
      <c r="T160" s="5770"/>
      <c r="U160" s="5834"/>
      <c r="V160" s="5819" t="s">
        <v>217</v>
      </c>
      <c r="W160" s="5767"/>
      <c r="X160" s="5767"/>
      <c r="Y160" s="5818"/>
      <c r="Z160" s="5839"/>
      <c r="AA160" s="5767"/>
      <c r="AB160" s="5767"/>
      <c r="AC160" s="5820"/>
      <c r="AD160" s="5837">
        <v>45</v>
      </c>
      <c r="AE160" s="5770"/>
    </row>
    <row r="161" spans="1:31" ht="18" customHeight="1">
      <c r="A161" s="1484" t="s">
        <v>218</v>
      </c>
      <c r="B161" s="5872"/>
      <c r="C161" s="5780"/>
      <c r="D161" s="5780"/>
      <c r="E161" s="5873"/>
      <c r="F161" s="5872"/>
      <c r="G161" s="5780"/>
      <c r="H161" s="5780"/>
      <c r="I161" s="5873"/>
      <c r="J161" s="5872"/>
      <c r="K161" s="5780"/>
      <c r="L161" s="5780"/>
      <c r="M161" s="5873"/>
      <c r="N161" s="5872"/>
      <c r="O161" s="5780"/>
      <c r="P161" s="5780"/>
      <c r="Q161" s="5873"/>
      <c r="R161" s="5872"/>
      <c r="S161" s="5780"/>
      <c r="T161" s="5780"/>
      <c r="U161" s="5874"/>
      <c r="V161" s="5872"/>
      <c r="W161" s="5874"/>
      <c r="X161" s="5780"/>
      <c r="Y161" s="5873"/>
      <c r="Z161" s="5872"/>
      <c r="AA161" s="5874"/>
      <c r="AB161" s="5780"/>
      <c r="AC161" s="5873"/>
      <c r="AD161" s="5875"/>
      <c r="AE161" s="5780"/>
    </row>
    <row r="162" spans="1:31" ht="18" customHeight="1">
      <c r="A162" s="1"/>
    </row>
    <row r="163" spans="1:31" ht="18" customHeight="1">
      <c r="A163" s="363" t="s">
        <v>609</v>
      </c>
      <c r="B163" s="865">
        <v>1</v>
      </c>
      <c r="C163" s="865">
        <v>2</v>
      </c>
      <c r="D163" s="865">
        <v>3</v>
      </c>
      <c r="E163" s="865">
        <v>4</v>
      </c>
      <c r="F163" s="865">
        <v>5</v>
      </c>
      <c r="G163" s="866">
        <v>6</v>
      </c>
      <c r="H163" s="866">
        <v>7</v>
      </c>
      <c r="I163" s="865">
        <v>8</v>
      </c>
      <c r="J163" s="865">
        <v>9</v>
      </c>
      <c r="K163" s="865">
        <v>10</v>
      </c>
      <c r="L163" s="865">
        <v>11</v>
      </c>
      <c r="M163" s="865">
        <v>12</v>
      </c>
      <c r="N163" s="866">
        <v>13</v>
      </c>
      <c r="O163" s="866">
        <v>14</v>
      </c>
      <c r="P163" s="865">
        <v>15</v>
      </c>
      <c r="Q163" s="865">
        <v>16</v>
      </c>
      <c r="R163" s="865">
        <v>17</v>
      </c>
      <c r="S163" s="865">
        <v>18</v>
      </c>
      <c r="T163" s="865">
        <v>19</v>
      </c>
      <c r="U163" s="866">
        <v>20</v>
      </c>
      <c r="V163" s="866">
        <v>21</v>
      </c>
      <c r="W163" s="865">
        <v>22</v>
      </c>
      <c r="X163" s="865">
        <v>23</v>
      </c>
      <c r="Y163" s="865">
        <v>24</v>
      </c>
      <c r="Z163" s="865">
        <v>25</v>
      </c>
      <c r="AA163" s="865">
        <v>26</v>
      </c>
      <c r="AB163" s="866">
        <v>27</v>
      </c>
      <c r="AC163" s="866">
        <v>28</v>
      </c>
      <c r="AD163" s="865">
        <v>29</v>
      </c>
      <c r="AE163" s="867">
        <v>30</v>
      </c>
    </row>
    <row r="164" spans="1:31" ht="18" customHeight="1">
      <c r="A164" s="4668" t="s">
        <v>247</v>
      </c>
      <c r="B164" s="3089" t="s">
        <v>40</v>
      </c>
      <c r="C164" s="3089" t="s">
        <v>40</v>
      </c>
      <c r="D164" s="3089" t="s">
        <v>40</v>
      </c>
      <c r="E164" s="3089" t="s">
        <v>40</v>
      </c>
      <c r="F164" s="3089" t="s">
        <v>40</v>
      </c>
      <c r="G164" s="2848"/>
      <c r="H164" s="3089"/>
      <c r="I164" s="3089" t="s">
        <v>40</v>
      </c>
      <c r="J164" s="3089" t="s">
        <v>40</v>
      </c>
      <c r="K164" s="3089" t="s">
        <v>40</v>
      </c>
      <c r="L164" s="3089" t="s">
        <v>40</v>
      </c>
      <c r="M164" s="3089" t="s">
        <v>40</v>
      </c>
      <c r="N164" s="3089"/>
      <c r="O164" s="3089"/>
      <c r="P164" s="2848" t="s">
        <v>40</v>
      </c>
      <c r="Q164" s="2848" t="s">
        <v>40</v>
      </c>
      <c r="R164" s="3089" t="s">
        <v>40</v>
      </c>
      <c r="S164" s="3089" t="s">
        <v>40</v>
      </c>
      <c r="T164" s="3089" t="s">
        <v>40</v>
      </c>
      <c r="U164" s="3089" t="s">
        <v>248</v>
      </c>
      <c r="V164" s="3089"/>
      <c r="W164" s="3089" t="s">
        <v>40</v>
      </c>
      <c r="X164" s="3089" t="s">
        <v>40</v>
      </c>
      <c r="Y164" s="3089" t="s">
        <v>40</v>
      </c>
      <c r="Z164" s="3089" t="s">
        <v>40</v>
      </c>
      <c r="AA164" s="3089" t="s">
        <v>40</v>
      </c>
      <c r="AB164" s="2848"/>
      <c r="AC164" s="3089"/>
      <c r="AD164" s="3089" t="s">
        <v>40</v>
      </c>
      <c r="AE164" s="5178" t="s">
        <v>40</v>
      </c>
    </row>
    <row r="165" spans="1:31" ht="18" customHeight="1">
      <c r="A165" s="5877" t="s">
        <v>249</v>
      </c>
      <c r="B165" s="5976" t="s">
        <v>250</v>
      </c>
      <c r="C165" s="5976" t="s">
        <v>250</v>
      </c>
      <c r="D165" s="5976" t="s">
        <v>250</v>
      </c>
      <c r="E165" s="5976" t="s">
        <v>250</v>
      </c>
      <c r="F165" s="5796" t="s">
        <v>250</v>
      </c>
      <c r="G165" s="5796"/>
      <c r="H165" s="5796"/>
      <c r="I165" s="5796" t="s">
        <v>248</v>
      </c>
      <c r="J165" s="5796" t="s">
        <v>248</v>
      </c>
      <c r="K165" s="5796" t="s">
        <v>248</v>
      </c>
      <c r="L165" s="5796" t="s">
        <v>248</v>
      </c>
      <c r="M165" s="5796" t="s">
        <v>248</v>
      </c>
      <c r="N165" s="5796" t="s">
        <v>248</v>
      </c>
      <c r="O165" s="5796"/>
      <c r="P165" s="5796" t="s">
        <v>251</v>
      </c>
      <c r="Q165" s="5796" t="s">
        <v>251</v>
      </c>
      <c r="R165" s="5796" t="s">
        <v>251</v>
      </c>
      <c r="S165" s="5796" t="s">
        <v>251</v>
      </c>
      <c r="T165" s="5796" t="s">
        <v>46</v>
      </c>
      <c r="U165" s="5796"/>
      <c r="V165" s="5796"/>
      <c r="W165" s="5796" t="s">
        <v>250</v>
      </c>
      <c r="X165" s="5796" t="s">
        <v>250</v>
      </c>
      <c r="Y165" s="5796" t="s">
        <v>250</v>
      </c>
      <c r="Z165" s="5796" t="s">
        <v>250</v>
      </c>
      <c r="AA165" s="5796" t="s">
        <v>250</v>
      </c>
      <c r="AB165" s="5796"/>
      <c r="AC165" s="5796"/>
      <c r="AD165" s="5796" t="s">
        <v>248</v>
      </c>
      <c r="AE165" s="5857" t="s">
        <v>248</v>
      </c>
    </row>
    <row r="166" spans="1:31" ht="18" customHeight="1">
      <c r="A166" s="5877" t="s">
        <v>512</v>
      </c>
      <c r="B166" s="5796" t="s">
        <v>248</v>
      </c>
      <c r="C166" s="5800" t="s">
        <v>248</v>
      </c>
      <c r="D166" s="5800" t="s">
        <v>248</v>
      </c>
      <c r="E166" s="5800" t="s">
        <v>248</v>
      </c>
      <c r="F166" s="5796" t="s">
        <v>248</v>
      </c>
      <c r="G166" s="5796" t="s">
        <v>248</v>
      </c>
      <c r="H166" s="5796"/>
      <c r="I166" s="5796" t="s">
        <v>251</v>
      </c>
      <c r="J166" s="5796" t="s">
        <v>251</v>
      </c>
      <c r="K166" s="5796" t="s">
        <v>251</v>
      </c>
      <c r="L166" s="5796" t="s">
        <v>251</v>
      </c>
      <c r="M166" s="5796" t="s">
        <v>46</v>
      </c>
      <c r="N166" s="5800"/>
      <c r="O166" s="5800"/>
      <c r="P166" s="5796" t="s">
        <v>250</v>
      </c>
      <c r="Q166" s="5796" t="s">
        <v>250</v>
      </c>
      <c r="R166" s="5796" t="s">
        <v>250</v>
      </c>
      <c r="S166" s="5796" t="s">
        <v>250</v>
      </c>
      <c r="T166" s="5796" t="s">
        <v>250</v>
      </c>
      <c r="U166" s="5800"/>
      <c r="V166" s="5800"/>
      <c r="W166" s="5796" t="s">
        <v>248</v>
      </c>
      <c r="X166" s="5800" t="s">
        <v>248</v>
      </c>
      <c r="Y166" s="5800" t="s">
        <v>248</v>
      </c>
      <c r="Z166" s="5800" t="s">
        <v>248</v>
      </c>
      <c r="AA166" s="5796" t="s">
        <v>248</v>
      </c>
      <c r="AB166" s="5796" t="s">
        <v>248</v>
      </c>
      <c r="AC166" s="5796"/>
      <c r="AD166" s="5796" t="s">
        <v>251</v>
      </c>
      <c r="AE166" s="5857" t="s">
        <v>251</v>
      </c>
    </row>
    <row r="167" spans="1:31" ht="18" customHeight="1">
      <c r="A167" s="5879" t="s">
        <v>253</v>
      </c>
      <c r="B167" s="5812"/>
      <c r="C167" s="5812"/>
      <c r="D167" s="5812"/>
      <c r="E167" s="5812"/>
      <c r="F167" s="5812"/>
      <c r="G167" s="5812"/>
      <c r="H167" s="5812"/>
      <c r="I167" s="5812"/>
      <c r="J167" s="5812"/>
      <c r="K167" s="5812"/>
      <c r="L167" s="5812"/>
      <c r="M167" s="5812"/>
      <c r="N167" s="5880"/>
      <c r="O167" s="5812"/>
      <c r="P167" s="5812"/>
      <c r="Q167" s="5812"/>
      <c r="R167" s="5812"/>
      <c r="S167" s="5812"/>
      <c r="T167" s="5812"/>
      <c r="U167" s="5812"/>
      <c r="V167" s="5812"/>
      <c r="W167" s="5812"/>
      <c r="X167" s="5812"/>
      <c r="Y167" s="5812"/>
      <c r="Z167" s="5812"/>
      <c r="AA167" s="5812"/>
      <c r="AB167" s="5812"/>
      <c r="AC167" s="5812"/>
      <c r="AD167" s="5812"/>
      <c r="AE167" s="5881"/>
    </row>
    <row r="168" spans="1:31" ht="18" customHeight="1">
      <c r="A168" s="68"/>
      <c r="B168" s="108"/>
      <c r="C168" s="108"/>
      <c r="D168" s="108"/>
      <c r="E168" s="108"/>
      <c r="F168" s="108"/>
      <c r="G168" s="108"/>
      <c r="H168" s="108"/>
      <c r="I168" s="108"/>
      <c r="J168" s="108"/>
      <c r="K168" s="108"/>
      <c r="L168" s="108"/>
      <c r="M168" s="108"/>
      <c r="N168" s="108"/>
      <c r="O168" s="108"/>
      <c r="P168" s="108"/>
      <c r="Q168" s="108"/>
      <c r="R168" s="108"/>
      <c r="S168" s="108"/>
      <c r="T168" s="108"/>
      <c r="U168" s="108"/>
      <c r="V168" s="108"/>
      <c r="W168" s="108"/>
      <c r="X168" s="108"/>
      <c r="Y168" s="108"/>
      <c r="Z168" s="108"/>
      <c r="AA168" s="108"/>
      <c r="AB168" s="108"/>
      <c r="AC168" s="108"/>
      <c r="AD168" s="108"/>
      <c r="AE168" s="108"/>
    </row>
    <row r="169" spans="1:31" ht="18" customHeight="1">
      <c r="A169" s="834" t="s">
        <v>254</v>
      </c>
      <c r="B169" s="5977"/>
      <c r="C169" s="2853" t="s">
        <v>19</v>
      </c>
      <c r="D169" s="3224"/>
      <c r="E169" s="2854"/>
      <c r="F169" s="2855"/>
      <c r="G169" s="2853" t="s">
        <v>20</v>
      </c>
      <c r="H169" s="3224"/>
      <c r="I169" s="2854"/>
      <c r="J169" s="2855"/>
      <c r="K169" s="2853" t="s">
        <v>21</v>
      </c>
      <c r="L169" s="3224"/>
      <c r="M169" s="2854"/>
      <c r="N169" s="2855"/>
      <c r="O169" s="2853" t="s">
        <v>22</v>
      </c>
      <c r="P169" s="3224"/>
      <c r="Q169" s="2854"/>
      <c r="R169" s="2855"/>
      <c r="S169" s="2853" t="s">
        <v>23</v>
      </c>
      <c r="T169" s="3224"/>
      <c r="U169" s="2854"/>
      <c r="V169" s="2855"/>
      <c r="W169" s="2853" t="s">
        <v>24</v>
      </c>
      <c r="X169" s="3224"/>
      <c r="Y169" s="2854"/>
      <c r="Z169" s="2855"/>
      <c r="AA169" s="2853" t="s">
        <v>25</v>
      </c>
      <c r="AB169" s="3224"/>
      <c r="AC169" s="3224"/>
      <c r="AD169" s="2856" t="s">
        <v>108</v>
      </c>
      <c r="AE169" s="3224"/>
    </row>
    <row r="170" spans="1:31" ht="18" customHeight="1">
      <c r="A170" s="835" t="s">
        <v>256</v>
      </c>
      <c r="B170" s="5883" t="s">
        <v>152</v>
      </c>
      <c r="C170" s="5884" t="s">
        <v>258</v>
      </c>
      <c r="D170" s="5885"/>
      <c r="E170" s="5886"/>
      <c r="F170" s="5887"/>
      <c r="G170" s="5888" t="s">
        <v>258</v>
      </c>
      <c r="H170" s="5889"/>
      <c r="I170" s="5886"/>
      <c r="J170" s="5887"/>
      <c r="K170" s="5888" t="s">
        <v>258</v>
      </c>
      <c r="L170" s="5889"/>
      <c r="M170" s="5886"/>
      <c r="N170" s="5887"/>
      <c r="O170" s="5888" t="s">
        <v>259</v>
      </c>
      <c r="P170" s="5889"/>
      <c r="Q170" s="5886"/>
      <c r="R170" s="5887"/>
      <c r="S170" s="5888" t="s">
        <v>260</v>
      </c>
      <c r="T170" s="5889"/>
      <c r="U170" s="5886"/>
      <c r="V170" s="5890"/>
      <c r="W170" s="5757"/>
      <c r="X170" s="5757"/>
      <c r="Y170" s="5756"/>
      <c r="Z170" s="5890"/>
      <c r="AA170" s="5757"/>
      <c r="AB170" s="5757"/>
      <c r="AC170" s="5757"/>
      <c r="AD170" s="5890"/>
      <c r="AE170" s="5757"/>
    </row>
    <row r="171" spans="1:31" ht="18" customHeight="1">
      <c r="A171" s="5753" t="s">
        <v>261</v>
      </c>
      <c r="B171" s="5883" t="s">
        <v>130</v>
      </c>
      <c r="C171" s="5884" t="s">
        <v>258</v>
      </c>
      <c r="D171" s="5885"/>
      <c r="E171" s="5886"/>
      <c r="F171" s="5887"/>
      <c r="G171" s="5888" t="s">
        <v>258</v>
      </c>
      <c r="H171" s="5889"/>
      <c r="I171" s="5886"/>
      <c r="J171" s="5887"/>
      <c r="K171" s="5888" t="s">
        <v>262</v>
      </c>
      <c r="L171" s="5889"/>
      <c r="M171" s="5886"/>
      <c r="N171" s="5887"/>
      <c r="O171" s="5888" t="s">
        <v>263</v>
      </c>
      <c r="P171" s="5889"/>
      <c r="Q171" s="5886"/>
      <c r="R171" s="5887"/>
      <c r="S171" s="5888" t="s">
        <v>264</v>
      </c>
      <c r="T171" s="5889"/>
      <c r="U171" s="5886"/>
      <c r="V171" s="5890"/>
      <c r="W171" s="5757"/>
      <c r="X171" s="5757"/>
      <c r="Y171" s="5756"/>
      <c r="Z171" s="5890"/>
      <c r="AA171" s="5757"/>
      <c r="AB171" s="5757"/>
      <c r="AC171" s="5757"/>
      <c r="AD171" s="5890"/>
      <c r="AE171" s="5757"/>
    </row>
    <row r="172" spans="1:31" ht="18" customHeight="1">
      <c r="A172" s="5753" t="s">
        <v>265</v>
      </c>
      <c r="B172" s="5883" t="s">
        <v>153</v>
      </c>
      <c r="C172" s="5884" t="s">
        <v>266</v>
      </c>
      <c r="D172" s="5885"/>
      <c r="E172" s="5886"/>
      <c r="F172" s="5887"/>
      <c r="G172" s="5884" t="s">
        <v>266</v>
      </c>
      <c r="H172" s="5889"/>
      <c r="I172" s="5886"/>
      <c r="J172" s="5887"/>
      <c r="K172" s="5884" t="s">
        <v>266</v>
      </c>
      <c r="L172" s="5889"/>
      <c r="M172" s="5886"/>
      <c r="N172" s="5887"/>
      <c r="O172" s="5888" t="s">
        <v>267</v>
      </c>
      <c r="P172" s="5889"/>
      <c r="Q172" s="5886"/>
      <c r="R172" s="5887"/>
      <c r="S172" s="5888" t="s">
        <v>264</v>
      </c>
      <c r="T172" s="5889"/>
      <c r="U172" s="5886"/>
      <c r="V172" s="5890"/>
      <c r="W172" s="5757"/>
      <c r="X172" s="5757"/>
      <c r="Y172" s="5756"/>
      <c r="Z172" s="5890"/>
      <c r="AA172" s="5757"/>
      <c r="AB172" s="5757"/>
      <c r="AC172" s="5757"/>
      <c r="AD172" s="5890"/>
      <c r="AE172" s="5757"/>
    </row>
    <row r="173" spans="1:31" ht="18" customHeight="1">
      <c r="A173" s="5978" t="s">
        <v>272</v>
      </c>
      <c r="B173" s="5883" t="s">
        <v>128</v>
      </c>
      <c r="C173" s="5884" t="s">
        <v>273</v>
      </c>
      <c r="D173" s="5885"/>
      <c r="E173" s="5892"/>
      <c r="F173" s="5893"/>
      <c r="G173" s="5884" t="s">
        <v>273</v>
      </c>
      <c r="H173" s="5894"/>
      <c r="I173" s="5892"/>
      <c r="J173" s="5893"/>
      <c r="K173" s="5884" t="s">
        <v>273</v>
      </c>
      <c r="L173" s="5894"/>
      <c r="M173" s="5892"/>
      <c r="N173" s="5893"/>
      <c r="O173" s="5888" t="s">
        <v>274</v>
      </c>
      <c r="P173" s="5894"/>
      <c r="Q173" s="5892"/>
      <c r="R173" s="5893"/>
      <c r="S173" s="5888" t="s">
        <v>264</v>
      </c>
      <c r="T173" s="5894"/>
      <c r="U173" s="5756"/>
      <c r="V173" s="5895"/>
      <c r="W173" s="5896"/>
      <c r="X173" s="5896"/>
      <c r="Y173" s="5822"/>
      <c r="Z173" s="5895"/>
      <c r="AA173" s="5896"/>
      <c r="AB173" s="5896"/>
      <c r="AC173" s="5896"/>
      <c r="AD173" s="5895"/>
      <c r="AE173" s="5896"/>
    </row>
    <row r="174" spans="1:31" ht="18" customHeight="1">
      <c r="A174" s="5753" t="s">
        <v>275</v>
      </c>
      <c r="B174" s="5883" t="s">
        <v>127</v>
      </c>
      <c r="C174" s="5884" t="s">
        <v>276</v>
      </c>
      <c r="D174" s="5885"/>
      <c r="E174" s="5886"/>
      <c r="F174" s="5887"/>
      <c r="G174" s="5884" t="s">
        <v>276</v>
      </c>
      <c r="H174" s="5889"/>
      <c r="I174" s="5886"/>
      <c r="J174" s="5887"/>
      <c r="K174" s="5884" t="s">
        <v>276</v>
      </c>
      <c r="L174" s="5889"/>
      <c r="M174" s="5886"/>
      <c r="N174" s="5887"/>
      <c r="O174" s="5888" t="s">
        <v>277</v>
      </c>
      <c r="P174" s="5889"/>
      <c r="Q174" s="5886"/>
      <c r="R174" s="5887"/>
      <c r="S174" s="5888" t="s">
        <v>264</v>
      </c>
      <c r="T174" s="5889"/>
      <c r="U174" s="5886"/>
      <c r="V174" s="5890"/>
      <c r="W174" s="5757"/>
      <c r="X174" s="5757"/>
      <c r="Y174" s="5757"/>
      <c r="Z174" s="5890"/>
      <c r="AA174" s="5757"/>
      <c r="AB174" s="5757"/>
      <c r="AC174" s="5757"/>
      <c r="AD174" s="5890"/>
      <c r="AE174" s="5757"/>
    </row>
    <row r="175" spans="1:31" ht="18" customHeight="1">
      <c r="A175" s="5753" t="s">
        <v>278</v>
      </c>
      <c r="B175" s="5883" t="s">
        <v>116</v>
      </c>
      <c r="C175" s="5884" t="s">
        <v>279</v>
      </c>
      <c r="D175" s="5885"/>
      <c r="E175" s="5886"/>
      <c r="F175" s="5887"/>
      <c r="G175" s="5888" t="s">
        <v>279</v>
      </c>
      <c r="H175" s="5889"/>
      <c r="I175" s="5886"/>
      <c r="J175" s="5887"/>
      <c r="K175" s="5888" t="s">
        <v>279</v>
      </c>
      <c r="L175" s="5889"/>
      <c r="M175" s="5889"/>
      <c r="N175" s="5887"/>
      <c r="O175" s="5888" t="s">
        <v>279</v>
      </c>
      <c r="P175" s="5889"/>
      <c r="Q175" s="5889"/>
      <c r="R175" s="5887"/>
      <c r="S175" s="5888" t="s">
        <v>264</v>
      </c>
      <c r="T175" s="5889"/>
      <c r="U175" s="5886"/>
      <c r="V175" s="5753"/>
      <c r="W175" s="5757"/>
      <c r="X175" s="5757"/>
      <c r="Y175" s="5756"/>
      <c r="Z175" s="5898"/>
      <c r="AA175" s="5757"/>
      <c r="AB175" s="5757"/>
      <c r="AC175" s="5757"/>
      <c r="AD175" s="5890"/>
      <c r="AE175" s="5757"/>
    </row>
    <row r="176" spans="1:31" ht="18" customHeight="1">
      <c r="A176" s="5753" t="s">
        <v>280</v>
      </c>
      <c r="B176" s="5883" t="s">
        <v>123</v>
      </c>
      <c r="C176" s="5884" t="s">
        <v>281</v>
      </c>
      <c r="D176" s="5885"/>
      <c r="E176" s="5886"/>
      <c r="F176" s="5887"/>
      <c r="G176" s="5888" t="s">
        <v>281</v>
      </c>
      <c r="H176" s="5889"/>
      <c r="I176" s="5886"/>
      <c r="J176" s="5887"/>
      <c r="K176" s="5888" t="s">
        <v>281</v>
      </c>
      <c r="L176" s="5889"/>
      <c r="M176" s="5889"/>
      <c r="N176" s="5887"/>
      <c r="O176" s="5888" t="s">
        <v>282</v>
      </c>
      <c r="P176" s="5889"/>
      <c r="Q176" s="5889"/>
      <c r="R176" s="5887"/>
      <c r="S176" s="5888" t="s">
        <v>283</v>
      </c>
      <c r="T176" s="5889"/>
      <c r="U176" s="5886"/>
      <c r="Z176" s="110"/>
      <c r="AD176" s="110"/>
    </row>
    <row r="177" spans="1:31" ht="18" customHeight="1">
      <c r="B177" s="110"/>
      <c r="E177" s="110"/>
      <c r="H177" s="110"/>
      <c r="I177" s="110"/>
      <c r="K177" s="110"/>
      <c r="N177" s="110"/>
      <c r="P177" s="110"/>
      <c r="Q177" s="110"/>
      <c r="T177" s="110"/>
      <c r="V177" s="110"/>
      <c r="W177" s="110"/>
      <c r="AD177" s="110"/>
    </row>
    <row r="178" spans="1:31" ht="18" customHeight="1">
      <c r="A178" s="2851" t="s">
        <v>664</v>
      </c>
      <c r="B178" s="2874"/>
      <c r="C178" s="2853" t="s">
        <v>19</v>
      </c>
      <c r="D178" s="3224"/>
      <c r="E178" s="2854"/>
      <c r="F178" s="2855"/>
      <c r="G178" s="2853" t="s">
        <v>20</v>
      </c>
      <c r="H178" s="3224"/>
      <c r="I178" s="2854"/>
      <c r="J178" s="2855"/>
      <c r="K178" s="2853" t="s">
        <v>21</v>
      </c>
      <c r="L178" s="3224"/>
      <c r="M178" s="2854"/>
      <c r="N178" s="2855"/>
      <c r="O178" s="2853" t="s">
        <v>22</v>
      </c>
      <c r="P178" s="3224"/>
      <c r="Q178" s="2854"/>
      <c r="R178" s="2855"/>
      <c r="S178" s="2853" t="s">
        <v>23</v>
      </c>
      <c r="T178" s="3224"/>
      <c r="U178" s="2854"/>
      <c r="V178" s="2855"/>
      <c r="W178" s="2853" t="s">
        <v>24</v>
      </c>
      <c r="X178" s="3224"/>
      <c r="Y178" s="2854"/>
      <c r="Z178" s="2855"/>
      <c r="AA178" s="2853" t="s">
        <v>25</v>
      </c>
      <c r="AB178" s="3224"/>
      <c r="AC178" s="3224"/>
      <c r="AD178" s="2856" t="s">
        <v>108</v>
      </c>
      <c r="AE178" s="3224"/>
    </row>
    <row r="179" spans="1:31" ht="18" customHeight="1">
      <c r="A179" s="5753" t="s">
        <v>514</v>
      </c>
      <c r="B179" s="5883" t="s">
        <v>515</v>
      </c>
      <c r="C179" s="5884" t="s">
        <v>276</v>
      </c>
      <c r="D179" s="5885"/>
      <c r="E179" s="5886"/>
      <c r="F179" s="5887"/>
      <c r="G179" s="5884" t="s">
        <v>516</v>
      </c>
      <c r="H179" s="5885"/>
      <c r="I179" s="5886"/>
      <c r="J179" s="5887"/>
      <c r="K179" s="5884" t="s">
        <v>517</v>
      </c>
      <c r="L179" s="5885"/>
      <c r="M179" s="5886"/>
      <c r="N179" s="5887"/>
      <c r="O179" s="5888" t="s">
        <v>518</v>
      </c>
      <c r="P179" s="5889"/>
      <c r="Q179" s="5886"/>
      <c r="R179" s="5887"/>
      <c r="S179" s="5884" t="s">
        <v>519</v>
      </c>
      <c r="T179" s="5885"/>
      <c r="U179" s="5886"/>
      <c r="V179" s="111"/>
      <c r="W179" s="499"/>
      <c r="X179" s="111"/>
      <c r="Y179" s="111"/>
      <c r="Z179" s="111"/>
      <c r="AA179" s="499"/>
      <c r="AB179" s="111"/>
      <c r="AC179" s="111"/>
      <c r="AD179" s="499"/>
      <c r="AE179" s="111"/>
    </row>
    <row r="180" spans="1:31" ht="18" customHeight="1">
      <c r="A180" s="5753" t="s">
        <v>256</v>
      </c>
      <c r="B180" s="5883" t="s">
        <v>152</v>
      </c>
      <c r="C180" s="5884" t="s">
        <v>285</v>
      </c>
      <c r="D180" s="5885"/>
      <c r="E180" s="5886"/>
      <c r="F180" s="5887"/>
      <c r="G180" s="5884" t="s">
        <v>285</v>
      </c>
      <c r="H180" s="5889"/>
      <c r="I180" s="5886"/>
      <c r="J180" s="5887"/>
      <c r="K180" s="5884" t="s">
        <v>285</v>
      </c>
      <c r="L180" s="5889"/>
      <c r="M180" s="5886"/>
      <c r="N180" s="5887"/>
      <c r="O180" s="5888" t="s">
        <v>286</v>
      </c>
      <c r="P180" s="5889"/>
      <c r="Q180" s="5886"/>
      <c r="R180" s="5887"/>
      <c r="S180" s="5888" t="s">
        <v>287</v>
      </c>
      <c r="T180" s="5889"/>
      <c r="U180" s="5886"/>
      <c r="V180" s="5890"/>
      <c r="W180" s="5757"/>
      <c r="X180" s="5757"/>
      <c r="Y180" s="5756"/>
      <c r="Z180" s="5890"/>
      <c r="AA180" s="5757"/>
      <c r="AB180" s="5757"/>
      <c r="AC180" s="5757"/>
      <c r="AD180" s="5890"/>
      <c r="AE180" s="5757"/>
    </row>
    <row r="181" spans="1:31" ht="18" customHeight="1">
      <c r="A181" s="5753" t="s">
        <v>261</v>
      </c>
      <c r="B181" s="5883" t="s">
        <v>130</v>
      </c>
      <c r="C181" s="5884" t="s">
        <v>285</v>
      </c>
      <c r="D181" s="5885"/>
      <c r="E181" s="5886"/>
      <c r="F181" s="5887"/>
      <c r="G181" s="5884" t="s">
        <v>285</v>
      </c>
      <c r="H181" s="5889"/>
      <c r="I181" s="5886"/>
      <c r="J181" s="5887"/>
      <c r="K181" s="5888" t="s">
        <v>262</v>
      </c>
      <c r="L181" s="5889"/>
      <c r="M181" s="5886"/>
      <c r="N181" s="5887"/>
      <c r="O181" s="5888" t="s">
        <v>288</v>
      </c>
      <c r="P181" s="5889"/>
      <c r="Q181" s="5886"/>
      <c r="R181" s="5887"/>
      <c r="S181" s="5888" t="s">
        <v>289</v>
      </c>
      <c r="T181" s="5889"/>
      <c r="U181" s="5886"/>
      <c r="V181" s="5890"/>
      <c r="W181" s="5757"/>
      <c r="X181" s="5757"/>
      <c r="Y181" s="5756"/>
      <c r="Z181" s="5890"/>
      <c r="AA181" s="5757"/>
      <c r="AB181" s="5757"/>
      <c r="AC181" s="5757"/>
      <c r="AD181" s="5890"/>
      <c r="AE181" s="5757"/>
    </row>
    <row r="182" spans="1:31" ht="18" customHeight="1">
      <c r="A182" s="5753" t="s">
        <v>265</v>
      </c>
      <c r="B182" s="5883" t="s">
        <v>153</v>
      </c>
      <c r="C182" s="5884" t="s">
        <v>285</v>
      </c>
      <c r="D182" s="5885"/>
      <c r="E182" s="5886"/>
      <c r="F182" s="5887"/>
      <c r="G182" s="5884" t="s">
        <v>285</v>
      </c>
      <c r="H182" s="5889"/>
      <c r="I182" s="5886"/>
      <c r="J182" s="5887"/>
      <c r="K182" s="5884" t="s">
        <v>285</v>
      </c>
      <c r="L182" s="5889"/>
      <c r="M182" s="5886"/>
      <c r="N182" s="5887"/>
      <c r="O182" s="5888" t="s">
        <v>290</v>
      </c>
      <c r="P182" s="5889"/>
      <c r="Q182" s="5886"/>
      <c r="R182" s="5887"/>
      <c r="S182" s="5888" t="s">
        <v>289</v>
      </c>
      <c r="T182" s="5889"/>
      <c r="U182" s="5886"/>
      <c r="V182" s="5890"/>
      <c r="W182" s="5757"/>
      <c r="X182" s="5757"/>
      <c r="Y182" s="5756"/>
      <c r="Z182" s="5890"/>
      <c r="AA182" s="5757"/>
      <c r="AB182" s="5757"/>
      <c r="AC182" s="5757"/>
      <c r="AD182" s="5890"/>
      <c r="AE182" s="5757"/>
    </row>
    <row r="183" spans="1:31" ht="18" customHeight="1">
      <c r="A183" s="5978" t="s">
        <v>272</v>
      </c>
      <c r="B183" s="5883" t="s">
        <v>128</v>
      </c>
      <c r="C183" s="5884" t="s">
        <v>285</v>
      </c>
      <c r="D183" s="5885"/>
      <c r="E183" s="5886"/>
      <c r="F183" s="5887"/>
      <c r="G183" s="5884" t="s">
        <v>285</v>
      </c>
      <c r="H183" s="5889"/>
      <c r="I183" s="5886"/>
      <c r="J183" s="5887"/>
      <c r="K183" s="5884" t="s">
        <v>285</v>
      </c>
      <c r="L183" s="5889"/>
      <c r="M183" s="5886"/>
      <c r="N183" s="5887"/>
      <c r="O183" s="5888" t="s">
        <v>290</v>
      </c>
      <c r="P183" s="5889"/>
      <c r="Q183" s="5886"/>
      <c r="R183" s="5887"/>
      <c r="S183" s="5888" t="s">
        <v>289</v>
      </c>
      <c r="T183" s="5889"/>
      <c r="U183" s="5886"/>
      <c r="V183" s="5895"/>
      <c r="W183" s="5896"/>
      <c r="X183" s="5896"/>
      <c r="Y183" s="5822"/>
      <c r="Z183" s="5895"/>
      <c r="AA183" s="5896"/>
      <c r="AB183" s="5896"/>
      <c r="AC183" s="5896"/>
      <c r="AD183" s="5895"/>
      <c r="AE183" s="5896"/>
    </row>
    <row r="184" spans="1:31" ht="18" customHeight="1">
      <c r="A184" s="5753" t="s">
        <v>275</v>
      </c>
      <c r="B184" s="5883" t="s">
        <v>127</v>
      </c>
      <c r="C184" s="5884" t="s">
        <v>285</v>
      </c>
      <c r="D184" s="5885"/>
      <c r="E184" s="5886"/>
      <c r="F184" s="5887"/>
      <c r="G184" s="5884" t="s">
        <v>285</v>
      </c>
      <c r="H184" s="5889"/>
      <c r="I184" s="5886"/>
      <c r="J184" s="5887"/>
      <c r="K184" s="5884" t="s">
        <v>285</v>
      </c>
      <c r="L184" s="5889"/>
      <c r="M184" s="5886"/>
      <c r="N184" s="5887"/>
      <c r="O184" s="5888" t="s">
        <v>286</v>
      </c>
      <c r="P184" s="5889"/>
      <c r="Q184" s="5886"/>
      <c r="R184" s="5887"/>
      <c r="S184" s="5888" t="s">
        <v>287</v>
      </c>
      <c r="T184" s="5889"/>
      <c r="U184" s="5886"/>
      <c r="V184" s="5890"/>
      <c r="W184" s="5757"/>
      <c r="X184" s="5757"/>
      <c r="Y184" s="5757"/>
      <c r="Z184" s="5890"/>
      <c r="AA184" s="5757"/>
      <c r="AB184" s="5757"/>
      <c r="AC184" s="5757"/>
      <c r="AD184" s="5890"/>
      <c r="AE184" s="5757"/>
    </row>
    <row r="185" spans="1:31" ht="18" customHeight="1">
      <c r="A185" s="5753" t="s">
        <v>278</v>
      </c>
      <c r="B185" s="5883" t="s">
        <v>116</v>
      </c>
      <c r="C185" s="5884" t="s">
        <v>279</v>
      </c>
      <c r="D185" s="5885"/>
      <c r="E185" s="5886"/>
      <c r="F185" s="5887"/>
      <c r="G185" s="5888" t="s">
        <v>279</v>
      </c>
      <c r="H185" s="5889"/>
      <c r="I185" s="5886"/>
      <c r="J185" s="5887"/>
      <c r="K185" s="5888" t="s">
        <v>279</v>
      </c>
      <c r="L185" s="5889"/>
      <c r="M185" s="5889"/>
      <c r="N185" s="5887"/>
      <c r="O185" s="5888" t="s">
        <v>279</v>
      </c>
      <c r="P185" s="5889"/>
      <c r="Q185" s="5889"/>
      <c r="R185" s="5887"/>
      <c r="S185" s="5888" t="s">
        <v>264</v>
      </c>
      <c r="T185" s="5889"/>
      <c r="U185" s="5886"/>
      <c r="V185" s="5753"/>
      <c r="W185" s="5757"/>
      <c r="X185" s="5757"/>
      <c r="Y185" s="5756"/>
      <c r="Z185" s="5898"/>
      <c r="AA185" s="5757"/>
      <c r="AB185" s="5757"/>
      <c r="AC185" s="5757"/>
      <c r="AD185" s="5890"/>
      <c r="AE185" s="5757"/>
    </row>
    <row r="186" spans="1:31" ht="18" customHeight="1">
      <c r="A186" s="5753" t="s">
        <v>280</v>
      </c>
      <c r="B186" s="5883" t="s">
        <v>123</v>
      </c>
      <c r="C186" s="5884" t="s">
        <v>281</v>
      </c>
      <c r="D186" s="5885"/>
      <c r="E186" s="5886"/>
      <c r="F186" s="5887"/>
      <c r="G186" s="5888" t="s">
        <v>281</v>
      </c>
      <c r="H186" s="5889"/>
      <c r="I186" s="5886"/>
      <c r="J186" s="5887"/>
      <c r="K186" s="5888" t="s">
        <v>281</v>
      </c>
      <c r="L186" s="5889"/>
      <c r="M186" s="5889"/>
      <c r="N186" s="5887"/>
      <c r="O186" s="5888" t="s">
        <v>282</v>
      </c>
      <c r="P186" s="5889"/>
      <c r="Q186" s="5889"/>
      <c r="R186" s="5887"/>
      <c r="S186" s="5888" t="s">
        <v>283</v>
      </c>
      <c r="T186" s="5889"/>
      <c r="U186" s="5886"/>
      <c r="V186" s="5753"/>
      <c r="W186" s="5757"/>
      <c r="X186" s="5757"/>
      <c r="Y186" s="5756"/>
      <c r="Z186" s="5898"/>
      <c r="AA186" s="5757"/>
      <c r="AB186" s="5757"/>
      <c r="AC186" s="5757"/>
      <c r="AD186" s="5890"/>
      <c r="AE186" s="5757"/>
    </row>
    <row r="187" spans="1:31" ht="18" customHeight="1">
      <c r="A187" s="119"/>
      <c r="B187" s="110"/>
      <c r="C187" s="68"/>
      <c r="F187" s="110"/>
      <c r="G187" s="68"/>
      <c r="J187" s="110"/>
      <c r="K187" s="68"/>
      <c r="N187" s="110"/>
      <c r="O187" s="68"/>
      <c r="R187" s="110"/>
      <c r="S187" s="68"/>
      <c r="Z187" s="110"/>
      <c r="AD187" s="110"/>
    </row>
    <row r="188" spans="1:31" ht="18" customHeight="1">
      <c r="A188" s="433" t="s">
        <v>613</v>
      </c>
      <c r="B188" s="865">
        <v>1</v>
      </c>
      <c r="C188" s="865">
        <v>2</v>
      </c>
      <c r="D188" s="865">
        <v>3</v>
      </c>
      <c r="E188" s="865">
        <v>4</v>
      </c>
      <c r="F188" s="865">
        <v>5</v>
      </c>
      <c r="G188" s="866">
        <v>6</v>
      </c>
      <c r="H188" s="866">
        <v>7</v>
      </c>
      <c r="I188" s="865">
        <v>8</v>
      </c>
      <c r="J188" s="865">
        <v>9</v>
      </c>
      <c r="K188" s="865">
        <v>10</v>
      </c>
      <c r="L188" s="865">
        <v>11</v>
      </c>
      <c r="M188" s="865">
        <v>12</v>
      </c>
      <c r="N188" s="866">
        <v>13</v>
      </c>
      <c r="O188" s="866">
        <v>14</v>
      </c>
      <c r="P188" s="865">
        <v>15</v>
      </c>
      <c r="Q188" s="865">
        <v>16</v>
      </c>
      <c r="R188" s="865">
        <v>17</v>
      </c>
      <c r="S188" s="865">
        <v>18</v>
      </c>
      <c r="T188" s="865">
        <v>19</v>
      </c>
      <c r="U188" s="866">
        <v>20</v>
      </c>
      <c r="V188" s="866">
        <v>21</v>
      </c>
      <c r="W188" s="865">
        <v>22</v>
      </c>
      <c r="X188" s="865">
        <v>23</v>
      </c>
      <c r="Y188" s="865">
        <v>24</v>
      </c>
      <c r="Z188" s="865">
        <v>25</v>
      </c>
      <c r="AA188" s="865">
        <v>26</v>
      </c>
      <c r="AB188" s="866">
        <v>27</v>
      </c>
      <c r="AC188" s="866">
        <v>28</v>
      </c>
      <c r="AD188" s="865">
        <v>29</v>
      </c>
      <c r="AE188" s="867">
        <v>30</v>
      </c>
    </row>
    <row r="189" spans="1:31" ht="18" customHeight="1">
      <c r="A189" s="5711" t="s">
        <v>293</v>
      </c>
      <c r="B189" s="5602" t="s">
        <v>152</v>
      </c>
      <c r="C189" s="5602" t="s">
        <v>152</v>
      </c>
      <c r="D189" s="5602" t="s">
        <v>152</v>
      </c>
      <c r="E189" s="5602" t="s">
        <v>152</v>
      </c>
      <c r="F189" s="5602" t="s">
        <v>152</v>
      </c>
      <c r="G189" s="5602"/>
      <c r="H189" s="5602"/>
      <c r="I189" s="5602" t="s">
        <v>152</v>
      </c>
      <c r="J189" s="5602" t="s">
        <v>152</v>
      </c>
      <c r="K189" s="5602" t="s">
        <v>152</v>
      </c>
      <c r="L189" s="5602" t="s">
        <v>152</v>
      </c>
      <c r="M189" s="5602" t="s">
        <v>152</v>
      </c>
      <c r="N189" s="5602"/>
      <c r="O189" s="5602"/>
      <c r="P189" s="5602" t="s">
        <v>152</v>
      </c>
      <c r="Q189" s="5602" t="s">
        <v>152</v>
      </c>
      <c r="R189" s="5602" t="s">
        <v>152</v>
      </c>
      <c r="S189" s="5602" t="s">
        <v>152</v>
      </c>
      <c r="T189" s="5602" t="s">
        <v>152</v>
      </c>
      <c r="U189" s="5602"/>
      <c r="V189" s="5602"/>
      <c r="W189" s="5602" t="s">
        <v>152</v>
      </c>
      <c r="X189" s="5602" t="s">
        <v>152</v>
      </c>
      <c r="Y189" s="5602" t="s">
        <v>152</v>
      </c>
      <c r="Z189" s="5602" t="s">
        <v>152</v>
      </c>
      <c r="AA189" s="5602" t="s">
        <v>152</v>
      </c>
      <c r="AB189" s="5602"/>
      <c r="AC189" s="5602"/>
      <c r="AD189" s="5602" t="s">
        <v>152</v>
      </c>
      <c r="AE189" s="5603" t="s">
        <v>152</v>
      </c>
    </row>
    <row r="190" spans="1:31" ht="18" customHeight="1">
      <c r="A190" s="5711" t="s">
        <v>575</v>
      </c>
      <c r="B190" s="5712" t="s">
        <v>130</v>
      </c>
      <c r="C190" s="5712" t="s">
        <v>130</v>
      </c>
      <c r="D190" s="5712" t="s">
        <v>130</v>
      </c>
      <c r="E190" s="5673" t="s">
        <v>130</v>
      </c>
      <c r="F190" s="5673" t="s">
        <v>130</v>
      </c>
      <c r="G190" s="5673"/>
      <c r="H190" s="5673"/>
      <c r="I190" s="5712" t="s">
        <v>130</v>
      </c>
      <c r="J190" s="5712" t="s">
        <v>130</v>
      </c>
      <c r="K190" s="5712" t="s">
        <v>130</v>
      </c>
      <c r="L190" s="5673" t="s">
        <v>130</v>
      </c>
      <c r="M190" s="5673" t="s">
        <v>130</v>
      </c>
      <c r="N190" s="5673"/>
      <c r="O190" s="5673"/>
      <c r="P190" s="5712" t="s">
        <v>130</v>
      </c>
      <c r="Q190" s="5712" t="s">
        <v>130</v>
      </c>
      <c r="R190" s="5712" t="s">
        <v>130</v>
      </c>
      <c r="S190" s="5673" t="s">
        <v>130</v>
      </c>
      <c r="T190" s="5673" t="s">
        <v>130</v>
      </c>
      <c r="U190" s="5673"/>
      <c r="V190" s="5673"/>
      <c r="W190" s="5712" t="s">
        <v>130</v>
      </c>
      <c r="X190" s="5712" t="s">
        <v>130</v>
      </c>
      <c r="Y190" s="5712" t="s">
        <v>130</v>
      </c>
      <c r="Z190" s="5673" t="s">
        <v>130</v>
      </c>
      <c r="AA190" s="5673" t="s">
        <v>130</v>
      </c>
      <c r="AB190" s="5673"/>
      <c r="AC190" s="5673"/>
      <c r="AD190" s="5712" t="s">
        <v>130</v>
      </c>
      <c r="AE190" s="5979" t="s">
        <v>130</v>
      </c>
    </row>
    <row r="191" spans="1:31" ht="18" customHeight="1">
      <c r="A191" s="5714" t="s">
        <v>295</v>
      </c>
      <c r="B191" s="5602" t="s">
        <v>153</v>
      </c>
      <c r="C191" s="5602" t="s">
        <v>153</v>
      </c>
      <c r="D191" s="5602" t="s">
        <v>153</v>
      </c>
      <c r="E191" s="5602" t="s">
        <v>153</v>
      </c>
      <c r="F191" s="5602" t="s">
        <v>153</v>
      </c>
      <c r="G191" s="5602"/>
      <c r="H191" s="5602"/>
      <c r="I191" s="5602" t="s">
        <v>153</v>
      </c>
      <c r="J191" s="5602" t="s">
        <v>153</v>
      </c>
      <c r="K191" s="5602" t="s">
        <v>153</v>
      </c>
      <c r="L191" s="5602" t="s">
        <v>153</v>
      </c>
      <c r="M191" s="5602" t="s">
        <v>153</v>
      </c>
      <c r="N191" s="5602"/>
      <c r="O191" s="5602"/>
      <c r="P191" s="5602" t="s">
        <v>153</v>
      </c>
      <c r="Q191" s="5602" t="s">
        <v>153</v>
      </c>
      <c r="R191" s="5602" t="s">
        <v>153</v>
      </c>
      <c r="S191" s="5602" t="s">
        <v>153</v>
      </c>
      <c r="T191" s="5602" t="s">
        <v>153</v>
      </c>
      <c r="U191" s="5602"/>
      <c r="V191" s="5602"/>
      <c r="W191" s="5602" t="s">
        <v>153</v>
      </c>
      <c r="X191" s="5602" t="s">
        <v>153</v>
      </c>
      <c r="Y191" s="5602" t="s">
        <v>153</v>
      </c>
      <c r="Z191" s="5602" t="s">
        <v>153</v>
      </c>
      <c r="AA191" s="5602" t="s">
        <v>153</v>
      </c>
      <c r="AB191" s="5602"/>
      <c r="AC191" s="5602"/>
      <c r="AD191" s="5602" t="s">
        <v>153</v>
      </c>
      <c r="AE191" s="5603" t="s">
        <v>153</v>
      </c>
    </row>
    <row r="192" spans="1:31" ht="18" customHeight="1">
      <c r="A192" s="5715" t="s">
        <v>553</v>
      </c>
      <c r="B192" s="5602" t="s">
        <v>128</v>
      </c>
      <c r="C192" s="5602" t="s">
        <v>128</v>
      </c>
      <c r="D192" s="5602" t="s">
        <v>128</v>
      </c>
      <c r="E192" s="5602" t="s">
        <v>128</v>
      </c>
      <c r="F192" s="5602" t="s">
        <v>128</v>
      </c>
      <c r="G192" s="5602"/>
      <c r="H192" s="5602"/>
      <c r="I192" s="5602" t="s">
        <v>128</v>
      </c>
      <c r="J192" s="5602" t="s">
        <v>128</v>
      </c>
      <c r="K192" s="5602" t="s">
        <v>128</v>
      </c>
      <c r="L192" s="5602" t="s">
        <v>128</v>
      </c>
      <c r="M192" s="5602" t="s">
        <v>128</v>
      </c>
      <c r="N192" s="5602"/>
      <c r="O192" s="5602"/>
      <c r="P192" s="5602" t="s">
        <v>128</v>
      </c>
      <c r="Q192" s="5602" t="s">
        <v>128</v>
      </c>
      <c r="R192" s="5602" t="s">
        <v>128</v>
      </c>
      <c r="S192" s="5602" t="s">
        <v>128</v>
      </c>
      <c r="T192" s="5602" t="s">
        <v>128</v>
      </c>
      <c r="U192" s="5602"/>
      <c r="V192" s="5602"/>
      <c r="W192" s="5602" t="s">
        <v>128</v>
      </c>
      <c r="X192" s="5602" t="s">
        <v>128</v>
      </c>
      <c r="Y192" s="5602" t="s">
        <v>128</v>
      </c>
      <c r="Z192" s="5602" t="s">
        <v>128</v>
      </c>
      <c r="AA192" s="5602" t="s">
        <v>128</v>
      </c>
      <c r="AB192" s="5602"/>
      <c r="AC192" s="5602"/>
      <c r="AD192" s="5602" t="s">
        <v>128</v>
      </c>
      <c r="AE192" s="5603" t="s">
        <v>128</v>
      </c>
    </row>
    <row r="193" spans="1:31" ht="18" customHeight="1">
      <c r="A193" s="5716" t="s">
        <v>298</v>
      </c>
      <c r="B193" s="5602" t="s">
        <v>127</v>
      </c>
      <c r="C193" s="5602" t="s">
        <v>127</v>
      </c>
      <c r="D193" s="5602" t="s">
        <v>127</v>
      </c>
      <c r="E193" s="5602" t="s">
        <v>127</v>
      </c>
      <c r="F193" s="5602" t="s">
        <v>127</v>
      </c>
      <c r="G193" s="5602"/>
      <c r="H193" s="5602"/>
      <c r="I193" s="5602" t="s">
        <v>127</v>
      </c>
      <c r="J193" s="5602" t="s">
        <v>127</v>
      </c>
      <c r="K193" s="5602" t="s">
        <v>127</v>
      </c>
      <c r="L193" s="5602" t="s">
        <v>127</v>
      </c>
      <c r="M193" s="5602" t="s">
        <v>127</v>
      </c>
      <c r="N193" s="5602"/>
      <c r="O193" s="5602"/>
      <c r="P193" s="5602" t="s">
        <v>127</v>
      </c>
      <c r="Q193" s="5602" t="s">
        <v>127</v>
      </c>
      <c r="R193" s="5602" t="s">
        <v>127</v>
      </c>
      <c r="S193" s="5602" t="s">
        <v>127</v>
      </c>
      <c r="T193" s="5602" t="s">
        <v>127</v>
      </c>
      <c r="U193" s="5602"/>
      <c r="V193" s="5602"/>
      <c r="W193" s="5602" t="s">
        <v>127</v>
      </c>
      <c r="X193" s="5602" t="s">
        <v>127</v>
      </c>
      <c r="Y193" s="5602" t="s">
        <v>127</v>
      </c>
      <c r="Z193" s="5602" t="s">
        <v>127</v>
      </c>
      <c r="AA193" s="5602" t="s">
        <v>127</v>
      </c>
      <c r="AB193" s="5602"/>
      <c r="AC193" s="5602"/>
      <c r="AD193" s="5602" t="s">
        <v>127</v>
      </c>
      <c r="AE193" s="5603" t="s">
        <v>127</v>
      </c>
    </row>
    <row r="194" spans="1:31" ht="18" customHeight="1">
      <c r="A194" s="5717" t="s">
        <v>299</v>
      </c>
      <c r="B194" s="5602" t="s">
        <v>123</v>
      </c>
      <c r="C194" s="5602" t="s">
        <v>123</v>
      </c>
      <c r="D194" s="5602" t="s">
        <v>123</v>
      </c>
      <c r="E194" s="5602" t="s">
        <v>123</v>
      </c>
      <c r="F194" s="5602" t="s">
        <v>123</v>
      </c>
      <c r="G194" s="5602"/>
      <c r="H194" s="5602"/>
      <c r="I194" s="5602" t="s">
        <v>123</v>
      </c>
      <c r="J194" s="5602" t="s">
        <v>123</v>
      </c>
      <c r="K194" s="5602" t="s">
        <v>123</v>
      </c>
      <c r="L194" s="5602" t="s">
        <v>123</v>
      </c>
      <c r="M194" s="5602" t="s">
        <v>123</v>
      </c>
      <c r="N194" s="5602"/>
      <c r="O194" s="5602"/>
      <c r="P194" s="5602" t="s">
        <v>123</v>
      </c>
      <c r="Q194" s="5602" t="s">
        <v>123</v>
      </c>
      <c r="R194" s="5602" t="s">
        <v>123</v>
      </c>
      <c r="S194" s="5602" t="s">
        <v>123</v>
      </c>
      <c r="T194" s="5602" t="s">
        <v>123</v>
      </c>
      <c r="U194" s="5602"/>
      <c r="V194" s="5602"/>
      <c r="W194" s="5602" t="s">
        <v>123</v>
      </c>
      <c r="X194" s="5602" t="s">
        <v>123</v>
      </c>
      <c r="Y194" s="5602" t="s">
        <v>123</v>
      </c>
      <c r="Z194" s="5602" t="s">
        <v>123</v>
      </c>
      <c r="AA194" s="5602" t="s">
        <v>123</v>
      </c>
      <c r="AB194" s="5602"/>
      <c r="AC194" s="5602"/>
      <c r="AD194" s="5602" t="s">
        <v>123</v>
      </c>
      <c r="AE194" s="5603" t="s">
        <v>123</v>
      </c>
    </row>
    <row r="195" spans="1:31" ht="18" customHeight="1">
      <c r="A195" s="432" t="s">
        <v>300</v>
      </c>
      <c r="B195" s="5682" t="s">
        <v>116</v>
      </c>
      <c r="C195" s="5682" t="s">
        <v>116</v>
      </c>
      <c r="D195" s="5682" t="s">
        <v>116</v>
      </c>
      <c r="E195" s="5682" t="s">
        <v>116</v>
      </c>
      <c r="F195" s="5682" t="s">
        <v>116</v>
      </c>
      <c r="G195" s="5682"/>
      <c r="H195" s="5682"/>
      <c r="I195" s="5682" t="s">
        <v>116</v>
      </c>
      <c r="J195" s="5682" t="s">
        <v>116</v>
      </c>
      <c r="K195" s="5682" t="s">
        <v>116</v>
      </c>
      <c r="L195" s="5682" t="s">
        <v>116</v>
      </c>
      <c r="M195" s="5682" t="s">
        <v>116</v>
      </c>
      <c r="N195" s="5682"/>
      <c r="O195" s="5682"/>
      <c r="P195" s="5682" t="s">
        <v>116</v>
      </c>
      <c r="Q195" s="5682" t="s">
        <v>116</v>
      </c>
      <c r="R195" s="5682" t="s">
        <v>116</v>
      </c>
      <c r="S195" s="5682" t="s">
        <v>116</v>
      </c>
      <c r="T195" s="5682" t="s">
        <v>116</v>
      </c>
      <c r="U195" s="5682"/>
      <c r="V195" s="5682"/>
      <c r="W195" s="5682" t="s">
        <v>116</v>
      </c>
      <c r="X195" s="5682" t="s">
        <v>116</v>
      </c>
      <c r="Y195" s="5682" t="s">
        <v>116</v>
      </c>
      <c r="Z195" s="5682" t="s">
        <v>116</v>
      </c>
      <c r="AA195" s="5682" t="s">
        <v>116</v>
      </c>
      <c r="AB195" s="5682"/>
      <c r="AC195" s="5682"/>
      <c r="AD195" s="5682" t="s">
        <v>116</v>
      </c>
      <c r="AE195" s="670" t="s">
        <v>116</v>
      </c>
    </row>
    <row r="196" spans="1:31" ht="18" customHeight="1">
      <c r="A196" s="178"/>
      <c r="B196" s="99"/>
      <c r="C196" s="99"/>
      <c r="D196" s="99"/>
      <c r="E196" s="99"/>
      <c r="F196" s="99"/>
      <c r="G196" s="99"/>
      <c r="H196" s="99"/>
      <c r="I196" s="99"/>
      <c r="J196" s="99"/>
      <c r="K196" s="99"/>
      <c r="L196" s="99"/>
      <c r="M196" s="99"/>
      <c r="N196" s="99"/>
      <c r="O196" s="99"/>
      <c r="P196" s="99"/>
      <c r="Q196" s="99"/>
      <c r="R196" s="99"/>
      <c r="S196" s="99"/>
      <c r="T196" s="99"/>
      <c r="U196" s="99"/>
      <c r="V196" s="99"/>
      <c r="W196" s="99"/>
      <c r="X196" s="99"/>
      <c r="Y196" s="99"/>
      <c r="Z196" s="99"/>
      <c r="AA196" s="99"/>
      <c r="AB196" s="99"/>
      <c r="AC196" s="99"/>
      <c r="AD196" s="99"/>
      <c r="AE196" s="99"/>
    </row>
    <row r="197" spans="1:31" ht="18" customHeight="1">
      <c r="A197" s="832" t="s">
        <v>331</v>
      </c>
      <c r="B197" s="3064"/>
      <c r="C197" s="2788" t="s">
        <v>19</v>
      </c>
      <c r="D197" s="3064"/>
      <c r="E197" s="2769"/>
      <c r="F197" s="2765"/>
      <c r="G197" s="2788" t="s">
        <v>20</v>
      </c>
      <c r="H197" s="3064"/>
      <c r="I197" s="2769"/>
      <c r="J197" s="2765"/>
      <c r="K197" s="2788" t="s">
        <v>21</v>
      </c>
      <c r="L197" s="3064"/>
      <c r="M197" s="2769"/>
      <c r="N197" s="2765"/>
      <c r="O197" s="2788" t="s">
        <v>22</v>
      </c>
      <c r="P197" s="3064"/>
      <c r="Q197" s="2769"/>
      <c r="R197" s="2765"/>
      <c r="S197" s="2788" t="s">
        <v>23</v>
      </c>
      <c r="T197" s="3064"/>
      <c r="U197" s="2769"/>
      <c r="V197" s="2765"/>
      <c r="W197" s="2788" t="s">
        <v>24</v>
      </c>
      <c r="X197" s="3064"/>
      <c r="Y197" s="2769"/>
      <c r="Z197" s="2765"/>
      <c r="AA197" s="2788" t="s">
        <v>25</v>
      </c>
      <c r="AB197" s="3064"/>
      <c r="AC197" s="3064"/>
      <c r="AD197" s="2791"/>
      <c r="AE197" s="3064"/>
    </row>
    <row r="198" spans="1:31" ht="18" customHeight="1">
      <c r="A198" s="548" t="s">
        <v>210</v>
      </c>
      <c r="B198" s="543" t="s">
        <v>332</v>
      </c>
      <c r="C198" s="539"/>
      <c r="D198" s="544"/>
      <c r="E198" s="545"/>
      <c r="F198" s="543" t="s">
        <v>332</v>
      </c>
      <c r="G198" s="539"/>
      <c r="H198" s="544"/>
      <c r="I198" s="545"/>
      <c r="J198" s="543" t="s">
        <v>332</v>
      </c>
      <c r="K198" s="539"/>
      <c r="L198" s="544"/>
      <c r="M198" s="545"/>
      <c r="N198" s="543" t="s">
        <v>332</v>
      </c>
      <c r="O198" s="546"/>
      <c r="P198" s="544"/>
      <c r="Q198" s="545"/>
      <c r="R198" s="547" t="s">
        <v>333</v>
      </c>
      <c r="S198" s="539"/>
      <c r="T198" s="544"/>
      <c r="U198" s="545"/>
      <c r="V198" s="541"/>
      <c r="W198" s="539"/>
      <c r="X198" s="531"/>
      <c r="Y198" s="540"/>
      <c r="Z198" s="541"/>
      <c r="AA198" s="539"/>
      <c r="AB198" s="531"/>
      <c r="AC198" s="531"/>
      <c r="AD198" s="542"/>
      <c r="AE198" s="531"/>
    </row>
    <row r="199" spans="1:31" ht="18" customHeight="1">
      <c r="A199" s="5980" t="s">
        <v>212</v>
      </c>
      <c r="B199" s="543" t="s">
        <v>334</v>
      </c>
      <c r="C199" s="539"/>
      <c r="D199" s="544"/>
      <c r="E199" s="545"/>
      <c r="F199" s="543" t="s">
        <v>334</v>
      </c>
      <c r="G199" s="539"/>
      <c r="H199" s="544"/>
      <c r="I199" s="545"/>
      <c r="J199" s="543" t="s">
        <v>334</v>
      </c>
      <c r="K199" s="539"/>
      <c r="L199" s="544"/>
      <c r="M199" s="545"/>
      <c r="N199" s="543" t="s">
        <v>334</v>
      </c>
      <c r="O199" s="539"/>
      <c r="P199" s="544"/>
      <c r="Q199" s="545"/>
      <c r="R199" s="543" t="s">
        <v>335</v>
      </c>
      <c r="S199" s="539"/>
      <c r="T199" s="544"/>
      <c r="U199" s="545"/>
      <c r="V199" s="541"/>
      <c r="W199" s="539"/>
      <c r="X199" s="531"/>
      <c r="Y199" s="540"/>
      <c r="Z199" s="541"/>
      <c r="AA199" s="539"/>
      <c r="AB199" s="531"/>
      <c r="AC199" s="531"/>
      <c r="AD199" s="542"/>
      <c r="AE199" s="531"/>
    </row>
    <row r="200" spans="1:31" ht="18" customHeight="1">
      <c r="A200" s="5981" t="s">
        <v>336</v>
      </c>
      <c r="B200" s="5869" t="s">
        <v>334</v>
      </c>
      <c r="C200" s="5982"/>
      <c r="D200" s="544"/>
      <c r="E200" s="545"/>
      <c r="F200" s="5869" t="s">
        <v>334</v>
      </c>
      <c r="G200" s="5982"/>
      <c r="H200" s="544"/>
      <c r="I200" s="545"/>
      <c r="J200" s="5869" t="s">
        <v>334</v>
      </c>
      <c r="K200" s="5982"/>
      <c r="L200" s="544"/>
      <c r="M200" s="545"/>
      <c r="N200" s="5869" t="s">
        <v>334</v>
      </c>
      <c r="O200" s="5982"/>
      <c r="P200" s="544"/>
      <c r="Q200" s="545"/>
      <c r="R200" s="5869" t="s">
        <v>335</v>
      </c>
      <c r="S200" s="539"/>
      <c r="T200" s="544"/>
      <c r="U200" s="545"/>
      <c r="V200" s="541"/>
      <c r="W200" s="539"/>
      <c r="X200" s="531"/>
      <c r="Y200" s="540"/>
      <c r="Z200" s="541"/>
      <c r="AA200" s="539"/>
      <c r="AB200" s="531"/>
      <c r="AC200" s="531"/>
      <c r="AD200" s="542"/>
      <c r="AE200" s="531"/>
    </row>
    <row r="201" spans="1:31" ht="18" customHeight="1">
      <c r="A201" s="37"/>
      <c r="B201" s="42"/>
      <c r="C201" s="5"/>
      <c r="F201" s="42"/>
      <c r="G201" s="5"/>
      <c r="J201" s="42"/>
      <c r="K201" s="5"/>
      <c r="N201" s="42"/>
      <c r="O201" s="5"/>
      <c r="R201" s="42"/>
      <c r="S201" s="42"/>
      <c r="W201" s="42"/>
      <c r="AA201" s="42"/>
      <c r="AD201" s="42"/>
    </row>
    <row r="202" spans="1:31" ht="18" customHeight="1"/>
    <row r="203" spans="1:31" ht="18" customHeight="1">
      <c r="A203" s="5983" t="s">
        <v>615</v>
      </c>
      <c r="B203" s="2985">
        <v>1</v>
      </c>
      <c r="C203" s="2985">
        <v>2</v>
      </c>
      <c r="D203" s="2985">
        <v>3</v>
      </c>
      <c r="E203" s="2985">
        <v>4</v>
      </c>
      <c r="F203" s="2985">
        <v>5</v>
      </c>
      <c r="G203" s="2986">
        <v>6</v>
      </c>
      <c r="H203" s="2986">
        <v>7</v>
      </c>
      <c r="I203" s="2985">
        <v>8</v>
      </c>
      <c r="J203" s="2985">
        <v>9</v>
      </c>
      <c r="K203" s="2985">
        <v>10</v>
      </c>
      <c r="L203" s="2985">
        <v>11</v>
      </c>
      <c r="M203" s="2985">
        <v>12</v>
      </c>
      <c r="N203" s="2986">
        <v>13</v>
      </c>
      <c r="O203" s="2986">
        <v>14</v>
      </c>
      <c r="P203" s="2985">
        <v>15</v>
      </c>
      <c r="Q203" s="2985">
        <v>16</v>
      </c>
      <c r="R203" s="2985">
        <v>17</v>
      </c>
      <c r="S203" s="2985">
        <v>18</v>
      </c>
      <c r="T203" s="2985">
        <v>19</v>
      </c>
      <c r="U203" s="2986">
        <v>20</v>
      </c>
      <c r="V203" s="2986">
        <v>21</v>
      </c>
      <c r="W203" s="2985">
        <v>22</v>
      </c>
      <c r="X203" s="2985">
        <v>23</v>
      </c>
      <c r="Y203" s="2985">
        <v>24</v>
      </c>
      <c r="Z203" s="2985">
        <v>25</v>
      </c>
      <c r="AA203" s="2985">
        <v>26</v>
      </c>
      <c r="AB203" s="2986">
        <v>27</v>
      </c>
      <c r="AC203" s="2986">
        <v>28</v>
      </c>
      <c r="AD203" s="2985">
        <v>29</v>
      </c>
      <c r="AE203" s="2985">
        <v>30</v>
      </c>
    </row>
    <row r="204" spans="1:31" ht="18" customHeight="1">
      <c r="A204" s="2913" t="s">
        <v>338</v>
      </c>
      <c r="B204" s="5800" t="s">
        <v>40</v>
      </c>
      <c r="C204" s="5795" t="s">
        <v>40</v>
      </c>
      <c r="D204" s="5795" t="s">
        <v>40</v>
      </c>
      <c r="E204" s="5795" t="s">
        <v>40</v>
      </c>
      <c r="F204" s="5795" t="s">
        <v>40</v>
      </c>
      <c r="G204" s="5795"/>
      <c r="H204" s="5795"/>
      <c r="I204" s="5800" t="s">
        <v>40</v>
      </c>
      <c r="J204" s="5795" t="s">
        <v>40</v>
      </c>
      <c r="K204" s="5795" t="s">
        <v>40</v>
      </c>
      <c r="L204" s="5795" t="s">
        <v>40</v>
      </c>
      <c r="M204" s="5795" t="s">
        <v>40</v>
      </c>
      <c r="N204" s="5795"/>
      <c r="O204" s="5795"/>
      <c r="P204" s="5800" t="s">
        <v>40</v>
      </c>
      <c r="Q204" s="5795" t="s">
        <v>40</v>
      </c>
      <c r="R204" s="5795" t="s">
        <v>40</v>
      </c>
      <c r="S204" s="5795" t="s">
        <v>40</v>
      </c>
      <c r="T204" s="5795" t="s">
        <v>40</v>
      </c>
      <c r="U204" s="5795"/>
      <c r="V204" s="5795"/>
      <c r="W204" s="5800" t="s">
        <v>40</v>
      </c>
      <c r="X204" s="5795" t="s">
        <v>40</v>
      </c>
      <c r="Y204" s="5795" t="s">
        <v>40</v>
      </c>
      <c r="Z204" s="5795" t="s">
        <v>40</v>
      </c>
      <c r="AA204" s="5795" t="s">
        <v>40</v>
      </c>
      <c r="AB204" s="5795"/>
      <c r="AC204" s="5795"/>
      <c r="AD204" s="5800" t="s">
        <v>40</v>
      </c>
      <c r="AE204" s="5795" t="s">
        <v>40</v>
      </c>
    </row>
    <row r="205" spans="1:31" ht="18" customHeight="1">
      <c r="A205" s="5984" t="s">
        <v>339</v>
      </c>
      <c r="B205" s="5930"/>
      <c r="C205" s="5930"/>
      <c r="D205" s="5930"/>
      <c r="E205" s="5930"/>
      <c r="F205" s="5930"/>
      <c r="G205" s="5930"/>
      <c r="H205" s="5930"/>
      <c r="I205" s="5930"/>
      <c r="J205" s="5930"/>
      <c r="K205" s="5930"/>
      <c r="L205" s="5930"/>
      <c r="M205" s="5930"/>
      <c r="N205" s="5930"/>
      <c r="O205" s="5930"/>
      <c r="P205" s="5930"/>
      <c r="Q205" s="5930"/>
      <c r="R205" s="5930"/>
      <c r="S205" s="5930"/>
      <c r="T205" s="5930"/>
      <c r="U205" s="5930"/>
      <c r="V205" s="5930"/>
      <c r="W205" s="5930"/>
      <c r="X205" s="5930"/>
      <c r="Y205" s="5930"/>
      <c r="Z205" s="5930"/>
      <c r="AA205" s="5930"/>
      <c r="AB205" s="5930"/>
      <c r="AC205" s="5930"/>
      <c r="AD205" s="5930"/>
      <c r="AE205" s="5930"/>
    </row>
    <row r="206" spans="1:31" ht="18" customHeight="1">
      <c r="A206" s="5985" t="s">
        <v>340</v>
      </c>
      <c r="B206" s="5800" t="s">
        <v>341</v>
      </c>
      <c r="C206" s="5795" t="s">
        <v>341</v>
      </c>
      <c r="D206" s="5795" t="s">
        <v>341</v>
      </c>
      <c r="E206" s="5795" t="s">
        <v>341</v>
      </c>
      <c r="F206" s="5795" t="s">
        <v>341</v>
      </c>
      <c r="G206" s="5795"/>
      <c r="H206" s="5800"/>
      <c r="I206" s="5800" t="s">
        <v>341</v>
      </c>
      <c r="J206" s="5795" t="s">
        <v>341</v>
      </c>
      <c r="K206" s="5795" t="s">
        <v>341</v>
      </c>
      <c r="L206" s="5795" t="s">
        <v>341</v>
      </c>
      <c r="M206" s="5795" t="s">
        <v>341</v>
      </c>
      <c r="N206" s="5795"/>
      <c r="O206" s="5800"/>
      <c r="P206" s="5800" t="s">
        <v>341</v>
      </c>
      <c r="Q206" s="5795" t="s">
        <v>341</v>
      </c>
      <c r="R206" s="5795" t="s">
        <v>341</v>
      </c>
      <c r="S206" s="5795" t="s">
        <v>341</v>
      </c>
      <c r="T206" s="5795" t="s">
        <v>341</v>
      </c>
      <c r="U206" s="5795"/>
      <c r="V206" s="5800"/>
      <c r="W206" s="5800" t="s">
        <v>341</v>
      </c>
      <c r="X206" s="5795" t="s">
        <v>341</v>
      </c>
      <c r="Y206" s="5795" t="s">
        <v>341</v>
      </c>
      <c r="Z206" s="5795" t="s">
        <v>341</v>
      </c>
      <c r="AA206" s="5795" t="s">
        <v>341</v>
      </c>
      <c r="AB206" s="5795"/>
      <c r="AC206" s="5800"/>
      <c r="AD206" s="5800" t="s">
        <v>341</v>
      </c>
      <c r="AE206" s="5795" t="s">
        <v>341</v>
      </c>
    </row>
    <row r="207" spans="1:31" ht="18" customHeight="1">
      <c r="A207" s="5985" t="s">
        <v>343</v>
      </c>
      <c r="B207" s="5795" t="s">
        <v>342</v>
      </c>
      <c r="C207" s="5795" t="s">
        <v>342</v>
      </c>
      <c r="D207" s="5795" t="s">
        <v>342</v>
      </c>
      <c r="E207" s="5795" t="s">
        <v>342</v>
      </c>
      <c r="F207" s="5795" t="s">
        <v>342</v>
      </c>
      <c r="G207" s="5795"/>
      <c r="H207" s="5795"/>
      <c r="I207" s="5795" t="s">
        <v>342</v>
      </c>
      <c r="J207" s="5795" t="s">
        <v>342</v>
      </c>
      <c r="K207" s="5795" t="s">
        <v>342</v>
      </c>
      <c r="L207" s="5795" t="s">
        <v>342</v>
      </c>
      <c r="M207" s="5795" t="s">
        <v>342</v>
      </c>
      <c r="N207" s="5795"/>
      <c r="O207" s="5795"/>
      <c r="P207" s="5795" t="s">
        <v>342</v>
      </c>
      <c r="Q207" s="5795" t="s">
        <v>342</v>
      </c>
      <c r="R207" s="5795" t="s">
        <v>342</v>
      </c>
      <c r="S207" s="5795" t="s">
        <v>342</v>
      </c>
      <c r="T207" s="5795" t="s">
        <v>342</v>
      </c>
      <c r="U207" s="5795"/>
      <c r="V207" s="5795"/>
      <c r="W207" s="5795" t="s">
        <v>342</v>
      </c>
      <c r="X207" s="5795" t="s">
        <v>342</v>
      </c>
      <c r="Y207" s="5795" t="s">
        <v>342</v>
      </c>
      <c r="Z207" s="5795" t="s">
        <v>342</v>
      </c>
      <c r="AA207" s="5795" t="s">
        <v>342</v>
      </c>
      <c r="AB207" s="5795"/>
      <c r="AC207" s="5795"/>
      <c r="AD207" s="5795" t="s">
        <v>342</v>
      </c>
      <c r="AE207" s="5795" t="s">
        <v>342</v>
      </c>
    </row>
    <row r="208" spans="1:31" ht="18" customHeight="1">
      <c r="A208" s="5986"/>
      <c r="B208" s="5791" t="s">
        <v>346</v>
      </c>
      <c r="C208" s="5789" t="s">
        <v>346</v>
      </c>
      <c r="D208" s="5789" t="s">
        <v>346</v>
      </c>
      <c r="E208" s="5789" t="s">
        <v>346</v>
      </c>
      <c r="F208" s="5789" t="s">
        <v>346</v>
      </c>
      <c r="G208" s="5789"/>
      <c r="H208" s="5791"/>
      <c r="I208" s="5791" t="s">
        <v>346</v>
      </c>
      <c r="J208" s="5789" t="s">
        <v>346</v>
      </c>
      <c r="K208" s="5789" t="s">
        <v>346</v>
      </c>
      <c r="L208" s="5789" t="s">
        <v>346</v>
      </c>
      <c r="M208" s="5789" t="s">
        <v>346</v>
      </c>
      <c r="N208" s="5789"/>
      <c r="O208" s="5791"/>
      <c r="P208" s="5791" t="s">
        <v>346</v>
      </c>
      <c r="Q208" s="5789" t="s">
        <v>346</v>
      </c>
      <c r="R208" s="5789" t="s">
        <v>346</v>
      </c>
      <c r="S208" s="5789" t="s">
        <v>346</v>
      </c>
      <c r="T208" s="5789" t="s">
        <v>346</v>
      </c>
      <c r="U208" s="5789"/>
      <c r="V208" s="5791"/>
      <c r="W208" s="5791" t="s">
        <v>346</v>
      </c>
      <c r="X208" s="5789" t="s">
        <v>346</v>
      </c>
      <c r="Y208" s="5789" t="s">
        <v>346</v>
      </c>
      <c r="Z208" s="5789" t="s">
        <v>346</v>
      </c>
      <c r="AA208" s="5789" t="s">
        <v>346</v>
      </c>
      <c r="AB208" s="5789"/>
      <c r="AC208" s="5791"/>
      <c r="AD208" s="5791" t="s">
        <v>346</v>
      </c>
      <c r="AE208" s="5789" t="s">
        <v>346</v>
      </c>
    </row>
    <row r="209" spans="1:31" ht="18" customHeight="1" thickBot="1">
      <c r="B209" s="108"/>
      <c r="C209" s="108"/>
      <c r="D209" s="108"/>
      <c r="E209" s="108"/>
      <c r="F209" s="108"/>
      <c r="G209" s="108"/>
      <c r="H209" s="108"/>
      <c r="I209" s="108"/>
      <c r="J209" s="108"/>
      <c r="K209" s="108"/>
      <c r="L209" s="108"/>
      <c r="M209" s="108"/>
      <c r="N209" s="108"/>
      <c r="O209" s="108"/>
      <c r="P209" s="108"/>
      <c r="Q209" s="108"/>
      <c r="R209" s="108"/>
      <c r="S209" s="108"/>
      <c r="T209" s="108"/>
      <c r="U209" s="108"/>
      <c r="V209" s="108"/>
      <c r="W209" s="108"/>
      <c r="X209" s="108"/>
      <c r="Y209" s="108"/>
      <c r="Z209" s="108"/>
      <c r="AA209" s="108"/>
      <c r="AB209" s="108"/>
      <c r="AC209" s="108"/>
      <c r="AD209" s="108"/>
      <c r="AE209" s="108"/>
    </row>
    <row r="210" spans="1:31" ht="15.75" thickBot="1">
      <c r="A210" s="989" t="s">
        <v>614</v>
      </c>
      <c r="B210" s="872">
        <v>1</v>
      </c>
      <c r="C210" s="872">
        <v>2</v>
      </c>
      <c r="D210" s="872">
        <v>3</v>
      </c>
      <c r="E210" s="872">
        <v>4</v>
      </c>
      <c r="F210" s="872">
        <v>5</v>
      </c>
      <c r="G210" s="873">
        <v>6</v>
      </c>
      <c r="H210" s="873">
        <v>7</v>
      </c>
      <c r="I210" s="872">
        <v>8</v>
      </c>
      <c r="J210" s="872">
        <v>9</v>
      </c>
      <c r="K210" s="872">
        <v>10</v>
      </c>
      <c r="L210" s="872">
        <v>11</v>
      </c>
      <c r="M210" s="872">
        <v>12</v>
      </c>
      <c r="N210" s="873">
        <v>13</v>
      </c>
      <c r="O210" s="873">
        <v>14</v>
      </c>
      <c r="P210" s="872">
        <v>15</v>
      </c>
      <c r="Q210" s="872">
        <v>16</v>
      </c>
      <c r="R210" s="872">
        <v>17</v>
      </c>
      <c r="S210" s="872">
        <v>18</v>
      </c>
      <c r="T210" s="872">
        <v>19</v>
      </c>
      <c r="U210" s="873">
        <v>20</v>
      </c>
      <c r="V210" s="873">
        <v>21</v>
      </c>
      <c r="W210" s="872">
        <v>22</v>
      </c>
      <c r="X210" s="872">
        <v>23</v>
      </c>
      <c r="Y210" s="872">
        <v>24</v>
      </c>
      <c r="Z210" s="872">
        <v>25</v>
      </c>
      <c r="AA210" s="872">
        <v>26</v>
      </c>
      <c r="AB210" s="873">
        <v>27</v>
      </c>
      <c r="AC210" s="873">
        <v>28</v>
      </c>
      <c r="AD210" s="872">
        <v>29</v>
      </c>
      <c r="AE210" s="874">
        <v>30</v>
      </c>
    </row>
    <row r="211" spans="1:31">
      <c r="A211" s="1513"/>
      <c r="B211" s="5725" t="s">
        <v>40</v>
      </c>
      <c r="C211" s="5725" t="s">
        <v>40</v>
      </c>
      <c r="D211" s="5725" t="s">
        <v>40</v>
      </c>
      <c r="E211" s="5726" t="s">
        <v>40</v>
      </c>
      <c r="F211" s="5726" t="s">
        <v>40</v>
      </c>
      <c r="G211" s="5726"/>
      <c r="H211" s="5725"/>
      <c r="I211" s="5725" t="s">
        <v>40</v>
      </c>
      <c r="J211" s="5725" t="s">
        <v>40</v>
      </c>
      <c r="K211" s="5726" t="s">
        <v>40</v>
      </c>
      <c r="L211" s="5726" t="s">
        <v>40</v>
      </c>
      <c r="M211" s="5726" t="s">
        <v>40</v>
      </c>
      <c r="N211" s="5726"/>
      <c r="O211" s="5726"/>
      <c r="P211" s="5726" t="s">
        <v>40</v>
      </c>
      <c r="Q211" s="5726" t="s">
        <v>40</v>
      </c>
      <c r="R211" s="5726" t="s">
        <v>40</v>
      </c>
      <c r="S211" s="5726" t="s">
        <v>40</v>
      </c>
      <c r="T211" s="5726" t="s">
        <v>40</v>
      </c>
      <c r="U211" s="5712"/>
      <c r="V211" s="5726"/>
      <c r="W211" s="5726" t="s">
        <v>40</v>
      </c>
      <c r="X211" s="5726" t="s">
        <v>40</v>
      </c>
      <c r="Y211" s="5726" t="s">
        <v>40</v>
      </c>
      <c r="Z211" s="5726" t="s">
        <v>40</v>
      </c>
      <c r="AA211" s="5726" t="s">
        <v>40</v>
      </c>
      <c r="AB211" s="5726"/>
      <c r="AC211" s="5726"/>
      <c r="AD211" s="5726" t="s">
        <v>40</v>
      </c>
      <c r="AE211" s="5727" t="s">
        <v>40</v>
      </c>
    </row>
    <row r="212" spans="1:31" ht="12.75">
      <c r="A212" s="5728" t="s">
        <v>312</v>
      </c>
      <c r="B212" s="5729"/>
      <c r="C212" s="5729"/>
      <c r="D212" s="5729"/>
      <c r="E212" s="5730"/>
      <c r="F212" s="5730"/>
      <c r="G212" s="5730"/>
      <c r="H212" s="5729"/>
      <c r="I212" s="5729"/>
      <c r="J212" s="5729"/>
      <c r="K212" s="5730"/>
      <c r="L212" s="5730"/>
      <c r="M212" s="5730"/>
      <c r="N212" s="5730"/>
      <c r="O212" s="5730"/>
      <c r="P212" s="5730"/>
      <c r="Q212" s="5730"/>
      <c r="R212" s="5730"/>
      <c r="S212" s="5730"/>
      <c r="T212" s="5730"/>
      <c r="U212" s="5731"/>
      <c r="V212" s="5730"/>
      <c r="W212" s="5730"/>
      <c r="X212" s="5730"/>
      <c r="Y212" s="5730"/>
      <c r="Z212" s="5730"/>
      <c r="AA212" s="5730"/>
      <c r="AB212" s="5730"/>
      <c r="AC212" s="5730"/>
      <c r="AD212" s="5730"/>
      <c r="AE212" s="5732"/>
    </row>
    <row r="213" spans="1:31">
      <c r="A213" s="5733" t="s">
        <v>313</v>
      </c>
      <c r="B213" s="5939" t="s">
        <v>40</v>
      </c>
      <c r="C213" s="5939" t="s">
        <v>40</v>
      </c>
      <c r="D213" s="5939" t="s">
        <v>40</v>
      </c>
      <c r="E213" s="5987" t="s">
        <v>40</v>
      </c>
      <c r="F213" s="5987" t="s">
        <v>40</v>
      </c>
      <c r="G213" s="5987"/>
      <c r="H213" s="5939"/>
      <c r="I213" s="5939" t="s">
        <v>40</v>
      </c>
      <c r="J213" s="5939" t="s">
        <v>40</v>
      </c>
      <c r="K213" s="5987" t="s">
        <v>40</v>
      </c>
      <c r="L213" s="5987" t="s">
        <v>40</v>
      </c>
      <c r="M213" s="5987" t="s">
        <v>40</v>
      </c>
      <c r="N213" s="5987"/>
      <c r="O213" s="5987"/>
      <c r="P213" s="5987" t="s">
        <v>40</v>
      </c>
      <c r="Q213" s="5987" t="s">
        <v>40</v>
      </c>
      <c r="R213" s="5987" t="s">
        <v>40</v>
      </c>
      <c r="S213" s="5987" t="s">
        <v>40</v>
      </c>
      <c r="T213" s="5987" t="s">
        <v>40</v>
      </c>
      <c r="U213" s="5988"/>
      <c r="V213" s="5987"/>
      <c r="W213" s="5987" t="s">
        <v>40</v>
      </c>
      <c r="X213" s="5987" t="s">
        <v>40</v>
      </c>
      <c r="Y213" s="5987" t="s">
        <v>40</v>
      </c>
      <c r="Z213" s="5987" t="s">
        <v>40</v>
      </c>
      <c r="AA213" s="5987" t="s">
        <v>40</v>
      </c>
      <c r="AB213" s="5987"/>
      <c r="AC213" s="5987"/>
      <c r="AD213" s="5987" t="s">
        <v>40</v>
      </c>
      <c r="AE213" s="5989" t="s">
        <v>40</v>
      </c>
    </row>
    <row r="214" spans="1:31" ht="12.75">
      <c r="A214" s="5737" t="s">
        <v>314</v>
      </c>
      <c r="B214" s="5738"/>
      <c r="C214" s="5738"/>
      <c r="D214" s="5738"/>
      <c r="E214" s="5738"/>
      <c r="F214" s="5738"/>
      <c r="G214" s="5738"/>
      <c r="H214" s="5738"/>
      <c r="I214" s="5738"/>
      <c r="J214" s="5738"/>
      <c r="K214" s="5738"/>
      <c r="L214" s="5738"/>
      <c r="M214" s="5738"/>
      <c r="N214" s="5738"/>
      <c r="O214" s="5738"/>
      <c r="P214" s="5738"/>
      <c r="Q214" s="5738"/>
      <c r="R214" s="5738"/>
      <c r="S214" s="5738"/>
      <c r="T214" s="5738"/>
      <c r="U214" s="5739"/>
      <c r="V214" s="5738"/>
      <c r="W214" s="5738"/>
      <c r="X214" s="5738"/>
      <c r="Y214" s="5738"/>
      <c r="Z214" s="5738"/>
      <c r="AA214" s="5738"/>
      <c r="AB214" s="5738"/>
      <c r="AC214" s="5738"/>
      <c r="AD214" s="5738"/>
      <c r="AE214" s="5740"/>
    </row>
    <row r="215" spans="1:31">
      <c r="A215" s="5714" t="s">
        <v>315</v>
      </c>
      <c r="B215" s="5939" t="s">
        <v>40</v>
      </c>
      <c r="C215" s="5939" t="s">
        <v>40</v>
      </c>
      <c r="D215" s="5939" t="s">
        <v>40</v>
      </c>
      <c r="E215" s="5990" t="s">
        <v>40</v>
      </c>
      <c r="F215" s="5990" t="s">
        <v>40</v>
      </c>
      <c r="G215" s="5990"/>
      <c r="H215" s="5939"/>
      <c r="I215" s="5939" t="s">
        <v>40</v>
      </c>
      <c r="J215" s="5939" t="s">
        <v>40</v>
      </c>
      <c r="K215" s="5990" t="s">
        <v>40</v>
      </c>
      <c r="L215" s="5990" t="s">
        <v>40</v>
      </c>
      <c r="M215" s="5990" t="s">
        <v>40</v>
      </c>
      <c r="N215" s="5990"/>
      <c r="O215" s="5990"/>
      <c r="P215" s="5990" t="s">
        <v>40</v>
      </c>
      <c r="Q215" s="5990" t="s">
        <v>40</v>
      </c>
      <c r="R215" s="5990" t="s">
        <v>40</v>
      </c>
      <c r="S215" s="5990" t="s">
        <v>40</v>
      </c>
      <c r="T215" s="5990" t="s">
        <v>40</v>
      </c>
      <c r="U215" s="5990"/>
      <c r="V215" s="5990"/>
      <c r="W215" s="5990" t="s">
        <v>40</v>
      </c>
      <c r="X215" s="5990" t="s">
        <v>40</v>
      </c>
      <c r="Y215" s="5990" t="s">
        <v>40</v>
      </c>
      <c r="Z215" s="5990" t="s">
        <v>40</v>
      </c>
      <c r="AA215" s="5990" t="s">
        <v>40</v>
      </c>
      <c r="AB215" s="5990"/>
      <c r="AC215" s="5990"/>
      <c r="AD215" s="5990" t="s">
        <v>40</v>
      </c>
      <c r="AE215" s="5989" t="s">
        <v>40</v>
      </c>
    </row>
    <row r="216" spans="1:31">
      <c r="A216" s="5714" t="s">
        <v>316</v>
      </c>
      <c r="B216" s="5990" t="s">
        <v>40</v>
      </c>
      <c r="C216" s="5990" t="s">
        <v>40</v>
      </c>
      <c r="D216" s="5990" t="s">
        <v>40</v>
      </c>
      <c r="E216" s="5987" t="s">
        <v>40</v>
      </c>
      <c r="F216" s="5987" t="s">
        <v>40</v>
      </c>
      <c r="G216" s="5987"/>
      <c r="H216" s="5990"/>
      <c r="I216" s="5990" t="s">
        <v>40</v>
      </c>
      <c r="J216" s="5990" t="s">
        <v>40</v>
      </c>
      <c r="K216" s="5987" t="s">
        <v>40</v>
      </c>
      <c r="L216" s="5987" t="s">
        <v>40</v>
      </c>
      <c r="M216" s="5987" t="s">
        <v>40</v>
      </c>
      <c r="N216" s="5987"/>
      <c r="O216" s="5987"/>
      <c r="P216" s="5987" t="s">
        <v>40</v>
      </c>
      <c r="Q216" s="5987" t="s">
        <v>40</v>
      </c>
      <c r="R216" s="5987" t="s">
        <v>40</v>
      </c>
      <c r="S216" s="5987" t="s">
        <v>40</v>
      </c>
      <c r="T216" s="5987" t="s">
        <v>40</v>
      </c>
      <c r="U216" s="5988"/>
      <c r="V216" s="5987"/>
      <c r="W216" s="5987" t="s">
        <v>40</v>
      </c>
      <c r="X216" s="5987" t="s">
        <v>40</v>
      </c>
      <c r="Y216" s="5987" t="s">
        <v>40</v>
      </c>
      <c r="Z216" s="5987" t="s">
        <v>40</v>
      </c>
      <c r="AA216" s="5987" t="s">
        <v>40</v>
      </c>
      <c r="AB216" s="5987"/>
      <c r="AC216" s="5987"/>
      <c r="AD216" s="5987" t="s">
        <v>40</v>
      </c>
      <c r="AE216" s="5991" t="s">
        <v>40</v>
      </c>
    </row>
    <row r="217" spans="1:31">
      <c r="A217" s="5714" t="s">
        <v>317</v>
      </c>
      <c r="B217" s="5939" t="s">
        <v>40</v>
      </c>
      <c r="C217" s="5939" t="s">
        <v>40</v>
      </c>
      <c r="D217" s="5939" t="s">
        <v>40</v>
      </c>
      <c r="E217" s="5987" t="s">
        <v>40</v>
      </c>
      <c r="F217" s="5987" t="s">
        <v>40</v>
      </c>
      <c r="G217" s="5987"/>
      <c r="H217" s="5939"/>
      <c r="I217" s="5939" t="s">
        <v>40</v>
      </c>
      <c r="J217" s="5939" t="s">
        <v>40</v>
      </c>
      <c r="K217" s="5987" t="s">
        <v>40</v>
      </c>
      <c r="L217" s="5987" t="s">
        <v>40</v>
      </c>
      <c r="M217" s="5987" t="s">
        <v>40</v>
      </c>
      <c r="N217" s="5987"/>
      <c r="O217" s="5987"/>
      <c r="P217" s="5987" t="s">
        <v>40</v>
      </c>
      <c r="Q217" s="5987" t="s">
        <v>40</v>
      </c>
      <c r="R217" s="5987" t="s">
        <v>40</v>
      </c>
      <c r="S217" s="5987" t="s">
        <v>40</v>
      </c>
      <c r="T217" s="5987" t="s">
        <v>40</v>
      </c>
      <c r="U217" s="5988"/>
      <c r="V217" s="5987"/>
      <c r="W217" s="5987" t="s">
        <v>40</v>
      </c>
      <c r="X217" s="5987" t="s">
        <v>40</v>
      </c>
      <c r="Y217" s="5987" t="s">
        <v>40</v>
      </c>
      <c r="Z217" s="5987" t="s">
        <v>40</v>
      </c>
      <c r="AA217" s="5987" t="s">
        <v>40</v>
      </c>
      <c r="AB217" s="5987"/>
      <c r="AC217" s="5987"/>
      <c r="AD217" s="5987" t="s">
        <v>40</v>
      </c>
      <c r="AE217" s="5992" t="s">
        <v>40</v>
      </c>
    </row>
    <row r="218" spans="1:31" ht="12.75">
      <c r="A218" s="5737" t="s">
        <v>318</v>
      </c>
      <c r="B218" s="5738"/>
      <c r="C218" s="5738"/>
      <c r="D218" s="5738"/>
      <c r="E218" s="5738"/>
      <c r="F218" s="5738"/>
      <c r="G218" s="5738"/>
      <c r="H218" s="5738"/>
      <c r="I218" s="5738"/>
      <c r="J218" s="5738"/>
      <c r="K218" s="5738"/>
      <c r="L218" s="5738"/>
      <c r="M218" s="5738"/>
      <c r="N218" s="5738"/>
      <c r="O218" s="5738"/>
      <c r="P218" s="5738"/>
      <c r="Q218" s="5738"/>
      <c r="R218" s="5738"/>
      <c r="S218" s="5738"/>
      <c r="T218" s="5738"/>
      <c r="U218" s="5739"/>
      <c r="V218" s="5738"/>
      <c r="W218" s="5738"/>
      <c r="X218" s="5738"/>
      <c r="Y218" s="5738"/>
      <c r="Z218" s="5738"/>
      <c r="AA218" s="5738"/>
      <c r="AB218" s="5738"/>
      <c r="AC218" s="5738"/>
      <c r="AD218" s="5738"/>
      <c r="AE218" s="5740"/>
    </row>
    <row r="219" spans="1:31">
      <c r="A219" s="5714" t="s">
        <v>319</v>
      </c>
      <c r="B219" s="5939" t="s">
        <v>40</v>
      </c>
      <c r="C219" s="5939" t="s">
        <v>40</v>
      </c>
      <c r="D219" s="5939" t="s">
        <v>40</v>
      </c>
      <c r="E219" s="5987" t="s">
        <v>40</v>
      </c>
      <c r="F219" s="5987" t="s">
        <v>40</v>
      </c>
      <c r="G219" s="5987"/>
      <c r="H219" s="5939"/>
      <c r="I219" s="5939" t="s">
        <v>40</v>
      </c>
      <c r="J219" s="5939" t="s">
        <v>40</v>
      </c>
      <c r="K219" s="5987" t="s">
        <v>40</v>
      </c>
      <c r="L219" s="5987" t="s">
        <v>40</v>
      </c>
      <c r="M219" s="5987" t="s">
        <v>40</v>
      </c>
      <c r="N219" s="5987"/>
      <c r="O219" s="5987"/>
      <c r="P219" s="5987" t="s">
        <v>40</v>
      </c>
      <c r="Q219" s="5987" t="s">
        <v>40</v>
      </c>
      <c r="R219" s="5987" t="s">
        <v>40</v>
      </c>
      <c r="S219" s="5987" t="s">
        <v>40</v>
      </c>
      <c r="T219" s="5987" t="s">
        <v>40</v>
      </c>
      <c r="U219" s="5988"/>
      <c r="V219" s="5987"/>
      <c r="W219" s="5987" t="s">
        <v>40</v>
      </c>
      <c r="X219" s="5987" t="s">
        <v>40</v>
      </c>
      <c r="Y219" s="5987" t="s">
        <v>40</v>
      </c>
      <c r="Z219" s="5987" t="s">
        <v>40</v>
      </c>
      <c r="AA219" s="5987" t="s">
        <v>40</v>
      </c>
      <c r="AB219" s="5987"/>
      <c r="AC219" s="5987"/>
      <c r="AD219" s="5987" t="s">
        <v>40</v>
      </c>
      <c r="AE219" s="5993" t="s">
        <v>40</v>
      </c>
    </row>
    <row r="220" spans="1:31">
      <c r="A220" s="5714" t="s">
        <v>320</v>
      </c>
      <c r="B220" s="5939" t="s">
        <v>40</v>
      </c>
      <c r="C220" s="5939" t="s">
        <v>40</v>
      </c>
      <c r="D220" s="5939" t="s">
        <v>40</v>
      </c>
      <c r="E220" s="5987" t="s">
        <v>40</v>
      </c>
      <c r="F220" s="5987" t="s">
        <v>40</v>
      </c>
      <c r="G220" s="5987"/>
      <c r="H220" s="5939"/>
      <c r="I220" s="5939" t="s">
        <v>40</v>
      </c>
      <c r="J220" s="5939" t="s">
        <v>40</v>
      </c>
      <c r="K220" s="5987" t="s">
        <v>40</v>
      </c>
      <c r="L220" s="5987" t="s">
        <v>40</v>
      </c>
      <c r="M220" s="5987" t="s">
        <v>40</v>
      </c>
      <c r="N220" s="5987"/>
      <c r="O220" s="5987"/>
      <c r="P220" s="5987" t="s">
        <v>40</v>
      </c>
      <c r="Q220" s="5987" t="s">
        <v>40</v>
      </c>
      <c r="R220" s="5987" t="s">
        <v>40</v>
      </c>
      <c r="S220" s="5987" t="s">
        <v>40</v>
      </c>
      <c r="T220" s="5987" t="s">
        <v>40</v>
      </c>
      <c r="U220" s="5988"/>
      <c r="V220" s="5987"/>
      <c r="W220" s="5987" t="s">
        <v>40</v>
      </c>
      <c r="X220" s="5987" t="s">
        <v>40</v>
      </c>
      <c r="Y220" s="5987" t="s">
        <v>40</v>
      </c>
      <c r="Z220" s="5987" t="s">
        <v>40</v>
      </c>
      <c r="AA220" s="5987" t="s">
        <v>40</v>
      </c>
      <c r="AB220" s="5987"/>
      <c r="AC220" s="5987"/>
      <c r="AD220" s="5987" t="s">
        <v>40</v>
      </c>
      <c r="AE220" s="5994" t="s">
        <v>40</v>
      </c>
    </row>
    <row r="221" spans="1:31">
      <c r="A221" s="5714" t="s">
        <v>321</v>
      </c>
      <c r="B221" s="5988" t="s">
        <v>40</v>
      </c>
      <c r="C221" s="5988" t="s">
        <v>40</v>
      </c>
      <c r="D221" s="5988" t="s">
        <v>40</v>
      </c>
      <c r="E221" s="5987" t="s">
        <v>40</v>
      </c>
      <c r="F221" s="5987" t="s">
        <v>40</v>
      </c>
      <c r="G221" s="5987"/>
      <c r="H221" s="5988"/>
      <c r="I221" s="5988" t="s">
        <v>40</v>
      </c>
      <c r="J221" s="5988" t="s">
        <v>40</v>
      </c>
      <c r="K221" s="5987" t="s">
        <v>40</v>
      </c>
      <c r="L221" s="5987" t="s">
        <v>40</v>
      </c>
      <c r="M221" s="5987" t="s">
        <v>40</v>
      </c>
      <c r="N221" s="5987"/>
      <c r="O221" s="5987"/>
      <c r="P221" s="5987" t="s">
        <v>40</v>
      </c>
      <c r="Q221" s="5987" t="s">
        <v>40</v>
      </c>
      <c r="R221" s="5987" t="s">
        <v>40</v>
      </c>
      <c r="S221" s="5987" t="s">
        <v>40</v>
      </c>
      <c r="T221" s="5987" t="s">
        <v>40</v>
      </c>
      <c r="U221" s="5995"/>
      <c r="V221" s="5987"/>
      <c r="W221" s="5987" t="s">
        <v>40</v>
      </c>
      <c r="X221" s="5987" t="s">
        <v>40</v>
      </c>
      <c r="Y221" s="5987" t="s">
        <v>40</v>
      </c>
      <c r="Z221" s="5987" t="s">
        <v>40</v>
      </c>
      <c r="AA221" s="5987" t="s">
        <v>40</v>
      </c>
      <c r="AB221" s="5987"/>
      <c r="AC221" s="5987"/>
      <c r="AD221" s="5987" t="s">
        <v>40</v>
      </c>
      <c r="AE221" s="5989" t="s">
        <v>40</v>
      </c>
    </row>
    <row r="222" spans="1:31">
      <c r="A222" s="5714" t="s">
        <v>322</v>
      </c>
      <c r="B222" s="5939" t="s">
        <v>40</v>
      </c>
      <c r="C222" s="5939" t="s">
        <v>40</v>
      </c>
      <c r="D222" s="5939" t="s">
        <v>40</v>
      </c>
      <c r="E222" s="5987" t="s">
        <v>40</v>
      </c>
      <c r="F222" s="5987" t="s">
        <v>40</v>
      </c>
      <c r="G222" s="5987"/>
      <c r="H222" s="5939"/>
      <c r="I222" s="5939" t="s">
        <v>40</v>
      </c>
      <c r="J222" s="5939" t="s">
        <v>40</v>
      </c>
      <c r="K222" s="5987" t="s">
        <v>40</v>
      </c>
      <c r="L222" s="5987" t="s">
        <v>40</v>
      </c>
      <c r="M222" s="5987" t="s">
        <v>40</v>
      </c>
      <c r="N222" s="5987"/>
      <c r="O222" s="5987"/>
      <c r="P222" s="5987" t="s">
        <v>40</v>
      </c>
      <c r="Q222" s="5987" t="s">
        <v>40</v>
      </c>
      <c r="R222" s="5987" t="s">
        <v>40</v>
      </c>
      <c r="S222" s="5987" t="s">
        <v>40</v>
      </c>
      <c r="T222" s="5987" t="s">
        <v>40</v>
      </c>
      <c r="U222" s="5988"/>
      <c r="V222" s="5987"/>
      <c r="W222" s="5987" t="s">
        <v>40</v>
      </c>
      <c r="X222" s="5987" t="s">
        <v>40</v>
      </c>
      <c r="Y222" s="5987" t="s">
        <v>40</v>
      </c>
      <c r="Z222" s="5987" t="s">
        <v>40</v>
      </c>
      <c r="AA222" s="5987" t="s">
        <v>40</v>
      </c>
      <c r="AB222" s="5987"/>
      <c r="AC222" s="5987"/>
      <c r="AD222" s="5987" t="s">
        <v>40</v>
      </c>
      <c r="AE222" s="5991" t="s">
        <v>40</v>
      </c>
    </row>
    <row r="223" spans="1:31">
      <c r="A223" s="5714" t="s">
        <v>323</v>
      </c>
      <c r="B223" s="5939" t="s">
        <v>40</v>
      </c>
      <c r="C223" s="5939" t="s">
        <v>40</v>
      </c>
      <c r="D223" s="5939" t="s">
        <v>40</v>
      </c>
      <c r="E223" s="5987" t="s">
        <v>40</v>
      </c>
      <c r="F223" s="5987" t="s">
        <v>40</v>
      </c>
      <c r="G223" s="5987"/>
      <c r="H223" s="5939"/>
      <c r="I223" s="5939" t="s">
        <v>40</v>
      </c>
      <c r="J223" s="5939" t="s">
        <v>40</v>
      </c>
      <c r="K223" s="5987" t="s">
        <v>40</v>
      </c>
      <c r="L223" s="5987" t="s">
        <v>40</v>
      </c>
      <c r="M223" s="5987" t="s">
        <v>40</v>
      </c>
      <c r="N223" s="5987"/>
      <c r="O223" s="5987"/>
      <c r="P223" s="5987" t="s">
        <v>40</v>
      </c>
      <c r="Q223" s="5987" t="s">
        <v>40</v>
      </c>
      <c r="R223" s="5987" t="s">
        <v>40</v>
      </c>
      <c r="S223" s="5987" t="s">
        <v>40</v>
      </c>
      <c r="T223" s="5987" t="s">
        <v>40</v>
      </c>
      <c r="U223" s="5988"/>
      <c r="V223" s="5987"/>
      <c r="W223" s="5987" t="s">
        <v>40</v>
      </c>
      <c r="X223" s="5987" t="s">
        <v>40</v>
      </c>
      <c r="Y223" s="5987" t="s">
        <v>40</v>
      </c>
      <c r="Z223" s="5987" t="s">
        <v>40</v>
      </c>
      <c r="AA223" s="5987" t="s">
        <v>40</v>
      </c>
      <c r="AB223" s="5987"/>
      <c r="AC223" s="5987"/>
      <c r="AD223" s="5987" t="s">
        <v>40</v>
      </c>
      <c r="AE223" s="5993" t="s">
        <v>40</v>
      </c>
    </row>
    <row r="224" spans="1:31">
      <c r="A224" s="5714" t="s">
        <v>324</v>
      </c>
      <c r="B224" s="5939" t="s">
        <v>40</v>
      </c>
      <c r="C224" s="5939" t="s">
        <v>40</v>
      </c>
      <c r="D224" s="5939" t="s">
        <v>40</v>
      </c>
      <c r="E224" s="5987" t="s">
        <v>40</v>
      </c>
      <c r="F224" s="5987" t="s">
        <v>40</v>
      </c>
      <c r="G224" s="5987"/>
      <c r="H224" s="5939"/>
      <c r="I224" s="5939" t="s">
        <v>40</v>
      </c>
      <c r="J224" s="5939" t="s">
        <v>40</v>
      </c>
      <c r="K224" s="5987" t="s">
        <v>40</v>
      </c>
      <c r="L224" s="5987" t="s">
        <v>40</v>
      </c>
      <c r="M224" s="5987" t="s">
        <v>40</v>
      </c>
      <c r="N224" s="5987"/>
      <c r="O224" s="5987"/>
      <c r="P224" s="5987" t="s">
        <v>40</v>
      </c>
      <c r="Q224" s="5987" t="s">
        <v>40</v>
      </c>
      <c r="R224" s="5987" t="s">
        <v>40</v>
      </c>
      <c r="S224" s="5987" t="s">
        <v>40</v>
      </c>
      <c r="T224" s="5987" t="s">
        <v>40</v>
      </c>
      <c r="U224" s="5987"/>
      <c r="V224" s="5987"/>
      <c r="W224" s="5987" t="s">
        <v>40</v>
      </c>
      <c r="X224" s="5987" t="s">
        <v>40</v>
      </c>
      <c r="Y224" s="5987" t="s">
        <v>40</v>
      </c>
      <c r="Z224" s="5987" t="s">
        <v>40</v>
      </c>
      <c r="AA224" s="5987" t="s">
        <v>40</v>
      </c>
      <c r="AB224" s="5987"/>
      <c r="AC224" s="5987"/>
      <c r="AD224" s="5987" t="s">
        <v>40</v>
      </c>
      <c r="AE224" s="5993" t="s">
        <v>40</v>
      </c>
    </row>
    <row r="225" spans="1:31">
      <c r="A225" s="5714" t="s">
        <v>326</v>
      </c>
      <c r="B225" s="5939" t="s">
        <v>40</v>
      </c>
      <c r="C225" s="5939" t="s">
        <v>40</v>
      </c>
      <c r="D225" s="5939" t="s">
        <v>40</v>
      </c>
      <c r="E225" s="5950" t="s">
        <v>40</v>
      </c>
      <c r="F225" s="5950" t="s">
        <v>40</v>
      </c>
      <c r="G225" s="5950"/>
      <c r="H225" s="5939"/>
      <c r="I225" s="5939" t="s">
        <v>40</v>
      </c>
      <c r="J225" s="5939" t="s">
        <v>40</v>
      </c>
      <c r="K225" s="5950" t="s">
        <v>40</v>
      </c>
      <c r="L225" s="5950" t="s">
        <v>40</v>
      </c>
      <c r="M225" s="5950" t="s">
        <v>40</v>
      </c>
      <c r="N225" s="5950"/>
      <c r="O225" s="5950"/>
      <c r="P225" s="5950" t="s">
        <v>40</v>
      </c>
      <c r="Q225" s="5950" t="s">
        <v>40</v>
      </c>
      <c r="R225" s="5950" t="s">
        <v>40</v>
      </c>
      <c r="S225" s="5950" t="s">
        <v>40</v>
      </c>
      <c r="T225" s="5950" t="s">
        <v>40</v>
      </c>
      <c r="U225" s="5988"/>
      <c r="V225" s="5950"/>
      <c r="W225" s="5950" t="s">
        <v>40</v>
      </c>
      <c r="X225" s="5950" t="s">
        <v>40</v>
      </c>
      <c r="Y225" s="5950" t="s">
        <v>40</v>
      </c>
      <c r="Z225" s="5950" t="s">
        <v>40</v>
      </c>
      <c r="AA225" s="5950" t="s">
        <v>40</v>
      </c>
      <c r="AB225" s="5950"/>
      <c r="AC225" s="5950"/>
      <c r="AD225" s="5950" t="s">
        <v>40</v>
      </c>
      <c r="AE225" s="5992" t="s">
        <v>40</v>
      </c>
    </row>
    <row r="226" spans="1:31" ht="12.75">
      <c r="A226" s="5737" t="s">
        <v>327</v>
      </c>
      <c r="B226" s="5738"/>
      <c r="C226" s="5738"/>
      <c r="D226" s="5738"/>
      <c r="E226" s="5738"/>
      <c r="F226" s="5738"/>
      <c r="G226" s="5738"/>
      <c r="H226" s="5738"/>
      <c r="I226" s="5738"/>
      <c r="J226" s="5738"/>
      <c r="K226" s="5738"/>
      <c r="L226" s="5738"/>
      <c r="M226" s="5738"/>
      <c r="N226" s="5738"/>
      <c r="O226" s="5738"/>
      <c r="P226" s="5738"/>
      <c r="Q226" s="5738"/>
      <c r="R226" s="5738"/>
      <c r="S226" s="5738"/>
      <c r="T226" s="5738"/>
      <c r="U226" s="5739"/>
      <c r="V226" s="5738"/>
      <c r="W226" s="5738"/>
      <c r="X226" s="5738"/>
      <c r="Y226" s="5738"/>
      <c r="Z226" s="5738"/>
      <c r="AA226" s="5738"/>
      <c r="AB226" s="5738"/>
      <c r="AC226" s="5738"/>
      <c r="AD226" s="5738"/>
      <c r="AE226" s="5740"/>
    </row>
    <row r="227" spans="1:31">
      <c r="A227" s="5714" t="s">
        <v>328</v>
      </c>
      <c r="B227" s="5939" t="s">
        <v>40</v>
      </c>
      <c r="C227" s="5939" t="s">
        <v>40</v>
      </c>
      <c r="D227" s="5939" t="s">
        <v>40</v>
      </c>
      <c r="E227" s="5987" t="s">
        <v>40</v>
      </c>
      <c r="F227" s="5987" t="s">
        <v>40</v>
      </c>
      <c r="G227" s="5987"/>
      <c r="H227" s="5939"/>
      <c r="I227" s="5939" t="s">
        <v>40</v>
      </c>
      <c r="J227" s="5939" t="s">
        <v>40</v>
      </c>
      <c r="K227" s="5987" t="s">
        <v>40</v>
      </c>
      <c r="L227" s="5987" t="s">
        <v>40</v>
      </c>
      <c r="M227" s="5987" t="s">
        <v>40</v>
      </c>
      <c r="N227" s="5987"/>
      <c r="O227" s="5987"/>
      <c r="P227" s="5987" t="s">
        <v>40</v>
      </c>
      <c r="Q227" s="5987" t="s">
        <v>40</v>
      </c>
      <c r="R227" s="5987" t="s">
        <v>40</v>
      </c>
      <c r="S227" s="5987" t="s">
        <v>40</v>
      </c>
      <c r="T227" s="5987" t="s">
        <v>40</v>
      </c>
      <c r="U227" s="5988"/>
      <c r="V227" s="5987"/>
      <c r="W227" s="5987" t="s">
        <v>40</v>
      </c>
      <c r="X227" s="5987" t="s">
        <v>40</v>
      </c>
      <c r="Y227" s="5987" t="s">
        <v>40</v>
      </c>
      <c r="Z227" s="5987" t="s">
        <v>40</v>
      </c>
      <c r="AA227" s="5987" t="s">
        <v>40</v>
      </c>
      <c r="AB227" s="5987"/>
      <c r="AC227" s="5987"/>
      <c r="AD227" s="5987" t="s">
        <v>40</v>
      </c>
      <c r="AE227" s="5991" t="s">
        <v>40</v>
      </c>
    </row>
    <row r="228" spans="1:31">
      <c r="A228" s="5714" t="s">
        <v>329</v>
      </c>
      <c r="B228" s="5939" t="s">
        <v>40</v>
      </c>
      <c r="C228" s="5939" t="s">
        <v>40</v>
      </c>
      <c r="D228" s="5939" t="s">
        <v>40</v>
      </c>
      <c r="E228" s="5987" t="s">
        <v>40</v>
      </c>
      <c r="F228" s="5987" t="s">
        <v>40</v>
      </c>
      <c r="G228" s="5987"/>
      <c r="H228" s="5939"/>
      <c r="I228" s="5939" t="s">
        <v>40</v>
      </c>
      <c r="J228" s="5939" t="s">
        <v>40</v>
      </c>
      <c r="K228" s="5987" t="s">
        <v>40</v>
      </c>
      <c r="L228" s="5987" t="s">
        <v>40</v>
      </c>
      <c r="M228" s="5987" t="s">
        <v>40</v>
      </c>
      <c r="N228" s="5987"/>
      <c r="O228" s="5987"/>
      <c r="P228" s="5987" t="s">
        <v>40</v>
      </c>
      <c r="Q228" s="5987" t="s">
        <v>40</v>
      </c>
      <c r="R228" s="5987" t="s">
        <v>40</v>
      </c>
      <c r="S228" s="5987" t="s">
        <v>40</v>
      </c>
      <c r="T228" s="5987" t="s">
        <v>40</v>
      </c>
      <c r="U228" s="5939"/>
      <c r="V228" s="5987"/>
      <c r="W228" s="5987" t="s">
        <v>40</v>
      </c>
      <c r="X228" s="5987" t="s">
        <v>40</v>
      </c>
      <c r="Y228" s="5987" t="s">
        <v>40</v>
      </c>
      <c r="Z228" s="5987" t="s">
        <v>40</v>
      </c>
      <c r="AA228" s="5987" t="s">
        <v>40</v>
      </c>
      <c r="AB228" s="5987"/>
      <c r="AC228" s="5987"/>
      <c r="AD228" s="5987" t="s">
        <v>40</v>
      </c>
      <c r="AE228" s="5991" t="s">
        <v>40</v>
      </c>
    </row>
  </sheetData>
  <sheetProtection algorithmName="SHA-512" hashValue="9lNewkSsmac3jxqKuzryP701ZZxjh5C0PlU1nynQx+9qaNI0GlwqZJCyTh/uLdUHYchpAWSmUeDYmYtdkWUCFw==" saltValue="QpPNSyDpPdhhWFUsOa/ECA==" spinCount="100000" sheet="1" objects="1" scenarios="1"/>
  <mergeCells count="6">
    <mergeCell ref="AC2:AE2"/>
    <mergeCell ref="E2:F2"/>
    <mergeCell ref="G2:I2"/>
    <mergeCell ref="R2:T2"/>
    <mergeCell ref="U2:V2"/>
    <mergeCell ref="W2:X2"/>
  </mergeCells>
  <pageMargins left="0.7" right="0.7" top="0.75" bottom="0.75" header="0.3" footer="0.3"/>
  <pageSetup paperSize="9" scale="10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6D72D5-9770-4130-99E2-CBB2FCE8B7E0}">
  <sheetPr codeName="Ark47">
    <pageSetUpPr fitToPage="1"/>
  </sheetPr>
  <dimension ref="A1:AF227"/>
  <sheetViews>
    <sheetView workbookViewId="0">
      <pane ySplit="1" topLeftCell="A178" activePane="bottomLeft" state="frozen"/>
      <selection pane="bottomLeft" activeCell="AF4" sqref="AF4"/>
    </sheetView>
  </sheetViews>
  <sheetFormatPr defaultRowHeight="12"/>
  <cols>
    <col min="1" max="1" width="31.28515625" customWidth="1"/>
    <col min="2" max="31" width="4.5703125" customWidth="1"/>
    <col min="32" max="32" width="4.28515625" customWidth="1"/>
  </cols>
  <sheetData>
    <row r="1" spans="1:32" ht="15">
      <c r="A1" s="837" t="s">
        <v>699</v>
      </c>
      <c r="B1" s="320">
        <v>1</v>
      </c>
      <c r="C1" s="320">
        <v>2</v>
      </c>
      <c r="D1" s="320">
        <v>3</v>
      </c>
      <c r="E1" s="737">
        <v>4</v>
      </c>
      <c r="F1" s="737">
        <v>5</v>
      </c>
      <c r="G1" s="320">
        <v>6</v>
      </c>
      <c r="H1" s="320">
        <v>7</v>
      </c>
      <c r="I1" s="320">
        <v>8</v>
      </c>
      <c r="J1" s="320">
        <v>9</v>
      </c>
      <c r="K1" s="320">
        <v>10</v>
      </c>
      <c r="L1" s="737">
        <v>11</v>
      </c>
      <c r="M1" s="737">
        <v>12</v>
      </c>
      <c r="N1" s="320">
        <v>13</v>
      </c>
      <c r="O1" s="320">
        <v>14</v>
      </c>
      <c r="P1" s="320">
        <v>15</v>
      </c>
      <c r="Q1" s="320">
        <v>16</v>
      </c>
      <c r="R1" s="320">
        <v>17</v>
      </c>
      <c r="S1" s="737">
        <v>18</v>
      </c>
      <c r="T1" s="737">
        <v>19</v>
      </c>
      <c r="U1" s="320">
        <v>20</v>
      </c>
      <c r="V1" s="320">
        <v>21</v>
      </c>
      <c r="W1" s="320">
        <v>22</v>
      </c>
      <c r="X1" s="320">
        <v>23</v>
      </c>
      <c r="Y1" s="320">
        <v>24</v>
      </c>
      <c r="Z1" s="737">
        <v>25</v>
      </c>
      <c r="AA1" s="737">
        <v>26</v>
      </c>
      <c r="AB1" s="320">
        <v>27</v>
      </c>
      <c r="AC1" s="320">
        <v>28</v>
      </c>
      <c r="AD1" s="320">
        <v>29</v>
      </c>
      <c r="AE1" s="320">
        <v>30</v>
      </c>
      <c r="AF1" s="320">
        <v>31</v>
      </c>
    </row>
    <row r="2" spans="1:32" ht="18" customHeight="1">
      <c r="A2" s="1" t="s">
        <v>1</v>
      </c>
      <c r="B2" s="919" t="s">
        <v>2</v>
      </c>
      <c r="C2" s="966"/>
      <c r="D2" s="967"/>
      <c r="E2" s="5115" t="s">
        <v>3</v>
      </c>
      <c r="F2" s="5116"/>
      <c r="G2" s="1672" t="s">
        <v>579</v>
      </c>
      <c r="H2" s="1672"/>
      <c r="I2" s="1672"/>
      <c r="J2" s="968" t="s">
        <v>5</v>
      </c>
      <c r="K2" s="969" t="s">
        <v>580</v>
      </c>
      <c r="L2" s="970"/>
      <c r="M2" s="971"/>
      <c r="N2" s="972" t="s">
        <v>7</v>
      </c>
      <c r="O2" s="973"/>
      <c r="P2" s="974" t="s">
        <v>8</v>
      </c>
      <c r="Q2" s="975"/>
      <c r="R2" s="5118" t="s">
        <v>9</v>
      </c>
      <c r="S2" s="5118"/>
      <c r="T2" s="5118"/>
      <c r="U2" s="5119" t="s">
        <v>11</v>
      </c>
      <c r="V2" s="5119"/>
      <c r="W2" s="5120" t="s">
        <v>12</v>
      </c>
      <c r="X2" s="5120"/>
      <c r="Y2" s="976" t="s">
        <v>581</v>
      </c>
      <c r="Z2" s="977"/>
      <c r="AA2" s="978" t="s">
        <v>15</v>
      </c>
      <c r="AB2" s="979"/>
      <c r="AC2" s="5749" t="s">
        <v>582</v>
      </c>
      <c r="AD2" s="5749"/>
      <c r="AE2" s="5749"/>
    </row>
    <row r="3" spans="1:32" ht="18" customHeight="1">
      <c r="A3" s="22"/>
      <c r="B3" s="4"/>
      <c r="G3" s="4"/>
      <c r="J3" s="46"/>
      <c r="L3" s="46"/>
      <c r="M3" s="46"/>
      <c r="S3" s="46"/>
      <c r="T3" s="4"/>
      <c r="X3" s="4"/>
    </row>
    <row r="4" spans="1:32" ht="18" customHeight="1">
      <c r="A4" s="832" t="s">
        <v>18</v>
      </c>
      <c r="B4" s="5996"/>
      <c r="C4" s="5938" t="s">
        <v>19</v>
      </c>
      <c r="D4" s="5937"/>
      <c r="E4" s="5937"/>
      <c r="F4" s="5938" t="s">
        <v>20</v>
      </c>
      <c r="G4" s="5937"/>
      <c r="H4" s="5937"/>
      <c r="I4" s="5938" t="s">
        <v>21</v>
      </c>
      <c r="J4" s="5937"/>
      <c r="K4" s="5937"/>
      <c r="L4" s="5938" t="s">
        <v>22</v>
      </c>
      <c r="M4" s="5937"/>
      <c r="N4" s="5937"/>
      <c r="O4" s="5938" t="s">
        <v>23</v>
      </c>
      <c r="P4" s="5937"/>
      <c r="Q4" s="5937"/>
      <c r="R4" s="5938" t="s">
        <v>24</v>
      </c>
      <c r="S4" s="5939"/>
      <c r="T4" s="5939"/>
      <c r="U4" s="5940" t="s">
        <v>25</v>
      </c>
      <c r="V4" s="5939"/>
    </row>
    <row r="5" spans="1:32" ht="18" customHeight="1">
      <c r="A5" s="835" t="s">
        <v>26</v>
      </c>
      <c r="B5" s="5997" t="s">
        <v>27</v>
      </c>
      <c r="C5" s="5998"/>
      <c r="D5" s="5999"/>
      <c r="E5" s="5997" t="s">
        <v>27</v>
      </c>
      <c r="F5" s="6000"/>
      <c r="G5" s="6000"/>
      <c r="H5" s="5997" t="s">
        <v>27</v>
      </c>
      <c r="I5" s="6000"/>
      <c r="J5" s="5999"/>
      <c r="K5" s="5997" t="s">
        <v>27</v>
      </c>
      <c r="L5" s="6000"/>
      <c r="M5" s="5999"/>
      <c r="N5" s="5997" t="s">
        <v>28</v>
      </c>
      <c r="O5" s="6000"/>
      <c r="P5" s="5999"/>
      <c r="Q5" s="6000"/>
      <c r="R5" s="6000"/>
      <c r="S5" s="6000"/>
      <c r="T5" s="6001"/>
      <c r="U5" s="6000"/>
      <c r="V5" s="5999"/>
      <c r="W5" s="6000"/>
      <c r="X5" s="6000"/>
      <c r="Y5" s="6000"/>
      <c r="Z5" s="6000"/>
      <c r="AA5" s="6002"/>
      <c r="AB5" s="5999"/>
    </row>
    <row r="6" spans="1:32" ht="18" customHeight="1">
      <c r="A6" s="6001" t="s">
        <v>29</v>
      </c>
      <c r="B6" s="6003" t="s">
        <v>30</v>
      </c>
      <c r="C6" s="6004"/>
      <c r="D6" s="6005"/>
      <c r="E6" s="6003" t="s">
        <v>30</v>
      </c>
      <c r="F6" s="6004"/>
      <c r="G6" s="6004"/>
      <c r="H6" s="6003" t="s">
        <v>30</v>
      </c>
      <c r="I6" s="6004"/>
      <c r="J6" s="6005"/>
      <c r="K6" s="6003" t="s">
        <v>30</v>
      </c>
      <c r="L6" s="6004"/>
      <c r="M6" s="6004"/>
      <c r="N6" s="6003" t="s">
        <v>30</v>
      </c>
      <c r="O6" s="6004"/>
      <c r="P6" s="6005"/>
      <c r="Q6" s="5941" t="s">
        <v>31</v>
      </c>
      <c r="R6" s="5942"/>
      <c r="S6" s="5942"/>
      <c r="T6" s="6006" t="s">
        <v>31</v>
      </c>
      <c r="U6" s="5942"/>
      <c r="V6" s="5943"/>
      <c r="W6" s="6000"/>
      <c r="X6" s="6000"/>
      <c r="Y6" s="6000"/>
      <c r="Z6" s="6000"/>
      <c r="AA6" s="6007"/>
      <c r="AB6" s="5999"/>
    </row>
    <row r="7" spans="1:32" ht="18" customHeight="1">
      <c r="A7" s="6001" t="s">
        <v>32</v>
      </c>
      <c r="B7" s="5997" t="s">
        <v>33</v>
      </c>
      <c r="C7" s="6004"/>
      <c r="D7" s="6005"/>
      <c r="E7" s="5997" t="s">
        <v>33</v>
      </c>
      <c r="F7" s="6000"/>
      <c r="G7" s="6000"/>
      <c r="H7" s="5997" t="s">
        <v>33</v>
      </c>
      <c r="I7" s="6000"/>
      <c r="J7" s="5999"/>
      <c r="K7" s="5997" t="s">
        <v>33</v>
      </c>
      <c r="L7" s="6000"/>
      <c r="M7" s="5999"/>
      <c r="N7" s="5997" t="s">
        <v>33</v>
      </c>
      <c r="O7" s="6000"/>
      <c r="P7" s="5999"/>
      <c r="Q7" s="6008" t="s">
        <v>34</v>
      </c>
      <c r="R7" s="6000"/>
      <c r="S7" s="6000"/>
      <c r="T7" s="5997" t="s">
        <v>35</v>
      </c>
      <c r="U7" s="6000"/>
      <c r="V7" s="5999"/>
      <c r="W7" s="6000"/>
      <c r="X7" s="6000"/>
      <c r="Y7" s="6000"/>
      <c r="Z7" s="6000"/>
      <c r="AA7" s="6007"/>
      <c r="AB7" s="5999"/>
    </row>
    <row r="8" spans="1:32" ht="18" customHeight="1"/>
    <row r="9" spans="1:32" ht="18" customHeight="1">
      <c r="A9" s="361" t="s">
        <v>617</v>
      </c>
      <c r="B9" s="373">
        <v>1</v>
      </c>
      <c r="C9" s="373">
        <v>2</v>
      </c>
      <c r="D9" s="373">
        <v>3</v>
      </c>
      <c r="E9" s="372">
        <v>4</v>
      </c>
      <c r="F9" s="372">
        <v>5</v>
      </c>
      <c r="G9" s="373">
        <v>6</v>
      </c>
      <c r="H9" s="373">
        <v>7</v>
      </c>
      <c r="I9" s="373">
        <v>8</v>
      </c>
      <c r="J9" s="373">
        <v>9</v>
      </c>
      <c r="K9" s="373">
        <v>10</v>
      </c>
      <c r="L9" s="372">
        <v>11</v>
      </c>
      <c r="M9" s="372">
        <v>12</v>
      </c>
      <c r="N9" s="373">
        <v>13</v>
      </c>
      <c r="O9" s="373">
        <v>14</v>
      </c>
      <c r="P9" s="373">
        <v>15</v>
      </c>
      <c r="Q9" s="373">
        <v>16</v>
      </c>
      <c r="R9" s="373">
        <v>17</v>
      </c>
      <c r="S9" s="372">
        <v>18</v>
      </c>
      <c r="T9" s="372">
        <v>19</v>
      </c>
      <c r="U9" s="373">
        <v>20</v>
      </c>
      <c r="V9" s="373">
        <v>21</v>
      </c>
      <c r="W9" s="373">
        <v>22</v>
      </c>
      <c r="X9" s="373">
        <v>23</v>
      </c>
      <c r="Y9" s="373">
        <v>24</v>
      </c>
      <c r="Z9" s="372">
        <v>25</v>
      </c>
      <c r="AA9" s="372">
        <v>26</v>
      </c>
      <c r="AB9" s="373">
        <v>27</v>
      </c>
      <c r="AC9" s="373">
        <v>28</v>
      </c>
      <c r="AD9" s="373">
        <v>29</v>
      </c>
      <c r="AE9" s="373">
        <v>30</v>
      </c>
      <c r="AF9" s="838">
        <v>31</v>
      </c>
    </row>
    <row r="10" spans="1:32" ht="18" customHeight="1">
      <c r="A10" s="364" t="s">
        <v>39</v>
      </c>
      <c r="B10" s="339" t="s">
        <v>40</v>
      </c>
      <c r="C10" s="339" t="s">
        <v>40</v>
      </c>
      <c r="D10" s="339" t="s">
        <v>40</v>
      </c>
      <c r="E10" s="339"/>
      <c r="F10" s="339"/>
      <c r="G10" s="339" t="s">
        <v>40</v>
      </c>
      <c r="H10" s="339" t="s">
        <v>40</v>
      </c>
      <c r="I10" s="339" t="s">
        <v>40</v>
      </c>
      <c r="J10" s="339" t="s">
        <v>40</v>
      </c>
      <c r="K10" s="339" t="s">
        <v>40</v>
      </c>
      <c r="L10" s="345"/>
      <c r="M10" s="344"/>
      <c r="N10" s="339" t="s">
        <v>40</v>
      </c>
      <c r="O10" s="339" t="s">
        <v>40</v>
      </c>
      <c r="P10" s="339" t="s">
        <v>40</v>
      </c>
      <c r="Q10" s="339" t="s">
        <v>40</v>
      </c>
      <c r="R10" s="339" t="s">
        <v>40</v>
      </c>
      <c r="S10" s="345"/>
      <c r="T10" s="344"/>
      <c r="U10" s="339" t="s">
        <v>40</v>
      </c>
      <c r="V10" s="339" t="s">
        <v>40</v>
      </c>
      <c r="W10" s="339" t="s">
        <v>40</v>
      </c>
      <c r="X10" s="339" t="s">
        <v>40</v>
      </c>
      <c r="Y10" s="339" t="s">
        <v>40</v>
      </c>
      <c r="Z10" s="345"/>
      <c r="AA10" s="344"/>
      <c r="AB10" s="339" t="s">
        <v>40</v>
      </c>
      <c r="AC10" s="339" t="s">
        <v>40</v>
      </c>
      <c r="AD10" s="339" t="s">
        <v>40</v>
      </c>
      <c r="AE10" s="339" t="s">
        <v>40</v>
      </c>
      <c r="AF10" s="380" t="s">
        <v>40</v>
      </c>
    </row>
    <row r="11" spans="1:32" ht="18" customHeight="1">
      <c r="A11" s="364" t="s">
        <v>41</v>
      </c>
      <c r="B11" s="339" t="s">
        <v>40</v>
      </c>
      <c r="C11" s="339" t="s">
        <v>40</v>
      </c>
      <c r="D11" s="339" t="s">
        <v>40</v>
      </c>
      <c r="E11" s="339"/>
      <c r="F11" s="339"/>
      <c r="G11" s="339" t="s">
        <v>40</v>
      </c>
      <c r="H11" s="339" t="s">
        <v>40</v>
      </c>
      <c r="I11" s="339" t="s">
        <v>40</v>
      </c>
      <c r="J11" s="339" t="s">
        <v>40</v>
      </c>
      <c r="K11" s="339" t="s">
        <v>40</v>
      </c>
      <c r="L11" s="345"/>
      <c r="M11" s="344"/>
      <c r="N11" s="339" t="s">
        <v>40</v>
      </c>
      <c r="O11" s="339" t="s">
        <v>40</v>
      </c>
      <c r="P11" s="339" t="s">
        <v>40</v>
      </c>
      <c r="Q11" s="339" t="s">
        <v>40</v>
      </c>
      <c r="R11" s="339" t="s">
        <v>40</v>
      </c>
      <c r="S11" s="345"/>
      <c r="T11" s="344"/>
      <c r="U11" s="339" t="s">
        <v>40</v>
      </c>
      <c r="V11" s="339" t="s">
        <v>40</v>
      </c>
      <c r="W11" s="339" t="s">
        <v>40</v>
      </c>
      <c r="X11" s="339" t="s">
        <v>40</v>
      </c>
      <c r="Y11" s="339" t="s">
        <v>40</v>
      </c>
      <c r="Z11" s="345"/>
      <c r="AA11" s="344"/>
      <c r="AB11" s="339" t="s">
        <v>40</v>
      </c>
      <c r="AC11" s="339" t="s">
        <v>40</v>
      </c>
      <c r="AD11" s="339" t="s">
        <v>40</v>
      </c>
      <c r="AE11" s="339" t="s">
        <v>40</v>
      </c>
      <c r="AF11" s="380" t="s">
        <v>40</v>
      </c>
    </row>
    <row r="12" spans="1:32" ht="18" customHeight="1">
      <c r="A12" s="364"/>
      <c r="B12" s="339" t="s">
        <v>40</v>
      </c>
      <c r="C12" s="339" t="s">
        <v>40</v>
      </c>
      <c r="D12" s="339" t="s">
        <v>40</v>
      </c>
      <c r="E12" s="339"/>
      <c r="F12" s="339"/>
      <c r="G12" s="339" t="s">
        <v>40</v>
      </c>
      <c r="H12" s="339" t="s">
        <v>40</v>
      </c>
      <c r="I12" s="339" t="s">
        <v>40</v>
      </c>
      <c r="J12" s="339" t="s">
        <v>40</v>
      </c>
      <c r="K12" s="339" t="s">
        <v>40</v>
      </c>
      <c r="L12" s="345"/>
      <c r="M12" s="344"/>
      <c r="N12" s="339" t="s">
        <v>40</v>
      </c>
      <c r="O12" s="339" t="s">
        <v>40</v>
      </c>
      <c r="P12" s="339" t="s">
        <v>40</v>
      </c>
      <c r="Q12" s="339" t="s">
        <v>40</v>
      </c>
      <c r="R12" s="339" t="s">
        <v>40</v>
      </c>
      <c r="S12" s="345"/>
      <c r="T12" s="344"/>
      <c r="U12" s="339" t="s">
        <v>40</v>
      </c>
      <c r="V12" s="339" t="s">
        <v>40</v>
      </c>
      <c r="W12" s="339" t="s">
        <v>40</v>
      </c>
      <c r="X12" s="339" t="s">
        <v>40</v>
      </c>
      <c r="Y12" s="339" t="s">
        <v>40</v>
      </c>
      <c r="Z12" s="345"/>
      <c r="AA12" s="344"/>
      <c r="AB12" s="339" t="s">
        <v>40</v>
      </c>
      <c r="AC12" s="339" t="s">
        <v>40</v>
      </c>
      <c r="AD12" s="339" t="s">
        <v>40</v>
      </c>
      <c r="AE12" s="339" t="s">
        <v>40</v>
      </c>
      <c r="AF12" s="380" t="s">
        <v>40</v>
      </c>
    </row>
    <row r="13" spans="1:32" ht="18" customHeight="1">
      <c r="A13" s="748" t="s">
        <v>44</v>
      </c>
      <c r="B13" s="738"/>
      <c r="C13" s="738"/>
      <c r="D13" s="738"/>
      <c r="E13" s="738"/>
      <c r="F13" s="738"/>
      <c r="G13" s="738"/>
      <c r="H13" s="738"/>
      <c r="I13" s="738"/>
      <c r="J13" s="738"/>
      <c r="K13" s="738"/>
      <c r="L13" s="738"/>
      <c r="M13" s="738"/>
      <c r="N13" s="738"/>
      <c r="O13" s="738"/>
      <c r="P13" s="738"/>
      <c r="Q13" s="738"/>
      <c r="R13" s="738"/>
      <c r="S13" s="738"/>
      <c r="T13" s="738"/>
      <c r="U13" s="738"/>
      <c r="V13" s="738"/>
      <c r="W13" s="738"/>
      <c r="X13" s="738"/>
      <c r="Y13" s="738"/>
      <c r="Z13" s="738"/>
      <c r="AA13" s="738"/>
      <c r="AB13" s="738"/>
      <c r="AC13" s="738"/>
      <c r="AD13" s="738"/>
      <c r="AE13" s="738"/>
      <c r="AF13" s="749"/>
    </row>
    <row r="14" spans="1:32" ht="18" customHeight="1">
      <c r="A14" s="364" t="s">
        <v>45</v>
      </c>
      <c r="B14" s="341" t="s">
        <v>26</v>
      </c>
      <c r="C14" s="341" t="s">
        <v>26</v>
      </c>
      <c r="D14" s="341" t="s">
        <v>26</v>
      </c>
      <c r="E14" s="341" t="s">
        <v>0</v>
      </c>
      <c r="F14" s="341"/>
      <c r="G14" s="341" t="s">
        <v>43</v>
      </c>
      <c r="H14" s="341" t="s">
        <v>43</v>
      </c>
      <c r="I14" s="341" t="s">
        <v>43</v>
      </c>
      <c r="J14" s="341" t="s">
        <v>43</v>
      </c>
      <c r="K14" s="341" t="s">
        <v>43</v>
      </c>
      <c r="L14" s="354"/>
      <c r="M14" s="341"/>
      <c r="N14" s="341" t="s">
        <v>46</v>
      </c>
      <c r="O14" s="354" t="s">
        <v>46</v>
      </c>
      <c r="P14" s="341" t="s">
        <v>46</v>
      </c>
      <c r="Q14" s="341" t="s">
        <v>46</v>
      </c>
      <c r="R14" s="341" t="s">
        <v>46</v>
      </c>
      <c r="S14" s="341" t="s">
        <v>49</v>
      </c>
      <c r="T14" s="340" t="s">
        <v>49</v>
      </c>
      <c r="U14" s="341" t="s">
        <v>50</v>
      </c>
      <c r="V14" s="341" t="s">
        <v>50</v>
      </c>
      <c r="W14" s="341" t="s">
        <v>50</v>
      </c>
      <c r="X14" s="341" t="s">
        <v>50</v>
      </c>
      <c r="Y14" s="341" t="s">
        <v>50</v>
      </c>
      <c r="Z14" s="341"/>
      <c r="AA14" s="341"/>
      <c r="AB14" s="341" t="s">
        <v>46</v>
      </c>
      <c r="AC14" s="341" t="s">
        <v>46</v>
      </c>
      <c r="AD14" s="341" t="s">
        <v>46</v>
      </c>
      <c r="AE14" s="341" t="s">
        <v>46</v>
      </c>
      <c r="AF14" s="381" t="s">
        <v>46</v>
      </c>
    </row>
    <row r="15" spans="1:32" ht="18" customHeight="1">
      <c r="A15" s="364" t="s">
        <v>51</v>
      </c>
      <c r="B15" s="320" t="s">
        <v>43</v>
      </c>
      <c r="C15" s="320" t="s">
        <v>43</v>
      </c>
      <c r="D15" s="320" t="s">
        <v>43</v>
      </c>
      <c r="E15" s="320"/>
      <c r="F15" s="320"/>
      <c r="G15" s="320" t="s">
        <v>46</v>
      </c>
      <c r="H15" s="320" t="s">
        <v>46</v>
      </c>
      <c r="I15" s="320" t="s">
        <v>46</v>
      </c>
      <c r="J15" s="320" t="s">
        <v>46</v>
      </c>
      <c r="K15" s="320" t="s">
        <v>46</v>
      </c>
      <c r="L15" s="320" t="s">
        <v>49</v>
      </c>
      <c r="M15" s="320" t="s">
        <v>49</v>
      </c>
      <c r="N15" s="320" t="s">
        <v>50</v>
      </c>
      <c r="O15" s="320" t="s">
        <v>50</v>
      </c>
      <c r="P15" s="320" t="s">
        <v>50</v>
      </c>
      <c r="Q15" s="320" t="s">
        <v>50</v>
      </c>
      <c r="R15" s="320" t="s">
        <v>50</v>
      </c>
      <c r="S15" s="343"/>
      <c r="T15" s="343"/>
      <c r="U15" s="320" t="s">
        <v>46</v>
      </c>
      <c r="V15" s="320" t="s">
        <v>46</v>
      </c>
      <c r="W15" s="320" t="s">
        <v>46</v>
      </c>
      <c r="X15" s="320" t="s">
        <v>46</v>
      </c>
      <c r="Y15" s="320" t="s">
        <v>46</v>
      </c>
      <c r="Z15" s="320" t="s">
        <v>47</v>
      </c>
      <c r="AA15" s="320" t="s">
        <v>47</v>
      </c>
      <c r="AB15" s="320" t="s">
        <v>26</v>
      </c>
      <c r="AC15" s="320" t="s">
        <v>26</v>
      </c>
      <c r="AD15" s="320" t="s">
        <v>26</v>
      </c>
      <c r="AE15" s="320" t="s">
        <v>26</v>
      </c>
      <c r="AF15" s="399" t="s">
        <v>26</v>
      </c>
    </row>
    <row r="16" spans="1:32" ht="18" customHeight="1">
      <c r="A16" s="364" t="s">
        <v>54</v>
      </c>
      <c r="B16" s="321" t="s">
        <v>46</v>
      </c>
      <c r="C16" s="321" t="s">
        <v>46</v>
      </c>
      <c r="D16" s="321" t="s">
        <v>46</v>
      </c>
      <c r="E16" s="321" t="s">
        <v>49</v>
      </c>
      <c r="F16" s="321" t="s">
        <v>49</v>
      </c>
      <c r="G16" s="368" t="s">
        <v>50</v>
      </c>
      <c r="H16" s="340" t="s">
        <v>50</v>
      </c>
      <c r="I16" s="340" t="s">
        <v>50</v>
      </c>
      <c r="J16" s="340" t="s">
        <v>50</v>
      </c>
      <c r="K16" s="341" t="s">
        <v>50</v>
      </c>
      <c r="L16" s="340"/>
      <c r="M16" s="341"/>
      <c r="N16" s="341" t="s">
        <v>46</v>
      </c>
      <c r="O16" s="340" t="s">
        <v>46</v>
      </c>
      <c r="P16" s="341" t="s">
        <v>46</v>
      </c>
      <c r="Q16" s="341" t="s">
        <v>46</v>
      </c>
      <c r="R16" s="341" t="s">
        <v>46</v>
      </c>
      <c r="S16" s="341" t="s">
        <v>47</v>
      </c>
      <c r="T16" s="341" t="s">
        <v>47</v>
      </c>
      <c r="U16" s="341" t="s">
        <v>26</v>
      </c>
      <c r="V16" s="341" t="s">
        <v>26</v>
      </c>
      <c r="W16" s="320" t="s">
        <v>26</v>
      </c>
      <c r="X16" s="320" t="s">
        <v>26</v>
      </c>
      <c r="Y16" s="340" t="s">
        <v>26</v>
      </c>
      <c r="Z16" s="340"/>
      <c r="AA16" s="340"/>
      <c r="AB16" s="341" t="s">
        <v>43</v>
      </c>
      <c r="AC16" s="341" t="s">
        <v>43</v>
      </c>
      <c r="AD16" s="341" t="s">
        <v>43</v>
      </c>
      <c r="AE16" s="341" t="s">
        <v>43</v>
      </c>
      <c r="AF16" s="381" t="s">
        <v>43</v>
      </c>
    </row>
    <row r="17" spans="1:32" ht="18" customHeight="1">
      <c r="A17" s="364" t="s">
        <v>56</v>
      </c>
      <c r="B17" s="321" t="s">
        <v>50</v>
      </c>
      <c r="C17" s="321" t="s">
        <v>50</v>
      </c>
      <c r="D17" s="321" t="s">
        <v>50</v>
      </c>
      <c r="E17" s="321"/>
      <c r="F17" s="321"/>
      <c r="G17" s="341" t="s">
        <v>46</v>
      </c>
      <c r="H17" s="341" t="s">
        <v>46</v>
      </c>
      <c r="I17" s="341" t="s">
        <v>46</v>
      </c>
      <c r="J17" s="342" t="s">
        <v>46</v>
      </c>
      <c r="K17" s="341" t="s">
        <v>46</v>
      </c>
      <c r="L17" s="354" t="s">
        <v>47</v>
      </c>
      <c r="M17" s="344" t="s">
        <v>47</v>
      </c>
      <c r="N17" s="341" t="s">
        <v>26</v>
      </c>
      <c r="O17" s="354" t="s">
        <v>26</v>
      </c>
      <c r="P17" s="344" t="s">
        <v>26</v>
      </c>
      <c r="Q17" s="341" t="s">
        <v>26</v>
      </c>
      <c r="R17" s="344" t="s">
        <v>26</v>
      </c>
      <c r="S17" s="340"/>
      <c r="T17" s="340"/>
      <c r="U17" s="341" t="s">
        <v>43</v>
      </c>
      <c r="V17" s="340" t="s">
        <v>43</v>
      </c>
      <c r="W17" s="340" t="s">
        <v>43</v>
      </c>
      <c r="X17" s="341" t="s">
        <v>43</v>
      </c>
      <c r="Y17" s="340" t="s">
        <v>43</v>
      </c>
      <c r="Z17" s="340"/>
      <c r="AA17" s="340"/>
      <c r="AB17" s="340" t="s">
        <v>46</v>
      </c>
      <c r="AC17" s="340" t="s">
        <v>46</v>
      </c>
      <c r="AD17" s="320" t="s">
        <v>46</v>
      </c>
      <c r="AE17" s="320" t="s">
        <v>46</v>
      </c>
      <c r="AF17" s="399" t="s">
        <v>46</v>
      </c>
    </row>
    <row r="18" spans="1:32" ht="18" customHeight="1">
      <c r="A18" s="364" t="s">
        <v>472</v>
      </c>
      <c r="B18" s="341" t="s">
        <v>46</v>
      </c>
      <c r="C18" s="342" t="s">
        <v>46</v>
      </c>
      <c r="D18" s="341" t="s">
        <v>46</v>
      </c>
      <c r="E18" s="343" t="s">
        <v>47</v>
      </c>
      <c r="F18" s="343" t="s">
        <v>47</v>
      </c>
      <c r="G18" s="370" t="s">
        <v>26</v>
      </c>
      <c r="H18" s="370" t="s">
        <v>26</v>
      </c>
      <c r="I18" s="370" t="s">
        <v>26</v>
      </c>
      <c r="J18" s="370" t="s">
        <v>26</v>
      </c>
      <c r="K18" s="370" t="s">
        <v>26</v>
      </c>
      <c r="L18" s="341"/>
      <c r="M18" s="341"/>
      <c r="N18" s="341" t="s">
        <v>43</v>
      </c>
      <c r="O18" s="341" t="s">
        <v>43</v>
      </c>
      <c r="P18" s="354" t="s">
        <v>43</v>
      </c>
      <c r="Q18" s="341" t="s">
        <v>43</v>
      </c>
      <c r="R18" s="341" t="s">
        <v>43</v>
      </c>
      <c r="S18" s="343"/>
      <c r="T18" s="341"/>
      <c r="U18" s="341" t="s">
        <v>46</v>
      </c>
      <c r="V18" s="339" t="s">
        <v>46</v>
      </c>
      <c r="W18" s="319" t="s">
        <v>46</v>
      </c>
      <c r="X18" s="339" t="s">
        <v>46</v>
      </c>
      <c r="Y18" s="339" t="s">
        <v>46</v>
      </c>
      <c r="Z18" s="341" t="s">
        <v>49</v>
      </c>
      <c r="AA18" s="340" t="s">
        <v>49</v>
      </c>
      <c r="AB18" s="341" t="s">
        <v>50</v>
      </c>
      <c r="AC18" s="341" t="s">
        <v>50</v>
      </c>
      <c r="AD18" s="369" t="s">
        <v>50</v>
      </c>
      <c r="AE18" s="369" t="s">
        <v>50</v>
      </c>
      <c r="AF18" s="839" t="s">
        <v>50</v>
      </c>
    </row>
    <row r="19" spans="1:32" ht="18" customHeight="1">
      <c r="A19" s="364" t="s">
        <v>97</v>
      </c>
      <c r="B19" s="344" t="s">
        <v>40</v>
      </c>
      <c r="C19" s="341" t="s">
        <v>40</v>
      </c>
      <c r="D19" s="341" t="s">
        <v>40</v>
      </c>
      <c r="E19" s="341"/>
      <c r="F19" s="341"/>
      <c r="G19" s="340" t="s">
        <v>40</v>
      </c>
      <c r="H19" s="340" t="s">
        <v>40</v>
      </c>
      <c r="I19" s="341" t="s">
        <v>40</v>
      </c>
      <c r="J19" s="340" t="s">
        <v>40</v>
      </c>
      <c r="K19" s="340" t="s">
        <v>40</v>
      </c>
      <c r="L19" s="341"/>
      <c r="M19" s="340"/>
      <c r="N19" s="340" t="s">
        <v>40</v>
      </c>
      <c r="O19" s="340" t="s">
        <v>40</v>
      </c>
      <c r="P19" s="340" t="s">
        <v>40</v>
      </c>
      <c r="Q19" s="340" t="s">
        <v>40</v>
      </c>
      <c r="R19" s="320" t="s">
        <v>40</v>
      </c>
      <c r="S19" s="320"/>
      <c r="T19" s="341"/>
      <c r="U19" s="341" t="s">
        <v>40</v>
      </c>
      <c r="V19" s="341" t="s">
        <v>40</v>
      </c>
      <c r="W19" s="341" t="s">
        <v>40</v>
      </c>
      <c r="X19" s="341" t="s">
        <v>40</v>
      </c>
      <c r="Y19" s="341" t="s">
        <v>40</v>
      </c>
      <c r="Z19" s="342"/>
      <c r="AA19" s="341"/>
      <c r="AB19" s="354" t="s">
        <v>40</v>
      </c>
      <c r="AC19" s="344" t="s">
        <v>40</v>
      </c>
      <c r="AD19" s="341" t="s">
        <v>40</v>
      </c>
      <c r="AE19" s="344" t="s">
        <v>40</v>
      </c>
      <c r="AF19" s="375" t="s">
        <v>40</v>
      </c>
    </row>
    <row r="20" spans="1:32" ht="18" customHeight="1">
      <c r="A20" s="748" t="s">
        <v>58</v>
      </c>
      <c r="B20" s="747"/>
      <c r="C20" s="747"/>
      <c r="D20" s="747"/>
      <c r="E20" s="747"/>
      <c r="F20" s="747"/>
      <c r="G20" s="747"/>
      <c r="H20" s="747"/>
      <c r="I20" s="747"/>
      <c r="J20" s="747"/>
      <c r="K20" s="747"/>
      <c r="L20" s="747"/>
      <c r="M20" s="747"/>
      <c r="N20" s="747"/>
      <c r="O20" s="747"/>
      <c r="P20" s="747"/>
      <c r="Q20" s="747"/>
      <c r="R20" s="747"/>
      <c r="S20" s="747"/>
      <c r="T20" s="747"/>
      <c r="U20" s="747"/>
      <c r="V20" s="747"/>
      <c r="W20" s="747"/>
      <c r="X20" s="747"/>
      <c r="Y20" s="747"/>
      <c r="Z20" s="747"/>
      <c r="AA20" s="747"/>
      <c r="AB20" s="747"/>
      <c r="AC20" s="747"/>
      <c r="AD20" s="747"/>
      <c r="AE20" s="747"/>
      <c r="AF20" s="752"/>
    </row>
    <row r="21" spans="1:32" ht="18" customHeight="1">
      <c r="A21" s="364" t="s">
        <v>59</v>
      </c>
      <c r="B21" s="339" t="s">
        <v>40</v>
      </c>
      <c r="C21" s="339" t="s">
        <v>40</v>
      </c>
      <c r="D21" s="339" t="s">
        <v>40</v>
      </c>
      <c r="E21" s="339"/>
      <c r="F21" s="339"/>
      <c r="G21" s="339" t="s">
        <v>40</v>
      </c>
      <c r="H21" s="339" t="s">
        <v>40</v>
      </c>
      <c r="I21" s="339" t="s">
        <v>40</v>
      </c>
      <c r="J21" s="339" t="s">
        <v>40</v>
      </c>
      <c r="K21" s="339" t="s">
        <v>40</v>
      </c>
      <c r="L21" s="345"/>
      <c r="M21" s="344"/>
      <c r="N21" s="339" t="s">
        <v>40</v>
      </c>
      <c r="O21" s="339" t="s">
        <v>40</v>
      </c>
      <c r="P21" s="339" t="s">
        <v>40</v>
      </c>
      <c r="Q21" s="339" t="s">
        <v>40</v>
      </c>
      <c r="R21" s="339" t="s">
        <v>40</v>
      </c>
      <c r="S21" s="345"/>
      <c r="T21" s="344"/>
      <c r="U21" s="339" t="s">
        <v>40</v>
      </c>
      <c r="V21" s="339" t="s">
        <v>40</v>
      </c>
      <c r="W21" s="339" t="s">
        <v>40</v>
      </c>
      <c r="X21" s="339" t="s">
        <v>40</v>
      </c>
      <c r="Y21" s="339" t="s">
        <v>40</v>
      </c>
      <c r="Z21" s="345"/>
      <c r="AA21" s="344"/>
      <c r="AB21" s="339" t="s">
        <v>40</v>
      </c>
      <c r="AC21" s="339" t="s">
        <v>40</v>
      </c>
      <c r="AD21" s="339" t="s">
        <v>40</v>
      </c>
      <c r="AE21" s="339" t="s">
        <v>40</v>
      </c>
      <c r="AF21" s="380" t="s">
        <v>40</v>
      </c>
    </row>
    <row r="22" spans="1:32" ht="18" customHeight="1">
      <c r="A22" s="364" t="s">
        <v>364</v>
      </c>
      <c r="B22" s="339" t="s">
        <v>40</v>
      </c>
      <c r="C22" s="339" t="s">
        <v>40</v>
      </c>
      <c r="D22" s="339" t="s">
        <v>40</v>
      </c>
      <c r="E22" s="339"/>
      <c r="F22" s="339"/>
      <c r="G22" s="339" t="s">
        <v>40</v>
      </c>
      <c r="H22" s="339" t="s">
        <v>40</v>
      </c>
      <c r="I22" s="339" t="s">
        <v>40</v>
      </c>
      <c r="J22" s="339" t="s">
        <v>40</v>
      </c>
      <c r="K22" s="339" t="s">
        <v>40</v>
      </c>
      <c r="L22" s="345"/>
      <c r="M22" s="344"/>
      <c r="N22" s="339" t="s">
        <v>40</v>
      </c>
      <c r="O22" s="339" t="s">
        <v>40</v>
      </c>
      <c r="P22" s="339" t="s">
        <v>40</v>
      </c>
      <c r="Q22" s="339" t="s">
        <v>40</v>
      </c>
      <c r="R22" s="339" t="s">
        <v>40</v>
      </c>
      <c r="S22" s="345"/>
      <c r="T22" s="344"/>
      <c r="U22" s="339" t="s">
        <v>40</v>
      </c>
      <c r="V22" s="339" t="s">
        <v>40</v>
      </c>
      <c r="W22" s="339" t="s">
        <v>40</v>
      </c>
      <c r="X22" s="339" t="s">
        <v>40</v>
      </c>
      <c r="Y22" s="339" t="s">
        <v>40</v>
      </c>
      <c r="Z22" s="345"/>
      <c r="AA22" s="344"/>
      <c r="AB22" s="339" t="s">
        <v>40</v>
      </c>
      <c r="AC22" s="339" t="s">
        <v>40</v>
      </c>
      <c r="AD22" s="339" t="s">
        <v>40</v>
      </c>
      <c r="AE22" s="339" t="s">
        <v>40</v>
      </c>
      <c r="AF22" s="380" t="s">
        <v>40</v>
      </c>
    </row>
    <row r="23" spans="1:32" ht="18" customHeight="1">
      <c r="A23" s="364" t="s">
        <v>522</v>
      </c>
      <c r="B23" s="339" t="s">
        <v>40</v>
      </c>
      <c r="C23" s="339" t="s">
        <v>40</v>
      </c>
      <c r="D23" s="339" t="s">
        <v>40</v>
      </c>
      <c r="E23" s="339"/>
      <c r="F23" s="339"/>
      <c r="G23" s="339" t="s">
        <v>40</v>
      </c>
      <c r="H23" s="339" t="s">
        <v>40</v>
      </c>
      <c r="I23" s="339" t="s">
        <v>40</v>
      </c>
      <c r="J23" s="339" t="s">
        <v>40</v>
      </c>
      <c r="K23" s="339" t="s">
        <v>40</v>
      </c>
      <c r="L23" s="345"/>
      <c r="M23" s="344"/>
      <c r="N23" s="339" t="s">
        <v>40</v>
      </c>
      <c r="O23" s="339" t="s">
        <v>40</v>
      </c>
      <c r="P23" s="339" t="s">
        <v>40</v>
      </c>
      <c r="Q23" s="339" t="s">
        <v>40</v>
      </c>
      <c r="R23" s="339" t="s">
        <v>40</v>
      </c>
      <c r="S23" s="345"/>
      <c r="T23" s="344"/>
      <c r="U23" s="339" t="s">
        <v>40</v>
      </c>
      <c r="V23" s="339" t="s">
        <v>40</v>
      </c>
      <c r="W23" s="339" t="s">
        <v>40</v>
      </c>
      <c r="X23" s="339" t="s">
        <v>40</v>
      </c>
      <c r="Y23" s="339" t="s">
        <v>40</v>
      </c>
      <c r="Z23" s="345"/>
      <c r="AA23" s="344"/>
      <c r="AB23" s="339" t="s">
        <v>40</v>
      </c>
      <c r="AC23" s="339" t="s">
        <v>40</v>
      </c>
      <c r="AD23" s="339" t="s">
        <v>40</v>
      </c>
      <c r="AE23" s="339" t="s">
        <v>40</v>
      </c>
      <c r="AF23" s="380" t="s">
        <v>40</v>
      </c>
    </row>
    <row r="24" spans="1:32" ht="18" customHeight="1">
      <c r="A24" s="364" t="s">
        <v>88</v>
      </c>
      <c r="B24" s="345" t="s">
        <v>40</v>
      </c>
      <c r="C24" s="339" t="s">
        <v>40</v>
      </c>
      <c r="D24" s="339" t="s">
        <v>40</v>
      </c>
      <c r="E24" s="339"/>
      <c r="F24" s="320"/>
      <c r="G24" s="320" t="s">
        <v>40</v>
      </c>
      <c r="H24" s="339" t="s">
        <v>40</v>
      </c>
      <c r="I24" s="345" t="s">
        <v>40</v>
      </c>
      <c r="J24" s="346" t="s">
        <v>40</v>
      </c>
      <c r="K24" s="339" t="s">
        <v>40</v>
      </c>
      <c r="L24" s="339"/>
      <c r="M24" s="320"/>
      <c r="N24" s="320" t="s">
        <v>40</v>
      </c>
      <c r="O24" s="339" t="s">
        <v>40</v>
      </c>
      <c r="P24" s="339" t="s">
        <v>40</v>
      </c>
      <c r="Q24" s="339" t="s">
        <v>40</v>
      </c>
      <c r="R24" s="339" t="s">
        <v>40</v>
      </c>
      <c r="S24" s="339"/>
      <c r="T24" s="320"/>
      <c r="U24" s="320" t="s">
        <v>40</v>
      </c>
      <c r="V24" s="320" t="s">
        <v>40</v>
      </c>
      <c r="W24" s="345" t="s">
        <v>40</v>
      </c>
      <c r="X24" s="339" t="s">
        <v>40</v>
      </c>
      <c r="Y24" s="339" t="s">
        <v>40</v>
      </c>
      <c r="Z24" s="339"/>
      <c r="AA24" s="319"/>
      <c r="AB24" s="320" t="s">
        <v>40</v>
      </c>
      <c r="AC24" s="339" t="s">
        <v>40</v>
      </c>
      <c r="AD24" s="345" t="s">
        <v>40</v>
      </c>
      <c r="AE24" s="339" t="s">
        <v>40</v>
      </c>
      <c r="AF24" s="380" t="s">
        <v>40</v>
      </c>
    </row>
    <row r="25" spans="1:32" ht="15">
      <c r="A25" s="461" t="s">
        <v>619</v>
      </c>
      <c r="B25" s="737"/>
      <c r="C25" s="737"/>
      <c r="D25" s="737"/>
      <c r="E25" s="737"/>
      <c r="F25" s="737"/>
      <c r="G25" s="737"/>
      <c r="H25" s="737"/>
      <c r="I25" s="737"/>
      <c r="J25" s="737"/>
      <c r="K25" s="737"/>
      <c r="L25" s="737"/>
      <c r="M25" s="737"/>
      <c r="N25" s="737"/>
      <c r="O25" s="737"/>
      <c r="P25" s="737"/>
      <c r="Q25" s="737"/>
      <c r="R25" s="737"/>
      <c r="S25" s="737"/>
      <c r="T25" s="737"/>
      <c r="U25" s="737"/>
      <c r="V25" s="737"/>
      <c r="W25" s="737"/>
      <c r="X25" s="737"/>
      <c r="Y25" s="737"/>
      <c r="Z25" s="737"/>
      <c r="AA25" s="737"/>
      <c r="AB25" s="737"/>
      <c r="AC25" s="737"/>
      <c r="AD25" s="737"/>
      <c r="AE25" s="737"/>
      <c r="AF25" s="786"/>
    </row>
    <row r="26" spans="1:32">
      <c r="A26" s="364" t="s">
        <v>297</v>
      </c>
      <c r="B26" s="343"/>
      <c r="C26" s="343"/>
      <c r="D26" s="343"/>
      <c r="E26" s="343"/>
      <c r="F26" s="343"/>
      <c r="G26" s="343"/>
      <c r="H26" s="343"/>
      <c r="I26" s="343"/>
      <c r="J26" s="343"/>
      <c r="K26" s="343"/>
      <c r="L26" s="343"/>
      <c r="M26" s="343"/>
      <c r="N26" s="343"/>
      <c r="O26" s="343"/>
      <c r="P26" s="343"/>
      <c r="Q26" s="343"/>
      <c r="R26" s="343"/>
      <c r="S26" s="343"/>
      <c r="T26" s="343"/>
      <c r="U26" s="343"/>
      <c r="V26" s="343"/>
      <c r="W26" s="343"/>
      <c r="X26" s="343"/>
      <c r="Y26" s="343"/>
      <c r="Z26" s="343"/>
      <c r="AA26" s="343"/>
      <c r="AB26" s="343"/>
      <c r="AC26" s="343"/>
      <c r="AD26" s="343"/>
      <c r="AE26" s="343"/>
      <c r="AF26" s="357"/>
    </row>
    <row r="27" spans="1:32" ht="15">
      <c r="A27" s="840" t="s">
        <v>620</v>
      </c>
      <c r="B27" s="737"/>
      <c r="C27" s="737"/>
      <c r="D27" s="737"/>
      <c r="E27" s="737"/>
      <c r="F27" s="737"/>
      <c r="G27" s="737"/>
      <c r="H27" s="737"/>
      <c r="I27" s="737"/>
      <c r="J27" s="737"/>
      <c r="K27" s="737"/>
      <c r="L27" s="737"/>
      <c r="M27" s="737"/>
      <c r="N27" s="737"/>
      <c r="O27" s="737"/>
      <c r="P27" s="737"/>
      <c r="Q27" s="737"/>
      <c r="R27" s="737"/>
      <c r="S27" s="737"/>
      <c r="T27" s="737"/>
      <c r="U27" s="737"/>
      <c r="V27" s="737"/>
      <c r="W27" s="737"/>
      <c r="X27" s="737"/>
      <c r="Y27" s="737"/>
      <c r="Z27" s="737"/>
      <c r="AA27" s="737"/>
      <c r="AB27" s="737"/>
      <c r="AC27" s="737"/>
      <c r="AD27" s="737"/>
      <c r="AE27" s="737"/>
      <c r="AF27" s="786"/>
    </row>
    <row r="28" spans="1:32">
      <c r="A28" s="454" t="s">
        <v>65</v>
      </c>
      <c r="B28" s="359"/>
      <c r="C28" s="359"/>
      <c r="D28" s="359"/>
      <c r="E28" s="359"/>
      <c r="F28" s="359"/>
      <c r="G28" s="359"/>
      <c r="H28" s="359"/>
      <c r="I28" s="359"/>
      <c r="J28" s="359"/>
      <c r="K28" s="359"/>
      <c r="L28" s="359"/>
      <c r="M28" s="359"/>
      <c r="N28" s="359"/>
      <c r="O28" s="359"/>
      <c r="P28" s="359"/>
      <c r="Q28" s="359"/>
      <c r="R28" s="359"/>
      <c r="S28" s="359"/>
      <c r="T28" s="359"/>
      <c r="U28" s="359"/>
      <c r="V28" s="359"/>
      <c r="W28" s="359"/>
      <c r="X28" s="359"/>
      <c r="Y28" s="359"/>
      <c r="Z28" s="359"/>
      <c r="AA28" s="359"/>
      <c r="AB28" s="359"/>
      <c r="AC28" s="359"/>
      <c r="AD28" s="359"/>
      <c r="AE28" s="359"/>
      <c r="AF28" s="360"/>
    </row>
    <row r="29" spans="1:32">
      <c r="A29" s="422"/>
      <c r="B29" s="111"/>
      <c r="C29" s="111"/>
      <c r="D29" s="111"/>
      <c r="E29" s="111"/>
      <c r="F29" s="111"/>
      <c r="G29" s="111"/>
      <c r="H29" s="111"/>
      <c r="I29" s="111"/>
      <c r="J29" s="111"/>
      <c r="K29" s="111"/>
      <c r="L29" s="111"/>
      <c r="M29" s="111"/>
      <c r="N29" s="111"/>
      <c r="O29" s="111"/>
      <c r="P29" s="111"/>
      <c r="Q29" s="111"/>
      <c r="R29" s="111"/>
      <c r="S29" s="111"/>
      <c r="T29" s="111"/>
      <c r="U29" s="111"/>
      <c r="V29" s="111"/>
      <c r="W29" s="111"/>
      <c r="X29" s="111"/>
      <c r="Y29" s="111"/>
      <c r="Z29" s="111"/>
      <c r="AA29" s="111"/>
      <c r="AB29" s="111"/>
      <c r="AC29" s="111"/>
      <c r="AD29" s="111"/>
      <c r="AE29" s="111"/>
      <c r="AF29" s="111"/>
    </row>
    <row r="30" spans="1:32" ht="15">
      <c r="A30" s="362" t="s">
        <v>584</v>
      </c>
      <c r="B30" s="872">
        <v>1</v>
      </c>
      <c r="C30" s="872">
        <v>2</v>
      </c>
      <c r="D30" s="872">
        <v>3</v>
      </c>
      <c r="E30" s="866">
        <v>4</v>
      </c>
      <c r="F30" s="866">
        <v>5</v>
      </c>
      <c r="G30" s="872">
        <v>6</v>
      </c>
      <c r="H30" s="872">
        <v>7</v>
      </c>
      <c r="I30" s="872">
        <v>8</v>
      </c>
      <c r="J30" s="872">
        <v>9</v>
      </c>
      <c r="K30" s="872">
        <v>10</v>
      </c>
      <c r="L30" s="866">
        <v>11</v>
      </c>
      <c r="M30" s="866">
        <v>12</v>
      </c>
      <c r="N30" s="872">
        <v>13</v>
      </c>
      <c r="O30" s="872">
        <v>14</v>
      </c>
      <c r="P30" s="872">
        <v>15</v>
      </c>
      <c r="Q30" s="872">
        <v>16</v>
      </c>
      <c r="R30" s="872">
        <v>17</v>
      </c>
      <c r="S30" s="866">
        <v>18</v>
      </c>
      <c r="T30" s="866">
        <v>19</v>
      </c>
      <c r="U30" s="872">
        <v>20</v>
      </c>
      <c r="V30" s="872">
        <v>21</v>
      </c>
      <c r="W30" s="872">
        <v>22</v>
      </c>
      <c r="X30" s="872">
        <v>23</v>
      </c>
      <c r="Y30" s="866">
        <v>24</v>
      </c>
      <c r="Z30" s="866">
        <v>25</v>
      </c>
      <c r="AA30" s="872">
        <v>26</v>
      </c>
      <c r="AB30" s="872">
        <v>27</v>
      </c>
      <c r="AC30" s="872">
        <v>28</v>
      </c>
      <c r="AD30" s="872">
        <v>29</v>
      </c>
      <c r="AE30" s="872">
        <v>30</v>
      </c>
      <c r="AF30" s="874">
        <v>31</v>
      </c>
    </row>
    <row r="31" spans="1:32">
      <c r="A31" s="356"/>
      <c r="B31" s="343"/>
      <c r="C31" s="343"/>
      <c r="D31" s="343"/>
      <c r="E31" s="343"/>
      <c r="F31" s="343"/>
      <c r="G31" s="343"/>
      <c r="H31" s="343"/>
      <c r="I31" s="343"/>
      <c r="J31" s="343"/>
      <c r="K31" s="343"/>
      <c r="L31" s="343"/>
      <c r="M31" s="343"/>
      <c r="N31" s="343"/>
      <c r="O31" s="343"/>
      <c r="P31" s="343"/>
      <c r="Q31" s="343"/>
      <c r="R31" s="343"/>
      <c r="S31" s="343"/>
      <c r="T31" s="343"/>
      <c r="U31" s="343"/>
      <c r="V31" s="343"/>
      <c r="W31" s="343"/>
      <c r="X31" s="343"/>
      <c r="Y31" s="343"/>
      <c r="Z31" s="343"/>
      <c r="AA31" s="343"/>
      <c r="AB31" s="343"/>
      <c r="AC31" s="343"/>
      <c r="AD31" s="343"/>
      <c r="AE31" s="343"/>
      <c r="AF31" s="357"/>
    </row>
    <row r="32" spans="1:32">
      <c r="A32" s="356"/>
      <c r="B32" s="343"/>
      <c r="C32" s="343"/>
      <c r="D32" s="343"/>
      <c r="E32" s="343"/>
      <c r="F32" s="343"/>
      <c r="G32" s="343"/>
      <c r="H32" s="343"/>
      <c r="I32" s="343"/>
      <c r="J32" s="343"/>
      <c r="K32" s="343"/>
      <c r="L32" s="343"/>
      <c r="M32" s="343"/>
      <c r="N32" s="343"/>
      <c r="O32" s="343"/>
      <c r="P32" s="343"/>
      <c r="Q32" s="343"/>
      <c r="R32" s="343"/>
      <c r="S32" s="343"/>
      <c r="T32" s="343"/>
      <c r="U32" s="343"/>
      <c r="V32" s="343"/>
      <c r="W32" s="343"/>
      <c r="X32" s="343"/>
      <c r="Y32" s="343"/>
      <c r="Z32" s="343"/>
      <c r="AA32" s="343"/>
      <c r="AB32" s="343"/>
      <c r="AC32" s="343"/>
      <c r="AD32" s="343"/>
      <c r="AE32" s="343"/>
      <c r="AF32" s="357"/>
    </row>
    <row r="33" spans="1:32">
      <c r="A33" s="356"/>
      <c r="B33" s="343"/>
      <c r="C33" s="343"/>
      <c r="D33" s="343"/>
      <c r="E33" s="343"/>
      <c r="F33" s="343"/>
      <c r="G33" s="343"/>
      <c r="H33" s="343"/>
      <c r="I33" s="343"/>
      <c r="J33" s="343"/>
      <c r="K33" s="343"/>
      <c r="L33" s="343"/>
      <c r="M33" s="343"/>
      <c r="N33" s="343"/>
      <c r="O33" s="343"/>
      <c r="P33" s="343"/>
      <c r="Q33" s="343"/>
      <c r="R33" s="343"/>
      <c r="S33" s="343"/>
      <c r="T33" s="343"/>
      <c r="U33" s="343"/>
      <c r="V33" s="343"/>
      <c r="W33" s="343"/>
      <c r="X33" s="343"/>
      <c r="Y33" s="343"/>
      <c r="Z33" s="343"/>
      <c r="AA33" s="343"/>
      <c r="AB33" s="343"/>
      <c r="AC33" s="343"/>
      <c r="AD33" s="343"/>
      <c r="AE33" s="343"/>
      <c r="AF33" s="357"/>
    </row>
    <row r="34" spans="1:32">
      <c r="A34" s="356"/>
      <c r="B34" s="343"/>
      <c r="C34" s="343"/>
      <c r="D34" s="343"/>
      <c r="E34" s="343"/>
      <c r="F34" s="343"/>
      <c r="G34" s="343"/>
      <c r="H34" s="343"/>
      <c r="I34" s="343"/>
      <c r="J34" s="343"/>
      <c r="K34" s="343"/>
      <c r="L34" s="343"/>
      <c r="M34" s="343"/>
      <c r="N34" s="343"/>
      <c r="O34" s="343"/>
      <c r="P34" s="343"/>
      <c r="Q34" s="343"/>
      <c r="R34" s="343"/>
      <c r="S34" s="343"/>
      <c r="T34" s="343"/>
      <c r="U34" s="343"/>
      <c r="V34" s="343"/>
      <c r="W34" s="343"/>
      <c r="X34" s="343"/>
      <c r="Y34" s="343"/>
      <c r="Z34" s="343"/>
      <c r="AA34" s="343"/>
      <c r="AB34" s="343"/>
      <c r="AC34" s="343"/>
      <c r="AD34" s="343"/>
      <c r="AE34" s="343"/>
      <c r="AF34" s="357"/>
    </row>
    <row r="35" spans="1:32">
      <c r="A35" s="356"/>
      <c r="B35" s="343"/>
      <c r="C35" s="343"/>
      <c r="D35" s="343"/>
      <c r="E35" s="343"/>
      <c r="F35" s="343"/>
      <c r="G35" s="343"/>
      <c r="H35" s="343"/>
      <c r="I35" s="343"/>
      <c r="J35" s="343"/>
      <c r="K35" s="343"/>
      <c r="L35" s="343"/>
      <c r="M35" s="343"/>
      <c r="N35" s="343"/>
      <c r="O35" s="343"/>
      <c r="P35" s="343"/>
      <c r="Q35" s="343"/>
      <c r="R35" s="343"/>
      <c r="S35" s="343"/>
      <c r="T35" s="343"/>
      <c r="U35" s="343"/>
      <c r="V35" s="343"/>
      <c r="W35" s="343"/>
      <c r="X35" s="343"/>
      <c r="Y35" s="343"/>
      <c r="Z35" s="343"/>
      <c r="AA35" s="343"/>
      <c r="AB35" s="343"/>
      <c r="AC35" s="343"/>
      <c r="AD35" s="343"/>
      <c r="AE35" s="343"/>
      <c r="AF35" s="357"/>
    </row>
    <row r="36" spans="1:32">
      <c r="A36" s="358"/>
      <c r="B36" s="359"/>
      <c r="C36" s="359"/>
      <c r="D36" s="359"/>
      <c r="E36" s="359"/>
      <c r="F36" s="359"/>
      <c r="G36" s="359"/>
      <c r="H36" s="359"/>
      <c r="I36" s="359"/>
      <c r="J36" s="359"/>
      <c r="K36" s="359"/>
      <c r="L36" s="359"/>
      <c r="M36" s="359"/>
      <c r="N36" s="359"/>
      <c r="O36" s="359"/>
      <c r="P36" s="359"/>
      <c r="Q36" s="359"/>
      <c r="R36" s="359"/>
      <c r="S36" s="359"/>
      <c r="T36" s="359"/>
      <c r="U36" s="359"/>
      <c r="V36" s="359"/>
      <c r="W36" s="359"/>
      <c r="X36" s="359"/>
      <c r="Y36" s="359"/>
      <c r="Z36" s="359"/>
      <c r="AA36" s="359"/>
      <c r="AB36" s="359"/>
      <c r="AC36" s="359"/>
      <c r="AD36" s="359"/>
      <c r="AE36" s="359"/>
      <c r="AF36" s="360"/>
    </row>
    <row r="37" spans="1:32">
      <c r="A37" s="95"/>
    </row>
    <row r="38" spans="1:32" ht="18" customHeight="1">
      <c r="A38" s="96" t="s">
        <v>66</v>
      </c>
      <c r="N38" t="s">
        <v>0</v>
      </c>
      <c r="P38" t="s">
        <v>67</v>
      </c>
      <c r="Q38" t="s">
        <v>0</v>
      </c>
      <c r="R38" t="s">
        <v>68</v>
      </c>
    </row>
    <row r="39" spans="1:32" ht="18" customHeight="1">
      <c r="A39" s="3056" t="s">
        <v>69</v>
      </c>
      <c r="B39" s="3057"/>
      <c r="C39" s="3057"/>
      <c r="D39" s="3058" t="s">
        <v>70</v>
      </c>
      <c r="E39" s="3059"/>
      <c r="F39" s="3059"/>
      <c r="G39" s="3059"/>
      <c r="H39" s="3059"/>
      <c r="I39" s="3059"/>
      <c r="J39" s="3059"/>
      <c r="K39" s="3059"/>
      <c r="L39" s="3059"/>
      <c r="M39" s="3060" t="s">
        <v>71</v>
      </c>
      <c r="N39" s="3059"/>
      <c r="O39" s="3059"/>
      <c r="P39" s="3059"/>
      <c r="Q39" s="3059"/>
      <c r="R39" s="3059"/>
      <c r="S39" s="3061"/>
      <c r="T39" s="3062" t="s">
        <v>72</v>
      </c>
      <c r="U39" s="3062"/>
      <c r="V39" s="3062"/>
      <c r="W39" s="3062"/>
      <c r="X39" s="3062"/>
      <c r="Y39" s="3062"/>
      <c r="Z39" s="3062"/>
      <c r="AA39" s="3063" t="s">
        <v>73</v>
      </c>
      <c r="AB39" s="3064"/>
      <c r="AC39" s="3064"/>
      <c r="AD39" s="3064"/>
      <c r="AE39" s="3064"/>
    </row>
    <row r="40" spans="1:32" ht="18" customHeight="1">
      <c r="A40" s="6009" t="s">
        <v>74</v>
      </c>
      <c r="B40" s="6010"/>
      <c r="C40" s="6010"/>
      <c r="D40" s="6011" t="s">
        <v>75</v>
      </c>
      <c r="E40" s="6012"/>
      <c r="F40" s="6013"/>
      <c r="G40" s="6013"/>
      <c r="H40" s="6013"/>
      <c r="I40" s="6013"/>
      <c r="J40" s="6013"/>
      <c r="K40" s="6013"/>
      <c r="L40" s="6014"/>
      <c r="M40" s="6015" t="s">
        <v>76</v>
      </c>
      <c r="N40" s="6010"/>
      <c r="O40" s="6016"/>
      <c r="P40" s="6010"/>
      <c r="Q40" s="6010"/>
      <c r="R40" s="6010"/>
      <c r="S40" s="6017"/>
      <c r="T40" s="6011" t="s">
        <v>77</v>
      </c>
      <c r="U40" s="6013"/>
      <c r="V40" s="6012"/>
      <c r="W40" s="6013"/>
      <c r="X40" s="6013"/>
      <c r="Y40" s="6013"/>
      <c r="Z40" s="6014"/>
      <c r="AA40" s="97" t="s">
        <v>78</v>
      </c>
      <c r="AD40" s="59"/>
    </row>
    <row r="41" spans="1:32" ht="18" customHeight="1">
      <c r="A41" s="6018" t="s">
        <v>79</v>
      </c>
      <c r="B41" s="6013"/>
      <c r="C41" s="6013"/>
      <c r="D41" s="6019"/>
      <c r="E41" s="6013"/>
      <c r="F41" s="6013"/>
      <c r="G41" s="6014"/>
      <c r="H41" s="6020" t="s">
        <v>80</v>
      </c>
      <c r="I41" s="6013"/>
      <c r="J41" s="6013"/>
      <c r="K41" s="6013"/>
      <c r="L41" s="6013"/>
      <c r="M41" s="6021"/>
      <c r="N41" s="6013"/>
      <c r="O41" s="6013"/>
      <c r="P41" s="6013"/>
      <c r="Q41" s="6013"/>
      <c r="R41" s="6013"/>
      <c r="S41" s="6013"/>
      <c r="T41" s="6019"/>
      <c r="U41" s="96" t="s">
        <v>81</v>
      </c>
      <c r="AA41" s="6016"/>
      <c r="AB41" s="6010"/>
      <c r="AC41" s="6010"/>
      <c r="AD41" s="6010"/>
      <c r="AE41" s="6010"/>
    </row>
    <row r="42" spans="1:32" ht="18" customHeight="1">
      <c r="A42" s="6022" t="s">
        <v>82</v>
      </c>
      <c r="B42" s="6023"/>
      <c r="C42" s="6023"/>
      <c r="D42" s="6024"/>
      <c r="E42" s="6023"/>
      <c r="F42" s="6023"/>
      <c r="G42" s="6025"/>
      <c r="H42" s="6026" t="s">
        <v>83</v>
      </c>
      <c r="I42" s="6025"/>
      <c r="J42" s="6023"/>
      <c r="K42" s="6023"/>
      <c r="L42" s="6023"/>
      <c r="M42" s="6027"/>
      <c r="N42" s="6023"/>
      <c r="O42" s="6023"/>
      <c r="P42" s="6023"/>
      <c r="Q42" s="6028"/>
      <c r="R42" s="6028"/>
      <c r="S42" s="6028"/>
      <c r="T42" s="6024"/>
      <c r="U42" s="6029" t="s">
        <v>84</v>
      </c>
      <c r="V42" s="6023"/>
      <c r="W42" s="6023"/>
      <c r="X42" s="6023"/>
      <c r="Y42" s="6023"/>
      <c r="Z42" s="6023"/>
      <c r="AA42" s="6023"/>
      <c r="AB42" s="6023"/>
      <c r="AC42" s="6023"/>
      <c r="AD42" s="6023"/>
      <c r="AE42" s="6023"/>
    </row>
    <row r="43" spans="1:32" ht="18" customHeight="1">
      <c r="A43" s="62" t="s">
        <v>36</v>
      </c>
      <c r="AF43" s="103"/>
    </row>
    <row r="44" spans="1:32" ht="18" customHeight="1">
      <c r="A44" s="426" t="s">
        <v>523</v>
      </c>
      <c r="B44" s="2985">
        <v>1</v>
      </c>
      <c r="C44" s="2985">
        <v>2</v>
      </c>
      <c r="D44" s="2985">
        <v>3</v>
      </c>
      <c r="E44" s="2986">
        <v>4</v>
      </c>
      <c r="F44" s="2986">
        <v>5</v>
      </c>
      <c r="G44" s="2985">
        <v>6</v>
      </c>
      <c r="H44" s="2985">
        <v>7</v>
      </c>
      <c r="I44" s="2985">
        <v>8</v>
      </c>
      <c r="J44" s="2985">
        <v>9</v>
      </c>
      <c r="K44" s="2985">
        <v>10</v>
      </c>
      <c r="L44" s="2986">
        <v>11</v>
      </c>
      <c r="M44" s="2986">
        <v>12</v>
      </c>
      <c r="N44" s="2985">
        <v>13</v>
      </c>
      <c r="O44" s="2985">
        <v>14</v>
      </c>
      <c r="P44" s="2985">
        <v>15</v>
      </c>
      <c r="Q44" s="2985">
        <v>16</v>
      </c>
      <c r="R44" s="2985">
        <v>17</v>
      </c>
      <c r="S44" s="2986">
        <v>18</v>
      </c>
      <c r="T44" s="2986">
        <v>19</v>
      </c>
      <c r="U44" s="2985">
        <v>20</v>
      </c>
      <c r="V44" s="2985">
        <v>21</v>
      </c>
      <c r="W44" s="2985">
        <v>22</v>
      </c>
      <c r="X44" s="2985">
        <v>23</v>
      </c>
      <c r="Y44" s="2985">
        <v>24</v>
      </c>
      <c r="Z44" s="2986">
        <v>25</v>
      </c>
      <c r="AA44" s="2986">
        <v>26</v>
      </c>
      <c r="AB44" s="2985">
        <v>27</v>
      </c>
      <c r="AC44" s="2985">
        <v>28</v>
      </c>
      <c r="AD44" s="2985">
        <v>29</v>
      </c>
      <c r="AE44" s="2985">
        <v>30</v>
      </c>
      <c r="AF44" s="2985">
        <v>31</v>
      </c>
    </row>
    <row r="45" spans="1:32" ht="18" customHeight="1">
      <c r="A45" s="931" t="s">
        <v>85</v>
      </c>
      <c r="B45" s="3088">
        <v>7</v>
      </c>
      <c r="C45" s="3089">
        <v>7</v>
      </c>
      <c r="D45" s="3088">
        <v>7</v>
      </c>
      <c r="E45" s="3088"/>
      <c r="F45" s="3088"/>
      <c r="G45" s="3088">
        <v>4</v>
      </c>
      <c r="H45" s="3088">
        <v>4</v>
      </c>
      <c r="I45" s="6030">
        <v>4</v>
      </c>
      <c r="J45" s="3088">
        <v>4</v>
      </c>
      <c r="K45" s="3088">
        <v>4</v>
      </c>
      <c r="L45" s="3088"/>
      <c r="M45" s="3088"/>
      <c r="N45" s="3089">
        <v>3</v>
      </c>
      <c r="O45" s="3088">
        <v>3</v>
      </c>
      <c r="P45" s="3090">
        <v>3</v>
      </c>
      <c r="Q45" s="3089">
        <v>3</v>
      </c>
      <c r="R45" s="3088">
        <v>3</v>
      </c>
      <c r="S45" s="3088"/>
      <c r="T45" s="3088"/>
      <c r="U45" s="3088">
        <v>11</v>
      </c>
      <c r="V45" s="3088">
        <v>11</v>
      </c>
      <c r="W45" s="3090">
        <v>11</v>
      </c>
      <c r="X45" s="3090">
        <v>11</v>
      </c>
      <c r="Y45" s="3088">
        <v>11</v>
      </c>
      <c r="Z45" s="3088" t="s">
        <v>87</v>
      </c>
      <c r="AA45" s="3090" t="s">
        <v>87</v>
      </c>
      <c r="AB45" s="3090" t="s">
        <v>46</v>
      </c>
      <c r="AC45" s="3090" t="s">
        <v>46</v>
      </c>
      <c r="AD45" s="3088" t="s">
        <v>46</v>
      </c>
      <c r="AE45" s="3088" t="s">
        <v>46</v>
      </c>
      <c r="AF45" s="3088" t="s">
        <v>46</v>
      </c>
    </row>
    <row r="46" spans="1:32" ht="18" customHeight="1">
      <c r="A46" s="364" t="s">
        <v>177</v>
      </c>
      <c r="B46" s="6031">
        <v>8</v>
      </c>
      <c r="C46" s="6031">
        <v>8</v>
      </c>
      <c r="D46" s="6031">
        <v>8</v>
      </c>
      <c r="E46" s="6031"/>
      <c r="F46" s="6031"/>
      <c r="G46" s="6031" t="s">
        <v>46</v>
      </c>
      <c r="H46" s="6031" t="s">
        <v>46</v>
      </c>
      <c r="I46" s="6031" t="s">
        <v>46</v>
      </c>
      <c r="J46" s="6031" t="s">
        <v>46</v>
      </c>
      <c r="K46" s="6031" t="s">
        <v>46</v>
      </c>
      <c r="L46" s="6031"/>
      <c r="M46" s="6031"/>
      <c r="N46" s="6031">
        <v>1</v>
      </c>
      <c r="O46" s="6031">
        <v>1</v>
      </c>
      <c r="P46" s="6031">
        <v>1</v>
      </c>
      <c r="Q46" s="6031">
        <v>1</v>
      </c>
      <c r="R46" s="6031">
        <v>1</v>
      </c>
      <c r="S46" s="6031"/>
      <c r="T46" s="6031"/>
      <c r="U46" s="6031">
        <v>9</v>
      </c>
      <c r="V46" s="6031">
        <v>9</v>
      </c>
      <c r="W46" s="6031">
        <v>9</v>
      </c>
      <c r="X46" s="6031">
        <v>9</v>
      </c>
      <c r="Y46" s="6031">
        <v>9</v>
      </c>
      <c r="Z46" s="6031" t="s">
        <v>52</v>
      </c>
      <c r="AA46" s="6031" t="s">
        <v>53</v>
      </c>
      <c r="AB46" s="6031" t="s">
        <v>46</v>
      </c>
      <c r="AC46" s="6031" t="s">
        <v>46</v>
      </c>
      <c r="AD46" s="6031" t="s">
        <v>46</v>
      </c>
      <c r="AE46" s="6031" t="s">
        <v>46</v>
      </c>
      <c r="AF46" s="6031" t="s">
        <v>46</v>
      </c>
    </row>
    <row r="47" spans="1:32" ht="18" customHeight="1">
      <c r="A47" s="469" t="s">
        <v>90</v>
      </c>
      <c r="B47" s="6032">
        <v>6</v>
      </c>
      <c r="C47" s="6032">
        <v>6</v>
      </c>
      <c r="D47" s="6033">
        <v>6</v>
      </c>
      <c r="E47" s="6032"/>
      <c r="F47" s="6032"/>
      <c r="G47" s="6032" t="s">
        <v>46</v>
      </c>
      <c r="H47" s="6032" t="s">
        <v>46</v>
      </c>
      <c r="I47" s="6032" t="s">
        <v>46</v>
      </c>
      <c r="J47" s="6032" t="s">
        <v>46</v>
      </c>
      <c r="K47" s="6032" t="s">
        <v>46</v>
      </c>
      <c r="L47" s="6034"/>
      <c r="M47" s="6032"/>
      <c r="N47" s="6032">
        <v>5</v>
      </c>
      <c r="O47" s="6032">
        <v>5</v>
      </c>
      <c r="P47" s="6032">
        <v>5</v>
      </c>
      <c r="Q47" s="6032">
        <v>5</v>
      </c>
      <c r="R47" s="6032">
        <v>5</v>
      </c>
      <c r="S47" s="6035"/>
      <c r="T47" s="6032"/>
      <c r="U47" s="6032">
        <v>10</v>
      </c>
      <c r="V47" s="6032">
        <v>10</v>
      </c>
      <c r="W47" s="6032">
        <v>10</v>
      </c>
      <c r="X47" s="6032">
        <v>10</v>
      </c>
      <c r="Y47" s="6032">
        <v>10</v>
      </c>
      <c r="Z47" s="6032" t="s">
        <v>53</v>
      </c>
      <c r="AA47" s="6032" t="s">
        <v>53</v>
      </c>
      <c r="AB47" s="6032" t="s">
        <v>46</v>
      </c>
      <c r="AC47" s="6032" t="s">
        <v>46</v>
      </c>
      <c r="AD47" s="6032" t="s">
        <v>46</v>
      </c>
      <c r="AE47" s="6032" t="s">
        <v>46</v>
      </c>
      <c r="AF47" s="6032" t="s">
        <v>46</v>
      </c>
    </row>
    <row r="48" spans="1:32" ht="18" customHeight="1">
      <c r="A48" s="470" t="s">
        <v>92</v>
      </c>
      <c r="B48" s="2989">
        <v>4</v>
      </c>
      <c r="C48" s="2990">
        <v>4</v>
      </c>
      <c r="D48" s="2990">
        <v>4</v>
      </c>
      <c r="E48" s="2989"/>
      <c r="F48" s="2989"/>
      <c r="G48" s="3088">
        <v>3</v>
      </c>
      <c r="H48" s="3088">
        <v>3</v>
      </c>
      <c r="I48" s="3089">
        <v>3</v>
      </c>
      <c r="J48" s="3089">
        <v>3</v>
      </c>
      <c r="K48" s="3088">
        <v>3</v>
      </c>
      <c r="L48" s="3088"/>
      <c r="M48" s="3088"/>
      <c r="N48" s="3090">
        <v>11</v>
      </c>
      <c r="O48" s="3088">
        <v>11</v>
      </c>
      <c r="P48" s="3090">
        <v>11</v>
      </c>
      <c r="Q48" s="3090">
        <v>11</v>
      </c>
      <c r="R48" s="3089">
        <v>11</v>
      </c>
      <c r="S48" s="3090" t="s">
        <v>87</v>
      </c>
      <c r="T48" s="3090" t="s">
        <v>87</v>
      </c>
      <c r="U48" s="3868" t="s">
        <v>46</v>
      </c>
      <c r="V48" s="3868" t="s">
        <v>46</v>
      </c>
      <c r="W48" s="3868" t="s">
        <v>46</v>
      </c>
      <c r="X48" s="3869" t="s">
        <v>46</v>
      </c>
      <c r="Y48" s="3869" t="s">
        <v>46</v>
      </c>
      <c r="Z48" s="3869" t="s">
        <v>89</v>
      </c>
      <c r="AA48" s="3088" t="s">
        <v>89</v>
      </c>
      <c r="AB48" s="3090">
        <v>8</v>
      </c>
      <c r="AC48" s="3090">
        <v>8</v>
      </c>
      <c r="AD48" s="3088">
        <v>8</v>
      </c>
      <c r="AE48" s="3088">
        <v>8</v>
      </c>
      <c r="AF48" s="2989">
        <v>8</v>
      </c>
    </row>
    <row r="49" spans="1:32" ht="18" customHeight="1">
      <c r="A49" s="365" t="s">
        <v>243</v>
      </c>
      <c r="B49" s="6036" t="s">
        <v>46</v>
      </c>
      <c r="C49" s="6036" t="s">
        <v>46</v>
      </c>
      <c r="D49" s="6036" t="s">
        <v>46</v>
      </c>
      <c r="E49" s="6037"/>
      <c r="F49" s="6037"/>
      <c r="G49" s="6038">
        <v>1</v>
      </c>
      <c r="H49" s="6038">
        <v>1</v>
      </c>
      <c r="I49" s="6039">
        <v>1</v>
      </c>
      <c r="J49" s="6039">
        <v>1</v>
      </c>
      <c r="K49" s="6038">
        <v>1</v>
      </c>
      <c r="L49" s="6040"/>
      <c r="M49" s="6041"/>
      <c r="N49" s="6041">
        <v>9</v>
      </c>
      <c r="O49" s="6041">
        <v>9</v>
      </c>
      <c r="P49" s="6041">
        <v>9</v>
      </c>
      <c r="Q49" s="6041">
        <v>9</v>
      </c>
      <c r="R49" s="6041">
        <v>9</v>
      </c>
      <c r="S49" s="108" t="s">
        <v>52</v>
      </c>
      <c r="T49" s="6037" t="s">
        <v>53</v>
      </c>
      <c r="U49" s="6042" t="s">
        <v>46</v>
      </c>
      <c r="V49" s="6042" t="s">
        <v>46</v>
      </c>
      <c r="W49" s="6042" t="s">
        <v>46</v>
      </c>
      <c r="X49" s="6038" t="s">
        <v>46</v>
      </c>
      <c r="Y49" s="6038" t="s">
        <v>46</v>
      </c>
      <c r="Z49" s="6039" t="s">
        <v>91</v>
      </c>
      <c r="AA49" s="108" t="s">
        <v>89</v>
      </c>
      <c r="AB49" s="6038">
        <v>6</v>
      </c>
      <c r="AC49" s="6038">
        <v>6</v>
      </c>
      <c r="AD49" s="6038">
        <v>6</v>
      </c>
      <c r="AE49" s="6038">
        <v>6</v>
      </c>
      <c r="AF49" s="6036">
        <v>6</v>
      </c>
    </row>
    <row r="50" spans="1:32" ht="18" customHeight="1">
      <c r="A50" s="401" t="s">
        <v>94</v>
      </c>
      <c r="B50" s="6034" t="s">
        <v>46</v>
      </c>
      <c r="C50" s="6034" t="s">
        <v>46</v>
      </c>
      <c r="D50" s="6034" t="s">
        <v>46</v>
      </c>
      <c r="E50" s="6034"/>
      <c r="F50" s="6034"/>
      <c r="G50" s="6034">
        <v>5</v>
      </c>
      <c r="H50" s="6034">
        <v>5</v>
      </c>
      <c r="I50" s="6034">
        <v>5</v>
      </c>
      <c r="J50" s="6034">
        <v>5</v>
      </c>
      <c r="K50" s="6034">
        <v>5</v>
      </c>
      <c r="L50" s="6034"/>
      <c r="M50" s="6034"/>
      <c r="N50" s="6034">
        <v>10</v>
      </c>
      <c r="O50" s="6034">
        <v>10</v>
      </c>
      <c r="P50" s="6034">
        <v>10</v>
      </c>
      <c r="Q50" s="6034">
        <v>10</v>
      </c>
      <c r="R50" s="6034">
        <v>10</v>
      </c>
      <c r="S50" s="6034" t="s">
        <v>53</v>
      </c>
      <c r="T50" s="6034" t="s">
        <v>53</v>
      </c>
      <c r="U50" s="6034" t="s">
        <v>46</v>
      </c>
      <c r="V50" s="6034" t="s">
        <v>46</v>
      </c>
      <c r="W50" s="6034" t="s">
        <v>46</v>
      </c>
      <c r="X50" s="6034" t="s">
        <v>46</v>
      </c>
      <c r="Y50" s="6034" t="s">
        <v>46</v>
      </c>
      <c r="Z50" s="6034" t="s">
        <v>86</v>
      </c>
      <c r="AA50" s="6034" t="s">
        <v>86</v>
      </c>
      <c r="AB50" s="6034">
        <v>7</v>
      </c>
      <c r="AC50" s="6034">
        <v>7</v>
      </c>
      <c r="AD50" s="6034">
        <v>7</v>
      </c>
      <c r="AE50" s="6034">
        <v>7</v>
      </c>
      <c r="AF50" s="6034">
        <v>7</v>
      </c>
    </row>
    <row r="51" spans="1:32" ht="18" customHeight="1">
      <c r="A51" s="471" t="s">
        <v>95</v>
      </c>
      <c r="B51" s="501">
        <v>3</v>
      </c>
      <c r="C51" s="508">
        <v>3</v>
      </c>
      <c r="D51" s="504">
        <v>3</v>
      </c>
      <c r="E51" s="504"/>
      <c r="F51" s="504"/>
      <c r="G51" s="504">
        <v>11</v>
      </c>
      <c r="H51" s="504">
        <v>11</v>
      </c>
      <c r="I51" s="508">
        <v>11</v>
      </c>
      <c r="J51" s="508">
        <v>11</v>
      </c>
      <c r="K51" s="508">
        <v>11</v>
      </c>
      <c r="L51" s="508" t="s">
        <v>87</v>
      </c>
      <c r="M51" s="508" t="s">
        <v>87</v>
      </c>
      <c r="N51" s="508" t="s">
        <v>46</v>
      </c>
      <c r="O51" s="508" t="s">
        <v>46</v>
      </c>
      <c r="P51" s="508" t="s">
        <v>46</v>
      </c>
      <c r="Q51" s="504" t="s">
        <v>46</v>
      </c>
      <c r="R51" s="504" t="s">
        <v>46</v>
      </c>
      <c r="S51" s="504" t="s">
        <v>89</v>
      </c>
      <c r="T51" s="504" t="s">
        <v>89</v>
      </c>
      <c r="U51" s="508">
        <v>8</v>
      </c>
      <c r="V51" s="508">
        <v>8</v>
      </c>
      <c r="W51" s="501">
        <v>8</v>
      </c>
      <c r="X51" s="504">
        <v>8</v>
      </c>
      <c r="Y51" s="504">
        <v>8</v>
      </c>
      <c r="Z51" s="504"/>
      <c r="AA51" s="504"/>
      <c r="AB51" s="509" t="s">
        <v>46</v>
      </c>
      <c r="AC51" s="504" t="s">
        <v>46</v>
      </c>
      <c r="AD51" s="504" t="s">
        <v>46</v>
      </c>
      <c r="AE51" s="504" t="s">
        <v>46</v>
      </c>
      <c r="AF51" s="501" t="s">
        <v>46</v>
      </c>
    </row>
    <row r="52" spans="1:32" ht="18" customHeight="1">
      <c r="A52" s="364" t="s">
        <v>96</v>
      </c>
      <c r="B52" s="6043">
        <v>1</v>
      </c>
      <c r="C52" s="6043">
        <v>1</v>
      </c>
      <c r="D52" s="6043">
        <v>1</v>
      </c>
      <c r="E52" s="6043"/>
      <c r="F52" s="6043"/>
      <c r="G52" s="6043">
        <v>9</v>
      </c>
      <c r="H52" s="6043">
        <v>9</v>
      </c>
      <c r="I52" s="6043">
        <v>9</v>
      </c>
      <c r="J52" s="6043">
        <v>9</v>
      </c>
      <c r="K52" s="6043">
        <v>9</v>
      </c>
      <c r="L52" s="6043" t="s">
        <v>52</v>
      </c>
      <c r="M52" s="6043" t="s">
        <v>53</v>
      </c>
      <c r="N52" s="6043" t="s">
        <v>46</v>
      </c>
      <c r="O52" s="6043" t="s">
        <v>46</v>
      </c>
      <c r="P52" s="6043" t="s">
        <v>46</v>
      </c>
      <c r="Q52" s="6043" t="s">
        <v>46</v>
      </c>
      <c r="R52" s="6043" t="s">
        <v>46</v>
      </c>
      <c r="S52" s="6043" t="s">
        <v>91</v>
      </c>
      <c r="T52" s="6043" t="s">
        <v>89</v>
      </c>
      <c r="U52" s="6043">
        <v>6</v>
      </c>
      <c r="V52" s="6043">
        <v>6</v>
      </c>
      <c r="W52" s="6043">
        <v>6</v>
      </c>
      <c r="X52" s="6038">
        <v>6</v>
      </c>
      <c r="Y52" s="6038">
        <v>6</v>
      </c>
      <c r="Z52" s="6038"/>
      <c r="AA52" s="6038"/>
      <c r="AB52" s="6038" t="s">
        <v>46</v>
      </c>
      <c r="AC52" s="6042" t="s">
        <v>46</v>
      </c>
      <c r="AD52" s="6042" t="s">
        <v>46</v>
      </c>
      <c r="AE52" s="6041" t="s">
        <v>46</v>
      </c>
      <c r="AF52" s="6043" t="s">
        <v>46</v>
      </c>
    </row>
    <row r="53" spans="1:32" ht="18" customHeight="1">
      <c r="A53" s="469" t="s">
        <v>147</v>
      </c>
      <c r="B53" s="6044">
        <v>5</v>
      </c>
      <c r="C53" s="6044">
        <v>5</v>
      </c>
      <c r="D53" s="6032">
        <v>5</v>
      </c>
      <c r="E53" s="6032"/>
      <c r="F53" s="6032"/>
      <c r="G53" s="6032">
        <v>10</v>
      </c>
      <c r="H53" s="6032">
        <v>10</v>
      </c>
      <c r="I53" s="6044">
        <v>10</v>
      </c>
      <c r="J53" s="6032">
        <v>10</v>
      </c>
      <c r="K53" s="6045">
        <v>10</v>
      </c>
      <c r="L53" s="6032" t="s">
        <v>53</v>
      </c>
      <c r="M53" s="6045" t="s">
        <v>53</v>
      </c>
      <c r="N53" s="6045" t="s">
        <v>46</v>
      </c>
      <c r="O53" s="6045" t="s">
        <v>46</v>
      </c>
      <c r="P53" s="6032" t="s">
        <v>46</v>
      </c>
      <c r="Q53" s="6032" t="s">
        <v>46</v>
      </c>
      <c r="R53" s="6032" t="s">
        <v>46</v>
      </c>
      <c r="S53" s="6032" t="s">
        <v>86</v>
      </c>
      <c r="T53" s="6032" t="s">
        <v>86</v>
      </c>
      <c r="U53" s="6032">
        <v>7</v>
      </c>
      <c r="V53" s="6032">
        <v>7</v>
      </c>
      <c r="W53" s="6032">
        <v>7</v>
      </c>
      <c r="X53" s="6044">
        <v>7</v>
      </c>
      <c r="Y53" s="6032">
        <v>7</v>
      </c>
      <c r="Z53" s="6032"/>
      <c r="AA53" s="6032"/>
      <c r="AB53" s="6032">
        <v>4</v>
      </c>
      <c r="AC53" s="6032">
        <v>4</v>
      </c>
      <c r="AD53" s="6034">
        <v>4</v>
      </c>
      <c r="AE53" s="6032">
        <v>4</v>
      </c>
      <c r="AF53" s="6044">
        <v>4</v>
      </c>
    </row>
    <row r="54" spans="1:32" ht="18" customHeight="1">
      <c r="A54" s="473"/>
      <c r="B54" s="501">
        <v>11</v>
      </c>
      <c r="C54" s="508">
        <v>11</v>
      </c>
      <c r="D54" s="504">
        <v>11</v>
      </c>
      <c r="E54" s="504" t="s">
        <v>87</v>
      </c>
      <c r="F54" s="504" t="s">
        <v>87</v>
      </c>
      <c r="G54" s="504" t="s">
        <v>46</v>
      </c>
      <c r="H54" s="504" t="s">
        <v>46</v>
      </c>
      <c r="I54" s="508" t="s">
        <v>46</v>
      </c>
      <c r="J54" s="508" t="s">
        <v>46</v>
      </c>
      <c r="K54" s="508" t="s">
        <v>46</v>
      </c>
      <c r="L54" s="508" t="s">
        <v>89</v>
      </c>
      <c r="M54" s="508" t="s">
        <v>89</v>
      </c>
      <c r="N54" s="508">
        <v>8</v>
      </c>
      <c r="O54" s="508">
        <v>8</v>
      </c>
      <c r="P54" s="508">
        <v>8</v>
      </c>
      <c r="Q54" s="504">
        <v>8</v>
      </c>
      <c r="R54" s="504">
        <v>8</v>
      </c>
      <c r="S54" s="504"/>
      <c r="T54" s="504"/>
      <c r="U54" s="508" t="s">
        <v>46</v>
      </c>
      <c r="V54" s="508" t="s">
        <v>46</v>
      </c>
      <c r="W54" s="501" t="s">
        <v>46</v>
      </c>
      <c r="X54" s="504" t="s">
        <v>46</v>
      </c>
      <c r="Y54" s="504" t="s">
        <v>46</v>
      </c>
      <c r="Z54" s="504"/>
      <c r="AA54" s="504"/>
      <c r="AB54" s="509">
        <v>1</v>
      </c>
      <c r="AC54" s="504">
        <v>1</v>
      </c>
      <c r="AD54" s="504">
        <v>1</v>
      </c>
      <c r="AE54" s="504">
        <v>1</v>
      </c>
      <c r="AF54" s="501">
        <v>1</v>
      </c>
    </row>
    <row r="55" spans="1:32" ht="18" customHeight="1">
      <c r="A55" s="470" t="s">
        <v>101</v>
      </c>
      <c r="B55" s="6043">
        <v>9</v>
      </c>
      <c r="C55" s="6043">
        <v>9</v>
      </c>
      <c r="D55" s="6043">
        <v>9</v>
      </c>
      <c r="E55" s="6043" t="s">
        <v>52</v>
      </c>
      <c r="F55" s="6043" t="s">
        <v>53</v>
      </c>
      <c r="G55" s="6043" t="s">
        <v>46</v>
      </c>
      <c r="H55" s="6040" t="s">
        <v>46</v>
      </c>
      <c r="I55" s="6043" t="s">
        <v>46</v>
      </c>
      <c r="J55" s="6043" t="s">
        <v>46</v>
      </c>
      <c r="K55" s="6043" t="s">
        <v>46</v>
      </c>
      <c r="L55" s="6043" t="s">
        <v>91</v>
      </c>
      <c r="M55" s="6042" t="s">
        <v>89</v>
      </c>
      <c r="N55" s="6043">
        <v>6</v>
      </c>
      <c r="O55" s="6043">
        <v>6</v>
      </c>
      <c r="P55" s="6043">
        <v>6</v>
      </c>
      <c r="Q55" s="6043">
        <v>6</v>
      </c>
      <c r="R55" s="6043">
        <v>6</v>
      </c>
      <c r="S55" s="6043"/>
      <c r="T55" s="6043"/>
      <c r="U55" s="6038" t="s">
        <v>46</v>
      </c>
      <c r="V55" s="6038" t="s">
        <v>46</v>
      </c>
      <c r="W55" s="6039" t="s">
        <v>46</v>
      </c>
      <c r="X55" s="6038" t="s">
        <v>46</v>
      </c>
      <c r="Y55" s="6038" t="s">
        <v>46</v>
      </c>
      <c r="Z55" s="6038"/>
      <c r="AA55" s="6038"/>
      <c r="AB55" s="6038">
        <v>5</v>
      </c>
      <c r="AC55" s="6042">
        <v>5</v>
      </c>
      <c r="AD55" s="6042">
        <v>5</v>
      </c>
      <c r="AE55" s="6041">
        <v>5</v>
      </c>
      <c r="AF55" s="6043">
        <v>5</v>
      </c>
    </row>
    <row r="56" spans="1:32" ht="18" customHeight="1">
      <c r="A56" s="469" t="s">
        <v>102</v>
      </c>
      <c r="B56" s="6044">
        <v>10</v>
      </c>
      <c r="C56" s="6044">
        <v>10</v>
      </c>
      <c r="D56" s="6032">
        <v>10</v>
      </c>
      <c r="E56" s="6032" t="s">
        <v>53</v>
      </c>
      <c r="F56" s="6032" t="s">
        <v>53</v>
      </c>
      <c r="G56" s="6032" t="s">
        <v>46</v>
      </c>
      <c r="H56" s="6032" t="s">
        <v>46</v>
      </c>
      <c r="I56" s="6044" t="s">
        <v>46</v>
      </c>
      <c r="J56" s="6032" t="s">
        <v>46</v>
      </c>
      <c r="K56" s="6045" t="s">
        <v>46</v>
      </c>
      <c r="L56" s="6032" t="s">
        <v>86</v>
      </c>
      <c r="M56" s="6045" t="s">
        <v>86</v>
      </c>
      <c r="N56" s="6045">
        <v>7</v>
      </c>
      <c r="O56" s="6045">
        <v>7</v>
      </c>
      <c r="P56" s="6032">
        <v>7</v>
      </c>
      <c r="Q56" s="6032">
        <v>7</v>
      </c>
      <c r="R56" s="6032">
        <v>7</v>
      </c>
      <c r="S56" s="6032"/>
      <c r="T56" s="6032"/>
      <c r="U56" s="6032">
        <v>4</v>
      </c>
      <c r="V56" s="6032">
        <v>4</v>
      </c>
      <c r="W56" s="6034">
        <v>4</v>
      </c>
      <c r="X56" s="6044">
        <v>4</v>
      </c>
      <c r="Y56" s="6032">
        <v>4</v>
      </c>
      <c r="Z56" s="6032"/>
      <c r="AA56" s="6032"/>
      <c r="AB56" s="6032">
        <v>3</v>
      </c>
      <c r="AC56" s="6032">
        <v>3</v>
      </c>
      <c r="AD56" s="6044">
        <v>3</v>
      </c>
      <c r="AE56" s="6032">
        <v>3</v>
      </c>
      <c r="AF56" s="6044">
        <v>3</v>
      </c>
    </row>
    <row r="57" spans="1:32" ht="18" customHeight="1">
      <c r="A57" s="474" t="s">
        <v>190</v>
      </c>
      <c r="B57" s="3089" t="s">
        <v>46</v>
      </c>
      <c r="C57" s="2989" t="s">
        <v>46</v>
      </c>
      <c r="D57" s="2989" t="s">
        <v>46</v>
      </c>
      <c r="E57" s="2989" t="s">
        <v>89</v>
      </c>
      <c r="F57" s="2989" t="s">
        <v>89</v>
      </c>
      <c r="G57" s="2989">
        <v>8</v>
      </c>
      <c r="H57" s="2989">
        <v>8</v>
      </c>
      <c r="I57" s="2989">
        <v>8</v>
      </c>
      <c r="J57" s="3088">
        <v>8</v>
      </c>
      <c r="K57" s="3088">
        <v>8</v>
      </c>
      <c r="L57" s="3088"/>
      <c r="M57" s="3112"/>
      <c r="N57" s="3089" t="s">
        <v>46</v>
      </c>
      <c r="O57" s="3088" t="s">
        <v>46</v>
      </c>
      <c r="P57" s="3088" t="s">
        <v>46</v>
      </c>
      <c r="Q57" s="3089" t="s">
        <v>46</v>
      </c>
      <c r="R57" s="3088" t="s">
        <v>46</v>
      </c>
      <c r="S57" s="3088"/>
      <c r="T57" s="3090"/>
      <c r="U57" s="3090">
        <v>1</v>
      </c>
      <c r="V57" s="3090">
        <v>1</v>
      </c>
      <c r="W57" s="3090">
        <v>1</v>
      </c>
      <c r="X57" s="3112">
        <v>1</v>
      </c>
      <c r="Y57" s="3090">
        <v>1</v>
      </c>
      <c r="Z57" s="3090"/>
      <c r="AA57" s="3090"/>
      <c r="AB57" s="3090">
        <v>9</v>
      </c>
      <c r="AC57" s="3088">
        <v>9</v>
      </c>
      <c r="AD57" s="3088">
        <v>9</v>
      </c>
      <c r="AE57" s="3089">
        <v>9</v>
      </c>
      <c r="AF57" s="3089">
        <v>9</v>
      </c>
    </row>
    <row r="58" spans="1:32" ht="18" customHeight="1">
      <c r="A58" s="364" t="s">
        <v>105</v>
      </c>
      <c r="B58" s="6042" t="s">
        <v>46</v>
      </c>
      <c r="C58" s="6042" t="s">
        <v>46</v>
      </c>
      <c r="D58" s="6042" t="s">
        <v>46</v>
      </c>
      <c r="E58" s="6042" t="s">
        <v>91</v>
      </c>
      <c r="F58" s="6042" t="s">
        <v>89</v>
      </c>
      <c r="G58" s="6042">
        <v>6</v>
      </c>
      <c r="H58" s="6040">
        <v>6</v>
      </c>
      <c r="I58" s="6040">
        <v>6</v>
      </c>
      <c r="J58" s="6040">
        <v>6</v>
      </c>
      <c r="K58" s="6040">
        <v>6</v>
      </c>
      <c r="L58" s="6040"/>
      <c r="M58" s="6040"/>
      <c r="N58" s="6042" t="s">
        <v>46</v>
      </c>
      <c r="O58" s="6042" t="s">
        <v>46</v>
      </c>
      <c r="P58" s="6042" t="s">
        <v>46</v>
      </c>
      <c r="Q58" s="6042" t="s">
        <v>46</v>
      </c>
      <c r="R58" s="6042" t="s">
        <v>46</v>
      </c>
      <c r="S58" s="6040"/>
      <c r="T58" s="6040"/>
      <c r="U58" s="6043">
        <v>5</v>
      </c>
      <c r="V58" s="6043">
        <v>5</v>
      </c>
      <c r="W58" s="6043">
        <v>5</v>
      </c>
      <c r="X58" s="6043">
        <v>5</v>
      </c>
      <c r="Y58" s="6043">
        <v>5</v>
      </c>
      <c r="Z58" s="6043"/>
      <c r="AA58" s="6043"/>
      <c r="AB58" s="6038">
        <v>10</v>
      </c>
      <c r="AC58" s="6038">
        <v>10</v>
      </c>
      <c r="AD58" s="6038">
        <v>10</v>
      </c>
      <c r="AE58" s="6038">
        <v>10</v>
      </c>
      <c r="AF58" s="6042">
        <v>10</v>
      </c>
    </row>
    <row r="59" spans="1:32" ht="18" customHeight="1">
      <c r="A59" s="367" t="s">
        <v>134</v>
      </c>
      <c r="B59" s="6032" t="s">
        <v>46</v>
      </c>
      <c r="C59" s="6032" t="s">
        <v>46</v>
      </c>
      <c r="D59" s="6032" t="s">
        <v>46</v>
      </c>
      <c r="E59" s="6045" t="s">
        <v>86</v>
      </c>
      <c r="F59" s="6045" t="s">
        <v>86</v>
      </c>
      <c r="G59" s="6045">
        <v>7</v>
      </c>
      <c r="H59" s="6045">
        <v>7</v>
      </c>
      <c r="I59" s="6045">
        <v>7</v>
      </c>
      <c r="J59" s="6044">
        <v>7</v>
      </c>
      <c r="K59" s="6032">
        <v>7</v>
      </c>
      <c r="L59" s="6032"/>
      <c r="M59" s="6032"/>
      <c r="N59" s="6034">
        <v>4</v>
      </c>
      <c r="O59" s="6034">
        <v>4</v>
      </c>
      <c r="P59" s="6034">
        <v>4</v>
      </c>
      <c r="Q59" s="6034">
        <v>4</v>
      </c>
      <c r="R59" s="6034">
        <v>4</v>
      </c>
      <c r="S59" s="6034"/>
      <c r="T59" s="6034"/>
      <c r="U59" s="6032">
        <v>3</v>
      </c>
      <c r="V59" s="6032">
        <v>3</v>
      </c>
      <c r="W59" s="6032">
        <v>3</v>
      </c>
      <c r="X59" s="6044">
        <v>3</v>
      </c>
      <c r="Y59" s="6032">
        <v>3</v>
      </c>
      <c r="Z59" s="6032"/>
      <c r="AA59" s="6032"/>
      <c r="AB59" s="6032">
        <v>11</v>
      </c>
      <c r="AC59" s="6032">
        <v>11</v>
      </c>
      <c r="AD59" s="6044">
        <v>11</v>
      </c>
      <c r="AE59" s="6044">
        <v>11</v>
      </c>
      <c r="AF59" s="6032">
        <v>11</v>
      </c>
    </row>
    <row r="60" spans="1:32" ht="18" customHeight="1">
      <c r="B60" s="6046"/>
      <c r="C60" s="6047"/>
      <c r="D60" s="6047"/>
      <c r="E60" s="6047"/>
      <c r="K60" s="6048"/>
      <c r="L60" s="6048"/>
      <c r="O60" s="6048"/>
      <c r="P60" s="6048"/>
      <c r="Q60" s="6048"/>
      <c r="T60" s="6046"/>
      <c r="U60" s="6046"/>
      <c r="V60" s="6048"/>
      <c r="W60" s="6048"/>
      <c r="X60" s="6049"/>
      <c r="Y60" s="6049"/>
      <c r="Z60" s="6049"/>
      <c r="AA60" s="6049"/>
      <c r="AB60" s="6049"/>
      <c r="AC60" s="6049"/>
      <c r="AD60" s="6049"/>
      <c r="AE60" s="6049"/>
    </row>
    <row r="61" spans="1:32" ht="18" customHeight="1">
      <c r="A61" s="363" t="s">
        <v>537</v>
      </c>
      <c r="B61" s="2985">
        <v>1</v>
      </c>
      <c r="C61" s="2985">
        <v>2</v>
      </c>
      <c r="D61" s="2985">
        <v>3</v>
      </c>
      <c r="E61" s="2986">
        <v>4</v>
      </c>
      <c r="F61" s="2986">
        <v>5</v>
      </c>
      <c r="G61" s="2985">
        <v>6</v>
      </c>
      <c r="H61" s="2985">
        <v>7</v>
      </c>
      <c r="I61" s="2985">
        <v>8</v>
      </c>
      <c r="J61" s="2985">
        <v>9</v>
      </c>
      <c r="K61" s="2985">
        <v>10</v>
      </c>
      <c r="L61" s="2986">
        <v>11</v>
      </c>
      <c r="M61" s="2986">
        <v>12</v>
      </c>
      <c r="N61" s="2985">
        <v>13</v>
      </c>
      <c r="O61" s="2985">
        <v>14</v>
      </c>
      <c r="P61" s="2985">
        <v>15</v>
      </c>
      <c r="Q61" s="2985">
        <v>16</v>
      </c>
      <c r="R61" s="2985">
        <v>17</v>
      </c>
      <c r="S61" s="2986">
        <v>18</v>
      </c>
      <c r="T61" s="2986">
        <v>19</v>
      </c>
      <c r="U61" s="2985">
        <v>20</v>
      </c>
      <c r="V61" s="2985">
        <v>21</v>
      </c>
      <c r="W61" s="2985">
        <v>22</v>
      </c>
      <c r="X61" s="2985">
        <v>23</v>
      </c>
      <c r="Y61" s="2985">
        <v>24</v>
      </c>
      <c r="Z61" s="2986">
        <v>25</v>
      </c>
      <c r="AA61" s="2986">
        <v>26</v>
      </c>
      <c r="AB61" s="2985">
        <v>27</v>
      </c>
      <c r="AC61" s="2985">
        <v>28</v>
      </c>
      <c r="AD61" s="2985">
        <v>29</v>
      </c>
      <c r="AE61" s="2985">
        <v>30</v>
      </c>
      <c r="AF61" s="2985">
        <v>31</v>
      </c>
    </row>
    <row r="62" spans="1:32" ht="18" customHeight="1">
      <c r="A62" s="5587" t="s">
        <v>112</v>
      </c>
      <c r="B62" s="6040" t="s">
        <v>40</v>
      </c>
      <c r="C62" s="6040" t="s">
        <v>40</v>
      </c>
      <c r="D62" s="6040" t="s">
        <v>40</v>
      </c>
      <c r="E62" s="6040"/>
      <c r="F62" s="6040"/>
      <c r="G62" s="6040" t="s">
        <v>40</v>
      </c>
      <c r="H62" s="6040" t="s">
        <v>40</v>
      </c>
      <c r="I62" s="6040" t="s">
        <v>40</v>
      </c>
      <c r="J62" s="6040" t="s">
        <v>40</v>
      </c>
      <c r="K62" s="6040" t="s">
        <v>40</v>
      </c>
      <c r="L62" s="6050"/>
      <c r="M62" s="6043"/>
      <c r="N62" s="6040" t="s">
        <v>40</v>
      </c>
      <c r="O62" s="6040" t="s">
        <v>40</v>
      </c>
      <c r="P62" s="6040" t="s">
        <v>40</v>
      </c>
      <c r="Q62" s="6040" t="s">
        <v>40</v>
      </c>
      <c r="R62" s="6040" t="s">
        <v>40</v>
      </c>
      <c r="S62" s="6050"/>
      <c r="T62" s="6043"/>
      <c r="U62" s="6040" t="s">
        <v>40</v>
      </c>
      <c r="V62" s="6040" t="s">
        <v>40</v>
      </c>
      <c r="W62" s="6040" t="s">
        <v>40</v>
      </c>
      <c r="X62" s="6040" t="s">
        <v>40</v>
      </c>
      <c r="Y62" s="6040" t="s">
        <v>40</v>
      </c>
      <c r="Z62" s="6050"/>
      <c r="AA62" s="6043"/>
      <c r="AB62" s="6040" t="s">
        <v>40</v>
      </c>
      <c r="AC62" s="6040" t="s">
        <v>40</v>
      </c>
      <c r="AD62" s="6040" t="s">
        <v>40</v>
      </c>
      <c r="AE62" s="6040" t="s">
        <v>40</v>
      </c>
      <c r="AF62" s="6040" t="s">
        <v>40</v>
      </c>
    </row>
    <row r="63" spans="1:32" ht="18" customHeight="1">
      <c r="A63" s="5587" t="s">
        <v>114</v>
      </c>
      <c r="B63" s="6040" t="s">
        <v>40</v>
      </c>
      <c r="C63" s="6040" t="s">
        <v>40</v>
      </c>
      <c r="D63" s="6040" t="s">
        <v>40</v>
      </c>
      <c r="E63" s="6040"/>
      <c r="F63" s="6040"/>
      <c r="G63" s="6040" t="s">
        <v>40</v>
      </c>
      <c r="H63" s="6040" t="s">
        <v>40</v>
      </c>
      <c r="I63" s="6040" t="s">
        <v>40</v>
      </c>
      <c r="J63" s="6040" t="s">
        <v>40</v>
      </c>
      <c r="K63" s="6040" t="s">
        <v>40</v>
      </c>
      <c r="L63" s="6050"/>
      <c r="M63" s="6043"/>
      <c r="N63" s="6040" t="s">
        <v>40</v>
      </c>
      <c r="O63" s="6040" t="s">
        <v>40</v>
      </c>
      <c r="P63" s="6040" t="s">
        <v>40</v>
      </c>
      <c r="Q63" s="6040" t="s">
        <v>40</v>
      </c>
      <c r="R63" s="6040" t="s">
        <v>40</v>
      </c>
      <c r="S63" s="6050"/>
      <c r="T63" s="6043"/>
      <c r="U63" s="6040" t="s">
        <v>40</v>
      </c>
      <c r="V63" s="6040" t="s">
        <v>40</v>
      </c>
      <c r="W63" s="6040" t="s">
        <v>40</v>
      </c>
      <c r="X63" s="6040" t="s">
        <v>40</v>
      </c>
      <c r="Y63" s="6040" t="s">
        <v>40</v>
      </c>
      <c r="Z63" s="6050"/>
      <c r="AA63" s="6043"/>
      <c r="AB63" s="6040" t="s">
        <v>40</v>
      </c>
      <c r="AC63" s="6040" t="s">
        <v>40</v>
      </c>
      <c r="AD63" s="6040" t="s">
        <v>40</v>
      </c>
      <c r="AE63" s="6040" t="s">
        <v>40</v>
      </c>
      <c r="AF63" s="6040" t="s">
        <v>40</v>
      </c>
    </row>
    <row r="64" spans="1:32" ht="18" customHeight="1">
      <c r="A64" s="5587" t="s">
        <v>115</v>
      </c>
      <c r="B64" s="6040" t="s">
        <v>40</v>
      </c>
      <c r="C64" s="6040" t="s">
        <v>40</v>
      </c>
      <c r="D64" s="6040" t="s">
        <v>40</v>
      </c>
      <c r="E64" s="6040"/>
      <c r="F64" s="6040"/>
      <c r="G64" s="6040" t="s">
        <v>40</v>
      </c>
      <c r="H64" s="6040" t="s">
        <v>40</v>
      </c>
      <c r="I64" s="6040" t="s">
        <v>40</v>
      </c>
      <c r="J64" s="6040" t="s">
        <v>40</v>
      </c>
      <c r="K64" s="6040" t="s">
        <v>40</v>
      </c>
      <c r="L64" s="6050"/>
      <c r="M64" s="6043"/>
      <c r="N64" s="6040" t="s">
        <v>40</v>
      </c>
      <c r="O64" s="6040" t="s">
        <v>40</v>
      </c>
      <c r="P64" s="6040" t="s">
        <v>40</v>
      </c>
      <c r="Q64" s="6040" t="s">
        <v>40</v>
      </c>
      <c r="R64" s="6040" t="s">
        <v>40</v>
      </c>
      <c r="S64" s="6050"/>
      <c r="T64" s="6043"/>
      <c r="U64" s="6040" t="s">
        <v>40</v>
      </c>
      <c r="V64" s="6040" t="s">
        <v>40</v>
      </c>
      <c r="W64" s="6040" t="s">
        <v>40</v>
      </c>
      <c r="X64" s="6040" t="s">
        <v>40</v>
      </c>
      <c r="Y64" s="6040" t="s">
        <v>40</v>
      </c>
      <c r="Z64" s="6050"/>
      <c r="AA64" s="6043"/>
      <c r="AB64" s="6040" t="s">
        <v>40</v>
      </c>
      <c r="AC64" s="6040" t="s">
        <v>40</v>
      </c>
      <c r="AD64" s="6040" t="s">
        <v>40</v>
      </c>
      <c r="AE64" s="6040" t="s">
        <v>40</v>
      </c>
      <c r="AF64" s="6040" t="s">
        <v>40</v>
      </c>
    </row>
    <row r="65" spans="1:32" ht="18" customHeight="1">
      <c r="A65" s="5587" t="s">
        <v>117</v>
      </c>
      <c r="B65" s="6040" t="s">
        <v>40</v>
      </c>
      <c r="C65" s="6040" t="s">
        <v>40</v>
      </c>
      <c r="D65" s="6040" t="s">
        <v>40</v>
      </c>
      <c r="E65" s="6040"/>
      <c r="F65" s="6040"/>
      <c r="G65" s="6040" t="s">
        <v>40</v>
      </c>
      <c r="H65" s="6040" t="s">
        <v>40</v>
      </c>
      <c r="I65" s="6040" t="s">
        <v>40</v>
      </c>
      <c r="J65" s="6040" t="s">
        <v>40</v>
      </c>
      <c r="K65" s="6040" t="s">
        <v>40</v>
      </c>
      <c r="L65" s="6050"/>
      <c r="M65" s="6043"/>
      <c r="N65" s="6040" t="s">
        <v>40</v>
      </c>
      <c r="O65" s="6040" t="s">
        <v>40</v>
      </c>
      <c r="P65" s="6040" t="s">
        <v>40</v>
      </c>
      <c r="Q65" s="6040" t="s">
        <v>40</v>
      </c>
      <c r="R65" s="6040" t="s">
        <v>40</v>
      </c>
      <c r="S65" s="6050"/>
      <c r="T65" s="6043"/>
      <c r="U65" s="6040" t="s">
        <v>40</v>
      </c>
      <c r="V65" s="6040" t="s">
        <v>40</v>
      </c>
      <c r="W65" s="6040" t="s">
        <v>40</v>
      </c>
      <c r="X65" s="6040" t="s">
        <v>40</v>
      </c>
      <c r="Y65" s="6040" t="s">
        <v>40</v>
      </c>
      <c r="Z65" s="6050"/>
      <c r="AA65" s="6043"/>
      <c r="AB65" s="6040" t="s">
        <v>40</v>
      </c>
      <c r="AC65" s="6040" t="s">
        <v>40</v>
      </c>
      <c r="AD65" s="6040" t="s">
        <v>40</v>
      </c>
      <c r="AE65" s="6040" t="s">
        <v>40</v>
      </c>
      <c r="AF65" s="6040" t="s">
        <v>40</v>
      </c>
    </row>
    <row r="66" spans="1:32" ht="18" customHeight="1">
      <c r="A66" s="5587" t="s">
        <v>622</v>
      </c>
      <c r="B66" s="6040" t="s">
        <v>40</v>
      </c>
      <c r="C66" s="6040" t="s">
        <v>40</v>
      </c>
      <c r="D66" s="6040" t="s">
        <v>40</v>
      </c>
      <c r="E66" s="6040"/>
      <c r="F66" s="6040"/>
      <c r="G66" s="6040" t="s">
        <v>40</v>
      </c>
      <c r="H66" s="6040" t="s">
        <v>40</v>
      </c>
      <c r="I66" s="6040" t="s">
        <v>40</v>
      </c>
      <c r="J66" s="6040" t="s">
        <v>40</v>
      </c>
      <c r="K66" s="6040" t="s">
        <v>40</v>
      </c>
      <c r="L66" s="6050"/>
      <c r="M66" s="6043"/>
      <c r="N66" s="6040" t="s">
        <v>40</v>
      </c>
      <c r="O66" s="6040" t="s">
        <v>40</v>
      </c>
      <c r="P66" s="6040" t="s">
        <v>40</v>
      </c>
      <c r="Q66" s="6040" t="s">
        <v>40</v>
      </c>
      <c r="R66" s="6040" t="s">
        <v>40</v>
      </c>
      <c r="S66" s="6050"/>
      <c r="T66" s="6043"/>
      <c r="U66" s="6040" t="s">
        <v>40</v>
      </c>
      <c r="V66" s="6040" t="s">
        <v>40</v>
      </c>
      <c r="W66" s="6040" t="s">
        <v>40</v>
      </c>
      <c r="X66" s="6040" t="s">
        <v>40</v>
      </c>
      <c r="Y66" s="6040" t="s">
        <v>40</v>
      </c>
      <c r="Z66" s="6050"/>
      <c r="AA66" s="6043"/>
      <c r="AB66" s="6040" t="s">
        <v>40</v>
      </c>
      <c r="AC66" s="6040" t="s">
        <v>40</v>
      </c>
      <c r="AD66" s="6040" t="s">
        <v>40</v>
      </c>
      <c r="AE66" s="6040" t="s">
        <v>40</v>
      </c>
      <c r="AF66" s="6040" t="s">
        <v>40</v>
      </c>
    </row>
    <row r="67" spans="1:32" ht="18" customHeight="1">
      <c r="A67" s="5587" t="s">
        <v>122</v>
      </c>
      <c r="B67" s="6040" t="s">
        <v>40</v>
      </c>
      <c r="C67" s="6040" t="s">
        <v>40</v>
      </c>
      <c r="D67" s="6040" t="s">
        <v>40</v>
      </c>
      <c r="E67" s="6040"/>
      <c r="F67" s="6040"/>
      <c r="G67" s="6040" t="s">
        <v>40</v>
      </c>
      <c r="H67" s="6040" t="s">
        <v>40</v>
      </c>
      <c r="I67" s="6040" t="s">
        <v>40</v>
      </c>
      <c r="J67" s="6040" t="s">
        <v>40</v>
      </c>
      <c r="K67" s="6040" t="s">
        <v>40</v>
      </c>
      <c r="L67" s="6050"/>
      <c r="M67" s="6043"/>
      <c r="N67" s="6040" t="s">
        <v>40</v>
      </c>
      <c r="O67" s="6040" t="s">
        <v>40</v>
      </c>
      <c r="P67" s="6040" t="s">
        <v>40</v>
      </c>
      <c r="Q67" s="6040" t="s">
        <v>40</v>
      </c>
      <c r="R67" s="6040" t="s">
        <v>40</v>
      </c>
      <c r="S67" s="6050"/>
      <c r="T67" s="6043"/>
      <c r="U67" s="6040" t="s">
        <v>40</v>
      </c>
      <c r="V67" s="6040" t="s">
        <v>40</v>
      </c>
      <c r="W67" s="6040" t="s">
        <v>40</v>
      </c>
      <c r="X67" s="6040" t="s">
        <v>40</v>
      </c>
      <c r="Y67" s="6040" t="s">
        <v>40</v>
      </c>
      <c r="Z67" s="6050"/>
      <c r="AA67" s="6043"/>
      <c r="AB67" s="6040" t="s">
        <v>40</v>
      </c>
      <c r="AC67" s="6040" t="s">
        <v>40</v>
      </c>
      <c r="AD67" s="6040" t="s">
        <v>40</v>
      </c>
      <c r="AE67" s="6040" t="s">
        <v>40</v>
      </c>
      <c r="AF67" s="6040" t="s">
        <v>40</v>
      </c>
    </row>
    <row r="68" spans="1:32" ht="18" customHeight="1">
      <c r="A68" s="5587" t="s">
        <v>129</v>
      </c>
      <c r="B68" s="6040" t="s">
        <v>40</v>
      </c>
      <c r="C68" s="6040" t="s">
        <v>40</v>
      </c>
      <c r="D68" s="6040" t="s">
        <v>40</v>
      </c>
      <c r="E68" s="6040"/>
      <c r="F68" s="6040"/>
      <c r="G68" s="6040" t="s">
        <v>40</v>
      </c>
      <c r="H68" s="6040" t="s">
        <v>40</v>
      </c>
      <c r="I68" s="6040" t="s">
        <v>40</v>
      </c>
      <c r="J68" s="6040" t="s">
        <v>40</v>
      </c>
      <c r="K68" s="6040" t="s">
        <v>40</v>
      </c>
      <c r="L68" s="6050"/>
      <c r="M68" s="6043"/>
      <c r="N68" s="6040" t="s">
        <v>40</v>
      </c>
      <c r="O68" s="6040" t="s">
        <v>40</v>
      </c>
      <c r="P68" s="6040" t="s">
        <v>40</v>
      </c>
      <c r="Q68" s="6040" t="s">
        <v>40</v>
      </c>
      <c r="R68" s="6040" t="s">
        <v>40</v>
      </c>
      <c r="S68" s="6050"/>
      <c r="T68" s="6043"/>
      <c r="U68" s="6040" t="s">
        <v>40</v>
      </c>
      <c r="V68" s="6040" t="s">
        <v>40</v>
      </c>
      <c r="W68" s="6040" t="s">
        <v>40</v>
      </c>
      <c r="X68" s="6040" t="s">
        <v>40</v>
      </c>
      <c r="Y68" s="6040" t="s">
        <v>40</v>
      </c>
      <c r="Z68" s="6050"/>
      <c r="AA68" s="6043"/>
      <c r="AB68" s="6040" t="s">
        <v>40</v>
      </c>
      <c r="AC68" s="6040" t="s">
        <v>40</v>
      </c>
      <c r="AD68" s="6040" t="s">
        <v>40</v>
      </c>
      <c r="AE68" s="6040" t="s">
        <v>40</v>
      </c>
      <c r="AF68" s="6040" t="s">
        <v>40</v>
      </c>
    </row>
    <row r="69" spans="1:32" ht="18" customHeight="1">
      <c r="A69" s="5591" t="s">
        <v>140</v>
      </c>
      <c r="B69" s="6040" t="s">
        <v>40</v>
      </c>
      <c r="C69" s="6040" t="s">
        <v>40</v>
      </c>
      <c r="D69" s="6040" t="s">
        <v>40</v>
      </c>
      <c r="E69" s="6040"/>
      <c r="F69" s="6040"/>
      <c r="G69" s="6040" t="s">
        <v>40</v>
      </c>
      <c r="H69" s="6040" t="s">
        <v>40</v>
      </c>
      <c r="I69" s="6040" t="s">
        <v>40</v>
      </c>
      <c r="J69" s="6040" t="s">
        <v>40</v>
      </c>
      <c r="K69" s="6040" t="s">
        <v>40</v>
      </c>
      <c r="L69" s="6050"/>
      <c r="M69" s="6043"/>
      <c r="N69" s="6040" t="s">
        <v>40</v>
      </c>
      <c r="O69" s="6040" t="s">
        <v>40</v>
      </c>
      <c r="P69" s="6040" t="s">
        <v>40</v>
      </c>
      <c r="Q69" s="6040" t="s">
        <v>40</v>
      </c>
      <c r="R69" s="6040" t="s">
        <v>40</v>
      </c>
      <c r="S69" s="6050"/>
      <c r="T69" s="6043"/>
      <c r="U69" s="6040" t="s">
        <v>40</v>
      </c>
      <c r="V69" s="6040" t="s">
        <v>40</v>
      </c>
      <c r="W69" s="6040" t="s">
        <v>40</v>
      </c>
      <c r="X69" s="6040" t="s">
        <v>40</v>
      </c>
      <c r="Y69" s="6040" t="s">
        <v>40</v>
      </c>
      <c r="Z69" s="6050"/>
      <c r="AA69" s="6043"/>
      <c r="AB69" s="6040" t="s">
        <v>40</v>
      </c>
      <c r="AC69" s="6040" t="s">
        <v>40</v>
      </c>
      <c r="AD69" s="6040" t="s">
        <v>40</v>
      </c>
      <c r="AE69" s="6040" t="s">
        <v>40</v>
      </c>
      <c r="AF69" s="6040" t="s">
        <v>40</v>
      </c>
    </row>
    <row r="70" spans="1:32" ht="18" customHeight="1">
      <c r="A70" s="6051" t="s">
        <v>478</v>
      </c>
      <c r="B70" s="6040" t="s">
        <v>40</v>
      </c>
      <c r="C70" s="6040" t="s">
        <v>40</v>
      </c>
      <c r="D70" s="6040" t="s">
        <v>40</v>
      </c>
      <c r="E70" s="6040"/>
      <c r="F70" s="6040"/>
      <c r="G70" s="6040" t="s">
        <v>40</v>
      </c>
      <c r="H70" s="6040" t="s">
        <v>40</v>
      </c>
      <c r="I70" s="6040" t="s">
        <v>40</v>
      </c>
      <c r="J70" s="6040" t="s">
        <v>40</v>
      </c>
      <c r="K70" s="6040" t="s">
        <v>40</v>
      </c>
      <c r="L70" s="6050"/>
      <c r="M70" s="6043"/>
      <c r="N70" s="6040" t="s">
        <v>40</v>
      </c>
      <c r="O70" s="6040" t="s">
        <v>40</v>
      </c>
      <c r="P70" s="6040" t="s">
        <v>40</v>
      </c>
      <c r="Q70" s="6040" t="s">
        <v>40</v>
      </c>
      <c r="R70" s="6040" t="s">
        <v>40</v>
      </c>
      <c r="S70" s="6050"/>
      <c r="T70" s="6043"/>
      <c r="U70" s="6040" t="s">
        <v>40</v>
      </c>
      <c r="V70" s="6040" t="s">
        <v>40</v>
      </c>
      <c r="W70" s="6040" t="s">
        <v>40</v>
      </c>
      <c r="X70" s="6040" t="s">
        <v>40</v>
      </c>
      <c r="Y70" s="6040" t="s">
        <v>40</v>
      </c>
      <c r="Z70" s="6050"/>
      <c r="AA70" s="6043"/>
      <c r="AB70" s="6040" t="s">
        <v>40</v>
      </c>
      <c r="AC70" s="6040" t="s">
        <v>40</v>
      </c>
      <c r="AD70" s="6040" t="s">
        <v>40</v>
      </c>
      <c r="AE70" s="6040" t="s">
        <v>40</v>
      </c>
      <c r="AF70" s="6040" t="s">
        <v>40</v>
      </c>
    </row>
    <row r="71" spans="1:32" ht="18" customHeight="1">
      <c r="A71" s="5591" t="s">
        <v>479</v>
      </c>
      <c r="B71" s="6040" t="s">
        <v>40</v>
      </c>
      <c r="C71" s="6040" t="s">
        <v>40</v>
      </c>
      <c r="D71" s="6040" t="s">
        <v>40</v>
      </c>
      <c r="E71" s="6040"/>
      <c r="F71" s="6040"/>
      <c r="G71" s="6040" t="s">
        <v>40</v>
      </c>
      <c r="H71" s="6040" t="s">
        <v>40</v>
      </c>
      <c r="I71" s="6040" t="s">
        <v>40</v>
      </c>
      <c r="J71" s="6040" t="s">
        <v>40</v>
      </c>
      <c r="K71" s="6040" t="s">
        <v>40</v>
      </c>
      <c r="L71" s="6050"/>
      <c r="M71" s="6043"/>
      <c r="N71" s="6040" t="s">
        <v>40</v>
      </c>
      <c r="O71" s="6040" t="s">
        <v>40</v>
      </c>
      <c r="P71" s="6040" t="s">
        <v>40</v>
      </c>
      <c r="Q71" s="6040" t="s">
        <v>40</v>
      </c>
      <c r="R71" s="6040" t="s">
        <v>40</v>
      </c>
      <c r="S71" s="6050"/>
      <c r="T71" s="6043"/>
      <c r="U71" s="6040" t="s">
        <v>40</v>
      </c>
      <c r="V71" s="6040" t="s">
        <v>40</v>
      </c>
      <c r="W71" s="6040" t="s">
        <v>40</v>
      </c>
      <c r="X71" s="6040" t="s">
        <v>40</v>
      </c>
      <c r="Y71" s="6040" t="s">
        <v>40</v>
      </c>
      <c r="Z71" s="6050"/>
      <c r="AA71" s="6043"/>
      <c r="AB71" s="6040" t="s">
        <v>40</v>
      </c>
      <c r="AC71" s="6040" t="s">
        <v>40</v>
      </c>
      <c r="AD71" s="6040" t="s">
        <v>40</v>
      </c>
      <c r="AE71" s="6040" t="s">
        <v>40</v>
      </c>
      <c r="AF71" s="6040" t="s">
        <v>40</v>
      </c>
    </row>
    <row r="72" spans="1:32" ht="18" customHeight="1">
      <c r="A72" s="6052" t="s">
        <v>564</v>
      </c>
      <c r="B72" s="6040" t="s">
        <v>40</v>
      </c>
      <c r="C72" s="6040" t="s">
        <v>40</v>
      </c>
      <c r="D72" s="6040" t="s">
        <v>40</v>
      </c>
      <c r="E72" s="6040"/>
      <c r="F72" s="6040"/>
      <c r="G72" s="6040" t="s">
        <v>40</v>
      </c>
      <c r="H72" s="6040" t="s">
        <v>40</v>
      </c>
      <c r="I72" s="6040" t="s">
        <v>40</v>
      </c>
      <c r="J72" s="6040" t="s">
        <v>40</v>
      </c>
      <c r="K72" s="6040" t="s">
        <v>40</v>
      </c>
      <c r="L72" s="6050"/>
      <c r="M72" s="6043"/>
      <c r="N72" s="6040" t="s">
        <v>40</v>
      </c>
      <c r="O72" s="6040" t="s">
        <v>40</v>
      </c>
      <c r="P72" s="6040" t="s">
        <v>40</v>
      </c>
      <c r="Q72" s="6040" t="s">
        <v>40</v>
      </c>
      <c r="R72" s="6040" t="s">
        <v>40</v>
      </c>
      <c r="S72" s="6050"/>
      <c r="T72" s="6043"/>
      <c r="U72" s="6040" t="s">
        <v>40</v>
      </c>
      <c r="V72" s="6040" t="s">
        <v>40</v>
      </c>
      <c r="W72" s="6040" t="s">
        <v>40</v>
      </c>
      <c r="X72" s="6040" t="s">
        <v>40</v>
      </c>
      <c r="Y72" s="6040" t="s">
        <v>40</v>
      </c>
      <c r="Z72" s="6050"/>
      <c r="AA72" s="6043"/>
      <c r="AB72" s="6040" t="s">
        <v>40</v>
      </c>
      <c r="AC72" s="6040" t="s">
        <v>40</v>
      </c>
      <c r="AD72" s="6040" t="s">
        <v>40</v>
      </c>
      <c r="AE72" s="6040" t="s">
        <v>40</v>
      </c>
      <c r="AF72" s="6040" t="s">
        <v>40</v>
      </c>
    </row>
    <row r="73" spans="1:32" ht="18" customHeight="1">
      <c r="A73" s="5593" t="s">
        <v>565</v>
      </c>
      <c r="B73" s="6040" t="s">
        <v>40</v>
      </c>
      <c r="C73" s="6040" t="s">
        <v>40</v>
      </c>
      <c r="D73" s="6040" t="s">
        <v>40</v>
      </c>
      <c r="E73" s="6040"/>
      <c r="F73" s="6040"/>
      <c r="G73" s="6040" t="s">
        <v>40</v>
      </c>
      <c r="H73" s="6040" t="s">
        <v>40</v>
      </c>
      <c r="I73" s="6040" t="s">
        <v>40</v>
      </c>
      <c r="J73" s="6040" t="s">
        <v>40</v>
      </c>
      <c r="K73" s="6040" t="s">
        <v>40</v>
      </c>
      <c r="L73" s="6050"/>
      <c r="M73" s="6043"/>
      <c r="N73" s="6040" t="s">
        <v>40</v>
      </c>
      <c r="O73" s="6040" t="s">
        <v>40</v>
      </c>
      <c r="P73" s="6040" t="s">
        <v>40</v>
      </c>
      <c r="Q73" s="6040" t="s">
        <v>40</v>
      </c>
      <c r="R73" s="6040" t="s">
        <v>40</v>
      </c>
      <c r="S73" s="6050"/>
      <c r="T73" s="6043"/>
      <c r="U73" s="6040" t="s">
        <v>40</v>
      </c>
      <c r="V73" s="6040" t="s">
        <v>40</v>
      </c>
      <c r="W73" s="6040" t="s">
        <v>40</v>
      </c>
      <c r="X73" s="6040" t="s">
        <v>40</v>
      </c>
      <c r="Y73" s="6040" t="s">
        <v>40</v>
      </c>
      <c r="Z73" s="6050"/>
      <c r="AA73" s="6043"/>
      <c r="AB73" s="6040" t="s">
        <v>40</v>
      </c>
      <c r="AC73" s="6040" t="s">
        <v>40</v>
      </c>
      <c r="AD73" s="6040" t="s">
        <v>40</v>
      </c>
      <c r="AE73" s="6040" t="s">
        <v>40</v>
      </c>
      <c r="AF73" s="6040" t="s">
        <v>40</v>
      </c>
    </row>
    <row r="74" spans="1:32" ht="18" customHeight="1">
      <c r="A74" s="5593" t="s">
        <v>540</v>
      </c>
      <c r="B74" s="6040" t="s">
        <v>40</v>
      </c>
      <c r="C74" s="6040" t="s">
        <v>40</v>
      </c>
      <c r="D74" s="6040" t="s">
        <v>40</v>
      </c>
      <c r="E74" s="6040"/>
      <c r="F74" s="6040"/>
      <c r="G74" s="6040" t="s">
        <v>40</v>
      </c>
      <c r="H74" s="6040" t="s">
        <v>40</v>
      </c>
      <c r="I74" s="6040" t="s">
        <v>40</v>
      </c>
      <c r="J74" s="6040" t="s">
        <v>40</v>
      </c>
      <c r="K74" s="6040" t="s">
        <v>40</v>
      </c>
      <c r="L74" s="6050"/>
      <c r="M74" s="6043"/>
      <c r="N74" s="6040" t="s">
        <v>40</v>
      </c>
      <c r="O74" s="6040" t="s">
        <v>40</v>
      </c>
      <c r="P74" s="6040" t="s">
        <v>40</v>
      </c>
      <c r="Q74" s="6040" t="s">
        <v>40</v>
      </c>
      <c r="R74" s="6040" t="s">
        <v>40</v>
      </c>
      <c r="S74" s="6050"/>
      <c r="T74" s="6043"/>
      <c r="U74" s="6040" t="s">
        <v>40</v>
      </c>
      <c r="V74" s="6040" t="s">
        <v>40</v>
      </c>
      <c r="W74" s="6040" t="s">
        <v>40</v>
      </c>
      <c r="X74" s="6040" t="s">
        <v>40</v>
      </c>
      <c r="Y74" s="6040" t="s">
        <v>40</v>
      </c>
      <c r="Z74" s="6050"/>
      <c r="AA74" s="6043"/>
      <c r="AB74" s="6040" t="s">
        <v>40</v>
      </c>
      <c r="AC74" s="6040" t="s">
        <v>40</v>
      </c>
      <c r="AD74" s="6040" t="s">
        <v>40</v>
      </c>
      <c r="AE74" s="6040" t="s">
        <v>40</v>
      </c>
      <c r="AF74" s="6040" t="s">
        <v>40</v>
      </c>
    </row>
    <row r="75" spans="1:32" ht="18" customHeight="1">
      <c r="A75" s="6053" t="s">
        <v>541</v>
      </c>
      <c r="B75" s="6040" t="s">
        <v>40</v>
      </c>
      <c r="C75" s="6040" t="s">
        <v>40</v>
      </c>
      <c r="D75" s="6040" t="s">
        <v>40</v>
      </c>
      <c r="E75" s="6040"/>
      <c r="F75" s="6040"/>
      <c r="G75" s="6040" t="s">
        <v>40</v>
      </c>
      <c r="H75" s="6040" t="s">
        <v>40</v>
      </c>
      <c r="I75" s="6040" t="s">
        <v>40</v>
      </c>
      <c r="J75" s="6040" t="s">
        <v>40</v>
      </c>
      <c r="K75" s="6040" t="s">
        <v>40</v>
      </c>
      <c r="L75" s="6050"/>
      <c r="M75" s="6043"/>
      <c r="N75" s="6040" t="s">
        <v>40</v>
      </c>
      <c r="O75" s="6040" t="s">
        <v>40</v>
      </c>
      <c r="P75" s="6040" t="s">
        <v>40</v>
      </c>
      <c r="Q75" s="6040" t="s">
        <v>40</v>
      </c>
      <c r="R75" s="6040" t="s">
        <v>40</v>
      </c>
      <c r="S75" s="6050"/>
      <c r="T75" s="6043"/>
      <c r="U75" s="6040" t="s">
        <v>40</v>
      </c>
      <c r="V75" s="6040" t="s">
        <v>40</v>
      </c>
      <c r="W75" s="6040" t="s">
        <v>40</v>
      </c>
      <c r="X75" s="6040" t="s">
        <v>40</v>
      </c>
      <c r="Y75" s="6040" t="s">
        <v>40</v>
      </c>
      <c r="Z75" s="6050"/>
      <c r="AA75" s="6043"/>
      <c r="AB75" s="6040" t="s">
        <v>40</v>
      </c>
      <c r="AC75" s="6040" t="s">
        <v>40</v>
      </c>
      <c r="AD75" s="6040" t="s">
        <v>40</v>
      </c>
      <c r="AE75" s="6040" t="s">
        <v>40</v>
      </c>
      <c r="AF75" s="6040" t="s">
        <v>40</v>
      </c>
    </row>
    <row r="76" spans="1:32" ht="18" customHeight="1">
      <c r="A76" s="6054"/>
      <c r="B76" s="6040" t="s">
        <v>40</v>
      </c>
      <c r="C76" s="6040" t="s">
        <v>40</v>
      </c>
      <c r="D76" s="6040" t="s">
        <v>40</v>
      </c>
      <c r="E76" s="6040"/>
      <c r="F76" s="6040"/>
      <c r="G76" s="6040" t="s">
        <v>40</v>
      </c>
      <c r="H76" s="6040" t="s">
        <v>40</v>
      </c>
      <c r="I76" s="6040" t="s">
        <v>40</v>
      </c>
      <c r="J76" s="6040" t="s">
        <v>40</v>
      </c>
      <c r="K76" s="6040" t="s">
        <v>40</v>
      </c>
      <c r="L76" s="6050"/>
      <c r="M76" s="6043"/>
      <c r="N76" s="6040" t="s">
        <v>40</v>
      </c>
      <c r="O76" s="6040" t="s">
        <v>40</v>
      </c>
      <c r="P76" s="6040" t="s">
        <v>40</v>
      </c>
      <c r="Q76" s="6040" t="s">
        <v>40</v>
      </c>
      <c r="R76" s="6040" t="s">
        <v>40</v>
      </c>
      <c r="S76" s="6050"/>
      <c r="T76" s="6043"/>
      <c r="U76" s="6040" t="s">
        <v>40</v>
      </c>
      <c r="V76" s="6040" t="s">
        <v>40</v>
      </c>
      <c r="W76" s="6040" t="s">
        <v>40</v>
      </c>
      <c r="X76" s="6040" t="s">
        <v>40</v>
      </c>
      <c r="Y76" s="6040" t="s">
        <v>40</v>
      </c>
      <c r="Z76" s="6050"/>
      <c r="AA76" s="6043"/>
      <c r="AB76" s="6040" t="s">
        <v>40</v>
      </c>
      <c r="AC76" s="6040" t="s">
        <v>40</v>
      </c>
      <c r="AD76" s="6040" t="s">
        <v>40</v>
      </c>
      <c r="AE76" s="6040" t="s">
        <v>40</v>
      </c>
      <c r="AF76" s="6040" t="s">
        <v>40</v>
      </c>
    </row>
    <row r="77" spans="1:32" ht="18" customHeight="1">
      <c r="A77" s="1517" t="s">
        <v>154</v>
      </c>
      <c r="B77" s="2985">
        <v>1</v>
      </c>
      <c r="C77" s="2985">
        <v>2</v>
      </c>
      <c r="D77" s="2985">
        <v>3</v>
      </c>
      <c r="E77" s="2986">
        <v>4</v>
      </c>
      <c r="F77" s="2986">
        <v>5</v>
      </c>
      <c r="G77" s="2985">
        <v>6</v>
      </c>
      <c r="H77" s="2985">
        <v>7</v>
      </c>
      <c r="I77" s="2985">
        <v>8</v>
      </c>
      <c r="J77" s="2985">
        <v>9</v>
      </c>
      <c r="K77" s="2985">
        <v>10</v>
      </c>
      <c r="L77" s="2986">
        <v>11</v>
      </c>
      <c r="M77" s="2986">
        <v>12</v>
      </c>
      <c r="N77" s="2985">
        <v>13</v>
      </c>
      <c r="O77" s="2985">
        <v>14</v>
      </c>
      <c r="P77" s="2985">
        <v>15</v>
      </c>
      <c r="Q77" s="2985">
        <v>16</v>
      </c>
      <c r="R77" s="2985">
        <v>17</v>
      </c>
      <c r="S77" s="2986">
        <v>18</v>
      </c>
      <c r="T77" s="2986">
        <v>19</v>
      </c>
      <c r="U77" s="2985">
        <v>20</v>
      </c>
      <c r="V77" s="2985">
        <v>21</v>
      </c>
      <c r="W77" s="2985">
        <v>22</v>
      </c>
      <c r="X77" s="2985">
        <v>23</v>
      </c>
      <c r="Y77" s="2985">
        <v>24</v>
      </c>
      <c r="Z77" s="2986">
        <v>25</v>
      </c>
      <c r="AA77" s="2986">
        <v>26</v>
      </c>
      <c r="AB77" s="2985">
        <v>27</v>
      </c>
      <c r="AC77" s="2985">
        <v>28</v>
      </c>
      <c r="AD77" s="2985">
        <v>29</v>
      </c>
      <c r="AE77" s="2985">
        <v>30</v>
      </c>
      <c r="AF77" s="2985">
        <v>31</v>
      </c>
    </row>
    <row r="78" spans="1:32" ht="18" customHeight="1">
      <c r="A78" s="5617"/>
      <c r="B78" s="6040" t="s">
        <v>40</v>
      </c>
      <c r="C78" s="6040" t="s">
        <v>40</v>
      </c>
      <c r="D78" s="6040" t="s">
        <v>40</v>
      </c>
      <c r="E78" s="6040"/>
      <c r="F78" s="6040"/>
      <c r="G78" s="6040" t="s">
        <v>40</v>
      </c>
      <c r="H78" s="6040" t="s">
        <v>40</v>
      </c>
      <c r="I78" s="6040" t="s">
        <v>40</v>
      </c>
      <c r="J78" s="6040" t="s">
        <v>40</v>
      </c>
      <c r="K78" s="6040" t="s">
        <v>40</v>
      </c>
      <c r="L78" s="6050"/>
      <c r="M78" s="6043"/>
      <c r="N78" s="6040" t="s">
        <v>40</v>
      </c>
      <c r="O78" s="6040" t="s">
        <v>40</v>
      </c>
      <c r="P78" s="6040" t="s">
        <v>40</v>
      </c>
      <c r="Q78" s="6040" t="s">
        <v>40</v>
      </c>
      <c r="R78" s="6040" t="s">
        <v>40</v>
      </c>
      <c r="S78" s="6050"/>
      <c r="T78" s="6043"/>
      <c r="U78" s="6040" t="s">
        <v>40</v>
      </c>
      <c r="V78" s="6040" t="s">
        <v>40</v>
      </c>
      <c r="W78" s="6040" t="s">
        <v>40</v>
      </c>
      <c r="X78" s="6040" t="s">
        <v>40</v>
      </c>
      <c r="Y78" s="6040" t="s">
        <v>40</v>
      </c>
      <c r="Z78" s="6050"/>
      <c r="AA78" s="6043"/>
      <c r="AB78" s="6040" t="s">
        <v>40</v>
      </c>
      <c r="AC78" s="6040" t="s">
        <v>40</v>
      </c>
      <c r="AD78" s="6040" t="s">
        <v>40</v>
      </c>
      <c r="AE78" s="6040" t="s">
        <v>40</v>
      </c>
      <c r="AF78" s="6040" t="s">
        <v>40</v>
      </c>
    </row>
    <row r="79" spans="1:32" ht="18" customHeight="1">
      <c r="A79" s="6001"/>
      <c r="B79" s="6040" t="s">
        <v>40</v>
      </c>
      <c r="C79" s="6040" t="s">
        <v>40</v>
      </c>
      <c r="D79" s="6040" t="s">
        <v>40</v>
      </c>
      <c r="E79" s="6040"/>
      <c r="F79" s="6040"/>
      <c r="G79" s="6040" t="s">
        <v>40</v>
      </c>
      <c r="H79" s="6040" t="s">
        <v>40</v>
      </c>
      <c r="I79" s="6040" t="s">
        <v>40</v>
      </c>
      <c r="J79" s="6040" t="s">
        <v>40</v>
      </c>
      <c r="K79" s="6040" t="s">
        <v>40</v>
      </c>
      <c r="L79" s="6050"/>
      <c r="M79" s="6043"/>
      <c r="N79" s="6040" t="s">
        <v>40</v>
      </c>
      <c r="O79" s="6040" t="s">
        <v>40</v>
      </c>
      <c r="P79" s="6040" t="s">
        <v>40</v>
      </c>
      <c r="Q79" s="6040" t="s">
        <v>40</v>
      </c>
      <c r="R79" s="6040" t="s">
        <v>40</v>
      </c>
      <c r="S79" s="6050"/>
      <c r="T79" s="6043"/>
      <c r="U79" s="6040" t="s">
        <v>40</v>
      </c>
      <c r="V79" s="6040" t="s">
        <v>40</v>
      </c>
      <c r="W79" s="6040" t="s">
        <v>40</v>
      </c>
      <c r="X79" s="6040" t="s">
        <v>40</v>
      </c>
      <c r="Y79" s="6040" t="s">
        <v>40</v>
      </c>
      <c r="Z79" s="6050"/>
      <c r="AA79" s="6043"/>
      <c r="AB79" s="6040" t="s">
        <v>40</v>
      </c>
      <c r="AC79" s="6040" t="s">
        <v>40</v>
      </c>
      <c r="AD79" s="6040" t="s">
        <v>40</v>
      </c>
      <c r="AE79" s="6040" t="s">
        <v>40</v>
      </c>
      <c r="AF79" s="6040" t="s">
        <v>40</v>
      </c>
    </row>
    <row r="80" spans="1:32" ht="18" customHeight="1">
      <c r="A80" s="1481" t="s">
        <v>156</v>
      </c>
      <c r="B80" s="2985">
        <v>1</v>
      </c>
      <c r="C80" s="2985">
        <v>2</v>
      </c>
      <c r="D80" s="2985">
        <v>3</v>
      </c>
      <c r="E80" s="2986">
        <v>4</v>
      </c>
      <c r="F80" s="2986">
        <v>5</v>
      </c>
      <c r="G80" s="2985">
        <v>6</v>
      </c>
      <c r="H80" s="2985">
        <v>7</v>
      </c>
      <c r="I80" s="2985">
        <v>8</v>
      </c>
      <c r="J80" s="2985">
        <v>9</v>
      </c>
      <c r="K80" s="2985">
        <v>10</v>
      </c>
      <c r="L80" s="2986">
        <v>11</v>
      </c>
      <c r="M80" s="2986">
        <v>12</v>
      </c>
      <c r="N80" s="2985">
        <v>13</v>
      </c>
      <c r="O80" s="2985">
        <v>14</v>
      </c>
      <c r="P80" s="2985">
        <v>15</v>
      </c>
      <c r="Q80" s="2985">
        <v>16</v>
      </c>
      <c r="R80" s="2985">
        <v>17</v>
      </c>
      <c r="S80" s="2986">
        <v>18</v>
      </c>
      <c r="T80" s="2986">
        <v>19</v>
      </c>
      <c r="U80" s="2985">
        <v>20</v>
      </c>
      <c r="V80" s="2985">
        <v>21</v>
      </c>
      <c r="W80" s="2985">
        <v>22</v>
      </c>
      <c r="X80" s="2985">
        <v>23</v>
      </c>
      <c r="Y80" s="2985">
        <v>24</v>
      </c>
      <c r="Z80" s="2986">
        <v>25</v>
      </c>
      <c r="AA80" s="2986">
        <v>26</v>
      </c>
      <c r="AB80" s="2985">
        <v>27</v>
      </c>
      <c r="AC80" s="2985">
        <v>28</v>
      </c>
      <c r="AD80" s="2985">
        <v>29</v>
      </c>
      <c r="AE80" s="2985">
        <v>30</v>
      </c>
      <c r="AF80" s="2985">
        <v>31</v>
      </c>
    </row>
    <row r="81" spans="1:32" ht="18" customHeight="1">
      <c r="A81" s="5591" t="s">
        <v>688</v>
      </c>
      <c r="B81" s="6040" t="s">
        <v>40</v>
      </c>
      <c r="C81" s="6040" t="s">
        <v>40</v>
      </c>
      <c r="D81" s="6040" t="s">
        <v>40</v>
      </c>
      <c r="E81" s="6040"/>
      <c r="F81" s="6040"/>
      <c r="G81" s="6040" t="s">
        <v>40</v>
      </c>
      <c r="H81" s="6040" t="s">
        <v>40</v>
      </c>
      <c r="I81" s="6040" t="s">
        <v>40</v>
      </c>
      <c r="J81" s="6040" t="s">
        <v>40</v>
      </c>
      <c r="K81" s="6040" t="s">
        <v>40</v>
      </c>
      <c r="L81" s="6050"/>
      <c r="M81" s="6043"/>
      <c r="N81" s="6040" t="s">
        <v>40</v>
      </c>
      <c r="O81" s="6040" t="s">
        <v>40</v>
      </c>
      <c r="P81" s="6040" t="s">
        <v>40</v>
      </c>
      <c r="Q81" s="6040" t="s">
        <v>40</v>
      </c>
      <c r="R81" s="6040" t="s">
        <v>40</v>
      </c>
      <c r="S81" s="6050"/>
      <c r="T81" s="6043"/>
      <c r="U81" s="6040" t="s">
        <v>40</v>
      </c>
      <c r="V81" s="6040" t="s">
        <v>40</v>
      </c>
      <c r="W81" s="6040" t="s">
        <v>40</v>
      </c>
      <c r="X81" s="6040" t="s">
        <v>40</v>
      </c>
      <c r="Y81" s="6040" t="s">
        <v>40</v>
      </c>
      <c r="Z81" s="6050"/>
      <c r="AA81" s="6043"/>
      <c r="AB81" s="6040" t="s">
        <v>40</v>
      </c>
      <c r="AC81" s="6040" t="s">
        <v>40</v>
      </c>
      <c r="AD81" s="6040" t="s">
        <v>40</v>
      </c>
      <c r="AE81" s="6040" t="s">
        <v>40</v>
      </c>
      <c r="AF81" s="6040" t="s">
        <v>40</v>
      </c>
    </row>
    <row r="82" spans="1:32" ht="18" customHeight="1">
      <c r="A82" s="364" t="s">
        <v>544</v>
      </c>
      <c r="B82" s="6040"/>
      <c r="C82" s="6040"/>
      <c r="D82" s="6040"/>
      <c r="E82" s="6040"/>
      <c r="F82" s="6040"/>
      <c r="G82" s="6040"/>
      <c r="H82" s="6040"/>
      <c r="I82" s="6040"/>
      <c r="J82" s="6040"/>
      <c r="K82" s="6040"/>
      <c r="L82" s="6050"/>
      <c r="M82" s="6043"/>
      <c r="N82" s="6040"/>
      <c r="O82" s="6040"/>
      <c r="P82" s="6040"/>
      <c r="Q82" s="6040"/>
      <c r="R82" s="6040"/>
      <c r="S82" s="6050"/>
      <c r="T82" s="6043"/>
      <c r="U82" s="6040"/>
      <c r="V82" s="6040"/>
      <c r="W82" s="6040"/>
      <c r="X82" s="6040"/>
      <c r="Y82" s="6040"/>
      <c r="Z82" s="6050"/>
      <c r="AA82" s="6043"/>
      <c r="AB82" s="6040"/>
      <c r="AC82" s="6040"/>
      <c r="AD82" s="6040"/>
      <c r="AE82" s="6040"/>
      <c r="AF82" s="6040"/>
    </row>
    <row r="83" spans="1:32" ht="18" customHeight="1">
      <c r="A83" s="469" t="s">
        <v>481</v>
      </c>
      <c r="B83" s="6040" t="s">
        <v>40</v>
      </c>
      <c r="C83" s="6040" t="s">
        <v>40</v>
      </c>
      <c r="D83" s="6040" t="s">
        <v>40</v>
      </c>
      <c r="E83" s="6040"/>
      <c r="F83" s="6040"/>
      <c r="G83" s="6040" t="s">
        <v>40</v>
      </c>
      <c r="H83" s="6040" t="s">
        <v>40</v>
      </c>
      <c r="I83" s="6040" t="s">
        <v>40</v>
      </c>
      <c r="J83" s="6040" t="s">
        <v>40</v>
      </c>
      <c r="K83" s="6040" t="s">
        <v>40</v>
      </c>
      <c r="L83" s="6050"/>
      <c r="M83" s="6043"/>
      <c r="N83" s="6040" t="s">
        <v>40</v>
      </c>
      <c r="O83" s="6040" t="s">
        <v>40</v>
      </c>
      <c r="P83" s="6040" t="s">
        <v>40</v>
      </c>
      <c r="Q83" s="6040" t="s">
        <v>40</v>
      </c>
      <c r="R83" s="6040" t="s">
        <v>40</v>
      </c>
      <c r="S83" s="6050"/>
      <c r="T83" s="6043"/>
      <c r="U83" s="6040" t="s">
        <v>40</v>
      </c>
      <c r="V83" s="6040" t="s">
        <v>40</v>
      </c>
      <c r="W83" s="6040" t="s">
        <v>40</v>
      </c>
      <c r="X83" s="6040" t="s">
        <v>40</v>
      </c>
      <c r="Y83" s="6040" t="s">
        <v>40</v>
      </c>
      <c r="Z83" s="6050"/>
      <c r="AA83" s="6043"/>
      <c r="AB83" s="6040" t="s">
        <v>40</v>
      </c>
      <c r="AC83" s="6040" t="s">
        <v>40</v>
      </c>
      <c r="AD83" s="6040" t="s">
        <v>40</v>
      </c>
      <c r="AE83" s="6040" t="s">
        <v>40</v>
      </c>
      <c r="AF83" s="6040" t="s">
        <v>40</v>
      </c>
    </row>
    <row r="84" spans="1:32" ht="18" customHeight="1">
      <c r="A84" s="430" t="s">
        <v>160</v>
      </c>
      <c r="B84" s="2985">
        <v>1</v>
      </c>
      <c r="C84" s="2985">
        <v>2</v>
      </c>
      <c r="D84" s="2985">
        <v>3</v>
      </c>
      <c r="E84" s="2986">
        <v>4</v>
      </c>
      <c r="F84" s="2986">
        <v>5</v>
      </c>
      <c r="G84" s="2985">
        <v>6</v>
      </c>
      <c r="H84" s="2985">
        <v>7</v>
      </c>
      <c r="I84" s="2985">
        <v>8</v>
      </c>
      <c r="J84" s="2985">
        <v>9</v>
      </c>
      <c r="K84" s="2985">
        <v>10</v>
      </c>
      <c r="L84" s="2986">
        <v>11</v>
      </c>
      <c r="M84" s="2986">
        <v>12</v>
      </c>
      <c r="N84" s="2985">
        <v>13</v>
      </c>
      <c r="O84" s="2985">
        <v>14</v>
      </c>
      <c r="P84" s="2985">
        <v>15</v>
      </c>
      <c r="Q84" s="2985">
        <v>16</v>
      </c>
      <c r="R84" s="2985">
        <v>17</v>
      </c>
      <c r="S84" s="2986">
        <v>18</v>
      </c>
      <c r="T84" s="2986">
        <v>19</v>
      </c>
      <c r="U84" s="2985">
        <v>20</v>
      </c>
      <c r="V84" s="2985">
        <v>21</v>
      </c>
      <c r="W84" s="2985">
        <v>22</v>
      </c>
      <c r="X84" s="2985">
        <v>23</v>
      </c>
      <c r="Y84" s="2985">
        <v>24</v>
      </c>
      <c r="Z84" s="2986">
        <v>25</v>
      </c>
      <c r="AA84" s="2986">
        <v>26</v>
      </c>
      <c r="AB84" s="2985">
        <v>27</v>
      </c>
      <c r="AC84" s="2985">
        <v>28</v>
      </c>
      <c r="AD84" s="2985">
        <v>29</v>
      </c>
      <c r="AE84" s="2985">
        <v>30</v>
      </c>
      <c r="AF84" s="2985">
        <v>31</v>
      </c>
    </row>
    <row r="85" spans="1:32" ht="18" customHeight="1">
      <c r="A85" s="355"/>
      <c r="B85" s="6040" t="s">
        <v>40</v>
      </c>
      <c r="C85" s="6040" t="s">
        <v>40</v>
      </c>
      <c r="D85" s="6040" t="s">
        <v>40</v>
      </c>
      <c r="E85" s="6040"/>
      <c r="F85" s="6040"/>
      <c r="G85" s="6040" t="s">
        <v>40</v>
      </c>
      <c r="H85" s="6040" t="s">
        <v>40</v>
      </c>
      <c r="I85" s="6040" t="s">
        <v>40</v>
      </c>
      <c r="J85" s="6040" t="s">
        <v>40</v>
      </c>
      <c r="K85" s="6040" t="s">
        <v>40</v>
      </c>
      <c r="L85" s="6050"/>
      <c r="M85" s="6043"/>
      <c r="N85" s="6040" t="s">
        <v>40</v>
      </c>
      <c r="O85" s="6040" t="s">
        <v>40</v>
      </c>
      <c r="P85" s="6040" t="s">
        <v>40</v>
      </c>
      <c r="Q85" s="6040" t="s">
        <v>40</v>
      </c>
      <c r="R85" s="6040" t="s">
        <v>40</v>
      </c>
      <c r="S85" s="6050"/>
      <c r="T85" s="6043"/>
      <c r="U85" s="6040" t="s">
        <v>40</v>
      </c>
      <c r="V85" s="6040" t="s">
        <v>40</v>
      </c>
      <c r="W85" s="6040" t="s">
        <v>40</v>
      </c>
      <c r="X85" s="6040" t="s">
        <v>40</v>
      </c>
      <c r="Y85" s="6040" t="s">
        <v>40</v>
      </c>
      <c r="Z85" s="6050"/>
      <c r="AA85" s="6043"/>
      <c r="AB85" s="6040" t="s">
        <v>40</v>
      </c>
      <c r="AC85" s="6040" t="s">
        <v>40</v>
      </c>
      <c r="AD85" s="6040" t="s">
        <v>40</v>
      </c>
      <c r="AE85" s="6040" t="s">
        <v>40</v>
      </c>
      <c r="AF85" s="6040" t="s">
        <v>40</v>
      </c>
    </row>
    <row r="86" spans="1:32" ht="18" customHeight="1">
      <c r="A86" s="6055"/>
      <c r="B86" s="6040" t="s">
        <v>40</v>
      </c>
      <c r="C86" s="6040" t="s">
        <v>40</v>
      </c>
      <c r="D86" s="6040" t="s">
        <v>40</v>
      </c>
      <c r="E86" s="6040"/>
      <c r="F86" s="6040"/>
      <c r="G86" s="6040" t="s">
        <v>40</v>
      </c>
      <c r="H86" s="6040" t="s">
        <v>40</v>
      </c>
      <c r="I86" s="6040" t="s">
        <v>40</v>
      </c>
      <c r="J86" s="6040" t="s">
        <v>40</v>
      </c>
      <c r="K86" s="6040" t="s">
        <v>40</v>
      </c>
      <c r="L86" s="6050"/>
      <c r="M86" s="6043"/>
      <c r="N86" s="6040" t="s">
        <v>40</v>
      </c>
      <c r="O86" s="6040" t="s">
        <v>40</v>
      </c>
      <c r="P86" s="6040" t="s">
        <v>40</v>
      </c>
      <c r="Q86" s="6040" t="s">
        <v>40</v>
      </c>
      <c r="R86" s="6040" t="s">
        <v>40</v>
      </c>
      <c r="S86" s="6050"/>
      <c r="T86" s="6043"/>
      <c r="U86" s="6040" t="s">
        <v>40</v>
      </c>
      <c r="V86" s="6040" t="s">
        <v>40</v>
      </c>
      <c r="W86" s="6040" t="s">
        <v>40</v>
      </c>
      <c r="X86" s="6040" t="s">
        <v>40</v>
      </c>
      <c r="Y86" s="6040" t="s">
        <v>40</v>
      </c>
      <c r="Z86" s="6050"/>
      <c r="AA86" s="6043"/>
      <c r="AB86" s="6040" t="s">
        <v>40</v>
      </c>
      <c r="AC86" s="6040" t="s">
        <v>40</v>
      </c>
      <c r="AD86" s="6040" t="s">
        <v>40</v>
      </c>
      <c r="AE86" s="6040" t="s">
        <v>40</v>
      </c>
      <c r="AF86" s="6040" t="s">
        <v>40</v>
      </c>
    </row>
    <row r="87" spans="1:32" ht="18" customHeight="1">
      <c r="A87" s="68"/>
      <c r="B87" s="176"/>
      <c r="C87" s="176"/>
      <c r="D87" s="176"/>
      <c r="E87" s="176"/>
      <c r="F87" s="176"/>
      <c r="G87" s="176"/>
      <c r="H87" s="176"/>
      <c r="I87" s="176"/>
      <c r="J87" s="176"/>
      <c r="K87" s="176"/>
      <c r="L87" s="176"/>
      <c r="M87" s="176"/>
      <c r="N87" s="176"/>
      <c r="O87" s="176"/>
      <c r="P87" s="176"/>
      <c r="Q87" s="176"/>
      <c r="R87" s="176"/>
      <c r="S87" s="176"/>
      <c r="T87" s="176"/>
      <c r="U87" s="176"/>
      <c r="V87" s="176"/>
      <c r="W87" s="176"/>
      <c r="X87" s="176"/>
      <c r="Y87" s="176"/>
      <c r="Z87" s="176"/>
      <c r="AA87" s="176"/>
      <c r="AB87" s="176"/>
      <c r="AC87" s="176"/>
      <c r="AD87" s="176"/>
      <c r="AE87" s="176"/>
    </row>
    <row r="88" spans="1:32" ht="18" customHeight="1">
      <c r="A88" s="836" t="s">
        <v>161</v>
      </c>
      <c r="B88" s="6014"/>
      <c r="C88" s="5940" t="s">
        <v>19</v>
      </c>
      <c r="D88" s="5939"/>
      <c r="E88" s="5939"/>
      <c r="F88" s="5940" t="s">
        <v>20</v>
      </c>
      <c r="G88" s="5939"/>
      <c r="H88" s="5939"/>
      <c r="I88" s="5940" t="s">
        <v>21</v>
      </c>
      <c r="J88" s="5939"/>
      <c r="K88" s="5939"/>
      <c r="L88" s="5940" t="s">
        <v>22</v>
      </c>
      <c r="M88" s="5939"/>
      <c r="N88" s="5939"/>
      <c r="O88" s="5940" t="s">
        <v>23</v>
      </c>
      <c r="P88" s="5939"/>
      <c r="Q88" s="5937"/>
      <c r="R88" s="5938" t="s">
        <v>24</v>
      </c>
      <c r="S88" s="5939"/>
      <c r="T88" s="5939"/>
      <c r="U88" s="5940" t="s">
        <v>25</v>
      </c>
      <c r="V88" s="5939"/>
      <c r="W88" s="68"/>
      <c r="X88" s="68"/>
      <c r="Y88" s="68"/>
      <c r="Z88" s="68"/>
      <c r="AA88" s="68"/>
      <c r="AB88" s="68"/>
      <c r="AC88" s="68"/>
      <c r="AD88" s="68"/>
      <c r="AE88" s="68"/>
    </row>
    <row r="89" spans="1:32" ht="18" customHeight="1">
      <c r="A89" s="841" t="s">
        <v>162</v>
      </c>
      <c r="B89" s="6056" t="s">
        <v>163</v>
      </c>
      <c r="C89" s="6057"/>
      <c r="D89" s="6057"/>
      <c r="E89" s="6056" t="s">
        <v>163</v>
      </c>
      <c r="F89" s="6057"/>
      <c r="G89" s="6057"/>
      <c r="H89" s="6056" t="s">
        <v>163</v>
      </c>
      <c r="I89" s="6057"/>
      <c r="J89" s="6057"/>
      <c r="K89" s="6056" t="s">
        <v>163</v>
      </c>
      <c r="L89" s="6057"/>
      <c r="M89" s="6057"/>
      <c r="N89" s="6056" t="s">
        <v>163</v>
      </c>
      <c r="O89" s="6057"/>
      <c r="P89" s="6057"/>
      <c r="Q89" s="6058"/>
      <c r="R89" s="6057"/>
      <c r="S89" s="6057"/>
      <c r="T89" s="6058" t="s">
        <v>164</v>
      </c>
      <c r="U89" s="6057"/>
      <c r="V89" s="6059"/>
      <c r="W89" s="68"/>
      <c r="X89" s="68"/>
      <c r="Y89" s="68"/>
      <c r="Z89" s="68"/>
      <c r="AA89" s="68"/>
      <c r="AB89" s="68"/>
      <c r="AC89" s="68"/>
      <c r="AD89" s="68"/>
      <c r="AE89" s="68"/>
    </row>
    <row r="90" spans="1:32" ht="18" customHeight="1">
      <c r="A90" s="6060" t="s">
        <v>165</v>
      </c>
      <c r="B90" s="6061" t="s">
        <v>166</v>
      </c>
      <c r="C90" s="6062"/>
      <c r="D90" s="6062"/>
      <c r="E90" s="6061" t="s">
        <v>167</v>
      </c>
      <c r="F90" s="6062"/>
      <c r="G90" s="6062"/>
      <c r="H90" s="6061" t="s">
        <v>167</v>
      </c>
      <c r="I90" s="6062"/>
      <c r="J90" s="6062"/>
      <c r="K90" s="6061" t="s">
        <v>167</v>
      </c>
      <c r="L90" s="6062"/>
      <c r="M90" s="6062"/>
      <c r="N90" s="6061" t="s">
        <v>168</v>
      </c>
      <c r="O90" s="6062"/>
      <c r="P90" s="6062"/>
      <c r="Q90" s="242"/>
      <c r="R90" s="46"/>
      <c r="S90" s="6059"/>
      <c r="T90" s="242"/>
      <c r="U90" s="46"/>
      <c r="V90" s="6059"/>
      <c r="W90" s="68"/>
      <c r="X90" s="68"/>
      <c r="Y90" s="68"/>
      <c r="Z90" s="68"/>
      <c r="AA90" s="68"/>
      <c r="AB90" s="68"/>
      <c r="AC90" s="68"/>
      <c r="AD90" s="68"/>
      <c r="AE90" s="68"/>
    </row>
    <row r="91" spans="1:32" ht="18" customHeight="1">
      <c r="A91" s="6060" t="s">
        <v>169</v>
      </c>
      <c r="B91" s="6063" t="s">
        <v>170</v>
      </c>
      <c r="C91" s="6013"/>
      <c r="D91" s="6013"/>
      <c r="E91" s="6063" t="s">
        <v>171</v>
      </c>
      <c r="F91" s="6021"/>
      <c r="G91" s="6013"/>
      <c r="H91" s="6063" t="s">
        <v>171</v>
      </c>
      <c r="I91" s="6000"/>
      <c r="J91" s="5999"/>
      <c r="K91" s="5617" t="s">
        <v>172</v>
      </c>
      <c r="L91" s="6000"/>
      <c r="M91" s="5618"/>
      <c r="N91" s="6063" t="s">
        <v>172</v>
      </c>
      <c r="O91" s="6013"/>
      <c r="P91" s="6013"/>
      <c r="Q91" s="5617" t="s">
        <v>173</v>
      </c>
      <c r="R91" s="6000"/>
      <c r="S91" s="5999"/>
      <c r="T91" s="5617" t="s">
        <v>173</v>
      </c>
      <c r="U91" s="6000"/>
      <c r="V91" s="5999"/>
      <c r="W91" s="68"/>
      <c r="X91" s="68"/>
      <c r="Y91" s="68"/>
      <c r="Z91" s="68"/>
      <c r="AA91" s="68"/>
      <c r="AB91" s="68"/>
      <c r="AC91" s="68"/>
      <c r="AD91" s="68"/>
      <c r="AE91" s="68"/>
    </row>
    <row r="92" spans="1:32" ht="18" customHeight="1">
      <c r="A92" s="6060" t="s">
        <v>174</v>
      </c>
      <c r="B92" s="6063" t="s">
        <v>46</v>
      </c>
      <c r="C92" s="6013"/>
      <c r="D92" s="6013"/>
      <c r="E92" s="6063" t="s">
        <v>46</v>
      </c>
      <c r="F92" s="6021"/>
      <c r="G92" s="6013"/>
      <c r="H92" s="5617" t="s">
        <v>46</v>
      </c>
      <c r="I92" s="6000"/>
      <c r="J92" s="5999"/>
      <c r="K92" s="5617" t="s">
        <v>46</v>
      </c>
      <c r="L92" s="6000"/>
      <c r="M92" s="5618"/>
      <c r="N92" s="6063" t="s">
        <v>46</v>
      </c>
      <c r="O92" s="6013"/>
      <c r="P92" s="6013"/>
      <c r="Q92" s="5617"/>
      <c r="R92" s="6000"/>
      <c r="S92" s="5999"/>
      <c r="T92" s="5617"/>
      <c r="U92" s="6000"/>
      <c r="V92" s="5822"/>
      <c r="W92" s="68"/>
      <c r="X92" s="68"/>
      <c r="Y92" s="68"/>
      <c r="Z92" s="68"/>
      <c r="AA92" s="68"/>
      <c r="AB92" s="68"/>
      <c r="AC92" s="68"/>
      <c r="AD92" s="68"/>
      <c r="AE92" s="68"/>
    </row>
    <row r="93" spans="1:32" ht="18" customHeight="1">
      <c r="A93" s="363" t="s">
        <v>161</v>
      </c>
      <c r="B93" s="2985">
        <v>1</v>
      </c>
      <c r="C93" s="2985">
        <v>2</v>
      </c>
      <c r="D93" s="2985">
        <v>3</v>
      </c>
      <c r="E93" s="2986">
        <v>4</v>
      </c>
      <c r="F93" s="2986">
        <v>5</v>
      </c>
      <c r="G93" s="2985">
        <v>6</v>
      </c>
      <c r="H93" s="2985">
        <v>7</v>
      </c>
      <c r="I93" s="2985">
        <v>8</v>
      </c>
      <c r="J93" s="2985">
        <v>9</v>
      </c>
      <c r="K93" s="2985">
        <v>10</v>
      </c>
      <c r="L93" s="2986">
        <v>11</v>
      </c>
      <c r="M93" s="2986">
        <v>12</v>
      </c>
      <c r="N93" s="2985">
        <v>13</v>
      </c>
      <c r="O93" s="2985">
        <v>14</v>
      </c>
      <c r="P93" s="2985">
        <v>15</v>
      </c>
      <c r="Q93" s="2985">
        <v>16</v>
      </c>
      <c r="R93" s="2985">
        <v>17</v>
      </c>
      <c r="S93" s="2986">
        <v>18</v>
      </c>
      <c r="T93" s="2986">
        <v>19</v>
      </c>
      <c r="U93" s="2985">
        <v>20</v>
      </c>
      <c r="V93" s="2985">
        <v>21</v>
      </c>
      <c r="W93" s="2985">
        <v>22</v>
      </c>
      <c r="X93" s="2985">
        <v>23</v>
      </c>
      <c r="Y93" s="2985">
        <v>24</v>
      </c>
      <c r="Z93" s="2986">
        <v>25</v>
      </c>
      <c r="AA93" s="2986">
        <v>26</v>
      </c>
      <c r="AB93" s="2985">
        <v>27</v>
      </c>
      <c r="AC93" s="2985">
        <v>28</v>
      </c>
      <c r="AD93" s="2985">
        <v>29</v>
      </c>
      <c r="AE93" s="2985">
        <v>30</v>
      </c>
      <c r="AF93" s="2985">
        <v>31</v>
      </c>
    </row>
    <row r="94" spans="1:32" ht="18" customHeight="1">
      <c r="A94" s="5192" t="s">
        <v>175</v>
      </c>
      <c r="B94" s="6064">
        <v>25</v>
      </c>
      <c r="C94" s="6064">
        <v>25</v>
      </c>
      <c r="D94" s="6064">
        <v>25</v>
      </c>
      <c r="E94" s="6064"/>
      <c r="F94" s="6064">
        <v>26</v>
      </c>
      <c r="G94" s="6064">
        <v>26</v>
      </c>
      <c r="H94" s="6064">
        <v>26</v>
      </c>
      <c r="I94" s="6064">
        <v>26</v>
      </c>
      <c r="J94" s="6064"/>
      <c r="K94" s="6064">
        <v>26</v>
      </c>
      <c r="L94" s="585"/>
      <c r="M94" s="585"/>
      <c r="N94" s="585" t="s">
        <v>121</v>
      </c>
      <c r="O94" s="585" t="s">
        <v>121</v>
      </c>
      <c r="P94" s="585" t="s">
        <v>121</v>
      </c>
      <c r="Q94" s="585" t="s">
        <v>121</v>
      </c>
      <c r="R94" s="585" t="s">
        <v>121</v>
      </c>
      <c r="S94" s="6064" t="s">
        <v>120</v>
      </c>
      <c r="T94" s="5939" t="s">
        <v>120</v>
      </c>
      <c r="U94" s="5939" t="s">
        <v>46</v>
      </c>
      <c r="V94" s="5939" t="s">
        <v>46</v>
      </c>
      <c r="W94" s="5939" t="s">
        <v>46</v>
      </c>
      <c r="X94" s="6064" t="s">
        <v>46</v>
      </c>
      <c r="Y94" s="6064" t="s">
        <v>46</v>
      </c>
      <c r="Z94" s="6064"/>
      <c r="AA94" s="6039"/>
      <c r="AB94" s="6064">
        <v>25</v>
      </c>
      <c r="AC94" s="6064">
        <v>25</v>
      </c>
      <c r="AD94" s="6064">
        <v>25</v>
      </c>
      <c r="AE94" s="6064">
        <v>25</v>
      </c>
      <c r="AF94" s="6064">
        <v>25</v>
      </c>
    </row>
    <row r="95" spans="1:32" ht="18" customHeight="1">
      <c r="A95" s="5595" t="s">
        <v>176</v>
      </c>
      <c r="B95" s="6064">
        <v>26</v>
      </c>
      <c r="C95" s="6064">
        <v>26</v>
      </c>
      <c r="D95" s="6064">
        <v>26</v>
      </c>
      <c r="E95" s="585"/>
      <c r="F95" s="585"/>
      <c r="G95" s="585" t="s">
        <v>121</v>
      </c>
      <c r="H95" s="585" t="s">
        <v>121</v>
      </c>
      <c r="I95" s="585" t="s">
        <v>121</v>
      </c>
      <c r="J95" s="585" t="s">
        <v>120</v>
      </c>
      <c r="K95" s="585" t="s">
        <v>121</v>
      </c>
      <c r="L95" s="6064" t="s">
        <v>120</v>
      </c>
      <c r="M95" s="6064" t="s">
        <v>120</v>
      </c>
      <c r="N95" s="6064" t="s">
        <v>46</v>
      </c>
      <c r="O95" s="6064" t="s">
        <v>46</v>
      </c>
      <c r="P95" s="6064" t="s">
        <v>46</v>
      </c>
      <c r="Q95" s="6064" t="s">
        <v>46</v>
      </c>
      <c r="R95" s="6064" t="s">
        <v>46</v>
      </c>
      <c r="S95" s="6064"/>
      <c r="T95" s="6064"/>
      <c r="U95" s="6064"/>
      <c r="V95" s="6064">
        <v>25</v>
      </c>
      <c r="W95" s="6064">
        <v>25</v>
      </c>
      <c r="X95" s="6064">
        <v>25</v>
      </c>
      <c r="Y95" s="6064">
        <v>25</v>
      </c>
      <c r="Z95" s="6064"/>
      <c r="AA95" s="6064">
        <v>26</v>
      </c>
      <c r="AB95" s="6064">
        <v>26</v>
      </c>
      <c r="AC95" s="6064">
        <v>26</v>
      </c>
      <c r="AD95" s="6064">
        <v>26</v>
      </c>
      <c r="AE95" s="6064">
        <v>26</v>
      </c>
      <c r="AF95" s="6064">
        <v>26</v>
      </c>
    </row>
    <row r="96" spans="1:32" ht="18" customHeight="1">
      <c r="A96" s="6053" t="s">
        <v>135</v>
      </c>
      <c r="B96" s="6064" t="s">
        <v>121</v>
      </c>
      <c r="C96" s="6064" t="s">
        <v>121</v>
      </c>
      <c r="D96" s="6064" t="s">
        <v>121</v>
      </c>
      <c r="E96" s="6064" t="s">
        <v>120</v>
      </c>
      <c r="F96" s="6064" t="s">
        <v>120</v>
      </c>
      <c r="G96" s="6064" t="s">
        <v>46</v>
      </c>
      <c r="H96" s="6064" t="s">
        <v>46</v>
      </c>
      <c r="I96" s="6064" t="s">
        <v>46</v>
      </c>
      <c r="J96" s="6064" t="s">
        <v>46</v>
      </c>
      <c r="K96" s="6064" t="s">
        <v>46</v>
      </c>
      <c r="L96" s="6064"/>
      <c r="M96" s="6064"/>
      <c r="N96" s="6064">
        <v>25</v>
      </c>
      <c r="O96" s="6064">
        <v>25</v>
      </c>
      <c r="P96" s="6064">
        <v>25</v>
      </c>
      <c r="Q96" s="6064">
        <v>25</v>
      </c>
      <c r="R96" s="6064">
        <v>25</v>
      </c>
      <c r="S96" s="6064"/>
      <c r="T96" s="6064">
        <v>26</v>
      </c>
      <c r="U96" s="6064"/>
      <c r="V96" s="6064">
        <v>26</v>
      </c>
      <c r="W96" s="6064">
        <v>26</v>
      </c>
      <c r="X96" s="6064">
        <v>26</v>
      </c>
      <c r="Y96" s="6064">
        <v>26</v>
      </c>
      <c r="Z96" s="6064"/>
      <c r="AA96" s="6064"/>
      <c r="AB96" s="6064" t="s">
        <v>121</v>
      </c>
      <c r="AC96" s="6064" t="s">
        <v>121</v>
      </c>
      <c r="AD96" s="6064" t="s">
        <v>121</v>
      </c>
      <c r="AE96" s="6064" t="s">
        <v>121</v>
      </c>
      <c r="AF96" s="6064" t="s">
        <v>121</v>
      </c>
    </row>
    <row r="97" spans="1:32" ht="18" customHeight="1">
      <c r="A97" s="462" t="s">
        <v>146</v>
      </c>
      <c r="B97" s="6064" t="s">
        <v>46</v>
      </c>
      <c r="C97" s="6064" t="s">
        <v>46</v>
      </c>
      <c r="D97" s="6064" t="s">
        <v>46</v>
      </c>
      <c r="E97" s="6064"/>
      <c r="F97" s="6064"/>
      <c r="G97" s="6064">
        <v>25</v>
      </c>
      <c r="H97" s="6064">
        <v>25</v>
      </c>
      <c r="I97" s="6064">
        <v>25</v>
      </c>
      <c r="J97" s="6064"/>
      <c r="K97" s="6064">
        <v>25</v>
      </c>
      <c r="L97" s="6064"/>
      <c r="M97" s="6064">
        <v>26</v>
      </c>
      <c r="N97" s="6064">
        <v>26</v>
      </c>
      <c r="O97" s="6064">
        <v>26</v>
      </c>
      <c r="P97" s="6064">
        <v>26</v>
      </c>
      <c r="Q97" s="6064">
        <v>26</v>
      </c>
      <c r="R97" s="6064">
        <v>26</v>
      </c>
      <c r="S97" s="6064"/>
      <c r="T97" s="6064"/>
      <c r="U97" s="6064" t="s">
        <v>120</v>
      </c>
      <c r="V97" s="6064" t="s">
        <v>121</v>
      </c>
      <c r="W97" s="6064" t="s">
        <v>121</v>
      </c>
      <c r="X97" s="6064" t="s">
        <v>121</v>
      </c>
      <c r="Y97" s="6064" t="s">
        <v>121</v>
      </c>
      <c r="Z97" s="6064" t="s">
        <v>120</v>
      </c>
      <c r="AA97" s="6064" t="s">
        <v>120</v>
      </c>
      <c r="AB97" s="6064" t="s">
        <v>46</v>
      </c>
      <c r="AC97" s="6064" t="s">
        <v>46</v>
      </c>
      <c r="AD97" s="6064" t="s">
        <v>46</v>
      </c>
      <c r="AE97" s="6064" t="s">
        <v>46</v>
      </c>
      <c r="AF97" s="6064" t="s">
        <v>46</v>
      </c>
    </row>
    <row r="98" spans="1:32" ht="18" customHeight="1">
      <c r="A98" s="68"/>
      <c r="B98" s="176"/>
      <c r="C98" s="176"/>
      <c r="D98" s="176"/>
      <c r="E98" s="176"/>
      <c r="F98" s="176"/>
      <c r="G98" s="176"/>
      <c r="H98" s="176"/>
      <c r="I98" s="176"/>
      <c r="J98" s="176"/>
      <c r="K98" s="176"/>
      <c r="L98" s="176"/>
      <c r="M98" s="176"/>
      <c r="N98" s="176"/>
      <c r="O98" s="176"/>
      <c r="P98" s="176"/>
      <c r="Q98" s="176"/>
      <c r="R98" s="176"/>
      <c r="S98" s="176"/>
      <c r="T98" s="176"/>
      <c r="U98" s="176"/>
      <c r="V98" s="176"/>
      <c r="W98" s="176"/>
      <c r="X98" s="176"/>
      <c r="Y98" s="176"/>
      <c r="Z98" s="176"/>
      <c r="AA98" s="176"/>
      <c r="AB98" s="176"/>
      <c r="AC98" s="176"/>
      <c r="AD98" s="176"/>
      <c r="AE98" s="176"/>
    </row>
    <row r="99" spans="1:32" ht="18" customHeight="1">
      <c r="A99" s="134" t="s">
        <v>180</v>
      </c>
      <c r="B99" s="135"/>
      <c r="C99" s="135"/>
      <c r="D99" s="136" t="s">
        <v>181</v>
      </c>
      <c r="E99" s="135"/>
      <c r="F99" s="135"/>
      <c r="G99" s="135"/>
      <c r="H99" s="135"/>
      <c r="I99" s="135"/>
      <c r="J99" s="135" t="s">
        <v>0</v>
      </c>
      <c r="K99" s="135"/>
      <c r="L99" s="135"/>
      <c r="M99" s="135"/>
      <c r="N99" s="135"/>
      <c r="O99" s="135"/>
      <c r="P99" s="135"/>
      <c r="Q99" s="147" t="s">
        <v>0</v>
      </c>
      <c r="R99" s="147"/>
      <c r="S99" s="147"/>
      <c r="T99" s="108"/>
      <c r="U99" s="108"/>
      <c r="V99" s="108"/>
      <c r="W99" s="108"/>
      <c r="X99" s="108"/>
      <c r="Y99" s="108"/>
      <c r="Z99" s="108"/>
      <c r="AA99" s="108"/>
      <c r="AB99" s="108"/>
      <c r="AC99" s="108"/>
      <c r="AD99" s="108"/>
      <c r="AE99" s="108"/>
      <c r="AF99" s="108"/>
    </row>
    <row r="100" spans="1:32" ht="18" customHeight="1">
      <c r="A100" s="388" t="s">
        <v>178</v>
      </c>
      <c r="B100" s="2985">
        <v>1</v>
      </c>
      <c r="C100" s="2985">
        <v>2</v>
      </c>
      <c r="D100" s="2985">
        <v>3</v>
      </c>
      <c r="E100" s="2986">
        <v>4</v>
      </c>
      <c r="F100" s="2986">
        <v>5</v>
      </c>
      <c r="G100" s="2985">
        <v>6</v>
      </c>
      <c r="H100" s="2985">
        <v>7</v>
      </c>
      <c r="I100" s="2985">
        <v>8</v>
      </c>
      <c r="J100" s="2985">
        <v>9</v>
      </c>
      <c r="K100" s="2985">
        <v>10</v>
      </c>
      <c r="L100" s="2986">
        <v>11</v>
      </c>
      <c r="M100" s="2986">
        <v>12</v>
      </c>
      <c r="N100" s="2985">
        <v>13</v>
      </c>
      <c r="O100" s="2985">
        <v>14</v>
      </c>
      <c r="P100" s="2985">
        <v>15</v>
      </c>
      <c r="Q100" s="2985">
        <v>16</v>
      </c>
      <c r="R100" s="2985">
        <v>17</v>
      </c>
      <c r="S100" s="2986">
        <v>18</v>
      </c>
      <c r="T100" s="2986">
        <v>19</v>
      </c>
      <c r="U100" s="2985">
        <v>20</v>
      </c>
      <c r="V100" s="2985">
        <v>21</v>
      </c>
      <c r="W100" s="2985">
        <v>22</v>
      </c>
      <c r="X100" s="2985">
        <v>23</v>
      </c>
      <c r="Y100" s="2985">
        <v>24</v>
      </c>
      <c r="Z100" s="2986">
        <v>25</v>
      </c>
      <c r="AA100" s="2986">
        <v>26</v>
      </c>
      <c r="AB100" s="2985">
        <v>27</v>
      </c>
      <c r="AC100" s="2985">
        <v>28</v>
      </c>
      <c r="AD100" s="2985">
        <v>29</v>
      </c>
      <c r="AE100" s="2985">
        <v>30</v>
      </c>
      <c r="AF100" s="2985">
        <v>31</v>
      </c>
    </row>
    <row r="101" spans="1:32" ht="18" customHeight="1">
      <c r="A101" s="392" t="s">
        <v>184</v>
      </c>
      <c r="B101" s="5966" t="s">
        <v>118</v>
      </c>
      <c r="C101" s="5966" t="s">
        <v>118</v>
      </c>
      <c r="D101" s="5966" t="s">
        <v>118</v>
      </c>
      <c r="E101" s="5966" t="s">
        <v>118</v>
      </c>
      <c r="F101" s="5966" t="s">
        <v>118</v>
      </c>
      <c r="G101" s="5966" t="s">
        <v>46</v>
      </c>
      <c r="H101" s="5966" t="s">
        <v>46</v>
      </c>
      <c r="I101" s="5966" t="s">
        <v>46</v>
      </c>
      <c r="J101" s="5966" t="s">
        <v>46</v>
      </c>
      <c r="K101" s="5966" t="s">
        <v>46</v>
      </c>
      <c r="L101" s="5966"/>
      <c r="M101" s="5966"/>
      <c r="N101" s="5966" t="s">
        <v>118</v>
      </c>
      <c r="O101" s="5966" t="s">
        <v>118</v>
      </c>
      <c r="P101" s="5966" t="s">
        <v>118</v>
      </c>
      <c r="Q101" s="5966" t="s">
        <v>118</v>
      </c>
      <c r="R101" s="5966" t="s">
        <v>118</v>
      </c>
      <c r="S101" s="5966" t="s">
        <v>118</v>
      </c>
      <c r="T101" s="5966" t="s">
        <v>118</v>
      </c>
      <c r="U101" s="5966" t="s">
        <v>46</v>
      </c>
      <c r="V101" s="5966" t="s">
        <v>46</v>
      </c>
      <c r="W101" s="5966" t="s">
        <v>46</v>
      </c>
      <c r="X101" s="5966" t="s">
        <v>46</v>
      </c>
      <c r="Y101" s="5966" t="s">
        <v>46</v>
      </c>
      <c r="Z101" s="5966"/>
      <c r="AA101" s="5966"/>
      <c r="AB101" s="5966" t="s">
        <v>118</v>
      </c>
      <c r="AC101" s="5966" t="s">
        <v>118</v>
      </c>
      <c r="AD101" s="5966" t="s">
        <v>118</v>
      </c>
      <c r="AE101" s="5966" t="s">
        <v>118</v>
      </c>
      <c r="AF101" s="5966" t="s">
        <v>118</v>
      </c>
    </row>
    <row r="102" spans="1:32" ht="18" customHeight="1">
      <c r="A102" s="366" t="s">
        <v>195</v>
      </c>
      <c r="B102" s="724"/>
      <c r="C102" s="724"/>
      <c r="D102" s="724"/>
      <c r="E102" s="724"/>
      <c r="F102" s="724"/>
      <c r="G102" s="724"/>
      <c r="H102" s="724"/>
      <c r="I102" s="724"/>
      <c r="J102" s="724"/>
      <c r="K102" s="724"/>
      <c r="L102" s="724"/>
      <c r="M102" s="724"/>
      <c r="N102" s="724"/>
      <c r="O102" s="724"/>
      <c r="P102" s="724"/>
      <c r="Q102" s="724"/>
      <c r="R102" s="724"/>
      <c r="S102" s="724"/>
      <c r="T102" s="724"/>
      <c r="U102" s="724"/>
      <c r="V102" s="724"/>
      <c r="W102" s="724"/>
      <c r="X102" s="724"/>
      <c r="Y102" s="724"/>
      <c r="Z102" s="724"/>
      <c r="AA102" s="724"/>
      <c r="AB102" s="724"/>
      <c r="AC102" s="724"/>
      <c r="AD102" s="724"/>
      <c r="AE102" s="724"/>
      <c r="AF102" s="724"/>
    </row>
    <row r="103" spans="1:32" ht="18" customHeight="1">
      <c r="A103" s="394" t="s">
        <v>385</v>
      </c>
      <c r="B103" s="5967" t="s">
        <v>46</v>
      </c>
      <c r="C103" s="5967" t="s">
        <v>46</v>
      </c>
      <c r="D103" s="5967" t="s">
        <v>46</v>
      </c>
      <c r="E103" s="5967"/>
      <c r="F103" s="5967"/>
      <c r="G103" s="5967" t="s">
        <v>118</v>
      </c>
      <c r="H103" s="5967" t="s">
        <v>118</v>
      </c>
      <c r="I103" s="5967" t="s">
        <v>118</v>
      </c>
      <c r="J103" s="5967" t="s">
        <v>118</v>
      </c>
      <c r="K103" s="5967" t="s">
        <v>118</v>
      </c>
      <c r="L103" s="5967" t="s">
        <v>118</v>
      </c>
      <c r="M103" s="5967" t="s">
        <v>118</v>
      </c>
      <c r="N103" s="5967" t="s">
        <v>46</v>
      </c>
      <c r="O103" s="5967" t="s">
        <v>46</v>
      </c>
      <c r="P103" s="5967" t="s">
        <v>46</v>
      </c>
      <c r="Q103" s="5967" t="s">
        <v>46</v>
      </c>
      <c r="R103" s="5967" t="s">
        <v>46</v>
      </c>
      <c r="S103" s="5967"/>
      <c r="T103" s="5967"/>
      <c r="U103" s="5967" t="s">
        <v>118</v>
      </c>
      <c r="V103" s="5967" t="s">
        <v>118</v>
      </c>
      <c r="W103" s="5967" t="s">
        <v>118</v>
      </c>
      <c r="X103" s="5967" t="s">
        <v>118</v>
      </c>
      <c r="Y103" s="5967" t="s">
        <v>118</v>
      </c>
      <c r="Z103" s="5967" t="s">
        <v>118</v>
      </c>
      <c r="AA103" s="5967" t="s">
        <v>118</v>
      </c>
      <c r="AB103" s="5967" t="s">
        <v>46</v>
      </c>
      <c r="AC103" s="5967" t="s">
        <v>46</v>
      </c>
      <c r="AD103" s="5967" t="s">
        <v>46</v>
      </c>
      <c r="AE103" s="5967" t="s">
        <v>46</v>
      </c>
      <c r="AF103" s="5967" t="s">
        <v>46</v>
      </c>
    </row>
    <row r="104" spans="1:32" ht="18" customHeight="1">
      <c r="A104" s="1461"/>
      <c r="B104" s="1462"/>
      <c r="C104" s="1462"/>
      <c r="D104" s="1456"/>
      <c r="E104" s="1456"/>
      <c r="F104" s="1456"/>
      <c r="G104" s="1456"/>
      <c r="H104" s="1456"/>
      <c r="I104" s="1456"/>
      <c r="J104" s="1456"/>
      <c r="K104" s="1456"/>
      <c r="L104" s="1456"/>
      <c r="M104" s="1456"/>
      <c r="N104" s="1456"/>
      <c r="O104" s="1456"/>
      <c r="P104" s="1456"/>
      <c r="Q104" s="1456"/>
      <c r="R104" s="1456"/>
      <c r="S104" s="1456"/>
      <c r="T104" s="1456"/>
      <c r="U104" s="1456"/>
      <c r="V104" s="1456"/>
      <c r="W104" s="1456"/>
      <c r="X104" s="1456"/>
      <c r="Y104" s="1456"/>
      <c r="Z104" s="1456"/>
      <c r="AA104" s="1456"/>
      <c r="AB104" s="1456"/>
      <c r="AC104" s="1456"/>
      <c r="AD104" s="1456"/>
      <c r="AE104" s="1456"/>
    </row>
    <row r="105" spans="1:32" ht="18" customHeight="1">
      <c r="A105" s="134" t="s">
        <v>180</v>
      </c>
      <c r="B105" s="135"/>
      <c r="C105" s="135"/>
      <c r="D105" s="136" t="s">
        <v>189</v>
      </c>
      <c r="E105" s="135"/>
      <c r="F105" s="135"/>
      <c r="G105" s="135"/>
      <c r="H105" s="135"/>
      <c r="I105" s="135"/>
      <c r="J105" s="135" t="s">
        <v>0</v>
      </c>
      <c r="K105" s="135"/>
      <c r="L105" s="135"/>
      <c r="M105" s="135"/>
      <c r="N105" s="135"/>
      <c r="O105" s="135"/>
      <c r="P105" s="135"/>
      <c r="Q105" s="147" t="s">
        <v>0</v>
      </c>
      <c r="R105" s="147"/>
      <c r="S105" s="147"/>
      <c r="T105" s="101"/>
      <c r="U105" s="101"/>
    </row>
    <row r="106" spans="1:32" ht="18" customHeight="1">
      <c r="A106" s="478" t="s">
        <v>188</v>
      </c>
      <c r="B106" s="2985">
        <v>1</v>
      </c>
      <c r="C106" s="2985">
        <v>2</v>
      </c>
      <c r="D106" s="2985">
        <v>3</v>
      </c>
      <c r="E106" s="2986">
        <v>4</v>
      </c>
      <c r="F106" s="2986">
        <v>5</v>
      </c>
      <c r="G106" s="2985">
        <v>6</v>
      </c>
      <c r="H106" s="2985">
        <v>7</v>
      </c>
      <c r="I106" s="2985">
        <v>8</v>
      </c>
      <c r="J106" s="2985">
        <v>9</v>
      </c>
      <c r="K106" s="2985">
        <v>10</v>
      </c>
      <c r="L106" s="2986">
        <v>11</v>
      </c>
      <c r="M106" s="2986">
        <v>12</v>
      </c>
      <c r="N106" s="2985">
        <v>13</v>
      </c>
      <c r="O106" s="2985">
        <v>14</v>
      </c>
      <c r="P106" s="2985">
        <v>15</v>
      </c>
      <c r="Q106" s="2985">
        <v>16</v>
      </c>
      <c r="R106" s="2985">
        <v>17</v>
      </c>
      <c r="S106" s="2986">
        <v>18</v>
      </c>
      <c r="T106" s="2986">
        <v>19</v>
      </c>
      <c r="U106" s="2985">
        <v>20</v>
      </c>
      <c r="V106" s="2985">
        <v>21</v>
      </c>
      <c r="W106" s="2985">
        <v>22</v>
      </c>
      <c r="X106" s="2985">
        <v>23</v>
      </c>
      <c r="Y106" s="2985">
        <v>24</v>
      </c>
      <c r="Z106" s="2986">
        <v>25</v>
      </c>
      <c r="AA106" s="2986">
        <v>26</v>
      </c>
      <c r="AB106" s="2985">
        <v>27</v>
      </c>
      <c r="AC106" s="2985">
        <v>28</v>
      </c>
      <c r="AD106" s="2985">
        <v>29</v>
      </c>
      <c r="AE106" s="2985">
        <v>30</v>
      </c>
      <c r="AF106" s="2985">
        <v>31</v>
      </c>
    </row>
    <row r="107" spans="1:32" ht="18" customHeight="1">
      <c r="A107" s="5968"/>
      <c r="B107" s="484" t="s">
        <v>61</v>
      </c>
      <c r="C107" s="480" t="s">
        <v>61</v>
      </c>
      <c r="D107" s="480" t="s">
        <v>61</v>
      </c>
      <c r="E107" s="480" t="s">
        <v>61</v>
      </c>
      <c r="F107" s="480" t="s">
        <v>61</v>
      </c>
      <c r="G107" s="480" t="s">
        <v>46</v>
      </c>
      <c r="H107" s="480" t="s">
        <v>46</v>
      </c>
      <c r="I107" s="480" t="s">
        <v>46</v>
      </c>
      <c r="J107" s="480" t="s">
        <v>46</v>
      </c>
      <c r="K107" s="480" t="s">
        <v>46</v>
      </c>
      <c r="L107" s="484"/>
      <c r="M107" s="484"/>
      <c r="N107" s="484" t="s">
        <v>61</v>
      </c>
      <c r="O107" s="484" t="s">
        <v>61</v>
      </c>
      <c r="P107" s="484" t="s">
        <v>61</v>
      </c>
      <c r="Q107" s="480" t="s">
        <v>61</v>
      </c>
      <c r="R107" s="480" t="s">
        <v>61</v>
      </c>
      <c r="S107" s="480" t="s">
        <v>61</v>
      </c>
      <c r="T107" s="480" t="s">
        <v>61</v>
      </c>
      <c r="U107" s="480" t="s">
        <v>46</v>
      </c>
      <c r="V107" s="480" t="s">
        <v>46</v>
      </c>
      <c r="W107" s="480" t="s">
        <v>46</v>
      </c>
      <c r="X107" s="480" t="s">
        <v>46</v>
      </c>
      <c r="Y107" s="480" t="s">
        <v>46</v>
      </c>
      <c r="Z107" s="484"/>
      <c r="AA107" s="484"/>
      <c r="AB107" s="484" t="s">
        <v>61</v>
      </c>
      <c r="AC107" s="484" t="s">
        <v>61</v>
      </c>
      <c r="AD107" s="484" t="s">
        <v>61</v>
      </c>
      <c r="AE107" s="480" t="s">
        <v>61</v>
      </c>
      <c r="AF107" s="480" t="s">
        <v>61</v>
      </c>
    </row>
    <row r="108" spans="1:32" ht="18" customHeight="1">
      <c r="A108" s="5968" t="s">
        <v>191</v>
      </c>
      <c r="B108" s="5601" t="s">
        <v>46</v>
      </c>
      <c r="C108" s="5601" t="s">
        <v>46</v>
      </c>
      <c r="D108" s="5601" t="s">
        <v>46</v>
      </c>
      <c r="E108" s="5628"/>
      <c r="F108" s="5629"/>
      <c r="G108" s="5602" t="s">
        <v>61</v>
      </c>
      <c r="H108" s="5602" t="s">
        <v>61</v>
      </c>
      <c r="I108" s="5602" t="s">
        <v>61</v>
      </c>
      <c r="J108" s="5600" t="s">
        <v>61</v>
      </c>
      <c r="K108" s="5600" t="s">
        <v>61</v>
      </c>
      <c r="L108" s="5600" t="s">
        <v>61</v>
      </c>
      <c r="M108" s="5600" t="s">
        <v>61</v>
      </c>
      <c r="N108" s="5600" t="s">
        <v>46</v>
      </c>
      <c r="O108" s="5601" t="s">
        <v>46</v>
      </c>
      <c r="P108" s="5601" t="s">
        <v>46</v>
      </c>
      <c r="Q108" s="5601" t="s">
        <v>46</v>
      </c>
      <c r="R108" s="5601" t="s">
        <v>46</v>
      </c>
      <c r="S108" s="5628"/>
      <c r="T108" s="5629"/>
      <c r="U108" s="5602" t="s">
        <v>61</v>
      </c>
      <c r="V108" s="5602" t="s">
        <v>61</v>
      </c>
      <c r="W108" s="5602" t="s">
        <v>61</v>
      </c>
      <c r="X108" s="5600" t="s">
        <v>61</v>
      </c>
      <c r="Y108" s="5600" t="s">
        <v>61</v>
      </c>
      <c r="Z108" s="5600" t="s">
        <v>61</v>
      </c>
      <c r="AA108" s="5600" t="s">
        <v>61</v>
      </c>
      <c r="AB108" s="5600" t="s">
        <v>46</v>
      </c>
      <c r="AC108" s="5601" t="s">
        <v>46</v>
      </c>
      <c r="AD108" s="5601" t="s">
        <v>46</v>
      </c>
      <c r="AE108" s="5601" t="s">
        <v>46</v>
      </c>
      <c r="AF108" s="5601" t="s">
        <v>46</v>
      </c>
    </row>
    <row r="109" spans="1:32" ht="18" customHeight="1">
      <c r="A109" s="1455" t="s">
        <v>0</v>
      </c>
      <c r="B109" s="1456" t="s">
        <v>0</v>
      </c>
      <c r="C109" s="1456" t="s">
        <v>0</v>
      </c>
      <c r="D109" s="1456" t="s">
        <v>0</v>
      </c>
      <c r="E109" s="1456" t="s">
        <v>0</v>
      </c>
      <c r="F109" s="1456" t="s">
        <v>0</v>
      </c>
      <c r="G109" s="1456" t="s">
        <v>0</v>
      </c>
      <c r="H109" s="1456" t="s">
        <v>0</v>
      </c>
      <c r="I109" s="1456" t="s">
        <v>0</v>
      </c>
      <c r="J109" s="1456" t="s">
        <v>0</v>
      </c>
      <c r="K109" s="1456" t="s">
        <v>0</v>
      </c>
      <c r="L109" s="1456" t="s">
        <v>0</v>
      </c>
      <c r="M109" s="1456" t="s">
        <v>0</v>
      </c>
      <c r="N109" s="1456" t="s">
        <v>0</v>
      </c>
      <c r="O109" s="1456" t="s">
        <v>0</v>
      </c>
      <c r="P109" s="1456" t="s">
        <v>0</v>
      </c>
      <c r="Q109" s="1456" t="s">
        <v>0</v>
      </c>
      <c r="R109" s="1456" t="s">
        <v>0</v>
      </c>
      <c r="S109" s="1456" t="s">
        <v>0</v>
      </c>
      <c r="T109" s="1456" t="s">
        <v>0</v>
      </c>
      <c r="U109" s="1456" t="s">
        <v>0</v>
      </c>
      <c r="V109" s="1456" t="s">
        <v>0</v>
      </c>
      <c r="W109" s="1456" t="s">
        <v>0</v>
      </c>
      <c r="X109" s="1456" t="s">
        <v>0</v>
      </c>
      <c r="Y109" s="1456" t="s">
        <v>0</v>
      </c>
      <c r="Z109" s="1456" t="s">
        <v>0</v>
      </c>
      <c r="AA109" s="1456" t="s">
        <v>0</v>
      </c>
      <c r="AB109" s="1456" t="s">
        <v>0</v>
      </c>
      <c r="AC109" s="1456" t="s">
        <v>0</v>
      </c>
      <c r="AD109" s="1456" t="s">
        <v>0</v>
      </c>
      <c r="AE109" s="1456" t="s">
        <v>0</v>
      </c>
    </row>
    <row r="110" spans="1:32" ht="18" customHeight="1">
      <c r="A110" s="134" t="s">
        <v>180</v>
      </c>
      <c r="B110" s="135"/>
      <c r="C110" s="135"/>
      <c r="D110" s="136" t="s">
        <v>193</v>
      </c>
      <c r="E110" s="135"/>
      <c r="F110" s="135"/>
      <c r="G110" s="135"/>
      <c r="H110" s="135"/>
      <c r="I110" s="135"/>
      <c r="J110" s="135" t="s">
        <v>0</v>
      </c>
      <c r="K110" s="135"/>
      <c r="L110" s="135"/>
      <c r="M110" s="135"/>
      <c r="N110" s="135"/>
      <c r="O110" s="135"/>
      <c r="P110" s="135"/>
      <c r="Q110" s="147" t="s">
        <v>0</v>
      </c>
      <c r="R110" s="147"/>
      <c r="S110" s="147"/>
    </row>
    <row r="111" spans="1:32" ht="18" customHeight="1">
      <c r="A111" s="387" t="s">
        <v>192</v>
      </c>
      <c r="B111" s="2985">
        <v>1</v>
      </c>
      <c r="C111" s="2985">
        <v>2</v>
      </c>
      <c r="D111" s="2985">
        <v>3</v>
      </c>
      <c r="E111" s="2986">
        <v>4</v>
      </c>
      <c r="F111" s="2986">
        <v>5</v>
      </c>
      <c r="G111" s="2985">
        <v>6</v>
      </c>
      <c r="H111" s="2985">
        <v>7</v>
      </c>
      <c r="I111" s="2985">
        <v>8</v>
      </c>
      <c r="J111" s="2985">
        <v>9</v>
      </c>
      <c r="K111" s="2985">
        <v>10</v>
      </c>
      <c r="L111" s="2986">
        <v>11</v>
      </c>
      <c r="M111" s="2986">
        <v>12</v>
      </c>
      <c r="N111" s="2985">
        <v>13</v>
      </c>
      <c r="O111" s="2985">
        <v>14</v>
      </c>
      <c r="P111" s="2985">
        <v>15</v>
      </c>
      <c r="Q111" s="2985">
        <v>16</v>
      </c>
      <c r="R111" s="2985">
        <v>17</v>
      </c>
      <c r="S111" s="2986">
        <v>18</v>
      </c>
      <c r="T111" s="2986">
        <v>19</v>
      </c>
      <c r="U111" s="2985">
        <v>20</v>
      </c>
      <c r="V111" s="2985">
        <v>21</v>
      </c>
      <c r="W111" s="2985">
        <v>22</v>
      </c>
      <c r="X111" s="2985">
        <v>23</v>
      </c>
      <c r="Y111" s="2985">
        <v>24</v>
      </c>
      <c r="Z111" s="2986">
        <v>25</v>
      </c>
      <c r="AA111" s="2986">
        <v>26</v>
      </c>
      <c r="AB111" s="2985">
        <v>27</v>
      </c>
      <c r="AC111" s="2985">
        <v>28</v>
      </c>
      <c r="AD111" s="2985">
        <v>29</v>
      </c>
      <c r="AE111" s="2985">
        <v>30</v>
      </c>
      <c r="AF111" s="2985">
        <v>31</v>
      </c>
    </row>
    <row r="112" spans="1:32" ht="18" customHeight="1">
      <c r="A112" s="1518" t="s">
        <v>194</v>
      </c>
      <c r="B112" s="1504" t="s">
        <v>139</v>
      </c>
      <c r="C112" s="1504" t="s">
        <v>139</v>
      </c>
      <c r="D112" s="1505" t="s">
        <v>139</v>
      </c>
      <c r="E112" s="1505" t="s">
        <v>139</v>
      </c>
      <c r="F112" s="1505" t="s">
        <v>139</v>
      </c>
      <c r="G112" s="1505" t="s">
        <v>46</v>
      </c>
      <c r="H112" s="1505" t="s">
        <v>46</v>
      </c>
      <c r="I112" s="1505" t="s">
        <v>46</v>
      </c>
      <c r="J112" s="1505" t="s">
        <v>46</v>
      </c>
      <c r="K112" s="1505" t="s">
        <v>46</v>
      </c>
      <c r="L112" s="1505"/>
      <c r="M112" s="1504"/>
      <c r="N112" s="1504" t="s">
        <v>139</v>
      </c>
      <c r="O112" s="1504" t="s">
        <v>139</v>
      </c>
      <c r="P112" s="1504" t="s">
        <v>139</v>
      </c>
      <c r="Q112" s="1504" t="s">
        <v>139</v>
      </c>
      <c r="R112" s="1505" t="s">
        <v>139</v>
      </c>
      <c r="S112" s="1505" t="s">
        <v>139</v>
      </c>
      <c r="T112" s="1505" t="s">
        <v>139</v>
      </c>
      <c r="U112" s="1505" t="s">
        <v>46</v>
      </c>
      <c r="V112" s="1505" t="s">
        <v>46</v>
      </c>
      <c r="W112" s="1505" t="s">
        <v>46</v>
      </c>
      <c r="X112" s="1505" t="s">
        <v>46</v>
      </c>
      <c r="Y112" s="1505" t="s">
        <v>46</v>
      </c>
      <c r="Z112" s="1505"/>
      <c r="AA112" s="1504"/>
      <c r="AB112" s="1504" t="s">
        <v>139</v>
      </c>
      <c r="AC112" s="1504" t="s">
        <v>139</v>
      </c>
      <c r="AD112" s="1504" t="s">
        <v>139</v>
      </c>
      <c r="AE112" s="1504" t="s">
        <v>139</v>
      </c>
      <c r="AF112" s="1505" t="s">
        <v>139</v>
      </c>
    </row>
    <row r="113" spans="1:32" ht="18" customHeight="1">
      <c r="A113" s="6003" t="s">
        <v>185</v>
      </c>
      <c r="B113" s="5600" t="s">
        <v>46</v>
      </c>
      <c r="C113" s="5600" t="s">
        <v>46</v>
      </c>
      <c r="D113" s="5600" t="s">
        <v>46</v>
      </c>
      <c r="E113" s="5600"/>
      <c r="F113" s="5602"/>
      <c r="G113" s="5602" t="s">
        <v>139</v>
      </c>
      <c r="H113" s="5602" t="s">
        <v>139</v>
      </c>
      <c r="I113" s="5602" t="s">
        <v>139</v>
      </c>
      <c r="J113" s="5602" t="s">
        <v>139</v>
      </c>
      <c r="K113" s="5600" t="s">
        <v>139</v>
      </c>
      <c r="L113" s="5600" t="s">
        <v>139</v>
      </c>
      <c r="M113" s="5600" t="s">
        <v>139</v>
      </c>
      <c r="N113" s="5600" t="s">
        <v>46</v>
      </c>
      <c r="O113" s="5600" t="s">
        <v>46</v>
      </c>
      <c r="P113" s="5600" t="s">
        <v>46</v>
      </c>
      <c r="Q113" s="5600" t="s">
        <v>46</v>
      </c>
      <c r="R113" s="5600" t="s">
        <v>46</v>
      </c>
      <c r="S113" s="5600"/>
      <c r="T113" s="5602"/>
      <c r="U113" s="5602" t="s">
        <v>139</v>
      </c>
      <c r="V113" s="5602" t="s">
        <v>139</v>
      </c>
      <c r="W113" s="5602" t="s">
        <v>139</v>
      </c>
      <c r="X113" s="5602" t="s">
        <v>139</v>
      </c>
      <c r="Y113" s="5600" t="s">
        <v>139</v>
      </c>
      <c r="Z113" s="5600" t="s">
        <v>139</v>
      </c>
      <c r="AA113" s="5600" t="s">
        <v>139</v>
      </c>
      <c r="AB113" s="5600" t="s">
        <v>46</v>
      </c>
      <c r="AC113" s="5600" t="s">
        <v>46</v>
      </c>
      <c r="AD113" s="5600" t="s">
        <v>46</v>
      </c>
      <c r="AE113" s="5600" t="s">
        <v>46</v>
      </c>
      <c r="AF113" s="5600" t="s">
        <v>46</v>
      </c>
    </row>
    <row r="114" spans="1:32" ht="18" customHeight="1">
      <c r="A114" s="68"/>
      <c r="B114" s="108"/>
      <c r="C114" s="108"/>
      <c r="D114" s="108"/>
      <c r="E114" s="108"/>
      <c r="F114" s="108"/>
      <c r="G114" s="108"/>
      <c r="H114" s="108"/>
      <c r="I114" s="108"/>
      <c r="J114" s="108"/>
      <c r="K114" s="108"/>
      <c r="L114" s="108"/>
      <c r="M114" s="108"/>
      <c r="N114" s="108"/>
      <c r="O114" s="108"/>
      <c r="P114" s="108"/>
      <c r="Q114" s="108"/>
      <c r="R114" s="108"/>
      <c r="S114" s="108"/>
      <c r="T114" s="108"/>
      <c r="U114" s="108"/>
      <c r="V114" s="108"/>
      <c r="W114" s="108"/>
      <c r="X114" s="108"/>
      <c r="Y114" s="108"/>
      <c r="Z114" s="108"/>
      <c r="AA114" s="108"/>
      <c r="AB114" s="108"/>
      <c r="AC114" s="108"/>
      <c r="AD114" s="108"/>
      <c r="AE114" s="108"/>
    </row>
    <row r="115" spans="1:32" ht="18" customHeight="1">
      <c r="A115" s="134" t="s">
        <v>180</v>
      </c>
      <c r="B115" s="135"/>
      <c r="C115" s="135"/>
      <c r="D115" s="136"/>
      <c r="E115" s="135"/>
      <c r="F115" s="135"/>
      <c r="G115" s="135"/>
      <c r="H115" s="135"/>
      <c r="I115" s="135"/>
      <c r="J115" s="135" t="s">
        <v>0</v>
      </c>
      <c r="K115" s="135"/>
      <c r="L115" s="135"/>
      <c r="M115" s="135"/>
      <c r="N115" s="135"/>
      <c r="O115" s="135"/>
      <c r="P115" s="135"/>
      <c r="Q115" s="147" t="s">
        <v>0</v>
      </c>
      <c r="R115" s="147"/>
      <c r="S115" s="147"/>
    </row>
    <row r="116" spans="1:32" ht="18" customHeight="1">
      <c r="A116" s="691" t="s">
        <v>635</v>
      </c>
      <c r="B116" s="2985">
        <v>1</v>
      </c>
      <c r="C116" s="2985">
        <v>2</v>
      </c>
      <c r="D116" s="2985">
        <v>3</v>
      </c>
      <c r="E116" s="2986">
        <v>4</v>
      </c>
      <c r="F116" s="2986">
        <v>5</v>
      </c>
      <c r="G116" s="2985">
        <v>6</v>
      </c>
      <c r="H116" s="2985">
        <v>7</v>
      </c>
      <c r="I116" s="2985">
        <v>8</v>
      </c>
      <c r="J116" s="2985">
        <v>9</v>
      </c>
      <c r="K116" s="2985">
        <v>10</v>
      </c>
      <c r="L116" s="2986">
        <v>11</v>
      </c>
      <c r="M116" s="2986">
        <v>12</v>
      </c>
      <c r="N116" s="2985">
        <v>13</v>
      </c>
      <c r="O116" s="2985">
        <v>14</v>
      </c>
      <c r="P116" s="2985">
        <v>15</v>
      </c>
      <c r="Q116" s="2985">
        <v>16</v>
      </c>
      <c r="R116" s="2985">
        <v>17</v>
      </c>
      <c r="S116" s="2986">
        <v>18</v>
      </c>
      <c r="T116" s="2986">
        <v>19</v>
      </c>
      <c r="U116" s="2985">
        <v>20</v>
      </c>
      <c r="V116" s="2985">
        <v>21</v>
      </c>
      <c r="W116" s="2985">
        <v>22</v>
      </c>
      <c r="X116" s="2985">
        <v>23</v>
      </c>
      <c r="Y116" s="2985">
        <v>24</v>
      </c>
      <c r="Z116" s="2986">
        <v>25</v>
      </c>
      <c r="AA116" s="2986">
        <v>26</v>
      </c>
      <c r="AB116" s="2985">
        <v>27</v>
      </c>
      <c r="AC116" s="2985">
        <v>28</v>
      </c>
      <c r="AD116" s="2985">
        <v>29</v>
      </c>
      <c r="AE116" s="2985">
        <v>30</v>
      </c>
      <c r="AF116" s="2985">
        <v>31</v>
      </c>
    </row>
    <row r="117" spans="1:32" ht="18" customHeight="1">
      <c r="A117" s="1498" t="s">
        <v>392</v>
      </c>
      <c r="B117" s="5602" t="s">
        <v>113</v>
      </c>
      <c r="C117" s="5602" t="s">
        <v>113</v>
      </c>
      <c r="D117" s="5602" t="s">
        <v>113</v>
      </c>
      <c r="E117" s="5602" t="s">
        <v>113</v>
      </c>
      <c r="F117" s="5602" t="s">
        <v>113</v>
      </c>
      <c r="G117" s="5600" t="s">
        <v>46</v>
      </c>
      <c r="H117" s="5600" t="s">
        <v>46</v>
      </c>
      <c r="I117" s="5600" t="s">
        <v>46</v>
      </c>
      <c r="J117" s="5600" t="s">
        <v>46</v>
      </c>
      <c r="K117" s="5600" t="s">
        <v>46</v>
      </c>
      <c r="L117" s="5600"/>
      <c r="M117" s="5602"/>
      <c r="N117" s="5602" t="s">
        <v>113</v>
      </c>
      <c r="O117" s="5602" t="s">
        <v>113</v>
      </c>
      <c r="P117" s="5602" t="s">
        <v>113</v>
      </c>
      <c r="Q117" s="5602" t="s">
        <v>113</v>
      </c>
      <c r="R117" s="5602" t="s">
        <v>113</v>
      </c>
      <c r="S117" s="5602" t="s">
        <v>113</v>
      </c>
      <c r="T117" s="5602" t="s">
        <v>113</v>
      </c>
      <c r="U117" s="5600" t="s">
        <v>46</v>
      </c>
      <c r="V117" s="5600" t="s">
        <v>46</v>
      </c>
      <c r="W117" s="5600" t="s">
        <v>46</v>
      </c>
      <c r="X117" s="5600" t="s">
        <v>46</v>
      </c>
      <c r="Y117" s="5600" t="s">
        <v>46</v>
      </c>
      <c r="Z117" s="5600"/>
      <c r="AA117" s="5602"/>
      <c r="AB117" s="5602" t="s">
        <v>113</v>
      </c>
      <c r="AC117" s="5602" t="s">
        <v>113</v>
      </c>
      <c r="AD117" s="5602" t="s">
        <v>113</v>
      </c>
      <c r="AE117" s="5602" t="s">
        <v>113</v>
      </c>
      <c r="AF117" s="5602" t="s">
        <v>113</v>
      </c>
    </row>
    <row r="118" spans="1:32" ht="18" customHeight="1">
      <c r="A118" s="431" t="s">
        <v>155</v>
      </c>
      <c r="B118" s="5600" t="s">
        <v>46</v>
      </c>
      <c r="C118" s="5600" t="s">
        <v>46</v>
      </c>
      <c r="D118" s="5600" t="s">
        <v>46</v>
      </c>
      <c r="E118" s="5600" t="s">
        <v>0</v>
      </c>
      <c r="F118" s="5600" t="s">
        <v>0</v>
      </c>
      <c r="G118" s="5602" t="s">
        <v>113</v>
      </c>
      <c r="H118" s="5602" t="s">
        <v>113</v>
      </c>
      <c r="I118" s="5602" t="s">
        <v>113</v>
      </c>
      <c r="J118" s="5602" t="s">
        <v>113</v>
      </c>
      <c r="K118" s="5602" t="s">
        <v>113</v>
      </c>
      <c r="L118" s="5602" t="s">
        <v>113</v>
      </c>
      <c r="M118" s="5602" t="s">
        <v>113</v>
      </c>
      <c r="N118" s="5600" t="s">
        <v>46</v>
      </c>
      <c r="O118" s="5600" t="s">
        <v>46</v>
      </c>
      <c r="P118" s="5600" t="s">
        <v>46</v>
      </c>
      <c r="Q118" s="5600" t="s">
        <v>46</v>
      </c>
      <c r="R118" s="5600" t="s">
        <v>46</v>
      </c>
      <c r="S118" s="5600" t="s">
        <v>0</v>
      </c>
      <c r="T118" s="5600" t="s">
        <v>0</v>
      </c>
      <c r="U118" s="5602" t="s">
        <v>113</v>
      </c>
      <c r="V118" s="5602" t="s">
        <v>113</v>
      </c>
      <c r="W118" s="5602" t="s">
        <v>113</v>
      </c>
      <c r="X118" s="5602" t="s">
        <v>113</v>
      </c>
      <c r="Y118" s="5602" t="s">
        <v>113</v>
      </c>
      <c r="Z118" s="5602" t="s">
        <v>113</v>
      </c>
      <c r="AA118" s="5602" t="s">
        <v>113</v>
      </c>
      <c r="AB118" s="5600" t="s">
        <v>46</v>
      </c>
      <c r="AC118" s="5600" t="s">
        <v>46</v>
      </c>
      <c r="AD118" s="5600" t="s">
        <v>46</v>
      </c>
      <c r="AE118" s="5600" t="s">
        <v>46</v>
      </c>
      <c r="AF118" s="5600" t="s">
        <v>46</v>
      </c>
    </row>
    <row r="119" spans="1:32" ht="18" customHeight="1">
      <c r="B119" s="177"/>
      <c r="C119" s="177"/>
      <c r="D119" s="177"/>
      <c r="E119" s="177"/>
      <c r="F119" s="177"/>
      <c r="G119" s="177"/>
      <c r="H119" s="177"/>
      <c r="I119" s="177"/>
      <c r="J119" s="177"/>
      <c r="K119" s="177"/>
      <c r="L119" s="177"/>
      <c r="M119" s="177"/>
      <c r="N119" s="177"/>
      <c r="O119" s="177"/>
      <c r="P119" s="177"/>
      <c r="Q119" s="177"/>
      <c r="R119" s="177"/>
      <c r="S119" s="177"/>
      <c r="T119" s="177"/>
      <c r="U119" s="177"/>
      <c r="V119" s="177"/>
      <c r="W119" s="177"/>
      <c r="X119" s="177"/>
      <c r="Y119" s="177"/>
      <c r="Z119" s="177"/>
      <c r="AA119" s="177"/>
      <c r="AB119" s="177"/>
      <c r="AC119" s="177"/>
      <c r="AD119" s="177"/>
      <c r="AE119" s="177"/>
      <c r="AF119" s="105"/>
    </row>
    <row r="120" spans="1:32" ht="18" customHeight="1">
      <c r="A120" s="2764" t="s">
        <v>201</v>
      </c>
      <c r="B120" s="2765"/>
      <c r="C120" s="2766" t="s">
        <v>19</v>
      </c>
      <c r="D120" s="2767"/>
      <c r="E120" s="2765"/>
      <c r="F120" s="2768" t="s">
        <v>20</v>
      </c>
      <c r="G120" s="2769"/>
      <c r="H120" s="2770"/>
      <c r="I120" s="2768" t="s">
        <v>21</v>
      </c>
      <c r="J120" s="2771"/>
      <c r="K120" s="2770"/>
      <c r="L120" s="2772" t="s">
        <v>22</v>
      </c>
      <c r="M120" s="2771"/>
      <c r="N120" s="2770"/>
      <c r="O120" s="2768" t="s">
        <v>23</v>
      </c>
      <c r="P120" s="2773"/>
      <c r="Q120" s="2770"/>
      <c r="R120" s="2768" t="s">
        <v>24</v>
      </c>
      <c r="S120" s="2774"/>
      <c r="T120" s="2770"/>
      <c r="U120" s="2768" t="s">
        <v>25</v>
      </c>
      <c r="V120" s="2773"/>
      <c r="W120" s="2883" t="s">
        <v>202</v>
      </c>
      <c r="X120" s="2776"/>
      <c r="Y120" s="2776"/>
      <c r="Z120" s="2777"/>
      <c r="AA120" s="2778" t="s">
        <v>108</v>
      </c>
      <c r="AB120" s="2779"/>
      <c r="AC120" s="2779"/>
      <c r="AD120" s="3059"/>
      <c r="AE120" s="3059"/>
      <c r="AF120" s="105"/>
    </row>
    <row r="121" spans="1:32" ht="18" customHeight="1">
      <c r="A121" s="6065" t="s">
        <v>203</v>
      </c>
      <c r="B121" s="6063" t="s">
        <v>204</v>
      </c>
      <c r="C121" s="6013"/>
      <c r="D121" s="6014"/>
      <c r="E121" s="6063" t="s">
        <v>204</v>
      </c>
      <c r="F121" s="6013"/>
      <c r="G121" s="6014"/>
      <c r="H121" s="6063" t="s">
        <v>204</v>
      </c>
      <c r="I121" s="6013"/>
      <c r="J121" s="6014"/>
      <c r="K121" s="6063" t="s">
        <v>204</v>
      </c>
      <c r="L121" s="6013"/>
      <c r="M121" s="6014"/>
      <c r="N121" s="6063" t="s">
        <v>205</v>
      </c>
      <c r="O121" s="6013"/>
      <c r="P121" s="6014"/>
      <c r="Q121" s="6063"/>
      <c r="R121" s="6013"/>
      <c r="S121" s="6014"/>
      <c r="T121" s="6063"/>
      <c r="U121" s="6013"/>
      <c r="V121" s="6014"/>
      <c r="W121" s="6063"/>
      <c r="X121" s="6021"/>
      <c r="Y121" s="6021"/>
      <c r="Z121" s="6021"/>
      <c r="AA121" s="6058"/>
      <c r="AB121" s="6021"/>
      <c r="AC121" s="6021"/>
      <c r="AD121" s="6021"/>
      <c r="AE121" s="6021"/>
      <c r="AF121" s="105"/>
    </row>
    <row r="123" spans="1:32" ht="18" customHeight="1">
      <c r="A123" s="363" t="s">
        <v>201</v>
      </c>
      <c r="B123" s="2985">
        <v>1</v>
      </c>
      <c r="C123" s="2985">
        <v>2</v>
      </c>
      <c r="D123" s="2985">
        <v>3</v>
      </c>
      <c r="E123" s="2986">
        <v>4</v>
      </c>
      <c r="F123" s="2986">
        <v>5</v>
      </c>
      <c r="G123" s="2985">
        <v>6</v>
      </c>
      <c r="H123" s="2985">
        <v>7</v>
      </c>
      <c r="I123" s="2985">
        <v>8</v>
      </c>
      <c r="J123" s="2985">
        <v>9</v>
      </c>
      <c r="K123" s="2985">
        <v>10</v>
      </c>
      <c r="L123" s="2986">
        <v>11</v>
      </c>
      <c r="M123" s="2986">
        <v>12</v>
      </c>
      <c r="N123" s="2985">
        <v>13</v>
      </c>
      <c r="O123" s="2985">
        <v>14</v>
      </c>
      <c r="P123" s="2985">
        <v>15</v>
      </c>
      <c r="Q123" s="2985">
        <v>16</v>
      </c>
      <c r="R123" s="2985">
        <v>17</v>
      </c>
      <c r="S123" s="2986">
        <v>18</v>
      </c>
      <c r="T123" s="2986">
        <v>19</v>
      </c>
      <c r="U123" s="2985">
        <v>20</v>
      </c>
      <c r="V123" s="2985">
        <v>21</v>
      </c>
      <c r="W123" s="2985">
        <v>22</v>
      </c>
      <c r="X123" s="2985">
        <v>23</v>
      </c>
      <c r="Y123" s="2985">
        <v>24</v>
      </c>
      <c r="Z123" s="2986">
        <v>25</v>
      </c>
      <c r="AA123" s="2986">
        <v>26</v>
      </c>
      <c r="AB123" s="2985">
        <v>27</v>
      </c>
      <c r="AC123" s="2985">
        <v>28</v>
      </c>
      <c r="AD123" s="2985">
        <v>29</v>
      </c>
      <c r="AE123" s="2985">
        <v>30</v>
      </c>
      <c r="AF123" s="2985">
        <v>31</v>
      </c>
    </row>
    <row r="124" spans="1:32" ht="18" customHeight="1">
      <c r="A124" s="3035" t="s">
        <v>206</v>
      </c>
      <c r="B124" s="3089" t="s">
        <v>207</v>
      </c>
      <c r="C124" s="3089" t="s">
        <v>207</v>
      </c>
      <c r="D124" s="3089" t="s">
        <v>207</v>
      </c>
      <c r="E124" s="3089"/>
      <c r="F124" s="3089"/>
      <c r="G124" s="3089" t="s">
        <v>207</v>
      </c>
      <c r="H124" s="3089" t="s">
        <v>207</v>
      </c>
      <c r="I124" s="3089" t="s">
        <v>207</v>
      </c>
      <c r="J124" s="3089" t="s">
        <v>207</v>
      </c>
      <c r="K124" s="3089" t="s">
        <v>207</v>
      </c>
      <c r="L124" s="3089"/>
      <c r="M124" s="3089"/>
      <c r="N124" s="3089" t="s">
        <v>207</v>
      </c>
      <c r="O124" s="3089" t="s">
        <v>207</v>
      </c>
      <c r="P124" s="3089" t="s">
        <v>207</v>
      </c>
      <c r="Q124" s="3089" t="s">
        <v>207</v>
      </c>
      <c r="R124" s="3089" t="s">
        <v>207</v>
      </c>
      <c r="S124" s="3089"/>
      <c r="T124" s="3089"/>
      <c r="U124" s="3089" t="s">
        <v>207</v>
      </c>
      <c r="V124" s="3089" t="s">
        <v>207</v>
      </c>
      <c r="W124" s="3089" t="s">
        <v>207</v>
      </c>
      <c r="X124" s="3089" t="s">
        <v>207</v>
      </c>
      <c r="Y124" s="3089" t="s">
        <v>207</v>
      </c>
      <c r="Z124" s="3089"/>
      <c r="AA124" s="3089"/>
      <c r="AB124" s="3089" t="s">
        <v>207</v>
      </c>
      <c r="AC124" s="3089" t="s">
        <v>207</v>
      </c>
      <c r="AD124" s="3089" t="s">
        <v>207</v>
      </c>
      <c r="AE124" s="3089" t="s">
        <v>207</v>
      </c>
      <c r="AF124" s="3089" t="s">
        <v>207</v>
      </c>
    </row>
    <row r="125" spans="1:32" ht="18" customHeight="1">
      <c r="A125" s="68"/>
      <c r="B125" s="108"/>
      <c r="C125" s="108"/>
      <c r="D125" s="108"/>
      <c r="E125" s="108"/>
      <c r="F125" s="108"/>
      <c r="G125" s="108"/>
      <c r="H125" s="108"/>
      <c r="I125" s="108"/>
      <c r="J125" s="108"/>
      <c r="K125" s="108"/>
      <c r="L125" s="108"/>
      <c r="M125" s="108"/>
      <c r="N125" s="108"/>
      <c r="O125" s="108"/>
      <c r="P125" s="108"/>
      <c r="Q125" s="108"/>
      <c r="R125" s="108"/>
      <c r="S125" s="108"/>
      <c r="T125" s="108"/>
      <c r="U125" s="108"/>
      <c r="V125" s="108"/>
      <c r="W125" s="108"/>
      <c r="X125" s="108"/>
      <c r="Y125" s="108"/>
      <c r="Z125" s="108"/>
      <c r="AA125" s="108"/>
      <c r="AB125" s="108"/>
      <c r="AC125" s="108"/>
      <c r="AD125" s="108"/>
      <c r="AE125" s="108"/>
      <c r="AF125" s="105"/>
    </row>
    <row r="126" spans="1:32" ht="18" customHeight="1">
      <c r="A126" s="2764" t="s">
        <v>208</v>
      </c>
      <c r="B126" s="2787"/>
      <c r="C126" s="2788" t="s">
        <v>19</v>
      </c>
      <c r="D126" s="2789"/>
      <c r="E126" s="2790"/>
      <c r="F126" s="2787"/>
      <c r="G126" s="2788" t="s">
        <v>20</v>
      </c>
      <c r="H126" s="2789"/>
      <c r="I126" s="2790"/>
      <c r="J126" s="2787"/>
      <c r="K126" s="2788" t="s">
        <v>21</v>
      </c>
      <c r="L126" s="2789"/>
      <c r="M126" s="2790"/>
      <c r="N126" s="2787"/>
      <c r="O126" s="2788" t="s">
        <v>22</v>
      </c>
      <c r="P126" s="2789"/>
      <c r="Q126" s="2790"/>
      <c r="R126" s="2787"/>
      <c r="S126" s="2788" t="s">
        <v>23</v>
      </c>
      <c r="T126" s="2789"/>
      <c r="U126" s="2790"/>
      <c r="V126" s="2787"/>
      <c r="W126" s="2788" t="s">
        <v>24</v>
      </c>
      <c r="X126" s="2789"/>
      <c r="Y126" s="2790"/>
      <c r="Z126" s="2787"/>
      <c r="AA126" s="2788" t="s">
        <v>25</v>
      </c>
      <c r="AB126" s="2789"/>
      <c r="AC126" s="2789"/>
      <c r="AD126" s="2791" t="s">
        <v>108</v>
      </c>
      <c r="AE126" s="2789"/>
      <c r="AF126" s="2792"/>
    </row>
    <row r="127" spans="1:32" ht="18" customHeight="1">
      <c r="A127" s="6066" t="s">
        <v>210</v>
      </c>
      <c r="B127" s="6067">
        <v>69</v>
      </c>
      <c r="C127" s="6068" t="s">
        <v>211</v>
      </c>
      <c r="D127" s="6068"/>
      <c r="E127" s="6069"/>
      <c r="F127" s="6067">
        <v>69</v>
      </c>
      <c r="G127" s="6068" t="s">
        <v>211</v>
      </c>
      <c r="H127" s="6068"/>
      <c r="I127" s="6069"/>
      <c r="J127" s="6067">
        <v>69</v>
      </c>
      <c r="K127" s="6068" t="s">
        <v>211</v>
      </c>
      <c r="L127" s="6068"/>
      <c r="M127" s="6069"/>
      <c r="N127" s="6067">
        <v>69</v>
      </c>
      <c r="O127" s="6068" t="s">
        <v>211</v>
      </c>
      <c r="P127" s="6068"/>
      <c r="Q127" s="6069"/>
      <c r="R127" s="6067">
        <v>69</v>
      </c>
      <c r="S127" s="6068" t="s">
        <v>211</v>
      </c>
      <c r="T127" s="6068"/>
      <c r="U127" s="6069"/>
      <c r="V127" s="6067"/>
      <c r="W127" s="6070"/>
      <c r="X127" s="6070"/>
      <c r="Y127" s="6071"/>
      <c r="Z127" s="6067"/>
      <c r="AA127" s="6068"/>
      <c r="AB127" s="6068"/>
      <c r="AC127" s="6057"/>
      <c r="AD127" s="6072">
        <v>35</v>
      </c>
      <c r="AE127" s="6068"/>
      <c r="AF127" s="6073"/>
    </row>
    <row r="128" spans="1:32" ht="18" customHeight="1">
      <c r="A128" s="6066" t="s">
        <v>212</v>
      </c>
      <c r="B128" s="6067">
        <v>79</v>
      </c>
      <c r="C128" s="6068" t="s">
        <v>213</v>
      </c>
      <c r="D128" s="6068"/>
      <c r="E128" s="6069"/>
      <c r="F128" s="6067">
        <v>79</v>
      </c>
      <c r="G128" s="6068" t="s">
        <v>213</v>
      </c>
      <c r="H128" s="6068"/>
      <c r="I128" s="6069"/>
      <c r="J128" s="6067">
        <v>79</v>
      </c>
      <c r="K128" s="6068" t="s">
        <v>213</v>
      </c>
      <c r="L128" s="6068"/>
      <c r="M128" s="6069"/>
      <c r="N128" s="6067">
        <v>79</v>
      </c>
      <c r="O128" s="6068" t="s">
        <v>213</v>
      </c>
      <c r="P128" s="6068"/>
      <c r="Q128" s="6069"/>
      <c r="R128" s="6067">
        <v>79</v>
      </c>
      <c r="S128" s="6068" t="s">
        <v>213</v>
      </c>
      <c r="T128" s="6068"/>
      <c r="U128" s="6069"/>
      <c r="V128" s="6067"/>
      <c r="W128" s="6068"/>
      <c r="X128" s="6068"/>
      <c r="Y128" s="6069"/>
      <c r="Z128" s="6068"/>
      <c r="AA128" s="6068"/>
      <c r="AB128" s="6068"/>
      <c r="AC128" s="6057"/>
      <c r="AD128" s="6072">
        <v>40</v>
      </c>
      <c r="AE128" s="6068"/>
      <c r="AF128" s="6073"/>
    </row>
    <row r="129" spans="1:32" ht="18" customHeight="1">
      <c r="A129" s="6066" t="s">
        <v>214</v>
      </c>
      <c r="B129" s="6067">
        <v>89</v>
      </c>
      <c r="C129" s="6068" t="s">
        <v>215</v>
      </c>
      <c r="D129" s="6068"/>
      <c r="E129" s="6069"/>
      <c r="F129" s="6067">
        <v>89</v>
      </c>
      <c r="G129" s="6068" t="s">
        <v>215</v>
      </c>
      <c r="H129" s="6068"/>
      <c r="I129" s="6069"/>
      <c r="J129" s="6067">
        <v>89</v>
      </c>
      <c r="K129" s="6068" t="s">
        <v>215</v>
      </c>
      <c r="L129" s="6068"/>
      <c r="M129" s="6069"/>
      <c r="N129" s="6067">
        <v>89</v>
      </c>
      <c r="O129" s="6068" t="s">
        <v>215</v>
      </c>
      <c r="P129" s="6068"/>
      <c r="Q129" s="6069"/>
      <c r="R129" s="6067">
        <v>89</v>
      </c>
      <c r="S129" s="6068" t="s">
        <v>216</v>
      </c>
      <c r="T129" s="6068"/>
      <c r="U129" s="6069"/>
      <c r="V129" s="6074"/>
      <c r="W129" s="6075" t="s">
        <v>217</v>
      </c>
      <c r="X129" s="6075"/>
      <c r="Y129" s="6059"/>
      <c r="Z129" s="6074"/>
      <c r="AA129" s="6075"/>
      <c r="AB129" s="6075"/>
      <c r="AC129" s="6062"/>
      <c r="AD129" s="6072">
        <v>44</v>
      </c>
      <c r="AE129" s="6068"/>
      <c r="AF129" s="6073"/>
    </row>
    <row r="130" spans="1:32" ht="18" customHeight="1">
      <c r="A130" s="19" t="s">
        <v>218</v>
      </c>
      <c r="B130" s="6074">
        <v>99</v>
      </c>
      <c r="C130" s="6075" t="s">
        <v>219</v>
      </c>
      <c r="D130" s="6075"/>
      <c r="E130" s="6059"/>
      <c r="F130" s="6074">
        <v>99</v>
      </c>
      <c r="G130" s="6075" t="s">
        <v>219</v>
      </c>
      <c r="H130" s="6075"/>
      <c r="I130" s="6059"/>
      <c r="J130" s="6074">
        <v>99</v>
      </c>
      <c r="K130" s="6075" t="s">
        <v>219</v>
      </c>
      <c r="L130" s="6075"/>
      <c r="M130" s="6059"/>
      <c r="N130" s="6074">
        <v>99</v>
      </c>
      <c r="O130" s="6075" t="s">
        <v>219</v>
      </c>
      <c r="P130" s="6075"/>
      <c r="Q130" s="6059"/>
      <c r="R130" s="6074">
        <v>99</v>
      </c>
      <c r="S130" s="6075" t="s">
        <v>220</v>
      </c>
      <c r="T130" s="6075"/>
      <c r="U130" s="6062"/>
      <c r="V130" s="6061"/>
      <c r="W130" s="6062"/>
      <c r="X130" s="6075"/>
      <c r="Y130" s="6059"/>
      <c r="Z130" s="6061"/>
      <c r="AA130" s="6062"/>
      <c r="AB130" s="6075"/>
      <c r="AC130" s="6059"/>
      <c r="AD130" s="6076">
        <v>28</v>
      </c>
      <c r="AE130" s="6075"/>
      <c r="AF130" s="6077"/>
    </row>
    <row r="131" spans="1:32" ht="18" customHeight="1">
      <c r="A131" s="6078" t="s">
        <v>221</v>
      </c>
      <c r="B131" s="6079" t="s">
        <v>159</v>
      </c>
      <c r="C131" s="6027" t="s">
        <v>222</v>
      </c>
      <c r="D131" s="6023"/>
      <c r="E131" s="6025"/>
      <c r="F131" s="6079" t="s">
        <v>159</v>
      </c>
      <c r="G131" s="6027" t="s">
        <v>222</v>
      </c>
      <c r="H131" s="6023"/>
      <c r="I131" s="6023"/>
      <c r="J131" s="6079" t="s">
        <v>159</v>
      </c>
      <c r="K131" s="6027" t="s">
        <v>222</v>
      </c>
      <c r="L131" s="6023"/>
      <c r="M131" s="6025"/>
      <c r="N131" s="6079" t="s">
        <v>159</v>
      </c>
      <c r="O131" s="6027" t="s">
        <v>222</v>
      </c>
      <c r="P131" s="6023"/>
      <c r="Q131" s="6027"/>
      <c r="R131" s="6079" t="s">
        <v>159</v>
      </c>
      <c r="S131" s="6027" t="s">
        <v>223</v>
      </c>
      <c r="T131" s="6027"/>
      <c r="U131" s="6025"/>
      <c r="V131" s="6023"/>
      <c r="W131" s="6027"/>
      <c r="X131" s="6027"/>
      <c r="Y131" s="6027"/>
      <c r="Z131" s="6080"/>
      <c r="AA131" s="6081"/>
      <c r="AB131" s="6027"/>
      <c r="AC131" s="6082"/>
      <c r="AD131" s="6027"/>
      <c r="AE131" s="6027"/>
      <c r="AF131" s="6083"/>
    </row>
    <row r="132" spans="1:32" ht="18" customHeight="1">
      <c r="A132" s="100"/>
      <c r="B132" s="101"/>
      <c r="C132" s="101"/>
      <c r="D132" s="101"/>
      <c r="E132" s="101"/>
      <c r="F132" s="101"/>
      <c r="G132" s="101"/>
      <c r="H132" s="101"/>
      <c r="I132" s="101"/>
      <c r="J132" s="101"/>
      <c r="K132" s="101"/>
      <c r="L132" s="101"/>
      <c r="M132" s="101"/>
      <c r="N132" s="101"/>
      <c r="O132" s="101"/>
      <c r="P132" s="101"/>
      <c r="Q132" s="101"/>
      <c r="R132" s="101"/>
      <c r="S132" s="101"/>
      <c r="T132" s="101"/>
      <c r="U132" s="101"/>
      <c r="V132" s="101"/>
      <c r="W132" s="101"/>
      <c r="X132" s="101"/>
      <c r="Y132" s="101"/>
      <c r="Z132" s="101"/>
      <c r="AA132" s="101"/>
      <c r="AB132" s="101"/>
      <c r="AC132" s="101"/>
      <c r="AD132" s="101"/>
      <c r="AE132" s="101"/>
      <c r="AF132" s="101"/>
    </row>
    <row r="133" spans="1:32" ht="18" customHeight="1">
      <c r="A133" s="363" t="s">
        <v>208</v>
      </c>
      <c r="B133" s="2985">
        <v>1</v>
      </c>
      <c r="C133" s="2985">
        <v>2</v>
      </c>
      <c r="D133" s="2985">
        <v>3</v>
      </c>
      <c r="E133" s="2986">
        <v>4</v>
      </c>
      <c r="F133" s="2986">
        <v>5</v>
      </c>
      <c r="G133" s="2985">
        <v>6</v>
      </c>
      <c r="H133" s="2985">
        <v>7</v>
      </c>
      <c r="I133" s="2985">
        <v>8</v>
      </c>
      <c r="J133" s="2985">
        <v>9</v>
      </c>
      <c r="K133" s="2985">
        <v>10</v>
      </c>
      <c r="L133" s="2986">
        <v>11</v>
      </c>
      <c r="M133" s="2986">
        <v>12</v>
      </c>
      <c r="N133" s="2985">
        <v>13</v>
      </c>
      <c r="O133" s="2985">
        <v>14</v>
      </c>
      <c r="P133" s="2985">
        <v>15</v>
      </c>
      <c r="Q133" s="2985">
        <v>16</v>
      </c>
      <c r="R133" s="2985">
        <v>17</v>
      </c>
      <c r="S133" s="2986">
        <v>18</v>
      </c>
      <c r="T133" s="2986">
        <v>19</v>
      </c>
      <c r="U133" s="2985">
        <v>20</v>
      </c>
      <c r="V133" s="2985">
        <v>21</v>
      </c>
      <c r="W133" s="2985">
        <v>22</v>
      </c>
      <c r="X133" s="2985">
        <v>23</v>
      </c>
      <c r="Y133" s="2985">
        <v>24</v>
      </c>
      <c r="Z133" s="2986">
        <v>25</v>
      </c>
      <c r="AA133" s="2986">
        <v>26</v>
      </c>
      <c r="AB133" s="2985">
        <v>27</v>
      </c>
      <c r="AC133" s="2985">
        <v>28</v>
      </c>
      <c r="AD133" s="2985">
        <v>29</v>
      </c>
      <c r="AE133" s="2985">
        <v>30</v>
      </c>
      <c r="AF133" s="2985">
        <v>31</v>
      </c>
    </row>
    <row r="134" spans="1:32" ht="18" customHeight="1">
      <c r="A134" s="2815" t="s">
        <v>224</v>
      </c>
      <c r="B134" s="3088">
        <v>79</v>
      </c>
      <c r="C134" s="2816">
        <v>79</v>
      </c>
      <c r="D134" s="3089">
        <v>79</v>
      </c>
      <c r="E134" s="3089"/>
      <c r="F134" s="3090"/>
      <c r="G134" s="3088">
        <v>89</v>
      </c>
      <c r="H134" s="3090">
        <v>89</v>
      </c>
      <c r="I134" s="3090">
        <v>89</v>
      </c>
      <c r="J134" s="3088">
        <v>89</v>
      </c>
      <c r="K134" s="3090">
        <v>89</v>
      </c>
      <c r="L134" s="3089">
        <v>89</v>
      </c>
      <c r="M134" s="3090"/>
      <c r="N134" s="3088">
        <v>99</v>
      </c>
      <c r="O134" s="3088">
        <v>99</v>
      </c>
      <c r="P134" s="3088">
        <v>99</v>
      </c>
      <c r="Q134" s="3088">
        <v>99</v>
      </c>
      <c r="R134" s="3089" t="s">
        <v>46</v>
      </c>
      <c r="S134" s="3089"/>
      <c r="T134" s="3088"/>
      <c r="U134" s="3088" t="s">
        <v>159</v>
      </c>
      <c r="V134" s="3088" t="s">
        <v>159</v>
      </c>
      <c r="W134" s="3088" t="s">
        <v>159</v>
      </c>
      <c r="X134" s="3088" t="s">
        <v>159</v>
      </c>
      <c r="Y134" s="3088" t="s">
        <v>159</v>
      </c>
      <c r="Z134" s="3090"/>
      <c r="AA134" s="3088"/>
      <c r="AB134" s="3088">
        <v>69</v>
      </c>
      <c r="AC134" s="3088">
        <v>69</v>
      </c>
      <c r="AD134" s="3088">
        <v>69</v>
      </c>
      <c r="AE134" s="3090">
        <v>69</v>
      </c>
      <c r="AF134" s="3088">
        <v>69</v>
      </c>
    </row>
    <row r="135" spans="1:32" ht="18" customHeight="1">
      <c r="A135" s="6084" t="s">
        <v>225</v>
      </c>
      <c r="B135" s="6040">
        <v>89</v>
      </c>
      <c r="C135" s="6039">
        <v>89</v>
      </c>
      <c r="D135" s="6040">
        <v>89</v>
      </c>
      <c r="E135" s="6040">
        <v>89</v>
      </c>
      <c r="F135" s="6040"/>
      <c r="G135" s="6038">
        <v>99</v>
      </c>
      <c r="H135" s="6042">
        <v>99</v>
      </c>
      <c r="I135" s="6038">
        <v>99</v>
      </c>
      <c r="J135" s="6038">
        <v>99</v>
      </c>
      <c r="K135" s="6039" t="s">
        <v>46</v>
      </c>
      <c r="L135" s="6039"/>
      <c r="M135" s="6038"/>
      <c r="N135" s="6043" t="s">
        <v>159</v>
      </c>
      <c r="O135" s="6038" t="s">
        <v>159</v>
      </c>
      <c r="P135" s="6038" t="s">
        <v>159</v>
      </c>
      <c r="Q135" s="6042" t="s">
        <v>159</v>
      </c>
      <c r="R135" s="6038" t="s">
        <v>159</v>
      </c>
      <c r="S135" s="6039"/>
      <c r="T135" s="6038"/>
      <c r="U135" s="6038">
        <v>69</v>
      </c>
      <c r="V135" s="6038">
        <v>69</v>
      </c>
      <c r="W135" s="6038">
        <v>69</v>
      </c>
      <c r="X135" s="6038">
        <v>69</v>
      </c>
      <c r="Y135" s="6038">
        <v>69</v>
      </c>
      <c r="Z135" s="6039"/>
      <c r="AA135" s="6042"/>
      <c r="AB135" s="6043">
        <v>79</v>
      </c>
      <c r="AC135" s="6043">
        <v>79</v>
      </c>
      <c r="AD135" s="6043">
        <v>79</v>
      </c>
      <c r="AE135" s="6043">
        <v>79</v>
      </c>
      <c r="AF135" s="6040">
        <v>79</v>
      </c>
    </row>
    <row r="136" spans="1:32" ht="18" customHeight="1">
      <c r="A136" s="5971" t="s">
        <v>124</v>
      </c>
      <c r="B136" s="6085">
        <v>99</v>
      </c>
      <c r="C136" s="6039">
        <v>99</v>
      </c>
      <c r="D136" s="6040" t="s">
        <v>46</v>
      </c>
      <c r="E136" s="6085"/>
      <c r="F136" s="6086"/>
      <c r="G136" s="6031" t="s">
        <v>159</v>
      </c>
      <c r="H136" s="6042" t="s">
        <v>159</v>
      </c>
      <c r="I136" s="6085" t="s">
        <v>159</v>
      </c>
      <c r="J136" s="6085" t="s">
        <v>159</v>
      </c>
      <c r="K136" s="6085" t="s">
        <v>159</v>
      </c>
      <c r="L136" s="6085"/>
      <c r="M136" s="6038"/>
      <c r="N136" s="6043">
        <v>69</v>
      </c>
      <c r="O136" s="6064">
        <v>69</v>
      </c>
      <c r="P136" s="6043">
        <v>69</v>
      </c>
      <c r="Q136" s="6043">
        <v>69</v>
      </c>
      <c r="R136" s="6043">
        <v>69</v>
      </c>
      <c r="S136" s="6043"/>
      <c r="T136" s="6043"/>
      <c r="U136" s="6043">
        <v>79</v>
      </c>
      <c r="V136" s="6043">
        <v>79</v>
      </c>
      <c r="W136" s="6043">
        <v>79</v>
      </c>
      <c r="X136" s="6085">
        <v>79</v>
      </c>
      <c r="Y136" s="6085">
        <v>79</v>
      </c>
      <c r="Z136" s="6085"/>
      <c r="AA136" s="6085"/>
      <c r="AB136" s="6085">
        <v>89</v>
      </c>
      <c r="AC136" s="6085">
        <v>89</v>
      </c>
      <c r="AD136" s="6085">
        <v>89</v>
      </c>
      <c r="AE136" s="6085">
        <v>89</v>
      </c>
      <c r="AF136" s="6085">
        <v>89</v>
      </c>
    </row>
    <row r="137" spans="1:32" ht="18" customHeight="1">
      <c r="A137" s="6084" t="s">
        <v>226</v>
      </c>
      <c r="B137" s="6039" t="s">
        <v>159</v>
      </c>
      <c r="C137" s="6039" t="s">
        <v>64</v>
      </c>
      <c r="D137" s="6039" t="s">
        <v>64</v>
      </c>
      <c r="E137" s="6039"/>
      <c r="F137" s="6039"/>
      <c r="G137" s="6039">
        <v>69</v>
      </c>
      <c r="H137" s="6042">
        <v>69</v>
      </c>
      <c r="I137" s="6039">
        <v>69</v>
      </c>
      <c r="J137" s="6039">
        <v>69</v>
      </c>
      <c r="K137" s="6039">
        <v>69</v>
      </c>
      <c r="L137" s="6039"/>
      <c r="M137" s="6038"/>
      <c r="N137" s="6039">
        <v>79</v>
      </c>
      <c r="O137" s="6039">
        <v>79</v>
      </c>
      <c r="P137" s="6064">
        <v>79</v>
      </c>
      <c r="Q137" s="6064">
        <v>79</v>
      </c>
      <c r="R137" s="6039">
        <v>79</v>
      </c>
      <c r="S137" s="6039"/>
      <c r="T137" s="6039"/>
      <c r="U137" s="6039">
        <v>89</v>
      </c>
      <c r="V137" s="6039">
        <v>89</v>
      </c>
      <c r="W137" s="6039">
        <v>89</v>
      </c>
      <c r="X137" s="6064">
        <v>89</v>
      </c>
      <c r="Y137" s="6064">
        <v>89</v>
      </c>
      <c r="Z137" s="6039">
        <v>89</v>
      </c>
      <c r="AA137" s="6039"/>
      <c r="AB137" s="6039">
        <v>99</v>
      </c>
      <c r="AC137" s="6039">
        <v>99</v>
      </c>
      <c r="AD137" s="6039">
        <v>99</v>
      </c>
      <c r="AE137" s="6039">
        <v>99</v>
      </c>
      <c r="AF137" s="6039" t="s">
        <v>46</v>
      </c>
    </row>
    <row r="138" spans="1:32" ht="18" customHeight="1">
      <c r="A138" s="6087" t="s">
        <v>227</v>
      </c>
      <c r="B138" s="6088">
        <v>69</v>
      </c>
      <c r="C138" s="6088">
        <v>69</v>
      </c>
      <c r="D138" s="6044">
        <v>69</v>
      </c>
      <c r="E138" s="6034"/>
      <c r="F138" s="6034"/>
      <c r="G138" s="6032">
        <v>79</v>
      </c>
      <c r="H138" s="6032">
        <v>79</v>
      </c>
      <c r="I138" s="6032">
        <v>79</v>
      </c>
      <c r="J138" s="6032">
        <v>79</v>
      </c>
      <c r="K138" s="6044">
        <v>79</v>
      </c>
      <c r="L138" s="6044"/>
      <c r="M138" s="6032"/>
      <c r="N138" s="6088">
        <v>89</v>
      </c>
      <c r="O138" s="6088">
        <v>89</v>
      </c>
      <c r="P138" s="6088">
        <v>89</v>
      </c>
      <c r="Q138" s="6088">
        <v>89</v>
      </c>
      <c r="R138" s="6044">
        <v>89</v>
      </c>
      <c r="S138" s="6089">
        <v>89</v>
      </c>
      <c r="T138" s="6088"/>
      <c r="U138" s="6088">
        <v>99</v>
      </c>
      <c r="V138" s="6088">
        <v>99</v>
      </c>
      <c r="W138" s="6088">
        <v>99</v>
      </c>
      <c r="X138" s="6088">
        <v>99</v>
      </c>
      <c r="Y138" s="6088" t="s">
        <v>46</v>
      </c>
      <c r="Z138" s="6034"/>
      <c r="AA138" s="6088"/>
      <c r="AB138" s="6044" t="s">
        <v>159</v>
      </c>
      <c r="AC138" s="6044" t="s">
        <v>159</v>
      </c>
      <c r="AD138" s="6044" t="s">
        <v>159</v>
      </c>
      <c r="AE138" s="6044" t="s">
        <v>159</v>
      </c>
      <c r="AF138" s="6088" t="s">
        <v>159</v>
      </c>
    </row>
    <row r="139" spans="1:32" ht="18" customHeight="1">
      <c r="A139" s="178"/>
      <c r="B139" s="176"/>
      <c r="C139" s="176"/>
      <c r="D139" s="176"/>
      <c r="E139" s="108"/>
      <c r="F139" s="99"/>
      <c r="G139" s="99"/>
      <c r="H139" s="99"/>
      <c r="I139" s="99"/>
      <c r="J139" s="99"/>
      <c r="K139" s="108"/>
      <c r="L139" s="108"/>
      <c r="M139" s="176"/>
      <c r="N139" s="176"/>
      <c r="O139" s="176"/>
      <c r="P139" s="176"/>
      <c r="Q139" s="176"/>
      <c r="R139" s="108"/>
      <c r="S139" s="174"/>
      <c r="T139" s="176"/>
      <c r="U139" s="176"/>
      <c r="V139" s="176"/>
      <c r="W139" s="176"/>
      <c r="X139" s="176"/>
      <c r="Y139" s="175"/>
      <c r="Z139" s="175"/>
      <c r="AA139" s="176"/>
      <c r="AB139" s="176"/>
      <c r="AC139" s="176"/>
      <c r="AD139" s="176"/>
      <c r="AE139" s="176"/>
      <c r="AF139" s="6090"/>
    </row>
    <row r="140" spans="1:32" ht="18" customHeight="1">
      <c r="A140" s="2764" t="s">
        <v>608</v>
      </c>
      <c r="B140" s="2787"/>
      <c r="C140" s="2788" t="s">
        <v>19</v>
      </c>
      <c r="D140" s="2789"/>
      <c r="E140" s="2790"/>
      <c r="F140" s="2787"/>
      <c r="G140" s="2788" t="s">
        <v>20</v>
      </c>
      <c r="H140" s="2789"/>
      <c r="I140" s="2790"/>
      <c r="J140" s="2787"/>
      <c r="K140" s="2788" t="s">
        <v>21</v>
      </c>
      <c r="L140" s="2789"/>
      <c r="M140" s="2790"/>
      <c r="N140" s="2787"/>
      <c r="O140" s="2788" t="s">
        <v>22</v>
      </c>
      <c r="P140" s="2789"/>
      <c r="Q140" s="2790"/>
      <c r="R140" s="2787"/>
      <c r="S140" s="2788" t="s">
        <v>23</v>
      </c>
      <c r="T140" s="2789"/>
      <c r="U140" s="2790"/>
      <c r="V140" s="2787"/>
      <c r="W140" s="2788" t="s">
        <v>24</v>
      </c>
      <c r="X140" s="2789"/>
      <c r="Y140" s="2790"/>
      <c r="Z140" s="2787"/>
      <c r="AA140" s="2788" t="s">
        <v>25</v>
      </c>
      <c r="AB140" s="2789"/>
      <c r="AC140" s="2789"/>
      <c r="AD140" s="2791" t="s">
        <v>108</v>
      </c>
      <c r="AE140" s="2789"/>
      <c r="AF140" s="2792"/>
    </row>
    <row r="141" spans="1:32" ht="18" customHeight="1">
      <c r="A141" s="6066" t="s">
        <v>229</v>
      </c>
      <c r="B141" s="6058" t="s">
        <v>230</v>
      </c>
      <c r="C141" s="6068"/>
      <c r="D141" s="6068"/>
      <c r="E141" s="6069"/>
      <c r="F141" s="6058" t="s">
        <v>230</v>
      </c>
      <c r="G141" s="6068"/>
      <c r="H141" s="6068"/>
      <c r="I141" s="6069"/>
      <c r="J141" s="6058" t="s">
        <v>230</v>
      </c>
      <c r="K141" s="6068"/>
      <c r="L141" s="6068"/>
      <c r="M141" s="6069"/>
      <c r="N141" s="6058" t="s">
        <v>231</v>
      </c>
      <c r="O141" s="6068"/>
      <c r="P141" s="6068"/>
      <c r="Q141" s="6069"/>
      <c r="R141" s="6058" t="s">
        <v>232</v>
      </c>
      <c r="S141" s="6068"/>
      <c r="T141" s="6068"/>
      <c r="U141" s="6069"/>
      <c r="V141" s="6058" t="s">
        <v>233</v>
      </c>
      <c r="W141" s="6070"/>
      <c r="X141" s="6070"/>
      <c r="Y141" s="6071"/>
      <c r="Z141" s="6058" t="s">
        <v>233</v>
      </c>
      <c r="AA141" s="6068"/>
      <c r="AB141" s="6068"/>
      <c r="AC141" s="6057"/>
      <c r="AD141" s="6072">
        <v>68</v>
      </c>
      <c r="AE141" s="530"/>
      <c r="AF141" s="465"/>
    </row>
    <row r="142" spans="1:32" ht="18" customHeight="1">
      <c r="A142" s="6066"/>
      <c r="B142" s="6058" t="s">
        <v>220</v>
      </c>
      <c r="C142" s="6068"/>
      <c r="D142" s="6068"/>
      <c r="E142" s="6069"/>
      <c r="F142" s="6058" t="s">
        <v>220</v>
      </c>
      <c r="G142" s="6068"/>
      <c r="H142" s="6068"/>
      <c r="I142" s="6069"/>
      <c r="J142" s="6058" t="s">
        <v>220</v>
      </c>
      <c r="K142" s="6068"/>
      <c r="L142" s="6068"/>
      <c r="M142" s="6069"/>
      <c r="N142" s="6058" t="s">
        <v>220</v>
      </c>
      <c r="O142" s="6068"/>
      <c r="P142" s="6068"/>
      <c r="Q142" s="6069"/>
      <c r="R142" s="6058" t="s">
        <v>220</v>
      </c>
      <c r="S142" s="6068"/>
      <c r="T142" s="6068"/>
      <c r="U142" s="6069"/>
      <c r="V142" s="6058" t="s">
        <v>220</v>
      </c>
      <c r="W142" s="6068"/>
      <c r="X142" s="6068"/>
      <c r="Y142" s="6069"/>
      <c r="Z142" s="6068" t="s">
        <v>220</v>
      </c>
      <c r="AA142" s="6068"/>
      <c r="AB142" s="6068"/>
      <c r="AC142" s="6057"/>
      <c r="AD142" s="6072">
        <v>0</v>
      </c>
      <c r="AE142" s="530"/>
      <c r="AF142" s="465"/>
    </row>
    <row r="143" spans="1:32" ht="18" customHeight="1">
      <c r="A143" s="6066" t="s">
        <v>234</v>
      </c>
      <c r="B143" s="6058" t="s">
        <v>231</v>
      </c>
      <c r="C143" s="6068"/>
      <c r="D143" s="6068"/>
      <c r="E143" s="6069"/>
      <c r="F143" s="6058" t="s">
        <v>231</v>
      </c>
      <c r="G143" s="6068"/>
      <c r="H143" s="6068"/>
      <c r="I143" s="6069"/>
      <c r="J143" s="6058" t="s">
        <v>231</v>
      </c>
      <c r="K143" s="6068"/>
      <c r="L143" s="6068"/>
      <c r="M143" s="6069"/>
      <c r="N143" s="6058" t="s">
        <v>230</v>
      </c>
      <c r="O143" s="6068"/>
      <c r="P143" s="6068"/>
      <c r="Q143" s="6069"/>
      <c r="R143" s="6058" t="s">
        <v>230</v>
      </c>
      <c r="S143" s="6068"/>
      <c r="T143" s="6068"/>
      <c r="U143" s="6069"/>
      <c r="V143" s="6058" t="s">
        <v>232</v>
      </c>
      <c r="W143" s="6070"/>
      <c r="X143" s="6070"/>
      <c r="Y143" s="6071"/>
      <c r="Z143" s="6058" t="s">
        <v>232</v>
      </c>
      <c r="AA143" s="6068"/>
      <c r="AB143" s="6068"/>
      <c r="AC143" s="6057"/>
      <c r="AD143" s="6072">
        <v>68</v>
      </c>
      <c r="AE143" s="6068"/>
      <c r="AF143" s="6073"/>
    </row>
    <row r="144" spans="1:32" ht="18" customHeight="1">
      <c r="A144" s="6066"/>
      <c r="B144" s="6058" t="s">
        <v>220</v>
      </c>
      <c r="C144" s="6068"/>
      <c r="D144" s="6068"/>
      <c r="E144" s="6069"/>
      <c r="F144" s="6058" t="s">
        <v>220</v>
      </c>
      <c r="G144" s="6068"/>
      <c r="H144" s="6068"/>
      <c r="I144" s="6069"/>
      <c r="J144" s="6058" t="s">
        <v>220</v>
      </c>
      <c r="K144" s="6068"/>
      <c r="L144" s="6068"/>
      <c r="M144" s="6069"/>
      <c r="N144" s="6058" t="s">
        <v>220</v>
      </c>
      <c r="O144" s="6068"/>
      <c r="P144" s="6068"/>
      <c r="Q144" s="6069"/>
      <c r="R144" s="6058" t="s">
        <v>220</v>
      </c>
      <c r="S144" s="6068"/>
      <c r="T144" s="6068"/>
      <c r="U144" s="6069"/>
      <c r="V144" s="6058" t="s">
        <v>220</v>
      </c>
      <c r="W144" s="6068"/>
      <c r="X144" s="6068"/>
      <c r="Y144" s="6069"/>
      <c r="Z144" s="6068" t="s">
        <v>220</v>
      </c>
      <c r="AA144" s="6068"/>
      <c r="AB144" s="6068"/>
      <c r="AC144" s="6057"/>
      <c r="AD144" s="6072">
        <v>0</v>
      </c>
      <c r="AE144" s="6068"/>
      <c r="AF144" s="6073"/>
    </row>
    <row r="145" spans="1:32" ht="18" customHeight="1">
      <c r="A145" s="6066" t="s">
        <v>235</v>
      </c>
      <c r="B145" s="6058" t="s">
        <v>230</v>
      </c>
      <c r="C145" s="6068"/>
      <c r="D145" s="6068"/>
      <c r="E145" s="6069"/>
      <c r="F145" s="6058" t="s">
        <v>230</v>
      </c>
      <c r="G145" s="6068"/>
      <c r="H145" s="6068"/>
      <c r="I145" s="6069"/>
      <c r="J145" s="6058" t="s">
        <v>230</v>
      </c>
      <c r="K145" s="6068"/>
      <c r="L145" s="6068"/>
      <c r="M145" s="6069"/>
      <c r="N145" s="6058" t="s">
        <v>230</v>
      </c>
      <c r="O145" s="6068"/>
      <c r="P145" s="6068"/>
      <c r="Q145" s="6069"/>
      <c r="R145" s="6058" t="s">
        <v>230</v>
      </c>
      <c r="S145" s="6068"/>
      <c r="T145" s="6068"/>
      <c r="U145" s="6069"/>
      <c r="V145" s="6058" t="s">
        <v>236</v>
      </c>
      <c r="W145" s="6075"/>
      <c r="X145" s="6075"/>
      <c r="Y145" s="6059"/>
      <c r="Z145" s="6058" t="s">
        <v>236</v>
      </c>
      <c r="AA145" s="6075"/>
      <c r="AB145" s="6075"/>
      <c r="AC145" s="6062"/>
      <c r="AD145" s="6072">
        <v>68</v>
      </c>
      <c r="AE145" s="6068"/>
      <c r="AF145" s="6073"/>
    </row>
    <row r="146" spans="1:32" ht="18" customHeight="1">
      <c r="A146" s="6066"/>
      <c r="B146" s="6091" t="s">
        <v>220</v>
      </c>
      <c r="C146" s="6092"/>
      <c r="D146" s="6092"/>
      <c r="E146" s="6093"/>
      <c r="F146" s="6091" t="s">
        <v>220</v>
      </c>
      <c r="G146" s="6092"/>
      <c r="H146" s="6092"/>
      <c r="I146" s="6093"/>
      <c r="J146" s="6091" t="s">
        <v>220</v>
      </c>
      <c r="K146" s="6092"/>
      <c r="L146" s="6092"/>
      <c r="M146" s="6093"/>
      <c r="N146" s="6091" t="s">
        <v>220</v>
      </c>
      <c r="O146" s="6092"/>
      <c r="P146" s="6092"/>
      <c r="Q146" s="6093"/>
      <c r="R146" s="6091" t="s">
        <v>220</v>
      </c>
      <c r="S146" s="6092"/>
      <c r="T146" s="6092"/>
      <c r="U146" s="6081"/>
      <c r="V146" s="6091" t="s">
        <v>220</v>
      </c>
      <c r="W146" s="6081"/>
      <c r="X146" s="6092"/>
      <c r="Y146" s="6093"/>
      <c r="Z146" s="6091" t="s">
        <v>220</v>
      </c>
      <c r="AA146" s="6081"/>
      <c r="AB146" s="6092"/>
      <c r="AC146" s="6093"/>
      <c r="AD146" s="6094" t="s">
        <v>438</v>
      </c>
      <c r="AE146" s="6092"/>
      <c r="AF146" s="6083"/>
    </row>
    <row r="147" spans="1:32" ht="18" customHeight="1">
      <c r="A147" s="100"/>
      <c r="B147" s="101"/>
      <c r="C147" s="101"/>
      <c r="D147" s="101"/>
      <c r="E147" s="101"/>
      <c r="F147" s="101"/>
      <c r="G147" s="101"/>
      <c r="H147" s="101"/>
      <c r="I147" s="101"/>
      <c r="J147" s="101"/>
      <c r="K147" s="101"/>
      <c r="L147" s="101"/>
      <c r="M147" s="101"/>
      <c r="N147" s="101"/>
      <c r="O147" s="101"/>
      <c r="P147" s="101"/>
      <c r="Q147" s="101"/>
      <c r="R147" s="101"/>
      <c r="S147" s="101"/>
      <c r="T147" s="101"/>
      <c r="U147" s="101"/>
      <c r="V147" s="101"/>
      <c r="W147" s="101"/>
      <c r="X147" s="101"/>
      <c r="Y147" s="101"/>
      <c r="Z147" s="101"/>
      <c r="AA147" s="101"/>
      <c r="AB147" s="101"/>
      <c r="AC147" s="101"/>
      <c r="AD147" s="101"/>
      <c r="AE147" s="101"/>
      <c r="AF147" s="101"/>
    </row>
    <row r="148" spans="1:32" ht="18" customHeight="1">
      <c r="A148" s="371" t="s">
        <v>228</v>
      </c>
      <c r="B148" s="865">
        <v>1</v>
      </c>
      <c r="C148" s="865">
        <v>2</v>
      </c>
      <c r="D148" s="865">
        <v>3</v>
      </c>
      <c r="E148" s="866">
        <v>4</v>
      </c>
      <c r="F148" s="866">
        <v>5</v>
      </c>
      <c r="G148" s="865">
        <v>6</v>
      </c>
      <c r="H148" s="865">
        <v>7</v>
      </c>
      <c r="I148" s="865">
        <v>8</v>
      </c>
      <c r="J148" s="865">
        <v>9</v>
      </c>
      <c r="K148" s="865">
        <v>10</v>
      </c>
      <c r="L148" s="866">
        <v>11</v>
      </c>
      <c r="M148" s="866">
        <v>12</v>
      </c>
      <c r="N148" s="865">
        <v>13</v>
      </c>
      <c r="O148" s="865">
        <v>14</v>
      </c>
      <c r="P148" s="865">
        <v>15</v>
      </c>
      <c r="Q148" s="865">
        <v>16</v>
      </c>
      <c r="R148" s="865">
        <v>17</v>
      </c>
      <c r="S148" s="866">
        <v>18</v>
      </c>
      <c r="T148" s="866">
        <v>19</v>
      </c>
      <c r="U148" s="865">
        <v>20</v>
      </c>
      <c r="V148" s="865">
        <v>21</v>
      </c>
      <c r="W148" s="865">
        <v>22</v>
      </c>
      <c r="X148" s="865">
        <v>23</v>
      </c>
      <c r="Y148" s="865">
        <v>24</v>
      </c>
      <c r="Z148" s="866">
        <v>25</v>
      </c>
      <c r="AA148" s="866">
        <v>26</v>
      </c>
      <c r="AB148" s="865">
        <v>27</v>
      </c>
      <c r="AC148" s="865">
        <v>28</v>
      </c>
      <c r="AD148" s="865">
        <v>29</v>
      </c>
      <c r="AE148" s="865">
        <v>30</v>
      </c>
      <c r="AF148" s="867">
        <v>31</v>
      </c>
    </row>
    <row r="149" spans="1:32" ht="18" customHeight="1">
      <c r="A149" s="5591" t="s">
        <v>237</v>
      </c>
      <c r="B149" s="2829">
        <v>23</v>
      </c>
      <c r="C149" s="2830">
        <v>23</v>
      </c>
      <c r="D149" s="2830">
        <v>23</v>
      </c>
      <c r="E149" s="2830">
        <v>23</v>
      </c>
      <c r="F149" s="2830">
        <v>23</v>
      </c>
      <c r="G149" s="2829" t="s">
        <v>46</v>
      </c>
      <c r="H149" s="2829" t="s">
        <v>46</v>
      </c>
      <c r="I149" s="2829" t="s">
        <v>46</v>
      </c>
      <c r="J149" s="2831" t="s">
        <v>46</v>
      </c>
      <c r="K149" s="2831" t="s">
        <v>46</v>
      </c>
      <c r="L149" s="2831"/>
      <c r="M149" s="2830"/>
      <c r="N149" s="2830">
        <v>21</v>
      </c>
      <c r="O149" s="2830">
        <v>21</v>
      </c>
      <c r="P149" s="2830">
        <v>21</v>
      </c>
      <c r="Q149" s="2830">
        <v>21</v>
      </c>
      <c r="R149" s="2830">
        <v>21</v>
      </c>
      <c r="S149" s="2830">
        <v>21</v>
      </c>
      <c r="T149" s="2830">
        <v>21</v>
      </c>
      <c r="U149" s="2829" t="s">
        <v>46</v>
      </c>
      <c r="V149" s="2829" t="s">
        <v>46</v>
      </c>
      <c r="W149" s="2829" t="s">
        <v>46</v>
      </c>
      <c r="X149" s="2829" t="s">
        <v>46</v>
      </c>
      <c r="Y149" s="2829" t="s">
        <v>46</v>
      </c>
      <c r="Z149" s="2829"/>
      <c r="AA149" s="2829"/>
      <c r="AB149" s="2832">
        <v>22</v>
      </c>
      <c r="AC149" s="2832">
        <v>22</v>
      </c>
      <c r="AD149" s="2832">
        <v>22</v>
      </c>
      <c r="AE149" s="2829">
        <v>22</v>
      </c>
      <c r="AF149" s="4639">
        <v>22</v>
      </c>
    </row>
    <row r="150" spans="1:32" ht="18" customHeight="1">
      <c r="A150" s="5591" t="s">
        <v>238</v>
      </c>
      <c r="B150" s="5600">
        <v>21</v>
      </c>
      <c r="C150" s="5600">
        <v>21</v>
      </c>
      <c r="D150" s="5602">
        <v>21</v>
      </c>
      <c r="E150" s="5629">
        <v>21</v>
      </c>
      <c r="F150" s="5629">
        <v>21</v>
      </c>
      <c r="G150" s="5629" t="s">
        <v>46</v>
      </c>
      <c r="H150" s="5629" t="s">
        <v>46</v>
      </c>
      <c r="I150" s="5629" t="s">
        <v>46</v>
      </c>
      <c r="J150" s="5673" t="s">
        <v>46</v>
      </c>
      <c r="K150" s="5673" t="s">
        <v>46</v>
      </c>
      <c r="L150" s="5673"/>
      <c r="M150" s="5601"/>
      <c r="N150" s="5601">
        <v>22</v>
      </c>
      <c r="O150" s="5601">
        <v>22</v>
      </c>
      <c r="P150" s="5601">
        <v>22</v>
      </c>
      <c r="Q150" s="5600">
        <v>22</v>
      </c>
      <c r="R150" s="5602">
        <v>22</v>
      </c>
      <c r="S150" s="5629">
        <v>22</v>
      </c>
      <c r="T150" s="5629">
        <v>22</v>
      </c>
      <c r="U150" s="5629" t="s">
        <v>46</v>
      </c>
      <c r="V150" s="5629" t="s">
        <v>46</v>
      </c>
      <c r="W150" s="5629" t="s">
        <v>46</v>
      </c>
      <c r="X150" s="5600" t="s">
        <v>46</v>
      </c>
      <c r="Y150" s="5600" t="s">
        <v>46</v>
      </c>
      <c r="Z150" s="5600"/>
      <c r="AA150" s="5600"/>
      <c r="AB150" s="5629">
        <v>23</v>
      </c>
      <c r="AC150" s="5629">
        <v>23</v>
      </c>
      <c r="AD150" s="5629">
        <v>23</v>
      </c>
      <c r="AE150" s="5629">
        <v>23</v>
      </c>
      <c r="AF150" s="5674">
        <v>23</v>
      </c>
    </row>
    <row r="151" spans="1:32" ht="18" customHeight="1">
      <c r="A151" s="5591" t="s">
        <v>239</v>
      </c>
      <c r="B151" s="5600">
        <v>22</v>
      </c>
      <c r="C151" s="5601">
        <v>22</v>
      </c>
      <c r="D151" s="5601">
        <v>22</v>
      </c>
      <c r="E151" s="5601">
        <v>22</v>
      </c>
      <c r="F151" s="5601">
        <v>22</v>
      </c>
      <c r="G151" s="5601" t="s">
        <v>46</v>
      </c>
      <c r="H151" s="5600" t="s">
        <v>46</v>
      </c>
      <c r="I151" s="5600" t="s">
        <v>46</v>
      </c>
      <c r="J151" s="5673" t="s">
        <v>46</v>
      </c>
      <c r="K151" s="5673" t="s">
        <v>46</v>
      </c>
      <c r="L151" s="5673"/>
      <c r="M151" s="5601"/>
      <c r="N151" s="5601">
        <v>23</v>
      </c>
      <c r="O151" s="5601">
        <v>23</v>
      </c>
      <c r="P151" s="5601">
        <v>23</v>
      </c>
      <c r="Q151" s="5600">
        <v>23</v>
      </c>
      <c r="R151" s="5602">
        <v>23</v>
      </c>
      <c r="S151" s="5600">
        <v>23</v>
      </c>
      <c r="T151" s="5600">
        <v>23</v>
      </c>
      <c r="U151" s="5600" t="s">
        <v>46</v>
      </c>
      <c r="V151" s="5600" t="s">
        <v>46</v>
      </c>
      <c r="W151" s="5600" t="s">
        <v>46</v>
      </c>
      <c r="X151" s="5600" t="s">
        <v>46</v>
      </c>
      <c r="Y151" s="5600" t="s">
        <v>46</v>
      </c>
      <c r="Z151" s="5600"/>
      <c r="AA151" s="5600"/>
      <c r="AB151" s="5629">
        <v>21</v>
      </c>
      <c r="AC151" s="5629">
        <v>21</v>
      </c>
      <c r="AD151" s="5629">
        <v>21</v>
      </c>
      <c r="AE151" s="5600">
        <v>21</v>
      </c>
      <c r="AF151" s="5674">
        <v>21</v>
      </c>
    </row>
    <row r="152" spans="1:32" ht="18" customHeight="1">
      <c r="A152" s="655" t="s">
        <v>240</v>
      </c>
      <c r="B152" s="5600" t="s">
        <v>46</v>
      </c>
      <c r="C152" s="5673" t="s">
        <v>46</v>
      </c>
      <c r="D152" s="5673" t="s">
        <v>46</v>
      </c>
      <c r="E152" s="5673"/>
      <c r="F152" s="5601"/>
      <c r="G152" s="5601">
        <v>23</v>
      </c>
      <c r="H152" s="5601">
        <v>23</v>
      </c>
      <c r="I152" s="5601">
        <v>23</v>
      </c>
      <c r="J152" s="5601">
        <v>23</v>
      </c>
      <c r="K152" s="5601">
        <v>23</v>
      </c>
      <c r="L152" s="5601">
        <v>23</v>
      </c>
      <c r="M152" s="5601">
        <v>23</v>
      </c>
      <c r="N152" s="5601" t="s">
        <v>46</v>
      </c>
      <c r="O152" s="5600" t="s">
        <v>46</v>
      </c>
      <c r="P152" s="5600" t="s">
        <v>46</v>
      </c>
      <c r="Q152" s="5628" t="s">
        <v>46</v>
      </c>
      <c r="R152" s="5628" t="s">
        <v>46</v>
      </c>
      <c r="S152" s="5600"/>
      <c r="T152" s="5629"/>
      <c r="U152" s="5629">
        <v>21</v>
      </c>
      <c r="V152" s="5602">
        <v>21</v>
      </c>
      <c r="W152" s="5600">
        <v>21</v>
      </c>
      <c r="X152" s="5601">
        <v>21</v>
      </c>
      <c r="Y152" s="5601">
        <v>21</v>
      </c>
      <c r="Z152" s="5601">
        <v>21</v>
      </c>
      <c r="AA152" s="5601">
        <v>21</v>
      </c>
      <c r="AB152" s="5600" t="s">
        <v>46</v>
      </c>
      <c r="AC152" s="5600" t="s">
        <v>46</v>
      </c>
      <c r="AD152" s="5600" t="s">
        <v>46</v>
      </c>
      <c r="AE152" s="5600" t="s">
        <v>46</v>
      </c>
      <c r="AF152" s="5674" t="s">
        <v>46</v>
      </c>
    </row>
    <row r="153" spans="1:32" ht="18" customHeight="1">
      <c r="A153" s="6095" t="s">
        <v>242</v>
      </c>
      <c r="B153" s="5601" t="s">
        <v>46</v>
      </c>
      <c r="C153" s="5676" t="s">
        <v>46</v>
      </c>
      <c r="D153" s="5676" t="s">
        <v>46</v>
      </c>
      <c r="E153" s="5676"/>
      <c r="F153" s="5676"/>
      <c r="G153" s="5676">
        <v>21</v>
      </c>
      <c r="H153" s="5676">
        <v>21</v>
      </c>
      <c r="I153" s="5676">
        <v>21</v>
      </c>
      <c r="J153" s="5600">
        <v>21</v>
      </c>
      <c r="K153" s="5602">
        <v>21</v>
      </c>
      <c r="L153" s="5600">
        <v>21</v>
      </c>
      <c r="M153" s="5600">
        <v>21</v>
      </c>
      <c r="N153" s="5600" t="s">
        <v>46</v>
      </c>
      <c r="O153" s="5600" t="s">
        <v>46</v>
      </c>
      <c r="P153" s="5600" t="s">
        <v>46</v>
      </c>
      <c r="Q153" s="5628" t="s">
        <v>46</v>
      </c>
      <c r="R153" s="5628" t="s">
        <v>46</v>
      </c>
      <c r="S153" s="5600"/>
      <c r="T153" s="5629"/>
      <c r="U153" s="5629">
        <v>22</v>
      </c>
      <c r="V153" s="5602">
        <v>22</v>
      </c>
      <c r="W153" s="5600">
        <v>22</v>
      </c>
      <c r="X153" s="5600">
        <v>22</v>
      </c>
      <c r="Y153" s="5602">
        <v>22</v>
      </c>
      <c r="Z153" s="5629">
        <v>22</v>
      </c>
      <c r="AA153" s="5629">
        <v>22</v>
      </c>
      <c r="AB153" s="5629" t="s">
        <v>46</v>
      </c>
      <c r="AC153" s="5629" t="s">
        <v>46</v>
      </c>
      <c r="AD153" s="5629" t="s">
        <v>46</v>
      </c>
      <c r="AE153" s="5600" t="s">
        <v>46</v>
      </c>
      <c r="AF153" s="5867" t="s">
        <v>46</v>
      </c>
    </row>
    <row r="154" spans="1:32" ht="18" customHeight="1">
      <c r="A154" s="656"/>
      <c r="B154" s="5677" t="s">
        <v>46</v>
      </c>
      <c r="C154" s="5678" t="s">
        <v>46</v>
      </c>
      <c r="D154" s="5678" t="s">
        <v>46</v>
      </c>
      <c r="E154" s="5678"/>
      <c r="F154" s="5679"/>
      <c r="G154" s="5679">
        <v>22</v>
      </c>
      <c r="H154" s="5679">
        <v>22</v>
      </c>
      <c r="I154" s="5679">
        <v>22</v>
      </c>
      <c r="J154" s="5679">
        <v>22</v>
      </c>
      <c r="K154" s="5679">
        <v>22</v>
      </c>
      <c r="L154" s="5679">
        <v>22</v>
      </c>
      <c r="M154" s="5677">
        <v>22</v>
      </c>
      <c r="N154" s="5677" t="s">
        <v>46</v>
      </c>
      <c r="O154" s="5677" t="s">
        <v>46</v>
      </c>
      <c r="P154" s="5677" t="s">
        <v>46</v>
      </c>
      <c r="Q154" s="5680" t="s">
        <v>46</v>
      </c>
      <c r="R154" s="5680" t="s">
        <v>46</v>
      </c>
      <c r="S154" s="5677"/>
      <c r="T154" s="5681"/>
      <c r="U154" s="5681">
        <v>23</v>
      </c>
      <c r="V154" s="5682">
        <v>23</v>
      </c>
      <c r="W154" s="5677">
        <v>23</v>
      </c>
      <c r="X154" s="5677">
        <v>23</v>
      </c>
      <c r="Y154" s="5682">
        <v>23</v>
      </c>
      <c r="Z154" s="5677">
        <v>23</v>
      </c>
      <c r="AA154" s="5677">
        <v>23</v>
      </c>
      <c r="AB154" s="5677" t="s">
        <v>46</v>
      </c>
      <c r="AC154" s="5677" t="s">
        <v>46</v>
      </c>
      <c r="AD154" s="5677" t="s">
        <v>46</v>
      </c>
      <c r="AE154" s="5677" t="s">
        <v>46</v>
      </c>
      <c r="AF154" s="398" t="s">
        <v>46</v>
      </c>
    </row>
    <row r="155" spans="1:32" ht="18" customHeight="1">
      <c r="A155" s="68"/>
      <c r="B155" s="108"/>
      <c r="C155" s="108"/>
      <c r="D155" s="99"/>
      <c r="E155" s="108"/>
      <c r="F155" s="108"/>
      <c r="G155" s="173"/>
      <c r="H155" s="173"/>
      <c r="I155" s="173"/>
      <c r="J155" s="173"/>
      <c r="K155" s="173"/>
      <c r="L155" s="173"/>
      <c r="M155" s="109"/>
      <c r="N155" s="109"/>
      <c r="O155" s="99"/>
      <c r="P155" s="108"/>
      <c r="Q155" s="108"/>
      <c r="R155" s="99"/>
      <c r="S155" s="108"/>
      <c r="T155" s="108"/>
      <c r="U155" s="108"/>
      <c r="V155" s="108"/>
      <c r="W155" s="108"/>
      <c r="X155" s="108"/>
      <c r="Y155" s="108"/>
      <c r="Z155" s="108"/>
      <c r="AA155" s="109"/>
      <c r="AB155" s="109"/>
      <c r="AC155" s="99"/>
      <c r="AD155" s="108"/>
      <c r="AE155" s="108"/>
      <c r="AF155" s="65"/>
    </row>
    <row r="156" spans="1:32" ht="18" customHeight="1">
      <c r="A156" s="832" t="s">
        <v>244</v>
      </c>
      <c r="B156" s="3064"/>
      <c r="C156" s="2788" t="s">
        <v>19</v>
      </c>
      <c r="D156" s="3064"/>
      <c r="E156" s="2769"/>
      <c r="F156" s="2765"/>
      <c r="G156" s="2788" t="s">
        <v>20</v>
      </c>
      <c r="H156" s="3064"/>
      <c r="I156" s="2769"/>
      <c r="J156" s="2765"/>
      <c r="K156" s="2788" t="s">
        <v>21</v>
      </c>
      <c r="L156" s="3064"/>
      <c r="M156" s="2769"/>
      <c r="N156" s="2765"/>
      <c r="O156" s="2788" t="s">
        <v>22</v>
      </c>
      <c r="P156" s="3064"/>
      <c r="Q156" s="2769"/>
      <c r="R156" s="2765"/>
      <c r="S156" s="2788" t="s">
        <v>23</v>
      </c>
      <c r="T156" s="3064"/>
      <c r="U156" s="2769"/>
      <c r="V156" s="2765"/>
      <c r="W156" s="2788" t="s">
        <v>24</v>
      </c>
      <c r="X156" s="3064"/>
      <c r="Y156" s="2769"/>
      <c r="Z156" s="2765"/>
      <c r="AA156" s="2788" t="s">
        <v>25</v>
      </c>
      <c r="AB156" s="3064"/>
      <c r="AC156" s="3064"/>
      <c r="AD156" s="2791" t="s">
        <v>108</v>
      </c>
      <c r="AE156" s="3064"/>
      <c r="AF156" s="2841"/>
    </row>
    <row r="157" spans="1:32" ht="18" customHeight="1">
      <c r="A157" s="569" t="s">
        <v>210</v>
      </c>
      <c r="B157" s="6058" t="s">
        <v>211</v>
      </c>
      <c r="C157" s="6013"/>
      <c r="D157" s="6013"/>
      <c r="E157" s="6069"/>
      <c r="F157" s="6058" t="s">
        <v>211</v>
      </c>
      <c r="G157" s="6013"/>
      <c r="H157" s="6013"/>
      <c r="I157" s="6069"/>
      <c r="J157" s="6058" t="s">
        <v>211</v>
      </c>
      <c r="K157" s="6013"/>
      <c r="L157" s="6013"/>
      <c r="M157" s="6069"/>
      <c r="N157" s="6058" t="s">
        <v>245</v>
      </c>
      <c r="O157" s="6013"/>
      <c r="P157" s="6013"/>
      <c r="Q157" s="6069"/>
      <c r="R157" s="6058" t="s">
        <v>220</v>
      </c>
      <c r="S157" s="6013"/>
      <c r="T157" s="6013"/>
      <c r="U157" s="6069"/>
      <c r="V157" s="6096"/>
      <c r="W157" s="6097"/>
      <c r="X157" s="6097"/>
      <c r="Y157" s="6071"/>
      <c r="Z157" s="6067"/>
      <c r="AA157" s="6013"/>
      <c r="AB157" s="6013"/>
      <c r="AC157" s="6057"/>
      <c r="AD157" s="6072">
        <v>27</v>
      </c>
      <c r="AE157" s="6013"/>
      <c r="AF157" s="6098"/>
    </row>
    <row r="158" spans="1:32" ht="18" customHeight="1">
      <c r="A158" s="6066" t="s">
        <v>212</v>
      </c>
      <c r="B158" s="6058" t="s">
        <v>246</v>
      </c>
      <c r="C158" s="6013"/>
      <c r="D158" s="6013"/>
      <c r="E158" s="6069"/>
      <c r="F158" s="6058" t="s">
        <v>246</v>
      </c>
      <c r="G158" s="6013"/>
      <c r="H158" s="6013"/>
      <c r="I158" s="6069"/>
      <c r="J158" s="6058" t="s">
        <v>246</v>
      </c>
      <c r="K158" s="6013"/>
      <c r="L158" s="6013"/>
      <c r="M158" s="6069"/>
      <c r="N158" s="6058" t="s">
        <v>246</v>
      </c>
      <c r="O158" s="6013"/>
      <c r="P158" s="6013"/>
      <c r="Q158" s="6069"/>
      <c r="R158" s="6058" t="s">
        <v>211</v>
      </c>
      <c r="S158" s="6013"/>
      <c r="T158" s="6013"/>
      <c r="U158" s="6069"/>
      <c r="V158" s="6058"/>
      <c r="W158" s="6013"/>
      <c r="X158" s="6013"/>
      <c r="Y158" s="6069"/>
      <c r="Z158" s="6013"/>
      <c r="AA158" s="6013"/>
      <c r="AB158" s="6013"/>
      <c r="AC158" s="6057"/>
      <c r="AD158" s="6072">
        <v>39</v>
      </c>
      <c r="AE158" s="6013"/>
      <c r="AF158" s="6098"/>
    </row>
    <row r="159" spans="1:32" ht="18" customHeight="1">
      <c r="A159" s="6066" t="s">
        <v>214</v>
      </c>
      <c r="B159" s="6058" t="s">
        <v>246</v>
      </c>
      <c r="C159" s="6013"/>
      <c r="D159" s="6013"/>
      <c r="E159" s="6069"/>
      <c r="F159" s="6058" t="s">
        <v>246</v>
      </c>
      <c r="G159" s="6013"/>
      <c r="H159" s="6013"/>
      <c r="I159" s="6069"/>
      <c r="J159" s="6058" t="s">
        <v>246</v>
      </c>
      <c r="K159" s="6013"/>
      <c r="L159" s="6013"/>
      <c r="M159" s="6069"/>
      <c r="N159" s="6058" t="s">
        <v>246</v>
      </c>
      <c r="O159" s="6013"/>
      <c r="P159" s="6013"/>
      <c r="Q159" s="6069"/>
      <c r="R159" s="6058" t="s">
        <v>246</v>
      </c>
      <c r="S159" s="6013"/>
      <c r="T159" s="6013"/>
      <c r="U159" s="6069"/>
      <c r="V159" s="6061" t="s">
        <v>217</v>
      </c>
      <c r="W159" s="6010"/>
      <c r="X159" s="6010"/>
      <c r="Y159" s="6059"/>
      <c r="Z159" s="6074"/>
      <c r="AA159" s="6010"/>
      <c r="AB159" s="6010"/>
      <c r="AC159" s="6062"/>
      <c r="AD159" s="6072">
        <v>45</v>
      </c>
      <c r="AE159" s="6013"/>
      <c r="AF159" s="6098"/>
    </row>
    <row r="160" spans="1:32" ht="18" customHeight="1">
      <c r="A160" s="1484" t="s">
        <v>218</v>
      </c>
      <c r="B160" s="6091"/>
      <c r="C160" s="6023"/>
      <c r="D160" s="6023"/>
      <c r="E160" s="6093"/>
      <c r="F160" s="6091"/>
      <c r="G160" s="6023"/>
      <c r="H160" s="6023"/>
      <c r="I160" s="6093"/>
      <c r="J160" s="6091"/>
      <c r="K160" s="6023"/>
      <c r="L160" s="6023"/>
      <c r="M160" s="6093"/>
      <c r="N160" s="6091"/>
      <c r="O160" s="6023"/>
      <c r="P160" s="6023"/>
      <c r="Q160" s="6093"/>
      <c r="R160" s="6091"/>
      <c r="S160" s="6023"/>
      <c r="T160" s="6023"/>
      <c r="U160" s="6081"/>
      <c r="V160" s="6091"/>
      <c r="W160" s="6081"/>
      <c r="X160" s="6023"/>
      <c r="Y160" s="6093"/>
      <c r="Z160" s="6091"/>
      <c r="AA160" s="6081"/>
      <c r="AB160" s="6023"/>
      <c r="AC160" s="6093"/>
      <c r="AD160" s="6099"/>
      <c r="AE160" s="6023"/>
      <c r="AF160" s="6100"/>
    </row>
    <row r="161" spans="1:32" ht="18" customHeight="1">
      <c r="A161" s="1"/>
    </row>
    <row r="162" spans="1:32" ht="18" customHeight="1">
      <c r="A162" s="363" t="s">
        <v>609</v>
      </c>
      <c r="B162" s="2985">
        <v>1</v>
      </c>
      <c r="C162" s="2985">
        <v>2</v>
      </c>
      <c r="D162" s="2985">
        <v>3</v>
      </c>
      <c r="E162" s="2986">
        <v>4</v>
      </c>
      <c r="F162" s="2986">
        <v>5</v>
      </c>
      <c r="G162" s="2985">
        <v>6</v>
      </c>
      <c r="H162" s="2985">
        <v>7</v>
      </c>
      <c r="I162" s="2985">
        <v>8</v>
      </c>
      <c r="J162" s="2985">
        <v>9</v>
      </c>
      <c r="K162" s="2985">
        <v>10</v>
      </c>
      <c r="L162" s="2986">
        <v>11</v>
      </c>
      <c r="M162" s="2986">
        <v>12</v>
      </c>
      <c r="N162" s="2985">
        <v>13</v>
      </c>
      <c r="O162" s="2985">
        <v>14</v>
      </c>
      <c r="P162" s="2985">
        <v>15</v>
      </c>
      <c r="Q162" s="2985">
        <v>16</v>
      </c>
      <c r="R162" s="2985">
        <v>17</v>
      </c>
      <c r="S162" s="2986">
        <v>18</v>
      </c>
      <c r="T162" s="2986">
        <v>19</v>
      </c>
      <c r="U162" s="2985">
        <v>20</v>
      </c>
      <c r="V162" s="2985">
        <v>21</v>
      </c>
      <c r="W162" s="2985">
        <v>22</v>
      </c>
      <c r="X162" s="2985">
        <v>23</v>
      </c>
      <c r="Y162" s="2985">
        <v>24</v>
      </c>
      <c r="Z162" s="2986">
        <v>25</v>
      </c>
      <c r="AA162" s="2986">
        <v>26</v>
      </c>
      <c r="AB162" s="2985">
        <v>27</v>
      </c>
      <c r="AC162" s="2985">
        <v>28</v>
      </c>
      <c r="AD162" s="2985">
        <v>29</v>
      </c>
      <c r="AE162" s="2985">
        <v>30</v>
      </c>
      <c r="AF162" s="2985">
        <v>31</v>
      </c>
    </row>
    <row r="163" spans="1:32" ht="18" customHeight="1">
      <c r="A163" s="2847" t="s">
        <v>247</v>
      </c>
      <c r="B163" s="3089" t="s">
        <v>40</v>
      </c>
      <c r="C163" s="3089" t="s">
        <v>40</v>
      </c>
      <c r="D163" s="3089" t="s">
        <v>40</v>
      </c>
      <c r="E163" s="3089"/>
      <c r="F163" s="3089"/>
      <c r="G163" s="2848" t="s">
        <v>40</v>
      </c>
      <c r="H163" s="2848" t="s">
        <v>40</v>
      </c>
      <c r="I163" s="3089" t="s">
        <v>40</v>
      </c>
      <c r="J163" s="3089" t="s">
        <v>40</v>
      </c>
      <c r="K163" s="3089" t="s">
        <v>40</v>
      </c>
      <c r="L163" s="3089" t="s">
        <v>248</v>
      </c>
      <c r="M163" s="3089"/>
      <c r="N163" s="3089" t="s">
        <v>40</v>
      </c>
      <c r="O163" s="3089" t="s">
        <v>40</v>
      </c>
      <c r="P163" s="3089" t="s">
        <v>40</v>
      </c>
      <c r="Q163" s="3089" t="s">
        <v>40</v>
      </c>
      <c r="R163" s="3089" t="s">
        <v>40</v>
      </c>
      <c r="S163" s="2848"/>
      <c r="T163" s="3089"/>
      <c r="U163" s="3089" t="s">
        <v>40</v>
      </c>
      <c r="V163" s="3089" t="s">
        <v>40</v>
      </c>
      <c r="W163" s="3089" t="s">
        <v>40</v>
      </c>
      <c r="X163" s="3089" t="s">
        <v>40</v>
      </c>
      <c r="Y163" s="3089" t="s">
        <v>40</v>
      </c>
      <c r="Z163" s="3089"/>
      <c r="AA163" s="3089"/>
      <c r="AB163" s="2848" t="s">
        <v>40</v>
      </c>
      <c r="AC163" s="2848" t="s">
        <v>40</v>
      </c>
      <c r="AD163" s="3089" t="s">
        <v>40</v>
      </c>
      <c r="AE163" s="3089" t="s">
        <v>40</v>
      </c>
      <c r="AF163" s="3089" t="s">
        <v>40</v>
      </c>
    </row>
    <row r="164" spans="1:32" ht="18" customHeight="1">
      <c r="A164" s="6101" t="s">
        <v>249</v>
      </c>
      <c r="B164" s="6039" t="s">
        <v>248</v>
      </c>
      <c r="C164" s="6039" t="s">
        <v>248</v>
      </c>
      <c r="D164" s="6039" t="s">
        <v>248</v>
      </c>
      <c r="E164" s="6039" t="s">
        <v>248</v>
      </c>
      <c r="F164" s="6039"/>
      <c r="G164" s="6039" t="s">
        <v>251</v>
      </c>
      <c r="H164" s="6039" t="s">
        <v>251</v>
      </c>
      <c r="I164" s="6039" t="s">
        <v>251</v>
      </c>
      <c r="J164" s="6039" t="s">
        <v>251</v>
      </c>
      <c r="K164" s="6039" t="s">
        <v>46</v>
      </c>
      <c r="L164" s="6039"/>
      <c r="M164" s="6039"/>
      <c r="N164" s="6039" t="s">
        <v>250</v>
      </c>
      <c r="O164" s="6039" t="s">
        <v>250</v>
      </c>
      <c r="P164" s="6039" t="s">
        <v>250</v>
      </c>
      <c r="Q164" s="6039" t="s">
        <v>250</v>
      </c>
      <c r="R164" s="6039" t="s">
        <v>250</v>
      </c>
      <c r="S164" s="6039"/>
      <c r="T164" s="6039"/>
      <c r="U164" s="6039" t="s">
        <v>248</v>
      </c>
      <c r="V164" s="6039" t="s">
        <v>248</v>
      </c>
      <c r="W164" s="6039" t="s">
        <v>248</v>
      </c>
      <c r="X164" s="6039" t="s">
        <v>248</v>
      </c>
      <c r="Y164" s="6039" t="s">
        <v>248</v>
      </c>
      <c r="Z164" s="6039" t="s">
        <v>248</v>
      </c>
      <c r="AA164" s="6039"/>
      <c r="AB164" s="6039" t="s">
        <v>251</v>
      </c>
      <c r="AC164" s="6039" t="s">
        <v>251</v>
      </c>
      <c r="AD164" s="6039" t="s">
        <v>251</v>
      </c>
      <c r="AE164" s="6039" t="s">
        <v>251</v>
      </c>
      <c r="AF164" s="6039" t="s">
        <v>46</v>
      </c>
    </row>
    <row r="165" spans="1:32" ht="18" customHeight="1">
      <c r="A165" s="6101" t="s">
        <v>512</v>
      </c>
      <c r="B165" s="6039" t="s">
        <v>251</v>
      </c>
      <c r="C165" s="6039" t="s">
        <v>251</v>
      </c>
      <c r="D165" s="6039" t="s">
        <v>46</v>
      </c>
      <c r="E165" s="6043"/>
      <c r="F165" s="6043"/>
      <c r="G165" s="6039" t="s">
        <v>250</v>
      </c>
      <c r="H165" s="6039" t="s">
        <v>250</v>
      </c>
      <c r="I165" s="6039" t="s">
        <v>250</v>
      </c>
      <c r="J165" s="6039" t="s">
        <v>250</v>
      </c>
      <c r="K165" s="6039" t="s">
        <v>250</v>
      </c>
      <c r="L165" s="6043"/>
      <c r="M165" s="6043"/>
      <c r="N165" s="6039" t="s">
        <v>248</v>
      </c>
      <c r="O165" s="6043" t="s">
        <v>248</v>
      </c>
      <c r="P165" s="6043" t="s">
        <v>248</v>
      </c>
      <c r="Q165" s="6043" t="s">
        <v>248</v>
      </c>
      <c r="R165" s="6039" t="s">
        <v>248</v>
      </c>
      <c r="S165" s="6039" t="s">
        <v>248</v>
      </c>
      <c r="T165" s="6039"/>
      <c r="U165" s="6039" t="s">
        <v>251</v>
      </c>
      <c r="V165" s="6039" t="s">
        <v>251</v>
      </c>
      <c r="W165" s="6039" t="s">
        <v>251</v>
      </c>
      <c r="X165" s="6039" t="s">
        <v>251</v>
      </c>
      <c r="Y165" s="6039" t="s">
        <v>46</v>
      </c>
      <c r="Z165" s="6043"/>
      <c r="AA165" s="6043"/>
      <c r="AB165" s="6039" t="s">
        <v>250</v>
      </c>
      <c r="AC165" s="6039" t="s">
        <v>250</v>
      </c>
      <c r="AD165" s="6039" t="s">
        <v>250</v>
      </c>
      <c r="AE165" s="6039" t="s">
        <v>250</v>
      </c>
      <c r="AF165" s="6039" t="s">
        <v>250</v>
      </c>
    </row>
    <row r="166" spans="1:32" ht="18" customHeight="1">
      <c r="A166" s="6101" t="s">
        <v>253</v>
      </c>
      <c r="B166" s="6039"/>
      <c r="C166" s="6039"/>
      <c r="D166" s="6039"/>
      <c r="E166" s="6040"/>
      <c r="F166" s="6039"/>
      <c r="G166" s="6039"/>
      <c r="H166" s="6039"/>
      <c r="I166" s="6039"/>
      <c r="J166" s="6039"/>
      <c r="K166" s="6039"/>
      <c r="L166" s="6039"/>
      <c r="M166" s="6039"/>
      <c r="N166" s="6039"/>
      <c r="O166" s="6039"/>
      <c r="P166" s="6039"/>
      <c r="Q166" s="6039"/>
      <c r="R166" s="6039"/>
      <c r="S166" s="6039"/>
      <c r="T166" s="6039"/>
      <c r="U166" s="6039"/>
      <c r="V166" s="6039"/>
      <c r="W166" s="6039"/>
      <c r="X166" s="6039"/>
      <c r="Y166" s="6039"/>
      <c r="Z166" s="6040"/>
      <c r="AA166" s="6039"/>
      <c r="AB166" s="6039"/>
      <c r="AC166" s="6039"/>
      <c r="AD166" s="6039"/>
      <c r="AE166" s="6039"/>
      <c r="AF166" s="6039"/>
    </row>
    <row r="167" spans="1:32" ht="18" customHeight="1">
      <c r="A167" s="68"/>
      <c r="B167" s="108"/>
      <c r="C167" s="108"/>
      <c r="D167" s="108"/>
      <c r="E167" s="108"/>
      <c r="F167" s="108"/>
      <c r="G167" s="108"/>
      <c r="H167" s="108"/>
      <c r="I167" s="108"/>
      <c r="J167" s="108"/>
      <c r="K167" s="108"/>
      <c r="L167" s="108"/>
      <c r="M167" s="108"/>
      <c r="N167" s="108"/>
      <c r="O167" s="108"/>
      <c r="P167" s="108"/>
      <c r="Q167" s="108"/>
      <c r="R167" s="108"/>
      <c r="S167" s="108"/>
      <c r="T167" s="108"/>
      <c r="U167" s="108"/>
      <c r="V167" s="108"/>
      <c r="W167" s="108"/>
      <c r="X167" s="108"/>
      <c r="Y167" s="108"/>
      <c r="Z167" s="108"/>
      <c r="AA167" s="108"/>
      <c r="AB167" s="108"/>
      <c r="AC167" s="108"/>
      <c r="AD167" s="108"/>
      <c r="AE167" s="108"/>
      <c r="AF167" s="65"/>
    </row>
    <row r="168" spans="1:32" ht="18" customHeight="1">
      <c r="A168" s="834" t="s">
        <v>254</v>
      </c>
      <c r="B168" s="1463"/>
      <c r="C168" s="1460" t="s">
        <v>19</v>
      </c>
      <c r="D168" s="1457"/>
      <c r="E168" s="6102"/>
      <c r="F168" s="6103"/>
      <c r="G168" s="1460" t="s">
        <v>20</v>
      </c>
      <c r="H168" s="1457"/>
      <c r="I168" s="6102"/>
      <c r="J168" s="6103"/>
      <c r="K168" s="1460" t="s">
        <v>21</v>
      </c>
      <c r="L168" s="1457"/>
      <c r="M168" s="6102"/>
      <c r="N168" s="6103"/>
      <c r="O168" s="1460" t="s">
        <v>22</v>
      </c>
      <c r="P168" s="1457"/>
      <c r="Q168" s="6102"/>
      <c r="R168" s="6103"/>
      <c r="S168" s="1460" t="s">
        <v>23</v>
      </c>
      <c r="T168" s="1457"/>
      <c r="U168" s="6102"/>
      <c r="V168" s="6103"/>
      <c r="W168" s="1460" t="s">
        <v>24</v>
      </c>
      <c r="X168" s="1457"/>
      <c r="Y168" s="6102"/>
      <c r="Z168" s="6103"/>
      <c r="AA168" s="1460" t="s">
        <v>25</v>
      </c>
      <c r="AB168" s="1457"/>
      <c r="AC168" s="1457"/>
      <c r="AD168" s="6104" t="s">
        <v>108</v>
      </c>
      <c r="AE168" s="1457"/>
      <c r="AF168" s="6105"/>
    </row>
    <row r="169" spans="1:32" ht="18" customHeight="1">
      <c r="A169" s="835" t="s">
        <v>256</v>
      </c>
      <c r="B169" s="5883" t="s">
        <v>152</v>
      </c>
      <c r="C169" s="5884" t="s">
        <v>258</v>
      </c>
      <c r="D169" s="5885"/>
      <c r="E169" s="5886"/>
      <c r="F169" s="5887"/>
      <c r="G169" s="5888" t="s">
        <v>258</v>
      </c>
      <c r="H169" s="5889"/>
      <c r="I169" s="5886"/>
      <c r="J169" s="5887"/>
      <c r="K169" s="5888" t="s">
        <v>258</v>
      </c>
      <c r="L169" s="5889"/>
      <c r="M169" s="5886"/>
      <c r="N169" s="5887"/>
      <c r="O169" s="5888" t="s">
        <v>259</v>
      </c>
      <c r="P169" s="5889"/>
      <c r="Q169" s="5886"/>
      <c r="R169" s="5887"/>
      <c r="S169" s="5888" t="s">
        <v>260</v>
      </c>
      <c r="T169" s="5889"/>
      <c r="U169" s="5886"/>
      <c r="V169" s="5890"/>
      <c r="W169" s="6000"/>
      <c r="X169" s="6000"/>
      <c r="Y169" s="5999"/>
      <c r="Z169" s="5890"/>
      <c r="AA169" s="6000"/>
      <c r="AB169" s="6000"/>
      <c r="AC169" s="6000"/>
      <c r="AD169" s="5890"/>
      <c r="AE169" s="6000"/>
      <c r="AF169" s="6106"/>
    </row>
    <row r="170" spans="1:32" ht="18" customHeight="1">
      <c r="A170" s="6001" t="s">
        <v>261</v>
      </c>
      <c r="B170" s="5883" t="s">
        <v>130</v>
      </c>
      <c r="C170" s="5884" t="s">
        <v>258</v>
      </c>
      <c r="D170" s="5885"/>
      <c r="E170" s="5886"/>
      <c r="F170" s="5887"/>
      <c r="G170" s="5888" t="s">
        <v>258</v>
      </c>
      <c r="H170" s="5889"/>
      <c r="I170" s="5886"/>
      <c r="J170" s="5887"/>
      <c r="K170" s="5888" t="s">
        <v>262</v>
      </c>
      <c r="L170" s="5889"/>
      <c r="M170" s="5886"/>
      <c r="N170" s="5887"/>
      <c r="O170" s="5888" t="s">
        <v>263</v>
      </c>
      <c r="P170" s="5889"/>
      <c r="Q170" s="5886"/>
      <c r="R170" s="5887"/>
      <c r="S170" s="5888" t="s">
        <v>264</v>
      </c>
      <c r="T170" s="5889"/>
      <c r="U170" s="5886"/>
      <c r="V170" s="5890"/>
      <c r="W170" s="6000"/>
      <c r="X170" s="6000"/>
      <c r="Y170" s="5999"/>
      <c r="Z170" s="5890"/>
      <c r="AA170" s="6000"/>
      <c r="AB170" s="6000"/>
      <c r="AC170" s="6000"/>
      <c r="AD170" s="5890"/>
      <c r="AE170" s="6000"/>
      <c r="AF170" s="6106"/>
    </row>
    <row r="171" spans="1:32" ht="18" customHeight="1">
      <c r="A171" s="6001" t="s">
        <v>265</v>
      </c>
      <c r="B171" s="5883" t="s">
        <v>153</v>
      </c>
      <c r="C171" s="5884" t="s">
        <v>266</v>
      </c>
      <c r="D171" s="5885"/>
      <c r="E171" s="5886"/>
      <c r="F171" s="5887"/>
      <c r="G171" s="5884" t="s">
        <v>266</v>
      </c>
      <c r="H171" s="5889"/>
      <c r="I171" s="5886"/>
      <c r="J171" s="5887"/>
      <c r="K171" s="5884" t="s">
        <v>266</v>
      </c>
      <c r="L171" s="5889"/>
      <c r="M171" s="5886"/>
      <c r="N171" s="5887"/>
      <c r="O171" s="5888" t="s">
        <v>267</v>
      </c>
      <c r="P171" s="5889"/>
      <c r="Q171" s="5886"/>
      <c r="R171" s="5887"/>
      <c r="S171" s="5888" t="s">
        <v>264</v>
      </c>
      <c r="T171" s="5889"/>
      <c r="U171" s="5886"/>
      <c r="V171" s="5890"/>
      <c r="W171" s="6000"/>
      <c r="X171" s="6000"/>
      <c r="Y171" s="5999"/>
      <c r="Z171" s="5890"/>
      <c r="AA171" s="6000"/>
      <c r="AB171" s="6000"/>
      <c r="AC171" s="6000"/>
      <c r="AD171" s="5890"/>
      <c r="AE171" s="6000"/>
      <c r="AF171" s="6106"/>
    </row>
    <row r="172" spans="1:32" ht="18" customHeight="1">
      <c r="A172" s="6107" t="s">
        <v>272</v>
      </c>
      <c r="B172" s="5883" t="s">
        <v>128</v>
      </c>
      <c r="C172" s="5884" t="s">
        <v>273</v>
      </c>
      <c r="D172" s="5885"/>
      <c r="E172" s="5892"/>
      <c r="F172" s="5893"/>
      <c r="G172" s="5884" t="s">
        <v>273</v>
      </c>
      <c r="H172" s="5894"/>
      <c r="I172" s="5892"/>
      <c r="J172" s="5893"/>
      <c r="K172" s="5884" t="s">
        <v>273</v>
      </c>
      <c r="L172" s="5894"/>
      <c r="M172" s="5892"/>
      <c r="N172" s="5893"/>
      <c r="O172" s="5888" t="s">
        <v>274</v>
      </c>
      <c r="P172" s="5894"/>
      <c r="Q172" s="5892"/>
      <c r="R172" s="5893"/>
      <c r="S172" s="5888" t="s">
        <v>264</v>
      </c>
      <c r="T172" s="5894"/>
      <c r="U172" s="5999"/>
      <c r="V172" s="6108"/>
      <c r="W172" s="6109"/>
      <c r="X172" s="6109"/>
      <c r="Y172" s="6110"/>
      <c r="Z172" s="6108"/>
      <c r="AA172" s="6109"/>
      <c r="AB172" s="6109"/>
      <c r="AC172" s="6109"/>
      <c r="AD172" s="6108"/>
      <c r="AE172" s="6109"/>
      <c r="AF172" s="6111"/>
    </row>
    <row r="173" spans="1:32" ht="18" customHeight="1">
      <c r="A173" s="6001" t="s">
        <v>275</v>
      </c>
      <c r="B173" s="5883" t="s">
        <v>127</v>
      </c>
      <c r="C173" s="5884" t="s">
        <v>276</v>
      </c>
      <c r="D173" s="5885"/>
      <c r="E173" s="5886"/>
      <c r="F173" s="5887"/>
      <c r="G173" s="5884" t="s">
        <v>276</v>
      </c>
      <c r="H173" s="5889"/>
      <c r="I173" s="5886"/>
      <c r="J173" s="5887"/>
      <c r="K173" s="5884" t="s">
        <v>276</v>
      </c>
      <c r="L173" s="5889"/>
      <c r="M173" s="5886"/>
      <c r="N173" s="5887"/>
      <c r="O173" s="5888" t="s">
        <v>277</v>
      </c>
      <c r="P173" s="5889"/>
      <c r="Q173" s="5886"/>
      <c r="R173" s="5887"/>
      <c r="S173" s="5888" t="s">
        <v>264</v>
      </c>
      <c r="T173" s="5889"/>
      <c r="U173" s="5886"/>
      <c r="V173" s="5890"/>
      <c r="W173" s="6000"/>
      <c r="X173" s="6000"/>
      <c r="Y173" s="6000"/>
      <c r="Z173" s="5890"/>
      <c r="AA173" s="6000"/>
      <c r="AB173" s="6000"/>
      <c r="AC173" s="6000"/>
      <c r="AD173" s="5890"/>
      <c r="AE173" s="6000"/>
      <c r="AF173" s="6106"/>
    </row>
    <row r="174" spans="1:32" ht="18" customHeight="1">
      <c r="A174" s="6001" t="s">
        <v>446</v>
      </c>
      <c r="B174" s="5883" t="s">
        <v>403</v>
      </c>
      <c r="C174" s="5884" t="s">
        <v>279</v>
      </c>
      <c r="D174" s="5885"/>
      <c r="E174" s="5886"/>
      <c r="F174" s="5887"/>
      <c r="G174" s="5888" t="s">
        <v>279</v>
      </c>
      <c r="H174" s="5889"/>
      <c r="I174" s="5886"/>
      <c r="J174" s="5887"/>
      <c r="K174" s="5888" t="s">
        <v>279</v>
      </c>
      <c r="L174" s="5889"/>
      <c r="M174" s="5889"/>
      <c r="N174" s="5887"/>
      <c r="O174" s="5888" t="s">
        <v>279</v>
      </c>
      <c r="P174" s="5889"/>
      <c r="Q174" s="5889"/>
      <c r="R174" s="5887"/>
      <c r="S174" s="5888" t="s">
        <v>264</v>
      </c>
      <c r="T174" s="5889"/>
      <c r="U174" s="5886"/>
      <c r="V174" s="6001"/>
      <c r="W174" s="6000"/>
      <c r="X174" s="6000"/>
      <c r="Y174" s="6000"/>
      <c r="Z174" s="5890"/>
      <c r="AA174" s="6000"/>
      <c r="AB174" s="6000"/>
      <c r="AC174" s="6000"/>
      <c r="AD174" s="5890"/>
      <c r="AE174" s="6000"/>
      <c r="AF174" s="6106"/>
    </row>
    <row r="175" spans="1:32" ht="18" customHeight="1">
      <c r="A175" s="6001" t="s">
        <v>278</v>
      </c>
      <c r="B175" s="5883" t="s">
        <v>116</v>
      </c>
      <c r="C175" s="5884" t="s">
        <v>279</v>
      </c>
      <c r="D175" s="5885"/>
      <c r="E175" s="5886"/>
      <c r="F175" s="5887"/>
      <c r="G175" s="5888" t="s">
        <v>279</v>
      </c>
      <c r="H175" s="5889"/>
      <c r="I175" s="5886"/>
      <c r="J175" s="5887"/>
      <c r="K175" s="5888" t="s">
        <v>279</v>
      </c>
      <c r="L175" s="5889"/>
      <c r="M175" s="5889"/>
      <c r="N175" s="5887"/>
      <c r="O175" s="5888" t="s">
        <v>279</v>
      </c>
      <c r="P175" s="5889"/>
      <c r="Q175" s="5889"/>
      <c r="R175" s="5887"/>
      <c r="S175" s="5888" t="s">
        <v>264</v>
      </c>
      <c r="T175" s="5889"/>
      <c r="U175" s="5886"/>
      <c r="V175" s="6001"/>
      <c r="W175" s="6000"/>
      <c r="X175" s="6000"/>
      <c r="Y175" s="5999"/>
      <c r="Z175" s="5898"/>
      <c r="AA175" s="6000"/>
      <c r="AB175" s="6000"/>
      <c r="AC175" s="6000"/>
      <c r="AD175" s="5890"/>
      <c r="AE175" s="6000"/>
      <c r="AF175" s="6106"/>
    </row>
    <row r="176" spans="1:32" ht="18" customHeight="1">
      <c r="A176" s="6001" t="s">
        <v>280</v>
      </c>
      <c r="B176" s="5883" t="s">
        <v>123</v>
      </c>
      <c r="C176" s="5884" t="s">
        <v>281</v>
      </c>
      <c r="D176" s="5885"/>
      <c r="E176" s="5886"/>
      <c r="F176" s="5887"/>
      <c r="G176" s="5888" t="s">
        <v>281</v>
      </c>
      <c r="H176" s="5889"/>
      <c r="I176" s="5886"/>
      <c r="J176" s="5887"/>
      <c r="K176" s="5888" t="s">
        <v>281</v>
      </c>
      <c r="L176" s="5889"/>
      <c r="M176" s="5889"/>
      <c r="N176" s="5887"/>
      <c r="O176" s="5888" t="s">
        <v>282</v>
      </c>
      <c r="P176" s="5889"/>
      <c r="Q176" s="5889"/>
      <c r="R176" s="5887"/>
      <c r="S176" s="5888" t="s">
        <v>283</v>
      </c>
      <c r="T176" s="5889"/>
      <c r="U176" s="5886"/>
      <c r="Z176" s="110"/>
      <c r="AD176" s="110"/>
      <c r="AF176" s="65"/>
    </row>
    <row r="177" spans="1:32" ht="18" customHeight="1">
      <c r="B177" s="110"/>
      <c r="E177" s="110"/>
      <c r="H177" s="110"/>
      <c r="I177" s="110"/>
      <c r="K177" s="110"/>
      <c r="N177" s="110"/>
      <c r="P177" s="110"/>
      <c r="Q177" s="110"/>
      <c r="T177" s="110"/>
      <c r="V177" s="110"/>
      <c r="W177" s="110"/>
      <c r="AD177" s="110"/>
      <c r="AF177" s="65"/>
    </row>
    <row r="178" spans="1:32" ht="18" customHeight="1">
      <c r="A178" s="343" t="s">
        <v>284</v>
      </c>
      <c r="B178" s="1463"/>
      <c r="C178" s="1460" t="s">
        <v>19</v>
      </c>
      <c r="D178" s="1457"/>
      <c r="E178" s="6102"/>
      <c r="F178" s="6103"/>
      <c r="G178" s="1460" t="s">
        <v>20</v>
      </c>
      <c r="H178" s="1457"/>
      <c r="I178" s="6102"/>
      <c r="J178" s="6103"/>
      <c r="K178" s="1460" t="s">
        <v>21</v>
      </c>
      <c r="L178" s="1457"/>
      <c r="M178" s="6102"/>
      <c r="N178" s="6103"/>
      <c r="O178" s="1460" t="s">
        <v>22</v>
      </c>
      <c r="P178" s="1457"/>
      <c r="Q178" s="6102"/>
      <c r="R178" s="6103"/>
      <c r="S178" s="1460" t="s">
        <v>23</v>
      </c>
      <c r="T178" s="1457"/>
      <c r="U178" s="6102"/>
      <c r="V178" s="6103"/>
      <c r="W178" s="1460" t="s">
        <v>24</v>
      </c>
      <c r="X178" s="1457"/>
      <c r="Y178" s="6102"/>
      <c r="Z178" s="6103"/>
      <c r="AA178" s="1460" t="s">
        <v>25</v>
      </c>
      <c r="AB178" s="1457"/>
      <c r="AC178" s="1457"/>
      <c r="AD178" s="6104" t="s">
        <v>108</v>
      </c>
      <c r="AE178" s="1457"/>
      <c r="AF178" s="6105"/>
    </row>
    <row r="179" spans="1:32" ht="18" customHeight="1">
      <c r="A179" s="6001" t="s">
        <v>514</v>
      </c>
      <c r="B179" s="5883" t="s">
        <v>515</v>
      </c>
      <c r="C179" s="5884" t="s">
        <v>276</v>
      </c>
      <c r="D179" s="5885"/>
      <c r="E179" s="5886"/>
      <c r="F179" s="5887"/>
      <c r="G179" s="5884" t="s">
        <v>516</v>
      </c>
      <c r="H179" s="5885"/>
      <c r="I179" s="5886"/>
      <c r="J179" s="5887"/>
      <c r="K179" s="5884" t="s">
        <v>517</v>
      </c>
      <c r="L179" s="5885"/>
      <c r="M179" s="5886"/>
      <c r="N179" s="5887"/>
      <c r="O179" s="5888" t="s">
        <v>518</v>
      </c>
      <c r="P179" s="5889"/>
      <c r="Q179" s="5886"/>
      <c r="R179" s="5887"/>
      <c r="S179" s="5884" t="s">
        <v>519</v>
      </c>
      <c r="T179" s="5885"/>
      <c r="U179" s="5886"/>
      <c r="V179" s="111"/>
      <c r="W179" s="499"/>
      <c r="X179" s="111"/>
      <c r="Y179" s="111"/>
      <c r="Z179" s="111"/>
      <c r="AA179" s="499"/>
      <c r="AB179" s="111"/>
      <c r="AC179" s="111"/>
      <c r="AD179" s="499"/>
      <c r="AE179" s="111"/>
      <c r="AF179" s="500"/>
    </row>
    <row r="180" spans="1:32" ht="18" customHeight="1">
      <c r="A180" s="835" t="s">
        <v>256</v>
      </c>
      <c r="B180" s="5883" t="s">
        <v>152</v>
      </c>
      <c r="C180" s="5884" t="s">
        <v>285</v>
      </c>
      <c r="D180" s="5885"/>
      <c r="E180" s="5886"/>
      <c r="F180" s="5887"/>
      <c r="G180" s="5884" t="s">
        <v>285</v>
      </c>
      <c r="H180" s="5889"/>
      <c r="I180" s="5886"/>
      <c r="J180" s="5887"/>
      <c r="K180" s="5884" t="s">
        <v>285</v>
      </c>
      <c r="L180" s="5889"/>
      <c r="M180" s="5886"/>
      <c r="N180" s="5887"/>
      <c r="O180" s="5888" t="s">
        <v>286</v>
      </c>
      <c r="P180" s="5889"/>
      <c r="Q180" s="5886"/>
      <c r="R180" s="5887"/>
      <c r="S180" s="5888" t="s">
        <v>287</v>
      </c>
      <c r="T180" s="5889"/>
      <c r="U180" s="5886"/>
      <c r="V180" s="5890"/>
      <c r="W180" s="6000"/>
      <c r="X180" s="6000"/>
      <c r="Y180" s="5999"/>
      <c r="Z180" s="5890"/>
      <c r="AA180" s="6000"/>
      <c r="AB180" s="6000"/>
      <c r="AC180" s="6000"/>
      <c r="AD180" s="5890"/>
      <c r="AE180" s="6000"/>
      <c r="AF180" s="6106"/>
    </row>
    <row r="181" spans="1:32" ht="18" customHeight="1">
      <c r="A181" s="6001" t="s">
        <v>261</v>
      </c>
      <c r="B181" s="5883" t="s">
        <v>130</v>
      </c>
      <c r="C181" s="5884" t="s">
        <v>285</v>
      </c>
      <c r="D181" s="5885"/>
      <c r="E181" s="5886"/>
      <c r="F181" s="5887"/>
      <c r="G181" s="5884" t="s">
        <v>285</v>
      </c>
      <c r="H181" s="5889"/>
      <c r="I181" s="5886"/>
      <c r="J181" s="5887"/>
      <c r="K181" s="5888" t="s">
        <v>262</v>
      </c>
      <c r="L181" s="5889"/>
      <c r="M181" s="5886"/>
      <c r="N181" s="5887"/>
      <c r="O181" s="5888" t="s">
        <v>288</v>
      </c>
      <c r="P181" s="5889"/>
      <c r="Q181" s="5886"/>
      <c r="R181" s="5887"/>
      <c r="S181" s="5888" t="s">
        <v>289</v>
      </c>
      <c r="T181" s="5889"/>
      <c r="U181" s="5886"/>
      <c r="V181" s="5890"/>
      <c r="W181" s="6000"/>
      <c r="X181" s="6000"/>
      <c r="Y181" s="5999"/>
      <c r="Z181" s="5890"/>
      <c r="AA181" s="6000"/>
      <c r="AB181" s="6000"/>
      <c r="AC181" s="6000"/>
      <c r="AD181" s="5890"/>
      <c r="AE181" s="6000"/>
      <c r="AF181" s="6106"/>
    </row>
    <row r="182" spans="1:32" ht="18" customHeight="1">
      <c r="A182" s="6001" t="s">
        <v>265</v>
      </c>
      <c r="B182" s="5883" t="s">
        <v>153</v>
      </c>
      <c r="C182" s="5884" t="s">
        <v>285</v>
      </c>
      <c r="D182" s="5885"/>
      <c r="E182" s="5886"/>
      <c r="F182" s="5887"/>
      <c r="G182" s="5884" t="s">
        <v>285</v>
      </c>
      <c r="H182" s="5889"/>
      <c r="I182" s="5886"/>
      <c r="J182" s="5887"/>
      <c r="K182" s="5884" t="s">
        <v>285</v>
      </c>
      <c r="L182" s="5889"/>
      <c r="M182" s="5886"/>
      <c r="N182" s="5887"/>
      <c r="O182" s="5888" t="s">
        <v>290</v>
      </c>
      <c r="P182" s="5889"/>
      <c r="Q182" s="5886"/>
      <c r="R182" s="5887"/>
      <c r="S182" s="5888" t="s">
        <v>289</v>
      </c>
      <c r="T182" s="5889"/>
      <c r="U182" s="5886"/>
      <c r="V182" s="5890"/>
      <c r="W182" s="6000"/>
      <c r="X182" s="6000"/>
      <c r="Y182" s="5999"/>
      <c r="Z182" s="5890"/>
      <c r="AA182" s="6000"/>
      <c r="AB182" s="6000"/>
      <c r="AC182" s="6000"/>
      <c r="AD182" s="5890"/>
      <c r="AE182" s="6000"/>
      <c r="AF182" s="6106"/>
    </row>
    <row r="183" spans="1:32" ht="18" customHeight="1">
      <c r="A183" s="6107" t="s">
        <v>272</v>
      </c>
      <c r="B183" s="5883" t="s">
        <v>128</v>
      </c>
      <c r="C183" s="5884" t="s">
        <v>285</v>
      </c>
      <c r="D183" s="5885"/>
      <c r="E183" s="5886"/>
      <c r="F183" s="5887"/>
      <c r="G183" s="5884" t="s">
        <v>285</v>
      </c>
      <c r="H183" s="5889"/>
      <c r="I183" s="5886"/>
      <c r="J183" s="5887"/>
      <c r="K183" s="5884" t="s">
        <v>285</v>
      </c>
      <c r="L183" s="5889"/>
      <c r="M183" s="5886"/>
      <c r="N183" s="5887"/>
      <c r="O183" s="5888" t="s">
        <v>290</v>
      </c>
      <c r="P183" s="5889"/>
      <c r="Q183" s="5886"/>
      <c r="R183" s="5887"/>
      <c r="S183" s="5888" t="s">
        <v>289</v>
      </c>
      <c r="T183" s="5889"/>
      <c r="U183" s="5886"/>
      <c r="V183" s="6108"/>
      <c r="W183" s="6109"/>
      <c r="X183" s="6109"/>
      <c r="Y183" s="6110"/>
      <c r="Z183" s="6108"/>
      <c r="AA183" s="6109"/>
      <c r="AB183" s="6109"/>
      <c r="AC183" s="6109"/>
      <c r="AD183" s="6108"/>
      <c r="AE183" s="6109"/>
      <c r="AF183" s="6111"/>
    </row>
    <row r="184" spans="1:32" ht="18" customHeight="1">
      <c r="A184" s="6001" t="s">
        <v>275</v>
      </c>
      <c r="B184" s="5883" t="s">
        <v>127</v>
      </c>
      <c r="C184" s="5884" t="s">
        <v>285</v>
      </c>
      <c r="D184" s="5885"/>
      <c r="E184" s="5886"/>
      <c r="F184" s="5887"/>
      <c r="G184" s="5884" t="s">
        <v>285</v>
      </c>
      <c r="H184" s="5889"/>
      <c r="I184" s="5886"/>
      <c r="J184" s="5887"/>
      <c r="K184" s="5884" t="s">
        <v>285</v>
      </c>
      <c r="L184" s="5889"/>
      <c r="M184" s="5886"/>
      <c r="N184" s="5887"/>
      <c r="O184" s="5888" t="s">
        <v>286</v>
      </c>
      <c r="P184" s="5889"/>
      <c r="Q184" s="5886"/>
      <c r="R184" s="5887"/>
      <c r="S184" s="5888" t="s">
        <v>287</v>
      </c>
      <c r="T184" s="5889"/>
      <c r="U184" s="5886"/>
      <c r="V184" s="5890"/>
      <c r="W184" s="6000"/>
      <c r="X184" s="6000"/>
      <c r="Y184" s="6000"/>
      <c r="Z184" s="5890"/>
      <c r="AA184" s="6000"/>
      <c r="AB184" s="6000"/>
      <c r="AC184" s="6000"/>
      <c r="AD184" s="5890"/>
      <c r="AE184" s="6000"/>
      <c r="AF184" s="6106"/>
    </row>
    <row r="185" spans="1:32" ht="18" customHeight="1">
      <c r="A185" s="6001" t="s">
        <v>278</v>
      </c>
      <c r="B185" s="5883" t="s">
        <v>116</v>
      </c>
      <c r="C185" s="5884" t="s">
        <v>279</v>
      </c>
      <c r="D185" s="5885"/>
      <c r="E185" s="5886"/>
      <c r="F185" s="5887"/>
      <c r="G185" s="5888" t="s">
        <v>279</v>
      </c>
      <c r="H185" s="5889"/>
      <c r="I185" s="5886"/>
      <c r="J185" s="5887"/>
      <c r="K185" s="5888" t="s">
        <v>279</v>
      </c>
      <c r="L185" s="5889"/>
      <c r="M185" s="5889"/>
      <c r="N185" s="5887"/>
      <c r="O185" s="5888" t="s">
        <v>279</v>
      </c>
      <c r="P185" s="5889"/>
      <c r="Q185" s="5889"/>
      <c r="R185" s="5887"/>
      <c r="S185" s="5888" t="s">
        <v>264</v>
      </c>
      <c r="T185" s="5889"/>
      <c r="U185" s="5886"/>
      <c r="V185" s="6001"/>
      <c r="W185" s="6000"/>
      <c r="X185" s="6000"/>
      <c r="Y185" s="5999"/>
      <c r="Z185" s="5898"/>
      <c r="AA185" s="6000"/>
      <c r="AB185" s="6000"/>
      <c r="AC185" s="6000"/>
      <c r="AD185" s="5890"/>
      <c r="AE185" s="6000"/>
      <c r="AF185" s="6106"/>
    </row>
    <row r="186" spans="1:32" ht="18" customHeight="1">
      <c r="A186" s="6001" t="s">
        <v>280</v>
      </c>
      <c r="B186" s="5883" t="s">
        <v>123</v>
      </c>
      <c r="C186" s="5884" t="s">
        <v>281</v>
      </c>
      <c r="D186" s="5885"/>
      <c r="E186" s="5886"/>
      <c r="F186" s="5887"/>
      <c r="G186" s="5888" t="s">
        <v>281</v>
      </c>
      <c r="H186" s="5889"/>
      <c r="I186" s="5886"/>
      <c r="J186" s="5887"/>
      <c r="K186" s="5888" t="s">
        <v>281</v>
      </c>
      <c r="L186" s="5889"/>
      <c r="M186" s="5889"/>
      <c r="N186" s="5887"/>
      <c r="O186" s="5888" t="s">
        <v>282</v>
      </c>
      <c r="P186" s="5889"/>
      <c r="Q186" s="5889"/>
      <c r="R186" s="5887"/>
      <c r="S186" s="5888" t="s">
        <v>283</v>
      </c>
      <c r="T186" s="5889"/>
      <c r="U186" s="5886"/>
      <c r="V186" s="6001"/>
      <c r="W186" s="6000"/>
      <c r="X186" s="6000"/>
      <c r="Y186" s="5999"/>
      <c r="Z186" s="5898"/>
      <c r="AA186" s="6000"/>
      <c r="AB186" s="6000"/>
      <c r="AC186" s="6000"/>
      <c r="AD186" s="5890"/>
      <c r="AE186" s="6000"/>
      <c r="AF186" s="6106"/>
    </row>
    <row r="187" spans="1:32" ht="18" customHeight="1">
      <c r="A187" s="119"/>
      <c r="B187" s="110"/>
      <c r="C187" s="68"/>
      <c r="F187" s="110"/>
      <c r="G187" s="68"/>
      <c r="J187" s="110"/>
      <c r="K187" s="68"/>
      <c r="N187" s="110"/>
      <c r="O187" s="68"/>
      <c r="R187" s="110"/>
      <c r="S187" s="68"/>
      <c r="Z187" s="110"/>
      <c r="AD187" s="110"/>
      <c r="AF187" s="65"/>
    </row>
    <row r="188" spans="1:32" ht="18" customHeight="1">
      <c r="A188" s="433" t="s">
        <v>613</v>
      </c>
      <c r="B188" s="2985">
        <v>1</v>
      </c>
      <c r="C188" s="2985">
        <v>2</v>
      </c>
      <c r="D188" s="2985">
        <v>3</v>
      </c>
      <c r="E188" s="2986">
        <v>4</v>
      </c>
      <c r="F188" s="2986">
        <v>5</v>
      </c>
      <c r="G188" s="2985">
        <v>6</v>
      </c>
      <c r="H188" s="2985">
        <v>7</v>
      </c>
      <c r="I188" s="2985">
        <v>8</v>
      </c>
      <c r="J188" s="2985">
        <v>9</v>
      </c>
      <c r="K188" s="2985">
        <v>10</v>
      </c>
      <c r="L188" s="2986">
        <v>11</v>
      </c>
      <c r="M188" s="2986">
        <v>12</v>
      </c>
      <c r="N188" s="2985">
        <v>13</v>
      </c>
      <c r="O188" s="2985">
        <v>14</v>
      </c>
      <c r="P188" s="2985">
        <v>15</v>
      </c>
      <c r="Q188" s="2985">
        <v>16</v>
      </c>
      <c r="R188" s="2985">
        <v>17</v>
      </c>
      <c r="S188" s="2986">
        <v>18</v>
      </c>
      <c r="T188" s="2986">
        <v>19</v>
      </c>
      <c r="U188" s="2985">
        <v>20</v>
      </c>
      <c r="V188" s="2985">
        <v>21</v>
      </c>
      <c r="W188" s="2985">
        <v>22</v>
      </c>
      <c r="X188" s="2985">
        <v>23</v>
      </c>
      <c r="Y188" s="2985">
        <v>24</v>
      </c>
      <c r="Z188" s="2986">
        <v>25</v>
      </c>
      <c r="AA188" s="2986">
        <v>26</v>
      </c>
      <c r="AB188" s="2985">
        <v>27</v>
      </c>
      <c r="AC188" s="2985">
        <v>28</v>
      </c>
      <c r="AD188" s="2985">
        <v>29</v>
      </c>
      <c r="AE188" s="2985">
        <v>30</v>
      </c>
      <c r="AF188" s="2985">
        <v>31</v>
      </c>
    </row>
    <row r="189" spans="1:32" ht="18" customHeight="1">
      <c r="A189" s="6112" t="s">
        <v>296</v>
      </c>
      <c r="B189" s="5602" t="s">
        <v>152</v>
      </c>
      <c r="C189" s="5602" t="s">
        <v>152</v>
      </c>
      <c r="D189" s="5602" t="s">
        <v>152</v>
      </c>
      <c r="E189" s="5602"/>
      <c r="F189" s="5602"/>
      <c r="G189" s="5602" t="s">
        <v>152</v>
      </c>
      <c r="H189" s="5602" t="s">
        <v>152</v>
      </c>
      <c r="I189" s="5602" t="s">
        <v>152</v>
      </c>
      <c r="J189" s="5602" t="s">
        <v>152</v>
      </c>
      <c r="K189" s="5602" t="s">
        <v>152</v>
      </c>
      <c r="L189" s="5602"/>
      <c r="M189" s="5602"/>
      <c r="N189" s="5602" t="s">
        <v>152</v>
      </c>
      <c r="O189" s="5602" t="s">
        <v>152</v>
      </c>
      <c r="P189" s="5602" t="s">
        <v>152</v>
      </c>
      <c r="Q189" s="5602" t="s">
        <v>152</v>
      </c>
      <c r="R189" s="5602" t="s">
        <v>152</v>
      </c>
      <c r="S189" s="5602"/>
      <c r="T189" s="5602"/>
      <c r="U189" s="5602" t="s">
        <v>152</v>
      </c>
      <c r="V189" s="5602" t="s">
        <v>152</v>
      </c>
      <c r="W189" s="5602" t="s">
        <v>152</v>
      </c>
      <c r="X189" s="5602" t="s">
        <v>152</v>
      </c>
      <c r="Y189" s="5602" t="s">
        <v>152</v>
      </c>
      <c r="Z189" s="5602"/>
      <c r="AA189" s="5602"/>
      <c r="AB189" s="5602" t="s">
        <v>152</v>
      </c>
      <c r="AC189" s="5602" t="s">
        <v>152</v>
      </c>
      <c r="AD189" s="5602" t="s">
        <v>152</v>
      </c>
      <c r="AE189" s="5602" t="s">
        <v>152</v>
      </c>
      <c r="AF189" s="5602" t="s">
        <v>152</v>
      </c>
    </row>
    <row r="190" spans="1:32" ht="18" customHeight="1">
      <c r="A190" s="6112" t="s">
        <v>575</v>
      </c>
      <c r="B190" s="5712" t="s">
        <v>130</v>
      </c>
      <c r="C190" s="5673" t="s">
        <v>130</v>
      </c>
      <c r="D190" s="5673" t="s">
        <v>130</v>
      </c>
      <c r="E190" s="5673"/>
      <c r="F190" s="5673"/>
      <c r="G190" s="5712" t="s">
        <v>130</v>
      </c>
      <c r="H190" s="5712" t="s">
        <v>130</v>
      </c>
      <c r="I190" s="5712" t="s">
        <v>130</v>
      </c>
      <c r="J190" s="5673" t="s">
        <v>130</v>
      </c>
      <c r="K190" s="5673" t="s">
        <v>130</v>
      </c>
      <c r="L190" s="5673"/>
      <c r="M190" s="5673"/>
      <c r="N190" s="5712" t="s">
        <v>130</v>
      </c>
      <c r="O190" s="5712" t="s">
        <v>130</v>
      </c>
      <c r="P190" s="5712" t="s">
        <v>130</v>
      </c>
      <c r="Q190" s="5673" t="s">
        <v>130</v>
      </c>
      <c r="R190" s="5673" t="s">
        <v>130</v>
      </c>
      <c r="S190" s="5673"/>
      <c r="T190" s="5673"/>
      <c r="U190" s="5712" t="s">
        <v>130</v>
      </c>
      <c r="V190" s="5712" t="s">
        <v>130</v>
      </c>
      <c r="W190" s="5712" t="s">
        <v>130</v>
      </c>
      <c r="X190" s="5673" t="s">
        <v>130</v>
      </c>
      <c r="Y190" s="5673" t="s">
        <v>130</v>
      </c>
      <c r="Z190" s="5673"/>
      <c r="AA190" s="5673"/>
      <c r="AB190" s="5712" t="s">
        <v>130</v>
      </c>
      <c r="AC190" s="5712" t="s">
        <v>130</v>
      </c>
      <c r="AD190" s="5712" t="s">
        <v>130</v>
      </c>
      <c r="AE190" s="5673" t="s">
        <v>130</v>
      </c>
      <c r="AF190" s="5673" t="s">
        <v>130</v>
      </c>
    </row>
    <row r="191" spans="1:32" ht="18" customHeight="1">
      <c r="A191" s="6113" t="s">
        <v>295</v>
      </c>
      <c r="B191" s="5602" t="s">
        <v>153</v>
      </c>
      <c r="C191" s="5602" t="s">
        <v>153</v>
      </c>
      <c r="D191" s="5602" t="s">
        <v>153</v>
      </c>
      <c r="E191" s="5602"/>
      <c r="F191" s="5602"/>
      <c r="G191" s="5602" t="s">
        <v>153</v>
      </c>
      <c r="H191" s="5602" t="s">
        <v>153</v>
      </c>
      <c r="I191" s="5602" t="s">
        <v>153</v>
      </c>
      <c r="J191" s="5602" t="s">
        <v>153</v>
      </c>
      <c r="K191" s="5602" t="s">
        <v>153</v>
      </c>
      <c r="L191" s="5602"/>
      <c r="M191" s="5602"/>
      <c r="N191" s="5602" t="s">
        <v>153</v>
      </c>
      <c r="O191" s="5602" t="s">
        <v>153</v>
      </c>
      <c r="P191" s="5602" t="s">
        <v>153</v>
      </c>
      <c r="Q191" s="5602" t="s">
        <v>153</v>
      </c>
      <c r="R191" s="5602" t="s">
        <v>153</v>
      </c>
      <c r="S191" s="5602"/>
      <c r="T191" s="5602"/>
      <c r="U191" s="5602" t="s">
        <v>153</v>
      </c>
      <c r="V191" s="5602" t="s">
        <v>153</v>
      </c>
      <c r="W191" s="5602" t="s">
        <v>153</v>
      </c>
      <c r="X191" s="5602" t="s">
        <v>153</v>
      </c>
      <c r="Y191" s="5602" t="s">
        <v>153</v>
      </c>
      <c r="Z191" s="5602"/>
      <c r="AA191" s="5602"/>
      <c r="AB191" s="5602" t="s">
        <v>153</v>
      </c>
      <c r="AC191" s="5602" t="s">
        <v>153</v>
      </c>
      <c r="AD191" s="5602" t="s">
        <v>153</v>
      </c>
      <c r="AE191" s="5602" t="s">
        <v>153</v>
      </c>
      <c r="AF191" s="5602" t="s">
        <v>153</v>
      </c>
    </row>
    <row r="192" spans="1:32" ht="18" customHeight="1">
      <c r="A192" s="6003" t="s">
        <v>297</v>
      </c>
      <c r="B192" s="5602" t="s">
        <v>128</v>
      </c>
      <c r="C192" s="5602" t="s">
        <v>128</v>
      </c>
      <c r="D192" s="5602" t="s">
        <v>128</v>
      </c>
      <c r="E192" s="5602"/>
      <c r="F192" s="5602"/>
      <c r="G192" s="5602" t="s">
        <v>128</v>
      </c>
      <c r="H192" s="5602" t="s">
        <v>128</v>
      </c>
      <c r="I192" s="5602" t="s">
        <v>128</v>
      </c>
      <c r="J192" s="5602" t="s">
        <v>128</v>
      </c>
      <c r="K192" s="5602" t="s">
        <v>128</v>
      </c>
      <c r="L192" s="5602"/>
      <c r="M192" s="5602"/>
      <c r="N192" s="5602" t="s">
        <v>128</v>
      </c>
      <c r="O192" s="5602" t="s">
        <v>128</v>
      </c>
      <c r="P192" s="5602" t="s">
        <v>128</v>
      </c>
      <c r="Q192" s="5602" t="s">
        <v>128</v>
      </c>
      <c r="R192" s="5602" t="s">
        <v>128</v>
      </c>
      <c r="S192" s="5602"/>
      <c r="T192" s="5602"/>
      <c r="U192" s="5602" t="s">
        <v>128</v>
      </c>
      <c r="V192" s="5602" t="s">
        <v>128</v>
      </c>
      <c r="W192" s="5602" t="s">
        <v>128</v>
      </c>
      <c r="X192" s="5602" t="s">
        <v>128</v>
      </c>
      <c r="Y192" s="5602" t="s">
        <v>128</v>
      </c>
      <c r="Z192" s="5602"/>
      <c r="AA192" s="5602"/>
      <c r="AB192" s="5602" t="s">
        <v>128</v>
      </c>
      <c r="AC192" s="5602" t="s">
        <v>128</v>
      </c>
      <c r="AD192" s="5602" t="s">
        <v>128</v>
      </c>
      <c r="AE192" s="5602" t="s">
        <v>128</v>
      </c>
      <c r="AF192" s="5602" t="s">
        <v>128</v>
      </c>
    </row>
    <row r="193" spans="1:32" ht="18" customHeight="1">
      <c r="A193" s="6114" t="s">
        <v>298</v>
      </c>
      <c r="B193" s="5602" t="s">
        <v>127</v>
      </c>
      <c r="C193" s="5602" t="s">
        <v>127</v>
      </c>
      <c r="D193" s="5602" t="s">
        <v>127</v>
      </c>
      <c r="E193" s="5602"/>
      <c r="F193" s="5602"/>
      <c r="G193" s="5602" t="s">
        <v>127</v>
      </c>
      <c r="H193" s="5602" t="s">
        <v>127</v>
      </c>
      <c r="I193" s="5602" t="s">
        <v>127</v>
      </c>
      <c r="J193" s="5602" t="s">
        <v>127</v>
      </c>
      <c r="K193" s="5602" t="s">
        <v>127</v>
      </c>
      <c r="L193" s="5602"/>
      <c r="M193" s="5602"/>
      <c r="N193" s="5602" t="s">
        <v>127</v>
      </c>
      <c r="O193" s="5602" t="s">
        <v>127</v>
      </c>
      <c r="P193" s="5602" t="s">
        <v>127</v>
      </c>
      <c r="Q193" s="5602" t="s">
        <v>127</v>
      </c>
      <c r="R193" s="5602" t="s">
        <v>127</v>
      </c>
      <c r="S193" s="5602"/>
      <c r="T193" s="5602"/>
      <c r="U193" s="5602" t="s">
        <v>127</v>
      </c>
      <c r="V193" s="5602" t="s">
        <v>127</v>
      </c>
      <c r="W193" s="5602" t="s">
        <v>127</v>
      </c>
      <c r="X193" s="5602" t="s">
        <v>127</v>
      </c>
      <c r="Y193" s="5602" t="s">
        <v>127</v>
      </c>
      <c r="Z193" s="5602"/>
      <c r="AA193" s="5602"/>
      <c r="AB193" s="5602" t="s">
        <v>127</v>
      </c>
      <c r="AC193" s="5602" t="s">
        <v>127</v>
      </c>
      <c r="AD193" s="5602" t="s">
        <v>127</v>
      </c>
      <c r="AE193" s="5602" t="s">
        <v>127</v>
      </c>
      <c r="AF193" s="5602" t="s">
        <v>127</v>
      </c>
    </row>
    <row r="194" spans="1:32" ht="18" customHeight="1">
      <c r="A194" s="6115" t="s">
        <v>299</v>
      </c>
      <c r="B194" s="5602" t="s">
        <v>123</v>
      </c>
      <c r="C194" s="5602" t="s">
        <v>123</v>
      </c>
      <c r="D194" s="5602" t="s">
        <v>123</v>
      </c>
      <c r="E194" s="5602"/>
      <c r="F194" s="5602"/>
      <c r="G194" s="5602" t="s">
        <v>123</v>
      </c>
      <c r="H194" s="5602" t="s">
        <v>123</v>
      </c>
      <c r="I194" s="5602" t="s">
        <v>123</v>
      </c>
      <c r="J194" s="5602" t="s">
        <v>123</v>
      </c>
      <c r="K194" s="5602" t="s">
        <v>123</v>
      </c>
      <c r="L194" s="5602"/>
      <c r="M194" s="5602"/>
      <c r="N194" s="5602" t="s">
        <v>123</v>
      </c>
      <c r="O194" s="5602" t="s">
        <v>123</v>
      </c>
      <c r="P194" s="5602" t="s">
        <v>123</v>
      </c>
      <c r="Q194" s="5602" t="s">
        <v>123</v>
      </c>
      <c r="R194" s="5602" t="s">
        <v>123</v>
      </c>
      <c r="S194" s="5602"/>
      <c r="T194" s="5602"/>
      <c r="U194" s="5602" t="s">
        <v>123</v>
      </c>
      <c r="V194" s="5602" t="s">
        <v>123</v>
      </c>
      <c r="W194" s="5602" t="s">
        <v>123</v>
      </c>
      <c r="X194" s="5602" t="s">
        <v>123</v>
      </c>
      <c r="Y194" s="5602" t="s">
        <v>123</v>
      </c>
      <c r="Z194" s="5602"/>
      <c r="AA194" s="5602"/>
      <c r="AB194" s="5602" t="s">
        <v>123</v>
      </c>
      <c r="AC194" s="5602" t="s">
        <v>123</v>
      </c>
      <c r="AD194" s="5602" t="s">
        <v>123</v>
      </c>
      <c r="AE194" s="5602" t="s">
        <v>123</v>
      </c>
      <c r="AF194" s="5602" t="s">
        <v>123</v>
      </c>
    </row>
    <row r="195" spans="1:32" ht="18" customHeight="1">
      <c r="A195" s="6115" t="s">
        <v>300</v>
      </c>
      <c r="B195" s="5602" t="s">
        <v>116</v>
      </c>
      <c r="C195" s="5602" t="s">
        <v>116</v>
      </c>
      <c r="D195" s="5602" t="s">
        <v>116</v>
      </c>
      <c r="E195" s="5602"/>
      <c r="F195" s="5602"/>
      <c r="G195" s="5602" t="s">
        <v>116</v>
      </c>
      <c r="H195" s="5602" t="s">
        <v>116</v>
      </c>
      <c r="I195" s="5602" t="s">
        <v>116</v>
      </c>
      <c r="J195" s="5602" t="s">
        <v>116</v>
      </c>
      <c r="K195" s="5602" t="s">
        <v>116</v>
      </c>
      <c r="L195" s="5602"/>
      <c r="M195" s="5602"/>
      <c r="N195" s="5602" t="s">
        <v>116</v>
      </c>
      <c r="O195" s="5602" t="s">
        <v>116</v>
      </c>
      <c r="P195" s="5602" t="s">
        <v>116</v>
      </c>
      <c r="Q195" s="5602" t="s">
        <v>116</v>
      </c>
      <c r="R195" s="5602" t="s">
        <v>116</v>
      </c>
      <c r="S195" s="5602"/>
      <c r="T195" s="5602"/>
      <c r="U195" s="5602" t="s">
        <v>116</v>
      </c>
      <c r="V195" s="5602" t="s">
        <v>116</v>
      </c>
      <c r="W195" s="5602" t="s">
        <v>116</v>
      </c>
      <c r="X195" s="5602" t="s">
        <v>116</v>
      </c>
      <c r="Y195" s="5602" t="s">
        <v>116</v>
      </c>
      <c r="Z195" s="5602"/>
      <c r="AA195" s="5602"/>
      <c r="AB195" s="5602" t="s">
        <v>116</v>
      </c>
      <c r="AC195" s="5602" t="s">
        <v>116</v>
      </c>
      <c r="AD195" s="5602" t="s">
        <v>116</v>
      </c>
      <c r="AE195" s="5602" t="s">
        <v>116</v>
      </c>
      <c r="AF195" s="5602" t="s">
        <v>116</v>
      </c>
    </row>
    <row r="196" spans="1:32" ht="18" customHeight="1">
      <c r="A196" s="178"/>
      <c r="B196" s="99"/>
      <c r="C196" s="99"/>
      <c r="D196" s="99"/>
      <c r="E196" s="99"/>
      <c r="F196" s="99"/>
      <c r="G196" s="99"/>
      <c r="H196" s="99"/>
      <c r="I196" s="99"/>
      <c r="J196" s="99"/>
      <c r="K196" s="99"/>
      <c r="L196" s="99"/>
      <c r="M196" s="99"/>
      <c r="N196" s="99"/>
      <c r="O196" s="99"/>
      <c r="P196" s="99"/>
      <c r="Q196" s="99"/>
      <c r="R196" s="99"/>
      <c r="S196" s="99"/>
      <c r="T196" s="99"/>
      <c r="U196" s="99"/>
      <c r="V196" s="99"/>
      <c r="W196" s="99"/>
      <c r="X196" s="99"/>
      <c r="Y196" s="99"/>
      <c r="Z196" s="99"/>
      <c r="AA196" s="99"/>
      <c r="AB196" s="99"/>
      <c r="AC196" s="99"/>
      <c r="AD196" s="99"/>
      <c r="AE196" s="99"/>
    </row>
    <row r="197" spans="1:32" ht="18" customHeight="1">
      <c r="A197" s="6116" t="s">
        <v>615</v>
      </c>
      <c r="B197" s="2765"/>
      <c r="C197" s="2788" t="s">
        <v>19</v>
      </c>
      <c r="D197" s="3064"/>
      <c r="E197" s="2769"/>
      <c r="F197" s="2765"/>
      <c r="G197" s="2788" t="s">
        <v>20</v>
      </c>
      <c r="H197" s="3064"/>
      <c r="I197" s="2769"/>
      <c r="J197" s="2765"/>
      <c r="K197" s="2788" t="s">
        <v>21</v>
      </c>
      <c r="L197" s="3064"/>
      <c r="M197" s="2769"/>
      <c r="N197" s="2765"/>
      <c r="O197" s="2788" t="s">
        <v>22</v>
      </c>
      <c r="P197" s="3064"/>
      <c r="Q197" s="2769"/>
      <c r="R197" s="2765"/>
      <c r="S197" s="2788" t="s">
        <v>23</v>
      </c>
      <c r="T197" s="3064"/>
      <c r="U197" s="2769"/>
      <c r="V197" s="2765"/>
      <c r="W197" s="2788" t="s">
        <v>24</v>
      </c>
      <c r="X197" s="3064"/>
      <c r="Y197" s="2769"/>
      <c r="Z197" s="2765"/>
      <c r="AA197" s="2788" t="s">
        <v>25</v>
      </c>
      <c r="AB197" s="3064"/>
      <c r="AC197" s="3064"/>
      <c r="AD197" s="2791" t="s">
        <v>108</v>
      </c>
      <c r="AE197" s="3064"/>
      <c r="AF197" s="2841"/>
    </row>
    <row r="198" spans="1:32" ht="18" customHeight="1">
      <c r="A198" s="6117" t="s">
        <v>210</v>
      </c>
      <c r="B198" s="543" t="s">
        <v>332</v>
      </c>
      <c r="C198" s="539"/>
      <c r="D198" s="544"/>
      <c r="E198" s="545"/>
      <c r="F198" s="543" t="s">
        <v>332</v>
      </c>
      <c r="G198" s="539"/>
      <c r="H198" s="544"/>
      <c r="I198" s="545"/>
      <c r="J198" s="543" t="s">
        <v>332</v>
      </c>
      <c r="K198" s="539"/>
      <c r="L198" s="544"/>
      <c r="M198" s="545"/>
      <c r="N198" s="543" t="s">
        <v>332</v>
      </c>
      <c r="O198" s="546"/>
      <c r="P198" s="544"/>
      <c r="Q198" s="545"/>
      <c r="R198" s="547" t="s">
        <v>333</v>
      </c>
      <c r="S198" s="539"/>
      <c r="T198" s="544"/>
      <c r="U198" s="545"/>
      <c r="V198" s="541"/>
      <c r="W198" s="539"/>
      <c r="X198" s="531"/>
      <c r="Y198" s="540"/>
      <c r="Z198" s="541"/>
      <c r="AA198" s="539"/>
      <c r="AB198" s="531"/>
      <c r="AC198" s="531"/>
      <c r="AD198" s="542"/>
      <c r="AE198" s="531"/>
      <c r="AF198" s="466"/>
    </row>
    <row r="199" spans="1:32" ht="18" customHeight="1">
      <c r="A199" s="6117" t="s">
        <v>212</v>
      </c>
      <c r="B199" s="543" t="s">
        <v>334</v>
      </c>
      <c r="C199" s="539"/>
      <c r="D199" s="544"/>
      <c r="E199" s="545"/>
      <c r="F199" s="543" t="s">
        <v>334</v>
      </c>
      <c r="G199" s="539"/>
      <c r="H199" s="544"/>
      <c r="I199" s="545"/>
      <c r="J199" s="543" t="s">
        <v>334</v>
      </c>
      <c r="K199" s="539"/>
      <c r="L199" s="544"/>
      <c r="M199" s="545"/>
      <c r="N199" s="543" t="s">
        <v>334</v>
      </c>
      <c r="O199" s="539"/>
      <c r="P199" s="544"/>
      <c r="Q199" s="545"/>
      <c r="R199" s="543" t="s">
        <v>335</v>
      </c>
      <c r="S199" s="539"/>
      <c r="T199" s="544"/>
      <c r="U199" s="545"/>
      <c r="V199" s="541"/>
      <c r="W199" s="539"/>
      <c r="X199" s="531"/>
      <c r="Y199" s="540"/>
      <c r="Z199" s="541"/>
      <c r="AA199" s="539"/>
      <c r="AB199" s="531"/>
      <c r="AC199" s="531"/>
      <c r="AD199" s="542"/>
      <c r="AE199" s="531"/>
      <c r="AF199" s="466"/>
    </row>
    <row r="200" spans="1:32" ht="18" customHeight="1">
      <c r="A200" s="6118" t="s">
        <v>336</v>
      </c>
      <c r="B200" s="6096" t="s">
        <v>334</v>
      </c>
      <c r="C200" s="6119"/>
      <c r="D200" s="544"/>
      <c r="E200" s="545"/>
      <c r="F200" s="6096" t="s">
        <v>334</v>
      </c>
      <c r="G200" s="6119"/>
      <c r="H200" s="544"/>
      <c r="I200" s="545"/>
      <c r="J200" s="6096" t="s">
        <v>334</v>
      </c>
      <c r="K200" s="6119"/>
      <c r="L200" s="544"/>
      <c r="M200" s="545"/>
      <c r="N200" s="6096" t="s">
        <v>334</v>
      </c>
      <c r="O200" s="6119"/>
      <c r="P200" s="544"/>
      <c r="Q200" s="545"/>
      <c r="R200" s="6096" t="s">
        <v>335</v>
      </c>
      <c r="S200" s="539"/>
      <c r="T200" s="544"/>
      <c r="U200" s="545"/>
      <c r="V200" s="541"/>
      <c r="W200" s="539"/>
      <c r="X200" s="531"/>
      <c r="Y200" s="540"/>
      <c r="Z200" s="541"/>
      <c r="AA200" s="539"/>
      <c r="AB200" s="531"/>
      <c r="AC200" s="531"/>
      <c r="AD200" s="542"/>
      <c r="AE200" s="531"/>
      <c r="AF200" s="466"/>
    </row>
    <row r="201" spans="1:32" ht="18" customHeight="1">
      <c r="A201" s="37"/>
      <c r="B201" s="42"/>
      <c r="C201" s="5"/>
      <c r="F201" s="42"/>
      <c r="G201" s="5"/>
      <c r="J201" s="42"/>
      <c r="K201" s="5"/>
      <c r="N201" s="42"/>
      <c r="O201" s="5"/>
      <c r="R201" s="42"/>
      <c r="S201" s="42"/>
      <c r="W201" s="42"/>
      <c r="AA201" s="42"/>
      <c r="AD201" s="42"/>
    </row>
    <row r="202" spans="1:32" ht="18" customHeight="1"/>
    <row r="203" spans="1:32" ht="18" customHeight="1">
      <c r="A203" s="6120" t="s">
        <v>615</v>
      </c>
      <c r="B203" s="2985">
        <v>1</v>
      </c>
      <c r="C203" s="2985">
        <v>2</v>
      </c>
      <c r="D203" s="2985">
        <v>3</v>
      </c>
      <c r="E203" s="2986">
        <v>4</v>
      </c>
      <c r="F203" s="2986">
        <v>5</v>
      </c>
      <c r="G203" s="2985">
        <v>6</v>
      </c>
      <c r="H203" s="2985">
        <v>7</v>
      </c>
      <c r="I203" s="2985">
        <v>8</v>
      </c>
      <c r="J203" s="2985">
        <v>9</v>
      </c>
      <c r="K203" s="2985">
        <v>10</v>
      </c>
      <c r="L203" s="2986">
        <v>11</v>
      </c>
      <c r="M203" s="2986">
        <v>12</v>
      </c>
      <c r="N203" s="2985">
        <v>13</v>
      </c>
      <c r="O203" s="2985">
        <v>14</v>
      </c>
      <c r="P203" s="2985">
        <v>15</v>
      </c>
      <c r="Q203" s="2985">
        <v>16</v>
      </c>
      <c r="R203" s="2985">
        <v>17</v>
      </c>
      <c r="S203" s="2986">
        <v>18</v>
      </c>
      <c r="T203" s="2986">
        <v>19</v>
      </c>
      <c r="U203" s="2985">
        <v>20</v>
      </c>
      <c r="V203" s="2985">
        <v>21</v>
      </c>
      <c r="W203" s="2985">
        <v>22</v>
      </c>
      <c r="X203" s="2985">
        <v>23</v>
      </c>
      <c r="Y203" s="2985">
        <v>24</v>
      </c>
      <c r="Z203" s="2986">
        <v>25</v>
      </c>
      <c r="AA203" s="2986">
        <v>26</v>
      </c>
      <c r="AB203" s="2985">
        <v>27</v>
      </c>
      <c r="AC203" s="2985">
        <v>28</v>
      </c>
      <c r="AD203" s="2985">
        <v>29</v>
      </c>
      <c r="AE203" s="2985">
        <v>30</v>
      </c>
      <c r="AF203" s="2985">
        <v>31</v>
      </c>
    </row>
    <row r="204" spans="1:32" ht="18" customHeight="1">
      <c r="A204" s="6121" t="s">
        <v>338</v>
      </c>
      <c r="B204" s="6038" t="s">
        <v>40</v>
      </c>
      <c r="C204" s="6038" t="s">
        <v>40</v>
      </c>
      <c r="D204" s="6038" t="s">
        <v>40</v>
      </c>
      <c r="E204" s="6038"/>
      <c r="F204" s="6038"/>
      <c r="G204" s="6038" t="s">
        <v>40</v>
      </c>
      <c r="H204" s="6038" t="s">
        <v>40</v>
      </c>
      <c r="I204" s="6038" t="s">
        <v>40</v>
      </c>
      <c r="J204" s="6038" t="s">
        <v>40</v>
      </c>
      <c r="K204" s="6038" t="s">
        <v>40</v>
      </c>
      <c r="L204" s="6038"/>
      <c r="M204" s="6038"/>
      <c r="N204" s="6038" t="s">
        <v>40</v>
      </c>
      <c r="O204" s="6038" t="s">
        <v>40</v>
      </c>
      <c r="P204" s="6038" t="s">
        <v>40</v>
      </c>
      <c r="Q204" s="6038" t="s">
        <v>40</v>
      </c>
      <c r="R204" s="6038" t="s">
        <v>40</v>
      </c>
      <c r="S204" s="6038"/>
      <c r="T204" s="6038"/>
      <c r="U204" s="6038" t="s">
        <v>40</v>
      </c>
      <c r="V204" s="6038" t="s">
        <v>40</v>
      </c>
      <c r="W204" s="6038" t="s">
        <v>40</v>
      </c>
      <c r="X204" s="6038" t="s">
        <v>40</v>
      </c>
      <c r="Y204" s="6038" t="s">
        <v>40</v>
      </c>
      <c r="Z204" s="6038"/>
      <c r="AA204" s="6038"/>
      <c r="AB204" s="6038" t="s">
        <v>40</v>
      </c>
      <c r="AC204" s="6038" t="s">
        <v>40</v>
      </c>
      <c r="AD204" s="6038" t="s">
        <v>40</v>
      </c>
      <c r="AE204" s="6038" t="s">
        <v>40</v>
      </c>
      <c r="AF204" s="6038" t="s">
        <v>40</v>
      </c>
    </row>
    <row r="205" spans="1:32" ht="18" customHeight="1">
      <c r="A205" s="6122" t="s">
        <v>339</v>
      </c>
      <c r="B205" s="6123"/>
      <c r="C205" s="6123"/>
      <c r="D205" s="6123"/>
      <c r="E205" s="6123"/>
      <c r="F205" s="6123"/>
      <c r="G205" s="6123"/>
      <c r="H205" s="6123"/>
      <c r="I205" s="6123"/>
      <c r="J205" s="6123"/>
      <c r="K205" s="6123"/>
      <c r="L205" s="6123"/>
      <c r="M205" s="6123"/>
      <c r="N205" s="6123"/>
      <c r="O205" s="6123"/>
      <c r="P205" s="6123"/>
      <c r="Q205" s="6123"/>
      <c r="R205" s="6123"/>
      <c r="S205" s="6123"/>
      <c r="T205" s="6123"/>
      <c r="U205" s="6123"/>
      <c r="V205" s="6123"/>
      <c r="W205" s="6123"/>
      <c r="X205" s="6123"/>
      <c r="Y205" s="6123"/>
      <c r="Z205" s="6123"/>
      <c r="AA205" s="6123"/>
      <c r="AB205" s="6123"/>
      <c r="AC205" s="6123"/>
      <c r="AD205" s="6123"/>
      <c r="AE205" s="6123"/>
      <c r="AF205" s="6123"/>
    </row>
    <row r="206" spans="1:32" ht="18" customHeight="1">
      <c r="A206" s="6124" t="s">
        <v>340</v>
      </c>
      <c r="B206" s="6038" t="s">
        <v>341</v>
      </c>
      <c r="C206" s="6038" t="s">
        <v>341</v>
      </c>
      <c r="D206" s="6038" t="s">
        <v>341</v>
      </c>
      <c r="E206" s="6038"/>
      <c r="F206" s="6038"/>
      <c r="G206" s="6038" t="s">
        <v>341</v>
      </c>
      <c r="H206" s="6038" t="s">
        <v>341</v>
      </c>
      <c r="I206" s="6038" t="s">
        <v>341</v>
      </c>
      <c r="J206" s="6038" t="s">
        <v>341</v>
      </c>
      <c r="K206" s="6038" t="s">
        <v>341</v>
      </c>
      <c r="L206" s="6038"/>
      <c r="M206" s="6038"/>
      <c r="N206" s="6038" t="s">
        <v>341</v>
      </c>
      <c r="O206" s="6038" t="s">
        <v>341</v>
      </c>
      <c r="P206" s="6038" t="s">
        <v>341</v>
      </c>
      <c r="Q206" s="6038" t="s">
        <v>341</v>
      </c>
      <c r="R206" s="6038" t="s">
        <v>341</v>
      </c>
      <c r="S206" s="6038"/>
      <c r="T206" s="6038"/>
      <c r="U206" s="6038" t="s">
        <v>341</v>
      </c>
      <c r="V206" s="6038" t="s">
        <v>341</v>
      </c>
      <c r="W206" s="6038" t="s">
        <v>341</v>
      </c>
      <c r="X206" s="6038" t="s">
        <v>341</v>
      </c>
      <c r="Y206" s="6038" t="s">
        <v>341</v>
      </c>
      <c r="Z206" s="6038"/>
      <c r="AA206" s="6038"/>
      <c r="AB206" s="6038" t="s">
        <v>341</v>
      </c>
      <c r="AC206" s="6038" t="s">
        <v>341</v>
      </c>
      <c r="AD206" s="6038" t="s">
        <v>341</v>
      </c>
      <c r="AE206" s="6038" t="s">
        <v>341</v>
      </c>
      <c r="AF206" s="6038" t="s">
        <v>341</v>
      </c>
    </row>
    <row r="207" spans="1:32" ht="18" customHeight="1">
      <c r="A207" s="6124" t="s">
        <v>343</v>
      </c>
      <c r="B207" s="6038" t="s">
        <v>342</v>
      </c>
      <c r="C207" s="6038" t="s">
        <v>342</v>
      </c>
      <c r="D207" s="6038" t="s">
        <v>342</v>
      </c>
      <c r="E207" s="6038"/>
      <c r="F207" s="6038"/>
      <c r="G207" s="6038" t="s">
        <v>342</v>
      </c>
      <c r="H207" s="6038" t="s">
        <v>342</v>
      </c>
      <c r="I207" s="6038" t="s">
        <v>342</v>
      </c>
      <c r="J207" s="6038" t="s">
        <v>342</v>
      </c>
      <c r="K207" s="6038" t="s">
        <v>342</v>
      </c>
      <c r="L207" s="6038"/>
      <c r="M207" s="6038"/>
      <c r="N207" s="6038" t="s">
        <v>342</v>
      </c>
      <c r="O207" s="6038" t="s">
        <v>342</v>
      </c>
      <c r="P207" s="6038" t="s">
        <v>342</v>
      </c>
      <c r="Q207" s="6038" t="s">
        <v>342</v>
      </c>
      <c r="R207" s="6038" t="s">
        <v>342</v>
      </c>
      <c r="S207" s="6038"/>
      <c r="T207" s="6038"/>
      <c r="U207" s="6038" t="s">
        <v>342</v>
      </c>
      <c r="V207" s="6038" t="s">
        <v>342</v>
      </c>
      <c r="W207" s="6038" t="s">
        <v>342</v>
      </c>
      <c r="X207" s="6038" t="s">
        <v>342</v>
      </c>
      <c r="Y207" s="6038" t="s">
        <v>342</v>
      </c>
      <c r="Z207" s="6038"/>
      <c r="AA207" s="6038"/>
      <c r="AB207" s="6038" t="s">
        <v>342</v>
      </c>
      <c r="AC207" s="6038" t="s">
        <v>342</v>
      </c>
      <c r="AD207" s="6038" t="s">
        <v>342</v>
      </c>
      <c r="AE207" s="6038" t="s">
        <v>342</v>
      </c>
      <c r="AF207" s="6038" t="s">
        <v>342</v>
      </c>
    </row>
    <row r="208" spans="1:32" ht="18" customHeight="1">
      <c r="A208" s="6055"/>
      <c r="B208" s="6032" t="s">
        <v>346</v>
      </c>
      <c r="C208" s="6032" t="s">
        <v>346</v>
      </c>
      <c r="D208" s="6032" t="s">
        <v>346</v>
      </c>
      <c r="E208" s="6032"/>
      <c r="F208" s="6032"/>
      <c r="G208" s="6032" t="s">
        <v>346</v>
      </c>
      <c r="H208" s="6032" t="s">
        <v>346</v>
      </c>
      <c r="I208" s="6032" t="s">
        <v>346</v>
      </c>
      <c r="J208" s="6032" t="s">
        <v>346</v>
      </c>
      <c r="K208" s="6032" t="s">
        <v>346</v>
      </c>
      <c r="L208" s="6032"/>
      <c r="M208" s="6032"/>
      <c r="N208" s="6032" t="s">
        <v>346</v>
      </c>
      <c r="O208" s="6032" t="s">
        <v>346</v>
      </c>
      <c r="P208" s="6032" t="s">
        <v>346</v>
      </c>
      <c r="Q208" s="6032" t="s">
        <v>346</v>
      </c>
      <c r="R208" s="6032" t="s">
        <v>346</v>
      </c>
      <c r="S208" s="6032"/>
      <c r="T208" s="6032"/>
      <c r="U208" s="6032" t="s">
        <v>346</v>
      </c>
      <c r="V208" s="6032" t="s">
        <v>346</v>
      </c>
      <c r="W208" s="6032" t="s">
        <v>346</v>
      </c>
      <c r="X208" s="6032" t="s">
        <v>346</v>
      </c>
      <c r="Y208" s="6032" t="s">
        <v>346</v>
      </c>
      <c r="Z208" s="6032"/>
      <c r="AA208" s="6032"/>
      <c r="AB208" s="6032" t="s">
        <v>346</v>
      </c>
      <c r="AC208" s="6032" t="s">
        <v>346</v>
      </c>
      <c r="AD208" s="6032" t="s">
        <v>346</v>
      </c>
      <c r="AE208" s="6032" t="s">
        <v>346</v>
      </c>
      <c r="AF208" s="6032" t="s">
        <v>346</v>
      </c>
    </row>
    <row r="209" spans="1:32" ht="18" customHeight="1">
      <c r="B209" s="108"/>
      <c r="C209" s="108"/>
      <c r="D209" s="108"/>
      <c r="E209" s="108"/>
      <c r="F209" s="108"/>
      <c r="G209" s="108"/>
      <c r="H209" s="108"/>
      <c r="I209" s="108"/>
      <c r="J209" s="108"/>
      <c r="K209" s="108"/>
      <c r="L209" s="108"/>
      <c r="M209" s="108"/>
      <c r="N209" s="108"/>
      <c r="O209" s="108"/>
      <c r="P209" s="108"/>
      <c r="Q209" s="108"/>
      <c r="R209" s="108"/>
      <c r="S209" s="108"/>
      <c r="T209" s="108"/>
      <c r="U209" s="108"/>
      <c r="V209" s="108"/>
      <c r="W209" s="108"/>
      <c r="X209" s="108"/>
      <c r="Y209" s="108"/>
      <c r="Z209" s="108"/>
      <c r="AA209" s="108"/>
      <c r="AB209" s="108"/>
      <c r="AC209" s="108"/>
      <c r="AD209" s="108"/>
      <c r="AE209" s="108"/>
    </row>
    <row r="210" spans="1:32" ht="15">
      <c r="A210" s="991" t="s">
        <v>614</v>
      </c>
      <c r="B210" s="783">
        <v>1</v>
      </c>
      <c r="C210" s="783">
        <v>2</v>
      </c>
      <c r="D210" s="783">
        <v>3</v>
      </c>
      <c r="E210" s="450">
        <v>4</v>
      </c>
      <c r="F210" s="450">
        <v>5</v>
      </c>
      <c r="G210" s="783">
        <v>6</v>
      </c>
      <c r="H210" s="783">
        <v>7</v>
      </c>
      <c r="I210" s="783">
        <v>8</v>
      </c>
      <c r="J210" s="783">
        <v>9</v>
      </c>
      <c r="K210" s="783">
        <v>10</v>
      </c>
      <c r="L210" s="450">
        <v>11</v>
      </c>
      <c r="M210" s="450">
        <v>12</v>
      </c>
      <c r="N210" s="783">
        <v>13</v>
      </c>
      <c r="O210" s="783">
        <v>14</v>
      </c>
      <c r="P210" s="783">
        <v>15</v>
      </c>
      <c r="Q210" s="783">
        <v>16</v>
      </c>
      <c r="R210" s="783">
        <v>17</v>
      </c>
      <c r="S210" s="450">
        <v>18</v>
      </c>
      <c r="T210" s="450">
        <v>19</v>
      </c>
      <c r="U210" s="783">
        <v>20</v>
      </c>
      <c r="V210" s="783">
        <v>21</v>
      </c>
      <c r="W210" s="783">
        <v>22</v>
      </c>
      <c r="X210" s="783">
        <v>23</v>
      </c>
      <c r="Y210" s="783">
        <v>24</v>
      </c>
      <c r="Z210" s="450">
        <v>25</v>
      </c>
      <c r="AA210" s="450">
        <v>26</v>
      </c>
      <c r="AB210" s="783">
        <v>27</v>
      </c>
      <c r="AC210" s="783">
        <v>28</v>
      </c>
      <c r="AD210" s="783">
        <v>29</v>
      </c>
      <c r="AE210" s="783">
        <v>30</v>
      </c>
      <c r="AF210" s="784">
        <v>31</v>
      </c>
    </row>
    <row r="211" spans="1:32" ht="12.75">
      <c r="A211" s="993" t="s">
        <v>312</v>
      </c>
      <c r="B211" s="994"/>
      <c r="C211" s="994"/>
      <c r="D211" s="994"/>
      <c r="E211" s="995"/>
      <c r="F211" s="995"/>
      <c r="G211" s="995"/>
      <c r="H211" s="994"/>
      <c r="I211" s="994"/>
      <c r="J211" s="994"/>
      <c r="K211" s="995"/>
      <c r="L211" s="995"/>
      <c r="M211" s="995"/>
      <c r="N211" s="995"/>
      <c r="O211" s="995"/>
      <c r="P211" s="995"/>
      <c r="Q211" s="995"/>
      <c r="R211" s="995"/>
      <c r="S211" s="995"/>
      <c r="T211" s="995"/>
      <c r="U211" s="996"/>
      <c r="V211" s="995"/>
      <c r="W211" s="995"/>
      <c r="X211" s="995"/>
      <c r="Y211" s="995"/>
      <c r="Z211" s="995"/>
      <c r="AA211" s="995"/>
      <c r="AB211" s="995"/>
      <c r="AC211" s="995"/>
      <c r="AD211" s="995"/>
      <c r="AE211" s="997"/>
      <c r="AF211" s="998"/>
    </row>
    <row r="212" spans="1:32">
      <c r="A212" s="992" t="s">
        <v>313</v>
      </c>
      <c r="B212" s="343" t="s">
        <v>40</v>
      </c>
      <c r="C212" s="343" t="s">
        <v>40</v>
      </c>
      <c r="D212" s="343" t="s">
        <v>40</v>
      </c>
      <c r="E212" s="438"/>
      <c r="F212" s="438"/>
      <c r="G212" s="343" t="s">
        <v>40</v>
      </c>
      <c r="H212" s="343" t="s">
        <v>40</v>
      </c>
      <c r="I212" s="343" t="s">
        <v>40</v>
      </c>
      <c r="J212" s="343" t="s">
        <v>40</v>
      </c>
      <c r="K212" s="438" t="s">
        <v>40</v>
      </c>
      <c r="L212" s="438"/>
      <c r="M212" s="438"/>
      <c r="N212" s="438" t="s">
        <v>40</v>
      </c>
      <c r="O212" s="438" t="s">
        <v>40</v>
      </c>
      <c r="P212" s="438" t="s">
        <v>40</v>
      </c>
      <c r="Q212" s="438" t="s">
        <v>40</v>
      </c>
      <c r="R212" s="438" t="s">
        <v>40</v>
      </c>
      <c r="S212" s="438"/>
      <c r="T212" s="438"/>
      <c r="U212" s="438" t="s">
        <v>40</v>
      </c>
      <c r="V212" s="438" t="s">
        <v>40</v>
      </c>
      <c r="W212" s="438" t="s">
        <v>40</v>
      </c>
      <c r="X212" s="438" t="s">
        <v>40</v>
      </c>
      <c r="Y212" s="438" t="s">
        <v>40</v>
      </c>
      <c r="Z212" s="438"/>
      <c r="AA212" s="438"/>
      <c r="AB212" s="438" t="s">
        <v>40</v>
      </c>
      <c r="AC212" s="343" t="s">
        <v>40</v>
      </c>
      <c r="AD212" s="438" t="s">
        <v>40</v>
      </c>
      <c r="AE212" s="343" t="s">
        <v>40</v>
      </c>
      <c r="AF212" s="357" t="s">
        <v>40</v>
      </c>
    </row>
    <row r="213" spans="1:32" ht="12.75">
      <c r="A213" s="999" t="s">
        <v>314</v>
      </c>
      <c r="B213" s="1000"/>
      <c r="C213" s="1000"/>
      <c r="D213" s="1000"/>
      <c r="E213" s="1000"/>
      <c r="F213" s="1000"/>
      <c r="G213" s="1000"/>
      <c r="H213" s="1000"/>
      <c r="I213" s="1000"/>
      <c r="J213" s="1000"/>
      <c r="K213" s="1000"/>
      <c r="L213" s="1000"/>
      <c r="M213" s="1000"/>
      <c r="N213" s="1000"/>
      <c r="O213" s="1000"/>
      <c r="P213" s="1000"/>
      <c r="Q213" s="1000"/>
      <c r="R213" s="1000"/>
      <c r="S213" s="1000"/>
      <c r="T213" s="1000"/>
      <c r="U213" s="1000"/>
      <c r="V213" s="1000"/>
      <c r="W213" s="1000"/>
      <c r="X213" s="1000"/>
      <c r="Y213" s="1000"/>
      <c r="Z213" s="1000"/>
      <c r="AA213" s="1000"/>
      <c r="AB213" s="1000"/>
      <c r="AC213" s="738"/>
      <c r="AD213" s="1000"/>
      <c r="AE213" s="738"/>
      <c r="AF213" s="749"/>
    </row>
    <row r="214" spans="1:32">
      <c r="A214" s="1001" t="s">
        <v>315</v>
      </c>
      <c r="B214" s="343" t="s">
        <v>40</v>
      </c>
      <c r="C214" s="343" t="s">
        <v>40</v>
      </c>
      <c r="D214" s="343" t="s">
        <v>40</v>
      </c>
      <c r="E214" s="437"/>
      <c r="F214" s="437"/>
      <c r="G214" s="343" t="s">
        <v>40</v>
      </c>
      <c r="H214" s="343" t="s">
        <v>40</v>
      </c>
      <c r="I214" s="343" t="s">
        <v>40</v>
      </c>
      <c r="J214" s="343" t="s">
        <v>40</v>
      </c>
      <c r="K214" s="437" t="s">
        <v>40</v>
      </c>
      <c r="L214" s="437"/>
      <c r="M214" s="437"/>
      <c r="N214" s="437" t="s">
        <v>40</v>
      </c>
      <c r="O214" s="437" t="s">
        <v>40</v>
      </c>
      <c r="P214" s="437" t="s">
        <v>40</v>
      </c>
      <c r="Q214" s="437" t="s">
        <v>40</v>
      </c>
      <c r="R214" s="437" t="s">
        <v>40</v>
      </c>
      <c r="S214" s="437"/>
      <c r="T214" s="437"/>
      <c r="U214" s="437" t="s">
        <v>40</v>
      </c>
      <c r="V214" s="437" t="s">
        <v>40</v>
      </c>
      <c r="W214" s="437" t="s">
        <v>40</v>
      </c>
      <c r="X214" s="437" t="s">
        <v>40</v>
      </c>
      <c r="Y214" s="437" t="s">
        <v>40</v>
      </c>
      <c r="Z214" s="437"/>
      <c r="AA214" s="437"/>
      <c r="AB214" s="437" t="s">
        <v>40</v>
      </c>
      <c r="AC214" s="343" t="s">
        <v>40</v>
      </c>
      <c r="AD214" s="437" t="s">
        <v>40</v>
      </c>
      <c r="AE214" s="343" t="s">
        <v>40</v>
      </c>
      <c r="AF214" s="357" t="s">
        <v>40</v>
      </c>
    </row>
    <row r="215" spans="1:32">
      <c r="A215" s="1001" t="s">
        <v>316</v>
      </c>
      <c r="B215" s="437" t="s">
        <v>40</v>
      </c>
      <c r="C215" s="437" t="s">
        <v>40</v>
      </c>
      <c r="D215" s="437" t="s">
        <v>40</v>
      </c>
      <c r="E215" s="438"/>
      <c r="F215" s="438"/>
      <c r="G215" s="437" t="s">
        <v>40</v>
      </c>
      <c r="H215" s="437" t="s">
        <v>40</v>
      </c>
      <c r="I215" s="437" t="s">
        <v>40</v>
      </c>
      <c r="J215" s="437" t="s">
        <v>40</v>
      </c>
      <c r="K215" s="438" t="s">
        <v>40</v>
      </c>
      <c r="L215" s="438"/>
      <c r="M215" s="438"/>
      <c r="N215" s="438" t="s">
        <v>40</v>
      </c>
      <c r="O215" s="438" t="s">
        <v>40</v>
      </c>
      <c r="P215" s="438" t="s">
        <v>40</v>
      </c>
      <c r="Q215" s="438" t="s">
        <v>40</v>
      </c>
      <c r="R215" s="438" t="s">
        <v>40</v>
      </c>
      <c r="S215" s="438"/>
      <c r="T215" s="438"/>
      <c r="U215" s="438" t="s">
        <v>40</v>
      </c>
      <c r="V215" s="438" t="s">
        <v>40</v>
      </c>
      <c r="W215" s="438" t="s">
        <v>40</v>
      </c>
      <c r="X215" s="438" t="s">
        <v>40</v>
      </c>
      <c r="Y215" s="438" t="s">
        <v>40</v>
      </c>
      <c r="Z215" s="438"/>
      <c r="AA215" s="438"/>
      <c r="AB215" s="438" t="s">
        <v>40</v>
      </c>
      <c r="AC215" s="437" t="s">
        <v>40</v>
      </c>
      <c r="AD215" s="438" t="s">
        <v>40</v>
      </c>
      <c r="AE215" s="437" t="s">
        <v>40</v>
      </c>
      <c r="AF215" s="1002" t="s">
        <v>40</v>
      </c>
    </row>
    <row r="216" spans="1:32">
      <c r="A216" s="1001" t="s">
        <v>317</v>
      </c>
      <c r="B216" s="343" t="s">
        <v>40</v>
      </c>
      <c r="C216" s="343" t="s">
        <v>40</v>
      </c>
      <c r="D216" s="343" t="s">
        <v>40</v>
      </c>
      <c r="E216" s="438"/>
      <c r="F216" s="438"/>
      <c r="G216" s="343" t="s">
        <v>40</v>
      </c>
      <c r="H216" s="343" t="s">
        <v>40</v>
      </c>
      <c r="I216" s="343" t="s">
        <v>40</v>
      </c>
      <c r="J216" s="343" t="s">
        <v>40</v>
      </c>
      <c r="K216" s="438" t="s">
        <v>40</v>
      </c>
      <c r="L216" s="438"/>
      <c r="M216" s="438"/>
      <c r="N216" s="438" t="s">
        <v>40</v>
      </c>
      <c r="O216" s="438" t="s">
        <v>40</v>
      </c>
      <c r="P216" s="438" t="s">
        <v>40</v>
      </c>
      <c r="Q216" s="438" t="s">
        <v>40</v>
      </c>
      <c r="R216" s="438" t="s">
        <v>40</v>
      </c>
      <c r="S216" s="438"/>
      <c r="T216" s="438"/>
      <c r="U216" s="438" t="s">
        <v>40</v>
      </c>
      <c r="V216" s="438" t="s">
        <v>40</v>
      </c>
      <c r="W216" s="438" t="s">
        <v>40</v>
      </c>
      <c r="X216" s="438" t="s">
        <v>40</v>
      </c>
      <c r="Y216" s="438" t="s">
        <v>40</v>
      </c>
      <c r="Z216" s="438"/>
      <c r="AA216" s="438"/>
      <c r="AB216" s="438" t="s">
        <v>40</v>
      </c>
      <c r="AC216" s="1003" t="s">
        <v>40</v>
      </c>
      <c r="AD216" s="438" t="s">
        <v>40</v>
      </c>
      <c r="AE216" s="1003" t="s">
        <v>40</v>
      </c>
      <c r="AF216" s="1004" t="s">
        <v>40</v>
      </c>
    </row>
    <row r="217" spans="1:32" ht="12.75">
      <c r="A217" s="999" t="s">
        <v>318</v>
      </c>
      <c r="B217" s="1000"/>
      <c r="C217" s="1000"/>
      <c r="D217" s="1000"/>
      <c r="E217" s="1000"/>
      <c r="F217" s="1000"/>
      <c r="G217" s="1000"/>
      <c r="H217" s="1000"/>
      <c r="I217" s="1000"/>
      <c r="J217" s="1000"/>
      <c r="K217" s="1000"/>
      <c r="L217" s="1000"/>
      <c r="M217" s="1000"/>
      <c r="N217" s="1000"/>
      <c r="O217" s="1000"/>
      <c r="P217" s="1000"/>
      <c r="Q217" s="1000"/>
      <c r="R217" s="1000"/>
      <c r="S217" s="1000"/>
      <c r="T217" s="1000"/>
      <c r="U217" s="1000"/>
      <c r="V217" s="1000"/>
      <c r="W217" s="1000"/>
      <c r="X217" s="1000"/>
      <c r="Y217" s="1000"/>
      <c r="Z217" s="1000"/>
      <c r="AA217" s="1000"/>
      <c r="AB217" s="1000"/>
      <c r="AC217" s="738"/>
      <c r="AD217" s="1000"/>
      <c r="AE217" s="738"/>
      <c r="AF217" s="749"/>
    </row>
    <row r="218" spans="1:32">
      <c r="A218" s="1001" t="s">
        <v>319</v>
      </c>
      <c r="B218" s="343" t="s">
        <v>40</v>
      </c>
      <c r="C218" s="343" t="s">
        <v>40</v>
      </c>
      <c r="D218" s="343" t="s">
        <v>40</v>
      </c>
      <c r="E218" s="438"/>
      <c r="F218" s="438"/>
      <c r="G218" s="343" t="s">
        <v>40</v>
      </c>
      <c r="H218" s="343" t="s">
        <v>40</v>
      </c>
      <c r="I218" s="343" t="s">
        <v>40</v>
      </c>
      <c r="J218" s="343" t="s">
        <v>40</v>
      </c>
      <c r="K218" s="438" t="s">
        <v>40</v>
      </c>
      <c r="L218" s="438"/>
      <c r="M218" s="438"/>
      <c r="N218" s="438" t="s">
        <v>40</v>
      </c>
      <c r="O218" s="438" t="s">
        <v>40</v>
      </c>
      <c r="P218" s="438" t="s">
        <v>40</v>
      </c>
      <c r="Q218" s="438" t="s">
        <v>40</v>
      </c>
      <c r="R218" s="438" t="s">
        <v>40</v>
      </c>
      <c r="S218" s="438"/>
      <c r="T218" s="438"/>
      <c r="U218" s="438" t="s">
        <v>40</v>
      </c>
      <c r="V218" s="438" t="s">
        <v>40</v>
      </c>
      <c r="W218" s="438" t="s">
        <v>40</v>
      </c>
      <c r="X218" s="438" t="s">
        <v>40</v>
      </c>
      <c r="Y218" s="438" t="s">
        <v>40</v>
      </c>
      <c r="Z218" s="438"/>
      <c r="AA218" s="438"/>
      <c r="AB218" s="438" t="s">
        <v>40</v>
      </c>
      <c r="AC218" s="438" t="s">
        <v>40</v>
      </c>
      <c r="AD218" s="438" t="s">
        <v>40</v>
      </c>
      <c r="AE218" s="438" t="s">
        <v>40</v>
      </c>
      <c r="AF218" s="1005" t="s">
        <v>40</v>
      </c>
    </row>
    <row r="219" spans="1:32">
      <c r="A219" s="1001" t="s">
        <v>320</v>
      </c>
      <c r="B219" s="343" t="s">
        <v>40</v>
      </c>
      <c r="C219" s="343" t="s">
        <v>40</v>
      </c>
      <c r="D219" s="343" t="s">
        <v>40</v>
      </c>
      <c r="E219" s="438"/>
      <c r="F219" s="438"/>
      <c r="G219" s="343" t="s">
        <v>40</v>
      </c>
      <c r="H219" s="343" t="s">
        <v>40</v>
      </c>
      <c r="I219" s="343" t="s">
        <v>40</v>
      </c>
      <c r="J219" s="343" t="s">
        <v>40</v>
      </c>
      <c r="K219" s="438" t="s">
        <v>40</v>
      </c>
      <c r="L219" s="438"/>
      <c r="M219" s="438"/>
      <c r="N219" s="438" t="s">
        <v>40</v>
      </c>
      <c r="O219" s="438" t="s">
        <v>40</v>
      </c>
      <c r="P219" s="438" t="s">
        <v>40</v>
      </c>
      <c r="Q219" s="438" t="s">
        <v>40</v>
      </c>
      <c r="R219" s="438" t="s">
        <v>40</v>
      </c>
      <c r="S219" s="438"/>
      <c r="T219" s="438"/>
      <c r="U219" s="438" t="s">
        <v>40</v>
      </c>
      <c r="V219" s="438" t="s">
        <v>40</v>
      </c>
      <c r="W219" s="438" t="s">
        <v>40</v>
      </c>
      <c r="X219" s="438" t="s">
        <v>40</v>
      </c>
      <c r="Y219" s="438" t="s">
        <v>40</v>
      </c>
      <c r="Z219" s="438"/>
      <c r="AA219" s="438"/>
      <c r="AB219" s="438" t="s">
        <v>40</v>
      </c>
      <c r="AC219" s="439" t="s">
        <v>40</v>
      </c>
      <c r="AD219" s="438" t="s">
        <v>40</v>
      </c>
      <c r="AE219" s="439" t="s">
        <v>40</v>
      </c>
      <c r="AF219" s="1006" t="s">
        <v>40</v>
      </c>
    </row>
    <row r="220" spans="1:32">
      <c r="A220" s="1001" t="s">
        <v>321</v>
      </c>
      <c r="B220" s="439" t="s">
        <v>40</v>
      </c>
      <c r="C220" s="439" t="s">
        <v>40</v>
      </c>
      <c r="D220" s="439" t="s">
        <v>40</v>
      </c>
      <c r="E220" s="438"/>
      <c r="F220" s="438"/>
      <c r="G220" s="439" t="s">
        <v>40</v>
      </c>
      <c r="H220" s="439" t="s">
        <v>40</v>
      </c>
      <c r="I220" s="439" t="s">
        <v>40</v>
      </c>
      <c r="J220" s="439" t="s">
        <v>40</v>
      </c>
      <c r="K220" s="438" t="s">
        <v>40</v>
      </c>
      <c r="L220" s="438"/>
      <c r="M220" s="438"/>
      <c r="N220" s="438" t="s">
        <v>40</v>
      </c>
      <c r="O220" s="438" t="s">
        <v>40</v>
      </c>
      <c r="P220" s="438" t="s">
        <v>40</v>
      </c>
      <c r="Q220" s="438" t="s">
        <v>40</v>
      </c>
      <c r="R220" s="438" t="s">
        <v>40</v>
      </c>
      <c r="S220" s="438"/>
      <c r="T220" s="438"/>
      <c r="U220" s="438" t="s">
        <v>40</v>
      </c>
      <c r="V220" s="438" t="s">
        <v>40</v>
      </c>
      <c r="W220" s="438" t="s">
        <v>40</v>
      </c>
      <c r="X220" s="438" t="s">
        <v>40</v>
      </c>
      <c r="Y220" s="438" t="s">
        <v>40</v>
      </c>
      <c r="Z220" s="438"/>
      <c r="AA220" s="438"/>
      <c r="AB220" s="438" t="s">
        <v>40</v>
      </c>
      <c r="AC220" s="343" t="s">
        <v>40</v>
      </c>
      <c r="AD220" s="438" t="s">
        <v>40</v>
      </c>
      <c r="AE220" s="343" t="s">
        <v>40</v>
      </c>
      <c r="AF220" s="357" t="s">
        <v>40</v>
      </c>
    </row>
    <row r="221" spans="1:32">
      <c r="A221" s="1001" t="s">
        <v>322</v>
      </c>
      <c r="B221" s="343" t="s">
        <v>40</v>
      </c>
      <c r="C221" s="343" t="s">
        <v>40</v>
      </c>
      <c r="D221" s="343" t="s">
        <v>40</v>
      </c>
      <c r="E221" s="438"/>
      <c r="F221" s="438"/>
      <c r="G221" s="343" t="s">
        <v>40</v>
      </c>
      <c r="H221" s="343" t="s">
        <v>40</v>
      </c>
      <c r="I221" s="343" t="s">
        <v>40</v>
      </c>
      <c r="J221" s="343" t="s">
        <v>40</v>
      </c>
      <c r="K221" s="438" t="s">
        <v>40</v>
      </c>
      <c r="L221" s="438"/>
      <c r="M221" s="438"/>
      <c r="N221" s="438" t="s">
        <v>40</v>
      </c>
      <c r="O221" s="438" t="s">
        <v>40</v>
      </c>
      <c r="P221" s="438" t="s">
        <v>40</v>
      </c>
      <c r="Q221" s="438" t="s">
        <v>40</v>
      </c>
      <c r="R221" s="438" t="s">
        <v>40</v>
      </c>
      <c r="S221" s="438"/>
      <c r="T221" s="438"/>
      <c r="U221" s="438" t="s">
        <v>40</v>
      </c>
      <c r="V221" s="438" t="s">
        <v>40</v>
      </c>
      <c r="W221" s="438" t="s">
        <v>40</v>
      </c>
      <c r="X221" s="438" t="s">
        <v>40</v>
      </c>
      <c r="Y221" s="438" t="s">
        <v>40</v>
      </c>
      <c r="Z221" s="438"/>
      <c r="AA221" s="438"/>
      <c r="AB221" s="438" t="s">
        <v>40</v>
      </c>
      <c r="AC221" s="437" t="s">
        <v>40</v>
      </c>
      <c r="AD221" s="438" t="s">
        <v>40</v>
      </c>
      <c r="AE221" s="437" t="s">
        <v>40</v>
      </c>
      <c r="AF221" s="1002" t="s">
        <v>40</v>
      </c>
    </row>
    <row r="222" spans="1:32">
      <c r="A222" s="1001" t="s">
        <v>323</v>
      </c>
      <c r="B222" s="343" t="s">
        <v>40</v>
      </c>
      <c r="C222" s="343" t="s">
        <v>40</v>
      </c>
      <c r="D222" s="343" t="s">
        <v>40</v>
      </c>
      <c r="E222" s="438"/>
      <c r="F222" s="438"/>
      <c r="G222" s="343" t="s">
        <v>40</v>
      </c>
      <c r="H222" s="343" t="s">
        <v>40</v>
      </c>
      <c r="I222" s="343" t="s">
        <v>40</v>
      </c>
      <c r="J222" s="343" t="s">
        <v>40</v>
      </c>
      <c r="K222" s="438" t="s">
        <v>40</v>
      </c>
      <c r="L222" s="438"/>
      <c r="M222" s="438"/>
      <c r="N222" s="438" t="s">
        <v>40</v>
      </c>
      <c r="O222" s="438" t="s">
        <v>40</v>
      </c>
      <c r="P222" s="438" t="s">
        <v>40</v>
      </c>
      <c r="Q222" s="438" t="s">
        <v>40</v>
      </c>
      <c r="R222" s="438" t="s">
        <v>40</v>
      </c>
      <c r="S222" s="438"/>
      <c r="T222" s="438"/>
      <c r="U222" s="438" t="s">
        <v>40</v>
      </c>
      <c r="V222" s="438" t="s">
        <v>40</v>
      </c>
      <c r="W222" s="438" t="s">
        <v>40</v>
      </c>
      <c r="X222" s="438" t="s">
        <v>40</v>
      </c>
      <c r="Y222" s="438" t="s">
        <v>40</v>
      </c>
      <c r="Z222" s="438"/>
      <c r="AA222" s="438"/>
      <c r="AB222" s="438" t="s">
        <v>40</v>
      </c>
      <c r="AC222" s="438" t="s">
        <v>40</v>
      </c>
      <c r="AD222" s="438" t="s">
        <v>40</v>
      </c>
      <c r="AE222" s="438" t="s">
        <v>40</v>
      </c>
      <c r="AF222" s="1005" t="s">
        <v>40</v>
      </c>
    </row>
    <row r="223" spans="1:32">
      <c r="A223" s="1001" t="s">
        <v>324</v>
      </c>
      <c r="B223" s="343" t="s">
        <v>40</v>
      </c>
      <c r="C223" s="343" t="s">
        <v>40</v>
      </c>
      <c r="D223" s="343" t="s">
        <v>40</v>
      </c>
      <c r="E223" s="438"/>
      <c r="F223" s="438"/>
      <c r="G223" s="343" t="s">
        <v>40</v>
      </c>
      <c r="H223" s="343" t="s">
        <v>40</v>
      </c>
      <c r="I223" s="343" t="s">
        <v>40</v>
      </c>
      <c r="J223" s="343" t="s">
        <v>40</v>
      </c>
      <c r="K223" s="438" t="s">
        <v>40</v>
      </c>
      <c r="L223" s="438"/>
      <c r="M223" s="438"/>
      <c r="N223" s="438" t="s">
        <v>40</v>
      </c>
      <c r="O223" s="438" t="s">
        <v>40</v>
      </c>
      <c r="P223" s="438" t="s">
        <v>40</v>
      </c>
      <c r="Q223" s="438" t="s">
        <v>40</v>
      </c>
      <c r="R223" s="438" t="s">
        <v>40</v>
      </c>
      <c r="S223" s="438"/>
      <c r="T223" s="438"/>
      <c r="U223" s="438" t="s">
        <v>40</v>
      </c>
      <c r="V223" s="438" t="s">
        <v>40</v>
      </c>
      <c r="W223" s="438" t="s">
        <v>40</v>
      </c>
      <c r="X223" s="438" t="s">
        <v>40</v>
      </c>
      <c r="Y223" s="438" t="s">
        <v>40</v>
      </c>
      <c r="Z223" s="438"/>
      <c r="AA223" s="438"/>
      <c r="AB223" s="438" t="s">
        <v>40</v>
      </c>
      <c r="AC223" s="438" t="s">
        <v>40</v>
      </c>
      <c r="AD223" s="438" t="s">
        <v>40</v>
      </c>
      <c r="AE223" s="438" t="s">
        <v>40</v>
      </c>
      <c r="AF223" s="1005" t="s">
        <v>40</v>
      </c>
    </row>
    <row r="224" spans="1:32">
      <c r="A224" s="1001" t="s">
        <v>326</v>
      </c>
      <c r="B224" s="343" t="s">
        <v>40</v>
      </c>
      <c r="C224" s="343" t="s">
        <v>40</v>
      </c>
      <c r="D224" s="343" t="s">
        <v>40</v>
      </c>
      <c r="E224" s="321"/>
      <c r="F224" s="321"/>
      <c r="G224" s="343" t="s">
        <v>40</v>
      </c>
      <c r="H224" s="343" t="s">
        <v>40</v>
      </c>
      <c r="I224" s="343" t="s">
        <v>40</v>
      </c>
      <c r="J224" s="343" t="s">
        <v>40</v>
      </c>
      <c r="K224" s="321" t="s">
        <v>40</v>
      </c>
      <c r="L224" s="321"/>
      <c r="M224" s="321"/>
      <c r="N224" s="321" t="s">
        <v>40</v>
      </c>
      <c r="O224" s="321" t="s">
        <v>40</v>
      </c>
      <c r="P224" s="321" t="s">
        <v>40</v>
      </c>
      <c r="Q224" s="321" t="s">
        <v>40</v>
      </c>
      <c r="R224" s="321" t="s">
        <v>40</v>
      </c>
      <c r="S224" s="321"/>
      <c r="T224" s="321"/>
      <c r="U224" s="321" t="s">
        <v>40</v>
      </c>
      <c r="V224" s="321" t="s">
        <v>40</v>
      </c>
      <c r="W224" s="321" t="s">
        <v>40</v>
      </c>
      <c r="X224" s="321" t="s">
        <v>40</v>
      </c>
      <c r="Y224" s="321" t="s">
        <v>40</v>
      </c>
      <c r="Z224" s="321"/>
      <c r="AA224" s="321"/>
      <c r="AB224" s="321" t="s">
        <v>40</v>
      </c>
      <c r="AC224" s="1003" t="s">
        <v>40</v>
      </c>
      <c r="AD224" s="321" t="s">
        <v>40</v>
      </c>
      <c r="AE224" s="1003" t="s">
        <v>40</v>
      </c>
      <c r="AF224" s="1004" t="s">
        <v>40</v>
      </c>
    </row>
    <row r="225" spans="1:32" ht="12.75">
      <c r="A225" s="999" t="s">
        <v>327</v>
      </c>
      <c r="B225" s="1000"/>
      <c r="C225" s="1000"/>
      <c r="D225" s="1000"/>
      <c r="E225" s="1000"/>
      <c r="F225" s="1000"/>
      <c r="G225" s="1000"/>
      <c r="H225" s="1000"/>
      <c r="I225" s="1000"/>
      <c r="J225" s="1000"/>
      <c r="K225" s="1000"/>
      <c r="L225" s="1000"/>
      <c r="M225" s="1000"/>
      <c r="N225" s="1000"/>
      <c r="O225" s="1000"/>
      <c r="P225" s="1000"/>
      <c r="Q225" s="1000"/>
      <c r="R225" s="1000"/>
      <c r="S225" s="1000"/>
      <c r="T225" s="1000"/>
      <c r="U225" s="1000"/>
      <c r="V225" s="1000"/>
      <c r="W225" s="1000"/>
      <c r="X225" s="1000"/>
      <c r="Y225" s="1000"/>
      <c r="Z225" s="1000"/>
      <c r="AA225" s="1000"/>
      <c r="AB225" s="1000"/>
      <c r="AC225" s="738"/>
      <c r="AD225" s="1000"/>
      <c r="AE225" s="738"/>
      <c r="AF225" s="749"/>
    </row>
    <row r="226" spans="1:32">
      <c r="A226" s="1001" t="s">
        <v>328</v>
      </c>
      <c r="B226" s="343" t="s">
        <v>40</v>
      </c>
      <c r="C226" s="343" t="s">
        <v>40</v>
      </c>
      <c r="D226" s="343" t="s">
        <v>40</v>
      </c>
      <c r="E226" s="438"/>
      <c r="F226" s="438"/>
      <c r="G226" s="343" t="s">
        <v>40</v>
      </c>
      <c r="H226" s="343" t="s">
        <v>40</v>
      </c>
      <c r="I226" s="343" t="s">
        <v>40</v>
      </c>
      <c r="J226" s="343" t="s">
        <v>40</v>
      </c>
      <c r="K226" s="438" t="s">
        <v>40</v>
      </c>
      <c r="L226" s="438"/>
      <c r="M226" s="438"/>
      <c r="N226" s="438" t="s">
        <v>40</v>
      </c>
      <c r="O226" s="438" t="s">
        <v>40</v>
      </c>
      <c r="P226" s="438" t="s">
        <v>40</v>
      </c>
      <c r="Q226" s="438" t="s">
        <v>40</v>
      </c>
      <c r="R226" s="438" t="s">
        <v>40</v>
      </c>
      <c r="S226" s="438"/>
      <c r="T226" s="438"/>
      <c r="U226" s="438" t="s">
        <v>40</v>
      </c>
      <c r="V226" s="438" t="s">
        <v>40</v>
      </c>
      <c r="W226" s="438" t="s">
        <v>40</v>
      </c>
      <c r="X226" s="438" t="s">
        <v>40</v>
      </c>
      <c r="Y226" s="438" t="s">
        <v>40</v>
      </c>
      <c r="Z226" s="438"/>
      <c r="AA226" s="438"/>
      <c r="AB226" s="438" t="s">
        <v>40</v>
      </c>
      <c r="AC226" s="437" t="s">
        <v>40</v>
      </c>
      <c r="AD226" s="438" t="s">
        <v>40</v>
      </c>
      <c r="AE226" s="437" t="s">
        <v>40</v>
      </c>
      <c r="AF226" s="1002" t="s">
        <v>40</v>
      </c>
    </row>
    <row r="227" spans="1:32">
      <c r="A227" s="1001" t="s">
        <v>329</v>
      </c>
      <c r="B227" s="343" t="s">
        <v>40</v>
      </c>
      <c r="C227" s="343" t="s">
        <v>40</v>
      </c>
      <c r="D227" s="343" t="s">
        <v>40</v>
      </c>
      <c r="E227" s="438"/>
      <c r="F227" s="438"/>
      <c r="G227" s="343" t="s">
        <v>40</v>
      </c>
      <c r="H227" s="343" t="s">
        <v>40</v>
      </c>
      <c r="I227" s="343" t="s">
        <v>40</v>
      </c>
      <c r="J227" s="343" t="s">
        <v>40</v>
      </c>
      <c r="K227" s="438" t="s">
        <v>40</v>
      </c>
      <c r="L227" s="438"/>
      <c r="M227" s="438"/>
      <c r="N227" s="438" t="s">
        <v>40</v>
      </c>
      <c r="O227" s="438" t="s">
        <v>40</v>
      </c>
      <c r="P227" s="438" t="s">
        <v>40</v>
      </c>
      <c r="Q227" s="438" t="s">
        <v>40</v>
      </c>
      <c r="R227" s="438" t="s">
        <v>40</v>
      </c>
      <c r="S227" s="438"/>
      <c r="T227" s="438"/>
      <c r="U227" s="438" t="s">
        <v>40</v>
      </c>
      <c r="V227" s="438" t="s">
        <v>40</v>
      </c>
      <c r="W227" s="438" t="s">
        <v>40</v>
      </c>
      <c r="X227" s="438" t="s">
        <v>40</v>
      </c>
      <c r="Y227" s="438" t="s">
        <v>40</v>
      </c>
      <c r="Z227" s="438"/>
      <c r="AA227" s="438"/>
      <c r="AB227" s="438" t="s">
        <v>40</v>
      </c>
      <c r="AC227" s="437" t="s">
        <v>40</v>
      </c>
      <c r="AD227" s="438" t="s">
        <v>40</v>
      </c>
      <c r="AE227" s="437" t="s">
        <v>40</v>
      </c>
      <c r="AF227" s="1002" t="s">
        <v>40</v>
      </c>
    </row>
  </sheetData>
  <sheetProtection algorithmName="SHA-512" hashValue="J+ZTjpMF2VbIDK8h1CRaQJAkZLm2IAMGNogXu9qVJrQexh408AkvkR0QWLZNdiFsGxlmKrCIBa1VVL75d0arfw==" saltValue="PkSvbZNe6LE2nfDLTLAJfA==" spinCount="100000" sheet="1" objects="1" scenarios="1"/>
  <mergeCells count="6">
    <mergeCell ref="AC2:AE2"/>
    <mergeCell ref="E2:F2"/>
    <mergeCell ref="G2:I2"/>
    <mergeCell ref="R2:T2"/>
    <mergeCell ref="U2:V2"/>
    <mergeCell ref="W2:X2"/>
  </mergeCells>
  <pageMargins left="0.7" right="0.7" top="0.75" bottom="0.75" header="0.3" footer="0.3"/>
  <pageSetup paperSize="9" scale="10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B8E08-EFEA-4A25-BB19-374EA53DD659}">
  <sheetPr codeName="Ark45">
    <pageSetUpPr fitToPage="1"/>
  </sheetPr>
  <dimension ref="A1:AF231"/>
  <sheetViews>
    <sheetView workbookViewId="0">
      <pane ySplit="1" topLeftCell="A2" activePane="bottomLeft" state="frozen"/>
      <selection pane="bottomLeft" activeCell="A2" sqref="A2:AF2"/>
    </sheetView>
  </sheetViews>
  <sheetFormatPr defaultRowHeight="12"/>
  <cols>
    <col min="1" max="1" width="31.28515625" customWidth="1"/>
    <col min="2" max="31" width="4.5703125" customWidth="1"/>
    <col min="32" max="32" width="4.28515625" customWidth="1"/>
  </cols>
  <sheetData>
    <row r="1" spans="1:32" ht="15">
      <c r="A1" s="6125" t="s">
        <v>700</v>
      </c>
      <c r="B1" s="6126">
        <v>1</v>
      </c>
      <c r="C1" s="6126">
        <v>2</v>
      </c>
      <c r="D1" s="6127">
        <v>3</v>
      </c>
      <c r="E1" s="6127">
        <v>4</v>
      </c>
      <c r="F1" s="6127">
        <v>5</v>
      </c>
      <c r="G1" s="6127">
        <v>6</v>
      </c>
      <c r="H1" s="6127">
        <v>7</v>
      </c>
      <c r="I1" s="6126">
        <v>8</v>
      </c>
      <c r="J1" s="6126">
        <v>9</v>
      </c>
      <c r="K1" s="6127">
        <v>10</v>
      </c>
      <c r="L1" s="6127">
        <v>11</v>
      </c>
      <c r="M1" s="6127">
        <v>12</v>
      </c>
      <c r="N1" s="6127">
        <v>13</v>
      </c>
      <c r="O1" s="6127">
        <v>14</v>
      </c>
      <c r="P1" s="6126">
        <v>15</v>
      </c>
      <c r="Q1" s="6126">
        <v>16</v>
      </c>
      <c r="R1" s="6127">
        <v>17</v>
      </c>
      <c r="S1" s="6127">
        <v>18</v>
      </c>
      <c r="T1" s="6127">
        <v>19</v>
      </c>
      <c r="U1" s="6127">
        <v>20</v>
      </c>
      <c r="V1" s="6127">
        <v>21</v>
      </c>
      <c r="W1" s="6126">
        <v>22</v>
      </c>
      <c r="X1" s="6126">
        <v>23</v>
      </c>
      <c r="Y1" s="6127">
        <v>24</v>
      </c>
      <c r="Z1" s="6127">
        <v>25</v>
      </c>
      <c r="AA1" s="6127">
        <v>26</v>
      </c>
      <c r="AB1" s="6127">
        <v>27</v>
      </c>
      <c r="AC1" s="6127">
        <v>28</v>
      </c>
      <c r="AD1" s="6126">
        <v>29</v>
      </c>
      <c r="AE1" s="6126">
        <v>30</v>
      </c>
      <c r="AF1" s="6127">
        <v>31</v>
      </c>
    </row>
    <row r="2" spans="1:32" ht="18" customHeight="1">
      <c r="A2" s="1" t="s">
        <v>1</v>
      </c>
      <c r="B2" s="919" t="s">
        <v>2</v>
      </c>
      <c r="C2" s="966"/>
      <c r="D2" s="967"/>
      <c r="E2" s="5115" t="s">
        <v>3</v>
      </c>
      <c r="F2" s="5116"/>
      <c r="G2" s="1672" t="s">
        <v>579</v>
      </c>
      <c r="H2" s="1672"/>
      <c r="I2" s="1672"/>
      <c r="J2" s="968" t="s">
        <v>5</v>
      </c>
      <c r="K2" s="969" t="s">
        <v>580</v>
      </c>
      <c r="L2" s="970"/>
      <c r="M2" s="971"/>
      <c r="N2" s="972" t="s">
        <v>7</v>
      </c>
      <c r="O2" s="973"/>
      <c r="P2" s="974" t="s">
        <v>8</v>
      </c>
      <c r="Q2" s="975"/>
      <c r="R2" s="5118" t="s">
        <v>9</v>
      </c>
      <c r="S2" s="5118"/>
      <c r="T2" s="5118"/>
      <c r="U2" s="5119" t="s">
        <v>11</v>
      </c>
      <c r="V2" s="5119"/>
      <c r="W2" s="5120" t="s">
        <v>12</v>
      </c>
      <c r="X2" s="5120"/>
      <c r="Y2" s="976" t="s">
        <v>581</v>
      </c>
      <c r="Z2" s="977"/>
      <c r="AA2" s="978" t="s">
        <v>15</v>
      </c>
      <c r="AB2" s="979"/>
      <c r="AC2" s="6128" t="s">
        <v>582</v>
      </c>
      <c r="AD2" s="6128"/>
      <c r="AE2" s="6128"/>
    </row>
    <row r="3" spans="1:32" ht="18" customHeight="1">
      <c r="A3" s="22"/>
      <c r="B3" s="4"/>
      <c r="G3" s="4"/>
      <c r="J3" s="46"/>
      <c r="L3" s="46"/>
      <c r="M3" s="46"/>
      <c r="S3" s="46"/>
      <c r="T3" s="4"/>
      <c r="X3" s="4"/>
    </row>
    <row r="4" spans="1:32" ht="18" customHeight="1">
      <c r="A4" s="96" t="s">
        <v>18</v>
      </c>
      <c r="B4" s="6129"/>
      <c r="C4" s="6130" t="s">
        <v>19</v>
      </c>
      <c r="D4" s="6129"/>
      <c r="E4" s="6129"/>
      <c r="F4" s="6130" t="s">
        <v>20</v>
      </c>
      <c r="G4" s="6129"/>
      <c r="H4" s="6129"/>
      <c r="I4" s="6130" t="s">
        <v>21</v>
      </c>
      <c r="J4" s="6129"/>
      <c r="K4" s="6129"/>
      <c r="L4" s="6130" t="s">
        <v>22</v>
      </c>
      <c r="M4" s="6129"/>
      <c r="N4" s="6129"/>
      <c r="O4" s="6130" t="s">
        <v>23</v>
      </c>
      <c r="P4" s="6129"/>
      <c r="Q4" s="6129"/>
      <c r="R4" s="6130" t="s">
        <v>24</v>
      </c>
      <c r="S4" s="6131"/>
      <c r="T4" s="6131"/>
      <c r="U4" s="6132" t="s">
        <v>25</v>
      </c>
      <c r="V4" s="6131"/>
    </row>
    <row r="5" spans="1:32" ht="18" customHeight="1">
      <c r="A5" s="5753" t="s">
        <v>26</v>
      </c>
      <c r="B5" s="5754" t="s">
        <v>27</v>
      </c>
      <c r="C5" s="5755"/>
      <c r="D5" s="5756"/>
      <c r="E5" s="5754" t="s">
        <v>27</v>
      </c>
      <c r="F5" s="5757"/>
      <c r="G5" s="5757"/>
      <c r="H5" s="5754" t="s">
        <v>27</v>
      </c>
      <c r="I5" s="5757"/>
      <c r="J5" s="5756"/>
      <c r="K5" s="5754" t="s">
        <v>27</v>
      </c>
      <c r="L5" s="5757"/>
      <c r="M5" s="5756"/>
      <c r="N5" s="5754" t="s">
        <v>28</v>
      </c>
      <c r="O5" s="5757"/>
      <c r="P5" s="5756"/>
      <c r="Q5" s="5757"/>
      <c r="R5" s="5757"/>
      <c r="S5" s="5757"/>
      <c r="T5" s="5753"/>
      <c r="U5" s="5757"/>
      <c r="V5" s="5756"/>
      <c r="W5" s="5757"/>
      <c r="X5" s="5757"/>
      <c r="Y5" s="5757"/>
      <c r="Z5" s="5757"/>
      <c r="AA5" s="5758"/>
      <c r="AB5" s="5756"/>
    </row>
    <row r="6" spans="1:32" ht="18" customHeight="1">
      <c r="A6" s="5753" t="s">
        <v>29</v>
      </c>
      <c r="B6" s="5759" t="s">
        <v>30</v>
      </c>
      <c r="C6" s="5760"/>
      <c r="D6" s="5761"/>
      <c r="E6" s="5759" t="s">
        <v>30</v>
      </c>
      <c r="F6" s="5760"/>
      <c r="G6" s="5760"/>
      <c r="H6" s="5759" t="s">
        <v>30</v>
      </c>
      <c r="I6" s="5760"/>
      <c r="J6" s="5761"/>
      <c r="K6" s="5759" t="s">
        <v>30</v>
      </c>
      <c r="L6" s="5760"/>
      <c r="M6" s="5760"/>
      <c r="N6" s="5759" t="s">
        <v>30</v>
      </c>
      <c r="O6" s="5760"/>
      <c r="P6" s="5761"/>
      <c r="Q6" s="5941" t="s">
        <v>31</v>
      </c>
      <c r="R6" s="5942"/>
      <c r="S6" s="5942"/>
      <c r="T6" s="6006" t="s">
        <v>31</v>
      </c>
      <c r="U6" s="5942"/>
      <c r="V6" s="5943"/>
      <c r="W6" s="5757"/>
      <c r="X6" s="5757"/>
      <c r="Y6" s="5757"/>
      <c r="Z6" s="5757"/>
      <c r="AA6" s="5764"/>
      <c r="AB6" s="5756"/>
    </row>
    <row r="7" spans="1:32" ht="18" customHeight="1">
      <c r="A7" s="5753" t="s">
        <v>32</v>
      </c>
      <c r="B7" s="5754" t="s">
        <v>33</v>
      </c>
      <c r="C7" s="5760"/>
      <c r="D7" s="5761"/>
      <c r="E7" s="5754" t="s">
        <v>33</v>
      </c>
      <c r="F7" s="5757"/>
      <c r="G7" s="5757"/>
      <c r="H7" s="5754" t="s">
        <v>33</v>
      </c>
      <c r="I7" s="5757"/>
      <c r="J7" s="5756"/>
      <c r="K7" s="5754" t="s">
        <v>33</v>
      </c>
      <c r="L7" s="5757"/>
      <c r="M7" s="5756"/>
      <c r="N7" s="5754" t="s">
        <v>33</v>
      </c>
      <c r="O7" s="5757"/>
      <c r="P7" s="5756"/>
      <c r="Q7" s="5765" t="s">
        <v>34</v>
      </c>
      <c r="R7" s="5757"/>
      <c r="S7" s="5757"/>
      <c r="T7" s="5754" t="s">
        <v>35</v>
      </c>
      <c r="U7" s="5757"/>
      <c r="V7" s="5756"/>
      <c r="W7" s="5757"/>
      <c r="X7" s="5757"/>
      <c r="Y7" s="5757"/>
      <c r="Z7" s="5757"/>
      <c r="AA7" s="5764"/>
      <c r="AB7" s="5756"/>
    </row>
    <row r="8" spans="1:32" ht="18" customHeight="1"/>
    <row r="9" spans="1:32" ht="18" customHeight="1" thickBot="1">
      <c r="A9" s="60" t="s">
        <v>36</v>
      </c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104"/>
    </row>
    <row r="10" spans="1:32" ht="18" customHeight="1" thickBot="1">
      <c r="A10" s="869" t="s">
        <v>617</v>
      </c>
      <c r="B10" s="6126">
        <v>1</v>
      </c>
      <c r="C10" s="6126">
        <v>2</v>
      </c>
      <c r="D10" s="6127">
        <v>3</v>
      </c>
      <c r="E10" s="6127">
        <v>4</v>
      </c>
      <c r="F10" s="6127">
        <v>5</v>
      </c>
      <c r="G10" s="6127">
        <v>6</v>
      </c>
      <c r="H10" s="6127">
        <v>7</v>
      </c>
      <c r="I10" s="6126">
        <v>8</v>
      </c>
      <c r="J10" s="6126">
        <v>9</v>
      </c>
      <c r="K10" s="6127">
        <v>10</v>
      </c>
      <c r="L10" s="6127">
        <v>11</v>
      </c>
      <c r="M10" s="6127">
        <v>12</v>
      </c>
      <c r="N10" s="6127">
        <v>13</v>
      </c>
      <c r="O10" s="6127">
        <v>14</v>
      </c>
      <c r="P10" s="6126">
        <v>15</v>
      </c>
      <c r="Q10" s="6126">
        <v>16</v>
      </c>
      <c r="R10" s="6127">
        <v>17</v>
      </c>
      <c r="S10" s="6127">
        <v>18</v>
      </c>
      <c r="T10" s="6127">
        <v>19</v>
      </c>
      <c r="U10" s="6127">
        <v>20</v>
      </c>
      <c r="V10" s="6127">
        <v>21</v>
      </c>
      <c r="W10" s="6126">
        <v>22</v>
      </c>
      <c r="X10" s="6126">
        <v>23</v>
      </c>
      <c r="Y10" s="6127">
        <v>24</v>
      </c>
      <c r="Z10" s="6127">
        <v>25</v>
      </c>
      <c r="AA10" s="6127">
        <v>26</v>
      </c>
      <c r="AB10" s="6127">
        <v>27</v>
      </c>
      <c r="AC10" s="6127">
        <v>28</v>
      </c>
      <c r="AD10" s="6126">
        <v>29</v>
      </c>
      <c r="AE10" s="6126">
        <v>30</v>
      </c>
      <c r="AF10" s="6127">
        <v>31</v>
      </c>
    </row>
    <row r="11" spans="1:32" ht="18" customHeight="1">
      <c r="A11" s="6133" t="s">
        <v>39</v>
      </c>
      <c r="B11" s="6134"/>
      <c r="C11" s="6134"/>
      <c r="D11" s="6135" t="s">
        <v>40</v>
      </c>
      <c r="E11" s="6135" t="s">
        <v>40</v>
      </c>
      <c r="F11" s="6135" t="s">
        <v>40</v>
      </c>
      <c r="G11" s="6135" t="s">
        <v>40</v>
      </c>
      <c r="H11" s="6135" t="s">
        <v>40</v>
      </c>
      <c r="I11" s="6135"/>
      <c r="J11" s="6135"/>
      <c r="K11" s="6135" t="s">
        <v>40</v>
      </c>
      <c r="L11" s="6135" t="s">
        <v>40</v>
      </c>
      <c r="M11" s="6135" t="s">
        <v>40</v>
      </c>
      <c r="N11" s="6135" t="s">
        <v>40</v>
      </c>
      <c r="O11" s="6135" t="s">
        <v>40</v>
      </c>
      <c r="P11" s="6135"/>
      <c r="Q11" s="6135"/>
      <c r="R11" s="6135" t="s">
        <v>40</v>
      </c>
      <c r="S11" s="6135" t="s">
        <v>40</v>
      </c>
      <c r="T11" s="6135" t="s">
        <v>40</v>
      </c>
      <c r="U11" s="6135" t="s">
        <v>40</v>
      </c>
      <c r="V11" s="6135" t="s">
        <v>40</v>
      </c>
      <c r="W11" s="6135"/>
      <c r="X11" s="6135"/>
      <c r="Y11" s="6135" t="s">
        <v>40</v>
      </c>
      <c r="Z11" s="6135" t="s">
        <v>40</v>
      </c>
      <c r="AA11" s="6135" t="s">
        <v>40</v>
      </c>
      <c r="AB11" s="6135" t="s">
        <v>40</v>
      </c>
      <c r="AC11" s="6135" t="s">
        <v>40</v>
      </c>
      <c r="AD11" s="6135"/>
      <c r="AE11" s="6135"/>
      <c r="AF11" s="6135" t="s">
        <v>40</v>
      </c>
    </row>
    <row r="12" spans="1:32" ht="18" customHeight="1">
      <c r="A12" s="6124" t="s">
        <v>41</v>
      </c>
      <c r="B12" s="6040"/>
      <c r="C12" s="6040"/>
      <c r="D12" s="6040" t="s">
        <v>40</v>
      </c>
      <c r="E12" s="6050" t="s">
        <v>40</v>
      </c>
      <c r="F12" s="6043" t="s">
        <v>40</v>
      </c>
      <c r="G12" s="6040" t="s">
        <v>40</v>
      </c>
      <c r="H12" s="6040" t="s">
        <v>40</v>
      </c>
      <c r="I12" s="6040"/>
      <c r="J12" s="6040"/>
      <c r="K12" s="6040" t="s">
        <v>40</v>
      </c>
      <c r="L12" s="6050" t="s">
        <v>40</v>
      </c>
      <c r="M12" s="6043" t="s">
        <v>40</v>
      </c>
      <c r="N12" s="6040" t="s">
        <v>40</v>
      </c>
      <c r="O12" s="6040" t="s">
        <v>40</v>
      </c>
      <c r="P12" s="6040"/>
      <c r="Q12" s="6040"/>
      <c r="R12" s="6040" t="s">
        <v>40</v>
      </c>
      <c r="S12" s="6050" t="s">
        <v>40</v>
      </c>
      <c r="T12" s="6043" t="s">
        <v>40</v>
      </c>
      <c r="U12" s="6040" t="s">
        <v>40</v>
      </c>
      <c r="V12" s="6040" t="s">
        <v>40</v>
      </c>
      <c r="W12" s="6040"/>
      <c r="X12" s="6040"/>
      <c r="Y12" s="6040" t="s">
        <v>40</v>
      </c>
      <c r="Z12" s="6050" t="s">
        <v>40</v>
      </c>
      <c r="AA12" s="6043" t="s">
        <v>40</v>
      </c>
      <c r="AB12" s="6040" t="s">
        <v>40</v>
      </c>
      <c r="AC12" s="6040" t="s">
        <v>40</v>
      </c>
      <c r="AD12" s="6040"/>
      <c r="AE12" s="6040"/>
      <c r="AF12" s="6040" t="s">
        <v>40</v>
      </c>
    </row>
    <row r="13" spans="1:32" ht="18" customHeight="1" thickBot="1">
      <c r="A13" s="6055"/>
      <c r="B13" s="6035"/>
      <c r="C13" s="6035"/>
      <c r="D13" s="6035" t="s">
        <v>40</v>
      </c>
      <c r="E13" s="6089" t="s">
        <v>40</v>
      </c>
      <c r="F13" s="6034" t="s">
        <v>40</v>
      </c>
      <c r="G13" s="6035" t="s">
        <v>40</v>
      </c>
      <c r="H13" s="6035" t="s">
        <v>40</v>
      </c>
      <c r="I13" s="6035"/>
      <c r="J13" s="6035"/>
      <c r="K13" s="6035" t="s">
        <v>40</v>
      </c>
      <c r="L13" s="6089" t="s">
        <v>40</v>
      </c>
      <c r="M13" s="6034" t="s">
        <v>40</v>
      </c>
      <c r="N13" s="6035" t="s">
        <v>40</v>
      </c>
      <c r="O13" s="6035" t="s">
        <v>40</v>
      </c>
      <c r="P13" s="6035"/>
      <c r="Q13" s="6035"/>
      <c r="R13" s="6035" t="s">
        <v>40</v>
      </c>
      <c r="S13" s="6089" t="s">
        <v>40</v>
      </c>
      <c r="T13" s="6034" t="s">
        <v>40</v>
      </c>
      <c r="U13" s="6035" t="s">
        <v>40</v>
      </c>
      <c r="V13" s="6035" t="s">
        <v>40</v>
      </c>
      <c r="W13" s="6035"/>
      <c r="X13" s="6035"/>
      <c r="Y13" s="6035" t="s">
        <v>40</v>
      </c>
      <c r="Z13" s="6089" t="s">
        <v>40</v>
      </c>
      <c r="AA13" s="6034" t="s">
        <v>40</v>
      </c>
      <c r="AB13" s="6035" t="s">
        <v>40</v>
      </c>
      <c r="AC13" s="6035" t="s">
        <v>40</v>
      </c>
      <c r="AD13" s="6035"/>
      <c r="AE13" s="6035"/>
      <c r="AF13" s="6035" t="s">
        <v>40</v>
      </c>
    </row>
    <row r="14" spans="1:32" ht="18" customHeight="1">
      <c r="A14" s="561" t="s">
        <v>44</v>
      </c>
      <c r="B14" s="506"/>
      <c r="C14" s="506"/>
      <c r="D14" s="506"/>
      <c r="E14" s="506"/>
      <c r="F14" s="506"/>
      <c r="G14" s="506"/>
      <c r="H14" s="506"/>
      <c r="I14" s="506"/>
      <c r="J14" s="506"/>
      <c r="K14" s="506"/>
      <c r="L14" s="506"/>
      <c r="M14" s="506"/>
      <c r="N14" s="506"/>
      <c r="O14" s="506"/>
      <c r="P14" s="506"/>
      <c r="Q14" s="506"/>
      <c r="R14" s="506"/>
      <c r="S14" s="506"/>
      <c r="T14" s="506"/>
      <c r="U14" s="506"/>
      <c r="V14" s="506"/>
      <c r="W14" s="506"/>
      <c r="X14" s="506"/>
      <c r="Y14" s="506"/>
      <c r="Z14" s="506"/>
      <c r="AA14" s="506"/>
      <c r="AB14" s="506"/>
      <c r="AC14" s="506"/>
      <c r="AD14" s="506"/>
      <c r="AE14" s="506"/>
      <c r="AF14" s="506"/>
    </row>
    <row r="15" spans="1:32" ht="18" customHeight="1">
      <c r="A15" s="563" t="s">
        <v>45</v>
      </c>
      <c r="B15" s="6037" t="s">
        <v>47</v>
      </c>
      <c r="C15" s="6136" t="s">
        <v>47</v>
      </c>
      <c r="D15" s="6037" t="s">
        <v>26</v>
      </c>
      <c r="E15" s="6037" t="s">
        <v>26</v>
      </c>
      <c r="F15" s="6037" t="s">
        <v>26</v>
      </c>
      <c r="G15" s="6037" t="s">
        <v>26</v>
      </c>
      <c r="H15" s="6037" t="s">
        <v>26</v>
      </c>
      <c r="I15" s="6037" t="s">
        <v>0</v>
      </c>
      <c r="J15" s="6037"/>
      <c r="K15" s="6037" t="s">
        <v>43</v>
      </c>
      <c r="L15" s="6037" t="s">
        <v>43</v>
      </c>
      <c r="M15" s="6037" t="s">
        <v>43</v>
      </c>
      <c r="N15" s="6037" t="s">
        <v>43</v>
      </c>
      <c r="O15" s="6037" t="s">
        <v>43</v>
      </c>
      <c r="P15" s="6037"/>
      <c r="Q15" s="6037"/>
      <c r="R15" s="6037" t="s">
        <v>46</v>
      </c>
      <c r="S15" s="6037" t="s">
        <v>46</v>
      </c>
      <c r="T15" s="6037" t="s">
        <v>46</v>
      </c>
      <c r="U15" s="6037" t="s">
        <v>46</v>
      </c>
      <c r="V15" s="6037" t="s">
        <v>46</v>
      </c>
      <c r="W15" s="6037" t="s">
        <v>49</v>
      </c>
      <c r="X15" s="6037" t="s">
        <v>49</v>
      </c>
      <c r="Y15" s="6037" t="s">
        <v>50</v>
      </c>
      <c r="Z15" s="6037" t="s">
        <v>50</v>
      </c>
      <c r="AA15" s="6037" t="s">
        <v>50</v>
      </c>
      <c r="AB15" s="6037" t="s">
        <v>50</v>
      </c>
      <c r="AC15" s="6037" t="s">
        <v>50</v>
      </c>
      <c r="AD15" s="6137"/>
      <c r="AE15" s="6037"/>
      <c r="AF15" s="6037" t="s">
        <v>46</v>
      </c>
    </row>
    <row r="16" spans="1:32" ht="18" customHeight="1">
      <c r="A16" s="6138" t="s">
        <v>51</v>
      </c>
      <c r="B16" s="6131"/>
      <c r="C16" s="6131"/>
      <c r="D16" s="6039" t="s">
        <v>43</v>
      </c>
      <c r="E16" s="6039" t="s">
        <v>43</v>
      </c>
      <c r="F16" s="6039" t="s">
        <v>43</v>
      </c>
      <c r="G16" s="6039" t="s">
        <v>43</v>
      </c>
      <c r="H16" s="6039" t="s">
        <v>43</v>
      </c>
      <c r="I16" s="6039"/>
      <c r="J16" s="6039"/>
      <c r="K16" s="6039" t="s">
        <v>46</v>
      </c>
      <c r="L16" s="6039" t="s">
        <v>46</v>
      </c>
      <c r="M16" s="6039" t="s">
        <v>46</v>
      </c>
      <c r="N16" s="6039" t="s">
        <v>46</v>
      </c>
      <c r="O16" s="6039" t="s">
        <v>46</v>
      </c>
      <c r="P16" s="6139" t="s">
        <v>49</v>
      </c>
      <c r="Q16" s="6139" t="s">
        <v>49</v>
      </c>
      <c r="R16" s="6039" t="s">
        <v>50</v>
      </c>
      <c r="S16" s="6039" t="s">
        <v>50</v>
      </c>
      <c r="T16" s="6039" t="s">
        <v>50</v>
      </c>
      <c r="U16" s="6039" t="s">
        <v>50</v>
      </c>
      <c r="V16" s="6039" t="s">
        <v>50</v>
      </c>
      <c r="W16" s="6039"/>
      <c r="X16" s="6039"/>
      <c r="Y16" s="6039" t="s">
        <v>46</v>
      </c>
      <c r="Z16" s="6039" t="s">
        <v>46</v>
      </c>
      <c r="AA16" s="6039" t="s">
        <v>46</v>
      </c>
      <c r="AB16" s="6039" t="s">
        <v>46</v>
      </c>
      <c r="AC16" s="6039" t="s">
        <v>46</v>
      </c>
      <c r="AD16" s="6039" t="s">
        <v>47</v>
      </c>
      <c r="AE16" s="6039" t="s">
        <v>47</v>
      </c>
      <c r="AF16" s="6039" t="s">
        <v>26</v>
      </c>
    </row>
    <row r="17" spans="1:32" ht="18" customHeight="1">
      <c r="A17" s="6138" t="s">
        <v>54</v>
      </c>
      <c r="B17" s="6037"/>
      <c r="C17" s="6037"/>
      <c r="D17" s="6037" t="s">
        <v>46</v>
      </c>
      <c r="E17" s="6037" t="s">
        <v>46</v>
      </c>
      <c r="F17" s="6039" t="s">
        <v>46</v>
      </c>
      <c r="G17" s="6039" t="s">
        <v>46</v>
      </c>
      <c r="H17" s="6136" t="s">
        <v>46</v>
      </c>
      <c r="I17" s="6136" t="s">
        <v>49</v>
      </c>
      <c r="J17" s="6136" t="s">
        <v>49</v>
      </c>
      <c r="K17" s="6037" t="s">
        <v>50</v>
      </c>
      <c r="L17" s="6037" t="s">
        <v>50</v>
      </c>
      <c r="M17" s="6037" t="s">
        <v>50</v>
      </c>
      <c r="N17" s="6037" t="s">
        <v>50</v>
      </c>
      <c r="O17" s="6036" t="s">
        <v>50</v>
      </c>
      <c r="P17" s="6140"/>
      <c r="Q17" s="6140"/>
      <c r="R17" s="6140" t="s">
        <v>46</v>
      </c>
      <c r="S17" s="6140" t="s">
        <v>46</v>
      </c>
      <c r="T17" s="6140" t="s">
        <v>46</v>
      </c>
      <c r="U17" s="6140" t="s">
        <v>46</v>
      </c>
      <c r="V17" s="6140" t="s">
        <v>46</v>
      </c>
      <c r="W17" s="6140" t="s">
        <v>47</v>
      </c>
      <c r="X17" s="6140" t="s">
        <v>47</v>
      </c>
      <c r="Y17" s="6141" t="s">
        <v>26</v>
      </c>
      <c r="Z17" s="6136" t="s">
        <v>26</v>
      </c>
      <c r="AA17" s="6136" t="s">
        <v>26</v>
      </c>
      <c r="AB17" s="6136" t="s">
        <v>26</v>
      </c>
      <c r="AC17" s="6037" t="s">
        <v>26</v>
      </c>
      <c r="AD17" s="6136"/>
      <c r="AE17" s="6037"/>
      <c r="AF17" s="6037" t="s">
        <v>43</v>
      </c>
    </row>
    <row r="18" spans="1:32" ht="18" customHeight="1">
      <c r="A18" s="6138" t="s">
        <v>56</v>
      </c>
      <c r="B18" s="6136" t="s">
        <v>49</v>
      </c>
      <c r="C18" s="6136" t="s">
        <v>49</v>
      </c>
      <c r="D18" s="6037" t="s">
        <v>50</v>
      </c>
      <c r="E18" s="6136" t="s">
        <v>50</v>
      </c>
      <c r="F18" s="6136" t="s">
        <v>50</v>
      </c>
      <c r="G18" s="6037" t="s">
        <v>50</v>
      </c>
      <c r="H18" s="6136" t="s">
        <v>50</v>
      </c>
      <c r="I18" s="6136"/>
      <c r="J18" s="6136"/>
      <c r="K18" s="6136" t="s">
        <v>46</v>
      </c>
      <c r="L18" s="6136" t="s">
        <v>46</v>
      </c>
      <c r="M18" s="6039" t="s">
        <v>46</v>
      </c>
      <c r="N18" s="6039" t="s">
        <v>46</v>
      </c>
      <c r="O18" s="6037" t="s">
        <v>46</v>
      </c>
      <c r="P18" s="6140" t="s">
        <v>47</v>
      </c>
      <c r="Q18" s="6140" t="s">
        <v>47</v>
      </c>
      <c r="R18" s="6140" t="s">
        <v>26</v>
      </c>
      <c r="S18" s="6140" t="s">
        <v>26</v>
      </c>
      <c r="T18" s="6140" t="s">
        <v>26</v>
      </c>
      <c r="U18" s="6140" t="s">
        <v>26</v>
      </c>
      <c r="V18" s="6140" t="s">
        <v>26</v>
      </c>
      <c r="W18" s="6140"/>
      <c r="X18" s="6140"/>
      <c r="Y18" s="6037" t="s">
        <v>43</v>
      </c>
      <c r="Z18" s="6037" t="s">
        <v>43</v>
      </c>
      <c r="AA18" s="6037" t="s">
        <v>43</v>
      </c>
      <c r="AB18" s="6142" t="s">
        <v>43</v>
      </c>
      <c r="AC18" s="6037" t="s">
        <v>43</v>
      </c>
      <c r="AD18" s="6137"/>
      <c r="AE18" s="6143"/>
      <c r="AF18" s="6037" t="s">
        <v>46</v>
      </c>
    </row>
    <row r="19" spans="1:32" ht="18" customHeight="1">
      <c r="A19" s="6138" t="s">
        <v>472</v>
      </c>
      <c r="B19" s="6131"/>
      <c r="C19" s="6037"/>
      <c r="D19" s="6037" t="s">
        <v>46</v>
      </c>
      <c r="E19" s="6144" t="s">
        <v>46</v>
      </c>
      <c r="F19" s="6038" t="s">
        <v>46</v>
      </c>
      <c r="G19" s="6144" t="s">
        <v>46</v>
      </c>
      <c r="H19" s="6144" t="s">
        <v>46</v>
      </c>
      <c r="I19" s="6037" t="s">
        <v>47</v>
      </c>
      <c r="J19" s="6136" t="s">
        <v>47</v>
      </c>
      <c r="K19" s="6037" t="s">
        <v>26</v>
      </c>
      <c r="L19" s="6037" t="s">
        <v>26</v>
      </c>
      <c r="M19" s="6086" t="s">
        <v>26</v>
      </c>
      <c r="N19" s="6086" t="s">
        <v>26</v>
      </c>
      <c r="O19" s="6086" t="s">
        <v>26</v>
      </c>
      <c r="P19" s="6037"/>
      <c r="Q19" s="6037"/>
      <c r="R19" s="6037" t="s">
        <v>43</v>
      </c>
      <c r="S19" s="6037" t="s">
        <v>43</v>
      </c>
      <c r="T19" s="6037" t="s">
        <v>43</v>
      </c>
      <c r="U19" s="6142" t="s">
        <v>43</v>
      </c>
      <c r="V19" s="6037" t="s">
        <v>43</v>
      </c>
      <c r="W19" s="6131"/>
      <c r="X19" s="6131"/>
      <c r="Y19" s="6145" t="s">
        <v>46</v>
      </c>
      <c r="Z19" s="6145" t="s">
        <v>46</v>
      </c>
      <c r="AA19" s="6145" t="s">
        <v>46</v>
      </c>
      <c r="AB19" s="6145" t="s">
        <v>46</v>
      </c>
      <c r="AC19" s="6145" t="s">
        <v>46</v>
      </c>
      <c r="AD19" s="6037" t="s">
        <v>49</v>
      </c>
      <c r="AE19" s="6037" t="s">
        <v>49</v>
      </c>
      <c r="AF19" s="6037" t="s">
        <v>50</v>
      </c>
    </row>
    <row r="20" spans="1:32" ht="18" customHeight="1" thickBot="1">
      <c r="A20" s="6146" t="s">
        <v>97</v>
      </c>
      <c r="B20" s="6044"/>
      <c r="C20" s="6147"/>
      <c r="D20" s="6147" t="s">
        <v>40</v>
      </c>
      <c r="E20" s="6147" t="s">
        <v>40</v>
      </c>
      <c r="F20" s="6147" t="s">
        <v>40</v>
      </c>
      <c r="G20" s="6147" t="s">
        <v>40</v>
      </c>
      <c r="H20" s="6147" t="s">
        <v>40</v>
      </c>
      <c r="I20" s="6148"/>
      <c r="J20" s="6147"/>
      <c r="K20" s="6149" t="s">
        <v>40</v>
      </c>
      <c r="L20" s="6150" t="s">
        <v>40</v>
      </c>
      <c r="M20" s="6037" t="s">
        <v>40</v>
      </c>
      <c r="N20" s="6043" t="s">
        <v>40</v>
      </c>
      <c r="O20" s="6043" t="s">
        <v>40</v>
      </c>
      <c r="P20" s="6147"/>
      <c r="Q20" s="6150"/>
      <c r="R20" s="6147" t="s">
        <v>40</v>
      </c>
      <c r="S20" s="6150" t="s">
        <v>40</v>
      </c>
      <c r="T20" s="6150" t="s">
        <v>40</v>
      </c>
      <c r="U20" s="6147" t="s">
        <v>40</v>
      </c>
      <c r="V20" s="6147" t="s">
        <v>40</v>
      </c>
      <c r="W20" s="6147"/>
      <c r="X20" s="6147"/>
      <c r="Y20" s="6151" t="s">
        <v>40</v>
      </c>
      <c r="Z20" s="6151" t="s">
        <v>40</v>
      </c>
      <c r="AA20" s="6147" t="s">
        <v>40</v>
      </c>
      <c r="AB20" s="6151" t="s">
        <v>40</v>
      </c>
      <c r="AC20" s="6151" t="s">
        <v>40</v>
      </c>
      <c r="AD20" s="6147"/>
      <c r="AE20" s="6151"/>
      <c r="AF20" s="6151" t="s">
        <v>40</v>
      </c>
    </row>
    <row r="21" spans="1:32" ht="18" customHeight="1" thickBot="1">
      <c r="A21" s="386" t="s">
        <v>58</v>
      </c>
      <c r="B21" s="6152"/>
      <c r="C21" s="6152"/>
      <c r="D21" s="6152"/>
      <c r="E21" s="6152"/>
      <c r="F21" s="6152"/>
      <c r="G21" s="6152"/>
      <c r="H21" s="6152"/>
      <c r="I21" s="6152"/>
      <c r="J21" s="6152"/>
      <c r="K21" s="6152"/>
      <c r="L21" s="6152"/>
      <c r="M21" s="6152"/>
      <c r="N21" s="6152"/>
      <c r="O21" s="6152"/>
      <c r="P21" s="6152"/>
      <c r="Q21" s="6152"/>
      <c r="R21" s="6152"/>
      <c r="S21" s="6152"/>
      <c r="T21" s="6152"/>
      <c r="U21" s="6152"/>
      <c r="V21" s="6152"/>
      <c r="W21" s="6152"/>
      <c r="X21" s="6152"/>
      <c r="Y21" s="6152"/>
      <c r="Z21" s="6152"/>
      <c r="AA21" s="6152"/>
      <c r="AB21" s="6152"/>
      <c r="AC21" s="6152"/>
      <c r="AD21" s="6152"/>
      <c r="AE21" s="6152"/>
      <c r="AF21" s="6152"/>
    </row>
    <row r="22" spans="1:32" ht="18" customHeight="1">
      <c r="A22" s="6153" t="s">
        <v>59</v>
      </c>
      <c r="B22" s="6134"/>
      <c r="C22" s="6134"/>
      <c r="D22" s="6135" t="s">
        <v>40</v>
      </c>
      <c r="E22" s="6135" t="s">
        <v>40</v>
      </c>
      <c r="F22" s="6135" t="s">
        <v>40</v>
      </c>
      <c r="G22" s="6135" t="s">
        <v>40</v>
      </c>
      <c r="H22" s="6135" t="s">
        <v>40</v>
      </c>
      <c r="I22" s="6135"/>
      <c r="J22" s="6135"/>
      <c r="K22" s="6135" t="s">
        <v>40</v>
      </c>
      <c r="L22" s="6135" t="s">
        <v>40</v>
      </c>
      <c r="M22" s="6135" t="s">
        <v>40</v>
      </c>
      <c r="N22" s="6135" t="s">
        <v>40</v>
      </c>
      <c r="O22" s="6135" t="s">
        <v>40</v>
      </c>
      <c r="P22" s="6135"/>
      <c r="Q22" s="6135"/>
      <c r="R22" s="6135" t="s">
        <v>40</v>
      </c>
      <c r="S22" s="6135" t="s">
        <v>40</v>
      </c>
      <c r="T22" s="6135" t="s">
        <v>40</v>
      </c>
      <c r="U22" s="6135" t="s">
        <v>40</v>
      </c>
      <c r="V22" s="6135" t="s">
        <v>40</v>
      </c>
      <c r="W22" s="6135"/>
      <c r="X22" s="6135"/>
      <c r="Y22" s="6135" t="s">
        <v>40</v>
      </c>
      <c r="Z22" s="6135" t="s">
        <v>40</v>
      </c>
      <c r="AA22" s="6135" t="s">
        <v>40</v>
      </c>
      <c r="AB22" s="6135" t="s">
        <v>40</v>
      </c>
      <c r="AC22" s="6135" t="s">
        <v>40</v>
      </c>
      <c r="AD22" s="6135"/>
      <c r="AE22" s="6135"/>
      <c r="AF22" s="6135" t="s">
        <v>40</v>
      </c>
    </row>
    <row r="23" spans="1:32" ht="18" customHeight="1">
      <c r="A23" s="6138" t="s">
        <v>364</v>
      </c>
      <c r="B23" s="6040"/>
      <c r="C23" s="6040"/>
      <c r="D23" s="6040" t="s">
        <v>40</v>
      </c>
      <c r="E23" s="6050" t="s">
        <v>40</v>
      </c>
      <c r="F23" s="6043" t="s">
        <v>40</v>
      </c>
      <c r="G23" s="6040" t="s">
        <v>40</v>
      </c>
      <c r="H23" s="6040" t="s">
        <v>40</v>
      </c>
      <c r="I23" s="6040"/>
      <c r="J23" s="6040"/>
      <c r="K23" s="6040" t="s">
        <v>40</v>
      </c>
      <c r="L23" s="6050" t="s">
        <v>40</v>
      </c>
      <c r="M23" s="6043" t="s">
        <v>40</v>
      </c>
      <c r="N23" s="6040" t="s">
        <v>40</v>
      </c>
      <c r="O23" s="6040" t="s">
        <v>40</v>
      </c>
      <c r="P23" s="6040"/>
      <c r="Q23" s="6040"/>
      <c r="R23" s="6040" t="s">
        <v>40</v>
      </c>
      <c r="S23" s="6050" t="s">
        <v>40</v>
      </c>
      <c r="T23" s="6043" t="s">
        <v>40</v>
      </c>
      <c r="U23" s="6040" t="s">
        <v>40</v>
      </c>
      <c r="V23" s="6040" t="s">
        <v>40</v>
      </c>
      <c r="W23" s="6040"/>
      <c r="X23" s="6040"/>
      <c r="Y23" s="6040" t="s">
        <v>40</v>
      </c>
      <c r="Z23" s="6050" t="s">
        <v>40</v>
      </c>
      <c r="AA23" s="6043" t="s">
        <v>40</v>
      </c>
      <c r="AB23" s="6040" t="s">
        <v>40</v>
      </c>
      <c r="AC23" s="6040" t="s">
        <v>40</v>
      </c>
      <c r="AD23" s="6040"/>
      <c r="AE23" s="6040"/>
      <c r="AF23" s="6040" t="s">
        <v>40</v>
      </c>
    </row>
    <row r="24" spans="1:32" ht="18" customHeight="1">
      <c r="A24" s="6154" t="s">
        <v>522</v>
      </c>
      <c r="B24" s="6040"/>
      <c r="C24" s="6040"/>
      <c r="D24" s="6040" t="s">
        <v>40</v>
      </c>
      <c r="E24" s="6050" t="s">
        <v>40</v>
      </c>
      <c r="F24" s="6043" t="s">
        <v>40</v>
      </c>
      <c r="G24" s="6040" t="s">
        <v>40</v>
      </c>
      <c r="H24" s="6040" t="s">
        <v>40</v>
      </c>
      <c r="I24" s="6040"/>
      <c r="J24" s="6040"/>
      <c r="K24" s="6040" t="s">
        <v>40</v>
      </c>
      <c r="L24" s="6050" t="s">
        <v>40</v>
      </c>
      <c r="M24" s="6043" t="s">
        <v>40</v>
      </c>
      <c r="N24" s="6040" t="s">
        <v>40</v>
      </c>
      <c r="O24" s="6040" t="s">
        <v>40</v>
      </c>
      <c r="P24" s="6040"/>
      <c r="Q24" s="6040"/>
      <c r="R24" s="6040" t="s">
        <v>40</v>
      </c>
      <c r="S24" s="6050" t="s">
        <v>40</v>
      </c>
      <c r="T24" s="6043" t="s">
        <v>40</v>
      </c>
      <c r="U24" s="6040" t="s">
        <v>40</v>
      </c>
      <c r="V24" s="6040" t="s">
        <v>40</v>
      </c>
      <c r="W24" s="6040"/>
      <c r="X24" s="6040"/>
      <c r="Y24" s="6040" t="s">
        <v>40</v>
      </c>
      <c r="Z24" s="6050" t="s">
        <v>40</v>
      </c>
      <c r="AA24" s="6043" t="s">
        <v>40</v>
      </c>
      <c r="AB24" s="6040" t="s">
        <v>40</v>
      </c>
      <c r="AC24" s="6040" t="s">
        <v>40</v>
      </c>
      <c r="AD24" s="6040"/>
      <c r="AE24" s="6040"/>
      <c r="AF24" s="6040" t="s">
        <v>40</v>
      </c>
    </row>
    <row r="25" spans="1:32" ht="18" customHeight="1" thickBot="1">
      <c r="A25" s="6138" t="s">
        <v>88</v>
      </c>
      <c r="B25" s="1519"/>
      <c r="C25" s="1520"/>
      <c r="D25" s="1520" t="s">
        <v>40</v>
      </c>
      <c r="E25" s="1520" t="s">
        <v>40</v>
      </c>
      <c r="F25" s="1459" t="s">
        <v>40</v>
      </c>
      <c r="G25" s="1459" t="s">
        <v>40</v>
      </c>
      <c r="H25" s="1520" t="s">
        <v>40</v>
      </c>
      <c r="I25" s="1519"/>
      <c r="J25" s="1521"/>
      <c r="K25" s="1520" t="s">
        <v>40</v>
      </c>
      <c r="L25" s="1520" t="s">
        <v>40</v>
      </c>
      <c r="M25" s="1459" t="s">
        <v>40</v>
      </c>
      <c r="N25" s="1459" t="s">
        <v>40</v>
      </c>
      <c r="O25" s="1520" t="s">
        <v>40</v>
      </c>
      <c r="P25" s="1520"/>
      <c r="Q25" s="1520"/>
      <c r="R25" s="1520" t="s">
        <v>40</v>
      </c>
      <c r="S25" s="1520" t="s">
        <v>40</v>
      </c>
      <c r="T25" s="1459" t="s">
        <v>40</v>
      </c>
      <c r="U25" s="1459" t="s">
        <v>40</v>
      </c>
      <c r="V25" s="1459" t="s">
        <v>40</v>
      </c>
      <c r="W25" s="1519"/>
      <c r="X25" s="1520"/>
      <c r="Y25" s="1520" t="s">
        <v>40</v>
      </c>
      <c r="Z25" s="1520" t="s">
        <v>40</v>
      </c>
      <c r="AA25" s="1522" t="s">
        <v>40</v>
      </c>
      <c r="AB25" s="1459" t="s">
        <v>40</v>
      </c>
      <c r="AC25" s="1520" t="s">
        <v>40</v>
      </c>
      <c r="AD25" s="1519"/>
      <c r="AE25" s="1520"/>
      <c r="AF25" s="1520" t="s">
        <v>40</v>
      </c>
    </row>
    <row r="26" spans="1:32" ht="15">
      <c r="A26" s="461" t="s">
        <v>619</v>
      </c>
      <c r="B26" s="455"/>
      <c r="C26" s="455"/>
      <c r="D26" s="455"/>
      <c r="E26" s="456"/>
      <c r="F26" s="457"/>
      <c r="G26" s="455"/>
      <c r="H26" s="458"/>
      <c r="I26" s="455"/>
      <c r="J26" s="455"/>
      <c r="K26" s="455"/>
      <c r="L26" s="457"/>
      <c r="M26" s="457"/>
      <c r="N26" s="455"/>
      <c r="O26" s="458"/>
      <c r="P26" s="459"/>
      <c r="Q26" s="455"/>
      <c r="R26" s="455"/>
      <c r="S26" s="457"/>
      <c r="T26" s="457"/>
      <c r="U26" s="455"/>
      <c r="V26" s="455"/>
      <c r="W26" s="455"/>
      <c r="X26" s="455"/>
      <c r="Y26" s="455"/>
      <c r="Z26" s="457"/>
      <c r="AA26" s="457"/>
      <c r="AB26" s="457"/>
      <c r="AC26" s="458"/>
      <c r="AD26" s="455"/>
      <c r="AE26" s="455"/>
      <c r="AF26" s="460"/>
    </row>
    <row r="27" spans="1:32" ht="12.75" thickBot="1">
      <c r="A27" s="5547" t="s">
        <v>297</v>
      </c>
      <c r="B27" s="442"/>
      <c r="C27" s="442"/>
      <c r="D27" s="442"/>
      <c r="E27" s="443"/>
      <c r="F27" s="444"/>
      <c r="G27" s="442"/>
      <c r="H27" s="445"/>
      <c r="I27" s="442"/>
      <c r="J27" s="442"/>
      <c r="K27" s="442"/>
      <c r="L27" s="444"/>
      <c r="M27" s="444"/>
      <c r="N27" s="442"/>
      <c r="O27" s="445"/>
      <c r="P27" s="446"/>
      <c r="Q27" s="442"/>
      <c r="R27" s="442"/>
      <c r="S27" s="444"/>
      <c r="T27" s="444"/>
      <c r="U27" s="442"/>
      <c r="V27" s="442"/>
      <c r="W27" s="442"/>
      <c r="X27" s="442"/>
      <c r="Y27" s="442"/>
      <c r="Z27" s="444"/>
      <c r="AA27" s="444"/>
      <c r="AB27" s="444"/>
      <c r="AC27" s="445"/>
      <c r="AD27" s="442"/>
      <c r="AE27" s="442"/>
      <c r="AF27" s="447"/>
    </row>
    <row r="28" spans="1:32" ht="15">
      <c r="A28" s="361" t="s">
        <v>620</v>
      </c>
      <c r="B28" s="448"/>
      <c r="C28" s="448"/>
      <c r="D28" s="448"/>
      <c r="E28" s="449"/>
      <c r="F28" s="450"/>
      <c r="G28" s="448"/>
      <c r="H28" s="451"/>
      <c r="I28" s="448"/>
      <c r="J28" s="448"/>
      <c r="K28" s="448"/>
      <c r="L28" s="450"/>
      <c r="M28" s="450"/>
      <c r="N28" s="448"/>
      <c r="O28" s="451"/>
      <c r="P28" s="452"/>
      <c r="Q28" s="448"/>
      <c r="R28" s="448"/>
      <c r="S28" s="450"/>
      <c r="T28" s="450"/>
      <c r="U28" s="448"/>
      <c r="V28" s="448"/>
      <c r="W28" s="448"/>
      <c r="X28" s="448"/>
      <c r="Y28" s="448"/>
      <c r="Z28" s="450"/>
      <c r="AA28" s="450"/>
      <c r="AB28" s="450"/>
      <c r="AC28" s="451"/>
      <c r="AD28" s="448"/>
      <c r="AE28" s="448"/>
      <c r="AF28" s="453"/>
    </row>
    <row r="29" spans="1:32" ht="12.75" thickBot="1">
      <c r="A29" s="454" t="s">
        <v>65</v>
      </c>
      <c r="B29" s="382"/>
      <c r="C29" s="382"/>
      <c r="D29" s="382"/>
      <c r="E29" s="376"/>
      <c r="F29" s="378"/>
      <c r="G29" s="382"/>
      <c r="H29" s="383"/>
      <c r="I29" s="382"/>
      <c r="J29" s="382"/>
      <c r="K29" s="382"/>
      <c r="L29" s="378"/>
      <c r="M29" s="378"/>
      <c r="N29" s="382"/>
      <c r="O29" s="383"/>
      <c r="P29" s="384"/>
      <c r="Q29" s="382"/>
      <c r="R29" s="382"/>
      <c r="S29" s="378"/>
      <c r="T29" s="378"/>
      <c r="U29" s="382"/>
      <c r="V29" s="382"/>
      <c r="W29" s="382"/>
      <c r="X29" s="382"/>
      <c r="Y29" s="382"/>
      <c r="Z29" s="378"/>
      <c r="AA29" s="378"/>
      <c r="AB29" s="378"/>
      <c r="AC29" s="383"/>
      <c r="AD29" s="382"/>
      <c r="AE29" s="382"/>
      <c r="AF29" s="385"/>
    </row>
    <row r="30" spans="1:32" ht="12.75" thickBot="1"/>
    <row r="31" spans="1:32" ht="15.75" thickBot="1">
      <c r="A31" s="362" t="s">
        <v>584</v>
      </c>
      <c r="B31" s="866">
        <v>1</v>
      </c>
      <c r="C31" s="866">
        <v>2</v>
      </c>
      <c r="D31" s="872">
        <v>3</v>
      </c>
      <c r="E31" s="872">
        <v>4</v>
      </c>
      <c r="F31" s="872">
        <v>5</v>
      </c>
      <c r="G31" s="872">
        <v>6</v>
      </c>
      <c r="H31" s="872">
        <v>7</v>
      </c>
      <c r="I31" s="866">
        <v>8</v>
      </c>
      <c r="J31" s="866">
        <v>9</v>
      </c>
      <c r="K31" s="872">
        <v>10</v>
      </c>
      <c r="L31" s="872">
        <v>11</v>
      </c>
      <c r="M31" s="872">
        <v>12</v>
      </c>
      <c r="N31" s="872">
        <v>13</v>
      </c>
      <c r="O31" s="872">
        <v>14</v>
      </c>
      <c r="P31" s="866">
        <v>15</v>
      </c>
      <c r="Q31" s="866">
        <v>16</v>
      </c>
      <c r="R31" s="872">
        <v>17</v>
      </c>
      <c r="S31" s="872">
        <v>18</v>
      </c>
      <c r="T31" s="872">
        <v>19</v>
      </c>
      <c r="U31" s="872">
        <v>20</v>
      </c>
      <c r="V31" s="872">
        <v>21</v>
      </c>
      <c r="W31" s="866">
        <v>22</v>
      </c>
      <c r="X31" s="866">
        <v>23</v>
      </c>
      <c r="Y31" s="872">
        <v>24</v>
      </c>
      <c r="Z31" s="872">
        <v>25</v>
      </c>
      <c r="AA31" s="872">
        <v>26</v>
      </c>
      <c r="AB31" s="872">
        <v>27</v>
      </c>
      <c r="AC31" s="872">
        <v>28</v>
      </c>
      <c r="AD31" s="866">
        <v>29</v>
      </c>
      <c r="AE31" s="866">
        <v>30</v>
      </c>
      <c r="AF31" s="874">
        <v>31</v>
      </c>
    </row>
    <row r="32" spans="1:32">
      <c r="A32" s="356"/>
      <c r="B32" s="343"/>
      <c r="C32" s="343"/>
      <c r="D32" s="343"/>
      <c r="E32" s="343"/>
      <c r="F32" s="343"/>
      <c r="G32" s="343"/>
      <c r="H32" s="343"/>
      <c r="I32" s="343"/>
      <c r="J32" s="343"/>
      <c r="K32" s="343"/>
      <c r="L32" s="343"/>
      <c r="M32" s="343"/>
      <c r="N32" s="343"/>
      <c r="O32" s="343"/>
      <c r="P32" s="343"/>
      <c r="Q32" s="343"/>
      <c r="R32" s="343"/>
      <c r="S32" s="343"/>
      <c r="T32" s="343"/>
      <c r="U32" s="343"/>
      <c r="V32" s="343"/>
      <c r="W32" s="343"/>
      <c r="X32" s="343"/>
      <c r="Y32" s="343"/>
      <c r="Z32" s="343"/>
      <c r="AA32" s="343"/>
      <c r="AB32" s="343"/>
      <c r="AC32" s="343"/>
      <c r="AD32" s="343"/>
      <c r="AE32" s="343"/>
      <c r="AF32" s="357"/>
    </row>
    <row r="33" spans="1:32">
      <c r="A33" s="356"/>
      <c r="B33" s="343"/>
      <c r="C33" s="343"/>
      <c r="D33" s="343"/>
      <c r="E33" s="343"/>
      <c r="F33" s="343"/>
      <c r="G33" s="343"/>
      <c r="H33" s="343"/>
      <c r="I33" s="343"/>
      <c r="J33" s="343"/>
      <c r="K33" s="343"/>
      <c r="L33" s="343"/>
      <c r="M33" s="343"/>
      <c r="N33" s="343"/>
      <c r="O33" s="343"/>
      <c r="P33" s="343"/>
      <c r="Q33" s="343"/>
      <c r="R33" s="343"/>
      <c r="S33" s="343"/>
      <c r="T33" s="343"/>
      <c r="U33" s="343"/>
      <c r="V33" s="343"/>
      <c r="W33" s="343"/>
      <c r="X33" s="343"/>
      <c r="Y33" s="343"/>
      <c r="Z33" s="343"/>
      <c r="AA33" s="343"/>
      <c r="AB33" s="343"/>
      <c r="AC33" s="343"/>
      <c r="AD33" s="343"/>
      <c r="AE33" s="343"/>
      <c r="AF33" s="357"/>
    </row>
    <row r="34" spans="1:32">
      <c r="A34" s="356"/>
      <c r="B34" s="343"/>
      <c r="C34" s="343"/>
      <c r="D34" s="343"/>
      <c r="E34" s="343"/>
      <c r="F34" s="343"/>
      <c r="G34" s="343"/>
      <c r="H34" s="343"/>
      <c r="I34" s="343"/>
      <c r="J34" s="343"/>
      <c r="K34" s="343"/>
      <c r="L34" s="343"/>
      <c r="M34" s="343"/>
      <c r="N34" s="343"/>
      <c r="O34" s="343"/>
      <c r="P34" s="343"/>
      <c r="Q34" s="343"/>
      <c r="R34" s="343"/>
      <c r="S34" s="343"/>
      <c r="T34" s="343"/>
      <c r="U34" s="343"/>
      <c r="V34" s="343"/>
      <c r="W34" s="343"/>
      <c r="X34" s="343"/>
      <c r="Y34" s="343"/>
      <c r="Z34" s="343"/>
      <c r="AA34" s="343"/>
      <c r="AB34" s="343"/>
      <c r="AC34" s="343"/>
      <c r="AD34" s="343"/>
      <c r="AE34" s="343"/>
      <c r="AF34" s="357"/>
    </row>
    <row r="35" spans="1:32">
      <c r="A35" s="356"/>
      <c r="B35" s="343"/>
      <c r="C35" s="343"/>
      <c r="D35" s="343"/>
      <c r="E35" s="343"/>
      <c r="F35" s="343"/>
      <c r="G35" s="343"/>
      <c r="H35" s="343"/>
      <c r="I35" s="343"/>
      <c r="J35" s="343"/>
      <c r="K35" s="343"/>
      <c r="L35" s="343"/>
      <c r="M35" s="343"/>
      <c r="N35" s="343"/>
      <c r="O35" s="343"/>
      <c r="P35" s="343"/>
      <c r="Q35" s="343"/>
      <c r="R35" s="343"/>
      <c r="S35" s="343"/>
      <c r="T35" s="343"/>
      <c r="U35" s="343"/>
      <c r="V35" s="343"/>
      <c r="W35" s="343"/>
      <c r="X35" s="343"/>
      <c r="Y35" s="343"/>
      <c r="Z35" s="343"/>
      <c r="AA35" s="343"/>
      <c r="AB35" s="343"/>
      <c r="AC35" s="343"/>
      <c r="AD35" s="343"/>
      <c r="AE35" s="343"/>
      <c r="AF35" s="357"/>
    </row>
    <row r="36" spans="1:32">
      <c r="A36" s="356"/>
      <c r="B36" s="343"/>
      <c r="C36" s="343"/>
      <c r="D36" s="343"/>
      <c r="E36" s="343"/>
      <c r="F36" s="343"/>
      <c r="G36" s="343"/>
      <c r="H36" s="343"/>
      <c r="I36" s="343"/>
      <c r="J36" s="343"/>
      <c r="K36" s="343"/>
      <c r="L36" s="343"/>
      <c r="M36" s="343"/>
      <c r="N36" s="343"/>
      <c r="O36" s="343"/>
      <c r="P36" s="343"/>
      <c r="Q36" s="343"/>
      <c r="R36" s="343"/>
      <c r="S36" s="343"/>
      <c r="T36" s="343"/>
      <c r="U36" s="343"/>
      <c r="V36" s="343"/>
      <c r="W36" s="343"/>
      <c r="X36" s="343"/>
      <c r="Y36" s="343"/>
      <c r="Z36" s="343"/>
      <c r="AA36" s="343"/>
      <c r="AB36" s="343"/>
      <c r="AC36" s="343"/>
      <c r="AD36" s="343"/>
      <c r="AE36" s="343"/>
      <c r="AF36" s="357"/>
    </row>
    <row r="37" spans="1:32" ht="12.75" thickBot="1">
      <c r="A37" s="358"/>
      <c r="B37" s="359"/>
      <c r="C37" s="359"/>
      <c r="D37" s="359"/>
      <c r="E37" s="359"/>
      <c r="F37" s="359"/>
      <c r="G37" s="359"/>
      <c r="H37" s="359"/>
      <c r="I37" s="359"/>
      <c r="J37" s="359"/>
      <c r="K37" s="359"/>
      <c r="L37" s="359"/>
      <c r="M37" s="359"/>
      <c r="N37" s="359"/>
      <c r="O37" s="359"/>
      <c r="P37" s="359"/>
      <c r="Q37" s="359"/>
      <c r="R37" s="359"/>
      <c r="S37" s="359"/>
      <c r="T37" s="359"/>
      <c r="U37" s="359"/>
      <c r="V37" s="359"/>
      <c r="W37" s="359"/>
      <c r="X37" s="359"/>
      <c r="Y37" s="359"/>
      <c r="Z37" s="359"/>
      <c r="AA37" s="359"/>
      <c r="AB37" s="359"/>
      <c r="AC37" s="359"/>
      <c r="AD37" s="359"/>
      <c r="AE37" s="359"/>
      <c r="AF37" s="360"/>
    </row>
    <row r="39" spans="1:32" ht="18" customHeight="1" thickBot="1">
      <c r="A39" s="96" t="s">
        <v>66</v>
      </c>
      <c r="O39" t="s">
        <v>0</v>
      </c>
      <c r="Q39" t="s">
        <v>67</v>
      </c>
      <c r="R39" t="s">
        <v>0</v>
      </c>
      <c r="S39" t="s">
        <v>68</v>
      </c>
    </row>
    <row r="40" spans="1:32" ht="18" customHeight="1">
      <c r="A40" s="6155" t="s">
        <v>69</v>
      </c>
      <c r="B40" s="6156"/>
      <c r="C40" s="6156"/>
      <c r="D40" s="6157" t="s">
        <v>70</v>
      </c>
      <c r="E40" s="6158"/>
      <c r="F40" s="6158"/>
      <c r="G40" s="6158"/>
      <c r="H40" s="6158"/>
      <c r="I40" s="6158"/>
      <c r="J40" s="6158"/>
      <c r="K40" s="6158"/>
      <c r="L40" s="6158"/>
      <c r="M40" s="6159" t="s">
        <v>71</v>
      </c>
      <c r="N40" s="6158"/>
      <c r="O40" s="6158"/>
      <c r="P40" s="6158"/>
      <c r="Q40" s="6158"/>
      <c r="R40" s="6158"/>
      <c r="S40" s="6160"/>
      <c r="T40" s="6161" t="s">
        <v>72</v>
      </c>
      <c r="U40" s="6161"/>
      <c r="V40" s="6161"/>
      <c r="W40" s="6161"/>
      <c r="X40" s="6161"/>
      <c r="Y40" s="6161"/>
      <c r="Z40" s="6161"/>
      <c r="AA40" s="6162" t="s">
        <v>73</v>
      </c>
      <c r="AB40" s="6163"/>
      <c r="AC40" s="6163"/>
      <c r="AD40" s="6163"/>
      <c r="AE40" s="6163"/>
      <c r="AF40" s="6163"/>
    </row>
    <row r="41" spans="1:32" ht="18" customHeight="1">
      <c r="A41" s="6009" t="s">
        <v>74</v>
      </c>
      <c r="B41" s="6010"/>
      <c r="C41" s="6010"/>
      <c r="D41" s="6011" t="s">
        <v>75</v>
      </c>
      <c r="E41" s="6012"/>
      <c r="F41" s="6013"/>
      <c r="G41" s="6013"/>
      <c r="H41" s="6013"/>
      <c r="I41" s="6013"/>
      <c r="J41" s="6013"/>
      <c r="K41" s="6013"/>
      <c r="L41" s="6014"/>
      <c r="M41" s="6015" t="s">
        <v>76</v>
      </c>
      <c r="N41" s="6010"/>
      <c r="O41" s="6016"/>
      <c r="P41" s="6010"/>
      <c r="Q41" s="6010"/>
      <c r="R41" s="6010"/>
      <c r="S41" s="6017"/>
      <c r="T41" s="6011" t="s">
        <v>77</v>
      </c>
      <c r="U41" s="6013"/>
      <c r="V41" s="6012"/>
      <c r="W41" s="6013"/>
      <c r="X41" s="6013"/>
      <c r="Y41" s="6013"/>
      <c r="Z41" s="6014"/>
      <c r="AA41" s="97" t="s">
        <v>78</v>
      </c>
      <c r="AD41" s="59"/>
    </row>
    <row r="42" spans="1:32" ht="18" customHeight="1">
      <c r="A42" s="6018" t="s">
        <v>79</v>
      </c>
      <c r="B42" s="6013"/>
      <c r="C42" s="6013"/>
      <c r="D42" s="6019"/>
      <c r="E42" s="6013"/>
      <c r="F42" s="6013"/>
      <c r="G42" s="6014"/>
      <c r="H42" s="6020" t="s">
        <v>80</v>
      </c>
      <c r="I42" s="6013"/>
      <c r="J42" s="6013"/>
      <c r="K42" s="6013"/>
      <c r="L42" s="6013"/>
      <c r="M42" s="6021"/>
      <c r="N42" s="6013"/>
      <c r="O42" s="6013"/>
      <c r="P42" s="6013"/>
      <c r="Q42" s="6013"/>
      <c r="R42" s="6013"/>
      <c r="S42" s="6013"/>
      <c r="T42" s="6019"/>
      <c r="U42" s="96" t="s">
        <v>81</v>
      </c>
      <c r="AA42" s="6016"/>
      <c r="AB42" s="6010"/>
      <c r="AC42" s="6010"/>
      <c r="AD42" s="6010"/>
      <c r="AE42" s="6010"/>
      <c r="AF42" s="6010"/>
    </row>
    <row r="43" spans="1:32" ht="18" customHeight="1" thickBot="1">
      <c r="A43" s="6022" t="s">
        <v>82</v>
      </c>
      <c r="B43" s="6023"/>
      <c r="C43" s="6023"/>
      <c r="D43" s="6024"/>
      <c r="E43" s="6023"/>
      <c r="F43" s="6023"/>
      <c r="G43" s="6025"/>
      <c r="H43" s="6026" t="s">
        <v>83</v>
      </c>
      <c r="I43" s="6025"/>
      <c r="J43" s="6023"/>
      <c r="K43" s="6023"/>
      <c r="L43" s="6023"/>
      <c r="M43" s="6027"/>
      <c r="N43" s="6023"/>
      <c r="O43" s="6023"/>
      <c r="P43" s="6023"/>
      <c r="Q43" s="6028"/>
      <c r="R43" s="6028"/>
      <c r="S43" s="6028"/>
      <c r="T43" s="6024"/>
      <c r="U43" s="6029" t="s">
        <v>84</v>
      </c>
      <c r="V43" s="6023"/>
      <c r="W43" s="6023"/>
      <c r="X43" s="6023"/>
      <c r="Y43" s="6023"/>
      <c r="Z43" s="6023"/>
      <c r="AA43" s="6023"/>
      <c r="AB43" s="6023"/>
      <c r="AC43" s="6023"/>
      <c r="AD43" s="6023"/>
      <c r="AE43" s="6023"/>
      <c r="AF43" s="6023"/>
    </row>
    <row r="44" spans="1:32" ht="18" customHeight="1" thickBot="1">
      <c r="A44" s="62" t="s">
        <v>36</v>
      </c>
      <c r="AF44" s="103"/>
    </row>
    <row r="45" spans="1:32" ht="18" customHeight="1" thickBot="1">
      <c r="A45" s="426" t="s">
        <v>523</v>
      </c>
      <c r="B45" s="6126">
        <v>1</v>
      </c>
      <c r="C45" s="6126">
        <v>2</v>
      </c>
      <c r="D45" s="6127">
        <v>3</v>
      </c>
      <c r="E45" s="6127">
        <v>4</v>
      </c>
      <c r="F45" s="6127">
        <v>5</v>
      </c>
      <c r="G45" s="6127">
        <v>6</v>
      </c>
      <c r="H45" s="6127">
        <v>7</v>
      </c>
      <c r="I45" s="6126">
        <v>8</v>
      </c>
      <c r="J45" s="6126">
        <v>9</v>
      </c>
      <c r="K45" s="6127">
        <v>10</v>
      </c>
      <c r="L45" s="6127">
        <v>11</v>
      </c>
      <c r="M45" s="6127">
        <v>12</v>
      </c>
      <c r="N45" s="6127">
        <v>13</v>
      </c>
      <c r="O45" s="6127">
        <v>14</v>
      </c>
      <c r="P45" s="6126">
        <v>15</v>
      </c>
      <c r="Q45" s="6126">
        <v>16</v>
      </c>
      <c r="R45" s="6127">
        <v>17</v>
      </c>
      <c r="S45" s="6127">
        <v>18</v>
      </c>
      <c r="T45" s="6127">
        <v>19</v>
      </c>
      <c r="U45" s="6127">
        <v>20</v>
      </c>
      <c r="V45" s="6127">
        <v>21</v>
      </c>
      <c r="W45" s="6126">
        <v>22</v>
      </c>
      <c r="X45" s="6126">
        <v>23</v>
      </c>
      <c r="Y45" s="6127">
        <v>24</v>
      </c>
      <c r="Z45" s="6127">
        <v>25</v>
      </c>
      <c r="AA45" s="6127">
        <v>26</v>
      </c>
      <c r="AB45" s="6127">
        <v>27</v>
      </c>
      <c r="AC45" s="6127">
        <v>28</v>
      </c>
      <c r="AD45" s="6126">
        <v>29</v>
      </c>
      <c r="AE45" s="6126">
        <v>30</v>
      </c>
      <c r="AF45" s="6127">
        <v>31</v>
      </c>
    </row>
    <row r="46" spans="1:32" ht="18" customHeight="1">
      <c r="A46" s="931" t="s">
        <v>85</v>
      </c>
      <c r="B46" s="6164" t="s">
        <v>89</v>
      </c>
      <c r="C46" s="6165" t="s">
        <v>89</v>
      </c>
      <c r="D46" s="6164">
        <v>8</v>
      </c>
      <c r="E46" s="6164">
        <v>8</v>
      </c>
      <c r="F46" s="6164">
        <v>8</v>
      </c>
      <c r="G46" s="6164">
        <v>8</v>
      </c>
      <c r="H46" s="6164">
        <v>8</v>
      </c>
      <c r="I46" s="6030"/>
      <c r="J46" s="6164"/>
      <c r="K46" s="6164" t="s">
        <v>46</v>
      </c>
      <c r="L46" s="6164" t="s">
        <v>46</v>
      </c>
      <c r="M46" s="6164" t="s">
        <v>46</v>
      </c>
      <c r="N46" s="6165" t="s">
        <v>46</v>
      </c>
      <c r="O46" s="6164" t="s">
        <v>46</v>
      </c>
      <c r="P46" s="6166"/>
      <c r="Q46" s="6165"/>
      <c r="R46" s="6164">
        <v>1</v>
      </c>
      <c r="S46" s="6164">
        <v>1</v>
      </c>
      <c r="T46" s="6164">
        <v>1</v>
      </c>
      <c r="U46" s="6164">
        <v>1</v>
      </c>
      <c r="V46" s="6164">
        <v>1</v>
      </c>
      <c r="W46" s="6166"/>
      <c r="X46" s="6166"/>
      <c r="Y46" s="6164">
        <v>9</v>
      </c>
      <c r="Z46" s="6164">
        <v>9</v>
      </c>
      <c r="AA46" s="6166">
        <v>9</v>
      </c>
      <c r="AB46" s="6166">
        <v>9</v>
      </c>
      <c r="AC46" s="6166">
        <v>9</v>
      </c>
      <c r="AD46" s="6164" t="s">
        <v>52</v>
      </c>
      <c r="AE46" s="6164" t="s">
        <v>53</v>
      </c>
      <c r="AF46" s="6164" t="s">
        <v>46</v>
      </c>
    </row>
    <row r="47" spans="1:32" ht="18" customHeight="1">
      <c r="A47" s="364" t="s">
        <v>177</v>
      </c>
      <c r="B47" s="6031" t="s">
        <v>91</v>
      </c>
      <c r="C47" s="6031" t="s">
        <v>89</v>
      </c>
      <c r="D47" s="6031">
        <v>6</v>
      </c>
      <c r="E47" s="6031">
        <v>6</v>
      </c>
      <c r="F47" s="6031">
        <v>6</v>
      </c>
      <c r="G47" s="6031">
        <v>6</v>
      </c>
      <c r="H47" s="6031">
        <v>6</v>
      </c>
      <c r="I47" s="6031"/>
      <c r="J47" s="6031"/>
      <c r="K47" s="6031" t="s">
        <v>46</v>
      </c>
      <c r="L47" s="6031" t="s">
        <v>46</v>
      </c>
      <c r="M47" s="6031" t="s">
        <v>46</v>
      </c>
      <c r="N47" s="6031" t="s">
        <v>46</v>
      </c>
      <c r="O47" s="6031" t="s">
        <v>46</v>
      </c>
      <c r="P47" s="6031"/>
      <c r="Q47" s="6031"/>
      <c r="R47" s="6031">
        <v>5</v>
      </c>
      <c r="S47" s="6031">
        <v>5</v>
      </c>
      <c r="T47" s="6031">
        <v>5</v>
      </c>
      <c r="U47" s="6031">
        <v>5</v>
      </c>
      <c r="V47" s="6031">
        <v>5</v>
      </c>
      <c r="W47" s="6031"/>
      <c r="X47" s="6031"/>
      <c r="Y47" s="6031">
        <v>10</v>
      </c>
      <c r="Z47" s="6031">
        <v>10</v>
      </c>
      <c r="AA47" s="6031">
        <v>10</v>
      </c>
      <c r="AB47" s="6031">
        <v>10</v>
      </c>
      <c r="AC47" s="6031">
        <v>10</v>
      </c>
      <c r="AD47" s="6031" t="s">
        <v>53</v>
      </c>
      <c r="AE47" s="6031" t="s">
        <v>53</v>
      </c>
      <c r="AF47" s="6031" t="s">
        <v>46</v>
      </c>
    </row>
    <row r="48" spans="1:32" ht="18" customHeight="1" thickBot="1">
      <c r="A48" s="469" t="s">
        <v>90</v>
      </c>
      <c r="B48" s="6032" t="s">
        <v>86</v>
      </c>
      <c r="C48" s="6032" t="s">
        <v>86</v>
      </c>
      <c r="D48" s="6033">
        <v>7</v>
      </c>
      <c r="E48" s="6032">
        <v>7</v>
      </c>
      <c r="F48" s="6032">
        <v>7</v>
      </c>
      <c r="G48" s="6032">
        <v>7</v>
      </c>
      <c r="H48" s="6032">
        <v>7</v>
      </c>
      <c r="I48" s="6032"/>
      <c r="J48" s="6032"/>
      <c r="K48" s="6032">
        <v>4</v>
      </c>
      <c r="L48" s="6034">
        <v>4</v>
      </c>
      <c r="M48" s="6032">
        <v>4</v>
      </c>
      <c r="N48" s="6032">
        <v>4</v>
      </c>
      <c r="O48" s="6032">
        <v>4</v>
      </c>
      <c r="P48" s="6032"/>
      <c r="Q48" s="6032"/>
      <c r="R48" s="6032">
        <v>3</v>
      </c>
      <c r="S48" s="6035">
        <v>3</v>
      </c>
      <c r="T48" s="6032">
        <v>3</v>
      </c>
      <c r="U48" s="6032">
        <v>3</v>
      </c>
      <c r="V48" s="6032">
        <v>3</v>
      </c>
      <c r="W48" s="6032"/>
      <c r="X48" s="6032"/>
      <c r="Y48" s="6032">
        <v>11</v>
      </c>
      <c r="Z48" s="6032">
        <v>11</v>
      </c>
      <c r="AA48" s="6032">
        <v>11</v>
      </c>
      <c r="AB48" s="6032">
        <v>11</v>
      </c>
      <c r="AC48" s="6032">
        <v>11</v>
      </c>
      <c r="AD48" s="6032" t="s">
        <v>87</v>
      </c>
      <c r="AE48" s="6032" t="s">
        <v>87</v>
      </c>
      <c r="AF48" s="6032" t="s">
        <v>46</v>
      </c>
    </row>
    <row r="49" spans="1:32" ht="18" customHeight="1">
      <c r="A49" s="470" t="s">
        <v>92</v>
      </c>
      <c r="B49" s="6167"/>
      <c r="C49" s="6134"/>
      <c r="D49" s="6134" t="s">
        <v>46</v>
      </c>
      <c r="E49" s="6167" t="s">
        <v>46</v>
      </c>
      <c r="F49" s="6167" t="s">
        <v>46</v>
      </c>
      <c r="G49" s="6164" t="s">
        <v>46</v>
      </c>
      <c r="H49" s="6164" t="s">
        <v>46</v>
      </c>
      <c r="I49" s="6165"/>
      <c r="J49" s="6165"/>
      <c r="K49" s="6164">
        <v>1</v>
      </c>
      <c r="L49" s="6164">
        <v>1</v>
      </c>
      <c r="M49" s="6164">
        <v>1</v>
      </c>
      <c r="N49" s="6166">
        <v>1</v>
      </c>
      <c r="O49" s="6164">
        <v>1</v>
      </c>
      <c r="P49" s="6166"/>
      <c r="Q49" s="6166"/>
      <c r="R49" s="6165">
        <v>9</v>
      </c>
      <c r="S49" s="6166">
        <v>9</v>
      </c>
      <c r="T49" s="6166">
        <v>9</v>
      </c>
      <c r="U49" s="6168">
        <v>9</v>
      </c>
      <c r="V49" s="6168">
        <v>9</v>
      </c>
      <c r="W49" s="6168" t="s">
        <v>52</v>
      </c>
      <c r="X49" s="6169" t="s">
        <v>53</v>
      </c>
      <c r="Y49" s="6169" t="s">
        <v>46</v>
      </c>
      <c r="Z49" s="6169" t="s">
        <v>46</v>
      </c>
      <c r="AA49" s="6164" t="s">
        <v>46</v>
      </c>
      <c r="AB49" s="6166" t="s">
        <v>46</v>
      </c>
      <c r="AC49" s="6166" t="s">
        <v>46</v>
      </c>
      <c r="AD49" s="6164" t="s">
        <v>91</v>
      </c>
      <c r="AE49" s="6164" t="s">
        <v>89</v>
      </c>
      <c r="AF49" s="6167">
        <v>6</v>
      </c>
    </row>
    <row r="50" spans="1:32" ht="18" customHeight="1">
      <c r="A50" s="365" t="s">
        <v>243</v>
      </c>
      <c r="B50" s="6036"/>
      <c r="C50" s="6036"/>
      <c r="D50" s="6036" t="s">
        <v>46</v>
      </c>
      <c r="E50" s="6037" t="s">
        <v>46</v>
      </c>
      <c r="F50" s="6037" t="s">
        <v>46</v>
      </c>
      <c r="G50" s="6038" t="s">
        <v>46</v>
      </c>
      <c r="H50" s="6038" t="s">
        <v>46</v>
      </c>
      <c r="I50" s="6039"/>
      <c r="J50" s="6039"/>
      <c r="K50" s="6038">
        <v>5</v>
      </c>
      <c r="L50" s="6040">
        <v>5</v>
      </c>
      <c r="M50" s="6041">
        <v>5</v>
      </c>
      <c r="N50" s="6041">
        <v>5</v>
      </c>
      <c r="O50" s="6041">
        <v>5</v>
      </c>
      <c r="P50" s="6041"/>
      <c r="Q50" s="6041"/>
      <c r="R50" s="6041">
        <v>10</v>
      </c>
      <c r="S50" s="108">
        <v>10</v>
      </c>
      <c r="T50" s="6037">
        <v>10</v>
      </c>
      <c r="U50" s="6042">
        <v>10</v>
      </c>
      <c r="V50" s="6042">
        <v>10</v>
      </c>
      <c r="W50" s="6042" t="s">
        <v>53</v>
      </c>
      <c r="X50" s="6038" t="s">
        <v>53</v>
      </c>
      <c r="Y50" s="6038" t="s">
        <v>46</v>
      </c>
      <c r="Z50" s="6039" t="s">
        <v>46</v>
      </c>
      <c r="AA50" s="108" t="s">
        <v>46</v>
      </c>
      <c r="AB50" s="6038" t="s">
        <v>46</v>
      </c>
      <c r="AC50" s="6038" t="s">
        <v>46</v>
      </c>
      <c r="AD50" s="6038" t="s">
        <v>86</v>
      </c>
      <c r="AE50" s="6038" t="s">
        <v>86</v>
      </c>
      <c r="AF50" s="6036">
        <v>7</v>
      </c>
    </row>
    <row r="51" spans="1:32" ht="18" customHeight="1" thickBot="1">
      <c r="A51" s="401" t="s">
        <v>94</v>
      </c>
      <c r="B51" s="6034"/>
      <c r="C51" s="6034"/>
      <c r="D51" s="6034">
        <v>4</v>
      </c>
      <c r="E51" s="6034">
        <v>4</v>
      </c>
      <c r="F51" s="6034">
        <v>4</v>
      </c>
      <c r="G51" s="6034">
        <v>4</v>
      </c>
      <c r="H51" s="6034">
        <v>4</v>
      </c>
      <c r="I51" s="6034"/>
      <c r="J51" s="6034"/>
      <c r="K51" s="6034">
        <v>3</v>
      </c>
      <c r="L51" s="6034">
        <v>3</v>
      </c>
      <c r="M51" s="6034">
        <v>3</v>
      </c>
      <c r="N51" s="6034">
        <v>3</v>
      </c>
      <c r="O51" s="6034">
        <v>3</v>
      </c>
      <c r="P51" s="6034"/>
      <c r="Q51" s="6034"/>
      <c r="R51" s="6034">
        <v>11</v>
      </c>
      <c r="S51" s="6034">
        <v>11</v>
      </c>
      <c r="T51" s="6034">
        <v>11</v>
      </c>
      <c r="U51" s="6034">
        <v>11</v>
      </c>
      <c r="V51" s="6034">
        <v>11</v>
      </c>
      <c r="W51" s="6034" t="s">
        <v>87</v>
      </c>
      <c r="X51" s="6034" t="s">
        <v>87</v>
      </c>
      <c r="Y51" s="6034" t="s">
        <v>46</v>
      </c>
      <c r="Z51" s="6034" t="s">
        <v>46</v>
      </c>
      <c r="AA51" s="6034" t="s">
        <v>46</v>
      </c>
      <c r="AB51" s="6034" t="s">
        <v>46</v>
      </c>
      <c r="AC51" s="6034" t="s">
        <v>46</v>
      </c>
      <c r="AD51" s="6034" t="s">
        <v>89</v>
      </c>
      <c r="AE51" s="6034" t="s">
        <v>89</v>
      </c>
      <c r="AF51" s="6034">
        <v>8</v>
      </c>
    </row>
    <row r="52" spans="1:32" ht="18" customHeight="1">
      <c r="A52" s="471" t="s">
        <v>95</v>
      </c>
      <c r="B52" s="501"/>
      <c r="C52" s="508"/>
      <c r="D52" s="504">
        <v>1</v>
      </c>
      <c r="E52" s="504">
        <v>1</v>
      </c>
      <c r="F52" s="504">
        <v>1</v>
      </c>
      <c r="G52" s="504">
        <v>1</v>
      </c>
      <c r="H52" s="504">
        <v>1</v>
      </c>
      <c r="I52" s="508"/>
      <c r="J52" s="508"/>
      <c r="K52" s="508">
        <v>9</v>
      </c>
      <c r="L52" s="508">
        <v>9</v>
      </c>
      <c r="M52" s="508">
        <v>9</v>
      </c>
      <c r="N52" s="508">
        <v>9</v>
      </c>
      <c r="O52" s="508">
        <v>9</v>
      </c>
      <c r="P52" s="508" t="s">
        <v>52</v>
      </c>
      <c r="Q52" s="504" t="s">
        <v>53</v>
      </c>
      <c r="R52" s="504" t="s">
        <v>46</v>
      </c>
      <c r="S52" s="504" t="s">
        <v>46</v>
      </c>
      <c r="T52" s="504" t="s">
        <v>46</v>
      </c>
      <c r="U52" s="508" t="s">
        <v>46</v>
      </c>
      <c r="V52" s="508" t="s">
        <v>46</v>
      </c>
      <c r="W52" s="501" t="s">
        <v>91</v>
      </c>
      <c r="X52" s="504" t="s">
        <v>89</v>
      </c>
      <c r="Y52" s="504">
        <v>6</v>
      </c>
      <c r="Z52" s="504">
        <v>6</v>
      </c>
      <c r="AA52" s="504">
        <v>6</v>
      </c>
      <c r="AB52" s="509">
        <v>6</v>
      </c>
      <c r="AC52" s="504">
        <v>6</v>
      </c>
      <c r="AD52" s="504"/>
      <c r="AE52" s="504"/>
      <c r="AF52" s="501" t="s">
        <v>46</v>
      </c>
    </row>
    <row r="53" spans="1:32" ht="18" customHeight="1">
      <c r="A53" s="364" t="s">
        <v>96</v>
      </c>
      <c r="B53" s="6043"/>
      <c r="C53" s="6043"/>
      <c r="D53" s="6043">
        <v>5</v>
      </c>
      <c r="E53" s="6043">
        <v>5</v>
      </c>
      <c r="F53" s="6043">
        <v>5</v>
      </c>
      <c r="G53" s="6043">
        <v>5</v>
      </c>
      <c r="H53" s="6043">
        <v>5</v>
      </c>
      <c r="I53" s="6043"/>
      <c r="J53" s="6043"/>
      <c r="K53" s="6043">
        <v>10</v>
      </c>
      <c r="L53" s="6043">
        <v>10</v>
      </c>
      <c r="M53" s="6043">
        <v>10</v>
      </c>
      <c r="N53" s="6043">
        <v>10</v>
      </c>
      <c r="O53" s="6043">
        <v>10</v>
      </c>
      <c r="P53" s="6043" t="s">
        <v>53</v>
      </c>
      <c r="Q53" s="6043" t="s">
        <v>53</v>
      </c>
      <c r="R53" s="6043" t="s">
        <v>46</v>
      </c>
      <c r="S53" s="6043" t="s">
        <v>46</v>
      </c>
      <c r="T53" s="6043" t="s">
        <v>46</v>
      </c>
      <c r="U53" s="6043" t="s">
        <v>46</v>
      </c>
      <c r="V53" s="6043" t="s">
        <v>46</v>
      </c>
      <c r="W53" s="6043" t="s">
        <v>86</v>
      </c>
      <c r="X53" s="6038" t="s">
        <v>86</v>
      </c>
      <c r="Y53" s="6038">
        <v>7</v>
      </c>
      <c r="Z53" s="6038">
        <v>7</v>
      </c>
      <c r="AA53" s="6038">
        <v>7</v>
      </c>
      <c r="AB53" s="6038">
        <v>7</v>
      </c>
      <c r="AC53" s="6042">
        <v>7</v>
      </c>
      <c r="AD53" s="6042"/>
      <c r="AE53" s="6041"/>
      <c r="AF53" s="6043">
        <v>4</v>
      </c>
    </row>
    <row r="54" spans="1:32" ht="18" customHeight="1" thickBot="1">
      <c r="A54" s="469" t="s">
        <v>147</v>
      </c>
      <c r="B54" s="6044"/>
      <c r="C54" s="6044"/>
      <c r="D54" s="6032">
        <v>3</v>
      </c>
      <c r="E54" s="6032">
        <v>3</v>
      </c>
      <c r="F54" s="6032">
        <v>3</v>
      </c>
      <c r="G54" s="6032">
        <v>3</v>
      </c>
      <c r="H54" s="6032">
        <v>3</v>
      </c>
      <c r="I54" s="6044"/>
      <c r="J54" s="6032"/>
      <c r="K54" s="6045">
        <v>11</v>
      </c>
      <c r="L54" s="6032">
        <v>11</v>
      </c>
      <c r="M54" s="6045">
        <v>11</v>
      </c>
      <c r="N54" s="6045">
        <v>11</v>
      </c>
      <c r="O54" s="6045">
        <v>11</v>
      </c>
      <c r="P54" s="6032" t="s">
        <v>87</v>
      </c>
      <c r="Q54" s="6032" t="s">
        <v>87</v>
      </c>
      <c r="R54" s="6032" t="s">
        <v>46</v>
      </c>
      <c r="S54" s="6032" t="s">
        <v>46</v>
      </c>
      <c r="T54" s="6032" t="s">
        <v>46</v>
      </c>
      <c r="U54" s="6032" t="s">
        <v>46</v>
      </c>
      <c r="V54" s="6032" t="s">
        <v>46</v>
      </c>
      <c r="W54" s="6032" t="s">
        <v>89</v>
      </c>
      <c r="X54" s="6044" t="s">
        <v>89</v>
      </c>
      <c r="Y54" s="6032">
        <v>8</v>
      </c>
      <c r="Z54" s="6032">
        <v>8</v>
      </c>
      <c r="AA54" s="6032">
        <v>8</v>
      </c>
      <c r="AB54" s="6032">
        <v>8</v>
      </c>
      <c r="AC54" s="6032">
        <v>8</v>
      </c>
      <c r="AD54" s="6034"/>
      <c r="AE54" s="6032"/>
      <c r="AF54" s="6044" t="s">
        <v>46</v>
      </c>
    </row>
    <row r="55" spans="1:32" ht="18" customHeight="1">
      <c r="A55" s="473"/>
      <c r="B55" s="501"/>
      <c r="C55" s="508"/>
      <c r="D55" s="504">
        <v>9</v>
      </c>
      <c r="E55" s="504">
        <v>9</v>
      </c>
      <c r="F55" s="504">
        <v>9</v>
      </c>
      <c r="G55" s="504">
        <v>9</v>
      </c>
      <c r="H55" s="504">
        <v>9</v>
      </c>
      <c r="I55" s="508" t="s">
        <v>52</v>
      </c>
      <c r="J55" s="508" t="s">
        <v>53</v>
      </c>
      <c r="K55" s="508" t="s">
        <v>46</v>
      </c>
      <c r="L55" s="508" t="s">
        <v>46</v>
      </c>
      <c r="M55" s="508" t="s">
        <v>46</v>
      </c>
      <c r="N55" s="508" t="s">
        <v>46</v>
      </c>
      <c r="O55" s="508" t="s">
        <v>46</v>
      </c>
      <c r="P55" s="508" t="s">
        <v>91</v>
      </c>
      <c r="Q55" s="504" t="s">
        <v>89</v>
      </c>
      <c r="R55" s="504">
        <v>6</v>
      </c>
      <c r="S55" s="504">
        <v>6</v>
      </c>
      <c r="T55" s="504">
        <v>6</v>
      </c>
      <c r="U55" s="508">
        <v>6</v>
      </c>
      <c r="V55" s="508">
        <v>6</v>
      </c>
      <c r="W55" s="501"/>
      <c r="X55" s="504"/>
      <c r="Y55" s="504" t="s">
        <v>46</v>
      </c>
      <c r="Z55" s="504" t="s">
        <v>46</v>
      </c>
      <c r="AA55" s="504" t="s">
        <v>46</v>
      </c>
      <c r="AB55" s="509" t="s">
        <v>46</v>
      </c>
      <c r="AC55" s="504" t="s">
        <v>46</v>
      </c>
      <c r="AD55" s="504"/>
      <c r="AE55" s="504"/>
      <c r="AF55" s="501">
        <v>5</v>
      </c>
    </row>
    <row r="56" spans="1:32" ht="18" customHeight="1">
      <c r="A56" s="470" t="s">
        <v>101</v>
      </c>
      <c r="B56" s="6043"/>
      <c r="C56" s="6043"/>
      <c r="D56" s="6043">
        <v>10</v>
      </c>
      <c r="E56" s="6043">
        <v>10</v>
      </c>
      <c r="F56" s="6043">
        <v>10</v>
      </c>
      <c r="G56" s="6043">
        <v>10</v>
      </c>
      <c r="H56" s="6040">
        <v>10</v>
      </c>
      <c r="I56" s="6043" t="s">
        <v>53</v>
      </c>
      <c r="J56" s="6043" t="s">
        <v>53</v>
      </c>
      <c r="K56" s="6043" t="s">
        <v>46</v>
      </c>
      <c r="L56" s="6043" t="s">
        <v>46</v>
      </c>
      <c r="M56" s="6042" t="s">
        <v>46</v>
      </c>
      <c r="N56" s="6043" t="s">
        <v>46</v>
      </c>
      <c r="O56" s="6043" t="s">
        <v>46</v>
      </c>
      <c r="P56" s="6043" t="s">
        <v>86</v>
      </c>
      <c r="Q56" s="6043" t="s">
        <v>86</v>
      </c>
      <c r="R56" s="6043">
        <v>7</v>
      </c>
      <c r="S56" s="6043">
        <v>7</v>
      </c>
      <c r="T56" s="6043">
        <v>7</v>
      </c>
      <c r="U56" s="6038">
        <v>7</v>
      </c>
      <c r="V56" s="6038">
        <v>7</v>
      </c>
      <c r="W56" s="6039"/>
      <c r="X56" s="6038"/>
      <c r="Y56" s="6038">
        <v>4</v>
      </c>
      <c r="Z56" s="6038">
        <v>4</v>
      </c>
      <c r="AA56" s="6038">
        <v>4</v>
      </c>
      <c r="AB56" s="6038">
        <v>4</v>
      </c>
      <c r="AC56" s="6042">
        <v>4</v>
      </c>
      <c r="AD56" s="6042"/>
      <c r="AE56" s="6041"/>
      <c r="AF56" s="6043">
        <v>3</v>
      </c>
    </row>
    <row r="57" spans="1:32" ht="18" customHeight="1" thickBot="1">
      <c r="A57" s="469" t="s">
        <v>102</v>
      </c>
      <c r="B57" s="6044"/>
      <c r="C57" s="6044"/>
      <c r="D57" s="6032">
        <v>11</v>
      </c>
      <c r="E57" s="6032">
        <v>11</v>
      </c>
      <c r="F57" s="6032">
        <v>11</v>
      </c>
      <c r="G57" s="6032">
        <v>11</v>
      </c>
      <c r="H57" s="6032">
        <v>11</v>
      </c>
      <c r="I57" s="6044" t="s">
        <v>87</v>
      </c>
      <c r="J57" s="6032" t="s">
        <v>87</v>
      </c>
      <c r="K57" s="6045" t="s">
        <v>46</v>
      </c>
      <c r="L57" s="6032" t="s">
        <v>46</v>
      </c>
      <c r="M57" s="6045" t="s">
        <v>46</v>
      </c>
      <c r="N57" s="6045" t="s">
        <v>46</v>
      </c>
      <c r="O57" s="6045" t="s">
        <v>46</v>
      </c>
      <c r="P57" s="6032" t="s">
        <v>89</v>
      </c>
      <c r="Q57" s="6032" t="s">
        <v>89</v>
      </c>
      <c r="R57" s="6032">
        <v>8</v>
      </c>
      <c r="S57" s="6032">
        <v>8</v>
      </c>
      <c r="T57" s="6032">
        <v>8</v>
      </c>
      <c r="U57" s="6032">
        <v>8</v>
      </c>
      <c r="V57" s="6032">
        <v>8</v>
      </c>
      <c r="W57" s="6034"/>
      <c r="X57" s="6044"/>
      <c r="Y57" s="6032" t="s">
        <v>46</v>
      </c>
      <c r="Z57" s="6032" t="s">
        <v>46</v>
      </c>
      <c r="AA57" s="6032" t="s">
        <v>46</v>
      </c>
      <c r="AB57" s="6032" t="s">
        <v>46</v>
      </c>
      <c r="AC57" s="6032" t="s">
        <v>46</v>
      </c>
      <c r="AD57" s="6044"/>
      <c r="AE57" s="6032"/>
      <c r="AF57" s="6044">
        <v>1</v>
      </c>
    </row>
    <row r="58" spans="1:32" ht="18" customHeight="1">
      <c r="A58" s="474" t="s">
        <v>190</v>
      </c>
      <c r="B58" s="6165" t="s">
        <v>52</v>
      </c>
      <c r="C58" s="6167" t="s">
        <v>53</v>
      </c>
      <c r="D58" s="6167" t="s">
        <v>46</v>
      </c>
      <c r="E58" s="6167" t="s">
        <v>46</v>
      </c>
      <c r="F58" s="6167" t="s">
        <v>46</v>
      </c>
      <c r="G58" s="6167" t="s">
        <v>46</v>
      </c>
      <c r="H58" s="6167" t="s">
        <v>46</v>
      </c>
      <c r="I58" s="6167" t="s">
        <v>91</v>
      </c>
      <c r="J58" s="6164" t="s">
        <v>89</v>
      </c>
      <c r="K58" s="6164">
        <v>6</v>
      </c>
      <c r="L58" s="6164">
        <v>6</v>
      </c>
      <c r="M58" s="6170">
        <v>6</v>
      </c>
      <c r="N58" s="6165">
        <v>6</v>
      </c>
      <c r="O58" s="6164">
        <v>6</v>
      </c>
      <c r="P58" s="6164"/>
      <c r="Q58" s="6165"/>
      <c r="R58" s="6164" t="s">
        <v>46</v>
      </c>
      <c r="S58" s="6164" t="s">
        <v>46</v>
      </c>
      <c r="T58" s="6166" t="s">
        <v>46</v>
      </c>
      <c r="U58" s="6166" t="s">
        <v>46</v>
      </c>
      <c r="V58" s="6166" t="s">
        <v>46</v>
      </c>
      <c r="W58" s="6166"/>
      <c r="X58" s="6170"/>
      <c r="Y58" s="6166">
        <v>5</v>
      </c>
      <c r="Z58" s="6166">
        <v>5</v>
      </c>
      <c r="AA58" s="6166">
        <v>5</v>
      </c>
      <c r="AB58" s="6166">
        <v>5</v>
      </c>
      <c r="AC58" s="6164">
        <v>5</v>
      </c>
      <c r="AD58" s="6164"/>
      <c r="AE58" s="6165"/>
      <c r="AF58" s="6165">
        <v>10</v>
      </c>
    </row>
    <row r="59" spans="1:32" ht="18" customHeight="1">
      <c r="A59" s="364" t="s">
        <v>105</v>
      </c>
      <c r="B59" s="6042" t="s">
        <v>53</v>
      </c>
      <c r="C59" s="6042" t="s">
        <v>53</v>
      </c>
      <c r="D59" s="6042" t="s">
        <v>46</v>
      </c>
      <c r="E59" s="6042" t="s">
        <v>46</v>
      </c>
      <c r="F59" s="6042" t="s">
        <v>46</v>
      </c>
      <c r="G59" s="6042" t="s">
        <v>46</v>
      </c>
      <c r="H59" s="6040" t="s">
        <v>46</v>
      </c>
      <c r="I59" s="6040" t="s">
        <v>86</v>
      </c>
      <c r="J59" s="6040" t="s">
        <v>86</v>
      </c>
      <c r="K59" s="6040">
        <v>7</v>
      </c>
      <c r="L59" s="6040">
        <v>7</v>
      </c>
      <c r="M59" s="6040">
        <v>7</v>
      </c>
      <c r="N59" s="6042">
        <v>7</v>
      </c>
      <c r="O59" s="6042">
        <v>7</v>
      </c>
      <c r="P59" s="6042"/>
      <c r="Q59" s="6042"/>
      <c r="R59" s="6042">
        <v>4</v>
      </c>
      <c r="S59" s="6040">
        <v>4</v>
      </c>
      <c r="T59" s="6040">
        <v>4</v>
      </c>
      <c r="U59" s="6043">
        <v>4</v>
      </c>
      <c r="V59" s="6043">
        <v>4</v>
      </c>
      <c r="W59" s="6043"/>
      <c r="X59" s="6043"/>
      <c r="Y59" s="6043">
        <v>3</v>
      </c>
      <c r="Z59" s="6043">
        <v>3</v>
      </c>
      <c r="AA59" s="6043">
        <v>3</v>
      </c>
      <c r="AB59" s="6038">
        <v>3</v>
      </c>
      <c r="AC59" s="6038">
        <v>3</v>
      </c>
      <c r="AD59" s="6038"/>
      <c r="AE59" s="6038"/>
      <c r="AF59" s="6042">
        <v>11</v>
      </c>
    </row>
    <row r="60" spans="1:32" ht="18" customHeight="1" thickBot="1">
      <c r="A60" s="367" t="s">
        <v>134</v>
      </c>
      <c r="B60" s="6032" t="s">
        <v>87</v>
      </c>
      <c r="C60" s="6032" t="s">
        <v>87</v>
      </c>
      <c r="D60" s="6032" t="s">
        <v>46</v>
      </c>
      <c r="E60" s="6045" t="s">
        <v>46</v>
      </c>
      <c r="F60" s="6045" t="s">
        <v>46</v>
      </c>
      <c r="G60" s="6045" t="s">
        <v>46</v>
      </c>
      <c r="H60" s="6045" t="s">
        <v>46</v>
      </c>
      <c r="I60" s="6045" t="s">
        <v>89</v>
      </c>
      <c r="J60" s="6044" t="s">
        <v>89</v>
      </c>
      <c r="K60" s="6032">
        <v>8</v>
      </c>
      <c r="L60" s="6032">
        <v>8</v>
      </c>
      <c r="M60" s="6032">
        <v>8</v>
      </c>
      <c r="N60" s="6034">
        <v>8</v>
      </c>
      <c r="O60" s="6034">
        <v>8</v>
      </c>
      <c r="P60" s="6034"/>
      <c r="Q60" s="6034"/>
      <c r="R60" s="6034" t="s">
        <v>46</v>
      </c>
      <c r="S60" s="6034" t="s">
        <v>46</v>
      </c>
      <c r="T60" s="6034" t="s">
        <v>46</v>
      </c>
      <c r="U60" s="6032" t="s">
        <v>46</v>
      </c>
      <c r="V60" s="6032" t="s">
        <v>46</v>
      </c>
      <c r="W60" s="6032"/>
      <c r="X60" s="6044"/>
      <c r="Y60" s="6032">
        <v>1</v>
      </c>
      <c r="Z60" s="6032">
        <v>1</v>
      </c>
      <c r="AA60" s="6032">
        <v>1</v>
      </c>
      <c r="AB60" s="6032">
        <v>1</v>
      </c>
      <c r="AC60" s="6032">
        <v>1</v>
      </c>
      <c r="AD60" s="6044"/>
      <c r="AE60" s="6044"/>
      <c r="AF60" s="6032">
        <v>9</v>
      </c>
    </row>
    <row r="61" spans="1:32" ht="18" customHeight="1">
      <c r="B61" s="6046"/>
      <c r="C61" s="6047"/>
      <c r="D61" s="6047"/>
      <c r="E61" s="6047"/>
      <c r="K61" s="6048"/>
      <c r="L61" s="6048"/>
      <c r="O61" s="6048"/>
      <c r="P61" s="6048"/>
      <c r="Q61" s="6048"/>
      <c r="T61" s="6046"/>
      <c r="U61" s="6046"/>
      <c r="V61" s="6048"/>
      <c r="W61" s="6048"/>
      <c r="X61" s="6049"/>
      <c r="Y61" s="6049"/>
      <c r="Z61" s="6049"/>
      <c r="AA61" s="6049"/>
      <c r="AB61" s="6049"/>
      <c r="AC61" s="6049"/>
      <c r="AD61" s="6049"/>
      <c r="AE61" s="6049"/>
    </row>
    <row r="62" spans="1:32" ht="12.75" thickBot="1"/>
    <row r="63" spans="1:32" ht="18" customHeight="1" thickBot="1">
      <c r="A63" s="363" t="s">
        <v>537</v>
      </c>
      <c r="B63" s="6126">
        <v>1</v>
      </c>
      <c r="C63" s="6126">
        <v>2</v>
      </c>
      <c r="D63" s="6127">
        <v>3</v>
      </c>
      <c r="E63" s="6127">
        <v>4</v>
      </c>
      <c r="F63" s="6127">
        <v>5</v>
      </c>
      <c r="G63" s="6127">
        <v>6</v>
      </c>
      <c r="H63" s="6127">
        <v>7</v>
      </c>
      <c r="I63" s="6126">
        <v>8</v>
      </c>
      <c r="J63" s="6126">
        <v>9</v>
      </c>
      <c r="K63" s="6127">
        <v>10</v>
      </c>
      <c r="L63" s="6127">
        <v>11</v>
      </c>
      <c r="M63" s="6127">
        <v>12</v>
      </c>
      <c r="N63" s="6127">
        <v>13</v>
      </c>
      <c r="O63" s="6127">
        <v>14</v>
      </c>
      <c r="P63" s="6126">
        <v>15</v>
      </c>
      <c r="Q63" s="6126">
        <v>16</v>
      </c>
      <c r="R63" s="6127">
        <v>17</v>
      </c>
      <c r="S63" s="6127">
        <v>18</v>
      </c>
      <c r="T63" s="6127">
        <v>19</v>
      </c>
      <c r="U63" s="6127">
        <v>20</v>
      </c>
      <c r="V63" s="6127">
        <v>21</v>
      </c>
      <c r="W63" s="6126">
        <v>22</v>
      </c>
      <c r="X63" s="6126">
        <v>23</v>
      </c>
      <c r="Y63" s="6127">
        <v>24</v>
      </c>
      <c r="Z63" s="6127">
        <v>25</v>
      </c>
      <c r="AA63" s="6127">
        <v>26</v>
      </c>
      <c r="AB63" s="6127">
        <v>27</v>
      </c>
      <c r="AC63" s="6127">
        <v>28</v>
      </c>
      <c r="AD63" s="6126">
        <v>29</v>
      </c>
      <c r="AE63" s="6126">
        <v>30</v>
      </c>
      <c r="AF63" s="6127">
        <v>31</v>
      </c>
    </row>
    <row r="64" spans="1:32" ht="18" customHeight="1">
      <c r="A64" s="5587" t="s">
        <v>112</v>
      </c>
      <c r="B64" s="6043"/>
      <c r="C64" s="6043"/>
      <c r="D64" s="6042" t="s">
        <v>40</v>
      </c>
      <c r="E64" s="6042" t="s">
        <v>40</v>
      </c>
      <c r="F64" s="6042" t="s">
        <v>40</v>
      </c>
      <c r="G64" s="6039" t="s">
        <v>40</v>
      </c>
      <c r="H64" s="6039" t="s">
        <v>40</v>
      </c>
      <c r="I64" s="6039"/>
      <c r="J64" s="6043"/>
      <c r="K64" s="6043" t="s">
        <v>40</v>
      </c>
      <c r="L64" s="6043" t="s">
        <v>40</v>
      </c>
      <c r="M64" s="6043" t="s">
        <v>40</v>
      </c>
      <c r="N64" s="6039" t="s">
        <v>40</v>
      </c>
      <c r="O64" s="6039" t="s">
        <v>40</v>
      </c>
      <c r="P64" s="6039"/>
      <c r="Q64" s="6039"/>
      <c r="R64" s="6039" t="s">
        <v>40</v>
      </c>
      <c r="S64" s="6043" t="s">
        <v>40</v>
      </c>
      <c r="T64" s="6043" t="s">
        <v>40</v>
      </c>
      <c r="U64" s="6039" t="s">
        <v>40</v>
      </c>
      <c r="V64" s="6039" t="s">
        <v>40</v>
      </c>
      <c r="W64" s="6043"/>
      <c r="X64" s="6043"/>
      <c r="Y64" s="6043" t="s">
        <v>40</v>
      </c>
      <c r="Z64" s="6043" t="s">
        <v>40</v>
      </c>
      <c r="AA64" s="6043" t="s">
        <v>40</v>
      </c>
      <c r="AB64" s="6039" t="s">
        <v>40</v>
      </c>
      <c r="AC64" s="6039" t="s">
        <v>40</v>
      </c>
      <c r="AD64" s="6043"/>
      <c r="AE64" s="6043"/>
      <c r="AF64" s="6043" t="s">
        <v>40</v>
      </c>
    </row>
    <row r="65" spans="1:32" ht="18" customHeight="1">
      <c r="A65" s="5587" t="s">
        <v>114</v>
      </c>
      <c r="B65" s="6043"/>
      <c r="C65" s="6043"/>
      <c r="D65" s="6042" t="s">
        <v>40</v>
      </c>
      <c r="E65" s="6042" t="s">
        <v>40</v>
      </c>
      <c r="F65" s="6042" t="s">
        <v>40</v>
      </c>
      <c r="G65" s="6039" t="s">
        <v>40</v>
      </c>
      <c r="H65" s="6039" t="s">
        <v>40</v>
      </c>
      <c r="I65" s="6039"/>
      <c r="J65" s="6043"/>
      <c r="K65" s="6043" t="s">
        <v>40</v>
      </c>
      <c r="L65" s="6043" t="s">
        <v>40</v>
      </c>
      <c r="M65" s="6043" t="s">
        <v>40</v>
      </c>
      <c r="N65" s="6039" t="s">
        <v>40</v>
      </c>
      <c r="O65" s="6039" t="s">
        <v>40</v>
      </c>
      <c r="P65" s="6039"/>
      <c r="Q65" s="6039"/>
      <c r="R65" s="6039" t="s">
        <v>40</v>
      </c>
      <c r="S65" s="6043" t="s">
        <v>40</v>
      </c>
      <c r="T65" s="6043" t="s">
        <v>40</v>
      </c>
      <c r="U65" s="6039" t="s">
        <v>40</v>
      </c>
      <c r="V65" s="6039" t="s">
        <v>40</v>
      </c>
      <c r="W65" s="6043"/>
      <c r="X65" s="6043"/>
      <c r="Y65" s="6043" t="s">
        <v>40</v>
      </c>
      <c r="Z65" s="6043" t="s">
        <v>40</v>
      </c>
      <c r="AA65" s="6043" t="s">
        <v>40</v>
      </c>
      <c r="AB65" s="6039" t="s">
        <v>40</v>
      </c>
      <c r="AC65" s="6039" t="s">
        <v>40</v>
      </c>
      <c r="AD65" s="6043"/>
      <c r="AE65" s="6043"/>
      <c r="AF65" s="6043" t="s">
        <v>40</v>
      </c>
    </row>
    <row r="66" spans="1:32" ht="18" customHeight="1">
      <c r="A66" s="5587" t="s">
        <v>115</v>
      </c>
      <c r="B66" s="6043"/>
      <c r="C66" s="6043"/>
      <c r="D66" s="6042" t="s">
        <v>40</v>
      </c>
      <c r="E66" s="6042" t="s">
        <v>40</v>
      </c>
      <c r="F66" s="6042" t="s">
        <v>40</v>
      </c>
      <c r="G66" s="6039" t="s">
        <v>40</v>
      </c>
      <c r="H66" s="6039" t="s">
        <v>40</v>
      </c>
      <c r="I66" s="6039"/>
      <c r="J66" s="6043"/>
      <c r="K66" s="6043" t="s">
        <v>40</v>
      </c>
      <c r="L66" s="6043" t="s">
        <v>40</v>
      </c>
      <c r="M66" s="6043" t="s">
        <v>40</v>
      </c>
      <c r="N66" s="6039" t="s">
        <v>40</v>
      </c>
      <c r="O66" s="6039" t="s">
        <v>40</v>
      </c>
      <c r="P66" s="6039"/>
      <c r="Q66" s="6039"/>
      <c r="R66" s="6039" t="s">
        <v>40</v>
      </c>
      <c r="S66" s="6043" t="s">
        <v>40</v>
      </c>
      <c r="T66" s="6043" t="s">
        <v>40</v>
      </c>
      <c r="U66" s="6039" t="s">
        <v>40</v>
      </c>
      <c r="V66" s="6039" t="s">
        <v>40</v>
      </c>
      <c r="W66" s="6043"/>
      <c r="X66" s="6043"/>
      <c r="Y66" s="6043" t="s">
        <v>40</v>
      </c>
      <c r="Z66" s="6043" t="s">
        <v>40</v>
      </c>
      <c r="AA66" s="6043" t="s">
        <v>40</v>
      </c>
      <c r="AB66" s="6039" t="s">
        <v>40</v>
      </c>
      <c r="AC66" s="6039" t="s">
        <v>40</v>
      </c>
      <c r="AD66" s="6043"/>
      <c r="AE66" s="6043"/>
      <c r="AF66" s="6043" t="s">
        <v>40</v>
      </c>
    </row>
    <row r="67" spans="1:32" ht="18" customHeight="1">
      <c r="A67" s="5587" t="s">
        <v>117</v>
      </c>
      <c r="B67" s="6043"/>
      <c r="C67" s="6043"/>
      <c r="D67" s="6042" t="s">
        <v>40</v>
      </c>
      <c r="E67" s="6042" t="s">
        <v>40</v>
      </c>
      <c r="F67" s="6042" t="s">
        <v>40</v>
      </c>
      <c r="G67" s="6039" t="s">
        <v>40</v>
      </c>
      <c r="H67" s="6039" t="s">
        <v>40</v>
      </c>
      <c r="I67" s="6039"/>
      <c r="J67" s="6043"/>
      <c r="K67" s="6043" t="s">
        <v>40</v>
      </c>
      <c r="L67" s="6043" t="s">
        <v>40</v>
      </c>
      <c r="M67" s="6043" t="s">
        <v>40</v>
      </c>
      <c r="N67" s="6039" t="s">
        <v>40</v>
      </c>
      <c r="O67" s="6039" t="s">
        <v>40</v>
      </c>
      <c r="P67" s="6039"/>
      <c r="Q67" s="6039"/>
      <c r="R67" s="6039" t="s">
        <v>40</v>
      </c>
      <c r="S67" s="6043" t="s">
        <v>40</v>
      </c>
      <c r="T67" s="6043" t="s">
        <v>40</v>
      </c>
      <c r="U67" s="6039" t="s">
        <v>40</v>
      </c>
      <c r="V67" s="6039" t="s">
        <v>40</v>
      </c>
      <c r="W67" s="6043"/>
      <c r="X67" s="6043"/>
      <c r="Y67" s="6043" t="s">
        <v>40</v>
      </c>
      <c r="Z67" s="6043" t="s">
        <v>40</v>
      </c>
      <c r="AA67" s="6043" t="s">
        <v>40</v>
      </c>
      <c r="AB67" s="6039" t="s">
        <v>40</v>
      </c>
      <c r="AC67" s="6039" t="s">
        <v>40</v>
      </c>
      <c r="AD67" s="6043"/>
      <c r="AE67" s="6043"/>
      <c r="AF67" s="6043" t="s">
        <v>40</v>
      </c>
    </row>
    <row r="68" spans="1:32" ht="18" customHeight="1">
      <c r="A68" s="5587" t="s">
        <v>622</v>
      </c>
      <c r="B68" s="6043"/>
      <c r="C68" s="6043"/>
      <c r="D68" s="6042" t="s">
        <v>40</v>
      </c>
      <c r="E68" s="6042" t="s">
        <v>40</v>
      </c>
      <c r="F68" s="6042" t="s">
        <v>40</v>
      </c>
      <c r="G68" s="6039" t="s">
        <v>40</v>
      </c>
      <c r="H68" s="6039" t="s">
        <v>40</v>
      </c>
      <c r="I68" s="6039"/>
      <c r="J68" s="6043"/>
      <c r="K68" s="6043" t="s">
        <v>40</v>
      </c>
      <c r="L68" s="6043" t="s">
        <v>40</v>
      </c>
      <c r="M68" s="6043" t="s">
        <v>40</v>
      </c>
      <c r="N68" s="6039" t="s">
        <v>40</v>
      </c>
      <c r="O68" s="6039" t="s">
        <v>40</v>
      </c>
      <c r="P68" s="6039"/>
      <c r="Q68" s="6039"/>
      <c r="R68" s="6039" t="s">
        <v>40</v>
      </c>
      <c r="S68" s="6043" t="s">
        <v>40</v>
      </c>
      <c r="T68" s="6043" t="s">
        <v>40</v>
      </c>
      <c r="U68" s="6039" t="s">
        <v>40</v>
      </c>
      <c r="V68" s="6039" t="s">
        <v>40</v>
      </c>
      <c r="W68" s="6043"/>
      <c r="X68" s="6043"/>
      <c r="Y68" s="6043" t="s">
        <v>40</v>
      </c>
      <c r="Z68" s="6043" t="s">
        <v>40</v>
      </c>
      <c r="AA68" s="6043" t="s">
        <v>40</v>
      </c>
      <c r="AB68" s="6039" t="s">
        <v>40</v>
      </c>
      <c r="AC68" s="6039" t="s">
        <v>40</v>
      </c>
      <c r="AD68" s="6043"/>
      <c r="AE68" s="6043"/>
      <c r="AF68" s="6043" t="s">
        <v>40</v>
      </c>
    </row>
    <row r="69" spans="1:32" ht="18" customHeight="1">
      <c r="A69" s="5587" t="s">
        <v>122</v>
      </c>
      <c r="B69" s="6043"/>
      <c r="C69" s="6043"/>
      <c r="D69" s="6042" t="s">
        <v>40</v>
      </c>
      <c r="E69" s="6042" t="s">
        <v>40</v>
      </c>
      <c r="F69" s="6042" t="s">
        <v>40</v>
      </c>
      <c r="G69" s="6039" t="s">
        <v>40</v>
      </c>
      <c r="H69" s="6039" t="s">
        <v>40</v>
      </c>
      <c r="I69" s="6039"/>
      <c r="J69" s="6043"/>
      <c r="K69" s="6043" t="s">
        <v>40</v>
      </c>
      <c r="L69" s="6043" t="s">
        <v>40</v>
      </c>
      <c r="M69" s="6043" t="s">
        <v>40</v>
      </c>
      <c r="N69" s="6039" t="s">
        <v>40</v>
      </c>
      <c r="O69" s="6039" t="s">
        <v>40</v>
      </c>
      <c r="P69" s="6039"/>
      <c r="Q69" s="6039"/>
      <c r="R69" s="6039" t="s">
        <v>40</v>
      </c>
      <c r="S69" s="6043" t="s">
        <v>40</v>
      </c>
      <c r="T69" s="6043" t="s">
        <v>40</v>
      </c>
      <c r="U69" s="6039" t="s">
        <v>40</v>
      </c>
      <c r="V69" s="6039" t="s">
        <v>40</v>
      </c>
      <c r="W69" s="6043"/>
      <c r="X69" s="6043"/>
      <c r="Y69" s="6043" t="s">
        <v>40</v>
      </c>
      <c r="Z69" s="6043" t="s">
        <v>40</v>
      </c>
      <c r="AA69" s="6043" t="s">
        <v>40</v>
      </c>
      <c r="AB69" s="6039" t="s">
        <v>40</v>
      </c>
      <c r="AC69" s="6039" t="s">
        <v>40</v>
      </c>
      <c r="AD69" s="6043"/>
      <c r="AE69" s="6043"/>
      <c r="AF69" s="6043" t="s">
        <v>40</v>
      </c>
    </row>
    <row r="70" spans="1:32" ht="18" customHeight="1">
      <c r="A70" s="5587" t="s">
        <v>129</v>
      </c>
      <c r="B70" s="6043"/>
      <c r="C70" s="6043"/>
      <c r="D70" s="6042" t="s">
        <v>40</v>
      </c>
      <c r="E70" s="6042" t="s">
        <v>40</v>
      </c>
      <c r="F70" s="6042" t="s">
        <v>40</v>
      </c>
      <c r="G70" s="6039" t="s">
        <v>40</v>
      </c>
      <c r="H70" s="6039" t="s">
        <v>40</v>
      </c>
      <c r="I70" s="6039"/>
      <c r="J70" s="6043"/>
      <c r="K70" s="6043" t="s">
        <v>40</v>
      </c>
      <c r="L70" s="6043" t="s">
        <v>40</v>
      </c>
      <c r="M70" s="6043" t="s">
        <v>40</v>
      </c>
      <c r="N70" s="6039" t="s">
        <v>40</v>
      </c>
      <c r="O70" s="6039" t="s">
        <v>40</v>
      </c>
      <c r="P70" s="6039"/>
      <c r="Q70" s="6039"/>
      <c r="R70" s="6039" t="s">
        <v>40</v>
      </c>
      <c r="S70" s="6043" t="s">
        <v>40</v>
      </c>
      <c r="T70" s="6043" t="s">
        <v>40</v>
      </c>
      <c r="U70" s="6039" t="s">
        <v>40</v>
      </c>
      <c r="V70" s="6039" t="s">
        <v>40</v>
      </c>
      <c r="W70" s="6043"/>
      <c r="X70" s="6043"/>
      <c r="Y70" s="6043" t="s">
        <v>40</v>
      </c>
      <c r="Z70" s="6043" t="s">
        <v>40</v>
      </c>
      <c r="AA70" s="6043" t="s">
        <v>40</v>
      </c>
      <c r="AB70" s="6039" t="s">
        <v>40</v>
      </c>
      <c r="AC70" s="6039" t="s">
        <v>40</v>
      </c>
      <c r="AD70" s="6043"/>
      <c r="AE70" s="6043"/>
      <c r="AF70" s="6043" t="s">
        <v>40</v>
      </c>
    </row>
    <row r="71" spans="1:32" ht="18" customHeight="1">
      <c r="A71" s="5591" t="s">
        <v>140</v>
      </c>
      <c r="B71" s="6043"/>
      <c r="C71" s="6043"/>
      <c r="D71" s="6042" t="s">
        <v>40</v>
      </c>
      <c r="E71" s="6042" t="s">
        <v>40</v>
      </c>
      <c r="F71" s="6042" t="s">
        <v>40</v>
      </c>
      <c r="G71" s="6039" t="s">
        <v>40</v>
      </c>
      <c r="H71" s="6039" t="s">
        <v>40</v>
      </c>
      <c r="I71" s="6039"/>
      <c r="J71" s="6043"/>
      <c r="K71" s="6043" t="s">
        <v>40</v>
      </c>
      <c r="L71" s="6043" t="s">
        <v>40</v>
      </c>
      <c r="M71" s="6043" t="s">
        <v>40</v>
      </c>
      <c r="N71" s="6039" t="s">
        <v>40</v>
      </c>
      <c r="O71" s="6039" t="s">
        <v>40</v>
      </c>
      <c r="P71" s="6039"/>
      <c r="Q71" s="6039"/>
      <c r="R71" s="6039" t="s">
        <v>40</v>
      </c>
      <c r="S71" s="6043" t="s">
        <v>40</v>
      </c>
      <c r="T71" s="6043" t="s">
        <v>40</v>
      </c>
      <c r="U71" s="6039" t="s">
        <v>40</v>
      </c>
      <c r="V71" s="6039" t="s">
        <v>40</v>
      </c>
      <c r="W71" s="6043"/>
      <c r="X71" s="6043"/>
      <c r="Y71" s="6043" t="s">
        <v>40</v>
      </c>
      <c r="Z71" s="6043" t="s">
        <v>40</v>
      </c>
      <c r="AA71" s="6043" t="s">
        <v>40</v>
      </c>
      <c r="AB71" s="6039" t="s">
        <v>40</v>
      </c>
      <c r="AC71" s="6039" t="s">
        <v>40</v>
      </c>
      <c r="AD71" s="6043"/>
      <c r="AE71" s="6043"/>
      <c r="AF71" s="6043" t="s">
        <v>40</v>
      </c>
    </row>
    <row r="72" spans="1:32" ht="18" customHeight="1">
      <c r="A72" s="5547" t="s">
        <v>478</v>
      </c>
      <c r="B72" s="6043"/>
      <c r="C72" s="6043"/>
      <c r="D72" s="6042" t="s">
        <v>40</v>
      </c>
      <c r="E72" s="6042" t="s">
        <v>40</v>
      </c>
      <c r="F72" s="6042" t="s">
        <v>40</v>
      </c>
      <c r="G72" s="6039" t="s">
        <v>40</v>
      </c>
      <c r="H72" s="6039" t="s">
        <v>40</v>
      </c>
      <c r="I72" s="6039"/>
      <c r="J72" s="6043"/>
      <c r="K72" s="6043" t="s">
        <v>40</v>
      </c>
      <c r="L72" s="6043" t="s">
        <v>40</v>
      </c>
      <c r="M72" s="6043" t="s">
        <v>40</v>
      </c>
      <c r="N72" s="6039" t="s">
        <v>40</v>
      </c>
      <c r="O72" s="6039" t="s">
        <v>40</v>
      </c>
      <c r="P72" s="6039"/>
      <c r="Q72" s="6039"/>
      <c r="R72" s="6039" t="s">
        <v>40</v>
      </c>
      <c r="S72" s="6043" t="s">
        <v>40</v>
      </c>
      <c r="T72" s="6043" t="s">
        <v>40</v>
      </c>
      <c r="U72" s="6039" t="s">
        <v>40</v>
      </c>
      <c r="V72" s="6039" t="s">
        <v>40</v>
      </c>
      <c r="W72" s="6043"/>
      <c r="X72" s="6043"/>
      <c r="Y72" s="6043" t="s">
        <v>40</v>
      </c>
      <c r="Z72" s="6043" t="s">
        <v>40</v>
      </c>
      <c r="AA72" s="6043" t="s">
        <v>40</v>
      </c>
      <c r="AB72" s="6039" t="s">
        <v>40</v>
      </c>
      <c r="AC72" s="6039" t="s">
        <v>40</v>
      </c>
      <c r="AD72" s="6043"/>
      <c r="AE72" s="6043"/>
      <c r="AF72" s="6043" t="s">
        <v>40</v>
      </c>
    </row>
    <row r="73" spans="1:32" ht="18" customHeight="1">
      <c r="A73" s="5591" t="s">
        <v>479</v>
      </c>
      <c r="B73" s="6043"/>
      <c r="C73" s="6043"/>
      <c r="D73" s="6042" t="s">
        <v>40</v>
      </c>
      <c r="E73" s="6042" t="s">
        <v>40</v>
      </c>
      <c r="F73" s="6042" t="s">
        <v>40</v>
      </c>
      <c r="G73" s="6039" t="s">
        <v>40</v>
      </c>
      <c r="H73" s="6039" t="s">
        <v>40</v>
      </c>
      <c r="I73" s="6039"/>
      <c r="J73" s="6043"/>
      <c r="K73" s="6043" t="s">
        <v>40</v>
      </c>
      <c r="L73" s="6043" t="s">
        <v>40</v>
      </c>
      <c r="M73" s="6043" t="s">
        <v>40</v>
      </c>
      <c r="N73" s="6039" t="s">
        <v>40</v>
      </c>
      <c r="O73" s="6039" t="s">
        <v>40</v>
      </c>
      <c r="P73" s="6039"/>
      <c r="Q73" s="6039"/>
      <c r="R73" s="6039" t="s">
        <v>40</v>
      </c>
      <c r="S73" s="6043" t="s">
        <v>40</v>
      </c>
      <c r="T73" s="6043" t="s">
        <v>40</v>
      </c>
      <c r="U73" s="6039" t="s">
        <v>40</v>
      </c>
      <c r="V73" s="6039" t="s">
        <v>40</v>
      </c>
      <c r="W73" s="6043"/>
      <c r="X73" s="6043"/>
      <c r="Y73" s="6043" t="s">
        <v>40</v>
      </c>
      <c r="Z73" s="6043" t="s">
        <v>40</v>
      </c>
      <c r="AA73" s="6043" t="s">
        <v>40</v>
      </c>
      <c r="AB73" s="6039" t="s">
        <v>40</v>
      </c>
      <c r="AC73" s="6039" t="s">
        <v>40</v>
      </c>
      <c r="AD73" s="6043"/>
      <c r="AE73" s="6043"/>
      <c r="AF73" s="6043" t="s">
        <v>40</v>
      </c>
    </row>
    <row r="74" spans="1:32" ht="18" customHeight="1">
      <c r="A74" s="5592" t="s">
        <v>564</v>
      </c>
      <c r="B74" s="6043"/>
      <c r="C74" s="6043"/>
      <c r="D74" s="6042" t="s">
        <v>40</v>
      </c>
      <c r="E74" s="6042" t="s">
        <v>40</v>
      </c>
      <c r="F74" s="6042" t="s">
        <v>40</v>
      </c>
      <c r="G74" s="6039" t="s">
        <v>40</v>
      </c>
      <c r="H74" s="6039" t="s">
        <v>40</v>
      </c>
      <c r="I74" s="6039"/>
      <c r="J74" s="6043"/>
      <c r="K74" s="6043" t="s">
        <v>40</v>
      </c>
      <c r="L74" s="6043" t="s">
        <v>40</v>
      </c>
      <c r="M74" s="6043" t="s">
        <v>40</v>
      </c>
      <c r="N74" s="6039" t="s">
        <v>40</v>
      </c>
      <c r="O74" s="6039" t="s">
        <v>40</v>
      </c>
      <c r="P74" s="6039"/>
      <c r="Q74" s="6039"/>
      <c r="R74" s="6039" t="s">
        <v>40</v>
      </c>
      <c r="S74" s="6043" t="s">
        <v>40</v>
      </c>
      <c r="T74" s="6043" t="s">
        <v>40</v>
      </c>
      <c r="U74" s="6039" t="s">
        <v>40</v>
      </c>
      <c r="V74" s="6039" t="s">
        <v>40</v>
      </c>
      <c r="W74" s="6043"/>
      <c r="X74" s="6043"/>
      <c r="Y74" s="6043" t="s">
        <v>40</v>
      </c>
      <c r="Z74" s="6043" t="s">
        <v>40</v>
      </c>
      <c r="AA74" s="6043" t="s">
        <v>40</v>
      </c>
      <c r="AB74" s="6039" t="s">
        <v>40</v>
      </c>
      <c r="AC74" s="6039" t="s">
        <v>40</v>
      </c>
      <c r="AD74" s="6043"/>
      <c r="AE74" s="6043"/>
      <c r="AF74" s="6043" t="s">
        <v>40</v>
      </c>
    </row>
    <row r="75" spans="1:32" ht="18" customHeight="1">
      <c r="A75" s="5593" t="s">
        <v>565</v>
      </c>
      <c r="B75" s="6043"/>
      <c r="C75" s="6043"/>
      <c r="D75" s="6042" t="s">
        <v>40</v>
      </c>
      <c r="E75" s="6042" t="s">
        <v>40</v>
      </c>
      <c r="F75" s="6042" t="s">
        <v>40</v>
      </c>
      <c r="G75" s="6039" t="s">
        <v>40</v>
      </c>
      <c r="H75" s="6039" t="s">
        <v>40</v>
      </c>
      <c r="I75" s="6039"/>
      <c r="J75" s="6043"/>
      <c r="K75" s="6043" t="s">
        <v>40</v>
      </c>
      <c r="L75" s="6043" t="s">
        <v>40</v>
      </c>
      <c r="M75" s="6043" t="s">
        <v>40</v>
      </c>
      <c r="N75" s="6039" t="s">
        <v>40</v>
      </c>
      <c r="O75" s="6039" t="s">
        <v>40</v>
      </c>
      <c r="P75" s="6039"/>
      <c r="Q75" s="6039"/>
      <c r="R75" s="6039" t="s">
        <v>40</v>
      </c>
      <c r="S75" s="6043" t="s">
        <v>40</v>
      </c>
      <c r="T75" s="6043" t="s">
        <v>40</v>
      </c>
      <c r="U75" s="6039" t="s">
        <v>40</v>
      </c>
      <c r="V75" s="6039" t="s">
        <v>40</v>
      </c>
      <c r="W75" s="6043"/>
      <c r="X75" s="6043"/>
      <c r="Y75" s="6043" t="s">
        <v>40</v>
      </c>
      <c r="Z75" s="6043" t="s">
        <v>40</v>
      </c>
      <c r="AA75" s="6043" t="s">
        <v>40</v>
      </c>
      <c r="AB75" s="6039" t="s">
        <v>40</v>
      </c>
      <c r="AC75" s="6039" t="s">
        <v>40</v>
      </c>
      <c r="AD75" s="6043"/>
      <c r="AE75" s="6043"/>
      <c r="AF75" s="6043" t="s">
        <v>40</v>
      </c>
    </row>
    <row r="76" spans="1:32" ht="18" customHeight="1">
      <c r="A76" s="5593" t="s">
        <v>540</v>
      </c>
      <c r="B76" s="6043"/>
      <c r="C76" s="6043"/>
      <c r="D76" s="6042" t="s">
        <v>40</v>
      </c>
      <c r="E76" s="6042" t="s">
        <v>40</v>
      </c>
      <c r="F76" s="6042" t="s">
        <v>40</v>
      </c>
      <c r="G76" s="6039" t="s">
        <v>40</v>
      </c>
      <c r="H76" s="6039" t="s">
        <v>40</v>
      </c>
      <c r="I76" s="6039"/>
      <c r="J76" s="6043"/>
      <c r="K76" s="6043" t="s">
        <v>40</v>
      </c>
      <c r="L76" s="6043" t="s">
        <v>40</v>
      </c>
      <c r="M76" s="6043" t="s">
        <v>40</v>
      </c>
      <c r="N76" s="6039" t="s">
        <v>40</v>
      </c>
      <c r="O76" s="6039" t="s">
        <v>40</v>
      </c>
      <c r="P76" s="6039"/>
      <c r="Q76" s="6039"/>
      <c r="R76" s="6039" t="s">
        <v>40</v>
      </c>
      <c r="S76" s="6043" t="s">
        <v>40</v>
      </c>
      <c r="T76" s="6043" t="s">
        <v>40</v>
      </c>
      <c r="U76" s="6039" t="s">
        <v>40</v>
      </c>
      <c r="V76" s="6039" t="s">
        <v>40</v>
      </c>
      <c r="W76" s="6043"/>
      <c r="X76" s="6043"/>
      <c r="Y76" s="6043" t="s">
        <v>40</v>
      </c>
      <c r="Z76" s="6043" t="s">
        <v>40</v>
      </c>
      <c r="AA76" s="6043" t="s">
        <v>40</v>
      </c>
      <c r="AB76" s="6039" t="s">
        <v>40</v>
      </c>
      <c r="AC76" s="6039" t="s">
        <v>40</v>
      </c>
      <c r="AD76" s="6043"/>
      <c r="AE76" s="6043"/>
      <c r="AF76" s="6043" t="s">
        <v>40</v>
      </c>
    </row>
    <row r="77" spans="1:32" ht="18" customHeight="1">
      <c r="A77" s="5627" t="s">
        <v>541</v>
      </c>
      <c r="B77" s="6043"/>
      <c r="C77" s="6043"/>
      <c r="D77" s="6042" t="s">
        <v>40</v>
      </c>
      <c r="E77" s="6042" t="s">
        <v>40</v>
      </c>
      <c r="F77" s="6042" t="s">
        <v>40</v>
      </c>
      <c r="G77" s="6039" t="s">
        <v>40</v>
      </c>
      <c r="H77" s="6039" t="s">
        <v>40</v>
      </c>
      <c r="I77" s="6039"/>
      <c r="J77" s="6043"/>
      <c r="K77" s="6043" t="s">
        <v>40</v>
      </c>
      <c r="L77" s="6043" t="s">
        <v>40</v>
      </c>
      <c r="M77" s="6043" t="s">
        <v>40</v>
      </c>
      <c r="N77" s="6039" t="s">
        <v>40</v>
      </c>
      <c r="O77" s="6039" t="s">
        <v>40</v>
      </c>
      <c r="P77" s="6039"/>
      <c r="Q77" s="6039"/>
      <c r="R77" s="6039" t="s">
        <v>40</v>
      </c>
      <c r="S77" s="6043" t="s">
        <v>40</v>
      </c>
      <c r="T77" s="6043" t="s">
        <v>40</v>
      </c>
      <c r="U77" s="6039" t="s">
        <v>40</v>
      </c>
      <c r="V77" s="6039" t="s">
        <v>40</v>
      </c>
      <c r="W77" s="6043"/>
      <c r="X77" s="6043"/>
      <c r="Y77" s="6043" t="s">
        <v>40</v>
      </c>
      <c r="Z77" s="6043" t="s">
        <v>40</v>
      </c>
      <c r="AA77" s="6043" t="s">
        <v>40</v>
      </c>
      <c r="AB77" s="6039" t="s">
        <v>40</v>
      </c>
      <c r="AC77" s="6039" t="s">
        <v>40</v>
      </c>
      <c r="AD77" s="6043"/>
      <c r="AE77" s="6043"/>
      <c r="AF77" s="6043" t="s">
        <v>40</v>
      </c>
    </row>
    <row r="78" spans="1:32" ht="18" customHeight="1">
      <c r="A78" s="6054"/>
      <c r="B78" s="6043"/>
      <c r="C78" s="6043"/>
      <c r="D78" s="6042" t="s">
        <v>40</v>
      </c>
      <c r="E78" s="6042" t="s">
        <v>40</v>
      </c>
      <c r="F78" s="6042" t="s">
        <v>40</v>
      </c>
      <c r="G78" s="6039" t="s">
        <v>40</v>
      </c>
      <c r="H78" s="6039" t="s">
        <v>40</v>
      </c>
      <c r="I78" s="6039"/>
      <c r="J78" s="6043"/>
      <c r="K78" s="6043" t="s">
        <v>40</v>
      </c>
      <c r="L78" s="6043" t="s">
        <v>40</v>
      </c>
      <c r="M78" s="6043" t="s">
        <v>40</v>
      </c>
      <c r="N78" s="6039" t="s">
        <v>40</v>
      </c>
      <c r="O78" s="6039" t="s">
        <v>40</v>
      </c>
      <c r="P78" s="6039"/>
      <c r="Q78" s="6039"/>
      <c r="R78" s="6039" t="s">
        <v>40</v>
      </c>
      <c r="S78" s="6043" t="s">
        <v>40</v>
      </c>
      <c r="T78" s="6043" t="s">
        <v>40</v>
      </c>
      <c r="U78" s="6039" t="s">
        <v>40</v>
      </c>
      <c r="V78" s="6039" t="s">
        <v>40</v>
      </c>
      <c r="W78" s="6043"/>
      <c r="X78" s="6043"/>
      <c r="Y78" s="6043" t="s">
        <v>40</v>
      </c>
      <c r="Z78" s="6043" t="s">
        <v>40</v>
      </c>
      <c r="AA78" s="6043" t="s">
        <v>40</v>
      </c>
      <c r="AB78" s="6039" t="s">
        <v>40</v>
      </c>
      <c r="AC78" s="6039" t="s">
        <v>40</v>
      </c>
      <c r="AD78" s="6043"/>
      <c r="AE78" s="6043"/>
      <c r="AF78" s="6043" t="s">
        <v>40</v>
      </c>
    </row>
    <row r="79" spans="1:32" ht="18" customHeight="1" thickBot="1">
      <c r="A79" s="6054"/>
      <c r="B79" s="6043"/>
      <c r="C79" s="6043"/>
      <c r="D79" s="6042" t="s">
        <v>40</v>
      </c>
      <c r="E79" s="6042" t="s">
        <v>40</v>
      </c>
      <c r="F79" s="6042" t="s">
        <v>40</v>
      </c>
      <c r="G79" s="6039" t="s">
        <v>40</v>
      </c>
      <c r="H79" s="6039" t="s">
        <v>40</v>
      </c>
      <c r="I79" s="6039"/>
      <c r="J79" s="6043"/>
      <c r="K79" s="6043" t="s">
        <v>40</v>
      </c>
      <c r="L79" s="6043" t="s">
        <v>40</v>
      </c>
      <c r="M79" s="6043" t="s">
        <v>40</v>
      </c>
      <c r="N79" s="6039" t="s">
        <v>40</v>
      </c>
      <c r="O79" s="6039" t="s">
        <v>40</v>
      </c>
      <c r="P79" s="6039"/>
      <c r="Q79" s="6039"/>
      <c r="R79" s="6039" t="s">
        <v>40</v>
      </c>
      <c r="S79" s="6043" t="s">
        <v>40</v>
      </c>
      <c r="T79" s="6043" t="s">
        <v>40</v>
      </c>
      <c r="U79" s="6039" t="s">
        <v>40</v>
      </c>
      <c r="V79" s="6039" t="s">
        <v>40</v>
      </c>
      <c r="W79" s="6043"/>
      <c r="X79" s="6043"/>
      <c r="Y79" s="6043" t="s">
        <v>40</v>
      </c>
      <c r="Z79" s="6043" t="s">
        <v>40</v>
      </c>
      <c r="AA79" s="6043" t="s">
        <v>40</v>
      </c>
      <c r="AB79" s="6039" t="s">
        <v>40</v>
      </c>
      <c r="AC79" s="6039" t="s">
        <v>40</v>
      </c>
      <c r="AD79" s="6043"/>
      <c r="AE79" s="6043"/>
      <c r="AF79" s="6043" t="s">
        <v>40</v>
      </c>
    </row>
    <row r="80" spans="1:32" ht="18" customHeight="1" thickBot="1">
      <c r="A80" s="1517" t="s">
        <v>687</v>
      </c>
      <c r="B80" s="6126">
        <v>1</v>
      </c>
      <c r="C80" s="6126">
        <v>2</v>
      </c>
      <c r="D80" s="6127">
        <v>3</v>
      </c>
      <c r="E80" s="6127">
        <v>4</v>
      </c>
      <c r="F80" s="6127">
        <v>5</v>
      </c>
      <c r="G80" s="6127">
        <v>6</v>
      </c>
      <c r="H80" s="6127">
        <v>7</v>
      </c>
      <c r="I80" s="6126">
        <v>8</v>
      </c>
      <c r="J80" s="6126">
        <v>9</v>
      </c>
      <c r="K80" s="6127">
        <v>10</v>
      </c>
      <c r="L80" s="6127">
        <v>11</v>
      </c>
      <c r="M80" s="6127">
        <v>12</v>
      </c>
      <c r="N80" s="6127">
        <v>13</v>
      </c>
      <c r="O80" s="6127">
        <v>14</v>
      </c>
      <c r="P80" s="6126">
        <v>15</v>
      </c>
      <c r="Q80" s="6126">
        <v>16</v>
      </c>
      <c r="R80" s="6127">
        <v>17</v>
      </c>
      <c r="S80" s="6127">
        <v>18</v>
      </c>
      <c r="T80" s="6127">
        <v>19</v>
      </c>
      <c r="U80" s="6127">
        <v>20</v>
      </c>
      <c r="V80" s="6127">
        <v>21</v>
      </c>
      <c r="W80" s="6126">
        <v>22</v>
      </c>
      <c r="X80" s="6126">
        <v>23</v>
      </c>
      <c r="Y80" s="6127">
        <v>24</v>
      </c>
      <c r="Z80" s="6127">
        <v>25</v>
      </c>
      <c r="AA80" s="6127">
        <v>26</v>
      </c>
      <c r="AB80" s="6127">
        <v>27</v>
      </c>
      <c r="AC80" s="6127">
        <v>28</v>
      </c>
      <c r="AD80" s="6126">
        <v>29</v>
      </c>
      <c r="AE80" s="6126">
        <v>30</v>
      </c>
      <c r="AF80" s="6127">
        <v>31</v>
      </c>
    </row>
    <row r="81" spans="1:32" ht="18" customHeight="1">
      <c r="A81" s="5617"/>
      <c r="B81" s="6043"/>
      <c r="C81" s="6043"/>
      <c r="D81" s="6042" t="s">
        <v>40</v>
      </c>
      <c r="E81" s="6042" t="s">
        <v>40</v>
      </c>
      <c r="F81" s="6042" t="s">
        <v>40</v>
      </c>
      <c r="G81" s="6039" t="s">
        <v>40</v>
      </c>
      <c r="H81" s="6039" t="s">
        <v>40</v>
      </c>
      <c r="I81" s="6039"/>
      <c r="J81" s="6043"/>
      <c r="K81" s="6043" t="s">
        <v>40</v>
      </c>
      <c r="L81" s="6043" t="s">
        <v>40</v>
      </c>
      <c r="M81" s="6043" t="s">
        <v>40</v>
      </c>
      <c r="N81" s="6039" t="s">
        <v>40</v>
      </c>
      <c r="O81" s="6039" t="s">
        <v>40</v>
      </c>
      <c r="P81" s="6039"/>
      <c r="Q81" s="6039"/>
      <c r="R81" s="6039" t="s">
        <v>40</v>
      </c>
      <c r="S81" s="6043" t="s">
        <v>40</v>
      </c>
      <c r="T81" s="6043" t="s">
        <v>40</v>
      </c>
      <c r="U81" s="6039" t="s">
        <v>40</v>
      </c>
      <c r="V81" s="6039" t="s">
        <v>40</v>
      </c>
      <c r="W81" s="6043"/>
      <c r="X81" s="6043"/>
      <c r="Y81" s="6043" t="s">
        <v>40</v>
      </c>
      <c r="Z81" s="6043" t="s">
        <v>40</v>
      </c>
      <c r="AA81" s="6043" t="s">
        <v>40</v>
      </c>
      <c r="AB81" s="6039" t="s">
        <v>40</v>
      </c>
      <c r="AC81" s="6039" t="s">
        <v>40</v>
      </c>
      <c r="AD81" s="6043"/>
      <c r="AE81" s="6043"/>
      <c r="AF81" s="6043" t="s">
        <v>40</v>
      </c>
    </row>
    <row r="82" spans="1:32" ht="18" customHeight="1">
      <c r="A82" s="6107"/>
      <c r="B82" s="6030"/>
      <c r="C82" s="6030"/>
      <c r="D82" s="6171" t="s">
        <v>40</v>
      </c>
      <c r="E82" s="6171" t="s">
        <v>40</v>
      </c>
      <c r="F82" s="6171" t="s">
        <v>40</v>
      </c>
      <c r="G82" s="6172" t="s">
        <v>40</v>
      </c>
      <c r="H82" s="6172" t="s">
        <v>40</v>
      </c>
      <c r="I82" s="6172"/>
      <c r="J82" s="6030"/>
      <c r="K82" s="6030" t="s">
        <v>40</v>
      </c>
      <c r="L82" s="6030" t="s">
        <v>40</v>
      </c>
      <c r="M82" s="6030" t="s">
        <v>40</v>
      </c>
      <c r="N82" s="6172" t="s">
        <v>40</v>
      </c>
      <c r="O82" s="6172" t="s">
        <v>40</v>
      </c>
      <c r="P82" s="6172"/>
      <c r="Q82" s="6172"/>
      <c r="R82" s="6172" t="s">
        <v>40</v>
      </c>
      <c r="S82" s="6030" t="s">
        <v>40</v>
      </c>
      <c r="T82" s="6030" t="s">
        <v>40</v>
      </c>
      <c r="U82" s="6172" t="s">
        <v>40</v>
      </c>
      <c r="V82" s="6172" t="s">
        <v>40</v>
      </c>
      <c r="W82" s="6030"/>
      <c r="X82" s="6030"/>
      <c r="Y82" s="6030" t="s">
        <v>40</v>
      </c>
      <c r="Z82" s="6030" t="s">
        <v>40</v>
      </c>
      <c r="AA82" s="6030" t="s">
        <v>40</v>
      </c>
      <c r="AB82" s="6172" t="s">
        <v>40</v>
      </c>
      <c r="AC82" s="6172" t="s">
        <v>40</v>
      </c>
      <c r="AD82" s="6030"/>
      <c r="AE82" s="6030"/>
      <c r="AF82" s="6030" t="s">
        <v>40</v>
      </c>
    </row>
    <row r="83" spans="1:32" ht="18" customHeight="1">
      <c r="A83" s="843" t="s">
        <v>156</v>
      </c>
      <c r="B83" s="737">
        <v>1</v>
      </c>
      <c r="C83" s="737">
        <v>2</v>
      </c>
      <c r="D83" s="320">
        <v>3</v>
      </c>
      <c r="E83" s="320">
        <v>4</v>
      </c>
      <c r="F83" s="320">
        <v>5</v>
      </c>
      <c r="G83" s="320">
        <v>6</v>
      </c>
      <c r="H83" s="320">
        <v>7</v>
      </c>
      <c r="I83" s="737">
        <v>8</v>
      </c>
      <c r="J83" s="737">
        <v>9</v>
      </c>
      <c r="K83" s="320">
        <v>10</v>
      </c>
      <c r="L83" s="320">
        <v>11</v>
      </c>
      <c r="M83" s="320">
        <v>12</v>
      </c>
      <c r="N83" s="320">
        <v>13</v>
      </c>
      <c r="O83" s="320">
        <v>14</v>
      </c>
      <c r="P83" s="737">
        <v>15</v>
      </c>
      <c r="Q83" s="737">
        <v>16</v>
      </c>
      <c r="R83" s="320">
        <v>17</v>
      </c>
      <c r="S83" s="320">
        <v>18</v>
      </c>
      <c r="T83" s="320">
        <v>19</v>
      </c>
      <c r="U83" s="320">
        <v>20</v>
      </c>
      <c r="V83" s="320">
        <v>21</v>
      </c>
      <c r="W83" s="737">
        <v>22</v>
      </c>
      <c r="X83" s="737">
        <v>23</v>
      </c>
      <c r="Y83" s="320">
        <v>24</v>
      </c>
      <c r="Z83" s="320">
        <v>25</v>
      </c>
      <c r="AA83" s="320">
        <v>26</v>
      </c>
      <c r="AB83" s="320">
        <v>27</v>
      </c>
      <c r="AC83" s="320">
        <v>28</v>
      </c>
      <c r="AD83" s="737">
        <v>29</v>
      </c>
      <c r="AE83" s="737">
        <v>30</v>
      </c>
      <c r="AF83" s="320">
        <v>31</v>
      </c>
    </row>
    <row r="84" spans="1:32" ht="18" customHeight="1">
      <c r="A84" s="308" t="s">
        <v>688</v>
      </c>
      <c r="B84" s="344"/>
      <c r="C84" s="344"/>
      <c r="D84" s="340" t="s">
        <v>40</v>
      </c>
      <c r="E84" s="340" t="s">
        <v>40</v>
      </c>
      <c r="F84" s="340" t="s">
        <v>40</v>
      </c>
      <c r="G84" s="320" t="s">
        <v>40</v>
      </c>
      <c r="H84" s="320" t="s">
        <v>40</v>
      </c>
      <c r="I84" s="320"/>
      <c r="J84" s="344"/>
      <c r="K84" s="344" t="s">
        <v>40</v>
      </c>
      <c r="L84" s="344" t="s">
        <v>40</v>
      </c>
      <c r="M84" s="344" t="s">
        <v>40</v>
      </c>
      <c r="N84" s="320" t="s">
        <v>40</v>
      </c>
      <c r="O84" s="320" t="s">
        <v>40</v>
      </c>
      <c r="P84" s="320"/>
      <c r="Q84" s="320"/>
      <c r="R84" s="320" t="s">
        <v>40</v>
      </c>
      <c r="S84" s="344" t="s">
        <v>40</v>
      </c>
      <c r="T84" s="344" t="s">
        <v>40</v>
      </c>
      <c r="U84" s="320" t="s">
        <v>40</v>
      </c>
      <c r="V84" s="320" t="s">
        <v>40</v>
      </c>
      <c r="W84" s="344"/>
      <c r="X84" s="344"/>
      <c r="Y84" s="344" t="s">
        <v>40</v>
      </c>
      <c r="Z84" s="344" t="s">
        <v>40</v>
      </c>
      <c r="AA84" s="344" t="s">
        <v>40</v>
      </c>
      <c r="AB84" s="320" t="s">
        <v>40</v>
      </c>
      <c r="AC84" s="320" t="s">
        <v>40</v>
      </c>
      <c r="AD84" s="344"/>
      <c r="AE84" s="344"/>
      <c r="AF84" s="344" t="s">
        <v>40</v>
      </c>
    </row>
    <row r="85" spans="1:32" ht="18" customHeight="1">
      <c r="A85" s="308" t="s">
        <v>544</v>
      </c>
      <c r="B85" s="344"/>
      <c r="C85" s="344"/>
      <c r="D85" s="340"/>
      <c r="E85" s="340"/>
      <c r="F85" s="340"/>
      <c r="G85" s="320"/>
      <c r="H85" s="320"/>
      <c r="I85" s="320"/>
      <c r="J85" s="344"/>
      <c r="K85" s="344"/>
      <c r="L85" s="344"/>
      <c r="M85" s="344"/>
      <c r="N85" s="320"/>
      <c r="O85" s="320"/>
      <c r="P85" s="320"/>
      <c r="Q85" s="320"/>
      <c r="R85" s="320"/>
      <c r="S85" s="344"/>
      <c r="T85" s="344"/>
      <c r="U85" s="320"/>
      <c r="V85" s="320"/>
      <c r="W85" s="344"/>
      <c r="X85" s="344"/>
      <c r="Y85" s="344"/>
      <c r="Z85" s="344"/>
      <c r="AA85" s="344"/>
      <c r="AB85" s="320"/>
      <c r="AC85" s="320"/>
      <c r="AD85" s="344"/>
      <c r="AE85" s="344"/>
      <c r="AF85" s="344"/>
    </row>
    <row r="86" spans="1:32" ht="18" customHeight="1">
      <c r="A86" s="308" t="s">
        <v>481</v>
      </c>
      <c r="B86" s="344"/>
      <c r="C86" s="344"/>
      <c r="D86" s="340"/>
      <c r="E86" s="340"/>
      <c r="F86" s="340"/>
      <c r="G86" s="320"/>
      <c r="H86" s="320"/>
      <c r="I86" s="320"/>
      <c r="J86" s="344"/>
      <c r="K86" s="344"/>
      <c r="L86" s="344"/>
      <c r="M86" s="344"/>
      <c r="N86" s="320"/>
      <c r="O86" s="320"/>
      <c r="P86" s="320"/>
      <c r="Q86" s="320"/>
      <c r="R86" s="320"/>
      <c r="S86" s="344"/>
      <c r="T86" s="344"/>
      <c r="U86" s="320"/>
      <c r="V86" s="320"/>
      <c r="W86" s="344"/>
      <c r="X86" s="344"/>
      <c r="Y86" s="344"/>
      <c r="Z86" s="344"/>
      <c r="AA86" s="344"/>
      <c r="AB86" s="320"/>
      <c r="AC86" s="320"/>
      <c r="AD86" s="344"/>
      <c r="AE86" s="344"/>
      <c r="AF86" s="344"/>
    </row>
    <row r="87" spans="1:32" ht="18" customHeight="1">
      <c r="A87" s="843" t="s">
        <v>160</v>
      </c>
      <c r="B87" s="737">
        <v>1</v>
      </c>
      <c r="C87" s="737">
        <v>2</v>
      </c>
      <c r="D87" s="320">
        <v>3</v>
      </c>
      <c r="E87" s="320">
        <v>4</v>
      </c>
      <c r="F87" s="320">
        <v>5</v>
      </c>
      <c r="G87" s="320">
        <v>6</v>
      </c>
      <c r="H87" s="320">
        <v>7</v>
      </c>
      <c r="I87" s="737">
        <v>8</v>
      </c>
      <c r="J87" s="737">
        <v>9</v>
      </c>
      <c r="K87" s="320">
        <v>10</v>
      </c>
      <c r="L87" s="320">
        <v>11</v>
      </c>
      <c r="M87" s="320">
        <v>12</v>
      </c>
      <c r="N87" s="320">
        <v>13</v>
      </c>
      <c r="O87" s="320">
        <v>14</v>
      </c>
      <c r="P87" s="737">
        <v>15</v>
      </c>
      <c r="Q87" s="737">
        <v>16</v>
      </c>
      <c r="R87" s="320">
        <v>17</v>
      </c>
      <c r="S87" s="320">
        <v>18</v>
      </c>
      <c r="T87" s="320">
        <v>19</v>
      </c>
      <c r="U87" s="320">
        <v>20</v>
      </c>
      <c r="V87" s="320">
        <v>21</v>
      </c>
      <c r="W87" s="737">
        <v>22</v>
      </c>
      <c r="X87" s="737">
        <v>23</v>
      </c>
      <c r="Y87" s="320">
        <v>24</v>
      </c>
      <c r="Z87" s="320">
        <v>25</v>
      </c>
      <c r="AA87" s="320">
        <v>26</v>
      </c>
      <c r="AB87" s="320">
        <v>27</v>
      </c>
      <c r="AC87" s="320">
        <v>28</v>
      </c>
      <c r="AD87" s="737">
        <v>29</v>
      </c>
      <c r="AE87" s="737">
        <v>30</v>
      </c>
      <c r="AF87" s="320">
        <v>31</v>
      </c>
    </row>
    <row r="88" spans="1:32" ht="18" customHeight="1">
      <c r="A88" s="343"/>
      <c r="B88" s="344" t="s">
        <v>40</v>
      </c>
      <c r="C88" s="344"/>
      <c r="D88" s="340"/>
      <c r="E88" s="340"/>
      <c r="F88" s="340"/>
      <c r="G88" s="320" t="s">
        <v>40</v>
      </c>
      <c r="H88" s="320" t="s">
        <v>40</v>
      </c>
      <c r="I88" s="320" t="s">
        <v>40</v>
      </c>
      <c r="J88" s="344" t="s">
        <v>40</v>
      </c>
      <c r="K88" s="344" t="s">
        <v>40</v>
      </c>
      <c r="L88" s="344"/>
      <c r="M88" s="344"/>
      <c r="N88" s="320" t="s">
        <v>40</v>
      </c>
      <c r="O88" s="320" t="s">
        <v>40</v>
      </c>
      <c r="P88" s="320" t="s">
        <v>40</v>
      </c>
      <c r="Q88" s="320" t="s">
        <v>40</v>
      </c>
      <c r="R88" s="320" t="s">
        <v>40</v>
      </c>
      <c r="S88" s="344"/>
      <c r="T88" s="344"/>
      <c r="U88" s="320" t="s">
        <v>40</v>
      </c>
      <c r="V88" s="320" t="s">
        <v>40</v>
      </c>
      <c r="W88" s="344" t="s">
        <v>40</v>
      </c>
      <c r="X88" s="344" t="s">
        <v>40</v>
      </c>
      <c r="Y88" s="344" t="s">
        <v>40</v>
      </c>
      <c r="Z88" s="344"/>
      <c r="AA88" s="344"/>
      <c r="AB88" s="320" t="s">
        <v>40</v>
      </c>
      <c r="AC88" s="320" t="s">
        <v>40</v>
      </c>
      <c r="AD88" s="344" t="s">
        <v>40</v>
      </c>
      <c r="AE88" s="344" t="s">
        <v>40</v>
      </c>
      <c r="AF88" s="344" t="s">
        <v>40</v>
      </c>
    </row>
    <row r="89" spans="1:32" ht="18" customHeight="1">
      <c r="A89" s="308"/>
      <c r="B89" s="344" t="s">
        <v>40</v>
      </c>
      <c r="C89" s="344"/>
      <c r="D89" s="340"/>
      <c r="E89" s="340"/>
      <c r="F89" s="340"/>
      <c r="G89" s="320" t="s">
        <v>40</v>
      </c>
      <c r="H89" s="320" t="s">
        <v>40</v>
      </c>
      <c r="I89" s="320" t="s">
        <v>40</v>
      </c>
      <c r="J89" s="344" t="s">
        <v>40</v>
      </c>
      <c r="K89" s="344" t="s">
        <v>40</v>
      </c>
      <c r="L89" s="344"/>
      <c r="M89" s="344"/>
      <c r="N89" s="320" t="s">
        <v>40</v>
      </c>
      <c r="O89" s="369" t="s">
        <v>104</v>
      </c>
      <c r="P89" s="320" t="s">
        <v>40</v>
      </c>
      <c r="Q89" s="320" t="s">
        <v>40</v>
      </c>
      <c r="R89" s="320" t="s">
        <v>40</v>
      </c>
      <c r="S89" s="344"/>
      <c r="T89" s="369" t="s">
        <v>104</v>
      </c>
      <c r="U89" s="320" t="s">
        <v>40</v>
      </c>
      <c r="V89" s="320" t="s">
        <v>40</v>
      </c>
      <c r="W89" s="344" t="s">
        <v>40</v>
      </c>
      <c r="X89" s="344" t="s">
        <v>40</v>
      </c>
      <c r="Y89" s="344" t="s">
        <v>40</v>
      </c>
      <c r="Z89" s="344"/>
      <c r="AA89" s="344"/>
      <c r="AB89" s="320" t="s">
        <v>40</v>
      </c>
      <c r="AC89" s="320" t="s">
        <v>40</v>
      </c>
      <c r="AD89" s="344" t="s">
        <v>40</v>
      </c>
      <c r="AE89" s="344" t="s">
        <v>40</v>
      </c>
      <c r="AF89" s="344" t="s">
        <v>40</v>
      </c>
    </row>
    <row r="90" spans="1:32" ht="18" customHeight="1">
      <c r="A90" s="68"/>
      <c r="B90" s="176"/>
      <c r="C90" s="176"/>
      <c r="D90" s="176"/>
      <c r="E90" s="176"/>
      <c r="F90" s="176"/>
      <c r="G90" s="176"/>
      <c r="H90" s="176"/>
      <c r="I90" s="176"/>
      <c r="J90" s="176"/>
      <c r="K90" s="176"/>
      <c r="L90" s="176"/>
      <c r="M90" s="176"/>
      <c r="N90" s="176"/>
      <c r="O90" s="176"/>
      <c r="P90" s="176"/>
      <c r="Q90" s="176"/>
      <c r="R90" s="176"/>
      <c r="S90" s="176"/>
      <c r="T90" s="176"/>
      <c r="U90" s="176"/>
      <c r="V90" s="176"/>
      <c r="W90" s="176"/>
      <c r="X90" s="176"/>
      <c r="Y90" s="176"/>
      <c r="Z90" s="176"/>
      <c r="AA90" s="176"/>
      <c r="AB90" s="176"/>
      <c r="AC90" s="176"/>
      <c r="AD90" s="176"/>
      <c r="AE90" s="176"/>
    </row>
    <row r="91" spans="1:32" ht="18" customHeight="1">
      <c r="A91" s="844" t="s">
        <v>161</v>
      </c>
      <c r="B91" s="6014"/>
      <c r="C91" s="6132" t="s">
        <v>19</v>
      </c>
      <c r="D91" s="6131"/>
      <c r="E91" s="6131"/>
      <c r="F91" s="6132" t="s">
        <v>20</v>
      </c>
      <c r="G91" s="6131"/>
      <c r="H91" s="6131"/>
      <c r="I91" s="6132" t="s">
        <v>21</v>
      </c>
      <c r="J91" s="6131"/>
      <c r="K91" s="6131"/>
      <c r="L91" s="6132" t="s">
        <v>22</v>
      </c>
      <c r="M91" s="6131"/>
      <c r="N91" s="6131"/>
      <c r="O91" s="6132" t="s">
        <v>23</v>
      </c>
      <c r="P91" s="6131"/>
      <c r="Q91" s="6129"/>
      <c r="R91" s="6130" t="s">
        <v>24</v>
      </c>
      <c r="S91" s="6131"/>
      <c r="T91" s="6131"/>
      <c r="U91" s="6132" t="s">
        <v>25</v>
      </c>
      <c r="V91" s="6131"/>
      <c r="W91" s="68"/>
      <c r="X91" s="68"/>
      <c r="Y91" s="68"/>
      <c r="Z91" s="68"/>
      <c r="AA91" s="68"/>
      <c r="AB91" s="68"/>
      <c r="AC91" s="68"/>
      <c r="AD91" s="68"/>
      <c r="AE91" s="68"/>
    </row>
    <row r="92" spans="1:32" ht="18" customHeight="1">
      <c r="A92" s="841" t="s">
        <v>162</v>
      </c>
      <c r="B92" s="6056" t="s">
        <v>163</v>
      </c>
      <c r="C92" s="6057"/>
      <c r="D92" s="6057"/>
      <c r="E92" s="6056" t="s">
        <v>163</v>
      </c>
      <c r="F92" s="6057"/>
      <c r="G92" s="6057"/>
      <c r="H92" s="6056" t="s">
        <v>163</v>
      </c>
      <c r="I92" s="6057"/>
      <c r="J92" s="6057"/>
      <c r="K92" s="6056" t="s">
        <v>163</v>
      </c>
      <c r="L92" s="6057"/>
      <c r="M92" s="6057"/>
      <c r="N92" s="6056" t="s">
        <v>163</v>
      </c>
      <c r="O92" s="6057"/>
      <c r="P92" s="6057"/>
      <c r="Q92" s="6058"/>
      <c r="R92" s="6057"/>
      <c r="S92" s="6057"/>
      <c r="T92" s="6058" t="s">
        <v>164</v>
      </c>
      <c r="U92" s="6057"/>
      <c r="V92" s="6059"/>
      <c r="W92" s="68"/>
      <c r="X92" s="68"/>
      <c r="Y92" s="68"/>
      <c r="Z92" s="68"/>
      <c r="AA92" s="68"/>
      <c r="AB92" s="68"/>
      <c r="AC92" s="68"/>
      <c r="AD92" s="68"/>
      <c r="AE92" s="68"/>
    </row>
    <row r="93" spans="1:32" ht="18" customHeight="1">
      <c r="A93" s="6060" t="s">
        <v>165</v>
      </c>
      <c r="B93" s="6061" t="s">
        <v>166</v>
      </c>
      <c r="C93" s="6062"/>
      <c r="D93" s="6062"/>
      <c r="E93" s="6061" t="s">
        <v>167</v>
      </c>
      <c r="F93" s="6062"/>
      <c r="G93" s="6062"/>
      <c r="H93" s="6061" t="s">
        <v>167</v>
      </c>
      <c r="I93" s="6062"/>
      <c r="J93" s="6062"/>
      <c r="K93" s="6061" t="s">
        <v>167</v>
      </c>
      <c r="L93" s="6062"/>
      <c r="M93" s="6062"/>
      <c r="N93" s="6061" t="s">
        <v>168</v>
      </c>
      <c r="O93" s="6062"/>
      <c r="P93" s="6062"/>
      <c r="Q93" s="242"/>
      <c r="R93" s="46"/>
      <c r="S93" s="6059"/>
      <c r="T93" s="242"/>
      <c r="U93" s="46"/>
      <c r="V93" s="6059"/>
      <c r="W93" s="68"/>
      <c r="X93" s="68"/>
      <c r="Y93" s="68"/>
      <c r="Z93" s="68"/>
      <c r="AA93" s="68"/>
      <c r="AB93" s="68"/>
      <c r="AC93" s="68"/>
      <c r="AD93" s="68"/>
      <c r="AE93" s="68"/>
    </row>
    <row r="94" spans="1:32" ht="18" customHeight="1">
      <c r="A94" s="6060" t="s">
        <v>169</v>
      </c>
      <c r="B94" s="6063" t="s">
        <v>170</v>
      </c>
      <c r="C94" s="6013"/>
      <c r="D94" s="6013"/>
      <c r="E94" s="6063" t="s">
        <v>171</v>
      </c>
      <c r="F94" s="6021"/>
      <c r="G94" s="6013"/>
      <c r="H94" s="6063" t="s">
        <v>171</v>
      </c>
      <c r="I94" s="5757"/>
      <c r="J94" s="5756"/>
      <c r="K94" s="5617" t="s">
        <v>172</v>
      </c>
      <c r="L94" s="5757"/>
      <c r="M94" s="5618"/>
      <c r="N94" s="6063" t="s">
        <v>172</v>
      </c>
      <c r="O94" s="6013"/>
      <c r="P94" s="6013"/>
      <c r="Q94" s="5617" t="s">
        <v>173</v>
      </c>
      <c r="R94" s="5757"/>
      <c r="S94" s="5756"/>
      <c r="T94" s="5617" t="s">
        <v>173</v>
      </c>
      <c r="U94" s="5757"/>
      <c r="V94" s="5756"/>
      <c r="W94" s="68"/>
      <c r="X94" s="68"/>
      <c r="Y94" s="68"/>
      <c r="Z94" s="68"/>
      <c r="AA94" s="68"/>
      <c r="AB94" s="68"/>
      <c r="AC94" s="68"/>
      <c r="AD94" s="68"/>
      <c r="AE94" s="68"/>
    </row>
    <row r="95" spans="1:32" ht="18" customHeight="1">
      <c r="A95" s="6060" t="s">
        <v>174</v>
      </c>
      <c r="B95" s="6063" t="s">
        <v>46</v>
      </c>
      <c r="C95" s="6013"/>
      <c r="D95" s="6013"/>
      <c r="E95" s="6063" t="s">
        <v>46</v>
      </c>
      <c r="F95" s="6021"/>
      <c r="G95" s="6013"/>
      <c r="H95" s="5617" t="s">
        <v>46</v>
      </c>
      <c r="I95" s="5757"/>
      <c r="J95" s="5756"/>
      <c r="K95" s="5617" t="s">
        <v>46</v>
      </c>
      <c r="L95" s="5757"/>
      <c r="M95" s="5618"/>
      <c r="N95" s="6063" t="s">
        <v>46</v>
      </c>
      <c r="O95" s="6013"/>
      <c r="P95" s="6013"/>
      <c r="Q95" s="5617"/>
      <c r="R95" s="5757"/>
      <c r="S95" s="5756"/>
      <c r="T95" s="5617"/>
      <c r="U95" s="5757"/>
      <c r="V95" s="5822"/>
      <c r="W95" s="68"/>
      <c r="X95" s="68"/>
      <c r="Y95" s="68"/>
      <c r="Z95" s="68"/>
      <c r="AA95" s="68"/>
      <c r="AB95" s="68"/>
      <c r="AC95" s="68"/>
      <c r="AD95" s="68"/>
      <c r="AE95" s="68"/>
    </row>
    <row r="96" spans="1:32" ht="18" customHeight="1" thickBot="1">
      <c r="A96" s="243"/>
      <c r="B96" s="244"/>
      <c r="E96" s="244"/>
      <c r="F96" s="68"/>
      <c r="H96" s="68"/>
      <c r="K96" s="68"/>
      <c r="M96" s="32"/>
      <c r="N96" s="244"/>
      <c r="Q96" s="68"/>
      <c r="T96" s="68"/>
      <c r="W96" s="68"/>
      <c r="X96" s="68"/>
      <c r="Y96" s="68"/>
      <c r="Z96" s="68"/>
      <c r="AA96" s="68"/>
      <c r="AB96" s="68"/>
      <c r="AC96" s="68"/>
      <c r="AD96" s="68"/>
      <c r="AE96" s="68"/>
    </row>
    <row r="97" spans="1:32" ht="18" customHeight="1" thickBot="1">
      <c r="A97" s="363" t="s">
        <v>161</v>
      </c>
      <c r="B97" s="6126">
        <v>1</v>
      </c>
      <c r="C97" s="6126">
        <v>2</v>
      </c>
      <c r="D97" s="6127">
        <v>3</v>
      </c>
      <c r="E97" s="6127">
        <v>4</v>
      </c>
      <c r="F97" s="6127">
        <v>5</v>
      </c>
      <c r="G97" s="6127">
        <v>6</v>
      </c>
      <c r="H97" s="6127">
        <v>7</v>
      </c>
      <c r="I97" s="6126">
        <v>8</v>
      </c>
      <c r="J97" s="6126">
        <v>9</v>
      </c>
      <c r="K97" s="6127">
        <v>10</v>
      </c>
      <c r="L97" s="6127">
        <v>11</v>
      </c>
      <c r="M97" s="6127">
        <v>12</v>
      </c>
      <c r="N97" s="6127">
        <v>13</v>
      </c>
      <c r="O97" s="6127">
        <v>14</v>
      </c>
      <c r="P97" s="6126">
        <v>15</v>
      </c>
      <c r="Q97" s="6126">
        <v>16</v>
      </c>
      <c r="R97" s="6127">
        <v>17</v>
      </c>
      <c r="S97" s="6127">
        <v>18</v>
      </c>
      <c r="T97" s="6127">
        <v>19</v>
      </c>
      <c r="U97" s="6127">
        <v>20</v>
      </c>
      <c r="V97" s="6127">
        <v>21</v>
      </c>
      <c r="W97" s="6126">
        <v>22</v>
      </c>
      <c r="X97" s="6126">
        <v>23</v>
      </c>
      <c r="Y97" s="6127">
        <v>24</v>
      </c>
      <c r="Z97" s="6127">
        <v>25</v>
      </c>
      <c r="AA97" s="6127">
        <v>26</v>
      </c>
      <c r="AB97" s="6127">
        <v>27</v>
      </c>
      <c r="AC97" s="6127">
        <v>28</v>
      </c>
      <c r="AD97" s="6126">
        <v>29</v>
      </c>
      <c r="AE97" s="6126">
        <v>30</v>
      </c>
      <c r="AF97" s="6127">
        <v>31</v>
      </c>
    </row>
    <row r="98" spans="1:32" ht="18" customHeight="1">
      <c r="A98" s="6173" t="s">
        <v>175</v>
      </c>
      <c r="B98" s="6064"/>
      <c r="C98" s="6064">
        <v>26</v>
      </c>
      <c r="D98" s="6064">
        <v>26</v>
      </c>
      <c r="E98" s="6064">
        <v>26</v>
      </c>
      <c r="F98" s="6064">
        <v>26</v>
      </c>
      <c r="G98" s="6064"/>
      <c r="H98" s="6064">
        <v>26</v>
      </c>
      <c r="I98" s="585"/>
      <c r="J98" s="585"/>
      <c r="K98" s="585" t="s">
        <v>121</v>
      </c>
      <c r="L98" s="585" t="s">
        <v>121</v>
      </c>
      <c r="M98" s="585" t="s">
        <v>121</v>
      </c>
      <c r="N98" s="585" t="s">
        <v>121</v>
      </c>
      <c r="O98" s="585" t="s">
        <v>121</v>
      </c>
      <c r="P98" s="6064" t="s">
        <v>120</v>
      </c>
      <c r="Q98" s="6131" t="s">
        <v>120</v>
      </c>
      <c r="R98" s="6131" t="s">
        <v>46</v>
      </c>
      <c r="S98" s="6131" t="s">
        <v>46</v>
      </c>
      <c r="T98" s="6131" t="s">
        <v>46</v>
      </c>
      <c r="U98" s="6064" t="s">
        <v>46</v>
      </c>
      <c r="V98" s="6064" t="s">
        <v>46</v>
      </c>
      <c r="W98" s="6064"/>
      <c r="X98" s="6039"/>
      <c r="Y98" s="6064">
        <v>25</v>
      </c>
      <c r="Z98" s="6064">
        <v>25</v>
      </c>
      <c r="AA98" s="6064">
        <v>25</v>
      </c>
      <c r="AB98" s="6064">
        <v>25</v>
      </c>
      <c r="AC98" s="6064">
        <v>25</v>
      </c>
      <c r="AD98" s="6064"/>
      <c r="AE98" s="6064">
        <v>26</v>
      </c>
      <c r="AF98" s="6064">
        <v>26</v>
      </c>
    </row>
    <row r="99" spans="1:32" ht="18" customHeight="1">
      <c r="A99" s="5595" t="s">
        <v>176</v>
      </c>
      <c r="B99" s="585"/>
      <c r="C99" s="585"/>
      <c r="D99" s="585" t="s">
        <v>121</v>
      </c>
      <c r="E99" s="585" t="s">
        <v>121</v>
      </c>
      <c r="F99" s="585" t="s">
        <v>121</v>
      </c>
      <c r="G99" s="585" t="s">
        <v>120</v>
      </c>
      <c r="H99" s="585" t="s">
        <v>121</v>
      </c>
      <c r="I99" s="6064" t="s">
        <v>120</v>
      </c>
      <c r="J99" s="6064" t="s">
        <v>120</v>
      </c>
      <c r="K99" s="6064" t="s">
        <v>46</v>
      </c>
      <c r="L99" s="6064" t="s">
        <v>46</v>
      </c>
      <c r="M99" s="6064" t="s">
        <v>46</v>
      </c>
      <c r="N99" s="6064" t="s">
        <v>46</v>
      </c>
      <c r="O99" s="6064" t="s">
        <v>46</v>
      </c>
      <c r="P99" s="6064"/>
      <c r="Q99" s="6064"/>
      <c r="R99" s="6064"/>
      <c r="S99" s="6064">
        <v>25</v>
      </c>
      <c r="T99" s="6064">
        <v>25</v>
      </c>
      <c r="U99" s="6064">
        <v>25</v>
      </c>
      <c r="V99" s="6064">
        <v>25</v>
      </c>
      <c r="W99" s="6064"/>
      <c r="X99" s="6064">
        <v>26</v>
      </c>
      <c r="Y99" s="6064">
        <v>26</v>
      </c>
      <c r="Z99" s="6064">
        <v>26</v>
      </c>
      <c r="AA99" s="6064">
        <v>26</v>
      </c>
      <c r="AB99" s="6064">
        <v>26</v>
      </c>
      <c r="AC99" s="6064">
        <v>26</v>
      </c>
      <c r="AD99" s="585"/>
      <c r="AE99" s="585"/>
      <c r="AF99" s="585" t="s">
        <v>121</v>
      </c>
    </row>
    <row r="100" spans="1:32" ht="18" customHeight="1">
      <c r="A100" s="5627" t="s">
        <v>135</v>
      </c>
      <c r="B100" s="6064" t="s">
        <v>120</v>
      </c>
      <c r="C100" s="6064" t="s">
        <v>120</v>
      </c>
      <c r="D100" s="6064" t="s">
        <v>46</v>
      </c>
      <c r="E100" s="6064" t="s">
        <v>46</v>
      </c>
      <c r="F100" s="6064" t="s">
        <v>46</v>
      </c>
      <c r="G100" s="6064" t="s">
        <v>46</v>
      </c>
      <c r="H100" s="6064" t="s">
        <v>46</v>
      </c>
      <c r="I100" s="6064"/>
      <c r="J100" s="6064"/>
      <c r="K100" s="6064">
        <v>25</v>
      </c>
      <c r="L100" s="6064">
        <v>25</v>
      </c>
      <c r="M100" s="6064">
        <v>25</v>
      </c>
      <c r="N100" s="6064">
        <v>25</v>
      </c>
      <c r="O100" s="6064">
        <v>25</v>
      </c>
      <c r="P100" s="6064"/>
      <c r="Q100" s="6064">
        <v>26</v>
      </c>
      <c r="R100" s="6064"/>
      <c r="S100" s="6064">
        <v>26</v>
      </c>
      <c r="T100" s="6064">
        <v>26</v>
      </c>
      <c r="U100" s="6064">
        <v>26</v>
      </c>
      <c r="V100" s="6064">
        <v>26</v>
      </c>
      <c r="W100" s="6064"/>
      <c r="X100" s="6064"/>
      <c r="Y100" s="6064" t="s">
        <v>121</v>
      </c>
      <c r="Z100" s="6064" t="s">
        <v>121</v>
      </c>
      <c r="AA100" s="6064" t="s">
        <v>121</v>
      </c>
      <c r="AB100" s="6064" t="s">
        <v>121</v>
      </c>
      <c r="AC100" s="6064" t="s">
        <v>121</v>
      </c>
      <c r="AD100" s="6064" t="s">
        <v>120</v>
      </c>
      <c r="AE100" s="6064" t="s">
        <v>120</v>
      </c>
      <c r="AF100" s="6064" t="s">
        <v>46</v>
      </c>
    </row>
    <row r="101" spans="1:32" ht="18" customHeight="1" thickBot="1">
      <c r="A101" s="462" t="s">
        <v>146</v>
      </c>
      <c r="B101" s="6064"/>
      <c r="C101" s="6064"/>
      <c r="D101" s="6064">
        <v>25</v>
      </c>
      <c r="E101" s="6064">
        <v>25</v>
      </c>
      <c r="F101" s="6064">
        <v>25</v>
      </c>
      <c r="G101" s="6064"/>
      <c r="H101" s="6064">
        <v>25</v>
      </c>
      <c r="I101" s="6064"/>
      <c r="J101" s="6064">
        <v>26</v>
      </c>
      <c r="K101" s="6064">
        <v>26</v>
      </c>
      <c r="L101" s="6064">
        <v>26</v>
      </c>
      <c r="M101" s="6064">
        <v>26</v>
      </c>
      <c r="N101" s="6064">
        <v>26</v>
      </c>
      <c r="O101" s="6064">
        <v>26</v>
      </c>
      <c r="P101" s="6064"/>
      <c r="Q101" s="6064"/>
      <c r="R101" s="6064" t="s">
        <v>120</v>
      </c>
      <c r="S101" s="6064" t="s">
        <v>121</v>
      </c>
      <c r="T101" s="6064" t="s">
        <v>121</v>
      </c>
      <c r="U101" s="6064" t="s">
        <v>121</v>
      </c>
      <c r="V101" s="6064" t="s">
        <v>121</v>
      </c>
      <c r="W101" s="6064" t="s">
        <v>120</v>
      </c>
      <c r="X101" s="6064" t="s">
        <v>120</v>
      </c>
      <c r="Y101" s="6064" t="s">
        <v>46</v>
      </c>
      <c r="Z101" s="6064" t="s">
        <v>46</v>
      </c>
      <c r="AA101" s="6064" t="s">
        <v>46</v>
      </c>
      <c r="AB101" s="6064" t="s">
        <v>46</v>
      </c>
      <c r="AC101" s="6064" t="s">
        <v>46</v>
      </c>
      <c r="AD101" s="6064"/>
      <c r="AE101" s="6064"/>
      <c r="AF101" s="6064">
        <v>25</v>
      </c>
    </row>
    <row r="102" spans="1:32" ht="18" customHeight="1" thickBot="1">
      <c r="A102" s="68"/>
      <c r="B102" s="176"/>
      <c r="C102" s="176"/>
      <c r="D102" s="176"/>
      <c r="E102" s="176"/>
      <c r="F102" s="176"/>
      <c r="G102" s="176"/>
      <c r="H102" s="176"/>
      <c r="I102" s="176"/>
      <c r="J102" s="176"/>
      <c r="K102" s="176"/>
      <c r="L102" s="176"/>
      <c r="M102" s="176"/>
      <c r="N102" s="176"/>
      <c r="O102" s="176"/>
      <c r="P102" s="176"/>
      <c r="Q102" s="176"/>
      <c r="R102" s="176"/>
      <c r="S102" s="176"/>
      <c r="T102" s="176"/>
      <c r="U102" s="176"/>
      <c r="V102" s="176"/>
      <c r="W102" s="176"/>
      <c r="X102" s="176"/>
      <c r="Y102" s="176"/>
      <c r="Z102" s="176"/>
      <c r="AA102" s="176"/>
      <c r="AB102" s="176"/>
      <c r="AC102" s="176"/>
      <c r="AD102" s="176"/>
      <c r="AE102" s="176"/>
    </row>
    <row r="103" spans="1:32" ht="18" customHeight="1" thickBot="1">
      <c r="A103" s="134" t="s">
        <v>180</v>
      </c>
      <c r="B103" s="135"/>
      <c r="C103" s="135"/>
      <c r="D103" s="136" t="s">
        <v>181</v>
      </c>
      <c r="E103" s="135"/>
      <c r="F103" s="135"/>
      <c r="G103" s="135"/>
      <c r="H103" s="135"/>
      <c r="I103" s="135"/>
      <c r="J103" s="135" t="s">
        <v>0</v>
      </c>
      <c r="K103" s="135"/>
      <c r="L103" s="135"/>
      <c r="M103" s="135"/>
      <c r="N103" s="135"/>
      <c r="O103" s="135"/>
      <c r="P103" s="135"/>
      <c r="Q103" s="147" t="s">
        <v>0</v>
      </c>
      <c r="R103" s="147"/>
      <c r="S103" s="147"/>
      <c r="T103" s="108"/>
      <c r="U103" s="108"/>
      <c r="V103" s="108"/>
      <c r="W103" s="108"/>
      <c r="X103" s="108"/>
      <c r="Y103" s="108"/>
      <c r="Z103" s="108"/>
      <c r="AA103" s="108"/>
      <c r="AB103" s="108"/>
      <c r="AC103" s="108"/>
      <c r="AD103" s="108"/>
      <c r="AE103" s="108"/>
      <c r="AF103" s="108"/>
    </row>
    <row r="104" spans="1:32" ht="18" customHeight="1" thickBot="1">
      <c r="A104" s="388" t="s">
        <v>178</v>
      </c>
      <c r="B104" s="6126">
        <v>1</v>
      </c>
      <c r="C104" s="6126">
        <v>2</v>
      </c>
      <c r="D104" s="6127">
        <v>3</v>
      </c>
      <c r="E104" s="6127">
        <v>4</v>
      </c>
      <c r="F104" s="6127">
        <v>5</v>
      </c>
      <c r="G104" s="6127">
        <v>6</v>
      </c>
      <c r="H104" s="6127">
        <v>7</v>
      </c>
      <c r="I104" s="6126">
        <v>8</v>
      </c>
      <c r="J104" s="6126">
        <v>9</v>
      </c>
      <c r="K104" s="6127">
        <v>10</v>
      </c>
      <c r="L104" s="6127">
        <v>11</v>
      </c>
      <c r="M104" s="6127">
        <v>12</v>
      </c>
      <c r="N104" s="6127">
        <v>13</v>
      </c>
      <c r="O104" s="6127">
        <v>14</v>
      </c>
      <c r="P104" s="6126">
        <v>15</v>
      </c>
      <c r="Q104" s="6126">
        <v>16</v>
      </c>
      <c r="R104" s="6127">
        <v>17</v>
      </c>
      <c r="S104" s="6127">
        <v>18</v>
      </c>
      <c r="T104" s="6127">
        <v>19</v>
      </c>
      <c r="U104" s="6127">
        <v>20</v>
      </c>
      <c r="V104" s="6127">
        <v>21</v>
      </c>
      <c r="W104" s="6126">
        <v>22</v>
      </c>
      <c r="X104" s="6126">
        <v>23</v>
      </c>
      <c r="Y104" s="6127">
        <v>24</v>
      </c>
      <c r="Z104" s="6127">
        <v>25</v>
      </c>
      <c r="AA104" s="6127">
        <v>26</v>
      </c>
      <c r="AB104" s="6127">
        <v>27</v>
      </c>
      <c r="AC104" s="6127">
        <v>28</v>
      </c>
      <c r="AD104" s="6126">
        <v>29</v>
      </c>
      <c r="AE104" s="6126">
        <v>30</v>
      </c>
      <c r="AF104" s="6127">
        <v>31</v>
      </c>
    </row>
    <row r="105" spans="1:32" ht="18" customHeight="1">
      <c r="A105" s="392" t="s">
        <v>184</v>
      </c>
      <c r="B105" s="6174" t="s">
        <v>118</v>
      </c>
      <c r="C105" s="6174" t="s">
        <v>118</v>
      </c>
      <c r="D105" s="6174" t="s">
        <v>46</v>
      </c>
      <c r="E105" s="6174" t="s">
        <v>46</v>
      </c>
      <c r="F105" s="6174" t="s">
        <v>46</v>
      </c>
      <c r="G105" s="6174" t="s">
        <v>46</v>
      </c>
      <c r="H105" s="6174" t="s">
        <v>46</v>
      </c>
      <c r="I105" s="6174"/>
      <c r="J105" s="6174"/>
      <c r="K105" s="6174" t="s">
        <v>118</v>
      </c>
      <c r="L105" s="6174" t="s">
        <v>118</v>
      </c>
      <c r="M105" s="6174" t="s">
        <v>118</v>
      </c>
      <c r="N105" s="6174" t="s">
        <v>118</v>
      </c>
      <c r="O105" s="6174" t="s">
        <v>118</v>
      </c>
      <c r="P105" s="6174" t="s">
        <v>118</v>
      </c>
      <c r="Q105" s="6174" t="s">
        <v>118</v>
      </c>
      <c r="R105" s="6174" t="s">
        <v>46</v>
      </c>
      <c r="S105" s="6174" t="s">
        <v>46</v>
      </c>
      <c r="T105" s="6174" t="s">
        <v>46</v>
      </c>
      <c r="U105" s="6174" t="s">
        <v>46</v>
      </c>
      <c r="V105" s="6174" t="s">
        <v>46</v>
      </c>
      <c r="W105" s="6174"/>
      <c r="X105" s="6174"/>
      <c r="Y105" s="6174" t="s">
        <v>118</v>
      </c>
      <c r="Z105" s="6174" t="s">
        <v>118</v>
      </c>
      <c r="AA105" s="6174" t="s">
        <v>118</v>
      </c>
      <c r="AB105" s="6174" t="s">
        <v>118</v>
      </c>
      <c r="AC105" s="6174" t="s">
        <v>118</v>
      </c>
      <c r="AD105" s="6174" t="s">
        <v>118</v>
      </c>
      <c r="AE105" s="6174" t="s">
        <v>118</v>
      </c>
      <c r="AF105" s="6174" t="s">
        <v>46</v>
      </c>
    </row>
    <row r="106" spans="1:32" ht="18" customHeight="1">
      <c r="A106" s="366" t="s">
        <v>195</v>
      </c>
      <c r="B106" s="724"/>
      <c r="C106" s="724"/>
      <c r="D106" s="724"/>
      <c r="E106" s="724"/>
      <c r="F106" s="724"/>
      <c r="G106" s="724"/>
      <c r="H106" s="724"/>
      <c r="I106" s="724"/>
      <c r="J106" s="724"/>
      <c r="K106" s="724"/>
      <c r="L106" s="724"/>
      <c r="M106" s="724"/>
      <c r="N106" s="724"/>
      <c r="O106" s="724"/>
      <c r="P106" s="724"/>
      <c r="Q106" s="724"/>
      <c r="R106" s="724"/>
      <c r="S106" s="724"/>
      <c r="T106" s="724"/>
      <c r="U106" s="724"/>
      <c r="V106" s="724"/>
      <c r="W106" s="724"/>
      <c r="X106" s="724"/>
      <c r="Y106" s="724"/>
      <c r="Z106" s="724"/>
      <c r="AA106" s="724"/>
      <c r="AB106" s="724"/>
      <c r="AC106" s="724"/>
      <c r="AD106" s="724"/>
      <c r="AE106" s="724"/>
      <c r="AF106" s="724"/>
    </row>
    <row r="107" spans="1:32" ht="18" customHeight="1" thickBot="1">
      <c r="A107" s="394" t="s">
        <v>385</v>
      </c>
      <c r="B107" s="5967"/>
      <c r="C107" s="5967"/>
      <c r="D107" s="5967" t="s">
        <v>118</v>
      </c>
      <c r="E107" s="5967" t="s">
        <v>118</v>
      </c>
      <c r="F107" s="5967" t="s">
        <v>118</v>
      </c>
      <c r="G107" s="5967" t="s">
        <v>118</v>
      </c>
      <c r="H107" s="5967" t="s">
        <v>118</v>
      </c>
      <c r="I107" s="5967" t="s">
        <v>118</v>
      </c>
      <c r="J107" s="5967" t="s">
        <v>118</v>
      </c>
      <c r="K107" s="5967" t="s">
        <v>46</v>
      </c>
      <c r="L107" s="5967" t="s">
        <v>46</v>
      </c>
      <c r="M107" s="5967" t="s">
        <v>46</v>
      </c>
      <c r="N107" s="5967" t="s">
        <v>46</v>
      </c>
      <c r="O107" s="5967" t="s">
        <v>46</v>
      </c>
      <c r="P107" s="5967"/>
      <c r="Q107" s="5967"/>
      <c r="R107" s="5967" t="s">
        <v>118</v>
      </c>
      <c r="S107" s="5967" t="s">
        <v>118</v>
      </c>
      <c r="T107" s="5967" t="s">
        <v>118</v>
      </c>
      <c r="U107" s="5967" t="s">
        <v>118</v>
      </c>
      <c r="V107" s="5967" t="s">
        <v>118</v>
      </c>
      <c r="W107" s="5967" t="s">
        <v>118</v>
      </c>
      <c r="X107" s="5967" t="s">
        <v>118</v>
      </c>
      <c r="Y107" s="5967" t="s">
        <v>46</v>
      </c>
      <c r="Z107" s="5967" t="s">
        <v>46</v>
      </c>
      <c r="AA107" s="5967" t="s">
        <v>46</v>
      </c>
      <c r="AB107" s="5967" t="s">
        <v>46</v>
      </c>
      <c r="AC107" s="5967" t="s">
        <v>46</v>
      </c>
      <c r="AD107" s="5967"/>
      <c r="AE107" s="5967"/>
      <c r="AF107" s="5967" t="s">
        <v>118</v>
      </c>
    </row>
    <row r="108" spans="1:32" ht="18" customHeight="1" thickBot="1">
      <c r="A108" s="1461"/>
      <c r="B108" s="1462"/>
      <c r="C108" s="1462"/>
      <c r="D108" s="1456"/>
      <c r="E108" s="1456"/>
      <c r="F108" s="1456"/>
      <c r="G108" s="1456"/>
      <c r="H108" s="1456"/>
      <c r="I108" s="1456"/>
      <c r="J108" s="1456"/>
      <c r="K108" s="1456"/>
      <c r="L108" s="1456"/>
      <c r="M108" s="1456"/>
      <c r="N108" s="1456"/>
      <c r="O108" s="1456"/>
      <c r="P108" s="1456"/>
      <c r="Q108" s="1456"/>
      <c r="R108" s="1456"/>
      <c r="S108" s="1456"/>
      <c r="T108" s="1456"/>
      <c r="U108" s="1456"/>
      <c r="V108" s="1456"/>
      <c r="W108" s="1456"/>
      <c r="X108" s="1456"/>
      <c r="Y108" s="1456"/>
      <c r="Z108" s="1456"/>
      <c r="AA108" s="1456"/>
      <c r="AB108" s="1456"/>
      <c r="AC108" s="1456"/>
      <c r="AD108" s="1456"/>
      <c r="AE108" s="1456"/>
    </row>
    <row r="109" spans="1:32" ht="18" customHeight="1" thickBot="1">
      <c r="A109" s="134" t="s">
        <v>180</v>
      </c>
      <c r="B109" s="135"/>
      <c r="C109" s="135"/>
      <c r="D109" s="136" t="s">
        <v>189</v>
      </c>
      <c r="E109" s="135"/>
      <c r="F109" s="135"/>
      <c r="G109" s="135"/>
      <c r="H109" s="135"/>
      <c r="I109" s="135"/>
      <c r="J109" s="135" t="s">
        <v>0</v>
      </c>
      <c r="K109" s="135"/>
      <c r="L109" s="135"/>
      <c r="M109" s="135"/>
      <c r="N109" s="135"/>
      <c r="O109" s="135"/>
      <c r="P109" s="135"/>
      <c r="Q109" s="147" t="s">
        <v>0</v>
      </c>
      <c r="R109" s="147"/>
      <c r="S109" s="147"/>
      <c r="T109" s="101"/>
      <c r="U109" s="101"/>
    </row>
    <row r="110" spans="1:32" ht="18" customHeight="1" thickBot="1">
      <c r="A110" s="478" t="s">
        <v>188</v>
      </c>
      <c r="B110" s="6126">
        <v>1</v>
      </c>
      <c r="C110" s="6126">
        <v>2</v>
      </c>
      <c r="D110" s="6127">
        <v>3</v>
      </c>
      <c r="E110" s="6127">
        <v>4</v>
      </c>
      <c r="F110" s="6127">
        <v>5</v>
      </c>
      <c r="G110" s="6127">
        <v>6</v>
      </c>
      <c r="H110" s="6127">
        <v>7</v>
      </c>
      <c r="I110" s="6126">
        <v>8</v>
      </c>
      <c r="J110" s="6126">
        <v>9</v>
      </c>
      <c r="K110" s="6127">
        <v>10</v>
      </c>
      <c r="L110" s="6127">
        <v>11</v>
      </c>
      <c r="M110" s="6127">
        <v>12</v>
      </c>
      <c r="N110" s="6127">
        <v>13</v>
      </c>
      <c r="O110" s="6127">
        <v>14</v>
      </c>
      <c r="P110" s="6126">
        <v>15</v>
      </c>
      <c r="Q110" s="6126">
        <v>16</v>
      </c>
      <c r="R110" s="6127">
        <v>17</v>
      </c>
      <c r="S110" s="6127">
        <v>18</v>
      </c>
      <c r="T110" s="6127">
        <v>19</v>
      </c>
      <c r="U110" s="6127">
        <v>20</v>
      </c>
      <c r="V110" s="6127">
        <v>21</v>
      </c>
      <c r="W110" s="6126">
        <v>22</v>
      </c>
      <c r="X110" s="6126">
        <v>23</v>
      </c>
      <c r="Y110" s="6127">
        <v>24</v>
      </c>
      <c r="Z110" s="6127">
        <v>25</v>
      </c>
      <c r="AA110" s="6127">
        <v>26</v>
      </c>
      <c r="AB110" s="6127">
        <v>27</v>
      </c>
      <c r="AC110" s="6127">
        <v>28</v>
      </c>
      <c r="AD110" s="6126">
        <v>29</v>
      </c>
      <c r="AE110" s="6126">
        <v>30</v>
      </c>
      <c r="AF110" s="6127">
        <v>31</v>
      </c>
    </row>
    <row r="111" spans="1:32" ht="18" customHeight="1">
      <c r="A111" s="5968"/>
      <c r="B111" s="480" t="s">
        <v>61</v>
      </c>
      <c r="C111" s="480" t="s">
        <v>61</v>
      </c>
      <c r="D111" s="480" t="s">
        <v>46</v>
      </c>
      <c r="E111" s="480" t="s">
        <v>46</v>
      </c>
      <c r="F111" s="480" t="s">
        <v>46</v>
      </c>
      <c r="G111" s="480" t="s">
        <v>46</v>
      </c>
      <c r="H111" s="480" t="s">
        <v>46</v>
      </c>
      <c r="I111" s="484"/>
      <c r="J111" s="484"/>
      <c r="K111" s="484" t="s">
        <v>61</v>
      </c>
      <c r="L111" s="484" t="s">
        <v>61</v>
      </c>
      <c r="M111" s="484" t="s">
        <v>61</v>
      </c>
      <c r="N111" s="480" t="s">
        <v>61</v>
      </c>
      <c r="O111" s="480" t="s">
        <v>61</v>
      </c>
      <c r="P111" s="480" t="s">
        <v>61</v>
      </c>
      <c r="Q111" s="480" t="s">
        <v>61</v>
      </c>
      <c r="R111" s="480" t="s">
        <v>46</v>
      </c>
      <c r="S111" s="480" t="s">
        <v>46</v>
      </c>
      <c r="T111" s="480" t="s">
        <v>46</v>
      </c>
      <c r="U111" s="480" t="s">
        <v>46</v>
      </c>
      <c r="V111" s="480" t="s">
        <v>46</v>
      </c>
      <c r="W111" s="484"/>
      <c r="X111" s="484"/>
      <c r="Y111" s="484" t="s">
        <v>61</v>
      </c>
      <c r="Z111" s="484" t="s">
        <v>61</v>
      </c>
      <c r="AA111" s="484" t="s">
        <v>61</v>
      </c>
      <c r="AB111" s="480" t="s">
        <v>61</v>
      </c>
      <c r="AC111" s="480" t="s">
        <v>61</v>
      </c>
      <c r="AD111" s="480" t="s">
        <v>61</v>
      </c>
      <c r="AE111" s="480" t="s">
        <v>61</v>
      </c>
      <c r="AF111" s="480" t="s">
        <v>46</v>
      </c>
    </row>
    <row r="112" spans="1:32" ht="18" customHeight="1" thickBot="1">
      <c r="A112" s="5968" t="s">
        <v>191</v>
      </c>
      <c r="B112" s="5628"/>
      <c r="C112" s="5629"/>
      <c r="D112" s="5602" t="s">
        <v>61</v>
      </c>
      <c r="E112" s="5602" t="s">
        <v>61</v>
      </c>
      <c r="F112" s="5602" t="s">
        <v>61</v>
      </c>
      <c r="G112" s="5600" t="s">
        <v>61</v>
      </c>
      <c r="H112" s="5600" t="s">
        <v>61</v>
      </c>
      <c r="I112" s="5600" t="s">
        <v>61</v>
      </c>
      <c r="J112" s="5600" t="s">
        <v>61</v>
      </c>
      <c r="K112" s="5600" t="s">
        <v>46</v>
      </c>
      <c r="L112" s="5601" t="s">
        <v>46</v>
      </c>
      <c r="M112" s="5601" t="s">
        <v>46</v>
      </c>
      <c r="N112" s="5601" t="s">
        <v>46</v>
      </c>
      <c r="O112" s="5601" t="s">
        <v>46</v>
      </c>
      <c r="P112" s="5628"/>
      <c r="Q112" s="5629"/>
      <c r="R112" s="5602" t="s">
        <v>61</v>
      </c>
      <c r="S112" s="5602" t="s">
        <v>61</v>
      </c>
      <c r="T112" s="5602" t="s">
        <v>61</v>
      </c>
      <c r="U112" s="5600" t="s">
        <v>61</v>
      </c>
      <c r="V112" s="5600" t="s">
        <v>61</v>
      </c>
      <c r="W112" s="5600" t="s">
        <v>61</v>
      </c>
      <c r="X112" s="5600" t="s">
        <v>61</v>
      </c>
      <c r="Y112" s="5600" t="s">
        <v>46</v>
      </c>
      <c r="Z112" s="5601" t="s">
        <v>46</v>
      </c>
      <c r="AA112" s="5601" t="s">
        <v>46</v>
      </c>
      <c r="AB112" s="5601" t="s">
        <v>46</v>
      </c>
      <c r="AC112" s="5601" t="s">
        <v>46</v>
      </c>
      <c r="AD112" s="5628"/>
      <c r="AE112" s="5629"/>
      <c r="AF112" s="5602" t="s">
        <v>61</v>
      </c>
    </row>
    <row r="113" spans="1:32" ht="18" customHeight="1" thickBot="1">
      <c r="A113" s="1455" t="s">
        <v>0</v>
      </c>
      <c r="B113" s="1456" t="s">
        <v>0</v>
      </c>
      <c r="C113" s="1456" t="s">
        <v>0</v>
      </c>
      <c r="D113" s="1456" t="s">
        <v>0</v>
      </c>
      <c r="E113" s="1456" t="s">
        <v>0</v>
      </c>
      <c r="F113" s="1456" t="s">
        <v>0</v>
      </c>
      <c r="G113" s="1456" t="s">
        <v>0</v>
      </c>
      <c r="H113" s="1456" t="s">
        <v>0</v>
      </c>
      <c r="I113" s="1456" t="s">
        <v>0</v>
      </c>
      <c r="J113" s="1456" t="s">
        <v>0</v>
      </c>
      <c r="K113" s="1456" t="s">
        <v>0</v>
      </c>
      <c r="L113" s="1456" t="s">
        <v>0</v>
      </c>
      <c r="M113" s="1456" t="s">
        <v>0</v>
      </c>
      <c r="N113" s="1456" t="s">
        <v>0</v>
      </c>
      <c r="O113" s="1456" t="s">
        <v>0</v>
      </c>
      <c r="P113" s="1456" t="s">
        <v>0</v>
      </c>
      <c r="Q113" s="1456" t="s">
        <v>0</v>
      </c>
      <c r="R113" s="1456" t="s">
        <v>0</v>
      </c>
      <c r="S113" s="1456" t="s">
        <v>0</v>
      </c>
      <c r="T113" s="1456" t="s">
        <v>0</v>
      </c>
      <c r="U113" s="1456" t="s">
        <v>0</v>
      </c>
      <c r="V113" s="1456" t="s">
        <v>0</v>
      </c>
      <c r="W113" s="1456" t="s">
        <v>0</v>
      </c>
      <c r="X113" s="1456" t="s">
        <v>0</v>
      </c>
      <c r="Y113" s="1456" t="s">
        <v>0</v>
      </c>
      <c r="Z113" s="1456" t="s">
        <v>0</v>
      </c>
      <c r="AA113" s="1456" t="s">
        <v>0</v>
      </c>
      <c r="AB113" s="1456" t="s">
        <v>0</v>
      </c>
      <c r="AC113" s="1456" t="s">
        <v>0</v>
      </c>
      <c r="AD113" s="1456" t="s">
        <v>0</v>
      </c>
      <c r="AE113" s="1456" t="s">
        <v>0</v>
      </c>
    </row>
    <row r="114" spans="1:32" ht="18" customHeight="1" thickBot="1">
      <c r="A114" s="134" t="s">
        <v>180</v>
      </c>
      <c r="B114" s="135"/>
      <c r="C114" s="135"/>
      <c r="D114" s="136" t="s">
        <v>193</v>
      </c>
      <c r="E114" s="135"/>
      <c r="F114" s="135"/>
      <c r="G114" s="135"/>
      <c r="H114" s="135"/>
      <c r="I114" s="135"/>
      <c r="J114" s="135" t="s">
        <v>0</v>
      </c>
      <c r="K114" s="135"/>
      <c r="L114" s="135"/>
      <c r="M114" s="135"/>
      <c r="N114" s="135"/>
      <c r="O114" s="135"/>
      <c r="P114" s="135"/>
      <c r="Q114" s="147" t="s">
        <v>0</v>
      </c>
      <c r="R114" s="147"/>
      <c r="S114" s="147"/>
    </row>
    <row r="115" spans="1:32" ht="18" customHeight="1" thickBot="1">
      <c r="A115" s="387" t="s">
        <v>192</v>
      </c>
      <c r="B115" s="6126">
        <v>1</v>
      </c>
      <c r="C115" s="6126">
        <v>2</v>
      </c>
      <c r="D115" s="6127">
        <v>3</v>
      </c>
      <c r="E115" s="6127">
        <v>4</v>
      </c>
      <c r="F115" s="6127">
        <v>5</v>
      </c>
      <c r="G115" s="6127">
        <v>6</v>
      </c>
      <c r="H115" s="6127">
        <v>7</v>
      </c>
      <c r="I115" s="6126">
        <v>8</v>
      </c>
      <c r="J115" s="6126">
        <v>9</v>
      </c>
      <c r="K115" s="6127">
        <v>10</v>
      </c>
      <c r="L115" s="6127">
        <v>11</v>
      </c>
      <c r="M115" s="6127">
        <v>12</v>
      </c>
      <c r="N115" s="6127">
        <v>13</v>
      </c>
      <c r="O115" s="6127">
        <v>14</v>
      </c>
      <c r="P115" s="6126">
        <v>15</v>
      </c>
      <c r="Q115" s="6126">
        <v>16</v>
      </c>
      <c r="R115" s="6127">
        <v>17</v>
      </c>
      <c r="S115" s="6127">
        <v>18</v>
      </c>
      <c r="T115" s="6127">
        <v>19</v>
      </c>
      <c r="U115" s="6127">
        <v>20</v>
      </c>
      <c r="V115" s="6127">
        <v>21</v>
      </c>
      <c r="W115" s="6126">
        <v>22</v>
      </c>
      <c r="X115" s="6126">
        <v>23</v>
      </c>
      <c r="Y115" s="6127">
        <v>24</v>
      </c>
      <c r="Z115" s="6127">
        <v>25</v>
      </c>
      <c r="AA115" s="6127">
        <v>26</v>
      </c>
      <c r="AB115" s="6127">
        <v>27</v>
      </c>
      <c r="AC115" s="6127">
        <v>28</v>
      </c>
      <c r="AD115" s="6126">
        <v>29</v>
      </c>
      <c r="AE115" s="6126">
        <v>30</v>
      </c>
      <c r="AF115" s="6127">
        <v>31</v>
      </c>
    </row>
    <row r="116" spans="1:32" ht="18" customHeight="1">
      <c r="A116" s="1518" t="s">
        <v>194</v>
      </c>
      <c r="B116" s="1505" t="s">
        <v>139</v>
      </c>
      <c r="C116" s="1505" t="s">
        <v>139</v>
      </c>
      <c r="D116" s="1505" t="s">
        <v>46</v>
      </c>
      <c r="E116" s="1505" t="s">
        <v>46</v>
      </c>
      <c r="F116" s="1505" t="s">
        <v>46</v>
      </c>
      <c r="G116" s="1505" t="s">
        <v>46</v>
      </c>
      <c r="H116" s="1505" t="s">
        <v>46</v>
      </c>
      <c r="I116" s="1505"/>
      <c r="J116" s="1504"/>
      <c r="K116" s="1504" t="s">
        <v>139</v>
      </c>
      <c r="L116" s="1504" t="s">
        <v>139</v>
      </c>
      <c r="M116" s="1504" t="s">
        <v>139</v>
      </c>
      <c r="N116" s="1504" t="s">
        <v>139</v>
      </c>
      <c r="O116" s="1505" t="s">
        <v>139</v>
      </c>
      <c r="P116" s="1505" t="s">
        <v>139</v>
      </c>
      <c r="Q116" s="1505" t="s">
        <v>139</v>
      </c>
      <c r="R116" s="1505" t="s">
        <v>46</v>
      </c>
      <c r="S116" s="1505" t="s">
        <v>46</v>
      </c>
      <c r="T116" s="1505" t="s">
        <v>46</v>
      </c>
      <c r="U116" s="1505" t="s">
        <v>46</v>
      </c>
      <c r="V116" s="1505" t="s">
        <v>46</v>
      </c>
      <c r="W116" s="1505"/>
      <c r="X116" s="1504"/>
      <c r="Y116" s="1504" t="s">
        <v>139</v>
      </c>
      <c r="Z116" s="1504" t="s">
        <v>139</v>
      </c>
      <c r="AA116" s="1504" t="s">
        <v>139</v>
      </c>
      <c r="AB116" s="1504" t="s">
        <v>139</v>
      </c>
      <c r="AC116" s="1505" t="s">
        <v>139</v>
      </c>
      <c r="AD116" s="1505" t="s">
        <v>139</v>
      </c>
      <c r="AE116" s="1505" t="s">
        <v>139</v>
      </c>
      <c r="AF116" s="1505" t="s">
        <v>46</v>
      </c>
    </row>
    <row r="117" spans="1:32" ht="18" customHeight="1" thickBot="1">
      <c r="A117" s="397" t="s">
        <v>185</v>
      </c>
      <c r="B117" s="5600"/>
      <c r="C117" s="5602"/>
      <c r="D117" s="5602" t="s">
        <v>139</v>
      </c>
      <c r="E117" s="5602" t="s">
        <v>139</v>
      </c>
      <c r="F117" s="5602" t="s">
        <v>139</v>
      </c>
      <c r="G117" s="5602" t="s">
        <v>139</v>
      </c>
      <c r="H117" s="5600" t="s">
        <v>139</v>
      </c>
      <c r="I117" s="5600" t="s">
        <v>139</v>
      </c>
      <c r="J117" s="5600" t="s">
        <v>139</v>
      </c>
      <c r="K117" s="5600" t="s">
        <v>46</v>
      </c>
      <c r="L117" s="5600" t="s">
        <v>46</v>
      </c>
      <c r="M117" s="5600" t="s">
        <v>46</v>
      </c>
      <c r="N117" s="5600" t="s">
        <v>46</v>
      </c>
      <c r="O117" s="5600" t="s">
        <v>46</v>
      </c>
      <c r="P117" s="5600"/>
      <c r="Q117" s="5602"/>
      <c r="R117" s="5602" t="s">
        <v>139</v>
      </c>
      <c r="S117" s="5602" t="s">
        <v>139</v>
      </c>
      <c r="T117" s="5602" t="s">
        <v>139</v>
      </c>
      <c r="U117" s="5602" t="s">
        <v>139</v>
      </c>
      <c r="V117" s="5600" t="s">
        <v>139</v>
      </c>
      <c r="W117" s="5600" t="s">
        <v>139</v>
      </c>
      <c r="X117" s="5600" t="s">
        <v>139</v>
      </c>
      <c r="Y117" s="5600" t="s">
        <v>46</v>
      </c>
      <c r="Z117" s="5600" t="s">
        <v>46</v>
      </c>
      <c r="AA117" s="5600" t="s">
        <v>46</v>
      </c>
      <c r="AB117" s="5600" t="s">
        <v>46</v>
      </c>
      <c r="AC117" s="5600" t="s">
        <v>46</v>
      </c>
      <c r="AD117" s="5600"/>
      <c r="AE117" s="5602"/>
      <c r="AF117" s="5602" t="s">
        <v>139</v>
      </c>
    </row>
    <row r="118" spans="1:32" ht="18" customHeight="1" thickBot="1">
      <c r="A118" s="68"/>
      <c r="B118" s="108"/>
      <c r="C118" s="108"/>
      <c r="D118" s="108"/>
      <c r="E118" s="108"/>
      <c r="F118" s="108"/>
      <c r="G118" s="108"/>
      <c r="H118" s="108"/>
      <c r="I118" s="108"/>
      <c r="J118" s="108"/>
      <c r="K118" s="108"/>
      <c r="L118" s="108"/>
      <c r="M118" s="108"/>
      <c r="N118" s="108"/>
      <c r="O118" s="108"/>
      <c r="P118" s="108"/>
      <c r="Q118" s="108"/>
      <c r="R118" s="108"/>
      <c r="S118" s="108"/>
      <c r="T118" s="108"/>
      <c r="U118" s="108"/>
      <c r="V118" s="108"/>
      <c r="W118" s="108"/>
      <c r="X118" s="108"/>
      <c r="Y118" s="108"/>
      <c r="Z118" s="108"/>
      <c r="AA118" s="108"/>
      <c r="AB118" s="108"/>
      <c r="AC118" s="108"/>
      <c r="AD118" s="108"/>
      <c r="AE118" s="108"/>
    </row>
    <row r="119" spans="1:32" ht="18" customHeight="1" thickBot="1">
      <c r="A119" s="134" t="s">
        <v>180</v>
      </c>
      <c r="B119" s="135"/>
      <c r="C119" s="135"/>
      <c r="D119" s="136"/>
      <c r="E119" s="135"/>
      <c r="F119" s="135"/>
      <c r="G119" s="135"/>
      <c r="H119" s="135"/>
      <c r="I119" s="135"/>
      <c r="J119" s="135" t="s">
        <v>0</v>
      </c>
      <c r="K119" s="135"/>
      <c r="L119" s="135"/>
      <c r="M119" s="135"/>
      <c r="N119" s="135"/>
      <c r="O119" s="135"/>
      <c r="P119" s="135"/>
      <c r="Q119" s="147" t="s">
        <v>0</v>
      </c>
      <c r="R119" s="147"/>
      <c r="S119" s="147"/>
    </row>
    <row r="120" spans="1:32" ht="18" customHeight="1" thickBot="1">
      <c r="A120" s="691" t="s">
        <v>196</v>
      </c>
      <c r="B120" s="6126">
        <v>1</v>
      </c>
      <c r="C120" s="6126">
        <v>2</v>
      </c>
      <c r="D120" s="6127">
        <v>3</v>
      </c>
      <c r="E120" s="6127">
        <v>4</v>
      </c>
      <c r="F120" s="6127">
        <v>5</v>
      </c>
      <c r="G120" s="6127">
        <v>6</v>
      </c>
      <c r="H120" s="6127">
        <v>7</v>
      </c>
      <c r="I120" s="6126">
        <v>8</v>
      </c>
      <c r="J120" s="6126">
        <v>9</v>
      </c>
      <c r="K120" s="6127">
        <v>10</v>
      </c>
      <c r="L120" s="6127">
        <v>11</v>
      </c>
      <c r="M120" s="6127">
        <v>12</v>
      </c>
      <c r="N120" s="6127">
        <v>13</v>
      </c>
      <c r="O120" s="6127">
        <v>14</v>
      </c>
      <c r="P120" s="6126">
        <v>15</v>
      </c>
      <c r="Q120" s="6126">
        <v>16</v>
      </c>
      <c r="R120" s="6127">
        <v>17</v>
      </c>
      <c r="S120" s="6127">
        <v>18</v>
      </c>
      <c r="T120" s="6127">
        <v>19</v>
      </c>
      <c r="U120" s="6127">
        <v>20</v>
      </c>
      <c r="V120" s="6127">
        <v>21</v>
      </c>
      <c r="W120" s="6126">
        <v>22</v>
      </c>
      <c r="X120" s="6126">
        <v>23</v>
      </c>
      <c r="Y120" s="6127">
        <v>24</v>
      </c>
      <c r="Z120" s="6127">
        <v>25</v>
      </c>
      <c r="AA120" s="6127">
        <v>26</v>
      </c>
      <c r="AB120" s="6127">
        <v>27</v>
      </c>
      <c r="AC120" s="6127">
        <v>28</v>
      </c>
      <c r="AD120" s="6126">
        <v>29</v>
      </c>
      <c r="AE120" s="6126">
        <v>30</v>
      </c>
      <c r="AF120" s="6127">
        <v>31</v>
      </c>
    </row>
    <row r="121" spans="1:32" ht="18" customHeight="1">
      <c r="A121" s="1498" t="s">
        <v>392</v>
      </c>
      <c r="B121" s="5602" t="s">
        <v>113</v>
      </c>
      <c r="C121" s="5602" t="s">
        <v>113</v>
      </c>
      <c r="D121" s="5600" t="s">
        <v>46</v>
      </c>
      <c r="E121" s="5600" t="s">
        <v>46</v>
      </c>
      <c r="F121" s="5600" t="s">
        <v>46</v>
      </c>
      <c r="G121" s="5600" t="s">
        <v>46</v>
      </c>
      <c r="H121" s="5600" t="s">
        <v>46</v>
      </c>
      <c r="I121" s="5600"/>
      <c r="J121" s="5602"/>
      <c r="K121" s="5602" t="s">
        <v>113</v>
      </c>
      <c r="L121" s="5602" t="s">
        <v>113</v>
      </c>
      <c r="M121" s="5602" t="s">
        <v>113</v>
      </c>
      <c r="N121" s="5602" t="s">
        <v>113</v>
      </c>
      <c r="O121" s="5602" t="s">
        <v>113</v>
      </c>
      <c r="P121" s="5602" t="s">
        <v>113</v>
      </c>
      <c r="Q121" s="5602" t="s">
        <v>113</v>
      </c>
      <c r="R121" s="5600" t="s">
        <v>46</v>
      </c>
      <c r="S121" s="5600" t="s">
        <v>46</v>
      </c>
      <c r="T121" s="5600" t="s">
        <v>46</v>
      </c>
      <c r="U121" s="5600" t="s">
        <v>46</v>
      </c>
      <c r="V121" s="5600" t="s">
        <v>46</v>
      </c>
      <c r="W121" s="5600"/>
      <c r="X121" s="5602"/>
      <c r="Y121" s="5602" t="s">
        <v>113</v>
      </c>
      <c r="Z121" s="5602" t="s">
        <v>113</v>
      </c>
      <c r="AA121" s="5602" t="s">
        <v>113</v>
      </c>
      <c r="AB121" s="5602" t="s">
        <v>113</v>
      </c>
      <c r="AC121" s="5602" t="s">
        <v>113</v>
      </c>
      <c r="AD121" s="5602" t="s">
        <v>113</v>
      </c>
      <c r="AE121" s="5602" t="s">
        <v>113</v>
      </c>
      <c r="AF121" s="5600" t="s">
        <v>46</v>
      </c>
    </row>
    <row r="122" spans="1:32" ht="18" customHeight="1" thickBot="1">
      <c r="A122" s="431" t="s">
        <v>155</v>
      </c>
      <c r="B122" s="5600" t="s">
        <v>0</v>
      </c>
      <c r="C122" s="5600" t="s">
        <v>0</v>
      </c>
      <c r="D122" s="5602" t="s">
        <v>113</v>
      </c>
      <c r="E122" s="5602" t="s">
        <v>113</v>
      </c>
      <c r="F122" s="5602" t="s">
        <v>113</v>
      </c>
      <c r="G122" s="5602" t="s">
        <v>113</v>
      </c>
      <c r="H122" s="5602" t="s">
        <v>113</v>
      </c>
      <c r="I122" s="5602" t="s">
        <v>113</v>
      </c>
      <c r="J122" s="5602" t="s">
        <v>113</v>
      </c>
      <c r="K122" s="5600" t="s">
        <v>46</v>
      </c>
      <c r="L122" s="5600" t="s">
        <v>46</v>
      </c>
      <c r="M122" s="5600" t="s">
        <v>46</v>
      </c>
      <c r="N122" s="5600" t="s">
        <v>46</v>
      </c>
      <c r="O122" s="5600" t="s">
        <v>46</v>
      </c>
      <c r="P122" s="5600" t="s">
        <v>0</v>
      </c>
      <c r="Q122" s="5600" t="s">
        <v>0</v>
      </c>
      <c r="R122" s="5602" t="s">
        <v>113</v>
      </c>
      <c r="S122" s="5602" t="s">
        <v>113</v>
      </c>
      <c r="T122" s="5602" t="s">
        <v>113</v>
      </c>
      <c r="U122" s="5602" t="s">
        <v>113</v>
      </c>
      <c r="V122" s="5602" t="s">
        <v>113</v>
      </c>
      <c r="W122" s="5602" t="s">
        <v>113</v>
      </c>
      <c r="X122" s="5602" t="s">
        <v>113</v>
      </c>
      <c r="Y122" s="5600" t="s">
        <v>46</v>
      </c>
      <c r="Z122" s="5600" t="s">
        <v>46</v>
      </c>
      <c r="AA122" s="5600" t="s">
        <v>46</v>
      </c>
      <c r="AB122" s="5600" t="s">
        <v>46</v>
      </c>
      <c r="AC122" s="5600" t="s">
        <v>46</v>
      </c>
      <c r="AD122" s="5600" t="s">
        <v>0</v>
      </c>
      <c r="AE122" s="5600" t="s">
        <v>0</v>
      </c>
      <c r="AF122" s="5602" t="s">
        <v>113</v>
      </c>
    </row>
    <row r="123" spans="1:32" ht="18" customHeight="1" thickBot="1">
      <c r="A123" s="101"/>
      <c r="B123" s="99"/>
      <c r="C123" s="99"/>
      <c r="D123" s="99"/>
      <c r="E123" s="99"/>
      <c r="F123" s="99"/>
      <c r="G123" s="108"/>
      <c r="H123" s="108"/>
      <c r="I123" s="108"/>
      <c r="J123" s="108"/>
      <c r="K123" s="108"/>
      <c r="L123" s="108"/>
      <c r="M123" s="108"/>
      <c r="N123" s="99"/>
      <c r="O123" s="99"/>
      <c r="P123" s="99"/>
      <c r="Q123" s="99"/>
      <c r="R123" s="99"/>
      <c r="S123" s="99"/>
      <c r="T123" s="99"/>
      <c r="U123" s="108"/>
      <c r="V123" s="108"/>
      <c r="W123" s="108"/>
      <c r="X123" s="108"/>
      <c r="Y123" s="108"/>
      <c r="Z123" s="108"/>
      <c r="AA123" s="108"/>
      <c r="AB123" s="99"/>
      <c r="AC123" s="99"/>
      <c r="AD123" s="99"/>
      <c r="AE123" s="99"/>
    </row>
    <row r="124" spans="1:32" ht="18" customHeight="1">
      <c r="A124" s="6175" t="s">
        <v>201</v>
      </c>
      <c r="B124" s="6176"/>
      <c r="C124" s="6177" t="s">
        <v>19</v>
      </c>
      <c r="D124" s="6178"/>
      <c r="E124" s="6176"/>
      <c r="F124" s="6179" t="s">
        <v>20</v>
      </c>
      <c r="G124" s="6180"/>
      <c r="H124" s="6181"/>
      <c r="I124" s="6179" t="s">
        <v>21</v>
      </c>
      <c r="J124" s="6182"/>
      <c r="K124" s="6181"/>
      <c r="L124" s="6183" t="s">
        <v>22</v>
      </c>
      <c r="M124" s="6182"/>
      <c r="N124" s="6181"/>
      <c r="O124" s="6179" t="s">
        <v>23</v>
      </c>
      <c r="P124" s="6184"/>
      <c r="Q124" s="6181"/>
      <c r="R124" s="6179" t="s">
        <v>24</v>
      </c>
      <c r="S124" s="6185"/>
      <c r="T124" s="6181"/>
      <c r="U124" s="6179" t="s">
        <v>25</v>
      </c>
      <c r="V124" s="6184"/>
      <c r="W124" s="6186" t="s">
        <v>202</v>
      </c>
      <c r="X124" s="6187"/>
      <c r="Y124" s="6187"/>
      <c r="Z124" s="6188"/>
      <c r="AA124" s="6189" t="s">
        <v>108</v>
      </c>
      <c r="AB124" s="6190"/>
      <c r="AC124" s="6190"/>
      <c r="AD124" s="6158"/>
      <c r="AE124" s="6158"/>
      <c r="AF124" s="105"/>
    </row>
    <row r="125" spans="1:32" ht="18" customHeight="1">
      <c r="A125" s="6065" t="s">
        <v>203</v>
      </c>
      <c r="B125" s="6063" t="s">
        <v>204</v>
      </c>
      <c r="C125" s="6013"/>
      <c r="D125" s="6014"/>
      <c r="E125" s="6063" t="s">
        <v>204</v>
      </c>
      <c r="F125" s="6013"/>
      <c r="G125" s="6014"/>
      <c r="H125" s="6063" t="s">
        <v>204</v>
      </c>
      <c r="I125" s="6013"/>
      <c r="J125" s="6014"/>
      <c r="K125" s="6063" t="s">
        <v>204</v>
      </c>
      <c r="L125" s="6013"/>
      <c r="M125" s="6014"/>
      <c r="N125" s="6063" t="s">
        <v>205</v>
      </c>
      <c r="O125" s="6013"/>
      <c r="P125" s="6014"/>
      <c r="Q125" s="6063"/>
      <c r="R125" s="6013"/>
      <c r="S125" s="6014"/>
      <c r="T125" s="6063"/>
      <c r="U125" s="6013"/>
      <c r="V125" s="6014"/>
      <c r="W125" s="6063"/>
      <c r="X125" s="6021"/>
      <c r="Y125" s="6021"/>
      <c r="Z125" s="6021"/>
      <c r="AA125" s="6058"/>
      <c r="AB125" s="6021"/>
      <c r="AC125" s="6021"/>
      <c r="AD125" s="6021"/>
      <c r="AE125" s="6021"/>
      <c r="AF125" s="105"/>
    </row>
    <row r="126" spans="1:32" ht="12.75" thickBot="1"/>
    <row r="127" spans="1:32" ht="18" customHeight="1" thickBot="1">
      <c r="A127" s="363" t="s">
        <v>201</v>
      </c>
      <c r="B127" s="6126">
        <v>1</v>
      </c>
      <c r="C127" s="6126">
        <v>2</v>
      </c>
      <c r="D127" s="6127">
        <v>3</v>
      </c>
      <c r="E127" s="6127">
        <v>4</v>
      </c>
      <c r="F127" s="6127">
        <v>5</v>
      </c>
      <c r="G127" s="6127">
        <v>6</v>
      </c>
      <c r="H127" s="6127">
        <v>7</v>
      </c>
      <c r="I127" s="6126">
        <v>8</v>
      </c>
      <c r="J127" s="6126">
        <v>9</v>
      </c>
      <c r="K127" s="6127">
        <v>10</v>
      </c>
      <c r="L127" s="6127">
        <v>11</v>
      </c>
      <c r="M127" s="6127">
        <v>12</v>
      </c>
      <c r="N127" s="6127">
        <v>13</v>
      </c>
      <c r="O127" s="6127">
        <v>14</v>
      </c>
      <c r="P127" s="6126">
        <v>15</v>
      </c>
      <c r="Q127" s="6126">
        <v>16</v>
      </c>
      <c r="R127" s="6127">
        <v>17</v>
      </c>
      <c r="S127" s="6127">
        <v>18</v>
      </c>
      <c r="T127" s="6127">
        <v>19</v>
      </c>
      <c r="U127" s="6127">
        <v>20</v>
      </c>
      <c r="V127" s="6127">
        <v>21</v>
      </c>
      <c r="W127" s="6126">
        <v>22</v>
      </c>
      <c r="X127" s="6126">
        <v>23</v>
      </c>
      <c r="Y127" s="6127">
        <v>24</v>
      </c>
      <c r="Z127" s="6127">
        <v>25</v>
      </c>
      <c r="AA127" s="6127">
        <v>26</v>
      </c>
      <c r="AB127" s="6127">
        <v>27</v>
      </c>
      <c r="AC127" s="6127">
        <v>28</v>
      </c>
      <c r="AD127" s="6126">
        <v>29</v>
      </c>
      <c r="AE127" s="6126">
        <v>30</v>
      </c>
      <c r="AF127" s="6127">
        <v>31</v>
      </c>
    </row>
    <row r="128" spans="1:32" ht="18" customHeight="1">
      <c r="A128" s="6153" t="s">
        <v>206</v>
      </c>
      <c r="B128" s="6165"/>
      <c r="C128" s="6165"/>
      <c r="D128" s="6165" t="s">
        <v>207</v>
      </c>
      <c r="E128" s="6165" t="s">
        <v>207</v>
      </c>
      <c r="F128" s="6165" t="s">
        <v>207</v>
      </c>
      <c r="G128" s="6165" t="s">
        <v>207</v>
      </c>
      <c r="H128" s="6165" t="s">
        <v>207</v>
      </c>
      <c r="I128" s="6165"/>
      <c r="J128" s="6165"/>
      <c r="K128" s="6165" t="s">
        <v>207</v>
      </c>
      <c r="L128" s="6165" t="s">
        <v>207</v>
      </c>
      <c r="M128" s="6165" t="s">
        <v>207</v>
      </c>
      <c r="N128" s="6165" t="s">
        <v>207</v>
      </c>
      <c r="O128" s="6165" t="s">
        <v>207</v>
      </c>
      <c r="P128" s="6165"/>
      <c r="Q128" s="6165"/>
      <c r="R128" s="6165" t="s">
        <v>207</v>
      </c>
      <c r="S128" s="6165" t="s">
        <v>207</v>
      </c>
      <c r="T128" s="6165" t="s">
        <v>207</v>
      </c>
      <c r="U128" s="6165" t="s">
        <v>207</v>
      </c>
      <c r="V128" s="6165" t="s">
        <v>207</v>
      </c>
      <c r="W128" s="6165"/>
      <c r="X128" s="6165"/>
      <c r="Y128" s="6165" t="s">
        <v>207</v>
      </c>
      <c r="Z128" s="6165" t="s">
        <v>207</v>
      </c>
      <c r="AA128" s="6165" t="s">
        <v>207</v>
      </c>
      <c r="AB128" s="6165" t="s">
        <v>207</v>
      </c>
      <c r="AC128" s="6165" t="s">
        <v>207</v>
      </c>
      <c r="AD128" s="6165"/>
      <c r="AE128" s="6165"/>
      <c r="AF128" s="6165" t="s">
        <v>207</v>
      </c>
    </row>
    <row r="129" spans="1:32" ht="18" customHeight="1" thickBot="1">
      <c r="A129" s="101"/>
      <c r="B129" s="101"/>
      <c r="C129" s="101"/>
      <c r="D129" s="101"/>
      <c r="E129" s="101"/>
      <c r="F129" s="63"/>
      <c r="G129" s="101"/>
      <c r="H129" s="101"/>
      <c r="I129" s="101"/>
      <c r="J129" s="101"/>
      <c r="K129" s="101"/>
      <c r="L129" s="101"/>
      <c r="M129" s="101"/>
      <c r="N129" s="101"/>
      <c r="O129" s="101"/>
      <c r="P129" s="101"/>
      <c r="Q129" s="101"/>
      <c r="R129" s="101"/>
      <c r="S129" s="101"/>
      <c r="T129" s="101"/>
      <c r="U129" s="101"/>
      <c r="V129" s="101"/>
      <c r="W129" s="101"/>
      <c r="X129" s="101"/>
      <c r="Y129" s="101"/>
      <c r="Z129" s="101"/>
      <c r="AA129" s="101"/>
      <c r="AB129" s="101"/>
      <c r="AC129" s="101"/>
      <c r="AD129" s="101"/>
      <c r="AE129" s="101"/>
      <c r="AF129" s="101"/>
    </row>
    <row r="130" spans="1:32" ht="18" customHeight="1">
      <c r="A130" s="6175" t="s">
        <v>208</v>
      </c>
      <c r="B130" s="6191"/>
      <c r="C130" s="6192" t="s">
        <v>19</v>
      </c>
      <c r="D130" s="6193"/>
      <c r="E130" s="6194"/>
      <c r="F130" s="6191"/>
      <c r="G130" s="6192" t="s">
        <v>20</v>
      </c>
      <c r="H130" s="6193"/>
      <c r="I130" s="6194"/>
      <c r="J130" s="6191"/>
      <c r="K130" s="6192" t="s">
        <v>21</v>
      </c>
      <c r="L130" s="6193"/>
      <c r="M130" s="6194"/>
      <c r="N130" s="6191"/>
      <c r="O130" s="6192" t="s">
        <v>22</v>
      </c>
      <c r="P130" s="6193"/>
      <c r="Q130" s="6194"/>
      <c r="R130" s="6191"/>
      <c r="S130" s="6192" t="s">
        <v>23</v>
      </c>
      <c r="T130" s="6193"/>
      <c r="U130" s="6194"/>
      <c r="V130" s="6191"/>
      <c r="W130" s="6192" t="s">
        <v>24</v>
      </c>
      <c r="X130" s="6193"/>
      <c r="Y130" s="6194"/>
      <c r="Z130" s="6191"/>
      <c r="AA130" s="6192" t="s">
        <v>25</v>
      </c>
      <c r="AB130" s="6193"/>
      <c r="AC130" s="6193"/>
      <c r="AD130" s="6195" t="s">
        <v>108</v>
      </c>
      <c r="AE130" s="6193"/>
      <c r="AF130" s="6196"/>
    </row>
    <row r="131" spans="1:32" ht="18" customHeight="1">
      <c r="A131" s="6066" t="s">
        <v>210</v>
      </c>
      <c r="B131" s="6067">
        <v>69</v>
      </c>
      <c r="C131" s="6068" t="s">
        <v>211</v>
      </c>
      <c r="D131" s="6068"/>
      <c r="E131" s="6069"/>
      <c r="F131" s="6067">
        <v>69</v>
      </c>
      <c r="G131" s="6068" t="s">
        <v>211</v>
      </c>
      <c r="H131" s="6068"/>
      <c r="I131" s="6069"/>
      <c r="J131" s="6067">
        <v>69</v>
      </c>
      <c r="K131" s="6068" t="s">
        <v>211</v>
      </c>
      <c r="L131" s="6068"/>
      <c r="M131" s="6069"/>
      <c r="N131" s="6067">
        <v>69</v>
      </c>
      <c r="O131" s="6068" t="s">
        <v>211</v>
      </c>
      <c r="P131" s="6068"/>
      <c r="Q131" s="6069"/>
      <c r="R131" s="6067">
        <v>69</v>
      </c>
      <c r="S131" s="6068" t="s">
        <v>211</v>
      </c>
      <c r="T131" s="6068"/>
      <c r="U131" s="6069"/>
      <c r="V131" s="6067"/>
      <c r="W131" s="6070"/>
      <c r="X131" s="6070"/>
      <c r="Y131" s="6071"/>
      <c r="Z131" s="6067"/>
      <c r="AA131" s="6068"/>
      <c r="AB131" s="6068"/>
      <c r="AC131" s="6057"/>
      <c r="AD131" s="6072">
        <v>35</v>
      </c>
      <c r="AE131" s="6068"/>
      <c r="AF131" s="6073"/>
    </row>
    <row r="132" spans="1:32" ht="18" customHeight="1">
      <c r="A132" s="6066" t="s">
        <v>212</v>
      </c>
      <c r="B132" s="6067">
        <v>79</v>
      </c>
      <c r="C132" s="6068" t="s">
        <v>213</v>
      </c>
      <c r="D132" s="6068"/>
      <c r="E132" s="6069"/>
      <c r="F132" s="6067">
        <v>79</v>
      </c>
      <c r="G132" s="6068" t="s">
        <v>213</v>
      </c>
      <c r="H132" s="6068"/>
      <c r="I132" s="6069"/>
      <c r="J132" s="6067">
        <v>79</v>
      </c>
      <c r="K132" s="6068" t="s">
        <v>213</v>
      </c>
      <c r="L132" s="6068"/>
      <c r="M132" s="6069"/>
      <c r="N132" s="6067">
        <v>79</v>
      </c>
      <c r="O132" s="6068" t="s">
        <v>213</v>
      </c>
      <c r="P132" s="6068"/>
      <c r="Q132" s="6069"/>
      <c r="R132" s="6067">
        <v>79</v>
      </c>
      <c r="S132" s="6068" t="s">
        <v>213</v>
      </c>
      <c r="T132" s="6068"/>
      <c r="U132" s="6069"/>
      <c r="V132" s="6067"/>
      <c r="W132" s="6068"/>
      <c r="X132" s="6068"/>
      <c r="Y132" s="6069"/>
      <c r="Z132" s="6068"/>
      <c r="AA132" s="6068"/>
      <c r="AB132" s="6068"/>
      <c r="AC132" s="6057"/>
      <c r="AD132" s="6072">
        <v>40</v>
      </c>
      <c r="AE132" s="6068"/>
      <c r="AF132" s="6073"/>
    </row>
    <row r="133" spans="1:32" ht="18" customHeight="1">
      <c r="A133" s="6066" t="s">
        <v>214</v>
      </c>
      <c r="B133" s="6067">
        <v>89</v>
      </c>
      <c r="C133" s="6068" t="s">
        <v>215</v>
      </c>
      <c r="D133" s="6068"/>
      <c r="E133" s="6069"/>
      <c r="F133" s="6067">
        <v>89</v>
      </c>
      <c r="G133" s="6068" t="s">
        <v>215</v>
      </c>
      <c r="H133" s="6068"/>
      <c r="I133" s="6069"/>
      <c r="J133" s="6067">
        <v>89</v>
      </c>
      <c r="K133" s="6068" t="s">
        <v>215</v>
      </c>
      <c r="L133" s="6068"/>
      <c r="M133" s="6069"/>
      <c r="N133" s="6067">
        <v>89</v>
      </c>
      <c r="O133" s="6068" t="s">
        <v>215</v>
      </c>
      <c r="P133" s="6068"/>
      <c r="Q133" s="6069"/>
      <c r="R133" s="6067">
        <v>89</v>
      </c>
      <c r="S133" s="6068" t="s">
        <v>216</v>
      </c>
      <c r="T133" s="6068"/>
      <c r="U133" s="6069"/>
      <c r="V133" s="6074"/>
      <c r="W133" s="6075" t="s">
        <v>217</v>
      </c>
      <c r="X133" s="6075"/>
      <c r="Y133" s="6059"/>
      <c r="Z133" s="6074"/>
      <c r="AA133" s="6075"/>
      <c r="AB133" s="6075"/>
      <c r="AC133" s="6062"/>
      <c r="AD133" s="6072">
        <v>44</v>
      </c>
      <c r="AE133" s="6068"/>
      <c r="AF133" s="6073"/>
    </row>
    <row r="134" spans="1:32" ht="18" customHeight="1">
      <c r="A134" s="19" t="s">
        <v>218</v>
      </c>
      <c r="B134" s="6074">
        <v>99</v>
      </c>
      <c r="C134" s="6075" t="s">
        <v>219</v>
      </c>
      <c r="D134" s="6075"/>
      <c r="E134" s="6059"/>
      <c r="F134" s="6074">
        <v>99</v>
      </c>
      <c r="G134" s="6075" t="s">
        <v>219</v>
      </c>
      <c r="H134" s="6075"/>
      <c r="I134" s="6059"/>
      <c r="J134" s="6074">
        <v>99</v>
      </c>
      <c r="K134" s="6075" t="s">
        <v>219</v>
      </c>
      <c r="L134" s="6075"/>
      <c r="M134" s="6059"/>
      <c r="N134" s="6074">
        <v>99</v>
      </c>
      <c r="O134" s="6075" t="s">
        <v>219</v>
      </c>
      <c r="P134" s="6075"/>
      <c r="Q134" s="6059"/>
      <c r="R134" s="6074">
        <v>99</v>
      </c>
      <c r="S134" s="6075" t="s">
        <v>220</v>
      </c>
      <c r="T134" s="6075"/>
      <c r="U134" s="6062"/>
      <c r="V134" s="6061"/>
      <c r="W134" s="6062"/>
      <c r="X134" s="6075"/>
      <c r="Y134" s="6059"/>
      <c r="Z134" s="6061"/>
      <c r="AA134" s="6062"/>
      <c r="AB134" s="6075"/>
      <c r="AC134" s="6059"/>
      <c r="AD134" s="6076">
        <v>28</v>
      </c>
      <c r="AE134" s="6075"/>
      <c r="AF134" s="6077"/>
    </row>
    <row r="135" spans="1:32" ht="18" customHeight="1" thickBot="1">
      <c r="A135" s="6078" t="s">
        <v>221</v>
      </c>
      <c r="B135" s="6079" t="s">
        <v>159</v>
      </c>
      <c r="C135" s="6027" t="s">
        <v>222</v>
      </c>
      <c r="D135" s="6023"/>
      <c r="E135" s="6025"/>
      <c r="F135" s="6079" t="s">
        <v>159</v>
      </c>
      <c r="G135" s="6027" t="s">
        <v>222</v>
      </c>
      <c r="H135" s="6023"/>
      <c r="I135" s="6023"/>
      <c r="J135" s="6079" t="s">
        <v>159</v>
      </c>
      <c r="K135" s="6027" t="s">
        <v>222</v>
      </c>
      <c r="L135" s="6023"/>
      <c r="M135" s="6025"/>
      <c r="N135" s="6079" t="s">
        <v>159</v>
      </c>
      <c r="O135" s="6027" t="s">
        <v>222</v>
      </c>
      <c r="P135" s="6023"/>
      <c r="Q135" s="6027"/>
      <c r="R135" s="6079" t="s">
        <v>159</v>
      </c>
      <c r="S135" s="6027" t="s">
        <v>223</v>
      </c>
      <c r="T135" s="6027"/>
      <c r="U135" s="6025"/>
      <c r="V135" s="6023"/>
      <c r="W135" s="6027"/>
      <c r="X135" s="6027"/>
      <c r="Y135" s="6027"/>
      <c r="Z135" s="6080"/>
      <c r="AA135" s="6081"/>
      <c r="AB135" s="6027"/>
      <c r="AC135" s="6082"/>
      <c r="AD135" s="6027"/>
      <c r="AE135" s="6027"/>
      <c r="AF135" s="6083"/>
    </row>
    <row r="136" spans="1:32" ht="18" customHeight="1" thickBot="1">
      <c r="A136" s="100"/>
      <c r="B136" s="101"/>
      <c r="C136" s="101"/>
      <c r="D136" s="101"/>
      <c r="E136" s="101"/>
      <c r="F136" s="101"/>
      <c r="G136" s="101"/>
      <c r="H136" s="101"/>
      <c r="I136" s="101"/>
      <c r="J136" s="101"/>
      <c r="K136" s="101"/>
      <c r="L136" s="101"/>
      <c r="M136" s="101"/>
      <c r="N136" s="101"/>
      <c r="O136" s="101"/>
      <c r="P136" s="101"/>
      <c r="Q136" s="101"/>
      <c r="R136" s="101"/>
      <c r="S136" s="101"/>
      <c r="T136" s="101"/>
      <c r="U136" s="101"/>
      <c r="V136" s="101"/>
      <c r="W136" s="101"/>
      <c r="X136" s="101"/>
      <c r="Y136" s="101"/>
      <c r="Z136" s="101"/>
      <c r="AA136" s="101"/>
      <c r="AB136" s="101"/>
      <c r="AC136" s="101"/>
      <c r="AD136" s="101"/>
      <c r="AE136" s="101"/>
      <c r="AF136" s="101"/>
    </row>
    <row r="137" spans="1:32" ht="18" customHeight="1" thickBot="1">
      <c r="A137" s="363" t="s">
        <v>208</v>
      </c>
      <c r="B137" s="6126">
        <v>1</v>
      </c>
      <c r="C137" s="6126">
        <v>2</v>
      </c>
      <c r="D137" s="6127">
        <v>3</v>
      </c>
      <c r="E137" s="6127">
        <v>4</v>
      </c>
      <c r="F137" s="6127">
        <v>5</v>
      </c>
      <c r="G137" s="6127">
        <v>6</v>
      </c>
      <c r="H137" s="6127">
        <v>7</v>
      </c>
      <c r="I137" s="6126">
        <v>8</v>
      </c>
      <c r="J137" s="6126">
        <v>9</v>
      </c>
      <c r="K137" s="6127">
        <v>10</v>
      </c>
      <c r="L137" s="6127">
        <v>11</v>
      </c>
      <c r="M137" s="6127">
        <v>12</v>
      </c>
      <c r="N137" s="6127">
        <v>13</v>
      </c>
      <c r="O137" s="6127">
        <v>14</v>
      </c>
      <c r="P137" s="6126">
        <v>15</v>
      </c>
      <c r="Q137" s="6126">
        <v>16</v>
      </c>
      <c r="R137" s="6127">
        <v>17</v>
      </c>
      <c r="S137" s="6127">
        <v>18</v>
      </c>
      <c r="T137" s="6127">
        <v>19</v>
      </c>
      <c r="U137" s="6127">
        <v>20</v>
      </c>
      <c r="V137" s="6127">
        <v>21</v>
      </c>
      <c r="W137" s="6126">
        <v>22</v>
      </c>
      <c r="X137" s="6126">
        <v>23</v>
      </c>
      <c r="Y137" s="6127">
        <v>24</v>
      </c>
      <c r="Z137" s="6127">
        <v>25</v>
      </c>
      <c r="AA137" s="6127">
        <v>26</v>
      </c>
      <c r="AB137" s="6127">
        <v>27</v>
      </c>
      <c r="AC137" s="6127">
        <v>28</v>
      </c>
      <c r="AD137" s="6126">
        <v>29</v>
      </c>
      <c r="AE137" s="6126">
        <v>30</v>
      </c>
      <c r="AF137" s="6127">
        <v>31</v>
      </c>
    </row>
    <row r="138" spans="1:32" ht="18" customHeight="1">
      <c r="A138" s="6197" t="s">
        <v>224</v>
      </c>
      <c r="B138" s="6164"/>
      <c r="C138" s="6198"/>
      <c r="D138" s="6165">
        <v>79</v>
      </c>
      <c r="E138" s="6165">
        <v>79</v>
      </c>
      <c r="F138" s="6166">
        <v>79</v>
      </c>
      <c r="G138" s="6164">
        <v>79</v>
      </c>
      <c r="H138" s="6166">
        <v>79</v>
      </c>
      <c r="I138" s="6166"/>
      <c r="J138" s="6164"/>
      <c r="K138" s="6166">
        <v>89</v>
      </c>
      <c r="L138" s="6165">
        <v>89</v>
      </c>
      <c r="M138" s="6166">
        <v>89</v>
      </c>
      <c r="N138" s="6164">
        <v>89</v>
      </c>
      <c r="O138" s="6164">
        <v>89</v>
      </c>
      <c r="P138" s="6164">
        <v>89</v>
      </c>
      <c r="Q138" s="6164"/>
      <c r="R138" s="6165">
        <v>99</v>
      </c>
      <c r="S138" s="6165">
        <v>99</v>
      </c>
      <c r="T138" s="6164">
        <v>99</v>
      </c>
      <c r="U138" s="6164">
        <v>99</v>
      </c>
      <c r="V138" s="6164" t="s">
        <v>46</v>
      </c>
      <c r="W138" s="6164"/>
      <c r="X138" s="6164"/>
      <c r="Y138" s="6164" t="s">
        <v>159</v>
      </c>
      <c r="Z138" s="6166" t="s">
        <v>159</v>
      </c>
      <c r="AA138" s="6164" t="s">
        <v>159</v>
      </c>
      <c r="AB138" s="6164" t="s">
        <v>159</v>
      </c>
      <c r="AC138" s="6164" t="s">
        <v>159</v>
      </c>
      <c r="AD138" s="6164"/>
      <c r="AE138" s="6166"/>
      <c r="AF138" s="6164">
        <v>69</v>
      </c>
    </row>
    <row r="139" spans="1:32" ht="18" customHeight="1">
      <c r="A139" s="6084" t="s">
        <v>225</v>
      </c>
      <c r="B139" s="6040"/>
      <c r="C139" s="6039"/>
      <c r="D139" s="6040">
        <v>89</v>
      </c>
      <c r="E139" s="6040">
        <v>89</v>
      </c>
      <c r="F139" s="6040">
        <v>89</v>
      </c>
      <c r="G139" s="6038">
        <v>89</v>
      </c>
      <c r="H139" s="6042">
        <v>89</v>
      </c>
      <c r="I139" s="6038">
        <v>89</v>
      </c>
      <c r="J139" s="6038"/>
      <c r="K139" s="6039">
        <v>99</v>
      </c>
      <c r="L139" s="6039">
        <v>99</v>
      </c>
      <c r="M139" s="6038">
        <v>99</v>
      </c>
      <c r="N139" s="6043">
        <v>99</v>
      </c>
      <c r="O139" s="6038" t="s">
        <v>46</v>
      </c>
      <c r="P139" s="6038"/>
      <c r="Q139" s="6042"/>
      <c r="R139" s="6038" t="s">
        <v>159</v>
      </c>
      <c r="S139" s="6039" t="s">
        <v>159</v>
      </c>
      <c r="T139" s="6038" t="s">
        <v>159</v>
      </c>
      <c r="U139" s="6038" t="s">
        <v>159</v>
      </c>
      <c r="V139" s="6038" t="s">
        <v>159</v>
      </c>
      <c r="W139" s="6038"/>
      <c r="X139" s="6038"/>
      <c r="Y139" s="6038">
        <v>69</v>
      </c>
      <c r="Z139" s="6039">
        <v>69</v>
      </c>
      <c r="AA139" s="6042">
        <v>69</v>
      </c>
      <c r="AB139" s="6043">
        <v>69</v>
      </c>
      <c r="AC139" s="6043">
        <v>69</v>
      </c>
      <c r="AD139" s="6043"/>
      <c r="AE139" s="6043"/>
      <c r="AF139" s="6040">
        <v>79</v>
      </c>
    </row>
    <row r="140" spans="1:32" ht="18" customHeight="1">
      <c r="A140" s="5971" t="s">
        <v>124</v>
      </c>
      <c r="B140" s="6085">
        <v>89</v>
      </c>
      <c r="C140" s="6039"/>
      <c r="D140" s="6040">
        <v>99</v>
      </c>
      <c r="E140" s="6085">
        <v>99</v>
      </c>
      <c r="F140" s="6086">
        <v>99</v>
      </c>
      <c r="G140" s="6031">
        <v>99</v>
      </c>
      <c r="H140" s="6042" t="s">
        <v>46</v>
      </c>
      <c r="I140" s="6085"/>
      <c r="J140" s="6085"/>
      <c r="K140" s="6085" t="s">
        <v>159</v>
      </c>
      <c r="L140" s="6085" t="s">
        <v>159</v>
      </c>
      <c r="M140" s="6038" t="s">
        <v>159</v>
      </c>
      <c r="N140" s="6043" t="s">
        <v>159</v>
      </c>
      <c r="O140" s="6064" t="s">
        <v>159</v>
      </c>
      <c r="P140" s="6043"/>
      <c r="Q140" s="6043"/>
      <c r="R140" s="6043">
        <v>69</v>
      </c>
      <c r="S140" s="6043">
        <v>69</v>
      </c>
      <c r="T140" s="6043">
        <v>69</v>
      </c>
      <c r="U140" s="6043">
        <v>69</v>
      </c>
      <c r="V140" s="6043">
        <v>69</v>
      </c>
      <c r="W140" s="6043"/>
      <c r="X140" s="6085"/>
      <c r="Y140" s="6085">
        <v>79</v>
      </c>
      <c r="Z140" s="6085">
        <v>79</v>
      </c>
      <c r="AA140" s="6085">
        <v>79</v>
      </c>
      <c r="AB140" s="6085">
        <v>79</v>
      </c>
      <c r="AC140" s="6085">
        <v>79</v>
      </c>
      <c r="AD140" s="6085"/>
      <c r="AE140" s="6085"/>
      <c r="AF140" s="6085">
        <v>89</v>
      </c>
    </row>
    <row r="141" spans="1:32" ht="18" customHeight="1">
      <c r="A141" s="6084" t="s">
        <v>226</v>
      </c>
      <c r="B141" s="6039"/>
      <c r="C141" s="6039"/>
      <c r="D141" s="6039" t="s">
        <v>159</v>
      </c>
      <c r="E141" s="6039" t="s">
        <v>159</v>
      </c>
      <c r="F141" s="6039" t="s">
        <v>159</v>
      </c>
      <c r="G141" s="6039" t="s">
        <v>64</v>
      </c>
      <c r="H141" s="6042" t="s">
        <v>64</v>
      </c>
      <c r="I141" s="6039"/>
      <c r="J141" s="6039"/>
      <c r="K141" s="6039">
        <v>69</v>
      </c>
      <c r="L141" s="6039">
        <v>69</v>
      </c>
      <c r="M141" s="6038">
        <v>69</v>
      </c>
      <c r="N141" s="6039">
        <v>69</v>
      </c>
      <c r="O141" s="6039">
        <v>69</v>
      </c>
      <c r="P141" s="6064"/>
      <c r="Q141" s="6064"/>
      <c r="R141" s="6039">
        <v>79</v>
      </c>
      <c r="S141" s="6039">
        <v>79</v>
      </c>
      <c r="T141" s="6039">
        <v>79</v>
      </c>
      <c r="U141" s="6039">
        <v>79</v>
      </c>
      <c r="V141" s="6039">
        <v>79</v>
      </c>
      <c r="W141" s="6039"/>
      <c r="X141" s="6064"/>
      <c r="Y141" s="6064">
        <v>89</v>
      </c>
      <c r="Z141" s="6039">
        <v>89</v>
      </c>
      <c r="AA141" s="6039">
        <v>89</v>
      </c>
      <c r="AB141" s="6039">
        <v>89</v>
      </c>
      <c r="AC141" s="6039">
        <v>89</v>
      </c>
      <c r="AD141" s="6039">
        <v>89</v>
      </c>
      <c r="AE141" s="6039"/>
      <c r="AF141" s="6039">
        <v>99</v>
      </c>
    </row>
    <row r="142" spans="1:32" ht="18" customHeight="1" thickBot="1">
      <c r="A142" s="6087" t="s">
        <v>227</v>
      </c>
      <c r="B142" s="6088"/>
      <c r="C142" s="6088"/>
      <c r="D142" s="6044">
        <v>69</v>
      </c>
      <c r="E142" s="6034">
        <v>69</v>
      </c>
      <c r="F142" s="6034">
        <v>69</v>
      </c>
      <c r="G142" s="6032">
        <v>69</v>
      </c>
      <c r="H142" s="6032">
        <v>69</v>
      </c>
      <c r="I142" s="6032"/>
      <c r="J142" s="6032"/>
      <c r="K142" s="6044">
        <v>79</v>
      </c>
      <c r="L142" s="6044">
        <v>79</v>
      </c>
      <c r="M142" s="6032">
        <v>79</v>
      </c>
      <c r="N142" s="6088">
        <v>79</v>
      </c>
      <c r="O142" s="6088">
        <v>79</v>
      </c>
      <c r="P142" s="6088"/>
      <c r="Q142" s="6088"/>
      <c r="R142" s="6044">
        <v>89</v>
      </c>
      <c r="S142" s="6089">
        <v>89</v>
      </c>
      <c r="T142" s="6088">
        <v>89</v>
      </c>
      <c r="U142" s="6088">
        <v>89</v>
      </c>
      <c r="V142" s="6088">
        <v>89</v>
      </c>
      <c r="W142" s="6088">
        <v>89</v>
      </c>
      <c r="X142" s="6088"/>
      <c r="Y142" s="6088">
        <v>99</v>
      </c>
      <c r="Z142" s="6034">
        <v>99</v>
      </c>
      <c r="AA142" s="6088">
        <v>99</v>
      </c>
      <c r="AB142" s="6044">
        <v>99</v>
      </c>
      <c r="AC142" s="6044" t="s">
        <v>46</v>
      </c>
      <c r="AD142" s="6044"/>
      <c r="AE142" s="6044"/>
      <c r="AF142" s="6088" t="s">
        <v>159</v>
      </c>
    </row>
    <row r="143" spans="1:32" ht="18" customHeight="1" thickBot="1">
      <c r="A143" s="101"/>
      <c r="B143" s="101"/>
      <c r="C143" s="101"/>
      <c r="D143" s="101"/>
      <c r="E143" s="101"/>
      <c r="F143" s="63"/>
      <c r="G143" s="101"/>
      <c r="H143" s="101"/>
      <c r="I143" s="101"/>
      <c r="J143" s="101"/>
      <c r="K143" s="101"/>
      <c r="L143" s="101"/>
      <c r="M143" s="101"/>
      <c r="N143" s="101"/>
      <c r="O143" s="101"/>
      <c r="P143" s="101"/>
      <c r="Q143" s="101"/>
      <c r="R143" s="101"/>
      <c r="S143" s="101"/>
      <c r="T143" s="101"/>
      <c r="U143" s="101"/>
      <c r="V143" s="101"/>
      <c r="W143" s="101"/>
      <c r="X143" s="101"/>
      <c r="Y143" s="101"/>
      <c r="Z143" s="101"/>
      <c r="AA143" s="101"/>
      <c r="AB143" s="101"/>
      <c r="AC143" s="101"/>
      <c r="AD143" s="101"/>
      <c r="AE143" s="101"/>
      <c r="AF143" s="101"/>
    </row>
    <row r="144" spans="1:32" ht="18" customHeight="1">
      <c r="A144" s="6175" t="s">
        <v>228</v>
      </c>
      <c r="B144" s="6191"/>
      <c r="C144" s="6192" t="s">
        <v>19</v>
      </c>
      <c r="D144" s="6193"/>
      <c r="E144" s="6194"/>
      <c r="F144" s="6191"/>
      <c r="G144" s="6192" t="s">
        <v>20</v>
      </c>
      <c r="H144" s="6193"/>
      <c r="I144" s="6194"/>
      <c r="J144" s="6191"/>
      <c r="K144" s="6192" t="s">
        <v>21</v>
      </c>
      <c r="L144" s="6193"/>
      <c r="M144" s="6194"/>
      <c r="N144" s="6191"/>
      <c r="O144" s="6192" t="s">
        <v>22</v>
      </c>
      <c r="P144" s="6193"/>
      <c r="Q144" s="6194"/>
      <c r="R144" s="6191"/>
      <c r="S144" s="6192" t="s">
        <v>23</v>
      </c>
      <c r="T144" s="6193"/>
      <c r="U144" s="6194"/>
      <c r="V144" s="6191"/>
      <c r="W144" s="6192" t="s">
        <v>24</v>
      </c>
      <c r="X144" s="6193"/>
      <c r="Y144" s="6194"/>
      <c r="Z144" s="6191"/>
      <c r="AA144" s="6192" t="s">
        <v>25</v>
      </c>
      <c r="AB144" s="6193"/>
      <c r="AC144" s="6193"/>
      <c r="AD144" s="6195" t="s">
        <v>108</v>
      </c>
      <c r="AE144" s="6193"/>
      <c r="AF144" s="6196"/>
    </row>
    <row r="145" spans="1:32" ht="18" customHeight="1">
      <c r="A145" s="6066" t="s">
        <v>229</v>
      </c>
      <c r="B145" s="6058" t="s">
        <v>230</v>
      </c>
      <c r="C145" s="6068"/>
      <c r="D145" s="6068"/>
      <c r="E145" s="6069"/>
      <c r="F145" s="6058" t="s">
        <v>230</v>
      </c>
      <c r="G145" s="6068"/>
      <c r="H145" s="6068"/>
      <c r="I145" s="6069"/>
      <c r="J145" s="6058" t="s">
        <v>230</v>
      </c>
      <c r="K145" s="6068"/>
      <c r="L145" s="6068"/>
      <c r="M145" s="6069"/>
      <c r="N145" s="6058" t="s">
        <v>231</v>
      </c>
      <c r="O145" s="6068"/>
      <c r="P145" s="6068"/>
      <c r="Q145" s="6069"/>
      <c r="R145" s="6058" t="s">
        <v>232</v>
      </c>
      <c r="S145" s="6068"/>
      <c r="T145" s="6068"/>
      <c r="U145" s="6069"/>
      <c r="V145" s="6058" t="s">
        <v>233</v>
      </c>
      <c r="W145" s="6070"/>
      <c r="X145" s="6070"/>
      <c r="Y145" s="6071"/>
      <c r="Z145" s="6058" t="s">
        <v>233</v>
      </c>
      <c r="AA145" s="6068"/>
      <c r="AB145" s="6068"/>
      <c r="AC145" s="6057"/>
      <c r="AD145" s="6072">
        <v>68</v>
      </c>
      <c r="AE145" s="530"/>
      <c r="AF145" s="465"/>
    </row>
    <row r="146" spans="1:32" ht="18" customHeight="1">
      <c r="A146" s="6066"/>
      <c r="B146" s="6058" t="s">
        <v>220</v>
      </c>
      <c r="C146" s="6068"/>
      <c r="D146" s="6068"/>
      <c r="E146" s="6069"/>
      <c r="F146" s="6058" t="s">
        <v>220</v>
      </c>
      <c r="G146" s="6068"/>
      <c r="H146" s="6068"/>
      <c r="I146" s="6069"/>
      <c r="J146" s="6058" t="s">
        <v>220</v>
      </c>
      <c r="K146" s="6068"/>
      <c r="L146" s="6068"/>
      <c r="M146" s="6069"/>
      <c r="N146" s="6058" t="s">
        <v>220</v>
      </c>
      <c r="O146" s="6068"/>
      <c r="P146" s="6068"/>
      <c r="Q146" s="6069"/>
      <c r="R146" s="6058" t="s">
        <v>220</v>
      </c>
      <c r="S146" s="6068"/>
      <c r="T146" s="6068"/>
      <c r="U146" s="6069"/>
      <c r="V146" s="6058" t="s">
        <v>220</v>
      </c>
      <c r="W146" s="6068"/>
      <c r="X146" s="6068"/>
      <c r="Y146" s="6069"/>
      <c r="Z146" s="6068" t="s">
        <v>220</v>
      </c>
      <c r="AA146" s="6068"/>
      <c r="AB146" s="6068"/>
      <c r="AC146" s="6057"/>
      <c r="AD146" s="6072">
        <v>0</v>
      </c>
      <c r="AE146" s="530"/>
      <c r="AF146" s="465"/>
    </row>
    <row r="147" spans="1:32" ht="18" customHeight="1">
      <c r="A147" s="6066" t="s">
        <v>234</v>
      </c>
      <c r="B147" s="6058" t="s">
        <v>231</v>
      </c>
      <c r="C147" s="6068"/>
      <c r="D147" s="6068"/>
      <c r="E147" s="6069"/>
      <c r="F147" s="6058" t="s">
        <v>231</v>
      </c>
      <c r="G147" s="6068"/>
      <c r="H147" s="6068"/>
      <c r="I147" s="6069"/>
      <c r="J147" s="6058" t="s">
        <v>231</v>
      </c>
      <c r="K147" s="6068"/>
      <c r="L147" s="6068"/>
      <c r="M147" s="6069"/>
      <c r="N147" s="6058" t="s">
        <v>230</v>
      </c>
      <c r="O147" s="6068"/>
      <c r="P147" s="6068"/>
      <c r="Q147" s="6069"/>
      <c r="R147" s="6058" t="s">
        <v>230</v>
      </c>
      <c r="S147" s="6068"/>
      <c r="T147" s="6068"/>
      <c r="U147" s="6069"/>
      <c r="V147" s="6058" t="s">
        <v>232</v>
      </c>
      <c r="W147" s="6070"/>
      <c r="X147" s="6070"/>
      <c r="Y147" s="6071"/>
      <c r="Z147" s="6058" t="s">
        <v>232</v>
      </c>
      <c r="AA147" s="6068"/>
      <c r="AB147" s="6068"/>
      <c r="AC147" s="6057"/>
      <c r="AD147" s="6072">
        <v>68</v>
      </c>
      <c r="AE147" s="6068"/>
      <c r="AF147" s="6073"/>
    </row>
    <row r="148" spans="1:32" ht="18" customHeight="1">
      <c r="A148" s="6066"/>
      <c r="B148" s="6058" t="s">
        <v>220</v>
      </c>
      <c r="C148" s="6068"/>
      <c r="D148" s="6068"/>
      <c r="E148" s="6069"/>
      <c r="F148" s="6058" t="s">
        <v>220</v>
      </c>
      <c r="G148" s="6068"/>
      <c r="H148" s="6068"/>
      <c r="I148" s="6069"/>
      <c r="J148" s="6058" t="s">
        <v>220</v>
      </c>
      <c r="K148" s="6068"/>
      <c r="L148" s="6068"/>
      <c r="M148" s="6069"/>
      <c r="N148" s="6058" t="s">
        <v>220</v>
      </c>
      <c r="O148" s="6068"/>
      <c r="P148" s="6068"/>
      <c r="Q148" s="6069"/>
      <c r="R148" s="6058" t="s">
        <v>220</v>
      </c>
      <c r="S148" s="6068"/>
      <c r="T148" s="6068"/>
      <c r="U148" s="6069"/>
      <c r="V148" s="6058" t="s">
        <v>220</v>
      </c>
      <c r="W148" s="6068"/>
      <c r="X148" s="6068"/>
      <c r="Y148" s="6069"/>
      <c r="Z148" s="6068" t="s">
        <v>220</v>
      </c>
      <c r="AA148" s="6068"/>
      <c r="AB148" s="6068"/>
      <c r="AC148" s="6057"/>
      <c r="AD148" s="6072">
        <v>0</v>
      </c>
      <c r="AE148" s="6068"/>
      <c r="AF148" s="6073"/>
    </row>
    <row r="149" spans="1:32" ht="18" customHeight="1">
      <c r="A149" s="6066" t="s">
        <v>235</v>
      </c>
      <c r="B149" s="6058" t="s">
        <v>230</v>
      </c>
      <c r="C149" s="6068"/>
      <c r="D149" s="6068"/>
      <c r="E149" s="6069"/>
      <c r="F149" s="6058" t="s">
        <v>230</v>
      </c>
      <c r="G149" s="6068"/>
      <c r="H149" s="6068"/>
      <c r="I149" s="6069"/>
      <c r="J149" s="6058" t="s">
        <v>230</v>
      </c>
      <c r="K149" s="6068"/>
      <c r="L149" s="6068"/>
      <c r="M149" s="6069"/>
      <c r="N149" s="6058" t="s">
        <v>230</v>
      </c>
      <c r="O149" s="6068"/>
      <c r="P149" s="6068"/>
      <c r="Q149" s="6069"/>
      <c r="R149" s="6058" t="s">
        <v>230</v>
      </c>
      <c r="S149" s="6068"/>
      <c r="T149" s="6068"/>
      <c r="U149" s="6069"/>
      <c r="V149" s="6058" t="s">
        <v>236</v>
      </c>
      <c r="W149" s="6075"/>
      <c r="X149" s="6075"/>
      <c r="Y149" s="6059"/>
      <c r="Z149" s="6058" t="s">
        <v>236</v>
      </c>
      <c r="AA149" s="6075"/>
      <c r="AB149" s="6075"/>
      <c r="AC149" s="6062"/>
      <c r="AD149" s="6072">
        <v>68</v>
      </c>
      <c r="AE149" s="6068"/>
      <c r="AF149" s="6073"/>
    </row>
    <row r="150" spans="1:32" ht="18" customHeight="1" thickBot="1">
      <c r="A150" s="6066"/>
      <c r="B150" s="6091" t="s">
        <v>220</v>
      </c>
      <c r="C150" s="6092"/>
      <c r="D150" s="6092"/>
      <c r="E150" s="6093"/>
      <c r="F150" s="6091" t="s">
        <v>220</v>
      </c>
      <c r="G150" s="6092"/>
      <c r="H150" s="6092"/>
      <c r="I150" s="6093"/>
      <c r="J150" s="6091" t="s">
        <v>220</v>
      </c>
      <c r="K150" s="6092"/>
      <c r="L150" s="6092"/>
      <c r="M150" s="6093"/>
      <c r="N150" s="6091" t="s">
        <v>220</v>
      </c>
      <c r="O150" s="6092"/>
      <c r="P150" s="6092"/>
      <c r="Q150" s="6093"/>
      <c r="R150" s="6091" t="s">
        <v>220</v>
      </c>
      <c r="S150" s="6092"/>
      <c r="T150" s="6092"/>
      <c r="U150" s="6081"/>
      <c r="V150" s="6091" t="s">
        <v>220</v>
      </c>
      <c r="W150" s="6081"/>
      <c r="X150" s="6092"/>
      <c r="Y150" s="6093"/>
      <c r="Z150" s="6091" t="s">
        <v>220</v>
      </c>
      <c r="AA150" s="6081"/>
      <c r="AB150" s="6092"/>
      <c r="AC150" s="6093"/>
      <c r="AD150" s="6094" t="s">
        <v>438</v>
      </c>
      <c r="AE150" s="6092"/>
      <c r="AF150" s="6083"/>
    </row>
    <row r="151" spans="1:32" ht="18" customHeight="1" thickBot="1">
      <c r="A151" s="100"/>
      <c r="B151" s="101"/>
      <c r="C151" s="101"/>
      <c r="D151" s="101"/>
      <c r="E151" s="101"/>
      <c r="F151" s="101"/>
      <c r="G151" s="101"/>
      <c r="H151" s="101"/>
      <c r="I151" s="101"/>
      <c r="J151" s="101"/>
      <c r="K151" s="101"/>
      <c r="L151" s="101"/>
      <c r="M151" s="101"/>
      <c r="N151" s="101"/>
      <c r="O151" s="101"/>
      <c r="P151" s="101"/>
      <c r="Q151" s="101"/>
      <c r="R151" s="101"/>
      <c r="S151" s="101"/>
      <c r="T151" s="101"/>
      <c r="U151" s="101"/>
      <c r="V151" s="101"/>
      <c r="W151" s="101"/>
      <c r="X151" s="101"/>
      <c r="Y151" s="101"/>
      <c r="Z151" s="101"/>
      <c r="AA151" s="101"/>
      <c r="AB151" s="101"/>
      <c r="AC151" s="101"/>
      <c r="AD151" s="101"/>
      <c r="AE151" s="101"/>
      <c r="AF151" s="101"/>
    </row>
    <row r="152" spans="1:32" ht="18" customHeight="1" thickBot="1">
      <c r="A152" s="371" t="s">
        <v>228</v>
      </c>
      <c r="B152" s="6126">
        <v>1</v>
      </c>
      <c r="C152" s="6126">
        <v>2</v>
      </c>
      <c r="D152" s="6127">
        <v>3</v>
      </c>
      <c r="E152" s="6127">
        <v>4</v>
      </c>
      <c r="F152" s="6127">
        <v>5</v>
      </c>
      <c r="G152" s="6127">
        <v>6</v>
      </c>
      <c r="H152" s="6127">
        <v>7</v>
      </c>
      <c r="I152" s="6126">
        <v>8</v>
      </c>
      <c r="J152" s="6126">
        <v>9</v>
      </c>
      <c r="K152" s="6127">
        <v>10</v>
      </c>
      <c r="L152" s="6127">
        <v>11</v>
      </c>
      <c r="M152" s="6127">
        <v>12</v>
      </c>
      <c r="N152" s="6127">
        <v>13</v>
      </c>
      <c r="O152" s="6127">
        <v>14</v>
      </c>
      <c r="P152" s="6126">
        <v>15</v>
      </c>
      <c r="Q152" s="6126">
        <v>16</v>
      </c>
      <c r="R152" s="6127">
        <v>17</v>
      </c>
      <c r="S152" s="6127">
        <v>18</v>
      </c>
      <c r="T152" s="6127">
        <v>19</v>
      </c>
      <c r="U152" s="6127">
        <v>20</v>
      </c>
      <c r="V152" s="6127">
        <v>21</v>
      </c>
      <c r="W152" s="6126">
        <v>22</v>
      </c>
      <c r="X152" s="6126">
        <v>23</v>
      </c>
      <c r="Y152" s="6127">
        <v>24</v>
      </c>
      <c r="Z152" s="6127">
        <v>25</v>
      </c>
      <c r="AA152" s="6127">
        <v>26</v>
      </c>
      <c r="AB152" s="6127">
        <v>27</v>
      </c>
      <c r="AC152" s="6127">
        <v>28</v>
      </c>
      <c r="AD152" s="6126">
        <v>29</v>
      </c>
      <c r="AE152" s="6126">
        <v>30</v>
      </c>
      <c r="AF152" s="6127">
        <v>31</v>
      </c>
    </row>
    <row r="153" spans="1:32" ht="18" customHeight="1">
      <c r="A153" s="6199" t="s">
        <v>237</v>
      </c>
      <c r="B153" s="6200">
        <v>22</v>
      </c>
      <c r="C153" s="6201">
        <v>22</v>
      </c>
      <c r="D153" s="6201" t="s">
        <v>46</v>
      </c>
      <c r="E153" s="6201" t="s">
        <v>46</v>
      </c>
      <c r="F153" s="6201" t="s">
        <v>46</v>
      </c>
      <c r="G153" s="6200" t="s">
        <v>46</v>
      </c>
      <c r="H153" s="6200" t="s">
        <v>46</v>
      </c>
      <c r="I153" s="6200"/>
      <c r="J153" s="6202"/>
      <c r="K153" s="6202">
        <v>23</v>
      </c>
      <c r="L153" s="6202">
        <v>23</v>
      </c>
      <c r="M153" s="6201">
        <v>23</v>
      </c>
      <c r="N153" s="6201">
        <v>23</v>
      </c>
      <c r="O153" s="6201">
        <v>23</v>
      </c>
      <c r="P153" s="6201">
        <v>23</v>
      </c>
      <c r="Q153" s="6201">
        <v>23</v>
      </c>
      <c r="R153" s="6201" t="s">
        <v>46</v>
      </c>
      <c r="S153" s="6201" t="s">
        <v>46</v>
      </c>
      <c r="T153" s="6201" t="s">
        <v>46</v>
      </c>
      <c r="U153" s="6200" t="s">
        <v>46</v>
      </c>
      <c r="V153" s="6200" t="s">
        <v>46</v>
      </c>
      <c r="W153" s="6200"/>
      <c r="X153" s="6200"/>
      <c r="Y153" s="6200">
        <v>21</v>
      </c>
      <c r="Z153" s="6200">
        <v>21</v>
      </c>
      <c r="AA153" s="6200">
        <v>21</v>
      </c>
      <c r="AB153" s="6203">
        <v>21</v>
      </c>
      <c r="AC153" s="6203">
        <v>21</v>
      </c>
      <c r="AD153" s="6203">
        <v>21</v>
      </c>
      <c r="AE153" s="6200">
        <v>21</v>
      </c>
      <c r="AF153" s="6200" t="s">
        <v>46</v>
      </c>
    </row>
    <row r="154" spans="1:32" ht="18" customHeight="1">
      <c r="A154" s="6199" t="s">
        <v>238</v>
      </c>
      <c r="B154" s="5600">
        <v>23</v>
      </c>
      <c r="C154" s="5600">
        <v>23</v>
      </c>
      <c r="D154" s="5602" t="s">
        <v>46</v>
      </c>
      <c r="E154" s="5629" t="s">
        <v>46</v>
      </c>
      <c r="F154" s="5629" t="s">
        <v>46</v>
      </c>
      <c r="G154" s="5629" t="s">
        <v>46</v>
      </c>
      <c r="H154" s="5629" t="s">
        <v>46</v>
      </c>
      <c r="I154" s="5629"/>
      <c r="J154" s="5673"/>
      <c r="K154" s="5673">
        <v>21</v>
      </c>
      <c r="L154" s="5673">
        <v>21</v>
      </c>
      <c r="M154" s="5601">
        <v>21</v>
      </c>
      <c r="N154" s="5601">
        <v>21</v>
      </c>
      <c r="O154" s="5601">
        <v>21</v>
      </c>
      <c r="P154" s="5601">
        <v>21</v>
      </c>
      <c r="Q154" s="5600">
        <v>21</v>
      </c>
      <c r="R154" s="5602" t="s">
        <v>46</v>
      </c>
      <c r="S154" s="5629" t="s">
        <v>46</v>
      </c>
      <c r="T154" s="5629" t="s">
        <v>46</v>
      </c>
      <c r="U154" s="5629" t="s">
        <v>46</v>
      </c>
      <c r="V154" s="5629" t="s">
        <v>46</v>
      </c>
      <c r="W154" s="5629"/>
      <c r="X154" s="5600"/>
      <c r="Y154" s="5600">
        <v>22</v>
      </c>
      <c r="Z154" s="5600">
        <v>22</v>
      </c>
      <c r="AA154" s="5600">
        <v>22</v>
      </c>
      <c r="AB154" s="5629">
        <v>22</v>
      </c>
      <c r="AC154" s="5629">
        <v>22</v>
      </c>
      <c r="AD154" s="5629">
        <v>22</v>
      </c>
      <c r="AE154" s="5629">
        <v>22</v>
      </c>
      <c r="AF154" s="5600" t="s">
        <v>46</v>
      </c>
    </row>
    <row r="155" spans="1:32" ht="18" customHeight="1">
      <c r="A155" s="6199" t="s">
        <v>239</v>
      </c>
      <c r="B155" s="5600">
        <v>21</v>
      </c>
      <c r="C155" s="5601">
        <v>21</v>
      </c>
      <c r="D155" s="5601" t="s">
        <v>46</v>
      </c>
      <c r="E155" s="5601" t="s">
        <v>46</v>
      </c>
      <c r="F155" s="5601" t="s">
        <v>46</v>
      </c>
      <c r="G155" s="5601" t="s">
        <v>46</v>
      </c>
      <c r="H155" s="5600" t="s">
        <v>46</v>
      </c>
      <c r="I155" s="5600"/>
      <c r="J155" s="5673"/>
      <c r="K155" s="5673">
        <v>22</v>
      </c>
      <c r="L155" s="5673">
        <v>22</v>
      </c>
      <c r="M155" s="5601">
        <v>22</v>
      </c>
      <c r="N155" s="5601">
        <v>22</v>
      </c>
      <c r="O155" s="5601">
        <v>22</v>
      </c>
      <c r="P155" s="5601">
        <v>22</v>
      </c>
      <c r="Q155" s="5600">
        <v>22</v>
      </c>
      <c r="R155" s="5602" t="s">
        <v>46</v>
      </c>
      <c r="S155" s="5600" t="s">
        <v>46</v>
      </c>
      <c r="T155" s="5600" t="s">
        <v>46</v>
      </c>
      <c r="U155" s="5600" t="s">
        <v>46</v>
      </c>
      <c r="V155" s="5600" t="s">
        <v>46</v>
      </c>
      <c r="W155" s="5600"/>
      <c r="X155" s="5600"/>
      <c r="Y155" s="5600">
        <v>23</v>
      </c>
      <c r="Z155" s="5600">
        <v>23</v>
      </c>
      <c r="AA155" s="5600">
        <v>23</v>
      </c>
      <c r="AB155" s="5629">
        <v>23</v>
      </c>
      <c r="AC155" s="5629">
        <v>23</v>
      </c>
      <c r="AD155" s="5629">
        <v>23</v>
      </c>
      <c r="AE155" s="5600">
        <v>23</v>
      </c>
      <c r="AF155" s="5600" t="s">
        <v>46</v>
      </c>
    </row>
    <row r="156" spans="1:32" ht="18" customHeight="1">
      <c r="A156" s="485" t="s">
        <v>240</v>
      </c>
      <c r="B156" s="5600"/>
      <c r="C156" s="5673"/>
      <c r="D156" s="5673">
        <v>22</v>
      </c>
      <c r="E156" s="5673">
        <v>22</v>
      </c>
      <c r="F156" s="5601">
        <v>22</v>
      </c>
      <c r="G156" s="5601">
        <v>22</v>
      </c>
      <c r="H156" s="5601">
        <v>22</v>
      </c>
      <c r="I156" s="5601">
        <v>22</v>
      </c>
      <c r="J156" s="5601">
        <v>22</v>
      </c>
      <c r="K156" s="5601" t="s">
        <v>46</v>
      </c>
      <c r="L156" s="5601" t="s">
        <v>46</v>
      </c>
      <c r="M156" s="5601" t="s">
        <v>46</v>
      </c>
      <c r="N156" s="5601" t="s">
        <v>46</v>
      </c>
      <c r="O156" s="5600" t="s">
        <v>46</v>
      </c>
      <c r="P156" s="5600"/>
      <c r="Q156" s="5628"/>
      <c r="R156" s="5628">
        <v>23</v>
      </c>
      <c r="S156" s="5600">
        <v>23</v>
      </c>
      <c r="T156" s="5629">
        <v>23</v>
      </c>
      <c r="U156" s="5629">
        <v>23</v>
      </c>
      <c r="V156" s="5602">
        <v>23</v>
      </c>
      <c r="W156" s="5600">
        <v>23</v>
      </c>
      <c r="X156" s="5601">
        <v>23</v>
      </c>
      <c r="Y156" s="5601" t="s">
        <v>46</v>
      </c>
      <c r="Z156" s="5601" t="s">
        <v>46</v>
      </c>
      <c r="AA156" s="5601" t="s">
        <v>46</v>
      </c>
      <c r="AB156" s="5600" t="s">
        <v>46</v>
      </c>
      <c r="AC156" s="5600" t="s">
        <v>46</v>
      </c>
      <c r="AD156" s="5600"/>
      <c r="AE156" s="5600"/>
      <c r="AF156" s="5600">
        <v>21</v>
      </c>
    </row>
    <row r="157" spans="1:32" ht="18" customHeight="1">
      <c r="A157" s="6204" t="s">
        <v>242</v>
      </c>
      <c r="B157" s="5601"/>
      <c r="C157" s="5676"/>
      <c r="D157" s="5676">
        <v>23</v>
      </c>
      <c r="E157" s="5676">
        <v>23</v>
      </c>
      <c r="F157" s="5676">
        <v>23</v>
      </c>
      <c r="G157" s="5676">
        <v>23</v>
      </c>
      <c r="H157" s="5676">
        <v>23</v>
      </c>
      <c r="I157" s="5676">
        <v>23</v>
      </c>
      <c r="J157" s="5600">
        <v>23</v>
      </c>
      <c r="K157" s="5602" t="s">
        <v>46</v>
      </c>
      <c r="L157" s="5600" t="s">
        <v>46</v>
      </c>
      <c r="M157" s="5600" t="s">
        <v>46</v>
      </c>
      <c r="N157" s="5600" t="s">
        <v>46</v>
      </c>
      <c r="O157" s="5600" t="s">
        <v>46</v>
      </c>
      <c r="P157" s="5600"/>
      <c r="Q157" s="5628"/>
      <c r="R157" s="5628">
        <v>21</v>
      </c>
      <c r="S157" s="5600">
        <v>21</v>
      </c>
      <c r="T157" s="5629">
        <v>21</v>
      </c>
      <c r="U157" s="5629">
        <v>21</v>
      </c>
      <c r="V157" s="5602">
        <v>21</v>
      </c>
      <c r="W157" s="5600">
        <v>21</v>
      </c>
      <c r="X157" s="5600">
        <v>21</v>
      </c>
      <c r="Y157" s="5602" t="s">
        <v>46</v>
      </c>
      <c r="Z157" s="5629" t="s">
        <v>46</v>
      </c>
      <c r="AA157" s="5629" t="s">
        <v>46</v>
      </c>
      <c r="AB157" s="5629" t="s">
        <v>46</v>
      </c>
      <c r="AC157" s="5629" t="s">
        <v>46</v>
      </c>
      <c r="AD157" s="5629"/>
      <c r="AE157" s="5600"/>
      <c r="AF157" s="5601">
        <v>22</v>
      </c>
    </row>
    <row r="158" spans="1:32" ht="18" customHeight="1" thickBot="1">
      <c r="A158" s="6205"/>
      <c r="B158" s="5597"/>
      <c r="C158" s="6206"/>
      <c r="D158" s="6206">
        <v>21</v>
      </c>
      <c r="E158" s="6206">
        <v>21</v>
      </c>
      <c r="F158" s="6207">
        <v>21</v>
      </c>
      <c r="G158" s="6207">
        <v>21</v>
      </c>
      <c r="H158" s="6207">
        <v>21</v>
      </c>
      <c r="I158" s="6207">
        <v>21</v>
      </c>
      <c r="J158" s="6207">
        <v>21</v>
      </c>
      <c r="K158" s="6207" t="s">
        <v>46</v>
      </c>
      <c r="L158" s="6207" t="s">
        <v>46</v>
      </c>
      <c r="M158" s="5597" t="s">
        <v>46</v>
      </c>
      <c r="N158" s="5597" t="s">
        <v>46</v>
      </c>
      <c r="O158" s="5597" t="s">
        <v>46</v>
      </c>
      <c r="P158" s="5597"/>
      <c r="Q158" s="6208"/>
      <c r="R158" s="6208">
        <v>22</v>
      </c>
      <c r="S158" s="5597">
        <v>22</v>
      </c>
      <c r="T158" s="5598">
        <v>22</v>
      </c>
      <c r="U158" s="5598">
        <v>22</v>
      </c>
      <c r="V158" s="5599">
        <v>22</v>
      </c>
      <c r="W158" s="5597">
        <v>22</v>
      </c>
      <c r="X158" s="5597">
        <v>22</v>
      </c>
      <c r="Y158" s="5599" t="s">
        <v>46</v>
      </c>
      <c r="Z158" s="5597" t="s">
        <v>46</v>
      </c>
      <c r="AA158" s="5597" t="s">
        <v>46</v>
      </c>
      <c r="AB158" s="5597" t="s">
        <v>46</v>
      </c>
      <c r="AC158" s="5597" t="s">
        <v>46</v>
      </c>
      <c r="AD158" s="5597"/>
      <c r="AE158" s="5597"/>
      <c r="AF158" s="5597">
        <v>23</v>
      </c>
    </row>
    <row r="159" spans="1:32" ht="18" customHeight="1" thickBot="1">
      <c r="F159" s="63"/>
    </row>
    <row r="160" spans="1:32" ht="18" customHeight="1">
      <c r="A160" s="6175" t="s">
        <v>609</v>
      </c>
      <c r="B160" s="6176"/>
      <c r="C160" s="6192" t="s">
        <v>19</v>
      </c>
      <c r="D160" s="6163"/>
      <c r="E160" s="6180"/>
      <c r="F160" s="6176"/>
      <c r="G160" s="6192" t="s">
        <v>20</v>
      </c>
      <c r="H160" s="6163"/>
      <c r="I160" s="6180"/>
      <c r="J160" s="6176"/>
      <c r="K160" s="6192" t="s">
        <v>21</v>
      </c>
      <c r="L160" s="6163"/>
      <c r="M160" s="6180"/>
      <c r="N160" s="6176"/>
      <c r="O160" s="6192" t="s">
        <v>22</v>
      </c>
      <c r="P160" s="6163"/>
      <c r="Q160" s="6180"/>
      <c r="R160" s="6176"/>
      <c r="S160" s="6192" t="s">
        <v>23</v>
      </c>
      <c r="T160" s="6163"/>
      <c r="U160" s="6180"/>
      <c r="V160" s="6176"/>
      <c r="W160" s="6192" t="s">
        <v>24</v>
      </c>
      <c r="X160" s="6163"/>
      <c r="Y160" s="6180"/>
      <c r="Z160" s="6176"/>
      <c r="AA160" s="6192" t="s">
        <v>25</v>
      </c>
      <c r="AB160" s="6163"/>
      <c r="AC160" s="6163"/>
      <c r="AD160" s="6195" t="s">
        <v>108</v>
      </c>
      <c r="AE160" s="6163"/>
      <c r="AF160" s="6209"/>
    </row>
    <row r="161" spans="1:32" ht="18" customHeight="1">
      <c r="A161" s="6066" t="s">
        <v>210</v>
      </c>
      <c r="B161" s="6058" t="s">
        <v>211</v>
      </c>
      <c r="C161" s="6013"/>
      <c r="D161" s="6013"/>
      <c r="E161" s="6069"/>
      <c r="F161" s="6058" t="s">
        <v>211</v>
      </c>
      <c r="G161" s="6013"/>
      <c r="H161" s="6013"/>
      <c r="I161" s="6069"/>
      <c r="J161" s="6058" t="s">
        <v>211</v>
      </c>
      <c r="K161" s="6013"/>
      <c r="L161" s="6013"/>
      <c r="M161" s="6069"/>
      <c r="N161" s="6058" t="s">
        <v>245</v>
      </c>
      <c r="O161" s="6013"/>
      <c r="P161" s="6013"/>
      <c r="Q161" s="6069"/>
      <c r="R161" s="6058" t="s">
        <v>220</v>
      </c>
      <c r="S161" s="6013"/>
      <c r="T161" s="6013"/>
      <c r="U161" s="6069"/>
      <c r="V161" s="6096"/>
      <c r="W161" s="6097"/>
      <c r="X161" s="6097"/>
      <c r="Y161" s="6071"/>
      <c r="Z161" s="6067"/>
      <c r="AA161" s="6013"/>
      <c r="AB161" s="6013"/>
      <c r="AC161" s="6057"/>
      <c r="AD161" s="6072">
        <v>27</v>
      </c>
      <c r="AE161" s="6013"/>
      <c r="AF161" s="6098"/>
    </row>
    <row r="162" spans="1:32" ht="18" customHeight="1">
      <c r="A162" s="6066" t="s">
        <v>212</v>
      </c>
      <c r="B162" s="6058" t="s">
        <v>246</v>
      </c>
      <c r="C162" s="6013"/>
      <c r="D162" s="6013"/>
      <c r="E162" s="6069"/>
      <c r="F162" s="6058" t="s">
        <v>246</v>
      </c>
      <c r="G162" s="6013"/>
      <c r="H162" s="6013"/>
      <c r="I162" s="6069"/>
      <c r="J162" s="6058" t="s">
        <v>246</v>
      </c>
      <c r="K162" s="6013"/>
      <c r="L162" s="6013"/>
      <c r="M162" s="6069"/>
      <c r="N162" s="6058" t="s">
        <v>246</v>
      </c>
      <c r="O162" s="6013"/>
      <c r="P162" s="6013"/>
      <c r="Q162" s="6069"/>
      <c r="R162" s="6058" t="s">
        <v>211</v>
      </c>
      <c r="S162" s="6013"/>
      <c r="T162" s="6013"/>
      <c r="U162" s="6069"/>
      <c r="V162" s="6058"/>
      <c r="W162" s="6013"/>
      <c r="X162" s="6013"/>
      <c r="Y162" s="6069"/>
      <c r="Z162" s="6013"/>
      <c r="AA162" s="6013"/>
      <c r="AB162" s="6013"/>
      <c r="AC162" s="6057"/>
      <c r="AD162" s="6072">
        <v>39</v>
      </c>
      <c r="AE162" s="6013"/>
      <c r="AF162" s="6098"/>
    </row>
    <row r="163" spans="1:32" ht="18" customHeight="1">
      <c r="A163" s="6066" t="s">
        <v>214</v>
      </c>
      <c r="B163" s="6058" t="s">
        <v>246</v>
      </c>
      <c r="C163" s="6013"/>
      <c r="D163" s="6013"/>
      <c r="E163" s="6069"/>
      <c r="F163" s="6058" t="s">
        <v>246</v>
      </c>
      <c r="G163" s="6013"/>
      <c r="H163" s="6013"/>
      <c r="I163" s="6069"/>
      <c r="J163" s="6058" t="s">
        <v>246</v>
      </c>
      <c r="K163" s="6013"/>
      <c r="L163" s="6013"/>
      <c r="M163" s="6069"/>
      <c r="N163" s="6058" t="s">
        <v>246</v>
      </c>
      <c r="O163" s="6013"/>
      <c r="P163" s="6013"/>
      <c r="Q163" s="6069"/>
      <c r="R163" s="6058" t="s">
        <v>246</v>
      </c>
      <c r="S163" s="6013"/>
      <c r="T163" s="6013"/>
      <c r="U163" s="6069"/>
      <c r="V163" s="6061" t="s">
        <v>217</v>
      </c>
      <c r="W163" s="6010"/>
      <c r="X163" s="6010"/>
      <c r="Y163" s="6059"/>
      <c r="Z163" s="6074"/>
      <c r="AA163" s="6010"/>
      <c r="AB163" s="6010"/>
      <c r="AC163" s="6062"/>
      <c r="AD163" s="6072">
        <v>45</v>
      </c>
      <c r="AE163" s="6013"/>
      <c r="AF163" s="6098"/>
    </row>
    <row r="164" spans="1:32" ht="18" customHeight="1" thickBot="1">
      <c r="A164" s="1484" t="s">
        <v>218</v>
      </c>
      <c r="B164" s="6091"/>
      <c r="C164" s="6023"/>
      <c r="D164" s="6023"/>
      <c r="E164" s="6093"/>
      <c r="F164" s="6091"/>
      <c r="G164" s="6023"/>
      <c r="H164" s="6023"/>
      <c r="I164" s="6093"/>
      <c r="J164" s="6091"/>
      <c r="K164" s="6023"/>
      <c r="L164" s="6023"/>
      <c r="M164" s="6093"/>
      <c r="N164" s="6091"/>
      <c r="O164" s="6023"/>
      <c r="P164" s="6023"/>
      <c r="Q164" s="6093"/>
      <c r="R164" s="6091"/>
      <c r="S164" s="6023"/>
      <c r="T164" s="6023"/>
      <c r="U164" s="6081"/>
      <c r="V164" s="6091"/>
      <c r="W164" s="6081"/>
      <c r="X164" s="6023"/>
      <c r="Y164" s="6093"/>
      <c r="Z164" s="6091"/>
      <c r="AA164" s="6081"/>
      <c r="AB164" s="6023"/>
      <c r="AC164" s="6093"/>
      <c r="AD164" s="6099"/>
      <c r="AE164" s="6023"/>
      <c r="AF164" s="6100"/>
    </row>
    <row r="165" spans="1:32" ht="18" customHeight="1" thickBot="1">
      <c r="A165" s="1"/>
    </row>
    <row r="166" spans="1:32" ht="18" customHeight="1" thickBot="1">
      <c r="A166" s="363" t="s">
        <v>609</v>
      </c>
      <c r="B166" s="6126">
        <v>1</v>
      </c>
      <c r="C166" s="6126">
        <v>2</v>
      </c>
      <c r="D166" s="6127">
        <v>3</v>
      </c>
      <c r="E166" s="6127">
        <v>4</v>
      </c>
      <c r="F166" s="6127">
        <v>5</v>
      </c>
      <c r="G166" s="6127">
        <v>6</v>
      </c>
      <c r="H166" s="6127">
        <v>7</v>
      </c>
      <c r="I166" s="6126">
        <v>8</v>
      </c>
      <c r="J166" s="6126">
        <v>9</v>
      </c>
      <c r="K166" s="6127">
        <v>10</v>
      </c>
      <c r="L166" s="6127">
        <v>11</v>
      </c>
      <c r="M166" s="6127">
        <v>12</v>
      </c>
      <c r="N166" s="6127">
        <v>13</v>
      </c>
      <c r="O166" s="6127">
        <v>14</v>
      </c>
      <c r="P166" s="6126">
        <v>15</v>
      </c>
      <c r="Q166" s="6126">
        <v>16</v>
      </c>
      <c r="R166" s="6127">
        <v>17</v>
      </c>
      <c r="S166" s="6127">
        <v>18</v>
      </c>
      <c r="T166" s="6127">
        <v>19</v>
      </c>
      <c r="U166" s="6127">
        <v>20</v>
      </c>
      <c r="V166" s="6127">
        <v>21</v>
      </c>
      <c r="W166" s="6126">
        <v>22</v>
      </c>
      <c r="X166" s="6126">
        <v>23</v>
      </c>
      <c r="Y166" s="6127">
        <v>24</v>
      </c>
      <c r="Z166" s="6127">
        <v>25</v>
      </c>
      <c r="AA166" s="6127">
        <v>26</v>
      </c>
      <c r="AB166" s="6127">
        <v>27</v>
      </c>
      <c r="AC166" s="6127">
        <v>28</v>
      </c>
      <c r="AD166" s="6126">
        <v>29</v>
      </c>
      <c r="AE166" s="6126">
        <v>30</v>
      </c>
      <c r="AF166" s="6127">
        <v>31</v>
      </c>
    </row>
    <row r="167" spans="1:32" ht="18" customHeight="1">
      <c r="A167" s="6210" t="s">
        <v>247</v>
      </c>
      <c r="B167" s="6165" t="s">
        <v>248</v>
      </c>
      <c r="C167" s="6165"/>
      <c r="D167" s="6165" t="s">
        <v>40</v>
      </c>
      <c r="E167" s="6165" t="s">
        <v>40</v>
      </c>
      <c r="F167" s="6165" t="s">
        <v>40</v>
      </c>
      <c r="G167" s="6165" t="s">
        <v>40</v>
      </c>
      <c r="H167" s="6165" t="s">
        <v>40</v>
      </c>
      <c r="I167" s="6211"/>
      <c r="J167" s="6165"/>
      <c r="K167" s="6165" t="s">
        <v>40</v>
      </c>
      <c r="L167" s="6165" t="s">
        <v>40</v>
      </c>
      <c r="M167" s="6165" t="s">
        <v>40</v>
      </c>
      <c r="N167" s="6165" t="s">
        <v>40</v>
      </c>
      <c r="O167" s="6165" t="s">
        <v>40</v>
      </c>
      <c r="P167" s="6165"/>
      <c r="Q167" s="6165"/>
      <c r="R167" s="6211" t="s">
        <v>40</v>
      </c>
      <c r="S167" s="6211" t="s">
        <v>40</v>
      </c>
      <c r="T167" s="6165" t="s">
        <v>40</v>
      </c>
      <c r="U167" s="6165" t="s">
        <v>40</v>
      </c>
      <c r="V167" s="6165" t="s">
        <v>40</v>
      </c>
      <c r="W167" s="6165" t="s">
        <v>248</v>
      </c>
      <c r="X167" s="6165"/>
      <c r="Y167" s="6165" t="s">
        <v>40</v>
      </c>
      <c r="Z167" s="6165" t="s">
        <v>40</v>
      </c>
      <c r="AA167" s="6165" t="s">
        <v>40</v>
      </c>
      <c r="AB167" s="6165" t="s">
        <v>40</v>
      </c>
      <c r="AC167" s="6165" t="s">
        <v>40</v>
      </c>
      <c r="AD167" s="6211"/>
      <c r="AE167" s="6165"/>
      <c r="AF167" s="6165" t="s">
        <v>40</v>
      </c>
    </row>
    <row r="168" spans="1:32" ht="18" customHeight="1">
      <c r="A168" s="6101" t="s">
        <v>249</v>
      </c>
      <c r="B168" s="6039"/>
      <c r="C168" s="6039"/>
      <c r="D168" s="6039" t="s">
        <v>250</v>
      </c>
      <c r="E168" s="6039" t="s">
        <v>250</v>
      </c>
      <c r="F168" s="6039" t="s">
        <v>250</v>
      </c>
      <c r="G168" s="6039" t="s">
        <v>250</v>
      </c>
      <c r="H168" s="6039" t="s">
        <v>250</v>
      </c>
      <c r="I168" s="6039"/>
      <c r="J168" s="6039"/>
      <c r="K168" s="6039" t="s">
        <v>248</v>
      </c>
      <c r="L168" s="6039" t="s">
        <v>248</v>
      </c>
      <c r="M168" s="6039" t="s">
        <v>248</v>
      </c>
      <c r="N168" s="6039" t="s">
        <v>248</v>
      </c>
      <c r="O168" s="6039" t="s">
        <v>248</v>
      </c>
      <c r="P168" s="6039" t="s">
        <v>248</v>
      </c>
      <c r="Q168" s="6039"/>
      <c r="R168" s="6039" t="s">
        <v>251</v>
      </c>
      <c r="S168" s="6039" t="s">
        <v>251</v>
      </c>
      <c r="T168" s="6039" t="s">
        <v>251</v>
      </c>
      <c r="U168" s="6039" t="s">
        <v>251</v>
      </c>
      <c r="V168" s="6039" t="s">
        <v>46</v>
      </c>
      <c r="W168" s="6039"/>
      <c r="X168" s="6039"/>
      <c r="Y168" s="6039" t="s">
        <v>250</v>
      </c>
      <c r="Z168" s="6039" t="s">
        <v>250</v>
      </c>
      <c r="AA168" s="6039" t="s">
        <v>250</v>
      </c>
      <c r="AB168" s="6039" t="s">
        <v>250</v>
      </c>
      <c r="AC168" s="6039" t="s">
        <v>250</v>
      </c>
      <c r="AD168" s="6039"/>
      <c r="AE168" s="6039"/>
      <c r="AF168" s="6039" t="s">
        <v>248</v>
      </c>
    </row>
    <row r="169" spans="1:32" ht="18" customHeight="1">
      <c r="A169" s="6101" t="s">
        <v>512</v>
      </c>
      <c r="B169" s="6043"/>
      <c r="C169" s="6043"/>
      <c r="D169" s="6039" t="s">
        <v>248</v>
      </c>
      <c r="E169" s="6043" t="s">
        <v>248</v>
      </c>
      <c r="F169" s="6043" t="s">
        <v>248</v>
      </c>
      <c r="G169" s="6043" t="s">
        <v>248</v>
      </c>
      <c r="H169" s="6039" t="s">
        <v>248</v>
      </c>
      <c r="I169" s="6039" t="s">
        <v>248</v>
      </c>
      <c r="J169" s="6039"/>
      <c r="K169" s="6039" t="s">
        <v>251</v>
      </c>
      <c r="L169" s="6039" t="s">
        <v>251</v>
      </c>
      <c r="M169" s="6039" t="s">
        <v>251</v>
      </c>
      <c r="N169" s="6039" t="s">
        <v>251</v>
      </c>
      <c r="O169" s="6039" t="s">
        <v>46</v>
      </c>
      <c r="P169" s="6043"/>
      <c r="Q169" s="6043"/>
      <c r="R169" s="6039" t="s">
        <v>250</v>
      </c>
      <c r="S169" s="6039" t="s">
        <v>250</v>
      </c>
      <c r="T169" s="6039" t="s">
        <v>250</v>
      </c>
      <c r="U169" s="6039" t="s">
        <v>250</v>
      </c>
      <c r="V169" s="6039" t="s">
        <v>250</v>
      </c>
      <c r="W169" s="6043"/>
      <c r="X169" s="6043"/>
      <c r="Y169" s="6039" t="s">
        <v>248</v>
      </c>
      <c r="Z169" s="6043" t="s">
        <v>248</v>
      </c>
      <c r="AA169" s="6043" t="s">
        <v>248</v>
      </c>
      <c r="AB169" s="6043" t="s">
        <v>248</v>
      </c>
      <c r="AC169" s="6039" t="s">
        <v>248</v>
      </c>
      <c r="AD169" s="6039" t="s">
        <v>248</v>
      </c>
      <c r="AE169" s="6039"/>
      <c r="AF169" s="6039" t="s">
        <v>251</v>
      </c>
    </row>
    <row r="170" spans="1:32" ht="18" customHeight="1">
      <c r="A170" s="6101" t="s">
        <v>253</v>
      </c>
      <c r="B170" s="6039"/>
      <c r="C170" s="6039"/>
      <c r="D170" s="6039"/>
      <c r="E170" s="6039"/>
      <c r="F170" s="6039"/>
      <c r="G170" s="6039"/>
      <c r="H170" s="6039"/>
      <c r="I170" s="6039"/>
      <c r="J170" s="6039"/>
      <c r="K170" s="6039"/>
      <c r="L170" s="6039"/>
      <c r="M170" s="6039"/>
      <c r="N170" s="6039"/>
      <c r="O170" s="6039"/>
      <c r="P170" s="6040"/>
      <c r="Q170" s="6039"/>
      <c r="R170" s="6039"/>
      <c r="S170" s="6039"/>
      <c r="T170" s="6039"/>
      <c r="U170" s="6039"/>
      <c r="V170" s="6039"/>
      <c r="W170" s="6039"/>
      <c r="X170" s="6039"/>
      <c r="Y170" s="6039"/>
      <c r="Z170" s="6039"/>
      <c r="AA170" s="6039"/>
      <c r="AB170" s="6039"/>
      <c r="AC170" s="6039"/>
      <c r="AD170" s="6039"/>
      <c r="AE170" s="6039"/>
      <c r="AF170" s="6039"/>
    </row>
    <row r="171" spans="1:32" ht="18" customHeight="1" thickBot="1">
      <c r="B171" s="110"/>
      <c r="E171" s="110"/>
      <c r="H171" s="110"/>
      <c r="I171" s="110"/>
      <c r="K171" s="110"/>
      <c r="N171" s="110"/>
      <c r="P171" s="110"/>
      <c r="Q171" s="110"/>
      <c r="T171" s="110"/>
      <c r="V171" s="110"/>
      <c r="W171" s="110"/>
      <c r="AD171" s="110"/>
      <c r="AF171" s="65"/>
    </row>
    <row r="172" spans="1:32" ht="18" customHeight="1">
      <c r="A172" s="846" t="s">
        <v>254</v>
      </c>
      <c r="B172" s="2874"/>
      <c r="C172" s="1460" t="s">
        <v>19</v>
      </c>
      <c r="D172" s="1457"/>
      <c r="E172" s="2854"/>
      <c r="F172" s="2855"/>
      <c r="G172" s="1460" t="s">
        <v>20</v>
      </c>
      <c r="H172" s="1457"/>
      <c r="I172" s="2854"/>
      <c r="J172" s="2855"/>
      <c r="K172" s="1460" t="s">
        <v>21</v>
      </c>
      <c r="L172" s="1457"/>
      <c r="M172" s="2854"/>
      <c r="N172" s="2855"/>
      <c r="O172" s="1460" t="s">
        <v>22</v>
      </c>
      <c r="P172" s="1457"/>
      <c r="Q172" s="2854"/>
      <c r="R172" s="2855"/>
      <c r="S172" s="1460" t="s">
        <v>23</v>
      </c>
      <c r="T172" s="1457"/>
      <c r="U172" s="2854"/>
      <c r="V172" s="2855"/>
      <c r="W172" s="1460" t="s">
        <v>24</v>
      </c>
      <c r="X172" s="1457"/>
      <c r="Y172" s="2854"/>
      <c r="Z172" s="2855"/>
      <c r="AA172" s="1460" t="s">
        <v>25</v>
      </c>
      <c r="AB172" s="1457"/>
      <c r="AC172" s="1457"/>
      <c r="AD172" s="2856" t="s">
        <v>108</v>
      </c>
      <c r="AE172" s="1457"/>
      <c r="AF172" s="4677"/>
    </row>
    <row r="173" spans="1:32" ht="18" customHeight="1">
      <c r="A173" s="5753" t="s">
        <v>256</v>
      </c>
      <c r="B173" s="5883" t="s">
        <v>257</v>
      </c>
      <c r="C173" s="5884" t="s">
        <v>258</v>
      </c>
      <c r="D173" s="5885"/>
      <c r="E173" s="5886"/>
      <c r="F173" s="5887"/>
      <c r="G173" s="5888" t="s">
        <v>258</v>
      </c>
      <c r="H173" s="5889"/>
      <c r="I173" s="5886"/>
      <c r="J173" s="5887"/>
      <c r="K173" s="5888" t="s">
        <v>258</v>
      </c>
      <c r="L173" s="5889"/>
      <c r="M173" s="5886"/>
      <c r="N173" s="5887"/>
      <c r="O173" s="5888" t="s">
        <v>259</v>
      </c>
      <c r="P173" s="5889"/>
      <c r="Q173" s="5886"/>
      <c r="R173" s="5887"/>
      <c r="S173" s="5888" t="s">
        <v>260</v>
      </c>
      <c r="T173" s="5889"/>
      <c r="U173" s="5886"/>
      <c r="V173" s="5890"/>
      <c r="W173" s="5757"/>
      <c r="X173" s="5757"/>
      <c r="Y173" s="5756"/>
      <c r="Z173" s="5890"/>
      <c r="AA173" s="5757"/>
      <c r="AB173" s="5757"/>
      <c r="AC173" s="5757"/>
      <c r="AD173" s="5890"/>
      <c r="AE173" s="5757"/>
      <c r="AF173" s="6106"/>
    </row>
    <row r="174" spans="1:32" ht="18" customHeight="1">
      <c r="A174" s="5753" t="s">
        <v>261</v>
      </c>
      <c r="B174" s="5883" t="s">
        <v>130</v>
      </c>
      <c r="C174" s="5884" t="s">
        <v>258</v>
      </c>
      <c r="D174" s="5885"/>
      <c r="E174" s="5886"/>
      <c r="F174" s="5887"/>
      <c r="G174" s="5888" t="s">
        <v>258</v>
      </c>
      <c r="H174" s="5889"/>
      <c r="I174" s="5886"/>
      <c r="J174" s="5887"/>
      <c r="K174" s="5888" t="s">
        <v>262</v>
      </c>
      <c r="L174" s="5889"/>
      <c r="M174" s="5886"/>
      <c r="N174" s="5887"/>
      <c r="O174" s="5888" t="s">
        <v>263</v>
      </c>
      <c r="P174" s="5889"/>
      <c r="Q174" s="5886"/>
      <c r="R174" s="5887"/>
      <c r="S174" s="5888" t="s">
        <v>264</v>
      </c>
      <c r="T174" s="5889"/>
      <c r="U174" s="5886"/>
      <c r="V174" s="5890"/>
      <c r="W174" s="5757"/>
      <c r="X174" s="5757"/>
      <c r="Y174" s="5756"/>
      <c r="Z174" s="5890"/>
      <c r="AA174" s="5757"/>
      <c r="AB174" s="5757"/>
      <c r="AC174" s="5757"/>
      <c r="AD174" s="5890"/>
      <c r="AE174" s="5757"/>
      <c r="AF174" s="6106"/>
    </row>
    <row r="175" spans="1:32" ht="18" customHeight="1">
      <c r="A175" s="5753" t="s">
        <v>265</v>
      </c>
      <c r="B175" s="5883" t="s">
        <v>153</v>
      </c>
      <c r="C175" s="5884" t="s">
        <v>266</v>
      </c>
      <c r="D175" s="5885"/>
      <c r="E175" s="5886"/>
      <c r="F175" s="5887"/>
      <c r="G175" s="5884" t="s">
        <v>266</v>
      </c>
      <c r="H175" s="5889"/>
      <c r="I175" s="5886"/>
      <c r="J175" s="5887"/>
      <c r="K175" s="5884" t="s">
        <v>266</v>
      </c>
      <c r="L175" s="5889"/>
      <c r="M175" s="5886"/>
      <c r="N175" s="5887"/>
      <c r="O175" s="5888" t="s">
        <v>267</v>
      </c>
      <c r="P175" s="5889"/>
      <c r="Q175" s="5886"/>
      <c r="R175" s="5887"/>
      <c r="S175" s="5888" t="s">
        <v>264</v>
      </c>
      <c r="T175" s="5889"/>
      <c r="U175" s="5886"/>
      <c r="V175" s="5890"/>
      <c r="W175" s="5757"/>
      <c r="X175" s="5757"/>
      <c r="Y175" s="5756"/>
      <c r="Z175" s="5890"/>
      <c r="AA175" s="5757"/>
      <c r="AB175" s="5757"/>
      <c r="AC175" s="5757"/>
      <c r="AD175" s="5890"/>
      <c r="AE175" s="5757"/>
      <c r="AF175" s="6106"/>
    </row>
    <row r="176" spans="1:32" ht="18" customHeight="1">
      <c r="A176" s="6107" t="s">
        <v>272</v>
      </c>
      <c r="B176" s="5883" t="s">
        <v>128</v>
      </c>
      <c r="C176" s="5884" t="s">
        <v>273</v>
      </c>
      <c r="D176" s="5885"/>
      <c r="E176" s="5892"/>
      <c r="F176" s="5893"/>
      <c r="G176" s="5884" t="s">
        <v>273</v>
      </c>
      <c r="H176" s="5894"/>
      <c r="I176" s="5892"/>
      <c r="J176" s="5893"/>
      <c r="K176" s="5884" t="s">
        <v>273</v>
      </c>
      <c r="L176" s="5894"/>
      <c r="M176" s="5892"/>
      <c r="N176" s="5893"/>
      <c r="O176" s="5888" t="s">
        <v>274</v>
      </c>
      <c r="P176" s="5894"/>
      <c r="Q176" s="5892"/>
      <c r="R176" s="5893"/>
      <c r="S176" s="5888" t="s">
        <v>264</v>
      </c>
      <c r="T176" s="5894"/>
      <c r="U176" s="5756"/>
      <c r="V176" s="6108"/>
      <c r="W176" s="6109"/>
      <c r="X176" s="6109"/>
      <c r="Y176" s="5822"/>
      <c r="Z176" s="6108"/>
      <c r="AA176" s="6109"/>
      <c r="AB176" s="6109"/>
      <c r="AC176" s="6109"/>
      <c r="AD176" s="6108"/>
      <c r="AE176" s="6109"/>
      <c r="AF176" s="6111"/>
    </row>
    <row r="177" spans="1:32" ht="18" customHeight="1">
      <c r="A177" s="5753" t="s">
        <v>275</v>
      </c>
      <c r="B177" s="5883" t="s">
        <v>127</v>
      </c>
      <c r="C177" s="5884" t="s">
        <v>276</v>
      </c>
      <c r="D177" s="5885"/>
      <c r="E177" s="5886"/>
      <c r="F177" s="5887"/>
      <c r="G177" s="5884" t="s">
        <v>276</v>
      </c>
      <c r="H177" s="5889"/>
      <c r="I177" s="5886"/>
      <c r="J177" s="5887"/>
      <c r="K177" s="5884" t="s">
        <v>276</v>
      </c>
      <c r="L177" s="5889"/>
      <c r="M177" s="5886"/>
      <c r="N177" s="5887"/>
      <c r="O177" s="5888" t="s">
        <v>277</v>
      </c>
      <c r="P177" s="5889"/>
      <c r="Q177" s="5886"/>
      <c r="R177" s="5887"/>
      <c r="S177" s="5888" t="s">
        <v>264</v>
      </c>
      <c r="T177" s="5889"/>
      <c r="U177" s="5886"/>
      <c r="V177" s="5890"/>
      <c r="W177" s="5757"/>
      <c r="X177" s="5757"/>
      <c r="Y177" s="5757"/>
      <c r="Z177" s="5890"/>
      <c r="AA177" s="5757"/>
      <c r="AB177" s="5757"/>
      <c r="AC177" s="5757"/>
      <c r="AD177" s="5890"/>
      <c r="AE177" s="5757"/>
      <c r="AF177" s="6106"/>
    </row>
    <row r="178" spans="1:32" ht="18" customHeight="1">
      <c r="A178" s="5753" t="s">
        <v>278</v>
      </c>
      <c r="B178" s="5883" t="s">
        <v>116</v>
      </c>
      <c r="C178" s="5884" t="s">
        <v>279</v>
      </c>
      <c r="D178" s="5885"/>
      <c r="E178" s="5886"/>
      <c r="F178" s="5887"/>
      <c r="G178" s="5888" t="s">
        <v>279</v>
      </c>
      <c r="H178" s="5889"/>
      <c r="I178" s="5886"/>
      <c r="J178" s="5887"/>
      <c r="K178" s="5888" t="s">
        <v>279</v>
      </c>
      <c r="L178" s="5889"/>
      <c r="M178" s="5889"/>
      <c r="N178" s="5887"/>
      <c r="O178" s="5888" t="s">
        <v>279</v>
      </c>
      <c r="P178" s="5889"/>
      <c r="Q178" s="5889"/>
      <c r="R178" s="5887"/>
      <c r="S178" s="5888" t="s">
        <v>264</v>
      </c>
      <c r="T178" s="5889"/>
      <c r="U178" s="5886"/>
      <c r="V178" s="5753"/>
      <c r="W178" s="5757"/>
      <c r="X178" s="5757"/>
      <c r="Y178" s="5756"/>
      <c r="Z178" s="5898"/>
      <c r="AA178" s="5757"/>
      <c r="AB178" s="5757"/>
      <c r="AC178" s="5757"/>
      <c r="AD178" s="5890"/>
      <c r="AE178" s="5757"/>
      <c r="AF178" s="6106"/>
    </row>
    <row r="179" spans="1:32" ht="18" customHeight="1">
      <c r="A179" s="5753" t="s">
        <v>280</v>
      </c>
      <c r="B179" s="5883" t="s">
        <v>123</v>
      </c>
      <c r="C179" s="5884" t="s">
        <v>281</v>
      </c>
      <c r="D179" s="5885"/>
      <c r="E179" s="5886"/>
      <c r="F179" s="5887"/>
      <c r="G179" s="5888" t="s">
        <v>281</v>
      </c>
      <c r="H179" s="5889"/>
      <c r="I179" s="5886"/>
      <c r="J179" s="5887"/>
      <c r="K179" s="5888" t="s">
        <v>281</v>
      </c>
      <c r="L179" s="5889"/>
      <c r="M179" s="5889"/>
      <c r="N179" s="5887"/>
      <c r="O179" s="5888" t="s">
        <v>282</v>
      </c>
      <c r="P179" s="5889"/>
      <c r="Q179" s="5889"/>
      <c r="R179" s="5887"/>
      <c r="S179" s="5888" t="s">
        <v>283</v>
      </c>
      <c r="T179" s="5889"/>
      <c r="U179" s="5886"/>
      <c r="Z179" s="110"/>
      <c r="AD179" s="110"/>
      <c r="AF179" s="65"/>
    </row>
    <row r="180" spans="1:32" ht="18" customHeight="1" thickBot="1">
      <c r="B180" s="110"/>
      <c r="E180" s="110"/>
      <c r="H180" s="110"/>
      <c r="I180" s="110"/>
      <c r="K180" s="110"/>
      <c r="N180" s="110"/>
      <c r="P180" s="110"/>
      <c r="Q180" s="110"/>
      <c r="T180" s="110"/>
      <c r="V180" s="110"/>
      <c r="W180" s="110"/>
      <c r="AD180" s="110"/>
      <c r="AF180" s="65"/>
    </row>
    <row r="181" spans="1:32" ht="18" customHeight="1">
      <c r="A181" s="845" t="s">
        <v>697</v>
      </c>
      <c r="B181" s="1463"/>
      <c r="C181" s="1460" t="s">
        <v>19</v>
      </c>
      <c r="D181" s="1457"/>
      <c r="E181" s="2854"/>
      <c r="F181" s="2855"/>
      <c r="G181" s="1460" t="s">
        <v>20</v>
      </c>
      <c r="H181" s="1457"/>
      <c r="I181" s="2854"/>
      <c r="J181" s="2855"/>
      <c r="K181" s="1460" t="s">
        <v>21</v>
      </c>
      <c r="L181" s="1457"/>
      <c r="M181" s="2854"/>
      <c r="N181" s="2855"/>
      <c r="O181" s="1460" t="s">
        <v>22</v>
      </c>
      <c r="P181" s="1457"/>
      <c r="Q181" s="2854"/>
      <c r="R181" s="2855"/>
      <c r="S181" s="1460" t="s">
        <v>23</v>
      </c>
      <c r="T181" s="1457"/>
      <c r="U181" s="2854"/>
      <c r="V181" s="2855"/>
      <c r="W181" s="1460" t="s">
        <v>24</v>
      </c>
      <c r="X181" s="1457"/>
      <c r="Y181" s="2854"/>
      <c r="Z181" s="2855"/>
      <c r="AA181" s="1460" t="s">
        <v>25</v>
      </c>
      <c r="AB181" s="1457"/>
      <c r="AC181" s="1457"/>
      <c r="AD181" s="2856" t="s">
        <v>108</v>
      </c>
      <c r="AE181" s="1457"/>
      <c r="AF181" s="4677"/>
    </row>
    <row r="182" spans="1:32" ht="18" customHeight="1">
      <c r="A182" s="5753" t="s">
        <v>514</v>
      </c>
      <c r="B182" s="5883" t="s">
        <v>515</v>
      </c>
      <c r="C182" s="5884" t="s">
        <v>276</v>
      </c>
      <c r="D182" s="5885"/>
      <c r="E182" s="5886"/>
      <c r="F182" s="5887"/>
      <c r="G182" s="5884" t="s">
        <v>516</v>
      </c>
      <c r="H182" s="5885"/>
      <c r="I182" s="5886"/>
      <c r="J182" s="5887"/>
      <c r="K182" s="5884" t="s">
        <v>517</v>
      </c>
      <c r="L182" s="5885"/>
      <c r="M182" s="5886"/>
      <c r="N182" s="5887"/>
      <c r="O182" s="5888" t="s">
        <v>518</v>
      </c>
      <c r="P182" s="5889"/>
      <c r="Q182" s="5886"/>
      <c r="R182" s="5887"/>
      <c r="S182" s="5884" t="s">
        <v>519</v>
      </c>
      <c r="T182" s="5885"/>
      <c r="U182" s="5886"/>
      <c r="V182" s="111"/>
      <c r="W182" s="499"/>
      <c r="X182" s="111"/>
      <c r="Y182" s="111"/>
      <c r="Z182" s="111"/>
      <c r="AA182" s="499"/>
      <c r="AB182" s="111"/>
      <c r="AC182" s="111"/>
      <c r="AD182" s="499"/>
      <c r="AE182" s="111"/>
      <c r="AF182" s="500"/>
    </row>
    <row r="183" spans="1:32" ht="18" customHeight="1">
      <c r="A183" s="835" t="s">
        <v>256</v>
      </c>
      <c r="B183" s="5883" t="s">
        <v>152</v>
      </c>
      <c r="C183" s="5884" t="s">
        <v>285</v>
      </c>
      <c r="D183" s="5885"/>
      <c r="E183" s="5886"/>
      <c r="F183" s="5887"/>
      <c r="G183" s="5884" t="s">
        <v>285</v>
      </c>
      <c r="H183" s="5889"/>
      <c r="I183" s="5886"/>
      <c r="J183" s="5887"/>
      <c r="K183" s="5884" t="s">
        <v>285</v>
      </c>
      <c r="L183" s="5889"/>
      <c r="M183" s="5886"/>
      <c r="N183" s="5887"/>
      <c r="O183" s="5888" t="s">
        <v>286</v>
      </c>
      <c r="P183" s="5889"/>
      <c r="Q183" s="5886"/>
      <c r="R183" s="5887"/>
      <c r="S183" s="5888" t="s">
        <v>287</v>
      </c>
      <c r="T183" s="5889"/>
      <c r="U183" s="5886"/>
      <c r="V183" s="5890"/>
      <c r="W183" s="5757"/>
      <c r="X183" s="5757"/>
      <c r="Y183" s="5756"/>
      <c r="Z183" s="5890"/>
      <c r="AA183" s="5757"/>
      <c r="AB183" s="5757"/>
      <c r="AC183" s="5757"/>
      <c r="AD183" s="5890"/>
      <c r="AE183" s="5757"/>
      <c r="AF183" s="6106"/>
    </row>
    <row r="184" spans="1:32" ht="18" customHeight="1">
      <c r="A184" s="5753" t="s">
        <v>261</v>
      </c>
      <c r="B184" s="5883" t="s">
        <v>130</v>
      </c>
      <c r="C184" s="5884" t="s">
        <v>285</v>
      </c>
      <c r="D184" s="5885"/>
      <c r="E184" s="5886"/>
      <c r="F184" s="5887"/>
      <c r="G184" s="5884" t="s">
        <v>285</v>
      </c>
      <c r="H184" s="5889"/>
      <c r="I184" s="5886"/>
      <c r="J184" s="5887"/>
      <c r="K184" s="5888" t="s">
        <v>262</v>
      </c>
      <c r="L184" s="5889"/>
      <c r="M184" s="5886"/>
      <c r="N184" s="5887"/>
      <c r="O184" s="5888" t="s">
        <v>288</v>
      </c>
      <c r="P184" s="5889"/>
      <c r="Q184" s="5886"/>
      <c r="R184" s="5887"/>
      <c r="S184" s="5888" t="s">
        <v>289</v>
      </c>
      <c r="T184" s="5889"/>
      <c r="U184" s="5886"/>
      <c r="V184" s="5890"/>
      <c r="W184" s="5757"/>
      <c r="X184" s="5757"/>
      <c r="Y184" s="5756"/>
      <c r="Z184" s="5890"/>
      <c r="AA184" s="5757"/>
      <c r="AB184" s="5757"/>
      <c r="AC184" s="5757"/>
      <c r="AD184" s="5890"/>
      <c r="AE184" s="5757"/>
      <c r="AF184" s="6106"/>
    </row>
    <row r="185" spans="1:32" ht="18" customHeight="1">
      <c r="A185" s="5753" t="s">
        <v>265</v>
      </c>
      <c r="B185" s="5883" t="s">
        <v>153</v>
      </c>
      <c r="C185" s="5884" t="s">
        <v>285</v>
      </c>
      <c r="D185" s="5885"/>
      <c r="E185" s="5886"/>
      <c r="F185" s="5887"/>
      <c r="G185" s="5884" t="s">
        <v>285</v>
      </c>
      <c r="H185" s="5889"/>
      <c r="I185" s="5886"/>
      <c r="J185" s="5887"/>
      <c r="K185" s="5884" t="s">
        <v>285</v>
      </c>
      <c r="L185" s="5889"/>
      <c r="M185" s="5886"/>
      <c r="N185" s="5887"/>
      <c r="O185" s="5888" t="s">
        <v>290</v>
      </c>
      <c r="P185" s="5889"/>
      <c r="Q185" s="5886"/>
      <c r="R185" s="5887"/>
      <c r="S185" s="5888" t="s">
        <v>289</v>
      </c>
      <c r="T185" s="5889"/>
      <c r="U185" s="5886"/>
      <c r="V185" s="5890"/>
      <c r="W185" s="5757"/>
      <c r="X185" s="5757"/>
      <c r="Y185" s="5756"/>
      <c r="Z185" s="5890"/>
      <c r="AA185" s="5757"/>
      <c r="AB185" s="5757"/>
      <c r="AC185" s="5757"/>
      <c r="AD185" s="5890"/>
      <c r="AE185" s="5757"/>
      <c r="AF185" s="6106"/>
    </row>
    <row r="186" spans="1:32" ht="18" customHeight="1">
      <c r="A186" s="6107" t="s">
        <v>272</v>
      </c>
      <c r="B186" s="5883" t="s">
        <v>128</v>
      </c>
      <c r="C186" s="5884" t="s">
        <v>285</v>
      </c>
      <c r="D186" s="5885"/>
      <c r="E186" s="5886"/>
      <c r="F186" s="5887"/>
      <c r="G186" s="5884" t="s">
        <v>285</v>
      </c>
      <c r="H186" s="5889"/>
      <c r="I186" s="5886"/>
      <c r="J186" s="5887"/>
      <c r="K186" s="5884" t="s">
        <v>285</v>
      </c>
      <c r="L186" s="5889"/>
      <c r="M186" s="5886"/>
      <c r="N186" s="5887"/>
      <c r="O186" s="5888" t="s">
        <v>290</v>
      </c>
      <c r="P186" s="5889"/>
      <c r="Q186" s="5886"/>
      <c r="R186" s="5887"/>
      <c r="S186" s="5888" t="s">
        <v>289</v>
      </c>
      <c r="T186" s="5889"/>
      <c r="U186" s="5886"/>
      <c r="V186" s="6108"/>
      <c r="W186" s="6109"/>
      <c r="X186" s="6109"/>
      <c r="Y186" s="5822"/>
      <c r="Z186" s="6108"/>
      <c r="AA186" s="6109"/>
      <c r="AB186" s="6109"/>
      <c r="AC186" s="6109"/>
      <c r="AD186" s="6108"/>
      <c r="AE186" s="6109"/>
      <c r="AF186" s="6111"/>
    </row>
    <row r="187" spans="1:32" ht="18" customHeight="1">
      <c r="A187" s="5753" t="s">
        <v>275</v>
      </c>
      <c r="B187" s="5883" t="s">
        <v>127</v>
      </c>
      <c r="C187" s="5884" t="s">
        <v>285</v>
      </c>
      <c r="D187" s="5885"/>
      <c r="E187" s="5886"/>
      <c r="F187" s="5887"/>
      <c r="G187" s="5884" t="s">
        <v>285</v>
      </c>
      <c r="H187" s="5889"/>
      <c r="I187" s="5886"/>
      <c r="J187" s="5887"/>
      <c r="K187" s="5884" t="s">
        <v>285</v>
      </c>
      <c r="L187" s="5889"/>
      <c r="M187" s="5886"/>
      <c r="N187" s="5887"/>
      <c r="O187" s="5888" t="s">
        <v>286</v>
      </c>
      <c r="P187" s="5889"/>
      <c r="Q187" s="5886"/>
      <c r="R187" s="5887"/>
      <c r="S187" s="5888" t="s">
        <v>287</v>
      </c>
      <c r="T187" s="5889"/>
      <c r="U187" s="5886"/>
      <c r="V187" s="5890"/>
      <c r="W187" s="5757"/>
      <c r="X187" s="5757"/>
      <c r="Y187" s="5757"/>
      <c r="Z187" s="5890"/>
      <c r="AA187" s="5757"/>
      <c r="AB187" s="5757"/>
      <c r="AC187" s="5757"/>
      <c r="AD187" s="5890"/>
      <c r="AE187" s="5757"/>
      <c r="AF187" s="6106"/>
    </row>
    <row r="188" spans="1:32" ht="18" customHeight="1">
      <c r="A188" s="5753" t="s">
        <v>278</v>
      </c>
      <c r="B188" s="5883" t="s">
        <v>116</v>
      </c>
      <c r="C188" s="5884" t="s">
        <v>279</v>
      </c>
      <c r="D188" s="5885"/>
      <c r="E188" s="5886"/>
      <c r="F188" s="5887"/>
      <c r="G188" s="5888" t="s">
        <v>279</v>
      </c>
      <c r="H188" s="5889"/>
      <c r="I188" s="5886"/>
      <c r="J188" s="5887"/>
      <c r="K188" s="5888" t="s">
        <v>279</v>
      </c>
      <c r="L188" s="5889"/>
      <c r="M188" s="5889"/>
      <c r="N188" s="5887"/>
      <c r="O188" s="5888" t="s">
        <v>279</v>
      </c>
      <c r="P188" s="5889"/>
      <c r="Q188" s="5889"/>
      <c r="R188" s="5887"/>
      <c r="S188" s="5888" t="s">
        <v>264</v>
      </c>
      <c r="T188" s="5889"/>
      <c r="U188" s="5886"/>
      <c r="V188" s="5753"/>
      <c r="W188" s="5757"/>
      <c r="X188" s="5757"/>
      <c r="Y188" s="5756"/>
      <c r="Z188" s="5898"/>
      <c r="AA188" s="5757"/>
      <c r="AB188" s="5757"/>
      <c r="AC188" s="5757"/>
      <c r="AD188" s="5890"/>
      <c r="AE188" s="5757"/>
      <c r="AF188" s="6106"/>
    </row>
    <row r="189" spans="1:32" ht="18" customHeight="1">
      <c r="A189" s="5753" t="s">
        <v>280</v>
      </c>
      <c r="B189" s="5883" t="s">
        <v>123</v>
      </c>
      <c r="C189" s="5884" t="s">
        <v>281</v>
      </c>
      <c r="D189" s="5885"/>
      <c r="E189" s="5886"/>
      <c r="F189" s="5887"/>
      <c r="G189" s="5888" t="s">
        <v>281</v>
      </c>
      <c r="H189" s="5889"/>
      <c r="I189" s="5886"/>
      <c r="J189" s="5887"/>
      <c r="K189" s="5888" t="s">
        <v>281</v>
      </c>
      <c r="L189" s="5889"/>
      <c r="M189" s="5889"/>
      <c r="N189" s="5887"/>
      <c r="O189" s="5888" t="s">
        <v>282</v>
      </c>
      <c r="P189" s="5889"/>
      <c r="Q189" s="5889"/>
      <c r="R189" s="5887"/>
      <c r="S189" s="5888" t="s">
        <v>283</v>
      </c>
      <c r="T189" s="5889"/>
      <c r="U189" s="5886"/>
      <c r="V189" s="5753"/>
      <c r="W189" s="5757"/>
      <c r="X189" s="5757"/>
      <c r="Y189" s="5756"/>
      <c r="Z189" s="5898"/>
      <c r="AA189" s="5757"/>
      <c r="AB189" s="5757"/>
      <c r="AC189" s="5757"/>
      <c r="AD189" s="5890"/>
      <c r="AE189" s="5757"/>
      <c r="AF189" s="6106"/>
    </row>
    <row r="190" spans="1:32" ht="18" customHeight="1" thickBot="1">
      <c r="A190" s="119"/>
      <c r="B190" s="110"/>
      <c r="C190" s="68"/>
      <c r="F190" s="110"/>
      <c r="G190" s="68"/>
      <c r="J190" s="110"/>
      <c r="K190" s="68"/>
      <c r="N190" s="110"/>
      <c r="O190" s="68"/>
      <c r="R190" s="110"/>
      <c r="S190" s="68"/>
      <c r="Z190" s="110"/>
      <c r="AD190" s="110"/>
      <c r="AF190" s="65"/>
    </row>
    <row r="191" spans="1:32" ht="18" customHeight="1" thickBot="1">
      <c r="A191" s="433" t="s">
        <v>613</v>
      </c>
      <c r="B191" s="6126">
        <v>1</v>
      </c>
      <c r="C191" s="6126">
        <v>2</v>
      </c>
      <c r="D191" s="6127">
        <v>3</v>
      </c>
      <c r="E191" s="6127">
        <v>4</v>
      </c>
      <c r="F191" s="6127">
        <v>5</v>
      </c>
      <c r="G191" s="6127">
        <v>6</v>
      </c>
      <c r="H191" s="6127">
        <v>7</v>
      </c>
      <c r="I191" s="6126">
        <v>8</v>
      </c>
      <c r="J191" s="6126">
        <v>9</v>
      </c>
      <c r="K191" s="6127">
        <v>10</v>
      </c>
      <c r="L191" s="6127">
        <v>11</v>
      </c>
      <c r="M191" s="6127">
        <v>12</v>
      </c>
      <c r="N191" s="6127">
        <v>13</v>
      </c>
      <c r="O191" s="6127">
        <v>14</v>
      </c>
      <c r="P191" s="6126">
        <v>15</v>
      </c>
      <c r="Q191" s="6126">
        <v>16</v>
      </c>
      <c r="R191" s="6127">
        <v>17</v>
      </c>
      <c r="S191" s="6127">
        <v>18</v>
      </c>
      <c r="T191" s="6127">
        <v>19</v>
      </c>
      <c r="U191" s="6127">
        <v>20</v>
      </c>
      <c r="V191" s="6127">
        <v>21</v>
      </c>
      <c r="W191" s="6126">
        <v>22</v>
      </c>
      <c r="X191" s="6126">
        <v>23</v>
      </c>
      <c r="Y191" s="6127">
        <v>24</v>
      </c>
      <c r="Z191" s="6127">
        <v>25</v>
      </c>
      <c r="AA191" s="6127">
        <v>26</v>
      </c>
      <c r="AB191" s="6127">
        <v>27</v>
      </c>
      <c r="AC191" s="6127">
        <v>28</v>
      </c>
      <c r="AD191" s="6126">
        <v>29</v>
      </c>
      <c r="AE191" s="6126">
        <v>30</v>
      </c>
      <c r="AF191" s="6127">
        <v>31</v>
      </c>
    </row>
    <row r="192" spans="1:32" ht="18" customHeight="1">
      <c r="A192" s="6112" t="s">
        <v>293</v>
      </c>
      <c r="B192" s="5602"/>
      <c r="C192" s="5602"/>
      <c r="D192" s="5602" t="s">
        <v>152</v>
      </c>
      <c r="E192" s="5602" t="s">
        <v>152</v>
      </c>
      <c r="F192" s="5602" t="s">
        <v>152</v>
      </c>
      <c r="G192" s="5602" t="s">
        <v>152</v>
      </c>
      <c r="H192" s="5602" t="s">
        <v>152</v>
      </c>
      <c r="I192" s="5602"/>
      <c r="J192" s="5602"/>
      <c r="K192" s="5602" t="s">
        <v>152</v>
      </c>
      <c r="L192" s="5602" t="s">
        <v>152</v>
      </c>
      <c r="M192" s="5602" t="s">
        <v>152</v>
      </c>
      <c r="N192" s="5602" t="s">
        <v>152</v>
      </c>
      <c r="O192" s="5602" t="s">
        <v>152</v>
      </c>
      <c r="P192" s="5602"/>
      <c r="Q192" s="5602"/>
      <c r="R192" s="5602" t="s">
        <v>152</v>
      </c>
      <c r="S192" s="5602" t="s">
        <v>152</v>
      </c>
      <c r="T192" s="5602" t="s">
        <v>152</v>
      </c>
      <c r="U192" s="5602" t="s">
        <v>152</v>
      </c>
      <c r="V192" s="5602" t="s">
        <v>152</v>
      </c>
      <c r="W192" s="5602"/>
      <c r="X192" s="5602"/>
      <c r="Y192" s="5602" t="s">
        <v>152</v>
      </c>
      <c r="Z192" s="5602" t="s">
        <v>152</v>
      </c>
      <c r="AA192" s="5602" t="s">
        <v>152</v>
      </c>
      <c r="AB192" s="5602" t="s">
        <v>152</v>
      </c>
      <c r="AC192" s="5602" t="s">
        <v>152</v>
      </c>
      <c r="AD192" s="5602"/>
      <c r="AE192" s="5602"/>
      <c r="AF192" s="5602" t="s">
        <v>152</v>
      </c>
    </row>
    <row r="193" spans="1:32" ht="18" customHeight="1">
      <c r="A193" s="5711" t="s">
        <v>575</v>
      </c>
      <c r="B193" s="5673"/>
      <c r="C193" s="5673"/>
      <c r="D193" s="5712" t="s">
        <v>130</v>
      </c>
      <c r="E193" s="5712" t="s">
        <v>130</v>
      </c>
      <c r="F193" s="5712" t="s">
        <v>130</v>
      </c>
      <c r="G193" s="5673" t="s">
        <v>130</v>
      </c>
      <c r="H193" s="5673" t="s">
        <v>130</v>
      </c>
      <c r="I193" s="5673"/>
      <c r="J193" s="5673"/>
      <c r="K193" s="5712" t="s">
        <v>130</v>
      </c>
      <c r="L193" s="5712" t="s">
        <v>130</v>
      </c>
      <c r="M193" s="5712" t="s">
        <v>130</v>
      </c>
      <c r="N193" s="5673" t="s">
        <v>130</v>
      </c>
      <c r="O193" s="5673" t="s">
        <v>130</v>
      </c>
      <c r="P193" s="5673"/>
      <c r="Q193" s="5673"/>
      <c r="R193" s="5712" t="s">
        <v>130</v>
      </c>
      <c r="S193" s="5712" t="s">
        <v>130</v>
      </c>
      <c r="T193" s="5712" t="s">
        <v>130</v>
      </c>
      <c r="U193" s="5673" t="s">
        <v>130</v>
      </c>
      <c r="V193" s="5673" t="s">
        <v>130</v>
      </c>
      <c r="W193" s="5673"/>
      <c r="X193" s="5673"/>
      <c r="Y193" s="5712" t="s">
        <v>130</v>
      </c>
      <c r="Z193" s="5712" t="s">
        <v>130</v>
      </c>
      <c r="AA193" s="5712" t="s">
        <v>130</v>
      </c>
      <c r="AB193" s="5673" t="s">
        <v>130</v>
      </c>
      <c r="AC193" s="5673" t="s">
        <v>130</v>
      </c>
      <c r="AD193" s="5673"/>
      <c r="AE193" s="5673"/>
      <c r="AF193" s="5712" t="s">
        <v>130</v>
      </c>
    </row>
    <row r="194" spans="1:32" ht="18" customHeight="1">
      <c r="A194" s="5714" t="s">
        <v>295</v>
      </c>
      <c r="B194" s="5602"/>
      <c r="C194" s="5602"/>
      <c r="D194" s="5602" t="s">
        <v>153</v>
      </c>
      <c r="E194" s="5602" t="s">
        <v>153</v>
      </c>
      <c r="F194" s="5602" t="s">
        <v>153</v>
      </c>
      <c r="G194" s="5602" t="s">
        <v>153</v>
      </c>
      <c r="H194" s="5602" t="s">
        <v>153</v>
      </c>
      <c r="I194" s="5602"/>
      <c r="J194" s="5602"/>
      <c r="K194" s="5602" t="s">
        <v>153</v>
      </c>
      <c r="L194" s="5602" t="s">
        <v>153</v>
      </c>
      <c r="M194" s="5602" t="s">
        <v>153</v>
      </c>
      <c r="N194" s="5602" t="s">
        <v>153</v>
      </c>
      <c r="O194" s="5602" t="s">
        <v>153</v>
      </c>
      <c r="P194" s="5602"/>
      <c r="Q194" s="5602"/>
      <c r="R194" s="5602" t="s">
        <v>153</v>
      </c>
      <c r="S194" s="5602" t="s">
        <v>153</v>
      </c>
      <c r="T194" s="5602" t="s">
        <v>153</v>
      </c>
      <c r="U194" s="5602" t="s">
        <v>153</v>
      </c>
      <c r="V194" s="5602" t="s">
        <v>153</v>
      </c>
      <c r="W194" s="5602"/>
      <c r="X194" s="5602"/>
      <c r="Y194" s="5602" t="s">
        <v>153</v>
      </c>
      <c r="Z194" s="5602" t="s">
        <v>153</v>
      </c>
      <c r="AA194" s="5602" t="s">
        <v>153</v>
      </c>
      <c r="AB194" s="5602" t="s">
        <v>153</v>
      </c>
      <c r="AC194" s="5602" t="s">
        <v>153</v>
      </c>
      <c r="AD194" s="5602"/>
      <c r="AE194" s="5602"/>
      <c r="AF194" s="5602" t="s">
        <v>153</v>
      </c>
    </row>
    <row r="195" spans="1:32" ht="18" customHeight="1">
      <c r="A195" s="5715" t="s">
        <v>553</v>
      </c>
      <c r="B195" s="5602"/>
      <c r="C195" s="5602"/>
      <c r="D195" s="5602" t="s">
        <v>128</v>
      </c>
      <c r="E195" s="5602" t="s">
        <v>128</v>
      </c>
      <c r="F195" s="5602" t="s">
        <v>128</v>
      </c>
      <c r="G195" s="5602" t="s">
        <v>128</v>
      </c>
      <c r="H195" s="5602" t="s">
        <v>128</v>
      </c>
      <c r="I195" s="5602"/>
      <c r="J195" s="5602"/>
      <c r="K195" s="5602" t="s">
        <v>128</v>
      </c>
      <c r="L195" s="5602" t="s">
        <v>128</v>
      </c>
      <c r="M195" s="5602" t="s">
        <v>128</v>
      </c>
      <c r="N195" s="5602" t="s">
        <v>128</v>
      </c>
      <c r="O195" s="5602" t="s">
        <v>128</v>
      </c>
      <c r="P195" s="5602"/>
      <c r="Q195" s="5602"/>
      <c r="R195" s="5602" t="s">
        <v>128</v>
      </c>
      <c r="S195" s="5602" t="s">
        <v>128</v>
      </c>
      <c r="T195" s="5602" t="s">
        <v>128</v>
      </c>
      <c r="U195" s="5602" t="s">
        <v>128</v>
      </c>
      <c r="V195" s="5602" t="s">
        <v>128</v>
      </c>
      <c r="W195" s="5602"/>
      <c r="X195" s="5602"/>
      <c r="Y195" s="5602" t="s">
        <v>128</v>
      </c>
      <c r="Z195" s="5602" t="s">
        <v>128</v>
      </c>
      <c r="AA195" s="5602" t="s">
        <v>128</v>
      </c>
      <c r="AB195" s="5602" t="s">
        <v>128</v>
      </c>
      <c r="AC195" s="5602" t="s">
        <v>128</v>
      </c>
      <c r="AD195" s="5602"/>
      <c r="AE195" s="5602"/>
      <c r="AF195" s="5602" t="s">
        <v>128</v>
      </c>
    </row>
    <row r="196" spans="1:32" ht="18" customHeight="1">
      <c r="A196" s="5716" t="s">
        <v>298</v>
      </c>
      <c r="B196" s="5602"/>
      <c r="C196" s="5602"/>
      <c r="D196" s="5602" t="s">
        <v>127</v>
      </c>
      <c r="E196" s="5602" t="s">
        <v>127</v>
      </c>
      <c r="F196" s="5602" t="s">
        <v>127</v>
      </c>
      <c r="G196" s="5602" t="s">
        <v>127</v>
      </c>
      <c r="H196" s="5602" t="s">
        <v>127</v>
      </c>
      <c r="I196" s="5602"/>
      <c r="J196" s="5602"/>
      <c r="K196" s="5602" t="s">
        <v>127</v>
      </c>
      <c r="L196" s="5602" t="s">
        <v>127</v>
      </c>
      <c r="M196" s="5602" t="s">
        <v>127</v>
      </c>
      <c r="N196" s="5602" t="s">
        <v>127</v>
      </c>
      <c r="O196" s="5602" t="s">
        <v>127</v>
      </c>
      <c r="P196" s="5602"/>
      <c r="Q196" s="5602"/>
      <c r="R196" s="5602" t="s">
        <v>127</v>
      </c>
      <c r="S196" s="5602" t="s">
        <v>127</v>
      </c>
      <c r="T196" s="5602" t="s">
        <v>127</v>
      </c>
      <c r="U196" s="5602" t="s">
        <v>127</v>
      </c>
      <c r="V196" s="5602" t="s">
        <v>127</v>
      </c>
      <c r="W196" s="5602"/>
      <c r="X196" s="5602"/>
      <c r="Y196" s="5602" t="s">
        <v>127</v>
      </c>
      <c r="Z196" s="5602" t="s">
        <v>127</v>
      </c>
      <c r="AA196" s="5602" t="s">
        <v>127</v>
      </c>
      <c r="AB196" s="5602" t="s">
        <v>127</v>
      </c>
      <c r="AC196" s="5602" t="s">
        <v>127</v>
      </c>
      <c r="AD196" s="5602"/>
      <c r="AE196" s="5602"/>
      <c r="AF196" s="5602" t="s">
        <v>127</v>
      </c>
    </row>
    <row r="197" spans="1:32" ht="18" customHeight="1">
      <c r="A197" s="5717" t="s">
        <v>299</v>
      </c>
      <c r="B197" s="5602"/>
      <c r="C197" s="5602"/>
      <c r="D197" s="5602" t="s">
        <v>123</v>
      </c>
      <c r="E197" s="5602" t="s">
        <v>123</v>
      </c>
      <c r="F197" s="5602" t="s">
        <v>123</v>
      </c>
      <c r="G197" s="5602" t="s">
        <v>123</v>
      </c>
      <c r="H197" s="5602" t="s">
        <v>123</v>
      </c>
      <c r="I197" s="5602"/>
      <c r="J197" s="5602"/>
      <c r="K197" s="5602" t="s">
        <v>123</v>
      </c>
      <c r="L197" s="5602" t="s">
        <v>123</v>
      </c>
      <c r="M197" s="5602" t="s">
        <v>123</v>
      </c>
      <c r="N197" s="5602" t="s">
        <v>123</v>
      </c>
      <c r="O197" s="5602" t="s">
        <v>123</v>
      </c>
      <c r="P197" s="5602"/>
      <c r="Q197" s="5602"/>
      <c r="R197" s="5602" t="s">
        <v>123</v>
      </c>
      <c r="S197" s="5602" t="s">
        <v>123</v>
      </c>
      <c r="T197" s="5602" t="s">
        <v>123</v>
      </c>
      <c r="U197" s="5602" t="s">
        <v>123</v>
      </c>
      <c r="V197" s="5602" t="s">
        <v>123</v>
      </c>
      <c r="W197" s="5602"/>
      <c r="X197" s="5602"/>
      <c r="Y197" s="5602" t="s">
        <v>123</v>
      </c>
      <c r="Z197" s="5602" t="s">
        <v>123</v>
      </c>
      <c r="AA197" s="5602" t="s">
        <v>123</v>
      </c>
      <c r="AB197" s="5602" t="s">
        <v>123</v>
      </c>
      <c r="AC197" s="5602" t="s">
        <v>123</v>
      </c>
      <c r="AD197" s="5602"/>
      <c r="AE197" s="5602"/>
      <c r="AF197" s="5602" t="s">
        <v>123</v>
      </c>
    </row>
    <row r="198" spans="1:32" ht="18" customHeight="1" thickBot="1">
      <c r="A198" s="432" t="s">
        <v>300</v>
      </c>
      <c r="B198" s="5602"/>
      <c r="C198" s="5602"/>
      <c r="D198" s="5602" t="s">
        <v>116</v>
      </c>
      <c r="E198" s="5602" t="s">
        <v>116</v>
      </c>
      <c r="F198" s="5602" t="s">
        <v>116</v>
      </c>
      <c r="G198" s="5602" t="s">
        <v>116</v>
      </c>
      <c r="H198" s="5602" t="s">
        <v>116</v>
      </c>
      <c r="I198" s="5602"/>
      <c r="J198" s="5602"/>
      <c r="K198" s="5602" t="s">
        <v>116</v>
      </c>
      <c r="L198" s="5602" t="s">
        <v>116</v>
      </c>
      <c r="M198" s="5602" t="s">
        <v>116</v>
      </c>
      <c r="N198" s="5602" t="s">
        <v>116</v>
      </c>
      <c r="O198" s="5602" t="s">
        <v>116</v>
      </c>
      <c r="P198" s="5602"/>
      <c r="Q198" s="5602"/>
      <c r="R198" s="5602" t="s">
        <v>116</v>
      </c>
      <c r="S198" s="5602" t="s">
        <v>116</v>
      </c>
      <c r="T198" s="5602" t="s">
        <v>116</v>
      </c>
      <c r="U198" s="5602" t="s">
        <v>116</v>
      </c>
      <c r="V198" s="5602" t="s">
        <v>116</v>
      </c>
      <c r="W198" s="5602"/>
      <c r="X198" s="5602"/>
      <c r="Y198" s="5602" t="s">
        <v>116</v>
      </c>
      <c r="Z198" s="5602" t="s">
        <v>116</v>
      </c>
      <c r="AA198" s="5602" t="s">
        <v>116</v>
      </c>
      <c r="AB198" s="5602" t="s">
        <v>116</v>
      </c>
      <c r="AC198" s="5602" t="s">
        <v>116</v>
      </c>
      <c r="AD198" s="5602"/>
      <c r="AE198" s="5602"/>
      <c r="AF198" s="5602" t="s">
        <v>116</v>
      </c>
    </row>
    <row r="199" spans="1:32" ht="18" customHeight="1">
      <c r="A199" s="178"/>
      <c r="B199" s="99"/>
      <c r="C199" s="99"/>
      <c r="D199" s="99"/>
      <c r="E199" s="99"/>
      <c r="F199" s="99"/>
      <c r="G199" s="99"/>
      <c r="H199" s="99"/>
      <c r="I199" s="99"/>
      <c r="J199" s="99"/>
      <c r="K199" s="99"/>
      <c r="L199" s="99"/>
      <c r="M199" s="99"/>
      <c r="N199" s="99"/>
      <c r="O199" s="99"/>
      <c r="P199" s="99"/>
      <c r="Q199" s="99"/>
      <c r="R199" s="99"/>
      <c r="S199" s="99"/>
      <c r="T199" s="99"/>
      <c r="U199" s="99"/>
      <c r="V199" s="99"/>
      <c r="W199" s="99"/>
      <c r="X199" s="99"/>
      <c r="Y199" s="99"/>
      <c r="Z199" s="99"/>
      <c r="AA199" s="99"/>
      <c r="AB199" s="99"/>
      <c r="AC199" s="99"/>
      <c r="AD199" s="99"/>
      <c r="AE199" s="99"/>
    </row>
    <row r="200" spans="1:32" ht="18" customHeight="1"/>
    <row r="201" spans="1:32" ht="18" customHeight="1">
      <c r="A201" s="832" t="s">
        <v>331</v>
      </c>
      <c r="B201" s="343"/>
      <c r="C201" s="844" t="s">
        <v>19</v>
      </c>
      <c r="D201" s="343"/>
      <c r="E201" s="343"/>
      <c r="F201" s="343"/>
      <c r="G201" s="844" t="s">
        <v>20</v>
      </c>
      <c r="H201" s="343"/>
      <c r="I201" s="343"/>
      <c r="J201" s="343"/>
      <c r="K201" s="844" t="s">
        <v>21</v>
      </c>
      <c r="L201" s="343"/>
      <c r="M201" s="343"/>
      <c r="N201" s="343"/>
      <c r="O201" s="844" t="s">
        <v>22</v>
      </c>
      <c r="P201" s="343"/>
      <c r="Q201" s="343"/>
      <c r="R201" s="343"/>
      <c r="S201" s="844" t="s">
        <v>23</v>
      </c>
      <c r="T201" s="343"/>
      <c r="U201" s="343"/>
      <c r="V201" s="343"/>
      <c r="W201" s="844" t="s">
        <v>24</v>
      </c>
      <c r="X201" s="343"/>
      <c r="Y201" s="343"/>
      <c r="Z201" s="343"/>
      <c r="AA201" s="844" t="s">
        <v>25</v>
      </c>
      <c r="AB201" s="343"/>
      <c r="AC201" s="343"/>
      <c r="AD201" s="844" t="s">
        <v>108</v>
      </c>
      <c r="AE201" s="343"/>
      <c r="AF201" s="343"/>
    </row>
    <row r="202" spans="1:32" ht="18" customHeight="1">
      <c r="A202" s="836" t="s">
        <v>210</v>
      </c>
      <c r="B202" s="847" t="s">
        <v>332</v>
      </c>
      <c r="C202" s="844"/>
      <c r="D202" s="847"/>
      <c r="E202" s="847"/>
      <c r="F202" s="847" t="s">
        <v>332</v>
      </c>
      <c r="G202" s="844"/>
      <c r="H202" s="847"/>
      <c r="I202" s="847"/>
      <c r="J202" s="847" t="s">
        <v>332</v>
      </c>
      <c r="K202" s="844"/>
      <c r="L202" s="847"/>
      <c r="M202" s="847"/>
      <c r="N202" s="847" t="s">
        <v>332</v>
      </c>
      <c r="O202" s="848"/>
      <c r="P202" s="847"/>
      <c r="Q202" s="847"/>
      <c r="R202" s="849" t="s">
        <v>333</v>
      </c>
      <c r="S202" s="844"/>
      <c r="T202" s="847"/>
      <c r="U202" s="847"/>
      <c r="V202" s="308"/>
      <c r="W202" s="844"/>
      <c r="X202" s="308"/>
      <c r="Y202" s="308"/>
      <c r="Z202" s="308"/>
      <c r="AA202" s="844"/>
      <c r="AB202" s="308"/>
      <c r="AC202" s="308"/>
      <c r="AD202" s="844"/>
      <c r="AE202" s="308"/>
      <c r="AF202" s="343"/>
    </row>
    <row r="203" spans="1:32" ht="18" customHeight="1">
      <c r="A203" s="836" t="s">
        <v>212</v>
      </c>
      <c r="B203" s="850" t="s">
        <v>215</v>
      </c>
      <c r="C203" s="850"/>
      <c r="D203" s="847"/>
      <c r="E203" s="847"/>
      <c r="F203" s="850" t="s">
        <v>215</v>
      </c>
      <c r="G203" s="844"/>
      <c r="H203" s="847"/>
      <c r="I203" s="847"/>
      <c r="J203" s="850" t="s">
        <v>215</v>
      </c>
      <c r="K203" s="844"/>
      <c r="L203" s="847"/>
      <c r="M203" s="847"/>
      <c r="N203" s="850" t="s">
        <v>215</v>
      </c>
      <c r="O203" s="844"/>
      <c r="P203" s="847"/>
      <c r="Q203" s="847"/>
      <c r="R203" s="847" t="s">
        <v>701</v>
      </c>
      <c r="S203" s="844"/>
      <c r="T203" s="847"/>
      <c r="U203" s="847"/>
      <c r="V203" s="308"/>
      <c r="W203" s="844"/>
      <c r="X203" s="308"/>
      <c r="Y203" s="308"/>
      <c r="Z203" s="308"/>
      <c r="AA203" s="844"/>
      <c r="AB203" s="308"/>
      <c r="AC203" s="308"/>
      <c r="AD203" s="844"/>
      <c r="AE203" s="308"/>
      <c r="AF203" s="343"/>
    </row>
    <row r="204" spans="1:32" ht="18" customHeight="1">
      <c r="A204" s="836" t="s">
        <v>214</v>
      </c>
      <c r="B204" s="850" t="s">
        <v>219</v>
      </c>
      <c r="C204" s="850"/>
      <c r="D204" s="847"/>
      <c r="E204" s="847"/>
      <c r="F204" s="850" t="s">
        <v>219</v>
      </c>
      <c r="G204" s="844"/>
      <c r="H204" s="847"/>
      <c r="I204" s="847"/>
      <c r="J204" s="850" t="s">
        <v>219</v>
      </c>
      <c r="K204" s="844"/>
      <c r="L204" s="847"/>
      <c r="M204" s="847"/>
      <c r="N204" s="850" t="s">
        <v>219</v>
      </c>
      <c r="O204" s="844"/>
      <c r="P204" s="847"/>
      <c r="Q204" s="847"/>
      <c r="R204" s="850" t="s">
        <v>211</v>
      </c>
      <c r="S204" s="844"/>
      <c r="T204" s="847"/>
      <c r="U204" s="847"/>
      <c r="V204" s="308"/>
      <c r="W204" s="844"/>
      <c r="X204" s="308"/>
      <c r="Y204" s="308"/>
      <c r="Z204" s="308"/>
      <c r="AA204" s="844"/>
      <c r="AB204" s="308"/>
      <c r="AC204" s="308"/>
      <c r="AD204" s="844"/>
      <c r="AE204" s="308"/>
      <c r="AF204" s="343"/>
    </row>
    <row r="205" spans="1:32" ht="18" customHeight="1">
      <c r="A205" s="37"/>
      <c r="B205" s="42"/>
      <c r="C205" s="5"/>
      <c r="F205" s="42"/>
      <c r="G205" s="5"/>
      <c r="J205" s="42"/>
      <c r="K205" s="5"/>
      <c r="N205" s="42"/>
      <c r="O205" s="5"/>
      <c r="R205" s="42"/>
      <c r="S205" s="42"/>
      <c r="W205" s="42"/>
      <c r="AA205" s="42"/>
      <c r="AD205" s="42"/>
    </row>
    <row r="206" spans="1:32" ht="18" customHeight="1" thickBot="1"/>
    <row r="207" spans="1:32" ht="18" customHeight="1" thickBot="1">
      <c r="A207" s="6120" t="s">
        <v>615</v>
      </c>
      <c r="B207" s="6126">
        <v>1</v>
      </c>
      <c r="C207" s="6126">
        <v>2</v>
      </c>
      <c r="D207" s="6127">
        <v>3</v>
      </c>
      <c r="E207" s="6127">
        <v>4</v>
      </c>
      <c r="F207" s="6127">
        <v>5</v>
      </c>
      <c r="G207" s="6127">
        <v>6</v>
      </c>
      <c r="H207" s="6127">
        <v>7</v>
      </c>
      <c r="I207" s="6126">
        <v>8</v>
      </c>
      <c r="J207" s="6126">
        <v>9</v>
      </c>
      <c r="K207" s="6127">
        <v>10</v>
      </c>
      <c r="L207" s="6127">
        <v>11</v>
      </c>
      <c r="M207" s="6127">
        <v>12</v>
      </c>
      <c r="N207" s="6127">
        <v>13</v>
      </c>
      <c r="O207" s="6127">
        <v>14</v>
      </c>
      <c r="P207" s="6126">
        <v>15</v>
      </c>
      <c r="Q207" s="6126">
        <v>16</v>
      </c>
      <c r="R207" s="6127">
        <v>17</v>
      </c>
      <c r="S207" s="6127">
        <v>18</v>
      </c>
      <c r="T207" s="6127">
        <v>19</v>
      </c>
      <c r="U207" s="6127">
        <v>20</v>
      </c>
      <c r="V207" s="6127">
        <v>21</v>
      </c>
      <c r="W207" s="6126">
        <v>22</v>
      </c>
      <c r="X207" s="6126">
        <v>23</v>
      </c>
      <c r="Y207" s="6127">
        <v>24</v>
      </c>
      <c r="Z207" s="6127">
        <v>25</v>
      </c>
      <c r="AA207" s="6127">
        <v>26</v>
      </c>
      <c r="AB207" s="6127">
        <v>27</v>
      </c>
      <c r="AC207" s="6127">
        <v>28</v>
      </c>
      <c r="AD207" s="6126">
        <v>29</v>
      </c>
      <c r="AE207" s="6126">
        <v>30</v>
      </c>
      <c r="AF207" s="6127">
        <v>31</v>
      </c>
    </row>
    <row r="208" spans="1:32" ht="18" customHeight="1">
      <c r="A208" s="6212" t="s">
        <v>338</v>
      </c>
      <c r="B208" s="6038"/>
      <c r="C208" s="6043"/>
      <c r="D208" s="6043" t="s">
        <v>40</v>
      </c>
      <c r="E208" s="6038" t="s">
        <v>40</v>
      </c>
      <c r="F208" s="6038" t="s">
        <v>40</v>
      </c>
      <c r="G208" s="6038" t="s">
        <v>40</v>
      </c>
      <c r="H208" s="6038" t="s">
        <v>40</v>
      </c>
      <c r="I208" s="6038"/>
      <c r="J208" s="6043"/>
      <c r="K208" s="6043" t="s">
        <v>40</v>
      </c>
      <c r="L208" s="6038" t="s">
        <v>40</v>
      </c>
      <c r="M208" s="6038" t="s">
        <v>40</v>
      </c>
      <c r="N208" s="6038" t="s">
        <v>40</v>
      </c>
      <c r="O208" s="6038" t="s">
        <v>40</v>
      </c>
      <c r="P208" s="6038"/>
      <c r="Q208" s="6043"/>
      <c r="R208" s="6043" t="s">
        <v>40</v>
      </c>
      <c r="S208" s="6038" t="s">
        <v>40</v>
      </c>
      <c r="T208" s="6038" t="s">
        <v>40</v>
      </c>
      <c r="U208" s="6038" t="s">
        <v>40</v>
      </c>
      <c r="V208" s="6038" t="s">
        <v>40</v>
      </c>
      <c r="W208" s="6038"/>
      <c r="X208" s="6043"/>
      <c r="Y208" s="6043" t="s">
        <v>40</v>
      </c>
      <c r="Z208" s="6038" t="s">
        <v>40</v>
      </c>
      <c r="AA208" s="6038" t="s">
        <v>40</v>
      </c>
      <c r="AB208" s="6038" t="s">
        <v>40</v>
      </c>
      <c r="AC208" s="6038" t="s">
        <v>40</v>
      </c>
      <c r="AD208" s="6038"/>
      <c r="AE208" s="6043"/>
      <c r="AF208" s="6043" t="s">
        <v>40</v>
      </c>
    </row>
    <row r="209" spans="1:32" ht="18" customHeight="1">
      <c r="A209" s="6122" t="s">
        <v>339</v>
      </c>
      <c r="B209" s="6123"/>
      <c r="C209" s="6123"/>
      <c r="D209" s="6123"/>
      <c r="E209" s="6123"/>
      <c r="F209" s="6123"/>
      <c r="G209" s="6123"/>
      <c r="H209" s="6123"/>
      <c r="I209" s="6123"/>
      <c r="J209" s="6123"/>
      <c r="K209" s="6123"/>
      <c r="L209" s="6123"/>
      <c r="M209" s="6123"/>
      <c r="N209" s="6123"/>
      <c r="O209" s="6123"/>
      <c r="P209" s="6123"/>
      <c r="Q209" s="6123"/>
      <c r="R209" s="6123"/>
      <c r="S209" s="6123"/>
      <c r="T209" s="6123"/>
      <c r="U209" s="6123"/>
      <c r="V209" s="6123"/>
      <c r="W209" s="6123"/>
      <c r="X209" s="6123"/>
      <c r="Y209" s="6123"/>
      <c r="Z209" s="6123"/>
      <c r="AA209" s="6123"/>
      <c r="AB209" s="6123"/>
      <c r="AC209" s="6123"/>
      <c r="AD209" s="6123"/>
      <c r="AE209" s="6123"/>
      <c r="AF209" s="6123"/>
    </row>
    <row r="210" spans="1:32" ht="18" customHeight="1">
      <c r="A210" s="6124" t="s">
        <v>340</v>
      </c>
      <c r="B210" s="6038"/>
      <c r="C210" s="6043"/>
      <c r="D210" s="6043" t="s">
        <v>341</v>
      </c>
      <c r="E210" s="6038" t="s">
        <v>341</v>
      </c>
      <c r="F210" s="6038" t="s">
        <v>341</v>
      </c>
      <c r="G210" s="6038" t="s">
        <v>341</v>
      </c>
      <c r="H210" s="6038" t="s">
        <v>341</v>
      </c>
      <c r="I210" s="6038"/>
      <c r="J210" s="6043"/>
      <c r="K210" s="6043" t="s">
        <v>341</v>
      </c>
      <c r="L210" s="6038" t="s">
        <v>341</v>
      </c>
      <c r="M210" s="6038" t="s">
        <v>341</v>
      </c>
      <c r="N210" s="6038" t="s">
        <v>341</v>
      </c>
      <c r="O210" s="6038" t="s">
        <v>341</v>
      </c>
      <c r="P210" s="6038"/>
      <c r="Q210" s="6043"/>
      <c r="R210" s="6043" t="s">
        <v>341</v>
      </c>
      <c r="S210" s="6038" t="s">
        <v>341</v>
      </c>
      <c r="T210" s="6038" t="s">
        <v>341</v>
      </c>
      <c r="U210" s="6038" t="s">
        <v>341</v>
      </c>
      <c r="V210" s="6038" t="s">
        <v>341</v>
      </c>
      <c r="W210" s="6038"/>
      <c r="X210" s="6043"/>
      <c r="Y210" s="6043" t="s">
        <v>341</v>
      </c>
      <c r="Z210" s="6038" t="s">
        <v>341</v>
      </c>
      <c r="AA210" s="6038" t="s">
        <v>341</v>
      </c>
      <c r="AB210" s="6038" t="s">
        <v>341</v>
      </c>
      <c r="AC210" s="6038" t="s">
        <v>341</v>
      </c>
      <c r="AD210" s="6038"/>
      <c r="AE210" s="6043"/>
      <c r="AF210" s="6043" t="s">
        <v>341</v>
      </c>
    </row>
    <row r="211" spans="1:32" ht="18" customHeight="1">
      <c r="A211" s="6124" t="s">
        <v>343</v>
      </c>
      <c r="B211" s="6038"/>
      <c r="C211" s="6038"/>
      <c r="D211" s="6038" t="s">
        <v>342</v>
      </c>
      <c r="E211" s="6038" t="s">
        <v>342</v>
      </c>
      <c r="F211" s="6038" t="s">
        <v>342</v>
      </c>
      <c r="G211" s="6038" t="s">
        <v>342</v>
      </c>
      <c r="H211" s="6038" t="s">
        <v>342</v>
      </c>
      <c r="I211" s="6038"/>
      <c r="J211" s="6038"/>
      <c r="K211" s="6038" t="s">
        <v>342</v>
      </c>
      <c r="L211" s="6038" t="s">
        <v>342</v>
      </c>
      <c r="M211" s="6038" t="s">
        <v>342</v>
      </c>
      <c r="N211" s="6038" t="s">
        <v>342</v>
      </c>
      <c r="O211" s="6038" t="s">
        <v>342</v>
      </c>
      <c r="P211" s="6038"/>
      <c r="Q211" s="6038"/>
      <c r="R211" s="6038" t="s">
        <v>342</v>
      </c>
      <c r="S211" s="6038" t="s">
        <v>342</v>
      </c>
      <c r="T211" s="6038" t="s">
        <v>342</v>
      </c>
      <c r="U211" s="6038" t="s">
        <v>342</v>
      </c>
      <c r="V211" s="6038" t="s">
        <v>342</v>
      </c>
      <c r="W211" s="6038"/>
      <c r="X211" s="6038"/>
      <c r="Y211" s="6038" t="s">
        <v>342</v>
      </c>
      <c r="Z211" s="6038" t="s">
        <v>342</v>
      </c>
      <c r="AA211" s="6038" t="s">
        <v>342</v>
      </c>
      <c r="AB211" s="6038" t="s">
        <v>342</v>
      </c>
      <c r="AC211" s="6038" t="s">
        <v>342</v>
      </c>
      <c r="AD211" s="6038"/>
      <c r="AE211" s="6038"/>
      <c r="AF211" s="6038" t="s">
        <v>342</v>
      </c>
    </row>
    <row r="212" spans="1:32" ht="18" customHeight="1" thickBot="1">
      <c r="A212" s="6055"/>
      <c r="B212" s="6032"/>
      <c r="C212" s="6034"/>
      <c r="D212" s="6034" t="s">
        <v>346</v>
      </c>
      <c r="E212" s="6032" t="s">
        <v>346</v>
      </c>
      <c r="F212" s="6032" t="s">
        <v>346</v>
      </c>
      <c r="G212" s="6032" t="s">
        <v>346</v>
      </c>
      <c r="H212" s="6032" t="s">
        <v>346</v>
      </c>
      <c r="I212" s="6032"/>
      <c r="J212" s="6034"/>
      <c r="K212" s="6034" t="s">
        <v>346</v>
      </c>
      <c r="L212" s="6032" t="s">
        <v>346</v>
      </c>
      <c r="M212" s="6032" t="s">
        <v>346</v>
      </c>
      <c r="N212" s="6032" t="s">
        <v>346</v>
      </c>
      <c r="O212" s="6032" t="s">
        <v>346</v>
      </c>
      <c r="P212" s="6032"/>
      <c r="Q212" s="6034"/>
      <c r="R212" s="6034" t="s">
        <v>346</v>
      </c>
      <c r="S212" s="6032" t="s">
        <v>346</v>
      </c>
      <c r="T212" s="6032" t="s">
        <v>346</v>
      </c>
      <c r="U212" s="6032" t="s">
        <v>346</v>
      </c>
      <c r="V212" s="6032" t="s">
        <v>346</v>
      </c>
      <c r="W212" s="6032"/>
      <c r="X212" s="6034"/>
      <c r="Y212" s="6034" t="s">
        <v>346</v>
      </c>
      <c r="Z212" s="6032" t="s">
        <v>346</v>
      </c>
      <c r="AA212" s="6032" t="s">
        <v>346</v>
      </c>
      <c r="AB212" s="6032" t="s">
        <v>346</v>
      </c>
      <c r="AC212" s="6032" t="s">
        <v>346</v>
      </c>
      <c r="AD212" s="6032"/>
      <c r="AE212" s="6034"/>
      <c r="AF212" s="6034" t="s">
        <v>346</v>
      </c>
    </row>
    <row r="213" spans="1:32" ht="18" customHeight="1" thickBot="1">
      <c r="B213" s="108"/>
      <c r="C213" s="108"/>
      <c r="D213" s="108"/>
      <c r="E213" s="108"/>
      <c r="F213" s="108"/>
      <c r="G213" s="108"/>
      <c r="H213" s="108"/>
      <c r="I213" s="108"/>
      <c r="J213" s="108"/>
      <c r="K213" s="108"/>
      <c r="L213" s="108"/>
      <c r="M213" s="108"/>
      <c r="N213" s="108"/>
      <c r="O213" s="108"/>
      <c r="P213" s="108"/>
      <c r="Q213" s="108"/>
      <c r="R213" s="108"/>
      <c r="S213" s="108"/>
      <c r="T213" s="108"/>
      <c r="U213" s="108"/>
      <c r="V213" s="108"/>
      <c r="W213" s="108"/>
      <c r="X213" s="108"/>
      <c r="Y213" s="108"/>
      <c r="Z213" s="108"/>
      <c r="AA213" s="108"/>
      <c r="AB213" s="108"/>
      <c r="AC213" s="108"/>
      <c r="AD213" s="108"/>
      <c r="AE213" s="108"/>
    </row>
    <row r="214" spans="1:32" ht="15">
      <c r="A214" s="991" t="s">
        <v>614</v>
      </c>
      <c r="B214" s="450">
        <v>1</v>
      </c>
      <c r="C214" s="450">
        <v>2</v>
      </c>
      <c r="D214" s="783">
        <v>3</v>
      </c>
      <c r="E214" s="783">
        <v>4</v>
      </c>
      <c r="F214" s="783">
        <v>5</v>
      </c>
      <c r="G214" s="783">
        <v>6</v>
      </c>
      <c r="H214" s="783">
        <v>7</v>
      </c>
      <c r="I214" s="450">
        <v>8</v>
      </c>
      <c r="J214" s="450">
        <v>9</v>
      </c>
      <c r="K214" s="783">
        <v>10</v>
      </c>
      <c r="L214" s="783">
        <v>11</v>
      </c>
      <c r="M214" s="783">
        <v>12</v>
      </c>
      <c r="N214" s="783">
        <v>13</v>
      </c>
      <c r="O214" s="783">
        <v>14</v>
      </c>
      <c r="P214" s="450">
        <v>15</v>
      </c>
      <c r="Q214" s="450">
        <v>16</v>
      </c>
      <c r="R214" s="783">
        <v>17</v>
      </c>
      <c r="S214" s="783">
        <v>18</v>
      </c>
      <c r="T214" s="783">
        <v>19</v>
      </c>
      <c r="U214" s="783">
        <v>20</v>
      </c>
      <c r="V214" s="783">
        <v>21</v>
      </c>
      <c r="W214" s="450">
        <v>22</v>
      </c>
      <c r="X214" s="450">
        <v>23</v>
      </c>
      <c r="Y214" s="783">
        <v>24</v>
      </c>
      <c r="Z214" s="783">
        <v>25</v>
      </c>
      <c r="AA214" s="783">
        <v>26</v>
      </c>
      <c r="AB214" s="783">
        <v>27</v>
      </c>
      <c r="AC214" s="783">
        <v>28</v>
      </c>
      <c r="AD214" s="450">
        <v>29</v>
      </c>
      <c r="AE214" s="450">
        <v>30</v>
      </c>
      <c r="AF214" s="784">
        <v>31</v>
      </c>
    </row>
    <row r="215" spans="1:32" ht="12.75">
      <c r="A215" s="993" t="s">
        <v>312</v>
      </c>
      <c r="B215" s="994"/>
      <c r="C215" s="994"/>
      <c r="D215" s="994"/>
      <c r="E215" s="995"/>
      <c r="F215" s="995"/>
      <c r="G215" s="995"/>
      <c r="H215" s="994"/>
      <c r="I215" s="994"/>
      <c r="J215" s="994"/>
      <c r="K215" s="995"/>
      <c r="L215" s="995"/>
      <c r="M215" s="995"/>
      <c r="N215" s="995"/>
      <c r="O215" s="995"/>
      <c r="P215" s="995"/>
      <c r="Q215" s="995"/>
      <c r="R215" s="995"/>
      <c r="S215" s="995"/>
      <c r="T215" s="995"/>
      <c r="U215" s="996"/>
      <c r="V215" s="995"/>
      <c r="W215" s="995"/>
      <c r="X215" s="995"/>
      <c r="Y215" s="995"/>
      <c r="Z215" s="995"/>
      <c r="AA215" s="995"/>
      <c r="AB215" s="995"/>
      <c r="AC215" s="995"/>
      <c r="AD215" s="995"/>
      <c r="AE215" s="997"/>
      <c r="AF215" s="998"/>
    </row>
    <row r="216" spans="1:32">
      <c r="A216" s="992" t="s">
        <v>313</v>
      </c>
      <c r="B216" s="343"/>
      <c r="C216" s="343"/>
      <c r="D216" s="343" t="s">
        <v>40</v>
      </c>
      <c r="E216" s="343" t="s">
        <v>40</v>
      </c>
      <c r="F216" s="343" t="s">
        <v>40</v>
      </c>
      <c r="G216" s="343" t="s">
        <v>40</v>
      </c>
      <c r="H216" s="343" t="s">
        <v>40</v>
      </c>
      <c r="I216" s="343"/>
      <c r="J216" s="343"/>
      <c r="K216" s="438" t="s">
        <v>40</v>
      </c>
      <c r="L216" s="343" t="s">
        <v>40</v>
      </c>
      <c r="M216" s="343" t="s">
        <v>40</v>
      </c>
      <c r="N216" s="438" t="s">
        <v>40</v>
      </c>
      <c r="O216" s="438" t="s">
        <v>40</v>
      </c>
      <c r="P216" s="438"/>
      <c r="Q216" s="438"/>
      <c r="R216" s="438" t="s">
        <v>40</v>
      </c>
      <c r="S216" s="438" t="s">
        <v>40</v>
      </c>
      <c r="T216" s="438" t="s">
        <v>40</v>
      </c>
      <c r="U216" s="438" t="s">
        <v>40</v>
      </c>
      <c r="V216" s="438" t="s">
        <v>40</v>
      </c>
      <c r="W216" s="438"/>
      <c r="X216" s="438"/>
      <c r="Y216" s="438" t="s">
        <v>40</v>
      </c>
      <c r="Z216" s="438" t="s">
        <v>40</v>
      </c>
      <c r="AA216" s="438" t="s">
        <v>40</v>
      </c>
      <c r="AB216" s="438" t="s">
        <v>40</v>
      </c>
      <c r="AC216" s="343" t="s">
        <v>40</v>
      </c>
      <c r="AD216" s="438"/>
      <c r="AE216" s="343"/>
      <c r="AF216" s="357" t="s">
        <v>40</v>
      </c>
    </row>
    <row r="217" spans="1:32" ht="12.75">
      <c r="A217" s="999" t="s">
        <v>314</v>
      </c>
      <c r="B217" s="1000"/>
      <c r="C217" s="1000"/>
      <c r="D217" s="1000"/>
      <c r="E217" s="1000"/>
      <c r="F217" s="1000"/>
      <c r="G217" s="1000"/>
      <c r="H217" s="1000"/>
      <c r="I217" s="1000"/>
      <c r="J217" s="1000"/>
      <c r="K217" s="1000"/>
      <c r="L217" s="1000"/>
      <c r="M217" s="1000"/>
      <c r="N217" s="1000"/>
      <c r="O217" s="1000"/>
      <c r="P217" s="1000"/>
      <c r="Q217" s="1000"/>
      <c r="R217" s="1000"/>
      <c r="S217" s="1000"/>
      <c r="T217" s="1000"/>
      <c r="U217" s="1000"/>
      <c r="V217" s="1000"/>
      <c r="W217" s="1000"/>
      <c r="X217" s="1000"/>
      <c r="Y217" s="1000"/>
      <c r="Z217" s="1000"/>
      <c r="AA217" s="1000"/>
      <c r="AB217" s="1000"/>
      <c r="AC217" s="738"/>
      <c r="AD217" s="1000"/>
      <c r="AE217" s="738"/>
      <c r="AF217" s="749"/>
    </row>
    <row r="218" spans="1:32">
      <c r="A218" s="1001" t="s">
        <v>315</v>
      </c>
      <c r="B218" s="343"/>
      <c r="C218" s="343"/>
      <c r="D218" s="343" t="s">
        <v>40</v>
      </c>
      <c r="E218" s="343" t="s">
        <v>40</v>
      </c>
      <c r="F218" s="343" t="s">
        <v>40</v>
      </c>
      <c r="G218" s="343" t="s">
        <v>40</v>
      </c>
      <c r="H218" s="343" t="s">
        <v>40</v>
      </c>
      <c r="I218" s="343"/>
      <c r="J218" s="343"/>
      <c r="K218" s="437" t="s">
        <v>40</v>
      </c>
      <c r="L218" s="343" t="s">
        <v>40</v>
      </c>
      <c r="M218" s="343" t="s">
        <v>40</v>
      </c>
      <c r="N218" s="437" t="s">
        <v>40</v>
      </c>
      <c r="O218" s="437" t="s">
        <v>40</v>
      </c>
      <c r="P218" s="437"/>
      <c r="Q218" s="437"/>
      <c r="R218" s="437" t="s">
        <v>40</v>
      </c>
      <c r="S218" s="437" t="s">
        <v>40</v>
      </c>
      <c r="T218" s="437" t="s">
        <v>40</v>
      </c>
      <c r="U218" s="437" t="s">
        <v>40</v>
      </c>
      <c r="V218" s="437" t="s">
        <v>40</v>
      </c>
      <c r="W218" s="437"/>
      <c r="X218" s="437"/>
      <c r="Y218" s="437" t="s">
        <v>40</v>
      </c>
      <c r="Z218" s="437" t="s">
        <v>40</v>
      </c>
      <c r="AA218" s="437" t="s">
        <v>40</v>
      </c>
      <c r="AB218" s="437" t="s">
        <v>40</v>
      </c>
      <c r="AC218" s="343" t="s">
        <v>40</v>
      </c>
      <c r="AD218" s="437"/>
      <c r="AE218" s="343"/>
      <c r="AF218" s="357" t="s">
        <v>40</v>
      </c>
    </row>
    <row r="219" spans="1:32">
      <c r="A219" s="1001" t="s">
        <v>316</v>
      </c>
      <c r="B219" s="437"/>
      <c r="C219" s="437"/>
      <c r="D219" s="437" t="s">
        <v>40</v>
      </c>
      <c r="E219" s="437" t="s">
        <v>40</v>
      </c>
      <c r="F219" s="437" t="s">
        <v>40</v>
      </c>
      <c r="G219" s="437" t="s">
        <v>40</v>
      </c>
      <c r="H219" s="437" t="s">
        <v>40</v>
      </c>
      <c r="I219" s="437"/>
      <c r="J219" s="437"/>
      <c r="K219" s="438" t="s">
        <v>40</v>
      </c>
      <c r="L219" s="437" t="s">
        <v>40</v>
      </c>
      <c r="M219" s="437" t="s">
        <v>40</v>
      </c>
      <c r="N219" s="438" t="s">
        <v>40</v>
      </c>
      <c r="O219" s="438" t="s">
        <v>40</v>
      </c>
      <c r="P219" s="438"/>
      <c r="Q219" s="438"/>
      <c r="R219" s="438" t="s">
        <v>40</v>
      </c>
      <c r="S219" s="438" t="s">
        <v>40</v>
      </c>
      <c r="T219" s="438" t="s">
        <v>40</v>
      </c>
      <c r="U219" s="438" t="s">
        <v>40</v>
      </c>
      <c r="V219" s="438" t="s">
        <v>40</v>
      </c>
      <c r="W219" s="438"/>
      <c r="X219" s="438"/>
      <c r="Y219" s="438" t="s">
        <v>40</v>
      </c>
      <c r="Z219" s="438" t="s">
        <v>40</v>
      </c>
      <c r="AA219" s="438" t="s">
        <v>40</v>
      </c>
      <c r="AB219" s="438" t="s">
        <v>40</v>
      </c>
      <c r="AC219" s="437" t="s">
        <v>40</v>
      </c>
      <c r="AD219" s="438"/>
      <c r="AE219" s="437"/>
      <c r="AF219" s="1002" t="s">
        <v>40</v>
      </c>
    </row>
    <row r="220" spans="1:32">
      <c r="A220" s="1001" t="s">
        <v>317</v>
      </c>
      <c r="B220" s="343"/>
      <c r="C220" s="343"/>
      <c r="D220" s="343" t="s">
        <v>40</v>
      </c>
      <c r="E220" s="343" t="s">
        <v>40</v>
      </c>
      <c r="F220" s="343" t="s">
        <v>40</v>
      </c>
      <c r="G220" s="343" t="s">
        <v>40</v>
      </c>
      <c r="H220" s="343" t="s">
        <v>40</v>
      </c>
      <c r="I220" s="343"/>
      <c r="J220" s="343"/>
      <c r="K220" s="438" t="s">
        <v>40</v>
      </c>
      <c r="L220" s="343" t="s">
        <v>40</v>
      </c>
      <c r="M220" s="343" t="s">
        <v>40</v>
      </c>
      <c r="N220" s="438" t="s">
        <v>40</v>
      </c>
      <c r="O220" s="438" t="s">
        <v>40</v>
      </c>
      <c r="P220" s="438"/>
      <c r="Q220" s="438"/>
      <c r="R220" s="438" t="s">
        <v>40</v>
      </c>
      <c r="S220" s="438" t="s">
        <v>40</v>
      </c>
      <c r="T220" s="438" t="s">
        <v>40</v>
      </c>
      <c r="U220" s="438" t="s">
        <v>40</v>
      </c>
      <c r="V220" s="438" t="s">
        <v>40</v>
      </c>
      <c r="W220" s="438"/>
      <c r="X220" s="438"/>
      <c r="Y220" s="438" t="s">
        <v>40</v>
      </c>
      <c r="Z220" s="438" t="s">
        <v>40</v>
      </c>
      <c r="AA220" s="438" t="s">
        <v>40</v>
      </c>
      <c r="AB220" s="438" t="s">
        <v>40</v>
      </c>
      <c r="AC220" s="1003" t="s">
        <v>40</v>
      </c>
      <c r="AD220" s="438"/>
      <c r="AE220" s="1003"/>
      <c r="AF220" s="1004" t="s">
        <v>40</v>
      </c>
    </row>
    <row r="221" spans="1:32" ht="12.75">
      <c r="A221" s="999" t="s">
        <v>318</v>
      </c>
      <c r="B221" s="1000"/>
      <c r="C221" s="1000"/>
      <c r="D221" s="1000"/>
      <c r="E221" s="1000"/>
      <c r="F221" s="1000"/>
      <c r="G221" s="1000"/>
      <c r="H221" s="1000"/>
      <c r="I221" s="1000"/>
      <c r="J221" s="1000"/>
      <c r="K221" s="1000"/>
      <c r="L221" s="1000"/>
      <c r="M221" s="1000"/>
      <c r="N221" s="1000"/>
      <c r="O221" s="1000"/>
      <c r="P221" s="1000"/>
      <c r="Q221" s="1000"/>
      <c r="R221" s="1000"/>
      <c r="S221" s="1000"/>
      <c r="T221" s="1000"/>
      <c r="U221" s="1000"/>
      <c r="V221" s="1000"/>
      <c r="W221" s="1000"/>
      <c r="X221" s="1000"/>
      <c r="Y221" s="1000"/>
      <c r="Z221" s="1000"/>
      <c r="AA221" s="1000"/>
      <c r="AB221" s="1000"/>
      <c r="AC221" s="738"/>
      <c r="AD221" s="1000"/>
      <c r="AE221" s="738"/>
      <c r="AF221" s="749"/>
    </row>
    <row r="222" spans="1:32">
      <c r="A222" s="1001" t="s">
        <v>319</v>
      </c>
      <c r="B222" s="343"/>
      <c r="C222" s="343"/>
      <c r="D222" s="343" t="s">
        <v>40</v>
      </c>
      <c r="E222" s="343" t="s">
        <v>40</v>
      </c>
      <c r="F222" s="343" t="s">
        <v>40</v>
      </c>
      <c r="G222" s="343" t="s">
        <v>40</v>
      </c>
      <c r="H222" s="343" t="s">
        <v>40</v>
      </c>
      <c r="I222" s="343"/>
      <c r="J222" s="343"/>
      <c r="K222" s="438" t="s">
        <v>40</v>
      </c>
      <c r="L222" s="343" t="s">
        <v>40</v>
      </c>
      <c r="M222" s="343" t="s">
        <v>40</v>
      </c>
      <c r="N222" s="438" t="s">
        <v>40</v>
      </c>
      <c r="O222" s="438" t="s">
        <v>40</v>
      </c>
      <c r="P222" s="438"/>
      <c r="Q222" s="438"/>
      <c r="R222" s="438" t="s">
        <v>40</v>
      </c>
      <c r="S222" s="438" t="s">
        <v>40</v>
      </c>
      <c r="T222" s="438" t="s">
        <v>40</v>
      </c>
      <c r="U222" s="438" t="s">
        <v>40</v>
      </c>
      <c r="V222" s="438" t="s">
        <v>40</v>
      </c>
      <c r="W222" s="438"/>
      <c r="X222" s="438"/>
      <c r="Y222" s="438" t="s">
        <v>40</v>
      </c>
      <c r="Z222" s="438" t="s">
        <v>40</v>
      </c>
      <c r="AA222" s="438" t="s">
        <v>40</v>
      </c>
      <c r="AB222" s="438" t="s">
        <v>40</v>
      </c>
      <c r="AC222" s="438" t="s">
        <v>40</v>
      </c>
      <c r="AD222" s="438"/>
      <c r="AE222" s="438"/>
      <c r="AF222" s="1005" t="s">
        <v>40</v>
      </c>
    </row>
    <row r="223" spans="1:32">
      <c r="A223" s="1001" t="s">
        <v>320</v>
      </c>
      <c r="B223" s="343"/>
      <c r="C223" s="343"/>
      <c r="D223" s="343" t="s">
        <v>40</v>
      </c>
      <c r="E223" s="343" t="s">
        <v>40</v>
      </c>
      <c r="F223" s="343" t="s">
        <v>40</v>
      </c>
      <c r="G223" s="343" t="s">
        <v>40</v>
      </c>
      <c r="H223" s="343" t="s">
        <v>40</v>
      </c>
      <c r="I223" s="343"/>
      <c r="J223" s="343"/>
      <c r="K223" s="438" t="s">
        <v>40</v>
      </c>
      <c r="L223" s="343" t="s">
        <v>40</v>
      </c>
      <c r="M223" s="343" t="s">
        <v>40</v>
      </c>
      <c r="N223" s="438" t="s">
        <v>40</v>
      </c>
      <c r="O223" s="438" t="s">
        <v>40</v>
      </c>
      <c r="P223" s="438"/>
      <c r="Q223" s="438"/>
      <c r="R223" s="438" t="s">
        <v>40</v>
      </c>
      <c r="S223" s="438" t="s">
        <v>40</v>
      </c>
      <c r="T223" s="438" t="s">
        <v>40</v>
      </c>
      <c r="U223" s="438" t="s">
        <v>40</v>
      </c>
      <c r="V223" s="438" t="s">
        <v>40</v>
      </c>
      <c r="W223" s="438"/>
      <c r="X223" s="438"/>
      <c r="Y223" s="438" t="s">
        <v>40</v>
      </c>
      <c r="Z223" s="438" t="s">
        <v>40</v>
      </c>
      <c r="AA223" s="438" t="s">
        <v>40</v>
      </c>
      <c r="AB223" s="438" t="s">
        <v>40</v>
      </c>
      <c r="AC223" s="439" t="s">
        <v>40</v>
      </c>
      <c r="AD223" s="438"/>
      <c r="AE223" s="439"/>
      <c r="AF223" s="1006" t="s">
        <v>40</v>
      </c>
    </row>
    <row r="224" spans="1:32">
      <c r="A224" s="1001" t="s">
        <v>321</v>
      </c>
      <c r="B224" s="439"/>
      <c r="C224" s="439"/>
      <c r="D224" s="439" t="s">
        <v>40</v>
      </c>
      <c r="E224" s="439" t="s">
        <v>40</v>
      </c>
      <c r="F224" s="439" t="s">
        <v>40</v>
      </c>
      <c r="G224" s="439" t="s">
        <v>40</v>
      </c>
      <c r="H224" s="439" t="s">
        <v>40</v>
      </c>
      <c r="I224" s="439"/>
      <c r="J224" s="439"/>
      <c r="K224" s="438" t="s">
        <v>40</v>
      </c>
      <c r="L224" s="439" t="s">
        <v>40</v>
      </c>
      <c r="M224" s="439" t="s">
        <v>40</v>
      </c>
      <c r="N224" s="438" t="s">
        <v>40</v>
      </c>
      <c r="O224" s="438" t="s">
        <v>40</v>
      </c>
      <c r="P224" s="438"/>
      <c r="Q224" s="438"/>
      <c r="R224" s="438" t="s">
        <v>40</v>
      </c>
      <c r="S224" s="438" t="s">
        <v>40</v>
      </c>
      <c r="T224" s="438" t="s">
        <v>40</v>
      </c>
      <c r="U224" s="438" t="s">
        <v>40</v>
      </c>
      <c r="V224" s="438" t="s">
        <v>40</v>
      </c>
      <c r="W224" s="438"/>
      <c r="X224" s="438"/>
      <c r="Y224" s="438" t="s">
        <v>40</v>
      </c>
      <c r="Z224" s="438" t="s">
        <v>40</v>
      </c>
      <c r="AA224" s="438" t="s">
        <v>40</v>
      </c>
      <c r="AB224" s="438" t="s">
        <v>40</v>
      </c>
      <c r="AC224" s="343" t="s">
        <v>40</v>
      </c>
      <c r="AD224" s="438"/>
      <c r="AE224" s="343"/>
      <c r="AF224" s="357" t="s">
        <v>40</v>
      </c>
    </row>
    <row r="225" spans="1:32">
      <c r="A225" s="1001" t="s">
        <v>322</v>
      </c>
      <c r="B225" s="343"/>
      <c r="C225" s="343"/>
      <c r="D225" s="343" t="s">
        <v>40</v>
      </c>
      <c r="E225" s="343" t="s">
        <v>40</v>
      </c>
      <c r="F225" s="343" t="s">
        <v>40</v>
      </c>
      <c r="G225" s="343" t="s">
        <v>40</v>
      </c>
      <c r="H225" s="343" t="s">
        <v>40</v>
      </c>
      <c r="I225" s="343"/>
      <c r="J225" s="343"/>
      <c r="K225" s="438" t="s">
        <v>40</v>
      </c>
      <c r="L225" s="343" t="s">
        <v>40</v>
      </c>
      <c r="M225" s="343" t="s">
        <v>40</v>
      </c>
      <c r="N225" s="438" t="s">
        <v>40</v>
      </c>
      <c r="O225" s="438" t="s">
        <v>40</v>
      </c>
      <c r="P225" s="438"/>
      <c r="Q225" s="438"/>
      <c r="R225" s="438" t="s">
        <v>40</v>
      </c>
      <c r="S225" s="438" t="s">
        <v>40</v>
      </c>
      <c r="T225" s="438" t="s">
        <v>40</v>
      </c>
      <c r="U225" s="438" t="s">
        <v>40</v>
      </c>
      <c r="V225" s="438" t="s">
        <v>40</v>
      </c>
      <c r="W225" s="438"/>
      <c r="X225" s="438"/>
      <c r="Y225" s="438" t="s">
        <v>40</v>
      </c>
      <c r="Z225" s="438" t="s">
        <v>40</v>
      </c>
      <c r="AA225" s="438" t="s">
        <v>40</v>
      </c>
      <c r="AB225" s="438" t="s">
        <v>40</v>
      </c>
      <c r="AC225" s="437" t="s">
        <v>40</v>
      </c>
      <c r="AD225" s="438"/>
      <c r="AE225" s="437"/>
      <c r="AF225" s="1002" t="s">
        <v>40</v>
      </c>
    </row>
    <row r="226" spans="1:32">
      <c r="A226" s="1001" t="s">
        <v>323</v>
      </c>
      <c r="B226" s="343"/>
      <c r="C226" s="343"/>
      <c r="D226" s="343" t="s">
        <v>40</v>
      </c>
      <c r="E226" s="343" t="s">
        <v>40</v>
      </c>
      <c r="F226" s="343" t="s">
        <v>40</v>
      </c>
      <c r="G226" s="343" t="s">
        <v>40</v>
      </c>
      <c r="H226" s="343" t="s">
        <v>40</v>
      </c>
      <c r="I226" s="343"/>
      <c r="J226" s="343"/>
      <c r="K226" s="438" t="s">
        <v>40</v>
      </c>
      <c r="L226" s="343" t="s">
        <v>40</v>
      </c>
      <c r="M226" s="343" t="s">
        <v>40</v>
      </c>
      <c r="N226" s="438" t="s">
        <v>40</v>
      </c>
      <c r="O226" s="438" t="s">
        <v>40</v>
      </c>
      <c r="P226" s="438"/>
      <c r="Q226" s="438"/>
      <c r="R226" s="438" t="s">
        <v>40</v>
      </c>
      <c r="S226" s="438" t="s">
        <v>40</v>
      </c>
      <c r="T226" s="438" t="s">
        <v>40</v>
      </c>
      <c r="U226" s="438" t="s">
        <v>40</v>
      </c>
      <c r="V226" s="438" t="s">
        <v>40</v>
      </c>
      <c r="W226" s="438"/>
      <c r="X226" s="438"/>
      <c r="Y226" s="438" t="s">
        <v>40</v>
      </c>
      <c r="Z226" s="438" t="s">
        <v>40</v>
      </c>
      <c r="AA226" s="438" t="s">
        <v>40</v>
      </c>
      <c r="AB226" s="438" t="s">
        <v>40</v>
      </c>
      <c r="AC226" s="438" t="s">
        <v>40</v>
      </c>
      <c r="AD226" s="438"/>
      <c r="AE226" s="438"/>
      <c r="AF226" s="1005" t="s">
        <v>40</v>
      </c>
    </row>
    <row r="227" spans="1:32">
      <c r="A227" s="1001" t="s">
        <v>324</v>
      </c>
      <c r="B227" s="343"/>
      <c r="C227" s="343"/>
      <c r="D227" s="343" t="s">
        <v>40</v>
      </c>
      <c r="E227" s="343" t="s">
        <v>40</v>
      </c>
      <c r="F227" s="343" t="s">
        <v>40</v>
      </c>
      <c r="G227" s="343" t="s">
        <v>40</v>
      </c>
      <c r="H227" s="343" t="s">
        <v>40</v>
      </c>
      <c r="I227" s="343"/>
      <c r="J227" s="343"/>
      <c r="K227" s="438" t="s">
        <v>40</v>
      </c>
      <c r="L227" s="343" t="s">
        <v>40</v>
      </c>
      <c r="M227" s="343" t="s">
        <v>40</v>
      </c>
      <c r="N227" s="438" t="s">
        <v>40</v>
      </c>
      <c r="O227" s="438" t="s">
        <v>40</v>
      </c>
      <c r="P227" s="438"/>
      <c r="Q227" s="438"/>
      <c r="R227" s="438" t="s">
        <v>40</v>
      </c>
      <c r="S227" s="438" t="s">
        <v>40</v>
      </c>
      <c r="T227" s="438" t="s">
        <v>40</v>
      </c>
      <c r="U227" s="438" t="s">
        <v>40</v>
      </c>
      <c r="V227" s="438" t="s">
        <v>40</v>
      </c>
      <c r="W227" s="438"/>
      <c r="X227" s="438"/>
      <c r="Y227" s="438" t="s">
        <v>40</v>
      </c>
      <c r="Z227" s="438" t="s">
        <v>40</v>
      </c>
      <c r="AA227" s="438" t="s">
        <v>40</v>
      </c>
      <c r="AB227" s="438" t="s">
        <v>40</v>
      </c>
      <c r="AC227" s="438" t="s">
        <v>40</v>
      </c>
      <c r="AD227" s="438"/>
      <c r="AE227" s="438"/>
      <c r="AF227" s="1005" t="s">
        <v>40</v>
      </c>
    </row>
    <row r="228" spans="1:32">
      <c r="A228" s="1001" t="s">
        <v>326</v>
      </c>
      <c r="B228" s="343"/>
      <c r="C228" s="343"/>
      <c r="D228" s="343" t="s">
        <v>40</v>
      </c>
      <c r="E228" s="343" t="s">
        <v>40</v>
      </c>
      <c r="F228" s="343" t="s">
        <v>40</v>
      </c>
      <c r="G228" s="343" t="s">
        <v>40</v>
      </c>
      <c r="H228" s="343" t="s">
        <v>40</v>
      </c>
      <c r="I228" s="343"/>
      <c r="J228" s="343"/>
      <c r="K228" s="321" t="s">
        <v>40</v>
      </c>
      <c r="L228" s="343" t="s">
        <v>40</v>
      </c>
      <c r="M228" s="343" t="s">
        <v>40</v>
      </c>
      <c r="N228" s="321" t="s">
        <v>40</v>
      </c>
      <c r="O228" s="321" t="s">
        <v>40</v>
      </c>
      <c r="P228" s="321"/>
      <c r="Q228" s="321"/>
      <c r="R228" s="321" t="s">
        <v>40</v>
      </c>
      <c r="S228" s="321" t="s">
        <v>40</v>
      </c>
      <c r="T228" s="321" t="s">
        <v>40</v>
      </c>
      <c r="U228" s="321" t="s">
        <v>40</v>
      </c>
      <c r="V228" s="321" t="s">
        <v>40</v>
      </c>
      <c r="W228" s="321"/>
      <c r="X228" s="321"/>
      <c r="Y228" s="321" t="s">
        <v>40</v>
      </c>
      <c r="Z228" s="321" t="s">
        <v>40</v>
      </c>
      <c r="AA228" s="321" t="s">
        <v>40</v>
      </c>
      <c r="AB228" s="321" t="s">
        <v>40</v>
      </c>
      <c r="AC228" s="1003" t="s">
        <v>40</v>
      </c>
      <c r="AD228" s="321"/>
      <c r="AE228" s="1003"/>
      <c r="AF228" s="1004" t="s">
        <v>40</v>
      </c>
    </row>
    <row r="229" spans="1:32" ht="12.75">
      <c r="A229" s="999" t="s">
        <v>327</v>
      </c>
      <c r="B229" s="1000"/>
      <c r="C229" s="1000"/>
      <c r="D229" s="1000"/>
      <c r="E229" s="1000"/>
      <c r="F229" s="1000"/>
      <c r="G229" s="1000"/>
      <c r="H229" s="1000"/>
      <c r="I229" s="1000"/>
      <c r="J229" s="1000"/>
      <c r="K229" s="1000"/>
      <c r="L229" s="1000"/>
      <c r="M229" s="1000"/>
      <c r="N229" s="1000"/>
      <c r="O229" s="1000"/>
      <c r="P229" s="1000"/>
      <c r="Q229" s="1000"/>
      <c r="R229" s="1000"/>
      <c r="S229" s="1000"/>
      <c r="T229" s="1000"/>
      <c r="U229" s="1000"/>
      <c r="V229" s="1000"/>
      <c r="W229" s="1000"/>
      <c r="X229" s="1000"/>
      <c r="Y229" s="1000"/>
      <c r="Z229" s="1000"/>
      <c r="AA229" s="1000"/>
      <c r="AB229" s="1000"/>
      <c r="AC229" s="738"/>
      <c r="AD229" s="1000"/>
      <c r="AE229" s="738"/>
      <c r="AF229" s="749"/>
    </row>
    <row r="230" spans="1:32">
      <c r="A230" s="1001" t="s">
        <v>328</v>
      </c>
      <c r="B230" s="343"/>
      <c r="C230" s="343"/>
      <c r="D230" s="343" t="s">
        <v>40</v>
      </c>
      <c r="E230" s="343" t="s">
        <v>40</v>
      </c>
      <c r="F230" s="343" t="s">
        <v>40</v>
      </c>
      <c r="G230" s="343" t="s">
        <v>40</v>
      </c>
      <c r="H230" s="343" t="s">
        <v>40</v>
      </c>
      <c r="I230" s="343"/>
      <c r="J230" s="343"/>
      <c r="K230" s="438" t="s">
        <v>40</v>
      </c>
      <c r="L230" s="343" t="s">
        <v>40</v>
      </c>
      <c r="M230" s="343" t="s">
        <v>40</v>
      </c>
      <c r="N230" s="438" t="s">
        <v>40</v>
      </c>
      <c r="O230" s="438" t="s">
        <v>40</v>
      </c>
      <c r="P230" s="438"/>
      <c r="Q230" s="438"/>
      <c r="R230" s="438" t="s">
        <v>40</v>
      </c>
      <c r="S230" s="438" t="s">
        <v>40</v>
      </c>
      <c r="T230" s="438" t="s">
        <v>40</v>
      </c>
      <c r="U230" s="438" t="s">
        <v>40</v>
      </c>
      <c r="V230" s="438" t="s">
        <v>40</v>
      </c>
      <c r="W230" s="438"/>
      <c r="X230" s="438"/>
      <c r="Y230" s="438" t="s">
        <v>40</v>
      </c>
      <c r="Z230" s="438" t="s">
        <v>40</v>
      </c>
      <c r="AA230" s="438" t="s">
        <v>40</v>
      </c>
      <c r="AB230" s="438" t="s">
        <v>40</v>
      </c>
      <c r="AC230" s="437" t="s">
        <v>40</v>
      </c>
      <c r="AD230" s="438"/>
      <c r="AE230" s="437"/>
      <c r="AF230" s="1002" t="s">
        <v>40</v>
      </c>
    </row>
    <row r="231" spans="1:32">
      <c r="A231" s="1001" t="s">
        <v>329</v>
      </c>
      <c r="B231" s="343"/>
      <c r="C231" s="343"/>
      <c r="D231" s="343" t="s">
        <v>40</v>
      </c>
      <c r="E231" s="343" t="s">
        <v>40</v>
      </c>
      <c r="F231" s="343" t="s">
        <v>40</v>
      </c>
      <c r="G231" s="343" t="s">
        <v>40</v>
      </c>
      <c r="H231" s="343" t="s">
        <v>40</v>
      </c>
      <c r="I231" s="343"/>
      <c r="J231" s="343"/>
      <c r="K231" s="438" t="s">
        <v>40</v>
      </c>
      <c r="L231" s="343" t="s">
        <v>40</v>
      </c>
      <c r="M231" s="343" t="s">
        <v>40</v>
      </c>
      <c r="N231" s="438" t="s">
        <v>40</v>
      </c>
      <c r="O231" s="438" t="s">
        <v>40</v>
      </c>
      <c r="P231" s="438"/>
      <c r="Q231" s="438"/>
      <c r="R231" s="438" t="s">
        <v>40</v>
      </c>
      <c r="S231" s="438" t="s">
        <v>40</v>
      </c>
      <c r="T231" s="438" t="s">
        <v>40</v>
      </c>
      <c r="U231" s="438" t="s">
        <v>40</v>
      </c>
      <c r="V231" s="438" t="s">
        <v>40</v>
      </c>
      <c r="W231" s="438"/>
      <c r="X231" s="438"/>
      <c r="Y231" s="438" t="s">
        <v>40</v>
      </c>
      <c r="Z231" s="438" t="s">
        <v>40</v>
      </c>
      <c r="AA231" s="438" t="s">
        <v>40</v>
      </c>
      <c r="AB231" s="438" t="s">
        <v>40</v>
      </c>
      <c r="AC231" s="437" t="s">
        <v>40</v>
      </c>
      <c r="AD231" s="438"/>
      <c r="AE231" s="437"/>
      <c r="AF231" s="1002" t="s">
        <v>40</v>
      </c>
    </row>
  </sheetData>
  <sheetProtection algorithmName="SHA-512" hashValue="yoYaBRA4NTC6Mn07EPvOGQ+wrS1qNy+3Ajy28rJ9FCPt6YIFdRuMV8bZjLxGdeHHR0lFaH7+OnbLT1sz9PtgEw==" saltValue="d26LorYllLVK3OtuSIQnBQ==" spinCount="100000" sheet="1" objects="1" scenarios="1"/>
  <mergeCells count="6">
    <mergeCell ref="AC2:AE2"/>
    <mergeCell ref="E2:F2"/>
    <mergeCell ref="G2:I2"/>
    <mergeCell ref="R2:T2"/>
    <mergeCell ref="U2:V2"/>
    <mergeCell ref="W2:X2"/>
  </mergeCells>
  <pageMargins left="0.7" right="0.7" top="0.75" bottom="0.75" header="0.3" footer="0.3"/>
  <pageSetup paperSize="9" scale="10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8832A-6694-4D08-ABF0-4AABE37AEDBC}">
  <sheetPr codeName="Ark44">
    <pageSetUpPr fitToPage="1"/>
  </sheetPr>
  <dimension ref="A1:AE234"/>
  <sheetViews>
    <sheetView workbookViewId="0">
      <pane ySplit="1" topLeftCell="A56" activePane="bottomLeft" state="frozen"/>
      <selection pane="bottomLeft" activeCell="R68" sqref="R68"/>
    </sheetView>
  </sheetViews>
  <sheetFormatPr defaultRowHeight="12"/>
  <cols>
    <col min="1" max="1" width="31.28515625" customWidth="1"/>
    <col min="2" max="31" width="4.5703125" customWidth="1"/>
  </cols>
  <sheetData>
    <row r="1" spans="1:31" ht="15">
      <c r="A1" s="854" t="s">
        <v>702</v>
      </c>
      <c r="B1" s="2985">
        <v>1</v>
      </c>
      <c r="C1" s="2985">
        <v>2</v>
      </c>
      <c r="D1" s="2985">
        <v>3</v>
      </c>
      <c r="E1" s="2985">
        <v>4</v>
      </c>
      <c r="F1" s="2986">
        <v>5</v>
      </c>
      <c r="G1" s="2986">
        <v>6</v>
      </c>
      <c r="H1" s="2985">
        <v>7</v>
      </c>
      <c r="I1" s="2985">
        <v>8</v>
      </c>
      <c r="J1" s="2985">
        <v>9</v>
      </c>
      <c r="K1" s="2985">
        <v>10</v>
      </c>
      <c r="L1" s="2985">
        <v>11</v>
      </c>
      <c r="M1" s="2986">
        <v>12</v>
      </c>
      <c r="N1" s="2986">
        <v>13</v>
      </c>
      <c r="O1" s="2985">
        <v>14</v>
      </c>
      <c r="P1" s="2985">
        <v>15</v>
      </c>
      <c r="Q1" s="2985">
        <v>16</v>
      </c>
      <c r="R1" s="2985">
        <v>17</v>
      </c>
      <c r="S1" s="2985">
        <v>18</v>
      </c>
      <c r="T1" s="2986">
        <v>19</v>
      </c>
      <c r="U1" s="2986">
        <v>20</v>
      </c>
      <c r="V1" s="2985">
        <v>21</v>
      </c>
      <c r="W1" s="2985">
        <v>22</v>
      </c>
      <c r="X1" s="2985">
        <v>23</v>
      </c>
      <c r="Y1" s="2985">
        <v>24</v>
      </c>
      <c r="Z1" s="2985">
        <v>25</v>
      </c>
      <c r="AA1" s="2986">
        <v>26</v>
      </c>
      <c r="AB1" s="2986">
        <v>27</v>
      </c>
      <c r="AC1" s="2985">
        <v>28</v>
      </c>
      <c r="AD1" s="2985">
        <v>29</v>
      </c>
      <c r="AE1" s="2985">
        <v>30</v>
      </c>
    </row>
    <row r="2" spans="1:31" ht="18" customHeight="1">
      <c r="A2" s="1" t="s">
        <v>1</v>
      </c>
      <c r="B2" s="919" t="s">
        <v>2</v>
      </c>
      <c r="C2" s="966"/>
      <c r="D2" s="967"/>
      <c r="E2" s="5115" t="s">
        <v>3</v>
      </c>
      <c r="F2" s="5116"/>
      <c r="G2" s="1672" t="s">
        <v>579</v>
      </c>
      <c r="H2" s="1672"/>
      <c r="I2" s="1672"/>
      <c r="J2" s="968" t="s">
        <v>5</v>
      </c>
      <c r="K2" s="969" t="s">
        <v>580</v>
      </c>
      <c r="L2" s="970"/>
      <c r="M2" s="971"/>
      <c r="N2" s="972" t="s">
        <v>7</v>
      </c>
      <c r="O2" s="973"/>
      <c r="P2" s="974" t="s">
        <v>8</v>
      </c>
      <c r="Q2" s="975"/>
      <c r="R2" s="5118" t="s">
        <v>9</v>
      </c>
      <c r="S2" s="5118"/>
      <c r="T2" s="5118"/>
      <c r="U2" s="5119" t="s">
        <v>11</v>
      </c>
      <c r="V2" s="5119"/>
      <c r="W2" s="5120" t="s">
        <v>12</v>
      </c>
      <c r="X2" s="5120"/>
      <c r="Y2" s="976" t="s">
        <v>581</v>
      </c>
      <c r="Z2" s="977"/>
      <c r="AA2" s="978" t="s">
        <v>15</v>
      </c>
      <c r="AB2" s="979"/>
      <c r="AC2" s="6128" t="s">
        <v>582</v>
      </c>
      <c r="AD2" s="6128"/>
      <c r="AE2" s="6128"/>
    </row>
    <row r="3" spans="1:31" ht="18" customHeight="1">
      <c r="A3" s="22"/>
      <c r="B3" s="4"/>
      <c r="G3" s="4"/>
      <c r="J3" s="46"/>
      <c r="L3" s="46"/>
      <c r="M3" s="46"/>
      <c r="S3" s="46"/>
      <c r="T3" s="4"/>
      <c r="X3" s="4"/>
    </row>
    <row r="4" spans="1:31" ht="18" customHeight="1">
      <c r="A4" s="96" t="s">
        <v>18</v>
      </c>
      <c r="B4" s="6129"/>
      <c r="C4" s="6130" t="s">
        <v>19</v>
      </c>
      <c r="D4" s="6129"/>
      <c r="E4" s="6129"/>
      <c r="F4" s="6130" t="s">
        <v>20</v>
      </c>
      <c r="G4" s="6129"/>
      <c r="H4" s="6129"/>
      <c r="I4" s="6130" t="s">
        <v>21</v>
      </c>
      <c r="J4" s="6129"/>
      <c r="K4" s="6129"/>
      <c r="L4" s="6130" t="s">
        <v>22</v>
      </c>
      <c r="M4" s="6129"/>
      <c r="N4" s="6129"/>
      <c r="O4" s="6130" t="s">
        <v>23</v>
      </c>
      <c r="P4" s="6129"/>
      <c r="Q4" s="6129"/>
      <c r="R4" s="6130" t="s">
        <v>24</v>
      </c>
      <c r="S4" s="6131"/>
      <c r="T4" s="6131"/>
      <c r="U4" s="6132" t="s">
        <v>25</v>
      </c>
      <c r="V4" s="6131"/>
    </row>
    <row r="5" spans="1:31" ht="18" customHeight="1">
      <c r="A5" s="5753" t="s">
        <v>26</v>
      </c>
      <c r="B5" s="5754" t="s">
        <v>27</v>
      </c>
      <c r="C5" s="5755"/>
      <c r="D5" s="5756"/>
      <c r="E5" s="5754" t="s">
        <v>27</v>
      </c>
      <c r="F5" s="5757"/>
      <c r="G5" s="5757"/>
      <c r="H5" s="5754" t="s">
        <v>27</v>
      </c>
      <c r="I5" s="5757"/>
      <c r="J5" s="5756"/>
      <c r="K5" s="5754" t="s">
        <v>27</v>
      </c>
      <c r="L5" s="5757"/>
      <c r="M5" s="5756"/>
      <c r="N5" s="5754" t="s">
        <v>28</v>
      </c>
      <c r="O5" s="5757"/>
      <c r="P5" s="5756"/>
      <c r="Q5" s="5757"/>
      <c r="R5" s="5757"/>
      <c r="S5" s="5757"/>
      <c r="T5" s="5753"/>
      <c r="U5" s="5757"/>
      <c r="V5" s="5756"/>
      <c r="W5" s="5757"/>
      <c r="X5" s="5757"/>
      <c r="Y5" s="5757"/>
      <c r="Z5" s="5757"/>
      <c r="AA5" s="5758"/>
      <c r="AB5" s="5756"/>
    </row>
    <row r="6" spans="1:31" ht="18" customHeight="1">
      <c r="A6" s="5753" t="s">
        <v>29</v>
      </c>
      <c r="B6" s="5759" t="s">
        <v>30</v>
      </c>
      <c r="C6" s="5760"/>
      <c r="D6" s="5761"/>
      <c r="E6" s="5759" t="s">
        <v>30</v>
      </c>
      <c r="F6" s="5760"/>
      <c r="G6" s="5760"/>
      <c r="H6" s="5759" t="s">
        <v>30</v>
      </c>
      <c r="I6" s="5760"/>
      <c r="J6" s="5761"/>
      <c r="K6" s="5759" t="s">
        <v>30</v>
      </c>
      <c r="L6" s="5760"/>
      <c r="M6" s="5760"/>
      <c r="N6" s="5759" t="s">
        <v>30</v>
      </c>
      <c r="O6" s="5760"/>
      <c r="P6" s="5761"/>
      <c r="Q6" s="5941" t="s">
        <v>31</v>
      </c>
      <c r="R6" s="5942"/>
      <c r="S6" s="5942"/>
      <c r="T6" s="6006" t="s">
        <v>31</v>
      </c>
      <c r="U6" s="5942"/>
      <c r="V6" s="5943"/>
      <c r="W6" s="5757"/>
      <c r="X6" s="5757"/>
      <c r="Y6" s="5757"/>
      <c r="Z6" s="5757"/>
      <c r="AA6" s="5764"/>
      <c r="AB6" s="5756"/>
    </row>
    <row r="7" spans="1:31" ht="18" customHeight="1">
      <c r="A7" s="5753" t="s">
        <v>32</v>
      </c>
      <c r="B7" s="5754" t="s">
        <v>33</v>
      </c>
      <c r="C7" s="5760"/>
      <c r="D7" s="5761"/>
      <c r="E7" s="5754" t="s">
        <v>33</v>
      </c>
      <c r="F7" s="5757"/>
      <c r="G7" s="5757"/>
      <c r="H7" s="5754" t="s">
        <v>33</v>
      </c>
      <c r="I7" s="5757"/>
      <c r="J7" s="5756"/>
      <c r="K7" s="5754" t="s">
        <v>33</v>
      </c>
      <c r="L7" s="5757"/>
      <c r="M7" s="5756"/>
      <c r="N7" s="5754" t="s">
        <v>33</v>
      </c>
      <c r="O7" s="5757"/>
      <c r="P7" s="5756"/>
      <c r="Q7" s="5765" t="s">
        <v>34</v>
      </c>
      <c r="R7" s="5757"/>
      <c r="S7" s="5757"/>
      <c r="T7" s="5754" t="s">
        <v>35</v>
      </c>
      <c r="U7" s="5757"/>
      <c r="V7" s="5756"/>
      <c r="W7" s="5757"/>
      <c r="X7" s="5757"/>
      <c r="Y7" s="5757"/>
      <c r="Z7" s="5757"/>
      <c r="AA7" s="5764"/>
      <c r="AB7" s="5756"/>
    </row>
    <row r="8" spans="1:31" ht="18" customHeight="1"/>
    <row r="9" spans="1:31" ht="18" customHeight="1" thickBot="1">
      <c r="A9" s="60" t="s">
        <v>36</v>
      </c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</row>
    <row r="10" spans="1:31" ht="18" customHeight="1" thickBot="1">
      <c r="A10" s="869" t="s">
        <v>617</v>
      </c>
      <c r="B10" s="2985">
        <v>1</v>
      </c>
      <c r="C10" s="2985">
        <v>2</v>
      </c>
      <c r="D10" s="2985">
        <v>3</v>
      </c>
      <c r="E10" s="2985">
        <v>4</v>
      </c>
      <c r="F10" s="2986">
        <v>5</v>
      </c>
      <c r="G10" s="2986">
        <v>6</v>
      </c>
      <c r="H10" s="2985">
        <v>7</v>
      </c>
      <c r="I10" s="2985">
        <v>8</v>
      </c>
      <c r="J10" s="2985">
        <v>9</v>
      </c>
      <c r="K10" s="2985">
        <v>10</v>
      </c>
      <c r="L10" s="2985">
        <v>11</v>
      </c>
      <c r="M10" s="2986">
        <v>12</v>
      </c>
      <c r="N10" s="2986">
        <v>13</v>
      </c>
      <c r="O10" s="2985">
        <v>14</v>
      </c>
      <c r="P10" s="2985">
        <v>15</v>
      </c>
      <c r="Q10" s="2985">
        <v>16</v>
      </c>
      <c r="R10" s="2985">
        <v>17</v>
      </c>
      <c r="S10" s="2985">
        <v>18</v>
      </c>
      <c r="T10" s="2986">
        <v>19</v>
      </c>
      <c r="U10" s="2986">
        <v>20</v>
      </c>
      <c r="V10" s="2985">
        <v>21</v>
      </c>
      <c r="W10" s="2985">
        <v>22</v>
      </c>
      <c r="X10" s="2985">
        <v>23</v>
      </c>
      <c r="Y10" s="2985">
        <v>24</v>
      </c>
      <c r="Z10" s="2985">
        <v>25</v>
      </c>
      <c r="AA10" s="2986">
        <v>26</v>
      </c>
      <c r="AB10" s="2986">
        <v>27</v>
      </c>
      <c r="AC10" s="2985">
        <v>28</v>
      </c>
      <c r="AD10" s="2985">
        <v>29</v>
      </c>
      <c r="AE10" s="2985">
        <v>30</v>
      </c>
    </row>
    <row r="11" spans="1:31" ht="18" customHeight="1">
      <c r="A11" s="6133" t="s">
        <v>39</v>
      </c>
      <c r="B11" s="6135" t="s">
        <v>40</v>
      </c>
      <c r="C11" s="6135" t="s">
        <v>40</v>
      </c>
      <c r="D11" s="6135" t="s">
        <v>40</v>
      </c>
      <c r="E11" s="6135" t="s">
        <v>40</v>
      </c>
      <c r="F11" s="6135"/>
      <c r="G11" s="6135"/>
      <c r="H11" s="6135" t="s">
        <v>40</v>
      </c>
      <c r="I11" s="6135" t="s">
        <v>40</v>
      </c>
      <c r="J11" s="6135" t="s">
        <v>40</v>
      </c>
      <c r="K11" s="6135" t="s">
        <v>40</v>
      </c>
      <c r="L11" s="6135" t="s">
        <v>40</v>
      </c>
      <c r="M11" s="6135"/>
      <c r="N11" s="6135"/>
      <c r="O11" s="6135" t="s">
        <v>40</v>
      </c>
      <c r="P11" s="6135" t="s">
        <v>40</v>
      </c>
      <c r="Q11" s="6135" t="s">
        <v>40</v>
      </c>
      <c r="R11" s="6135" t="s">
        <v>40</v>
      </c>
      <c r="S11" s="6135" t="s">
        <v>40</v>
      </c>
      <c r="T11" s="6135"/>
      <c r="U11" s="6135"/>
      <c r="V11" s="6135" t="s">
        <v>40</v>
      </c>
      <c r="W11" s="6135" t="s">
        <v>40</v>
      </c>
      <c r="X11" s="6135" t="s">
        <v>40</v>
      </c>
      <c r="Y11" s="6135" t="s">
        <v>40</v>
      </c>
      <c r="Z11" s="6135" t="s">
        <v>40</v>
      </c>
      <c r="AA11" s="6135"/>
      <c r="AB11" s="6135"/>
      <c r="AC11" s="6135" t="s">
        <v>40</v>
      </c>
      <c r="AD11" s="6135" t="s">
        <v>40</v>
      </c>
      <c r="AE11" s="6135" t="s">
        <v>40</v>
      </c>
    </row>
    <row r="12" spans="1:31" ht="18" customHeight="1">
      <c r="A12" s="6124" t="s">
        <v>41</v>
      </c>
      <c r="B12" s="6040" t="s">
        <v>40</v>
      </c>
      <c r="C12" s="6040" t="s">
        <v>40</v>
      </c>
      <c r="D12" s="6040" t="s">
        <v>40</v>
      </c>
      <c r="E12" s="6050" t="s">
        <v>40</v>
      </c>
      <c r="F12" s="6043"/>
      <c r="G12" s="6040"/>
      <c r="H12" s="6040" t="s">
        <v>40</v>
      </c>
      <c r="I12" s="6040" t="s">
        <v>40</v>
      </c>
      <c r="J12" s="6040" t="s">
        <v>40</v>
      </c>
      <c r="K12" s="6040" t="s">
        <v>40</v>
      </c>
      <c r="L12" s="6050" t="s">
        <v>40</v>
      </c>
      <c r="M12" s="6043"/>
      <c r="N12" s="6040"/>
      <c r="O12" s="6040" t="s">
        <v>40</v>
      </c>
      <c r="P12" s="6040" t="s">
        <v>40</v>
      </c>
      <c r="Q12" s="6040" t="s">
        <v>40</v>
      </c>
      <c r="R12" s="6040" t="s">
        <v>40</v>
      </c>
      <c r="S12" s="6050" t="s">
        <v>40</v>
      </c>
      <c r="T12" s="6043"/>
      <c r="U12" s="6040"/>
      <c r="V12" s="6040" t="s">
        <v>40</v>
      </c>
      <c r="W12" s="6040" t="s">
        <v>40</v>
      </c>
      <c r="X12" s="6040" t="s">
        <v>40</v>
      </c>
      <c r="Y12" s="6040" t="s">
        <v>40</v>
      </c>
      <c r="Z12" s="6050" t="s">
        <v>40</v>
      </c>
      <c r="AA12" s="6043"/>
      <c r="AB12" s="6040"/>
      <c r="AC12" s="6040" t="s">
        <v>40</v>
      </c>
      <c r="AD12" s="6040" t="s">
        <v>40</v>
      </c>
      <c r="AE12" s="6040" t="s">
        <v>40</v>
      </c>
    </row>
    <row r="13" spans="1:31" ht="18" customHeight="1" thickBot="1">
      <c r="A13" s="6213" t="s">
        <v>472</v>
      </c>
      <c r="B13" s="6214" t="s">
        <v>40</v>
      </c>
      <c r="C13" s="6214" t="s">
        <v>40</v>
      </c>
      <c r="D13" s="6214" t="s">
        <v>40</v>
      </c>
      <c r="E13" s="6215" t="s">
        <v>40</v>
      </c>
      <c r="F13" s="6216"/>
      <c r="G13" s="6214"/>
      <c r="H13" s="6214" t="s">
        <v>40</v>
      </c>
      <c r="I13" s="6214" t="s">
        <v>40</v>
      </c>
      <c r="J13" s="6214" t="s">
        <v>40</v>
      </c>
      <c r="K13" s="6214" t="s">
        <v>40</v>
      </c>
      <c r="L13" s="6215" t="s">
        <v>40</v>
      </c>
      <c r="M13" s="6216"/>
      <c r="N13" s="6214"/>
      <c r="O13" s="6214" t="s">
        <v>40</v>
      </c>
      <c r="P13" s="6214" t="s">
        <v>40</v>
      </c>
      <c r="Q13" s="6214" t="s">
        <v>40</v>
      </c>
      <c r="R13" s="6214" t="s">
        <v>40</v>
      </c>
      <c r="S13" s="6215" t="s">
        <v>40</v>
      </c>
      <c r="T13" s="6216"/>
      <c r="U13" s="6214"/>
      <c r="V13" s="6214" t="s">
        <v>40</v>
      </c>
      <c r="W13" s="6214" t="s">
        <v>40</v>
      </c>
      <c r="X13" s="6214" t="s">
        <v>40</v>
      </c>
      <c r="Y13" s="6214" t="s">
        <v>40</v>
      </c>
      <c r="Z13" s="6215" t="s">
        <v>40</v>
      </c>
      <c r="AA13" s="6216"/>
      <c r="AB13" s="6214"/>
      <c r="AC13" s="6214" t="s">
        <v>40</v>
      </c>
      <c r="AD13" s="6214" t="s">
        <v>40</v>
      </c>
      <c r="AE13" s="6214" t="s">
        <v>40</v>
      </c>
    </row>
    <row r="14" spans="1:31" ht="18" customHeight="1">
      <c r="A14" s="561" t="s">
        <v>44</v>
      </c>
      <c r="B14" s="506"/>
      <c r="C14" s="506"/>
      <c r="D14" s="506"/>
      <c r="E14" s="506"/>
      <c r="F14" s="506"/>
      <c r="G14" s="506"/>
      <c r="H14" s="506"/>
      <c r="I14" s="506"/>
      <c r="J14" s="506"/>
      <c r="K14" s="506"/>
      <c r="L14" s="506"/>
      <c r="M14" s="506"/>
      <c r="N14" s="506"/>
      <c r="O14" s="506"/>
      <c r="P14" s="506"/>
      <c r="Q14" s="506"/>
      <c r="R14" s="506"/>
      <c r="S14" s="506"/>
      <c r="T14" s="506"/>
      <c r="U14" s="506"/>
      <c r="V14" s="506"/>
      <c r="W14" s="506"/>
      <c r="X14" s="506"/>
      <c r="Y14" s="506"/>
      <c r="Z14" s="506"/>
      <c r="AA14" s="506"/>
      <c r="AB14" s="506"/>
      <c r="AC14" s="506"/>
      <c r="AD14" s="506"/>
      <c r="AE14" s="506"/>
    </row>
    <row r="15" spans="1:31" ht="18" customHeight="1">
      <c r="A15" s="6217" t="s">
        <v>97</v>
      </c>
      <c r="B15" s="6218" t="s">
        <v>46</v>
      </c>
      <c r="C15" s="6219" t="s">
        <v>46</v>
      </c>
      <c r="D15" s="6219" t="s">
        <v>46</v>
      </c>
      <c r="E15" s="6219" t="s">
        <v>46</v>
      </c>
      <c r="F15" s="6219" t="s">
        <v>47</v>
      </c>
      <c r="G15" s="6220" t="s">
        <v>47</v>
      </c>
      <c r="H15" s="6219" t="s">
        <v>26</v>
      </c>
      <c r="I15" s="6219" t="s">
        <v>26</v>
      </c>
      <c r="J15" s="6219" t="s">
        <v>26</v>
      </c>
      <c r="K15" s="6219" t="s">
        <v>26</v>
      </c>
      <c r="L15" s="6219" t="s">
        <v>26</v>
      </c>
      <c r="M15" s="6219" t="s">
        <v>0</v>
      </c>
      <c r="N15" s="6219"/>
      <c r="O15" s="6219" t="s">
        <v>43</v>
      </c>
      <c r="P15" s="6219" t="s">
        <v>43</v>
      </c>
      <c r="Q15" s="6219" t="s">
        <v>43</v>
      </c>
      <c r="R15" s="6219" t="s">
        <v>43</v>
      </c>
      <c r="S15" s="6219" t="s">
        <v>43</v>
      </c>
      <c r="T15" s="6219"/>
      <c r="U15" s="6219"/>
      <c r="V15" s="6219" t="s">
        <v>46</v>
      </c>
      <c r="W15" s="6219" t="s">
        <v>46</v>
      </c>
      <c r="X15" s="6219" t="s">
        <v>46</v>
      </c>
      <c r="Y15" s="6219" t="s">
        <v>46</v>
      </c>
      <c r="Z15" s="6219" t="s">
        <v>46</v>
      </c>
      <c r="AA15" s="6219" t="s">
        <v>49</v>
      </c>
      <c r="AB15" s="6219" t="s">
        <v>49</v>
      </c>
      <c r="AC15" s="6219" t="s">
        <v>50</v>
      </c>
      <c r="AD15" s="6219" t="s">
        <v>50</v>
      </c>
      <c r="AE15" s="6219" t="s">
        <v>50</v>
      </c>
    </row>
    <row r="16" spans="1:31" ht="18" customHeight="1">
      <c r="A16" s="6213" t="s">
        <v>51</v>
      </c>
      <c r="B16" s="6221" t="s">
        <v>26</v>
      </c>
      <c r="C16" s="6221" t="s">
        <v>26</v>
      </c>
      <c r="D16" s="6221" t="s">
        <v>26</v>
      </c>
      <c r="E16" s="6221" t="s">
        <v>26</v>
      </c>
      <c r="F16" s="6131"/>
      <c r="G16" s="6131"/>
      <c r="H16" s="6221" t="s">
        <v>43</v>
      </c>
      <c r="I16" s="6221" t="s">
        <v>43</v>
      </c>
      <c r="J16" s="6221" t="s">
        <v>43</v>
      </c>
      <c r="K16" s="6221" t="s">
        <v>43</v>
      </c>
      <c r="L16" s="6221" t="s">
        <v>43</v>
      </c>
      <c r="M16" s="6221"/>
      <c r="N16" s="6221"/>
      <c r="O16" s="6221" t="s">
        <v>46</v>
      </c>
      <c r="P16" s="6221" t="s">
        <v>46</v>
      </c>
      <c r="Q16" s="6221" t="s">
        <v>46</v>
      </c>
      <c r="R16" s="6221" t="s">
        <v>46</v>
      </c>
      <c r="S16" s="6221" t="s">
        <v>46</v>
      </c>
      <c r="T16" s="6222" t="s">
        <v>49</v>
      </c>
      <c r="U16" s="6222" t="s">
        <v>49</v>
      </c>
      <c r="V16" s="6221" t="s">
        <v>50</v>
      </c>
      <c r="W16" s="6221" t="s">
        <v>50</v>
      </c>
      <c r="X16" s="6221" t="s">
        <v>50</v>
      </c>
      <c r="Y16" s="6221" t="s">
        <v>50</v>
      </c>
      <c r="Z16" s="6221" t="s">
        <v>50</v>
      </c>
      <c r="AA16" s="6221"/>
      <c r="AB16" s="6221"/>
      <c r="AC16" s="6221" t="s">
        <v>46</v>
      </c>
      <c r="AD16" s="6221" t="s">
        <v>46</v>
      </c>
      <c r="AE16" s="6221" t="s">
        <v>46</v>
      </c>
    </row>
    <row r="17" spans="1:31" ht="18" customHeight="1">
      <c r="A17" s="6213" t="s">
        <v>54</v>
      </c>
      <c r="B17" s="6220" t="s">
        <v>43</v>
      </c>
      <c r="C17" s="6219" t="s">
        <v>43</v>
      </c>
      <c r="D17" s="6219" t="s">
        <v>43</v>
      </c>
      <c r="E17" s="6219" t="s">
        <v>43</v>
      </c>
      <c r="F17" s="6219"/>
      <c r="G17" s="6219"/>
      <c r="H17" s="6219" t="s">
        <v>46</v>
      </c>
      <c r="I17" s="6219" t="s">
        <v>46</v>
      </c>
      <c r="J17" s="6221" t="s">
        <v>46</v>
      </c>
      <c r="K17" s="6221" t="s">
        <v>46</v>
      </c>
      <c r="L17" s="6220" t="s">
        <v>46</v>
      </c>
      <c r="M17" s="6220" t="s">
        <v>49</v>
      </c>
      <c r="N17" s="6220" t="s">
        <v>49</v>
      </c>
      <c r="O17" s="6219" t="s">
        <v>50</v>
      </c>
      <c r="P17" s="6219" t="s">
        <v>50</v>
      </c>
      <c r="Q17" s="6219" t="s">
        <v>50</v>
      </c>
      <c r="R17" s="6219" t="s">
        <v>50</v>
      </c>
      <c r="S17" s="6223" t="s">
        <v>50</v>
      </c>
      <c r="T17" s="6224"/>
      <c r="U17" s="6224"/>
      <c r="V17" s="6224" t="s">
        <v>46</v>
      </c>
      <c r="W17" s="6224" t="s">
        <v>46</v>
      </c>
      <c r="X17" s="6224" t="s">
        <v>46</v>
      </c>
      <c r="Y17" s="6224" t="s">
        <v>46</v>
      </c>
      <c r="Z17" s="6224" t="s">
        <v>46</v>
      </c>
      <c r="AA17" s="6224" t="s">
        <v>47</v>
      </c>
      <c r="AB17" s="6224" t="s">
        <v>47</v>
      </c>
      <c r="AC17" s="6225" t="s">
        <v>26</v>
      </c>
      <c r="AD17" s="6220" t="s">
        <v>26</v>
      </c>
      <c r="AE17" s="6220" t="s">
        <v>26</v>
      </c>
    </row>
    <row r="18" spans="1:31" ht="18" customHeight="1">
      <c r="A18" s="6213" t="s">
        <v>56</v>
      </c>
      <c r="B18" s="6218" t="s">
        <v>46</v>
      </c>
      <c r="C18" s="6226" t="s">
        <v>46</v>
      </c>
      <c r="D18" s="6219" t="s">
        <v>46</v>
      </c>
      <c r="E18" s="6226" t="s">
        <v>46</v>
      </c>
      <c r="F18" s="6220" t="s">
        <v>49</v>
      </c>
      <c r="G18" s="6220" t="s">
        <v>49</v>
      </c>
      <c r="H18" s="6219" t="s">
        <v>50</v>
      </c>
      <c r="I18" s="6220" t="s">
        <v>50</v>
      </c>
      <c r="J18" s="6220" t="s">
        <v>50</v>
      </c>
      <c r="K18" s="6219" t="s">
        <v>50</v>
      </c>
      <c r="L18" s="6220" t="s">
        <v>50</v>
      </c>
      <c r="M18" s="6220"/>
      <c r="N18" s="6220"/>
      <c r="O18" s="6220" t="s">
        <v>46</v>
      </c>
      <c r="P18" s="6220" t="s">
        <v>46</v>
      </c>
      <c r="Q18" s="6221" t="s">
        <v>46</v>
      </c>
      <c r="R18" s="6221" t="s">
        <v>46</v>
      </c>
      <c r="S18" s="6219" t="s">
        <v>46</v>
      </c>
      <c r="T18" s="6224" t="s">
        <v>47</v>
      </c>
      <c r="U18" s="6224" t="s">
        <v>47</v>
      </c>
      <c r="V18" s="6224" t="s">
        <v>26</v>
      </c>
      <c r="W18" s="6224" t="s">
        <v>26</v>
      </c>
      <c r="X18" s="6224" t="s">
        <v>26</v>
      </c>
      <c r="Y18" s="6224" t="s">
        <v>26</v>
      </c>
      <c r="Z18" s="6224" t="s">
        <v>26</v>
      </c>
      <c r="AA18" s="6224"/>
      <c r="AB18" s="6224"/>
      <c r="AC18" s="6219" t="s">
        <v>43</v>
      </c>
      <c r="AD18" s="6219" t="s">
        <v>43</v>
      </c>
      <c r="AE18" s="6219" t="s">
        <v>43</v>
      </c>
    </row>
    <row r="19" spans="1:31" ht="18" customHeight="1">
      <c r="B19" s="6219" t="s">
        <v>50</v>
      </c>
      <c r="C19" s="6218" t="s">
        <v>50</v>
      </c>
      <c r="D19" s="6219" t="s">
        <v>50</v>
      </c>
      <c r="E19" s="6219" t="s">
        <v>50</v>
      </c>
      <c r="F19" s="6131"/>
      <c r="G19" s="6219"/>
      <c r="H19" s="6219" t="s">
        <v>46</v>
      </c>
      <c r="I19" s="6227" t="s">
        <v>46</v>
      </c>
      <c r="J19" s="6228" t="s">
        <v>46</v>
      </c>
      <c r="K19" s="6227" t="s">
        <v>46</v>
      </c>
      <c r="L19" s="6227" t="s">
        <v>46</v>
      </c>
      <c r="M19" s="6219" t="s">
        <v>47</v>
      </c>
      <c r="N19" s="6220" t="s">
        <v>47</v>
      </c>
      <c r="O19" s="6219" t="s">
        <v>26</v>
      </c>
      <c r="P19" s="6219" t="s">
        <v>26</v>
      </c>
      <c r="Q19" s="6229" t="s">
        <v>26</v>
      </c>
      <c r="R19" s="6229" t="s">
        <v>26</v>
      </c>
      <c r="S19" s="6229" t="s">
        <v>26</v>
      </c>
      <c r="T19" s="6219"/>
      <c r="U19" s="6219"/>
      <c r="V19" s="6219" t="s">
        <v>43</v>
      </c>
      <c r="W19" s="6219" t="s">
        <v>43</v>
      </c>
      <c r="X19" s="6219" t="s">
        <v>43</v>
      </c>
      <c r="Y19" s="6230" t="s">
        <v>43</v>
      </c>
      <c r="Z19" s="6219" t="s">
        <v>43</v>
      </c>
      <c r="AA19" s="6131"/>
      <c r="AB19" s="6131"/>
      <c r="AC19" s="6231" t="s">
        <v>46</v>
      </c>
      <c r="AD19" s="6231" t="s">
        <v>46</v>
      </c>
      <c r="AE19" s="6231" t="s">
        <v>46</v>
      </c>
    </row>
    <row r="20" spans="1:31" ht="18" customHeight="1">
      <c r="A20" s="851" t="s">
        <v>58</v>
      </c>
      <c r="B20" s="747"/>
      <c r="C20" s="747"/>
      <c r="D20" s="747"/>
      <c r="E20" s="747"/>
      <c r="F20" s="747"/>
      <c r="G20" s="747"/>
      <c r="H20" s="747"/>
      <c r="I20" s="747"/>
      <c r="J20" s="747"/>
      <c r="K20" s="747"/>
      <c r="L20" s="747"/>
      <c r="M20" s="747"/>
      <c r="N20" s="747"/>
      <c r="O20" s="747"/>
      <c r="P20" s="747"/>
      <c r="Q20" s="747"/>
      <c r="R20" s="747"/>
      <c r="S20" s="747"/>
      <c r="T20" s="747"/>
      <c r="U20" s="747"/>
      <c r="V20" s="747"/>
      <c r="W20" s="747"/>
      <c r="X20" s="747"/>
      <c r="Y20" s="747"/>
      <c r="Z20" s="747"/>
      <c r="AA20" s="747"/>
      <c r="AB20" s="747"/>
      <c r="AC20" s="747"/>
      <c r="AD20" s="747"/>
      <c r="AE20" s="747"/>
    </row>
    <row r="21" spans="1:31" ht="18" customHeight="1">
      <c r="A21" s="68" t="s">
        <v>694</v>
      </c>
      <c r="B21" s="339" t="s">
        <v>40</v>
      </c>
      <c r="C21" s="339" t="s">
        <v>40</v>
      </c>
      <c r="D21" s="339" t="s">
        <v>40</v>
      </c>
      <c r="E21" s="339" t="s">
        <v>40</v>
      </c>
      <c r="F21" s="339"/>
      <c r="G21" s="339"/>
      <c r="H21" s="339" t="s">
        <v>40</v>
      </c>
      <c r="I21" s="339" t="s">
        <v>40</v>
      </c>
      <c r="J21" s="339" t="s">
        <v>40</v>
      </c>
      <c r="K21" s="339" t="s">
        <v>40</v>
      </c>
      <c r="L21" s="339" t="s">
        <v>40</v>
      </c>
      <c r="M21" s="339"/>
      <c r="N21" s="339"/>
      <c r="O21" s="339" t="s">
        <v>40</v>
      </c>
      <c r="P21" s="339" t="s">
        <v>40</v>
      </c>
      <c r="Q21" s="339" t="s">
        <v>40</v>
      </c>
      <c r="R21" s="339" t="s">
        <v>40</v>
      </c>
      <c r="S21" s="339" t="s">
        <v>40</v>
      </c>
      <c r="T21" s="339"/>
      <c r="U21" s="339"/>
      <c r="V21" s="339" t="s">
        <v>40</v>
      </c>
      <c r="W21" s="339" t="s">
        <v>40</v>
      </c>
      <c r="X21" s="339" t="s">
        <v>40</v>
      </c>
      <c r="Y21" s="339" t="s">
        <v>40</v>
      </c>
      <c r="Z21" s="339" t="s">
        <v>40</v>
      </c>
      <c r="AA21" s="339"/>
      <c r="AB21" s="339"/>
      <c r="AC21" s="339" t="s">
        <v>40</v>
      </c>
      <c r="AD21" s="339" t="s">
        <v>40</v>
      </c>
      <c r="AE21" s="339" t="s">
        <v>40</v>
      </c>
    </row>
    <row r="22" spans="1:31" ht="18" customHeight="1">
      <c r="A22" s="308" t="s">
        <v>364</v>
      </c>
      <c r="B22" s="340" t="s">
        <v>40</v>
      </c>
      <c r="C22" s="340" t="s">
        <v>40</v>
      </c>
      <c r="D22" s="340" t="s">
        <v>40</v>
      </c>
      <c r="E22" s="340" t="s">
        <v>40</v>
      </c>
      <c r="F22" s="320"/>
      <c r="G22" s="320"/>
      <c r="H22" s="341" t="s">
        <v>40</v>
      </c>
      <c r="I22" s="341" t="s">
        <v>40</v>
      </c>
      <c r="J22" s="341" t="s">
        <v>40</v>
      </c>
      <c r="K22" s="341" t="s">
        <v>40</v>
      </c>
      <c r="L22" s="341" t="s">
        <v>40</v>
      </c>
      <c r="M22" s="341"/>
      <c r="N22" s="342"/>
      <c r="O22" s="341" t="s">
        <v>40</v>
      </c>
      <c r="P22" s="341" t="s">
        <v>40</v>
      </c>
      <c r="Q22" s="341" t="s">
        <v>40</v>
      </c>
      <c r="R22" s="341" t="s">
        <v>40</v>
      </c>
      <c r="S22" s="341" t="s">
        <v>40</v>
      </c>
      <c r="T22" s="341"/>
      <c r="U22" s="341"/>
      <c r="V22" s="341" t="s">
        <v>40</v>
      </c>
      <c r="W22" s="340" t="s">
        <v>40</v>
      </c>
      <c r="X22" s="340" t="s">
        <v>40</v>
      </c>
      <c r="Y22" s="341" t="s">
        <v>40</v>
      </c>
      <c r="Z22" s="340" t="s">
        <v>40</v>
      </c>
      <c r="AA22" s="340"/>
      <c r="AB22" s="341"/>
      <c r="AC22" s="340" t="s">
        <v>40</v>
      </c>
      <c r="AD22" s="340" t="s">
        <v>40</v>
      </c>
      <c r="AE22" s="340" t="s">
        <v>40</v>
      </c>
    </row>
    <row r="23" spans="1:31" ht="18" customHeight="1">
      <c r="A23" s="853" t="s">
        <v>618</v>
      </c>
      <c r="B23" s="1436"/>
      <c r="C23" s="1436"/>
      <c r="D23" s="1436"/>
      <c r="E23" s="1436"/>
      <c r="F23" s="737"/>
      <c r="G23" s="737"/>
      <c r="H23" s="1437"/>
      <c r="I23" s="1437"/>
      <c r="J23" s="1437"/>
      <c r="K23" s="1437"/>
      <c r="L23" s="1437"/>
      <c r="M23" s="1437"/>
      <c r="N23" s="1438"/>
      <c r="O23" s="1437"/>
      <c r="P23" s="1437"/>
      <c r="Q23" s="1437"/>
      <c r="R23" s="1437"/>
      <c r="S23" s="1437"/>
      <c r="T23" s="1437"/>
      <c r="U23" s="1437"/>
      <c r="V23" s="1437"/>
      <c r="W23" s="1436"/>
      <c r="X23" s="1436"/>
      <c r="Y23" s="1437"/>
      <c r="Z23" s="1436"/>
      <c r="AA23" s="1436"/>
      <c r="AB23" s="1437"/>
      <c r="AC23" s="1436"/>
      <c r="AD23" s="1436"/>
      <c r="AE23" s="1436"/>
    </row>
    <row r="24" spans="1:31" ht="18" customHeight="1">
      <c r="A24" s="308" t="s">
        <v>522</v>
      </c>
      <c r="B24" s="344" t="s">
        <v>40</v>
      </c>
      <c r="C24" s="344" t="s">
        <v>40</v>
      </c>
      <c r="D24" s="340" t="s">
        <v>40</v>
      </c>
      <c r="E24" s="340" t="s">
        <v>40</v>
      </c>
      <c r="F24" s="340"/>
      <c r="G24" s="320"/>
      <c r="H24" s="320" t="s">
        <v>40</v>
      </c>
      <c r="I24" s="320" t="s">
        <v>40</v>
      </c>
      <c r="J24" s="344" t="s">
        <v>40</v>
      </c>
      <c r="K24" s="344" t="s">
        <v>40</v>
      </c>
      <c r="L24" s="344" t="s">
        <v>40</v>
      </c>
      <c r="M24" s="344"/>
      <c r="N24" s="320"/>
      <c r="O24" s="320" t="s">
        <v>40</v>
      </c>
      <c r="P24" s="320" t="s">
        <v>40</v>
      </c>
      <c r="Q24" s="320" t="s">
        <v>40</v>
      </c>
      <c r="R24" s="320" t="s">
        <v>40</v>
      </c>
      <c r="S24" s="344" t="s">
        <v>40</v>
      </c>
      <c r="T24" s="344"/>
      <c r="U24" s="320"/>
      <c r="V24" s="320" t="s">
        <v>40</v>
      </c>
      <c r="W24" s="344" t="s">
        <v>40</v>
      </c>
      <c r="X24" s="344" t="s">
        <v>40</v>
      </c>
      <c r="Y24" s="344" t="s">
        <v>40</v>
      </c>
      <c r="Z24" s="344" t="s">
        <v>40</v>
      </c>
      <c r="AA24" s="344"/>
      <c r="AB24" s="320"/>
      <c r="AC24" s="320" t="s">
        <v>40</v>
      </c>
      <c r="AD24" s="344" t="s">
        <v>40</v>
      </c>
      <c r="AE24" s="344" t="s">
        <v>40</v>
      </c>
    </row>
    <row r="25" spans="1:31" ht="18" customHeight="1">
      <c r="A25" s="308" t="s">
        <v>59</v>
      </c>
      <c r="B25" s="345" t="s">
        <v>40</v>
      </c>
      <c r="C25" s="339" t="s">
        <v>40</v>
      </c>
      <c r="D25" s="339" t="s">
        <v>40</v>
      </c>
      <c r="E25" s="339" t="s">
        <v>40</v>
      </c>
      <c r="F25" s="320"/>
      <c r="G25" s="320"/>
      <c r="H25" s="339" t="s">
        <v>40</v>
      </c>
      <c r="I25" s="345" t="s">
        <v>40</v>
      </c>
      <c r="J25" s="346" t="s">
        <v>40</v>
      </c>
      <c r="K25" s="339" t="s">
        <v>40</v>
      </c>
      <c r="L25" s="339" t="s">
        <v>40</v>
      </c>
      <c r="M25" s="320"/>
      <c r="N25" s="320"/>
      <c r="O25" s="339" t="s">
        <v>40</v>
      </c>
      <c r="P25" s="339" t="s">
        <v>40</v>
      </c>
      <c r="Q25" s="339" t="s">
        <v>40</v>
      </c>
      <c r="R25" s="339" t="s">
        <v>40</v>
      </c>
      <c r="S25" s="339" t="s">
        <v>40</v>
      </c>
      <c r="T25" s="320"/>
      <c r="U25" s="320"/>
      <c r="V25" s="320" t="s">
        <v>40</v>
      </c>
      <c r="W25" s="345" t="s">
        <v>40</v>
      </c>
      <c r="X25" s="339" t="s">
        <v>40</v>
      </c>
      <c r="Y25" s="339" t="s">
        <v>40</v>
      </c>
      <c r="Z25" s="339" t="s">
        <v>40</v>
      </c>
      <c r="AA25" s="319"/>
      <c r="AB25" s="320"/>
      <c r="AC25" s="339" t="s">
        <v>40</v>
      </c>
      <c r="AD25" s="345" t="s">
        <v>40</v>
      </c>
      <c r="AE25" s="339" t="s">
        <v>40</v>
      </c>
    </row>
    <row r="26" spans="1:31" ht="15">
      <c r="A26" s="461" t="s">
        <v>619</v>
      </c>
      <c r="B26" s="737"/>
      <c r="C26" s="737"/>
      <c r="D26" s="737"/>
      <c r="E26" s="737"/>
      <c r="F26" s="737"/>
      <c r="G26" s="737"/>
      <c r="H26" s="737"/>
      <c r="I26" s="737"/>
      <c r="J26" s="737"/>
      <c r="K26" s="737"/>
      <c r="L26" s="737"/>
      <c r="M26" s="737"/>
      <c r="N26" s="737"/>
      <c r="O26" s="737"/>
      <c r="P26" s="737"/>
      <c r="Q26" s="737"/>
      <c r="R26" s="737"/>
      <c r="S26" s="737"/>
      <c r="T26" s="737"/>
      <c r="U26" s="737"/>
      <c r="V26" s="737"/>
      <c r="W26" s="737"/>
      <c r="X26" s="737"/>
      <c r="Y26" s="737"/>
      <c r="Z26" s="737"/>
      <c r="AA26" s="737"/>
      <c r="AB26" s="737"/>
      <c r="AC26" s="737"/>
      <c r="AD26" s="737"/>
      <c r="AE26" s="737"/>
    </row>
    <row r="27" spans="1:31">
      <c r="A27" s="308" t="s">
        <v>297</v>
      </c>
      <c r="B27" s="343"/>
      <c r="C27" s="343"/>
      <c r="D27" s="343"/>
      <c r="E27" s="343"/>
      <c r="F27" s="343"/>
      <c r="G27" s="343"/>
      <c r="H27" s="343"/>
      <c r="I27" s="343"/>
      <c r="J27" s="343"/>
      <c r="K27" s="343"/>
      <c r="L27" s="343"/>
      <c r="M27" s="343"/>
      <c r="N27" s="343"/>
      <c r="O27" s="343"/>
      <c r="P27" s="343"/>
      <c r="Q27" s="343"/>
      <c r="R27" s="343"/>
      <c r="S27" s="343"/>
      <c r="T27" s="343"/>
      <c r="U27" s="343"/>
      <c r="V27" s="343"/>
      <c r="W27" s="343"/>
      <c r="X27" s="343"/>
      <c r="Y27" s="343"/>
      <c r="Z27" s="343"/>
      <c r="AA27" s="343"/>
      <c r="AB27" s="343"/>
      <c r="AC27" s="343"/>
      <c r="AD27" s="343"/>
      <c r="AE27" s="343"/>
    </row>
    <row r="28" spans="1:31" ht="15">
      <c r="A28" s="853" t="s">
        <v>620</v>
      </c>
      <c r="B28" s="737"/>
      <c r="C28" s="737"/>
      <c r="D28" s="737"/>
      <c r="E28" s="737"/>
      <c r="F28" s="737"/>
      <c r="G28" s="737"/>
      <c r="H28" s="737"/>
      <c r="I28" s="737"/>
      <c r="J28" s="737"/>
      <c r="K28" s="737"/>
      <c r="L28" s="737"/>
      <c r="M28" s="737"/>
      <c r="N28" s="737"/>
      <c r="O28" s="737"/>
      <c r="P28" s="737"/>
      <c r="Q28" s="737"/>
      <c r="R28" s="737"/>
      <c r="S28" s="737"/>
      <c r="T28" s="737"/>
      <c r="U28" s="737"/>
      <c r="V28" s="737"/>
      <c r="W28" s="737"/>
      <c r="X28" s="737"/>
      <c r="Y28" s="737"/>
      <c r="Z28" s="737"/>
      <c r="AA28" s="737"/>
      <c r="AB28" s="737"/>
      <c r="AC28" s="737"/>
      <c r="AD28" s="737"/>
      <c r="AE28" s="737"/>
    </row>
    <row r="29" spans="1:31">
      <c r="A29" s="852" t="s">
        <v>65</v>
      </c>
      <c r="B29" s="343"/>
      <c r="C29" s="343"/>
      <c r="D29" s="343"/>
      <c r="E29" s="343"/>
      <c r="F29" s="343"/>
      <c r="G29" s="343"/>
      <c r="H29" s="343"/>
      <c r="I29" s="343"/>
      <c r="J29" s="343"/>
      <c r="K29" s="343"/>
      <c r="L29" s="343"/>
      <c r="M29" s="343"/>
      <c r="N29" s="343"/>
      <c r="O29" s="343"/>
      <c r="P29" s="343"/>
      <c r="Q29" s="343"/>
      <c r="R29" s="343"/>
      <c r="S29" s="343"/>
      <c r="T29" s="343"/>
      <c r="U29" s="343"/>
      <c r="V29" s="343"/>
      <c r="W29" s="343"/>
      <c r="X29" s="343"/>
      <c r="Y29" s="343"/>
      <c r="Z29" s="343"/>
      <c r="AA29" s="343"/>
      <c r="AB29" s="343"/>
      <c r="AC29" s="343"/>
      <c r="AD29" s="343"/>
      <c r="AE29" s="343"/>
    </row>
    <row r="31" spans="1:31" ht="15.75" thickBot="1">
      <c r="A31" s="362" t="s">
        <v>584</v>
      </c>
      <c r="B31" s="872">
        <v>1</v>
      </c>
      <c r="C31" s="872">
        <v>2</v>
      </c>
      <c r="D31" s="872">
        <v>3</v>
      </c>
      <c r="E31" s="872">
        <v>4</v>
      </c>
      <c r="F31" s="866">
        <v>5</v>
      </c>
      <c r="G31" s="866">
        <v>6</v>
      </c>
      <c r="H31" s="872">
        <v>7</v>
      </c>
      <c r="I31" s="872">
        <v>8</v>
      </c>
      <c r="J31" s="872">
        <v>9</v>
      </c>
      <c r="K31" s="872">
        <v>10</v>
      </c>
      <c r="L31" s="872">
        <v>11</v>
      </c>
      <c r="M31" s="866">
        <v>12</v>
      </c>
      <c r="N31" s="866">
        <v>13</v>
      </c>
      <c r="O31" s="872">
        <v>14</v>
      </c>
      <c r="P31" s="872">
        <v>15</v>
      </c>
      <c r="Q31" s="872">
        <v>16</v>
      </c>
      <c r="R31" s="872">
        <v>17</v>
      </c>
      <c r="S31" s="872">
        <v>18</v>
      </c>
      <c r="T31" s="866">
        <v>19</v>
      </c>
      <c r="U31" s="866">
        <v>20</v>
      </c>
      <c r="V31" s="872">
        <v>21</v>
      </c>
      <c r="W31" s="872">
        <v>22</v>
      </c>
      <c r="X31" s="872">
        <v>23</v>
      </c>
      <c r="Y31" s="872">
        <v>24</v>
      </c>
      <c r="Z31" s="872">
        <v>25</v>
      </c>
      <c r="AA31" s="866">
        <v>26</v>
      </c>
      <c r="AB31" s="866">
        <v>27</v>
      </c>
      <c r="AC31" s="872">
        <v>28</v>
      </c>
      <c r="AD31" s="872">
        <v>29</v>
      </c>
      <c r="AE31" s="872">
        <v>30</v>
      </c>
    </row>
    <row r="32" spans="1:31">
      <c r="A32" s="356"/>
      <c r="B32" s="343"/>
      <c r="C32" s="343"/>
      <c r="D32" s="343"/>
      <c r="E32" s="343"/>
      <c r="F32" s="343"/>
      <c r="G32" s="343"/>
      <c r="H32" s="343"/>
      <c r="I32" s="343"/>
      <c r="J32" s="343"/>
      <c r="K32" s="343"/>
      <c r="L32" s="343"/>
      <c r="M32" s="343"/>
      <c r="N32" s="343"/>
      <c r="O32" s="343"/>
      <c r="P32" s="343"/>
      <c r="Q32" s="343"/>
      <c r="R32" s="343"/>
      <c r="S32" s="343"/>
      <c r="T32" s="343"/>
      <c r="U32" s="343"/>
      <c r="V32" s="343"/>
      <c r="W32" s="343"/>
      <c r="X32" s="343"/>
      <c r="Y32" s="343"/>
      <c r="Z32" s="343"/>
      <c r="AA32" s="343"/>
      <c r="AB32" s="343"/>
      <c r="AC32" s="343"/>
      <c r="AD32" s="343"/>
      <c r="AE32" s="343"/>
    </row>
    <row r="33" spans="1:31">
      <c r="A33" s="356"/>
      <c r="B33" s="343"/>
      <c r="C33" s="343"/>
      <c r="D33" s="343"/>
      <c r="E33" s="343"/>
      <c r="F33" s="343"/>
      <c r="G33" s="343"/>
      <c r="H33" s="343"/>
      <c r="I33" s="343"/>
      <c r="J33" s="343"/>
      <c r="K33" s="343"/>
      <c r="L33" s="343"/>
      <c r="M33" s="343"/>
      <c r="N33" s="343"/>
      <c r="O33" s="343"/>
      <c r="P33" s="343"/>
      <c r="Q33" s="343"/>
      <c r="R33" s="343"/>
      <c r="S33" s="343"/>
      <c r="T33" s="343"/>
      <c r="U33" s="343"/>
      <c r="V33" s="343"/>
      <c r="W33" s="343"/>
      <c r="X33" s="343"/>
      <c r="Y33" s="343"/>
      <c r="Z33" s="343"/>
      <c r="AA33" s="343"/>
      <c r="AB33" s="343"/>
      <c r="AC33" s="343"/>
      <c r="AD33" s="343"/>
      <c r="AE33" s="343"/>
    </row>
    <row r="34" spans="1:31">
      <c r="A34" s="356"/>
      <c r="B34" s="343"/>
      <c r="C34" s="343"/>
      <c r="D34" s="343"/>
      <c r="E34" s="343"/>
      <c r="F34" s="343"/>
      <c r="G34" s="343"/>
      <c r="H34" s="343"/>
      <c r="I34" s="343"/>
      <c r="J34" s="343"/>
      <c r="K34" s="343"/>
      <c r="L34" s="343"/>
      <c r="M34" s="343"/>
      <c r="N34" s="343"/>
      <c r="O34" s="343"/>
      <c r="P34" s="343"/>
      <c r="Q34" s="343"/>
      <c r="R34" s="343"/>
      <c r="S34" s="343"/>
      <c r="T34" s="343"/>
      <c r="U34" s="343"/>
      <c r="V34" s="343"/>
      <c r="W34" s="343"/>
      <c r="X34" s="343"/>
      <c r="Y34" s="343"/>
      <c r="Z34" s="343"/>
      <c r="AA34" s="343"/>
      <c r="AB34" s="343"/>
      <c r="AC34" s="343"/>
      <c r="AD34" s="343"/>
      <c r="AE34" s="343"/>
    </row>
    <row r="35" spans="1:31">
      <c r="A35" s="356"/>
      <c r="B35" s="343"/>
      <c r="C35" s="343"/>
      <c r="D35" s="343"/>
      <c r="E35" s="343"/>
      <c r="F35" s="343"/>
      <c r="G35" s="343"/>
      <c r="H35" s="343"/>
      <c r="I35" s="343"/>
      <c r="J35" s="343"/>
      <c r="K35" s="343"/>
      <c r="L35" s="343"/>
      <c r="M35" s="343"/>
      <c r="N35" s="343"/>
      <c r="O35" s="343"/>
      <c r="P35" s="343"/>
      <c r="Q35" s="343"/>
      <c r="R35" s="343"/>
      <c r="S35" s="343"/>
      <c r="T35" s="343"/>
      <c r="U35" s="343"/>
      <c r="V35" s="343"/>
      <c r="W35" s="343"/>
      <c r="X35" s="343"/>
      <c r="Y35" s="343"/>
      <c r="Z35" s="343"/>
      <c r="AA35" s="343"/>
      <c r="AB35" s="343"/>
      <c r="AC35" s="343"/>
      <c r="AD35" s="343"/>
      <c r="AE35" s="343"/>
    </row>
    <row r="36" spans="1:31">
      <c r="A36" s="356"/>
      <c r="B36" s="343"/>
      <c r="C36" s="343"/>
      <c r="D36" s="343"/>
      <c r="E36" s="343"/>
      <c r="F36" s="343"/>
      <c r="G36" s="343"/>
      <c r="H36" s="343"/>
      <c r="I36" s="343"/>
      <c r="J36" s="343"/>
      <c r="K36" s="343"/>
      <c r="L36" s="343"/>
      <c r="M36" s="343"/>
      <c r="N36" s="343"/>
      <c r="O36" s="343"/>
      <c r="P36" s="343"/>
      <c r="Q36" s="343"/>
      <c r="R36" s="343"/>
      <c r="S36" s="343"/>
      <c r="T36" s="343"/>
      <c r="U36" s="343"/>
      <c r="V36" s="343"/>
      <c r="W36" s="343"/>
      <c r="X36" s="343"/>
      <c r="Y36" s="343"/>
      <c r="Z36" s="343"/>
      <c r="AA36" s="343"/>
      <c r="AB36" s="343"/>
      <c r="AC36" s="343"/>
      <c r="AD36" s="343"/>
      <c r="AE36" s="343"/>
    </row>
    <row r="37" spans="1:31" ht="12.75" thickBot="1">
      <c r="A37" s="358"/>
      <c r="B37" s="359"/>
      <c r="C37" s="359"/>
      <c r="D37" s="359"/>
      <c r="E37" s="359"/>
      <c r="F37" s="359"/>
      <c r="G37" s="359"/>
      <c r="H37" s="359"/>
      <c r="I37" s="359"/>
      <c r="J37" s="359"/>
      <c r="K37" s="359"/>
      <c r="L37" s="359"/>
      <c r="M37" s="359"/>
      <c r="N37" s="359"/>
      <c r="O37" s="359"/>
      <c r="P37" s="359"/>
      <c r="Q37" s="359"/>
      <c r="R37" s="359"/>
      <c r="S37" s="359"/>
      <c r="T37" s="359"/>
      <c r="U37" s="359"/>
      <c r="V37" s="359"/>
      <c r="W37" s="359"/>
      <c r="X37" s="359"/>
      <c r="Y37" s="359"/>
      <c r="Z37" s="359"/>
      <c r="AA37" s="359"/>
      <c r="AB37" s="359"/>
      <c r="AC37" s="359"/>
      <c r="AD37" s="359"/>
      <c r="AE37" s="359"/>
    </row>
    <row r="39" spans="1:31" ht="18" customHeight="1" thickBot="1">
      <c r="A39" s="96" t="s">
        <v>66</v>
      </c>
      <c r="O39" t="s">
        <v>0</v>
      </c>
      <c r="Q39" t="s">
        <v>67</v>
      </c>
      <c r="R39" t="s">
        <v>0</v>
      </c>
      <c r="S39" t="s">
        <v>68</v>
      </c>
    </row>
    <row r="40" spans="1:31" ht="18" customHeight="1">
      <c r="A40" s="6155" t="s">
        <v>69</v>
      </c>
      <c r="B40" s="6156"/>
      <c r="C40" s="6156"/>
      <c r="D40" s="6232" t="s">
        <v>70</v>
      </c>
      <c r="E40" s="6158"/>
      <c r="F40" s="6158"/>
      <c r="G40" s="6158"/>
      <c r="H40" s="6158"/>
      <c r="I40" s="6158"/>
      <c r="J40" s="6158"/>
      <c r="K40" s="6158"/>
      <c r="L40" s="6158"/>
      <c r="M40" s="6159" t="s">
        <v>71</v>
      </c>
      <c r="N40" s="6158"/>
      <c r="O40" s="6158"/>
      <c r="P40" s="6158"/>
      <c r="Q40" s="6158"/>
      <c r="R40" s="6158"/>
      <c r="S40" s="6160"/>
      <c r="T40" s="6233" t="s">
        <v>72</v>
      </c>
      <c r="U40" s="6233"/>
      <c r="V40" s="6233"/>
      <c r="W40" s="6233"/>
      <c r="X40" s="6233"/>
      <c r="Y40" s="6233"/>
      <c r="Z40" s="6233"/>
      <c r="AA40" s="6234" t="s">
        <v>73</v>
      </c>
      <c r="AB40" s="6235"/>
      <c r="AC40" s="6235"/>
      <c r="AD40" s="6235"/>
      <c r="AE40" s="6235"/>
    </row>
    <row r="41" spans="1:31" ht="18" customHeight="1">
      <c r="A41" s="6236" t="s">
        <v>74</v>
      </c>
      <c r="B41" s="6237"/>
      <c r="C41" s="6237"/>
      <c r="D41" s="6238" t="s">
        <v>75</v>
      </c>
      <c r="E41" s="6239"/>
      <c r="F41" s="6240"/>
      <c r="G41" s="6240"/>
      <c r="H41" s="6240"/>
      <c r="I41" s="6240"/>
      <c r="J41" s="6240"/>
      <c r="K41" s="6240"/>
      <c r="L41" s="6241"/>
      <c r="M41" s="6242" t="s">
        <v>76</v>
      </c>
      <c r="N41" s="6237"/>
      <c r="O41" s="6243"/>
      <c r="P41" s="6237"/>
      <c r="Q41" s="6237"/>
      <c r="R41" s="6237"/>
      <c r="S41" s="6244"/>
      <c r="T41" s="6238" t="s">
        <v>77</v>
      </c>
      <c r="U41" s="6240"/>
      <c r="V41" s="6239"/>
      <c r="W41" s="6240"/>
      <c r="X41" s="6240"/>
      <c r="Y41" s="6240"/>
      <c r="Z41" s="6241"/>
      <c r="AA41" s="97" t="s">
        <v>78</v>
      </c>
      <c r="AD41" s="59"/>
    </row>
    <row r="42" spans="1:31" ht="18" customHeight="1">
      <c r="A42" s="6245" t="s">
        <v>79</v>
      </c>
      <c r="B42" s="6240"/>
      <c r="C42" s="6240"/>
      <c r="D42" s="6246"/>
      <c r="E42" s="6240"/>
      <c r="F42" s="6240"/>
      <c r="G42" s="6241"/>
      <c r="H42" s="6247" t="s">
        <v>80</v>
      </c>
      <c r="I42" s="6240"/>
      <c r="J42" s="6240"/>
      <c r="K42" s="6240"/>
      <c r="L42" s="6240"/>
      <c r="M42" s="6248"/>
      <c r="N42" s="6240"/>
      <c r="O42" s="6240"/>
      <c r="P42" s="6240"/>
      <c r="Q42" s="6240"/>
      <c r="R42" s="6240"/>
      <c r="S42" s="6240"/>
      <c r="T42" s="6246"/>
      <c r="U42" s="96" t="s">
        <v>81</v>
      </c>
      <c r="AA42" s="6243"/>
      <c r="AB42" s="6237"/>
      <c r="AC42" s="6237"/>
      <c r="AD42" s="6237"/>
      <c r="AE42" s="6237"/>
    </row>
    <row r="43" spans="1:31" ht="18" customHeight="1" thickBot="1">
      <c r="A43" s="6249" t="s">
        <v>82</v>
      </c>
      <c r="B43" s="6250"/>
      <c r="C43" s="6250"/>
      <c r="D43" s="6251"/>
      <c r="E43" s="6250"/>
      <c r="F43" s="6250"/>
      <c r="G43" s="6252"/>
      <c r="H43" s="6253" t="s">
        <v>83</v>
      </c>
      <c r="I43" s="6252"/>
      <c r="J43" s="6250"/>
      <c r="K43" s="6250"/>
      <c r="L43" s="6250"/>
      <c r="M43" s="6254"/>
      <c r="N43" s="6250"/>
      <c r="O43" s="6250"/>
      <c r="P43" s="6250"/>
      <c r="Q43" s="6255"/>
      <c r="R43" s="6255"/>
      <c r="S43" s="6255"/>
      <c r="T43" s="6251"/>
      <c r="U43" s="6256" t="s">
        <v>84</v>
      </c>
      <c r="V43" s="6250"/>
      <c r="W43" s="6250"/>
      <c r="X43" s="6250"/>
      <c r="Y43" s="6250"/>
      <c r="Z43" s="6250"/>
      <c r="AA43" s="6250"/>
      <c r="AB43" s="6250"/>
      <c r="AC43" s="6250"/>
      <c r="AD43" s="6250"/>
      <c r="AE43" s="6250"/>
    </row>
    <row r="44" spans="1:31" ht="18" customHeight="1" thickBot="1">
      <c r="A44" s="62" t="s">
        <v>36</v>
      </c>
    </row>
    <row r="45" spans="1:31" ht="18" customHeight="1" thickBot="1">
      <c r="A45" s="426" t="s">
        <v>523</v>
      </c>
      <c r="B45" s="2985">
        <v>1</v>
      </c>
      <c r="C45" s="2985">
        <v>2</v>
      </c>
      <c r="D45" s="2985">
        <v>3</v>
      </c>
      <c r="E45" s="2985">
        <v>4</v>
      </c>
      <c r="F45" s="2986">
        <v>5</v>
      </c>
      <c r="G45" s="2986">
        <v>6</v>
      </c>
      <c r="H45" s="2985">
        <v>7</v>
      </c>
      <c r="I45" s="2985">
        <v>8</v>
      </c>
      <c r="J45" s="2985">
        <v>9</v>
      </c>
      <c r="K45" s="2985">
        <v>10</v>
      </c>
      <c r="L45" s="2985">
        <v>11</v>
      </c>
      <c r="M45" s="2986">
        <v>12</v>
      </c>
      <c r="N45" s="2986">
        <v>13</v>
      </c>
      <c r="O45" s="2985">
        <v>14</v>
      </c>
      <c r="P45" s="2985">
        <v>15</v>
      </c>
      <c r="Q45" s="2985">
        <v>16</v>
      </c>
      <c r="R45" s="2985">
        <v>17</v>
      </c>
      <c r="S45" s="2985">
        <v>18</v>
      </c>
      <c r="T45" s="2986">
        <v>19</v>
      </c>
      <c r="U45" s="2986">
        <v>20</v>
      </c>
      <c r="V45" s="2985">
        <v>21</v>
      </c>
      <c r="W45" s="2985">
        <v>22</v>
      </c>
      <c r="X45" s="2985">
        <v>23</v>
      </c>
      <c r="Y45" s="2985">
        <v>24</v>
      </c>
      <c r="Z45" s="2985">
        <v>25</v>
      </c>
      <c r="AA45" s="2986">
        <v>26</v>
      </c>
      <c r="AB45" s="2986">
        <v>27</v>
      </c>
      <c r="AC45" s="2985">
        <v>28</v>
      </c>
      <c r="AD45" s="2985">
        <v>29</v>
      </c>
      <c r="AE45" s="2985">
        <v>30</v>
      </c>
    </row>
    <row r="46" spans="1:31" ht="18" customHeight="1">
      <c r="A46" s="931" t="s">
        <v>85</v>
      </c>
      <c r="B46" s="6257" t="s">
        <v>46</v>
      </c>
      <c r="C46" s="6258" t="s">
        <v>46</v>
      </c>
      <c r="D46" s="6257" t="s">
        <v>46</v>
      </c>
      <c r="E46" s="6257" t="s">
        <v>46</v>
      </c>
      <c r="F46" s="6257" t="s">
        <v>91</v>
      </c>
      <c r="G46" s="6257" t="s">
        <v>89</v>
      </c>
      <c r="H46" s="6257">
        <v>6</v>
      </c>
      <c r="I46" s="6259">
        <v>6</v>
      </c>
      <c r="J46" s="6257">
        <v>6</v>
      </c>
      <c r="K46" s="6257">
        <v>6</v>
      </c>
      <c r="L46" s="6257">
        <v>6</v>
      </c>
      <c r="M46" s="6257"/>
      <c r="N46" s="6258"/>
      <c r="O46" s="6257" t="s">
        <v>46</v>
      </c>
      <c r="P46" s="6260" t="s">
        <v>46</v>
      </c>
      <c r="Q46" s="6258" t="s">
        <v>46</v>
      </c>
      <c r="R46" s="6257" t="s">
        <v>46</v>
      </c>
      <c r="S46" s="6257" t="s">
        <v>46</v>
      </c>
      <c r="T46" s="6257"/>
      <c r="U46" s="6257"/>
      <c r="V46" s="6257">
        <v>5</v>
      </c>
      <c r="W46" s="6260">
        <v>5</v>
      </c>
      <c r="X46" s="6260">
        <v>5</v>
      </c>
      <c r="Y46" s="6257">
        <v>5</v>
      </c>
      <c r="Z46" s="6257">
        <v>5</v>
      </c>
      <c r="AA46" s="6260"/>
      <c r="AB46" s="6260"/>
      <c r="AC46" s="6260">
        <v>10</v>
      </c>
      <c r="AD46" s="6257">
        <v>10</v>
      </c>
      <c r="AE46" s="6257">
        <v>10</v>
      </c>
    </row>
    <row r="47" spans="1:31" ht="18" customHeight="1">
      <c r="A47" s="364" t="s">
        <v>177</v>
      </c>
      <c r="B47" s="6261" t="s">
        <v>46</v>
      </c>
      <c r="C47" s="6261" t="s">
        <v>46</v>
      </c>
      <c r="D47" s="6261" t="s">
        <v>46</v>
      </c>
      <c r="E47" s="6261" t="s">
        <v>46</v>
      </c>
      <c r="F47" s="6261" t="s">
        <v>86</v>
      </c>
      <c r="G47" s="6261" t="s">
        <v>86</v>
      </c>
      <c r="H47" s="6261">
        <v>7</v>
      </c>
      <c r="I47" s="6261">
        <v>7</v>
      </c>
      <c r="J47" s="6261">
        <v>7</v>
      </c>
      <c r="K47" s="6261">
        <v>7</v>
      </c>
      <c r="L47" s="6261">
        <v>7</v>
      </c>
      <c r="M47" s="6261"/>
      <c r="N47" s="6261"/>
      <c r="O47" s="6261">
        <v>4</v>
      </c>
      <c r="P47" s="6261">
        <v>4</v>
      </c>
      <c r="Q47" s="6261">
        <v>4</v>
      </c>
      <c r="R47" s="6261">
        <v>4</v>
      </c>
      <c r="S47" s="6261">
        <v>4</v>
      </c>
      <c r="T47" s="6261"/>
      <c r="U47" s="6261"/>
      <c r="V47" s="6261">
        <v>3</v>
      </c>
      <c r="W47" s="6261">
        <v>3</v>
      </c>
      <c r="X47" s="6261">
        <v>3</v>
      </c>
      <c r="Y47" s="6261">
        <v>3</v>
      </c>
      <c r="Z47" s="6261">
        <v>3</v>
      </c>
      <c r="AA47" s="6261"/>
      <c r="AB47" s="6261"/>
      <c r="AC47" s="6261">
        <v>11</v>
      </c>
      <c r="AD47" s="6261">
        <v>11</v>
      </c>
      <c r="AE47" s="6261">
        <v>11</v>
      </c>
    </row>
    <row r="48" spans="1:31" ht="18" customHeight="1" thickBot="1">
      <c r="A48" s="469" t="s">
        <v>90</v>
      </c>
      <c r="B48" s="6262" t="s">
        <v>46</v>
      </c>
      <c r="C48" s="6262" t="s">
        <v>46</v>
      </c>
      <c r="D48" s="6263" t="s">
        <v>46</v>
      </c>
      <c r="E48" s="6262" t="s">
        <v>46</v>
      </c>
      <c r="F48" s="6262" t="s">
        <v>89</v>
      </c>
      <c r="G48" s="6262" t="s">
        <v>89</v>
      </c>
      <c r="H48" s="6262">
        <v>8</v>
      </c>
      <c r="I48" s="6262">
        <v>8</v>
      </c>
      <c r="J48" s="6262">
        <v>8</v>
      </c>
      <c r="K48" s="6262">
        <v>8</v>
      </c>
      <c r="L48" s="6216">
        <v>8</v>
      </c>
      <c r="M48" s="6262"/>
      <c r="N48" s="6262"/>
      <c r="O48" s="6262" t="s">
        <v>46</v>
      </c>
      <c r="P48" s="6262" t="s">
        <v>46</v>
      </c>
      <c r="Q48" s="6262" t="s">
        <v>46</v>
      </c>
      <c r="R48" s="6262" t="s">
        <v>46</v>
      </c>
      <c r="S48" s="6214" t="s">
        <v>46</v>
      </c>
      <c r="T48" s="6262"/>
      <c r="U48" s="6262"/>
      <c r="V48" s="6262">
        <v>1</v>
      </c>
      <c r="W48" s="6262">
        <v>1</v>
      </c>
      <c r="X48" s="6262">
        <v>1</v>
      </c>
      <c r="Y48" s="6262">
        <v>1</v>
      </c>
      <c r="Z48" s="6262">
        <v>1</v>
      </c>
      <c r="AA48" s="6262"/>
      <c r="AB48" s="6262"/>
      <c r="AC48" s="6262">
        <v>9</v>
      </c>
      <c r="AD48" s="6262">
        <v>9</v>
      </c>
      <c r="AE48" s="6262">
        <v>9</v>
      </c>
    </row>
    <row r="49" spans="1:31" ht="18" customHeight="1">
      <c r="A49" s="470" t="s">
        <v>92</v>
      </c>
      <c r="B49" s="6264">
        <v>6</v>
      </c>
      <c r="C49" s="6265">
        <v>6</v>
      </c>
      <c r="D49" s="6265">
        <v>6</v>
      </c>
      <c r="E49" s="6264">
        <v>6</v>
      </c>
      <c r="F49" s="6264"/>
      <c r="G49" s="6257"/>
      <c r="H49" s="6257" t="s">
        <v>46</v>
      </c>
      <c r="I49" s="6258" t="s">
        <v>46</v>
      </c>
      <c r="J49" s="6258" t="s">
        <v>46</v>
      </c>
      <c r="K49" s="6257" t="s">
        <v>46</v>
      </c>
      <c r="L49" s="6257" t="s">
        <v>46</v>
      </c>
      <c r="M49" s="6257"/>
      <c r="N49" s="6260"/>
      <c r="O49" s="6257">
        <v>5</v>
      </c>
      <c r="P49" s="6260">
        <v>5</v>
      </c>
      <c r="Q49" s="6260">
        <v>5</v>
      </c>
      <c r="R49" s="6258">
        <v>5</v>
      </c>
      <c r="S49" s="6260">
        <v>5</v>
      </c>
      <c r="T49" s="6260"/>
      <c r="U49" s="6168"/>
      <c r="V49" s="6168">
        <v>10</v>
      </c>
      <c r="W49" s="6168">
        <v>10</v>
      </c>
      <c r="X49" s="6169">
        <v>10</v>
      </c>
      <c r="Y49" s="6169">
        <v>10</v>
      </c>
      <c r="Z49" s="6169">
        <v>10</v>
      </c>
      <c r="AA49" s="6257" t="s">
        <v>53</v>
      </c>
      <c r="AB49" s="6260" t="s">
        <v>53</v>
      </c>
      <c r="AC49" s="6260" t="s">
        <v>46</v>
      </c>
      <c r="AD49" s="6257" t="s">
        <v>46</v>
      </c>
      <c r="AE49" s="6257" t="s">
        <v>46</v>
      </c>
    </row>
    <row r="50" spans="1:31" ht="18" customHeight="1">
      <c r="A50" s="365" t="s">
        <v>243</v>
      </c>
      <c r="B50" s="6223">
        <v>7</v>
      </c>
      <c r="C50" s="6223">
        <v>7</v>
      </c>
      <c r="D50" s="6223">
        <v>7</v>
      </c>
      <c r="E50" s="6219">
        <v>7</v>
      </c>
      <c r="F50" s="6219"/>
      <c r="G50" s="6228"/>
      <c r="H50" s="6228">
        <v>4</v>
      </c>
      <c r="I50" s="6221">
        <v>4</v>
      </c>
      <c r="J50" s="6221">
        <v>4</v>
      </c>
      <c r="K50" s="6228">
        <v>4</v>
      </c>
      <c r="L50" s="6040">
        <v>4</v>
      </c>
      <c r="M50" s="6266"/>
      <c r="N50" s="6266"/>
      <c r="O50" s="6266">
        <v>3</v>
      </c>
      <c r="P50" s="6266">
        <v>3</v>
      </c>
      <c r="Q50" s="6266">
        <v>3</v>
      </c>
      <c r="R50" s="6266">
        <v>3</v>
      </c>
      <c r="S50" s="108">
        <v>3</v>
      </c>
      <c r="T50" s="6219"/>
      <c r="U50" s="6267"/>
      <c r="V50" s="6267">
        <v>11</v>
      </c>
      <c r="W50" s="6267">
        <v>11</v>
      </c>
      <c r="X50" s="6228">
        <v>11</v>
      </c>
      <c r="Y50" s="6228">
        <v>11</v>
      </c>
      <c r="Z50" s="6221">
        <v>11</v>
      </c>
      <c r="AA50" s="108" t="s">
        <v>87</v>
      </c>
      <c r="AB50" s="6228" t="s">
        <v>87</v>
      </c>
      <c r="AC50" s="6228" t="s">
        <v>46</v>
      </c>
      <c r="AD50" s="6228" t="s">
        <v>46</v>
      </c>
      <c r="AE50" s="6228" t="s">
        <v>46</v>
      </c>
    </row>
    <row r="51" spans="1:31" ht="18" customHeight="1" thickBot="1">
      <c r="A51" s="401" t="s">
        <v>94</v>
      </c>
      <c r="B51" s="6216">
        <v>8</v>
      </c>
      <c r="C51" s="6216">
        <v>8</v>
      </c>
      <c r="D51" s="6216">
        <v>8</v>
      </c>
      <c r="E51" s="6216">
        <v>8</v>
      </c>
      <c r="F51" s="6216"/>
      <c r="G51" s="6216"/>
      <c r="H51" s="6216" t="s">
        <v>46</v>
      </c>
      <c r="I51" s="6216" t="s">
        <v>46</v>
      </c>
      <c r="J51" s="6216" t="s">
        <v>46</v>
      </c>
      <c r="K51" s="6216" t="s">
        <v>46</v>
      </c>
      <c r="L51" s="6216" t="s">
        <v>46</v>
      </c>
      <c r="M51" s="6216"/>
      <c r="N51" s="6216"/>
      <c r="O51" s="6216">
        <v>1</v>
      </c>
      <c r="P51" s="6216">
        <v>1</v>
      </c>
      <c r="Q51" s="6216">
        <v>1</v>
      </c>
      <c r="R51" s="6216">
        <v>1</v>
      </c>
      <c r="S51" s="6216">
        <v>1</v>
      </c>
      <c r="T51" s="6216"/>
      <c r="U51" s="6216"/>
      <c r="V51" s="6216">
        <v>9</v>
      </c>
      <c r="W51" s="6216">
        <v>9</v>
      </c>
      <c r="X51" s="6216">
        <v>9</v>
      </c>
      <c r="Y51" s="6216">
        <v>9</v>
      </c>
      <c r="Z51" s="6216">
        <v>9</v>
      </c>
      <c r="AA51" s="6216" t="s">
        <v>52</v>
      </c>
      <c r="AB51" s="6216" t="s">
        <v>53</v>
      </c>
      <c r="AC51" s="6216" t="s">
        <v>46</v>
      </c>
      <c r="AD51" s="6216" t="s">
        <v>46</v>
      </c>
      <c r="AE51" s="6216" t="s">
        <v>46</v>
      </c>
    </row>
    <row r="52" spans="1:31" ht="18" customHeight="1">
      <c r="A52" s="471" t="s">
        <v>95</v>
      </c>
      <c r="B52" s="501" t="s">
        <v>46</v>
      </c>
      <c r="C52" s="508" t="s">
        <v>46</v>
      </c>
      <c r="D52" s="504" t="s">
        <v>46</v>
      </c>
      <c r="E52" s="504" t="s">
        <v>46</v>
      </c>
      <c r="F52" s="504"/>
      <c r="G52" s="504"/>
      <c r="H52" s="504">
        <v>5</v>
      </c>
      <c r="I52" s="508">
        <v>5</v>
      </c>
      <c r="J52" s="508">
        <v>5</v>
      </c>
      <c r="K52" s="508">
        <v>5</v>
      </c>
      <c r="L52" s="508">
        <v>5</v>
      </c>
      <c r="M52" s="508"/>
      <c r="N52" s="508"/>
      <c r="O52" s="508">
        <v>10</v>
      </c>
      <c r="P52" s="508">
        <v>10</v>
      </c>
      <c r="Q52" s="504">
        <v>10</v>
      </c>
      <c r="R52" s="504">
        <v>10</v>
      </c>
      <c r="S52" s="504">
        <v>10</v>
      </c>
      <c r="T52" s="504" t="s">
        <v>53</v>
      </c>
      <c r="U52" s="508" t="s">
        <v>53</v>
      </c>
      <c r="V52" s="508" t="s">
        <v>46</v>
      </c>
      <c r="W52" s="501" t="s">
        <v>46</v>
      </c>
      <c r="X52" s="504" t="s">
        <v>46</v>
      </c>
      <c r="Y52" s="504" t="s">
        <v>46</v>
      </c>
      <c r="Z52" s="504" t="s">
        <v>46</v>
      </c>
      <c r="AA52" s="504" t="s">
        <v>86</v>
      </c>
      <c r="AB52" s="509" t="s">
        <v>86</v>
      </c>
      <c r="AC52" s="504">
        <v>7</v>
      </c>
      <c r="AD52" s="504">
        <v>7</v>
      </c>
      <c r="AE52" s="504">
        <v>7</v>
      </c>
    </row>
    <row r="53" spans="1:31" ht="18" customHeight="1">
      <c r="A53" s="364" t="s">
        <v>96</v>
      </c>
      <c r="B53" s="6043">
        <v>4</v>
      </c>
      <c r="C53" s="6043">
        <v>4</v>
      </c>
      <c r="D53" s="6043">
        <v>4</v>
      </c>
      <c r="E53" s="6043">
        <v>4</v>
      </c>
      <c r="F53" s="6043"/>
      <c r="G53" s="6043"/>
      <c r="H53" s="6043">
        <v>3</v>
      </c>
      <c r="I53" s="6043">
        <v>3</v>
      </c>
      <c r="J53" s="6043">
        <v>3</v>
      </c>
      <c r="K53" s="6043">
        <v>3</v>
      </c>
      <c r="L53" s="6043">
        <v>3</v>
      </c>
      <c r="M53" s="6043"/>
      <c r="N53" s="6043"/>
      <c r="O53" s="6043">
        <v>11</v>
      </c>
      <c r="P53" s="6043">
        <v>11</v>
      </c>
      <c r="Q53" s="6043">
        <v>11</v>
      </c>
      <c r="R53" s="6043">
        <v>11</v>
      </c>
      <c r="S53" s="6043">
        <v>11</v>
      </c>
      <c r="T53" s="6043" t="s">
        <v>87</v>
      </c>
      <c r="U53" s="6043" t="s">
        <v>87</v>
      </c>
      <c r="V53" s="6043" t="s">
        <v>46</v>
      </c>
      <c r="W53" s="6043" t="s">
        <v>46</v>
      </c>
      <c r="X53" s="6228" t="s">
        <v>46</v>
      </c>
      <c r="Y53" s="6228" t="s">
        <v>46</v>
      </c>
      <c r="Z53" s="6228" t="s">
        <v>46</v>
      </c>
      <c r="AA53" s="6228" t="s">
        <v>89</v>
      </c>
      <c r="AB53" s="6228" t="s">
        <v>89</v>
      </c>
      <c r="AC53" s="6267">
        <v>8</v>
      </c>
      <c r="AD53" s="6267">
        <v>8</v>
      </c>
      <c r="AE53" s="6266">
        <v>8</v>
      </c>
    </row>
    <row r="54" spans="1:31" ht="18" customHeight="1" thickBot="1">
      <c r="A54" s="469" t="s">
        <v>147</v>
      </c>
      <c r="B54" s="6268" t="s">
        <v>46</v>
      </c>
      <c r="C54" s="6268" t="s">
        <v>46</v>
      </c>
      <c r="D54" s="6262" t="s">
        <v>46</v>
      </c>
      <c r="E54" s="6262" t="s">
        <v>46</v>
      </c>
      <c r="F54" s="6262"/>
      <c r="G54" s="6262"/>
      <c r="H54" s="6262">
        <v>1</v>
      </c>
      <c r="I54" s="6268">
        <v>1</v>
      </c>
      <c r="J54" s="6262">
        <v>1</v>
      </c>
      <c r="K54" s="6269">
        <v>1</v>
      </c>
      <c r="L54" s="6262">
        <v>1</v>
      </c>
      <c r="M54" s="6269"/>
      <c r="N54" s="6269"/>
      <c r="O54" s="6269">
        <v>9</v>
      </c>
      <c r="P54" s="6262">
        <v>9</v>
      </c>
      <c r="Q54" s="6262">
        <v>9</v>
      </c>
      <c r="R54" s="6262">
        <v>9</v>
      </c>
      <c r="S54" s="6262">
        <v>9</v>
      </c>
      <c r="T54" s="6262" t="s">
        <v>52</v>
      </c>
      <c r="U54" s="6262" t="s">
        <v>53</v>
      </c>
      <c r="V54" s="6262" t="s">
        <v>46</v>
      </c>
      <c r="W54" s="6262" t="s">
        <v>46</v>
      </c>
      <c r="X54" s="6268" t="s">
        <v>46</v>
      </c>
      <c r="Y54" s="6262" t="s">
        <v>46</v>
      </c>
      <c r="Z54" s="6262" t="s">
        <v>46</v>
      </c>
      <c r="AA54" s="6262" t="s">
        <v>91</v>
      </c>
      <c r="AB54" s="6262" t="s">
        <v>89</v>
      </c>
      <c r="AC54" s="6262">
        <v>6</v>
      </c>
      <c r="AD54" s="6216">
        <v>6</v>
      </c>
      <c r="AE54" s="6262">
        <v>6</v>
      </c>
    </row>
    <row r="55" spans="1:31" ht="18" customHeight="1">
      <c r="A55" s="473"/>
      <c r="B55" s="501">
        <v>5</v>
      </c>
      <c r="C55" s="508">
        <v>5</v>
      </c>
      <c r="D55" s="504">
        <v>5</v>
      </c>
      <c r="E55" s="504">
        <v>5</v>
      </c>
      <c r="F55" s="504"/>
      <c r="G55" s="504"/>
      <c r="H55" s="504">
        <v>10</v>
      </c>
      <c r="I55" s="508">
        <v>10</v>
      </c>
      <c r="J55" s="508">
        <v>10</v>
      </c>
      <c r="K55" s="508">
        <v>10</v>
      </c>
      <c r="L55" s="508">
        <v>10</v>
      </c>
      <c r="M55" s="508" t="s">
        <v>53</v>
      </c>
      <c r="N55" s="508" t="s">
        <v>53</v>
      </c>
      <c r="O55" s="508" t="s">
        <v>46</v>
      </c>
      <c r="P55" s="508" t="s">
        <v>46</v>
      </c>
      <c r="Q55" s="504" t="s">
        <v>46</v>
      </c>
      <c r="R55" s="504" t="s">
        <v>46</v>
      </c>
      <c r="S55" s="504" t="s">
        <v>46</v>
      </c>
      <c r="T55" s="504" t="s">
        <v>86</v>
      </c>
      <c r="U55" s="508" t="s">
        <v>86</v>
      </c>
      <c r="V55" s="508">
        <v>7</v>
      </c>
      <c r="W55" s="501">
        <v>7</v>
      </c>
      <c r="X55" s="504">
        <v>7</v>
      </c>
      <c r="Y55" s="504">
        <v>7</v>
      </c>
      <c r="Z55" s="504">
        <v>7</v>
      </c>
      <c r="AA55" s="504"/>
      <c r="AB55" s="509"/>
      <c r="AC55" s="504">
        <v>4</v>
      </c>
      <c r="AD55" s="504">
        <v>4</v>
      </c>
      <c r="AE55" s="504">
        <v>4</v>
      </c>
    </row>
    <row r="56" spans="1:31" ht="18" customHeight="1">
      <c r="A56" s="470" t="s">
        <v>101</v>
      </c>
      <c r="B56" s="6043">
        <v>3</v>
      </c>
      <c r="C56" s="6043">
        <v>3</v>
      </c>
      <c r="D56" s="6043">
        <v>3</v>
      </c>
      <c r="E56" s="6043">
        <v>3</v>
      </c>
      <c r="F56" s="6043"/>
      <c r="G56" s="6043"/>
      <c r="H56" s="6040">
        <v>11</v>
      </c>
      <c r="I56" s="6043">
        <v>11</v>
      </c>
      <c r="J56" s="6043">
        <v>11</v>
      </c>
      <c r="K56" s="6043">
        <v>11</v>
      </c>
      <c r="L56" s="6043">
        <v>11</v>
      </c>
      <c r="M56" s="6267" t="s">
        <v>87</v>
      </c>
      <c r="N56" s="6043" t="s">
        <v>87</v>
      </c>
      <c r="O56" s="6043" t="s">
        <v>46</v>
      </c>
      <c r="P56" s="6043" t="s">
        <v>46</v>
      </c>
      <c r="Q56" s="6043" t="s">
        <v>46</v>
      </c>
      <c r="R56" s="6043" t="s">
        <v>46</v>
      </c>
      <c r="S56" s="6043" t="s">
        <v>46</v>
      </c>
      <c r="T56" s="6043" t="s">
        <v>89</v>
      </c>
      <c r="U56" s="6228" t="s">
        <v>89</v>
      </c>
      <c r="V56" s="6228">
        <v>8</v>
      </c>
      <c r="W56" s="6221">
        <v>8</v>
      </c>
      <c r="X56" s="6228">
        <v>8</v>
      </c>
      <c r="Y56" s="6228">
        <v>8</v>
      </c>
      <c r="Z56" s="6228">
        <v>8</v>
      </c>
      <c r="AA56" s="6228"/>
      <c r="AB56" s="6228"/>
      <c r="AC56" s="6267" t="s">
        <v>46</v>
      </c>
      <c r="AD56" s="6267" t="s">
        <v>46</v>
      </c>
      <c r="AE56" s="6266" t="s">
        <v>46</v>
      </c>
    </row>
    <row r="57" spans="1:31" ht="18" customHeight="1" thickBot="1">
      <c r="A57" s="469" t="s">
        <v>102</v>
      </c>
      <c r="B57" s="6268">
        <v>1</v>
      </c>
      <c r="C57" s="6268">
        <v>1</v>
      </c>
      <c r="D57" s="6262">
        <v>1</v>
      </c>
      <c r="E57" s="6262">
        <v>1</v>
      </c>
      <c r="F57" s="6262"/>
      <c r="G57" s="6262"/>
      <c r="H57" s="6262">
        <v>9</v>
      </c>
      <c r="I57" s="6268">
        <v>9</v>
      </c>
      <c r="J57" s="6262">
        <v>9</v>
      </c>
      <c r="K57" s="6269">
        <v>9</v>
      </c>
      <c r="L57" s="6262">
        <v>9</v>
      </c>
      <c r="M57" s="6269" t="s">
        <v>52</v>
      </c>
      <c r="N57" s="6269" t="s">
        <v>53</v>
      </c>
      <c r="O57" s="6269" t="s">
        <v>46</v>
      </c>
      <c r="P57" s="6262" t="s">
        <v>46</v>
      </c>
      <c r="Q57" s="6262" t="s">
        <v>46</v>
      </c>
      <c r="R57" s="6262" t="s">
        <v>46</v>
      </c>
      <c r="S57" s="6262" t="s">
        <v>46</v>
      </c>
      <c r="T57" s="6262" t="s">
        <v>91</v>
      </c>
      <c r="U57" s="6262" t="s">
        <v>89</v>
      </c>
      <c r="V57" s="6262">
        <v>6</v>
      </c>
      <c r="W57" s="6216">
        <v>6</v>
      </c>
      <c r="X57" s="6268">
        <v>6</v>
      </c>
      <c r="Y57" s="6262">
        <v>6</v>
      </c>
      <c r="Z57" s="6262">
        <v>6</v>
      </c>
      <c r="AA57" s="6262"/>
      <c r="AB57" s="6262"/>
      <c r="AC57" s="6262" t="s">
        <v>46</v>
      </c>
      <c r="AD57" s="6268" t="s">
        <v>46</v>
      </c>
      <c r="AE57" s="6262" t="s">
        <v>46</v>
      </c>
    </row>
    <row r="58" spans="1:31" ht="18" customHeight="1">
      <c r="A58" s="474" t="s">
        <v>190</v>
      </c>
      <c r="B58" s="6258">
        <v>10</v>
      </c>
      <c r="C58" s="6264">
        <v>10</v>
      </c>
      <c r="D58" s="6264">
        <v>10</v>
      </c>
      <c r="E58" s="6264">
        <v>10</v>
      </c>
      <c r="F58" s="6264" t="s">
        <v>53</v>
      </c>
      <c r="G58" s="6264" t="s">
        <v>53</v>
      </c>
      <c r="H58" s="6264" t="s">
        <v>46</v>
      </c>
      <c r="I58" s="6264" t="s">
        <v>46</v>
      </c>
      <c r="J58" s="6257" t="s">
        <v>46</v>
      </c>
      <c r="K58" s="6257" t="s">
        <v>46</v>
      </c>
      <c r="L58" s="6257" t="s">
        <v>46</v>
      </c>
      <c r="M58" s="6270" t="s">
        <v>86</v>
      </c>
      <c r="N58" s="6258" t="s">
        <v>86</v>
      </c>
      <c r="O58" s="6257">
        <v>7</v>
      </c>
      <c r="P58" s="6257">
        <v>7</v>
      </c>
      <c r="Q58" s="6258">
        <v>7</v>
      </c>
      <c r="R58" s="6257">
        <v>7</v>
      </c>
      <c r="S58" s="6257">
        <v>7</v>
      </c>
      <c r="T58" s="6260"/>
      <c r="U58" s="6260"/>
      <c r="V58" s="6260">
        <v>4</v>
      </c>
      <c r="W58" s="6260">
        <v>4</v>
      </c>
      <c r="X58" s="6270">
        <v>4</v>
      </c>
      <c r="Y58" s="6260">
        <v>4</v>
      </c>
      <c r="Z58" s="6260">
        <v>4</v>
      </c>
      <c r="AA58" s="6260"/>
      <c r="AB58" s="6260"/>
      <c r="AC58" s="6257">
        <v>3</v>
      </c>
      <c r="AD58" s="6257">
        <v>3</v>
      </c>
      <c r="AE58" s="6258">
        <v>3</v>
      </c>
    </row>
    <row r="59" spans="1:31" ht="18" customHeight="1">
      <c r="A59" s="364" t="s">
        <v>105</v>
      </c>
      <c r="B59" s="6267">
        <v>11</v>
      </c>
      <c r="C59" s="6267">
        <v>11</v>
      </c>
      <c r="D59" s="6267">
        <v>11</v>
      </c>
      <c r="E59" s="6267">
        <v>11</v>
      </c>
      <c r="F59" s="6267" t="s">
        <v>87</v>
      </c>
      <c r="G59" s="6267" t="s">
        <v>87</v>
      </c>
      <c r="H59" s="6040" t="s">
        <v>46</v>
      </c>
      <c r="I59" s="6040" t="s">
        <v>46</v>
      </c>
      <c r="J59" s="6040" t="s">
        <v>46</v>
      </c>
      <c r="K59" s="6040" t="s">
        <v>46</v>
      </c>
      <c r="L59" s="6040" t="s">
        <v>46</v>
      </c>
      <c r="M59" s="6040" t="s">
        <v>89</v>
      </c>
      <c r="N59" s="6267" t="s">
        <v>89</v>
      </c>
      <c r="O59" s="6267">
        <v>8</v>
      </c>
      <c r="P59" s="6267">
        <v>8</v>
      </c>
      <c r="Q59" s="6267">
        <v>8</v>
      </c>
      <c r="R59" s="6267">
        <v>8</v>
      </c>
      <c r="S59" s="6040">
        <v>8</v>
      </c>
      <c r="T59" s="6040"/>
      <c r="U59" s="6043"/>
      <c r="V59" s="6043" t="s">
        <v>46</v>
      </c>
      <c r="W59" s="6043" t="s">
        <v>46</v>
      </c>
      <c r="X59" s="6043" t="s">
        <v>46</v>
      </c>
      <c r="Y59" s="6043" t="s">
        <v>46</v>
      </c>
      <c r="Z59" s="6043" t="s">
        <v>46</v>
      </c>
      <c r="AA59" s="6043"/>
      <c r="AB59" s="6228"/>
      <c r="AC59" s="6228">
        <v>1</v>
      </c>
      <c r="AD59" s="6228">
        <v>1</v>
      </c>
      <c r="AE59" s="6228">
        <v>1</v>
      </c>
    </row>
    <row r="60" spans="1:31" ht="18" customHeight="1" thickBot="1">
      <c r="A60" s="367" t="s">
        <v>134</v>
      </c>
      <c r="B60" s="6262">
        <v>9</v>
      </c>
      <c r="C60" s="6262">
        <v>9</v>
      </c>
      <c r="D60" s="6262">
        <v>9</v>
      </c>
      <c r="E60" s="6269">
        <v>9</v>
      </c>
      <c r="F60" s="6269" t="s">
        <v>52</v>
      </c>
      <c r="G60" s="6269" t="s">
        <v>53</v>
      </c>
      <c r="H60" s="6269" t="s">
        <v>46</v>
      </c>
      <c r="I60" s="6269" t="s">
        <v>46</v>
      </c>
      <c r="J60" s="6268" t="s">
        <v>46</v>
      </c>
      <c r="K60" s="6262" t="s">
        <v>46</v>
      </c>
      <c r="L60" s="6262" t="s">
        <v>46</v>
      </c>
      <c r="M60" s="6262" t="s">
        <v>91</v>
      </c>
      <c r="N60" s="6216" t="s">
        <v>89</v>
      </c>
      <c r="O60" s="6216">
        <v>6</v>
      </c>
      <c r="P60" s="6216">
        <v>6</v>
      </c>
      <c r="Q60" s="6216">
        <v>6</v>
      </c>
      <c r="R60" s="6216">
        <v>6</v>
      </c>
      <c r="S60" s="6216">
        <v>6</v>
      </c>
      <c r="T60" s="6216"/>
      <c r="U60" s="6262"/>
      <c r="V60" s="6262" t="s">
        <v>46</v>
      </c>
      <c r="W60" s="6262" t="s">
        <v>46</v>
      </c>
      <c r="X60" s="6268" t="s">
        <v>46</v>
      </c>
      <c r="Y60" s="6262" t="s">
        <v>46</v>
      </c>
      <c r="Z60" s="6262" t="s">
        <v>46</v>
      </c>
      <c r="AA60" s="6262"/>
      <c r="AB60" s="6262"/>
      <c r="AC60" s="6262">
        <v>5</v>
      </c>
      <c r="AD60" s="6268">
        <v>5</v>
      </c>
      <c r="AE60" s="6268">
        <v>5</v>
      </c>
    </row>
    <row r="61" spans="1:31" ht="18" customHeight="1" thickBot="1">
      <c r="B61" s="6271"/>
      <c r="C61" s="6272"/>
      <c r="D61" s="6272"/>
      <c r="E61" s="6272"/>
      <c r="K61" s="6273"/>
      <c r="L61" s="6273"/>
      <c r="O61" s="6273"/>
      <c r="P61" s="6273"/>
      <c r="Q61" s="6273"/>
      <c r="T61" s="6271"/>
      <c r="U61" s="6271"/>
      <c r="V61" s="6273"/>
      <c r="W61" s="6273"/>
      <c r="X61" s="6274"/>
      <c r="Y61" s="6274"/>
      <c r="Z61" s="6274"/>
      <c r="AA61" s="6274"/>
      <c r="AB61" s="6274"/>
      <c r="AC61" s="6274"/>
      <c r="AD61" s="6274"/>
      <c r="AE61" s="6274"/>
    </row>
    <row r="62" spans="1:31" ht="18" customHeight="1" thickBot="1">
      <c r="A62" s="363" t="s">
        <v>537</v>
      </c>
      <c r="B62" s="2985">
        <v>1</v>
      </c>
      <c r="C62" s="2985">
        <v>2</v>
      </c>
      <c r="D62" s="2985">
        <v>3</v>
      </c>
      <c r="E62" s="2985">
        <v>4</v>
      </c>
      <c r="F62" s="2986">
        <v>5</v>
      </c>
      <c r="G62" s="2986">
        <v>6</v>
      </c>
      <c r="H62" s="2985">
        <v>7</v>
      </c>
      <c r="I62" s="2985">
        <v>8</v>
      </c>
      <c r="J62" s="2985">
        <v>9</v>
      </c>
      <c r="K62" s="2985">
        <v>10</v>
      </c>
      <c r="L62" s="2985">
        <v>11</v>
      </c>
      <c r="M62" s="2986">
        <v>12</v>
      </c>
      <c r="N62" s="2986">
        <v>13</v>
      </c>
      <c r="O62" s="2985">
        <v>14</v>
      </c>
      <c r="P62" s="2985">
        <v>15</v>
      </c>
      <c r="Q62" s="2985">
        <v>16</v>
      </c>
      <c r="R62" s="2985">
        <v>17</v>
      </c>
      <c r="S62" s="2985">
        <v>18</v>
      </c>
      <c r="T62" s="2986">
        <v>19</v>
      </c>
      <c r="U62" s="2986">
        <v>20</v>
      </c>
      <c r="V62" s="2985">
        <v>21</v>
      </c>
      <c r="W62" s="2985">
        <v>22</v>
      </c>
      <c r="X62" s="2985">
        <v>23</v>
      </c>
      <c r="Y62" s="2985">
        <v>24</v>
      </c>
      <c r="Z62" s="2985">
        <v>25</v>
      </c>
      <c r="AA62" s="2986">
        <v>26</v>
      </c>
      <c r="AB62" s="2986">
        <v>27</v>
      </c>
      <c r="AC62" s="2985">
        <v>28</v>
      </c>
      <c r="AD62" s="2985">
        <v>29</v>
      </c>
      <c r="AE62" s="2985">
        <v>30</v>
      </c>
    </row>
    <row r="63" spans="1:31" ht="18" customHeight="1">
      <c r="A63" s="5587" t="s">
        <v>112</v>
      </c>
      <c r="B63" s="6043" t="s">
        <v>40</v>
      </c>
      <c r="C63" s="6043" t="s">
        <v>40</v>
      </c>
      <c r="D63" s="6267" t="s">
        <v>40</v>
      </c>
      <c r="E63" s="6267" t="s">
        <v>40</v>
      </c>
      <c r="F63" s="6267"/>
      <c r="G63" s="6221"/>
      <c r="H63" s="6221" t="s">
        <v>40</v>
      </c>
      <c r="I63" s="6221" t="s">
        <v>40</v>
      </c>
      <c r="J63" s="6043" t="s">
        <v>40</v>
      </c>
      <c r="K63" s="6043" t="s">
        <v>40</v>
      </c>
      <c r="L63" s="6043" t="s">
        <v>40</v>
      </c>
      <c r="M63" s="6043"/>
      <c r="N63" s="6221"/>
      <c r="O63" s="6221" t="s">
        <v>40</v>
      </c>
      <c r="P63" s="6221" t="s">
        <v>40</v>
      </c>
      <c r="Q63" s="6221" t="s">
        <v>40</v>
      </c>
      <c r="R63" s="6221" t="s">
        <v>40</v>
      </c>
      <c r="S63" s="6043" t="s">
        <v>40</v>
      </c>
      <c r="T63" s="6043"/>
      <c r="U63" s="6221"/>
      <c r="V63" s="6221" t="s">
        <v>40</v>
      </c>
      <c r="W63" s="6043" t="s">
        <v>40</v>
      </c>
      <c r="X63" s="6043" t="s">
        <v>40</v>
      </c>
      <c r="Y63" s="6043" t="s">
        <v>40</v>
      </c>
      <c r="Z63" s="6043" t="s">
        <v>40</v>
      </c>
      <c r="AA63" s="6043"/>
      <c r="AB63" s="6221"/>
      <c r="AC63" s="6221" t="s">
        <v>40</v>
      </c>
      <c r="AD63" s="6043" t="s">
        <v>40</v>
      </c>
      <c r="AE63" s="6043" t="s">
        <v>40</v>
      </c>
    </row>
    <row r="64" spans="1:31" ht="18" customHeight="1">
      <c r="A64" s="5587" t="s">
        <v>114</v>
      </c>
      <c r="B64" s="6043" t="s">
        <v>40</v>
      </c>
      <c r="C64" s="6043" t="s">
        <v>40</v>
      </c>
      <c r="D64" s="6267" t="s">
        <v>40</v>
      </c>
      <c r="E64" s="6267" t="s">
        <v>40</v>
      </c>
      <c r="F64" s="6267"/>
      <c r="G64" s="6221"/>
      <c r="H64" s="6221" t="s">
        <v>40</v>
      </c>
      <c r="I64" s="6221" t="s">
        <v>40</v>
      </c>
      <c r="J64" s="6043" t="s">
        <v>40</v>
      </c>
      <c r="K64" s="6043" t="s">
        <v>40</v>
      </c>
      <c r="L64" s="6043" t="s">
        <v>40</v>
      </c>
      <c r="M64" s="6043"/>
      <c r="N64" s="6221"/>
      <c r="O64" s="6221" t="s">
        <v>40</v>
      </c>
      <c r="P64" s="6221" t="s">
        <v>40</v>
      </c>
      <c r="Q64" s="6221" t="s">
        <v>40</v>
      </c>
      <c r="R64" s="6221" t="s">
        <v>40</v>
      </c>
      <c r="S64" s="6043" t="s">
        <v>40</v>
      </c>
      <c r="T64" s="6043"/>
      <c r="U64" s="6221"/>
      <c r="V64" s="6221" t="s">
        <v>40</v>
      </c>
      <c r="W64" s="6043" t="s">
        <v>40</v>
      </c>
      <c r="X64" s="6043" t="s">
        <v>40</v>
      </c>
      <c r="Y64" s="6043" t="s">
        <v>40</v>
      </c>
      <c r="Z64" s="6043" t="s">
        <v>40</v>
      </c>
      <c r="AA64" s="6043"/>
      <c r="AB64" s="6221"/>
      <c r="AC64" s="6221" t="s">
        <v>40</v>
      </c>
      <c r="AD64" s="6043" t="s">
        <v>40</v>
      </c>
      <c r="AE64" s="6043" t="s">
        <v>40</v>
      </c>
    </row>
    <row r="65" spans="1:31" ht="18" customHeight="1">
      <c r="A65" s="5587" t="s">
        <v>115</v>
      </c>
      <c r="B65" s="6043" t="s">
        <v>40</v>
      </c>
      <c r="C65" s="6043" t="s">
        <v>40</v>
      </c>
      <c r="D65" s="6267" t="s">
        <v>40</v>
      </c>
      <c r="E65" s="6267" t="s">
        <v>40</v>
      </c>
      <c r="F65" s="6267"/>
      <c r="G65" s="6221"/>
      <c r="H65" s="6221" t="s">
        <v>40</v>
      </c>
      <c r="I65" s="6221" t="s">
        <v>40</v>
      </c>
      <c r="J65" s="6043" t="s">
        <v>40</v>
      </c>
      <c r="K65" s="6043" t="s">
        <v>40</v>
      </c>
      <c r="L65" s="6043" t="s">
        <v>40</v>
      </c>
      <c r="M65" s="6043"/>
      <c r="N65" s="6221"/>
      <c r="O65" s="6221" t="s">
        <v>40</v>
      </c>
      <c r="P65" s="6221" t="s">
        <v>40</v>
      </c>
      <c r="Q65" s="6221" t="s">
        <v>40</v>
      </c>
      <c r="R65" s="6221" t="s">
        <v>40</v>
      </c>
      <c r="S65" s="6043" t="s">
        <v>40</v>
      </c>
      <c r="T65" s="6043"/>
      <c r="U65" s="6221"/>
      <c r="V65" s="6221" t="s">
        <v>40</v>
      </c>
      <c r="W65" s="6043" t="s">
        <v>40</v>
      </c>
      <c r="X65" s="6043" t="s">
        <v>40</v>
      </c>
      <c r="Y65" s="6043" t="s">
        <v>40</v>
      </c>
      <c r="Z65" s="6043" t="s">
        <v>40</v>
      </c>
      <c r="AA65" s="6043"/>
      <c r="AB65" s="6221"/>
      <c r="AC65" s="6221" t="s">
        <v>40</v>
      </c>
      <c r="AD65" s="6043" t="s">
        <v>40</v>
      </c>
      <c r="AE65" s="6043" t="s">
        <v>40</v>
      </c>
    </row>
    <row r="66" spans="1:31" ht="18" customHeight="1">
      <c r="A66" s="5587" t="s">
        <v>117</v>
      </c>
      <c r="B66" s="6043" t="s">
        <v>40</v>
      </c>
      <c r="C66" s="6043" t="s">
        <v>40</v>
      </c>
      <c r="D66" s="6267" t="s">
        <v>40</v>
      </c>
      <c r="E66" s="6267" t="s">
        <v>40</v>
      </c>
      <c r="F66" s="6267"/>
      <c r="G66" s="6221"/>
      <c r="H66" s="6221" t="s">
        <v>40</v>
      </c>
      <c r="I66" s="6221" t="s">
        <v>40</v>
      </c>
      <c r="J66" s="6043" t="s">
        <v>40</v>
      </c>
      <c r="K66" s="6043" t="s">
        <v>40</v>
      </c>
      <c r="L66" s="6043" t="s">
        <v>40</v>
      </c>
      <c r="M66" s="6043"/>
      <c r="N66" s="6221"/>
      <c r="O66" s="6221" t="s">
        <v>40</v>
      </c>
      <c r="P66" s="6221" t="s">
        <v>40</v>
      </c>
      <c r="Q66" s="6221" t="s">
        <v>40</v>
      </c>
      <c r="R66" s="6221" t="s">
        <v>40</v>
      </c>
      <c r="S66" s="6043" t="s">
        <v>40</v>
      </c>
      <c r="T66" s="6043"/>
      <c r="U66" s="6221"/>
      <c r="V66" s="6221" t="s">
        <v>40</v>
      </c>
      <c r="W66" s="6043" t="s">
        <v>40</v>
      </c>
      <c r="X66" s="6043" t="s">
        <v>40</v>
      </c>
      <c r="Y66" s="6043" t="s">
        <v>40</v>
      </c>
      <c r="Z66" s="6043" t="s">
        <v>40</v>
      </c>
      <c r="AA66" s="6043"/>
      <c r="AB66" s="6221"/>
      <c r="AC66" s="6221" t="s">
        <v>40</v>
      </c>
      <c r="AD66" s="6043" t="s">
        <v>40</v>
      </c>
      <c r="AE66" s="6043" t="s">
        <v>40</v>
      </c>
    </row>
    <row r="67" spans="1:31" ht="18" customHeight="1">
      <c r="A67" s="5587" t="s">
        <v>622</v>
      </c>
      <c r="B67" s="6043" t="s">
        <v>40</v>
      </c>
      <c r="C67" s="6043" t="s">
        <v>40</v>
      </c>
      <c r="D67" s="6267" t="s">
        <v>40</v>
      </c>
      <c r="E67" s="6267" t="s">
        <v>40</v>
      </c>
      <c r="F67" s="6267"/>
      <c r="G67" s="6221"/>
      <c r="H67" s="6221" t="s">
        <v>40</v>
      </c>
      <c r="I67" s="6221" t="s">
        <v>40</v>
      </c>
      <c r="J67" s="6043" t="s">
        <v>40</v>
      </c>
      <c r="K67" s="6043" t="s">
        <v>40</v>
      </c>
      <c r="L67" s="6043" t="s">
        <v>40</v>
      </c>
      <c r="M67" s="6043"/>
      <c r="N67" s="6221"/>
      <c r="O67" s="6221" t="s">
        <v>40</v>
      </c>
      <c r="P67" s="6221" t="s">
        <v>40</v>
      </c>
      <c r="Q67" s="6221" t="s">
        <v>40</v>
      </c>
      <c r="R67" s="6221" t="s">
        <v>40</v>
      </c>
      <c r="S67" s="6043" t="s">
        <v>40</v>
      </c>
      <c r="T67" s="6043"/>
      <c r="U67" s="6221"/>
      <c r="V67" s="6221" t="s">
        <v>40</v>
      </c>
      <c r="W67" s="6043" t="s">
        <v>40</v>
      </c>
      <c r="X67" s="6043" t="s">
        <v>40</v>
      </c>
      <c r="Y67" s="6043" t="s">
        <v>40</v>
      </c>
      <c r="Z67" s="6043" t="s">
        <v>40</v>
      </c>
      <c r="AA67" s="6043"/>
      <c r="AB67" s="6221"/>
      <c r="AC67" s="6221" t="s">
        <v>40</v>
      </c>
      <c r="AD67" s="6043" t="s">
        <v>40</v>
      </c>
      <c r="AE67" s="6043" t="s">
        <v>40</v>
      </c>
    </row>
    <row r="68" spans="1:31" ht="18" customHeight="1">
      <c r="A68" s="5587" t="s">
        <v>122</v>
      </c>
      <c r="B68" s="6043" t="s">
        <v>40</v>
      </c>
      <c r="C68" s="6043" t="s">
        <v>40</v>
      </c>
      <c r="D68" s="6267" t="s">
        <v>40</v>
      </c>
      <c r="E68" s="6267" t="s">
        <v>40</v>
      </c>
      <c r="F68" s="6267"/>
      <c r="G68" s="6221"/>
      <c r="H68" s="6221" t="s">
        <v>40</v>
      </c>
      <c r="I68" s="6221" t="s">
        <v>40</v>
      </c>
      <c r="J68" s="6043" t="s">
        <v>40</v>
      </c>
      <c r="K68" s="6043" t="s">
        <v>40</v>
      </c>
      <c r="L68" s="6043" t="s">
        <v>40</v>
      </c>
      <c r="M68" s="6043"/>
      <c r="N68" s="6221"/>
      <c r="O68" s="6221" t="s">
        <v>40</v>
      </c>
      <c r="P68" s="6221" t="s">
        <v>40</v>
      </c>
      <c r="Q68" s="6221" t="s">
        <v>40</v>
      </c>
      <c r="R68" s="6221" t="s">
        <v>40</v>
      </c>
      <c r="S68" s="6043" t="s">
        <v>40</v>
      </c>
      <c r="T68" s="6043"/>
      <c r="U68" s="6221"/>
      <c r="V68" s="6221" t="s">
        <v>40</v>
      </c>
      <c r="W68" s="6043" t="s">
        <v>40</v>
      </c>
      <c r="X68" s="6043" t="s">
        <v>40</v>
      </c>
      <c r="Y68" s="6043" t="s">
        <v>40</v>
      </c>
      <c r="Z68" s="6043" t="s">
        <v>40</v>
      </c>
      <c r="AA68" s="6043"/>
      <c r="AB68" s="6221"/>
      <c r="AC68" s="6221" t="s">
        <v>40</v>
      </c>
      <c r="AD68" s="6043" t="s">
        <v>40</v>
      </c>
      <c r="AE68" s="6043" t="s">
        <v>40</v>
      </c>
    </row>
    <row r="69" spans="1:31" ht="18" customHeight="1">
      <c r="A69" s="5587" t="s">
        <v>129</v>
      </c>
      <c r="B69" s="6043" t="s">
        <v>40</v>
      </c>
      <c r="C69" s="6043" t="s">
        <v>40</v>
      </c>
      <c r="D69" s="6267" t="s">
        <v>40</v>
      </c>
      <c r="E69" s="6267" t="s">
        <v>40</v>
      </c>
      <c r="F69" s="6267"/>
      <c r="G69" s="6221"/>
      <c r="H69" s="6221" t="s">
        <v>40</v>
      </c>
      <c r="I69" s="6221" t="s">
        <v>40</v>
      </c>
      <c r="J69" s="6043" t="s">
        <v>40</v>
      </c>
      <c r="K69" s="6043" t="s">
        <v>40</v>
      </c>
      <c r="L69" s="6043" t="s">
        <v>40</v>
      </c>
      <c r="M69" s="6043"/>
      <c r="N69" s="6221"/>
      <c r="O69" s="6221" t="s">
        <v>40</v>
      </c>
      <c r="P69" s="6221" t="s">
        <v>40</v>
      </c>
      <c r="Q69" s="6221" t="s">
        <v>40</v>
      </c>
      <c r="R69" s="6221" t="s">
        <v>40</v>
      </c>
      <c r="S69" s="6043" t="s">
        <v>40</v>
      </c>
      <c r="T69" s="6043"/>
      <c r="U69" s="6221"/>
      <c r="V69" s="6221" t="s">
        <v>40</v>
      </c>
      <c r="W69" s="6043" t="s">
        <v>40</v>
      </c>
      <c r="X69" s="6043" t="s">
        <v>40</v>
      </c>
      <c r="Y69" s="6043" t="s">
        <v>40</v>
      </c>
      <c r="Z69" s="6043" t="s">
        <v>40</v>
      </c>
      <c r="AA69" s="6043"/>
      <c r="AB69" s="6221"/>
      <c r="AC69" s="6221" t="s">
        <v>40</v>
      </c>
      <c r="AD69" s="6043" t="s">
        <v>40</v>
      </c>
      <c r="AE69" s="6043" t="s">
        <v>40</v>
      </c>
    </row>
    <row r="70" spans="1:31" ht="18" customHeight="1">
      <c r="A70" s="5591" t="s">
        <v>140</v>
      </c>
      <c r="B70" s="6043" t="s">
        <v>40</v>
      </c>
      <c r="C70" s="6043" t="s">
        <v>40</v>
      </c>
      <c r="D70" s="6267" t="s">
        <v>40</v>
      </c>
      <c r="E70" s="6267" t="s">
        <v>40</v>
      </c>
      <c r="F70" s="6267"/>
      <c r="G70" s="6221"/>
      <c r="H70" s="6221" t="s">
        <v>40</v>
      </c>
      <c r="I70" s="6221" t="s">
        <v>40</v>
      </c>
      <c r="J70" s="6043" t="s">
        <v>40</v>
      </c>
      <c r="K70" s="6043" t="s">
        <v>40</v>
      </c>
      <c r="L70" s="6043" t="s">
        <v>40</v>
      </c>
      <c r="M70" s="6043"/>
      <c r="N70" s="6221"/>
      <c r="O70" s="6221" t="s">
        <v>40</v>
      </c>
      <c r="P70" s="6221" t="s">
        <v>40</v>
      </c>
      <c r="Q70" s="6221" t="s">
        <v>40</v>
      </c>
      <c r="R70" s="6221" t="s">
        <v>40</v>
      </c>
      <c r="S70" s="6043" t="s">
        <v>40</v>
      </c>
      <c r="T70" s="6043"/>
      <c r="U70" s="6221"/>
      <c r="V70" s="6221" t="s">
        <v>40</v>
      </c>
      <c r="W70" s="6043" t="s">
        <v>40</v>
      </c>
      <c r="X70" s="6043" t="s">
        <v>40</v>
      </c>
      <c r="Y70" s="6043" t="s">
        <v>40</v>
      </c>
      <c r="Z70" s="6043" t="s">
        <v>40</v>
      </c>
      <c r="AA70" s="6043"/>
      <c r="AB70" s="6221"/>
      <c r="AC70" s="6221" t="s">
        <v>40</v>
      </c>
      <c r="AD70" s="6043" t="s">
        <v>40</v>
      </c>
      <c r="AE70" s="6043" t="s">
        <v>40</v>
      </c>
    </row>
    <row r="71" spans="1:31" ht="18" customHeight="1">
      <c r="A71" s="5547" t="s">
        <v>478</v>
      </c>
      <c r="B71" s="6043" t="s">
        <v>40</v>
      </c>
      <c r="C71" s="6043" t="s">
        <v>40</v>
      </c>
      <c r="D71" s="6267" t="s">
        <v>40</v>
      </c>
      <c r="E71" s="6267" t="s">
        <v>40</v>
      </c>
      <c r="F71" s="6267"/>
      <c r="G71" s="6221"/>
      <c r="H71" s="6221" t="s">
        <v>40</v>
      </c>
      <c r="I71" s="6221" t="s">
        <v>40</v>
      </c>
      <c r="J71" s="6043" t="s">
        <v>40</v>
      </c>
      <c r="K71" s="6043" t="s">
        <v>40</v>
      </c>
      <c r="L71" s="6043" t="s">
        <v>40</v>
      </c>
      <c r="M71" s="6043"/>
      <c r="N71" s="6221"/>
      <c r="O71" s="6221" t="s">
        <v>40</v>
      </c>
      <c r="P71" s="6221" t="s">
        <v>40</v>
      </c>
      <c r="Q71" s="6221" t="s">
        <v>40</v>
      </c>
      <c r="R71" s="6221" t="s">
        <v>40</v>
      </c>
      <c r="S71" s="6043" t="s">
        <v>40</v>
      </c>
      <c r="T71" s="6043"/>
      <c r="U71" s="6221"/>
      <c r="V71" s="6221" t="s">
        <v>40</v>
      </c>
      <c r="W71" s="6043" t="s">
        <v>40</v>
      </c>
      <c r="X71" s="6043" t="s">
        <v>40</v>
      </c>
      <c r="Y71" s="6043" t="s">
        <v>40</v>
      </c>
      <c r="Z71" s="6043" t="s">
        <v>40</v>
      </c>
      <c r="AA71" s="6043"/>
      <c r="AB71" s="6221"/>
      <c r="AC71" s="6221" t="s">
        <v>40</v>
      </c>
      <c r="AD71" s="6043" t="s">
        <v>40</v>
      </c>
      <c r="AE71" s="6043" t="s">
        <v>40</v>
      </c>
    </row>
    <row r="72" spans="1:31" ht="18" customHeight="1">
      <c r="A72" s="5591" t="s">
        <v>479</v>
      </c>
      <c r="B72" s="6043" t="s">
        <v>40</v>
      </c>
      <c r="C72" s="6043" t="s">
        <v>40</v>
      </c>
      <c r="D72" s="6267" t="s">
        <v>40</v>
      </c>
      <c r="E72" s="6267" t="s">
        <v>40</v>
      </c>
      <c r="F72" s="6267"/>
      <c r="G72" s="6221"/>
      <c r="H72" s="6221" t="s">
        <v>40</v>
      </c>
      <c r="I72" s="6221" t="s">
        <v>40</v>
      </c>
      <c r="J72" s="6043" t="s">
        <v>40</v>
      </c>
      <c r="K72" s="6043" t="s">
        <v>40</v>
      </c>
      <c r="L72" s="6043" t="s">
        <v>40</v>
      </c>
      <c r="M72" s="6043"/>
      <c r="N72" s="6221"/>
      <c r="O72" s="6221" t="s">
        <v>40</v>
      </c>
      <c r="P72" s="6221" t="s">
        <v>40</v>
      </c>
      <c r="Q72" s="6221" t="s">
        <v>40</v>
      </c>
      <c r="R72" s="6221" t="s">
        <v>40</v>
      </c>
      <c r="S72" s="6043" t="s">
        <v>40</v>
      </c>
      <c r="T72" s="6043"/>
      <c r="U72" s="6221"/>
      <c r="V72" s="6221" t="s">
        <v>40</v>
      </c>
      <c r="W72" s="6043" t="s">
        <v>40</v>
      </c>
      <c r="X72" s="6043" t="s">
        <v>40</v>
      </c>
      <c r="Y72" s="6043" t="s">
        <v>40</v>
      </c>
      <c r="Z72" s="6043" t="s">
        <v>40</v>
      </c>
      <c r="AA72" s="6043"/>
      <c r="AB72" s="6221"/>
      <c r="AC72" s="6221" t="s">
        <v>40</v>
      </c>
      <c r="AD72" s="6043" t="s">
        <v>40</v>
      </c>
      <c r="AE72" s="6043" t="s">
        <v>40</v>
      </c>
    </row>
    <row r="73" spans="1:31" ht="18" customHeight="1">
      <c r="A73" s="5592" t="s">
        <v>564</v>
      </c>
      <c r="B73" s="6043" t="s">
        <v>40</v>
      </c>
      <c r="C73" s="6043" t="s">
        <v>40</v>
      </c>
      <c r="D73" s="6267" t="s">
        <v>40</v>
      </c>
      <c r="E73" s="6267" t="s">
        <v>40</v>
      </c>
      <c r="F73" s="6267"/>
      <c r="G73" s="6221"/>
      <c r="H73" s="6221" t="s">
        <v>40</v>
      </c>
      <c r="I73" s="6221" t="s">
        <v>40</v>
      </c>
      <c r="J73" s="6043" t="s">
        <v>40</v>
      </c>
      <c r="K73" s="6043" t="s">
        <v>40</v>
      </c>
      <c r="L73" s="6043" t="s">
        <v>40</v>
      </c>
      <c r="M73" s="6043"/>
      <c r="N73" s="6221"/>
      <c r="O73" s="6221" t="s">
        <v>40</v>
      </c>
      <c r="P73" s="6221" t="s">
        <v>40</v>
      </c>
      <c r="Q73" s="6221" t="s">
        <v>40</v>
      </c>
      <c r="R73" s="6221" t="s">
        <v>40</v>
      </c>
      <c r="S73" s="6043" t="s">
        <v>40</v>
      </c>
      <c r="T73" s="6043"/>
      <c r="U73" s="6221"/>
      <c r="V73" s="6221" t="s">
        <v>40</v>
      </c>
      <c r="W73" s="6043" t="s">
        <v>40</v>
      </c>
      <c r="X73" s="6043" t="s">
        <v>40</v>
      </c>
      <c r="Y73" s="6043" t="s">
        <v>40</v>
      </c>
      <c r="Z73" s="6043" t="s">
        <v>40</v>
      </c>
      <c r="AA73" s="6043"/>
      <c r="AB73" s="6221"/>
      <c r="AC73" s="6221" t="s">
        <v>40</v>
      </c>
      <c r="AD73" s="6043" t="s">
        <v>40</v>
      </c>
      <c r="AE73" s="6043" t="s">
        <v>40</v>
      </c>
    </row>
    <row r="74" spans="1:31" ht="18" customHeight="1">
      <c r="A74" s="5593" t="s">
        <v>565</v>
      </c>
      <c r="B74" s="6043" t="s">
        <v>40</v>
      </c>
      <c r="C74" s="6043" t="s">
        <v>40</v>
      </c>
      <c r="D74" s="6267" t="s">
        <v>40</v>
      </c>
      <c r="E74" s="6267" t="s">
        <v>40</v>
      </c>
      <c r="F74" s="6267"/>
      <c r="G74" s="6221"/>
      <c r="H74" s="6221" t="s">
        <v>40</v>
      </c>
      <c r="I74" s="6221" t="s">
        <v>40</v>
      </c>
      <c r="J74" s="6043" t="s">
        <v>40</v>
      </c>
      <c r="K74" s="6043" t="s">
        <v>40</v>
      </c>
      <c r="L74" s="6043" t="s">
        <v>40</v>
      </c>
      <c r="M74" s="6043"/>
      <c r="N74" s="6221"/>
      <c r="O74" s="6221" t="s">
        <v>40</v>
      </c>
      <c r="P74" s="6221" t="s">
        <v>40</v>
      </c>
      <c r="Q74" s="6221" t="s">
        <v>40</v>
      </c>
      <c r="R74" s="6221" t="s">
        <v>40</v>
      </c>
      <c r="S74" s="6043" t="s">
        <v>40</v>
      </c>
      <c r="T74" s="6043"/>
      <c r="U74" s="6221"/>
      <c r="V74" s="6221" t="s">
        <v>40</v>
      </c>
      <c r="W74" s="6043" t="s">
        <v>40</v>
      </c>
      <c r="X74" s="6043" t="s">
        <v>40</v>
      </c>
      <c r="Y74" s="6043" t="s">
        <v>40</v>
      </c>
      <c r="Z74" s="6043" t="s">
        <v>40</v>
      </c>
      <c r="AA74" s="6043"/>
      <c r="AB74" s="6221"/>
      <c r="AC74" s="6221" t="s">
        <v>40</v>
      </c>
      <c r="AD74" s="6043" t="s">
        <v>40</v>
      </c>
      <c r="AE74" s="6043" t="s">
        <v>40</v>
      </c>
    </row>
    <row r="75" spans="1:31" ht="18" customHeight="1">
      <c r="A75" s="5593" t="s">
        <v>540</v>
      </c>
      <c r="B75" s="6043" t="s">
        <v>40</v>
      </c>
      <c r="C75" s="6043" t="s">
        <v>40</v>
      </c>
      <c r="D75" s="6267" t="s">
        <v>40</v>
      </c>
      <c r="E75" s="6267" t="s">
        <v>40</v>
      </c>
      <c r="F75" s="6267"/>
      <c r="G75" s="6221"/>
      <c r="H75" s="6221" t="s">
        <v>40</v>
      </c>
      <c r="I75" s="6221" t="s">
        <v>40</v>
      </c>
      <c r="J75" s="6043" t="s">
        <v>40</v>
      </c>
      <c r="K75" s="6043" t="s">
        <v>40</v>
      </c>
      <c r="L75" s="6043" t="s">
        <v>40</v>
      </c>
      <c r="M75" s="6043"/>
      <c r="N75" s="6221"/>
      <c r="O75" s="6221" t="s">
        <v>40</v>
      </c>
      <c r="P75" s="6221" t="s">
        <v>40</v>
      </c>
      <c r="Q75" s="6221" t="s">
        <v>40</v>
      </c>
      <c r="R75" s="6221" t="s">
        <v>40</v>
      </c>
      <c r="S75" s="6043" t="s">
        <v>40</v>
      </c>
      <c r="T75" s="6043"/>
      <c r="U75" s="6221"/>
      <c r="V75" s="6221" t="s">
        <v>40</v>
      </c>
      <c r="W75" s="6043" t="s">
        <v>40</v>
      </c>
      <c r="X75" s="6043" t="s">
        <v>40</v>
      </c>
      <c r="Y75" s="6043" t="s">
        <v>40</v>
      </c>
      <c r="Z75" s="6043" t="s">
        <v>40</v>
      </c>
      <c r="AA75" s="6043"/>
      <c r="AB75" s="6221"/>
      <c r="AC75" s="6221" t="s">
        <v>40</v>
      </c>
      <c r="AD75" s="6043" t="s">
        <v>40</v>
      </c>
      <c r="AE75" s="6043" t="s">
        <v>40</v>
      </c>
    </row>
    <row r="76" spans="1:31" ht="18" customHeight="1">
      <c r="A76" s="5627" t="s">
        <v>541</v>
      </c>
      <c r="B76" s="6043" t="s">
        <v>40</v>
      </c>
      <c r="C76" s="6043" t="s">
        <v>40</v>
      </c>
      <c r="D76" s="6267" t="s">
        <v>40</v>
      </c>
      <c r="E76" s="6267" t="s">
        <v>40</v>
      </c>
      <c r="F76" s="6267"/>
      <c r="G76" s="6221"/>
      <c r="H76" s="6221" t="s">
        <v>40</v>
      </c>
      <c r="I76" s="6221" t="s">
        <v>40</v>
      </c>
      <c r="J76" s="6043" t="s">
        <v>40</v>
      </c>
      <c r="K76" s="6043" t="s">
        <v>40</v>
      </c>
      <c r="L76" s="6043" t="s">
        <v>40</v>
      </c>
      <c r="M76" s="6043"/>
      <c r="N76" s="6221"/>
      <c r="O76" s="6221" t="s">
        <v>40</v>
      </c>
      <c r="P76" s="6221" t="s">
        <v>40</v>
      </c>
      <c r="Q76" s="6221" t="s">
        <v>40</v>
      </c>
      <c r="R76" s="6221" t="s">
        <v>40</v>
      </c>
      <c r="S76" s="6043" t="s">
        <v>40</v>
      </c>
      <c r="T76" s="6043"/>
      <c r="U76" s="6221"/>
      <c r="V76" s="6221" t="s">
        <v>40</v>
      </c>
      <c r="W76" s="6043" t="s">
        <v>40</v>
      </c>
      <c r="X76" s="6043" t="s">
        <v>40</v>
      </c>
      <c r="Y76" s="6043" t="s">
        <v>40</v>
      </c>
      <c r="Z76" s="6043" t="s">
        <v>40</v>
      </c>
      <c r="AA76" s="6043"/>
      <c r="AB76" s="6221"/>
      <c r="AC76" s="6221" t="s">
        <v>40</v>
      </c>
      <c r="AD76" s="6043" t="s">
        <v>40</v>
      </c>
      <c r="AE76" s="6043" t="s">
        <v>40</v>
      </c>
    </row>
    <row r="77" spans="1:31" ht="18" customHeight="1">
      <c r="A77" s="6054"/>
      <c r="B77" s="6043" t="s">
        <v>40</v>
      </c>
      <c r="C77" s="6043" t="s">
        <v>40</v>
      </c>
      <c r="D77" s="6267" t="s">
        <v>40</v>
      </c>
      <c r="E77" s="6267" t="s">
        <v>40</v>
      </c>
      <c r="F77" s="6267"/>
      <c r="G77" s="6221"/>
      <c r="H77" s="6221" t="s">
        <v>40</v>
      </c>
      <c r="I77" s="6221" t="s">
        <v>40</v>
      </c>
      <c r="J77" s="6043" t="s">
        <v>40</v>
      </c>
      <c r="K77" s="6043" t="s">
        <v>40</v>
      </c>
      <c r="L77" s="6043" t="s">
        <v>40</v>
      </c>
      <c r="M77" s="6043"/>
      <c r="N77" s="6221"/>
      <c r="O77" s="6221" t="s">
        <v>40</v>
      </c>
      <c r="P77" s="6221" t="s">
        <v>40</v>
      </c>
      <c r="Q77" s="6221" t="s">
        <v>40</v>
      </c>
      <c r="R77" s="6221" t="s">
        <v>40</v>
      </c>
      <c r="S77" s="6043" t="s">
        <v>40</v>
      </c>
      <c r="T77" s="6043"/>
      <c r="U77" s="6221"/>
      <c r="V77" s="6221" t="s">
        <v>40</v>
      </c>
      <c r="W77" s="6043" t="s">
        <v>40</v>
      </c>
      <c r="X77" s="6043" t="s">
        <v>40</v>
      </c>
      <c r="Y77" s="6043" t="s">
        <v>40</v>
      </c>
      <c r="Z77" s="6043" t="s">
        <v>40</v>
      </c>
      <c r="AA77" s="6043"/>
      <c r="AB77" s="6221"/>
      <c r="AC77" s="6221" t="s">
        <v>40</v>
      </c>
      <c r="AD77" s="6043" t="s">
        <v>40</v>
      </c>
      <c r="AE77" s="6043" t="s">
        <v>40</v>
      </c>
    </row>
    <row r="78" spans="1:31" ht="18" customHeight="1" thickBot="1">
      <c r="A78" s="6054"/>
      <c r="B78" s="6043" t="s">
        <v>40</v>
      </c>
      <c r="C78" s="6043" t="s">
        <v>40</v>
      </c>
      <c r="D78" s="6267" t="s">
        <v>40</v>
      </c>
      <c r="E78" s="6267" t="s">
        <v>40</v>
      </c>
      <c r="F78" s="6267"/>
      <c r="G78" s="6221"/>
      <c r="H78" s="6221" t="s">
        <v>40</v>
      </c>
      <c r="I78" s="6221" t="s">
        <v>40</v>
      </c>
      <c r="J78" s="6043" t="s">
        <v>40</v>
      </c>
      <c r="K78" s="6043" t="s">
        <v>40</v>
      </c>
      <c r="L78" s="6043" t="s">
        <v>40</v>
      </c>
      <c r="M78" s="6043"/>
      <c r="N78" s="6221"/>
      <c r="O78" s="6221" t="s">
        <v>40</v>
      </c>
      <c r="P78" s="6221" t="s">
        <v>40</v>
      </c>
      <c r="Q78" s="6221" t="s">
        <v>40</v>
      </c>
      <c r="R78" s="6221" t="s">
        <v>40</v>
      </c>
      <c r="S78" s="6043" t="s">
        <v>40</v>
      </c>
      <c r="T78" s="6043"/>
      <c r="U78" s="6221"/>
      <c r="V78" s="6221" t="s">
        <v>40</v>
      </c>
      <c r="W78" s="6043" t="s">
        <v>40</v>
      </c>
      <c r="X78" s="6043" t="s">
        <v>40</v>
      </c>
      <c r="Y78" s="6043" t="s">
        <v>40</v>
      </c>
      <c r="Z78" s="6043" t="s">
        <v>40</v>
      </c>
      <c r="AA78" s="6043"/>
      <c r="AB78" s="6221"/>
      <c r="AC78" s="6221" t="s">
        <v>40</v>
      </c>
      <c r="AD78" s="6043" t="s">
        <v>40</v>
      </c>
      <c r="AE78" s="6043" t="s">
        <v>40</v>
      </c>
    </row>
    <row r="79" spans="1:31" ht="18" customHeight="1" thickBot="1">
      <c r="A79" s="1517" t="s">
        <v>154</v>
      </c>
      <c r="B79" s="2985">
        <v>1</v>
      </c>
      <c r="C79" s="2985">
        <v>2</v>
      </c>
      <c r="D79" s="2985">
        <v>3</v>
      </c>
      <c r="E79" s="2985">
        <v>4</v>
      </c>
      <c r="F79" s="2986">
        <v>5</v>
      </c>
      <c r="G79" s="2986">
        <v>6</v>
      </c>
      <c r="H79" s="2985">
        <v>7</v>
      </c>
      <c r="I79" s="2985">
        <v>8</v>
      </c>
      <c r="J79" s="2985">
        <v>9</v>
      </c>
      <c r="K79" s="2985">
        <v>10</v>
      </c>
      <c r="L79" s="2985">
        <v>11</v>
      </c>
      <c r="M79" s="2986">
        <v>12</v>
      </c>
      <c r="N79" s="2986">
        <v>13</v>
      </c>
      <c r="O79" s="2985">
        <v>14</v>
      </c>
      <c r="P79" s="2985">
        <v>15</v>
      </c>
      <c r="Q79" s="2985">
        <v>16</v>
      </c>
      <c r="R79" s="2985">
        <v>17</v>
      </c>
      <c r="S79" s="2985">
        <v>18</v>
      </c>
      <c r="T79" s="2986">
        <v>19</v>
      </c>
      <c r="U79" s="2986">
        <v>20</v>
      </c>
      <c r="V79" s="2985">
        <v>21</v>
      </c>
      <c r="W79" s="2985">
        <v>22</v>
      </c>
      <c r="X79" s="2985">
        <v>23</v>
      </c>
      <c r="Y79" s="2985">
        <v>24</v>
      </c>
      <c r="Z79" s="2985">
        <v>25</v>
      </c>
      <c r="AA79" s="2986">
        <v>26</v>
      </c>
      <c r="AB79" s="2986">
        <v>27</v>
      </c>
      <c r="AC79" s="2985">
        <v>28</v>
      </c>
      <c r="AD79" s="2985">
        <v>29</v>
      </c>
      <c r="AE79" s="2985">
        <v>30</v>
      </c>
    </row>
    <row r="80" spans="1:31" ht="18" customHeight="1">
      <c r="A80" s="5617"/>
      <c r="B80" s="6043" t="s">
        <v>40</v>
      </c>
      <c r="C80" s="6043" t="s">
        <v>40</v>
      </c>
      <c r="D80" s="6267" t="s">
        <v>40</v>
      </c>
      <c r="E80" s="6267" t="s">
        <v>40</v>
      </c>
      <c r="F80" s="6267"/>
      <c r="G80" s="6221"/>
      <c r="H80" s="6221" t="s">
        <v>40</v>
      </c>
      <c r="I80" s="6221" t="s">
        <v>40</v>
      </c>
      <c r="J80" s="6043" t="s">
        <v>40</v>
      </c>
      <c r="K80" s="6043" t="s">
        <v>40</v>
      </c>
      <c r="L80" s="6043" t="s">
        <v>40</v>
      </c>
      <c r="M80" s="6043"/>
      <c r="N80" s="6221"/>
      <c r="O80" s="6221" t="s">
        <v>40</v>
      </c>
      <c r="P80" s="6221" t="s">
        <v>40</v>
      </c>
      <c r="Q80" s="6221" t="s">
        <v>40</v>
      </c>
      <c r="R80" s="6221" t="s">
        <v>40</v>
      </c>
      <c r="S80" s="6043" t="s">
        <v>40</v>
      </c>
      <c r="T80" s="6043"/>
      <c r="U80" s="6221"/>
      <c r="V80" s="6221" t="s">
        <v>40</v>
      </c>
      <c r="W80" s="6043" t="s">
        <v>40</v>
      </c>
      <c r="X80" s="6043" t="s">
        <v>40</v>
      </c>
      <c r="Y80" s="6043" t="s">
        <v>40</v>
      </c>
      <c r="Z80" s="6043" t="s">
        <v>40</v>
      </c>
      <c r="AA80" s="6043"/>
      <c r="AB80" s="6221"/>
      <c r="AC80" s="6221" t="s">
        <v>40</v>
      </c>
      <c r="AD80" s="6043" t="s">
        <v>40</v>
      </c>
      <c r="AE80" s="6043" t="s">
        <v>40</v>
      </c>
    </row>
    <row r="81" spans="1:31" ht="18" customHeight="1">
      <c r="A81" s="5753"/>
      <c r="B81" s="6043" t="s">
        <v>40</v>
      </c>
      <c r="C81" s="6043" t="s">
        <v>40</v>
      </c>
      <c r="D81" s="6267" t="s">
        <v>40</v>
      </c>
      <c r="E81" s="6267" t="s">
        <v>40</v>
      </c>
      <c r="F81" s="6267"/>
      <c r="G81" s="6221"/>
      <c r="H81" s="6221" t="s">
        <v>40</v>
      </c>
      <c r="I81" s="6221" t="s">
        <v>40</v>
      </c>
      <c r="J81" s="6043" t="s">
        <v>40</v>
      </c>
      <c r="K81" s="6043" t="s">
        <v>40</v>
      </c>
      <c r="L81" s="6043" t="s">
        <v>40</v>
      </c>
      <c r="M81" s="6043"/>
      <c r="N81" s="6221"/>
      <c r="O81" s="6221" t="s">
        <v>40</v>
      </c>
      <c r="P81" s="6221" t="s">
        <v>40</v>
      </c>
      <c r="Q81" s="6221" t="s">
        <v>40</v>
      </c>
      <c r="R81" s="6221" t="s">
        <v>40</v>
      </c>
      <c r="S81" s="6043" t="s">
        <v>40</v>
      </c>
      <c r="T81" s="6043"/>
      <c r="U81" s="6221"/>
      <c r="V81" s="6221" t="s">
        <v>40</v>
      </c>
      <c r="W81" s="6043" t="s">
        <v>40</v>
      </c>
      <c r="X81" s="6043" t="s">
        <v>40</v>
      </c>
      <c r="Y81" s="6043" t="s">
        <v>40</v>
      </c>
      <c r="Z81" s="6043" t="s">
        <v>40</v>
      </c>
      <c r="AA81" s="6043"/>
      <c r="AB81" s="6221"/>
      <c r="AC81" s="6221" t="s">
        <v>40</v>
      </c>
      <c r="AD81" s="6043" t="s">
        <v>40</v>
      </c>
      <c r="AE81" s="6043" t="s">
        <v>40</v>
      </c>
    </row>
    <row r="82" spans="1:31" ht="18" customHeight="1" thickBot="1">
      <c r="A82" s="6275" t="s">
        <v>0</v>
      </c>
      <c r="B82" s="6043" t="s">
        <v>40</v>
      </c>
      <c r="C82" s="6043" t="s">
        <v>40</v>
      </c>
      <c r="D82" s="6267" t="s">
        <v>40</v>
      </c>
      <c r="E82" s="6267" t="s">
        <v>40</v>
      </c>
      <c r="F82" s="6267"/>
      <c r="G82" s="6221"/>
      <c r="H82" s="6221" t="s">
        <v>40</v>
      </c>
      <c r="I82" s="6221" t="s">
        <v>40</v>
      </c>
      <c r="J82" s="6043" t="s">
        <v>40</v>
      </c>
      <c r="K82" s="6043" t="s">
        <v>40</v>
      </c>
      <c r="L82" s="6043" t="s">
        <v>40</v>
      </c>
      <c r="M82" s="6043"/>
      <c r="N82" s="6221"/>
      <c r="O82" s="6221" t="s">
        <v>40</v>
      </c>
      <c r="P82" s="6221" t="s">
        <v>40</v>
      </c>
      <c r="Q82" s="6221" t="s">
        <v>40</v>
      </c>
      <c r="R82" s="6221" t="s">
        <v>40</v>
      </c>
      <c r="S82" s="6043" t="s">
        <v>40</v>
      </c>
      <c r="T82" s="6043"/>
      <c r="U82" s="6221"/>
      <c r="V82" s="6221" t="s">
        <v>40</v>
      </c>
      <c r="W82" s="6043" t="s">
        <v>40</v>
      </c>
      <c r="X82" s="6043" t="s">
        <v>40</v>
      </c>
      <c r="Y82" s="6043" t="s">
        <v>40</v>
      </c>
      <c r="Z82" s="6043" t="s">
        <v>40</v>
      </c>
      <c r="AA82" s="6043"/>
      <c r="AB82" s="6221"/>
      <c r="AC82" s="6221" t="s">
        <v>40</v>
      </c>
      <c r="AD82" s="6043" t="s">
        <v>40</v>
      </c>
      <c r="AE82" s="6043" t="s">
        <v>40</v>
      </c>
    </row>
    <row r="83" spans="1:31" ht="18" customHeight="1" thickBot="1">
      <c r="A83" s="6276" t="s">
        <v>156</v>
      </c>
      <c r="B83" s="2985">
        <v>1</v>
      </c>
      <c r="C83" s="2985">
        <v>2</v>
      </c>
      <c r="D83" s="2985">
        <v>3</v>
      </c>
      <c r="E83" s="2985">
        <v>4</v>
      </c>
      <c r="F83" s="2986">
        <v>5</v>
      </c>
      <c r="G83" s="2986">
        <v>6</v>
      </c>
      <c r="H83" s="2985">
        <v>7</v>
      </c>
      <c r="I83" s="2985">
        <v>8</v>
      </c>
      <c r="J83" s="2985">
        <v>9</v>
      </c>
      <c r="K83" s="2985">
        <v>10</v>
      </c>
      <c r="L83" s="2985">
        <v>11</v>
      </c>
      <c r="M83" s="2986">
        <v>12</v>
      </c>
      <c r="N83" s="2986">
        <v>13</v>
      </c>
      <c r="O83" s="2985">
        <v>14</v>
      </c>
      <c r="P83" s="2985">
        <v>15</v>
      </c>
      <c r="Q83" s="2985">
        <v>16</v>
      </c>
      <c r="R83" s="2985">
        <v>17</v>
      </c>
      <c r="S83" s="2985">
        <v>18</v>
      </c>
      <c r="T83" s="2986">
        <v>19</v>
      </c>
      <c r="U83" s="2986">
        <v>20</v>
      </c>
      <c r="V83" s="2985">
        <v>21</v>
      </c>
      <c r="W83" s="2985">
        <v>22</v>
      </c>
      <c r="X83" s="2985">
        <v>23</v>
      </c>
      <c r="Y83" s="2985">
        <v>24</v>
      </c>
      <c r="Z83" s="2985">
        <v>25</v>
      </c>
      <c r="AA83" s="2986">
        <v>26</v>
      </c>
      <c r="AB83" s="2986">
        <v>27</v>
      </c>
      <c r="AC83" s="2985">
        <v>28</v>
      </c>
      <c r="AD83" s="2985">
        <v>29</v>
      </c>
      <c r="AE83" s="2985">
        <v>30</v>
      </c>
    </row>
    <row r="84" spans="1:31" ht="18" customHeight="1">
      <c r="A84" s="5591" t="s">
        <v>688</v>
      </c>
      <c r="B84" s="6043" t="s">
        <v>40</v>
      </c>
      <c r="C84" s="6043" t="s">
        <v>40</v>
      </c>
      <c r="D84" s="6267" t="s">
        <v>40</v>
      </c>
      <c r="E84" s="6267" t="s">
        <v>40</v>
      </c>
      <c r="F84" s="6267"/>
      <c r="G84" s="6221"/>
      <c r="H84" s="6221" t="s">
        <v>40</v>
      </c>
      <c r="I84" s="6221" t="s">
        <v>40</v>
      </c>
      <c r="J84" s="6043" t="s">
        <v>40</v>
      </c>
      <c r="K84" s="6043" t="s">
        <v>40</v>
      </c>
      <c r="L84" s="6043" t="s">
        <v>40</v>
      </c>
      <c r="M84" s="6043"/>
      <c r="N84" s="6221"/>
      <c r="O84" s="6221" t="s">
        <v>40</v>
      </c>
      <c r="P84" s="6221" t="s">
        <v>40</v>
      </c>
      <c r="Q84" s="6221" t="s">
        <v>40</v>
      </c>
      <c r="R84" s="6221" t="s">
        <v>40</v>
      </c>
      <c r="S84" s="6043" t="s">
        <v>40</v>
      </c>
      <c r="T84" s="6043"/>
      <c r="U84" s="6221"/>
      <c r="V84" s="6221" t="s">
        <v>40</v>
      </c>
      <c r="W84" s="6043" t="s">
        <v>40</v>
      </c>
      <c r="X84" s="6043" t="s">
        <v>40</v>
      </c>
      <c r="Y84" s="6043" t="s">
        <v>40</v>
      </c>
      <c r="Z84" s="6043" t="s">
        <v>40</v>
      </c>
      <c r="AA84" s="6043"/>
      <c r="AB84" s="6221"/>
      <c r="AC84" s="6221" t="s">
        <v>40</v>
      </c>
      <c r="AD84" s="6043" t="s">
        <v>40</v>
      </c>
      <c r="AE84" s="6043" t="s">
        <v>40</v>
      </c>
    </row>
    <row r="85" spans="1:31" ht="18" customHeight="1">
      <c r="A85" s="364" t="s">
        <v>544</v>
      </c>
      <c r="B85" s="6043"/>
      <c r="C85" s="6043"/>
      <c r="D85" s="6267"/>
      <c r="E85" s="6267"/>
      <c r="F85" s="6267"/>
      <c r="G85" s="6221"/>
      <c r="H85" s="6221"/>
      <c r="I85" s="6221"/>
      <c r="J85" s="6043"/>
      <c r="K85" s="6043"/>
      <c r="L85" s="6043"/>
      <c r="M85" s="6043"/>
      <c r="N85" s="6221"/>
      <c r="O85" s="6221"/>
      <c r="P85" s="6221"/>
      <c r="Q85" s="6221"/>
      <c r="R85" s="6221"/>
      <c r="S85" s="6043"/>
      <c r="T85" s="6043"/>
      <c r="U85" s="6221"/>
      <c r="V85" s="6221"/>
      <c r="W85" s="6043"/>
      <c r="X85" s="6043"/>
      <c r="Y85" s="6043"/>
      <c r="Z85" s="6043"/>
      <c r="AA85" s="6043"/>
      <c r="AB85" s="6221"/>
      <c r="AC85" s="6221"/>
      <c r="AD85" s="6043"/>
      <c r="AE85" s="6043"/>
    </row>
    <row r="86" spans="1:31" ht="18" customHeight="1" thickBot="1">
      <c r="A86" s="469" t="s">
        <v>481</v>
      </c>
      <c r="B86" s="6043" t="s">
        <v>40</v>
      </c>
      <c r="C86" s="6043" t="s">
        <v>40</v>
      </c>
      <c r="D86" s="6267" t="s">
        <v>40</v>
      </c>
      <c r="E86" s="6267" t="s">
        <v>40</v>
      </c>
      <c r="F86" s="6267"/>
      <c r="G86" s="6221"/>
      <c r="H86" s="6221" t="s">
        <v>40</v>
      </c>
      <c r="I86" s="6221" t="s">
        <v>40</v>
      </c>
      <c r="J86" s="6043" t="s">
        <v>40</v>
      </c>
      <c r="K86" s="6043" t="s">
        <v>40</v>
      </c>
      <c r="L86" s="6043" t="s">
        <v>40</v>
      </c>
      <c r="M86" s="6043"/>
      <c r="N86" s="6221"/>
      <c r="O86" s="6221" t="s">
        <v>40</v>
      </c>
      <c r="P86" s="6221" t="s">
        <v>40</v>
      </c>
      <c r="Q86" s="6221" t="s">
        <v>40</v>
      </c>
      <c r="R86" s="6221" t="s">
        <v>40</v>
      </c>
      <c r="S86" s="6043" t="s">
        <v>40</v>
      </c>
      <c r="T86" s="6043"/>
      <c r="U86" s="6221"/>
      <c r="V86" s="6221" t="s">
        <v>40</v>
      </c>
      <c r="W86" s="6043" t="s">
        <v>40</v>
      </c>
      <c r="X86" s="6043" t="s">
        <v>40</v>
      </c>
      <c r="Y86" s="6043" t="s">
        <v>40</v>
      </c>
      <c r="Z86" s="6043" t="s">
        <v>40</v>
      </c>
      <c r="AA86" s="6043"/>
      <c r="AB86" s="6221"/>
      <c r="AC86" s="6221" t="s">
        <v>40</v>
      </c>
      <c r="AD86" s="6043" t="s">
        <v>40</v>
      </c>
      <c r="AE86" s="6043" t="s">
        <v>40</v>
      </c>
    </row>
    <row r="87" spans="1:31" ht="18" customHeight="1" thickBot="1">
      <c r="A87" s="430" t="s">
        <v>160</v>
      </c>
      <c r="B87" s="2985">
        <v>1</v>
      </c>
      <c r="C87" s="2985">
        <v>2</v>
      </c>
      <c r="D87" s="2985">
        <v>3</v>
      </c>
      <c r="E87" s="2985">
        <v>4</v>
      </c>
      <c r="F87" s="2986">
        <v>5</v>
      </c>
      <c r="G87" s="2986">
        <v>6</v>
      </c>
      <c r="H87" s="2985">
        <v>7</v>
      </c>
      <c r="I87" s="2985">
        <v>8</v>
      </c>
      <c r="J87" s="2985">
        <v>9</v>
      </c>
      <c r="K87" s="2985">
        <v>10</v>
      </c>
      <c r="L87" s="2985">
        <v>11</v>
      </c>
      <c r="M87" s="2986">
        <v>12</v>
      </c>
      <c r="N87" s="2986">
        <v>13</v>
      </c>
      <c r="O87" s="2985">
        <v>14</v>
      </c>
      <c r="P87" s="2985">
        <v>15</v>
      </c>
      <c r="Q87" s="2985">
        <v>16</v>
      </c>
      <c r="R87" s="2985">
        <v>17</v>
      </c>
      <c r="S87" s="2985">
        <v>18</v>
      </c>
      <c r="T87" s="2986">
        <v>19</v>
      </c>
      <c r="U87" s="2986">
        <v>20</v>
      </c>
      <c r="V87" s="2985">
        <v>21</v>
      </c>
      <c r="W87" s="2985">
        <v>22</v>
      </c>
      <c r="X87" s="2985">
        <v>23</v>
      </c>
      <c r="Y87" s="2985">
        <v>24</v>
      </c>
      <c r="Z87" s="2985">
        <v>25</v>
      </c>
      <c r="AA87" s="2986">
        <v>26</v>
      </c>
      <c r="AB87" s="2986">
        <v>27</v>
      </c>
      <c r="AC87" s="2985">
        <v>28</v>
      </c>
      <c r="AD87" s="2985">
        <v>29</v>
      </c>
      <c r="AE87" s="2985">
        <v>30</v>
      </c>
    </row>
    <row r="88" spans="1:31" ht="18" customHeight="1">
      <c r="A88" s="6277"/>
      <c r="B88" s="6043" t="s">
        <v>40</v>
      </c>
      <c r="C88" s="6043" t="s">
        <v>40</v>
      </c>
      <c r="D88" s="6267" t="s">
        <v>40</v>
      </c>
      <c r="E88" s="6267" t="s">
        <v>40</v>
      </c>
      <c r="F88" s="6267"/>
      <c r="G88" s="6221"/>
      <c r="H88" s="6221" t="s">
        <v>40</v>
      </c>
      <c r="I88" s="6221" t="s">
        <v>40</v>
      </c>
      <c r="J88" s="6043" t="s">
        <v>40</v>
      </c>
      <c r="K88" s="6043" t="s">
        <v>40</v>
      </c>
      <c r="L88" s="6043" t="s">
        <v>40</v>
      </c>
      <c r="M88" s="6043"/>
      <c r="N88" s="6221"/>
      <c r="O88" s="6221" t="s">
        <v>40</v>
      </c>
      <c r="P88" s="6221" t="s">
        <v>40</v>
      </c>
      <c r="Q88" s="6221" t="s">
        <v>40</v>
      </c>
      <c r="R88" s="6221" t="s">
        <v>40</v>
      </c>
      <c r="S88" s="6043" t="s">
        <v>40</v>
      </c>
      <c r="T88" s="6043"/>
      <c r="U88" s="6221"/>
      <c r="V88" s="6221" t="s">
        <v>40</v>
      </c>
      <c r="W88" s="6043" t="s">
        <v>40</v>
      </c>
      <c r="X88" s="6043" t="s">
        <v>40</v>
      </c>
      <c r="Y88" s="6043" t="s">
        <v>40</v>
      </c>
      <c r="Z88" s="6043" t="s">
        <v>40</v>
      </c>
      <c r="AA88" s="6043"/>
      <c r="AB88" s="6221"/>
      <c r="AC88" s="6221" t="s">
        <v>40</v>
      </c>
      <c r="AD88" s="6043" t="s">
        <v>40</v>
      </c>
      <c r="AE88" s="6043" t="s">
        <v>40</v>
      </c>
    </row>
    <row r="89" spans="1:31" ht="18" customHeight="1" thickBot="1">
      <c r="A89" s="6278"/>
      <c r="B89" s="6043" t="s">
        <v>40</v>
      </c>
      <c r="C89" s="6043" t="s">
        <v>40</v>
      </c>
      <c r="D89" s="6267" t="s">
        <v>40</v>
      </c>
      <c r="E89" s="6267" t="s">
        <v>40</v>
      </c>
      <c r="F89" s="6267"/>
      <c r="G89" s="6221"/>
      <c r="H89" s="6221" t="s">
        <v>40</v>
      </c>
      <c r="I89" s="6221" t="s">
        <v>40</v>
      </c>
      <c r="J89" s="6043" t="s">
        <v>40</v>
      </c>
      <c r="K89" s="6043" t="s">
        <v>40</v>
      </c>
      <c r="L89" s="6043" t="s">
        <v>40</v>
      </c>
      <c r="M89" s="6043"/>
      <c r="N89" s="6221"/>
      <c r="O89" s="6221" t="s">
        <v>40</v>
      </c>
      <c r="P89" s="6221" t="s">
        <v>40</v>
      </c>
      <c r="Q89" s="6221" t="s">
        <v>40</v>
      </c>
      <c r="R89" s="6221" t="s">
        <v>40</v>
      </c>
      <c r="S89" s="6043" t="s">
        <v>40</v>
      </c>
      <c r="T89" s="6043"/>
      <c r="U89" s="6221"/>
      <c r="V89" s="6221" t="s">
        <v>40</v>
      </c>
      <c r="W89" s="6043" t="s">
        <v>40</v>
      </c>
      <c r="X89" s="6043" t="s">
        <v>40</v>
      </c>
      <c r="Y89" s="6043" t="s">
        <v>40</v>
      </c>
      <c r="Z89" s="6043" t="s">
        <v>40</v>
      </c>
      <c r="AA89" s="6043"/>
      <c r="AB89" s="6221"/>
      <c r="AC89" s="6221" t="s">
        <v>40</v>
      </c>
      <c r="AD89" s="6043" t="s">
        <v>40</v>
      </c>
      <c r="AE89" s="6043" t="s">
        <v>40</v>
      </c>
    </row>
    <row r="90" spans="1:31" ht="18" customHeight="1">
      <c r="A90" s="68"/>
      <c r="B90" s="176"/>
      <c r="C90" s="176"/>
      <c r="D90" s="176"/>
      <c r="E90" s="176"/>
      <c r="F90" s="176"/>
      <c r="G90" s="176"/>
      <c r="H90" s="176"/>
      <c r="I90" s="176"/>
      <c r="J90" s="176"/>
      <c r="K90" s="176"/>
      <c r="L90" s="176"/>
      <c r="M90" s="176"/>
      <c r="N90" s="176"/>
      <c r="O90" s="176"/>
      <c r="P90" s="176"/>
      <c r="Q90" s="176"/>
      <c r="R90" s="176"/>
      <c r="S90" s="176"/>
      <c r="T90" s="176"/>
      <c r="U90" s="176"/>
      <c r="V90" s="176"/>
      <c r="W90" s="176"/>
      <c r="X90" s="176"/>
      <c r="Y90" s="176"/>
      <c r="Z90" s="176"/>
      <c r="AA90" s="176"/>
      <c r="AB90" s="176"/>
      <c r="AC90" s="176"/>
      <c r="AD90" s="176"/>
      <c r="AE90" s="176"/>
    </row>
    <row r="91" spans="1:31" ht="18" customHeight="1">
      <c r="B91" s="110"/>
      <c r="C91" s="110"/>
      <c r="D91" s="110"/>
      <c r="E91" s="110"/>
      <c r="F91" s="110"/>
      <c r="G91" s="110"/>
      <c r="H91" s="110"/>
      <c r="I91" s="110"/>
      <c r="J91" s="110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</row>
    <row r="92" spans="1:31" ht="18" customHeight="1">
      <c r="A92" s="844" t="s">
        <v>161</v>
      </c>
      <c r="B92" s="6131"/>
      <c r="C92" s="6132" t="s">
        <v>19</v>
      </c>
      <c r="D92" s="6131"/>
      <c r="E92" s="6131"/>
      <c r="F92" s="6132" t="s">
        <v>20</v>
      </c>
      <c r="G92" s="6131"/>
      <c r="H92" s="6131"/>
      <c r="I92" s="6132" t="s">
        <v>21</v>
      </c>
      <c r="J92" s="6131"/>
      <c r="K92" s="6131"/>
      <c r="L92" s="6132" t="s">
        <v>22</v>
      </c>
      <c r="M92" s="6131"/>
      <c r="N92" s="6131"/>
      <c r="O92" s="6132" t="s">
        <v>23</v>
      </c>
      <c r="P92" s="6131"/>
      <c r="Q92" s="6129"/>
      <c r="R92" s="6130" t="s">
        <v>24</v>
      </c>
      <c r="S92" s="6131"/>
      <c r="T92" s="6131"/>
      <c r="U92" s="6132" t="s">
        <v>25</v>
      </c>
      <c r="V92" s="6131"/>
      <c r="W92" s="68"/>
      <c r="X92" s="68"/>
      <c r="Y92" s="68"/>
      <c r="Z92" s="68"/>
      <c r="AA92" s="68"/>
      <c r="AB92" s="68"/>
      <c r="AC92" s="68"/>
      <c r="AD92" s="68"/>
      <c r="AE92" s="68"/>
    </row>
    <row r="93" spans="1:31" ht="18" customHeight="1">
      <c r="A93" s="6279" t="s">
        <v>162</v>
      </c>
      <c r="B93" s="6280" t="s">
        <v>163</v>
      </c>
      <c r="C93" s="6281"/>
      <c r="D93" s="6281"/>
      <c r="E93" s="6280" t="s">
        <v>163</v>
      </c>
      <c r="F93" s="6281"/>
      <c r="G93" s="6281"/>
      <c r="H93" s="6280" t="s">
        <v>163</v>
      </c>
      <c r="I93" s="6281"/>
      <c r="J93" s="6281"/>
      <c r="K93" s="6280" t="s">
        <v>163</v>
      </c>
      <c r="L93" s="6281"/>
      <c r="M93" s="6281"/>
      <c r="N93" s="6280" t="s">
        <v>163</v>
      </c>
      <c r="O93" s="6281"/>
      <c r="P93" s="6281"/>
      <c r="Q93" s="6282"/>
      <c r="R93" s="6281"/>
      <c r="S93" s="6281"/>
      <c r="T93" s="6282" t="s">
        <v>164</v>
      </c>
      <c r="U93" s="6281"/>
      <c r="V93" s="6283"/>
      <c r="W93" s="68"/>
      <c r="X93" s="68"/>
      <c r="Y93" s="68"/>
      <c r="Z93" s="68"/>
      <c r="AA93" s="68"/>
      <c r="AB93" s="68"/>
      <c r="AC93" s="68"/>
      <c r="AD93" s="68"/>
      <c r="AE93" s="68"/>
    </row>
    <row r="94" spans="1:31" ht="18" customHeight="1">
      <c r="A94" s="6279" t="s">
        <v>165</v>
      </c>
      <c r="B94" s="6284" t="s">
        <v>166</v>
      </c>
      <c r="C94" s="6285"/>
      <c r="D94" s="6285"/>
      <c r="E94" s="6284" t="s">
        <v>167</v>
      </c>
      <c r="F94" s="6285"/>
      <c r="G94" s="6285"/>
      <c r="H94" s="6284" t="s">
        <v>167</v>
      </c>
      <c r="I94" s="6285"/>
      <c r="J94" s="6285"/>
      <c r="K94" s="6284" t="s">
        <v>167</v>
      </c>
      <c r="L94" s="6285"/>
      <c r="M94" s="6285"/>
      <c r="N94" s="6284" t="s">
        <v>168</v>
      </c>
      <c r="O94" s="6285"/>
      <c r="P94" s="6285"/>
      <c r="Q94" s="242"/>
      <c r="R94" s="46"/>
      <c r="S94" s="6283"/>
      <c r="T94" s="242"/>
      <c r="U94" s="46"/>
      <c r="V94" s="6283"/>
      <c r="W94" s="68"/>
      <c r="X94" s="68"/>
      <c r="Y94" s="68"/>
      <c r="Z94" s="68"/>
      <c r="AA94" s="68"/>
      <c r="AB94" s="68"/>
      <c r="AC94" s="68"/>
      <c r="AD94" s="68"/>
      <c r="AE94" s="68"/>
    </row>
    <row r="95" spans="1:31" ht="18" customHeight="1">
      <c r="A95" s="6279" t="s">
        <v>169</v>
      </c>
      <c r="B95" s="6286" t="s">
        <v>170</v>
      </c>
      <c r="C95" s="6240"/>
      <c r="D95" s="6240"/>
      <c r="E95" s="6286" t="s">
        <v>171</v>
      </c>
      <c r="F95" s="6248"/>
      <c r="G95" s="6240"/>
      <c r="H95" s="6286" t="s">
        <v>171</v>
      </c>
      <c r="I95" s="5757"/>
      <c r="J95" s="5756"/>
      <c r="K95" s="5617" t="s">
        <v>172</v>
      </c>
      <c r="L95" s="5757"/>
      <c r="M95" s="5618"/>
      <c r="N95" s="6286" t="s">
        <v>172</v>
      </c>
      <c r="O95" s="6240"/>
      <c r="P95" s="6240"/>
      <c r="Q95" s="5617" t="s">
        <v>173</v>
      </c>
      <c r="R95" s="5757"/>
      <c r="S95" s="5756"/>
      <c r="T95" s="5617" t="s">
        <v>173</v>
      </c>
      <c r="U95" s="5757"/>
      <c r="V95" s="5756"/>
      <c r="W95" s="68"/>
      <c r="X95" s="68"/>
      <c r="Y95" s="68"/>
      <c r="Z95" s="68"/>
      <c r="AA95" s="68"/>
      <c r="AB95" s="68"/>
      <c r="AC95" s="68"/>
      <c r="AD95" s="68"/>
      <c r="AE95" s="68"/>
    </row>
    <row r="96" spans="1:31" ht="18" customHeight="1">
      <c r="A96" s="6279" t="s">
        <v>174</v>
      </c>
      <c r="B96" s="6286" t="s">
        <v>46</v>
      </c>
      <c r="C96" s="6240"/>
      <c r="D96" s="6240"/>
      <c r="E96" s="6286" t="s">
        <v>46</v>
      </c>
      <c r="F96" s="6248"/>
      <c r="G96" s="6240"/>
      <c r="H96" s="5617" t="s">
        <v>46</v>
      </c>
      <c r="I96" s="5757"/>
      <c r="J96" s="5756"/>
      <c r="K96" s="5617" t="s">
        <v>46</v>
      </c>
      <c r="L96" s="5757"/>
      <c r="M96" s="5618"/>
      <c r="N96" s="6286" t="s">
        <v>46</v>
      </c>
      <c r="O96" s="6240"/>
      <c r="P96" s="6240"/>
      <c r="Q96" s="5617"/>
      <c r="R96" s="5757"/>
      <c r="S96" s="5756"/>
      <c r="T96" s="5617"/>
      <c r="U96" s="5757"/>
      <c r="V96" s="5822"/>
      <c r="W96" s="68"/>
      <c r="X96" s="68"/>
      <c r="Y96" s="68"/>
      <c r="Z96" s="68"/>
      <c r="AA96" s="68"/>
      <c r="AB96" s="68"/>
      <c r="AC96" s="68"/>
      <c r="AD96" s="68"/>
      <c r="AE96" s="68"/>
    </row>
    <row r="97" spans="1:31" ht="18" customHeight="1" thickBot="1">
      <c r="A97" s="243"/>
      <c r="B97" s="244"/>
      <c r="E97" s="244"/>
      <c r="F97" s="68"/>
      <c r="H97" s="68"/>
      <c r="K97" s="68"/>
      <c r="M97" s="32"/>
      <c r="N97" s="244"/>
      <c r="Q97" s="68"/>
      <c r="T97" s="68"/>
      <c r="W97" s="68"/>
      <c r="X97" s="68"/>
      <c r="Y97" s="68"/>
      <c r="Z97" s="68"/>
      <c r="AA97" s="68"/>
      <c r="AB97" s="68"/>
      <c r="AC97" s="68"/>
      <c r="AD97" s="68"/>
      <c r="AE97" s="68"/>
    </row>
    <row r="98" spans="1:31" ht="18" customHeight="1" thickBot="1">
      <c r="A98" s="363" t="s">
        <v>161</v>
      </c>
      <c r="B98" s="2985">
        <v>1</v>
      </c>
      <c r="C98" s="2985">
        <v>2</v>
      </c>
      <c r="D98" s="2985">
        <v>3</v>
      </c>
      <c r="E98" s="2985">
        <v>4</v>
      </c>
      <c r="F98" s="2986">
        <v>5</v>
      </c>
      <c r="G98" s="2986">
        <v>6</v>
      </c>
      <c r="H98" s="2985">
        <v>7</v>
      </c>
      <c r="I98" s="2985">
        <v>8</v>
      </c>
      <c r="J98" s="2985">
        <v>9</v>
      </c>
      <c r="K98" s="2985">
        <v>10</v>
      </c>
      <c r="L98" s="2985">
        <v>11</v>
      </c>
      <c r="M98" s="2986">
        <v>12</v>
      </c>
      <c r="N98" s="2986">
        <v>13</v>
      </c>
      <c r="O98" s="2985">
        <v>14</v>
      </c>
      <c r="P98" s="2985">
        <v>15</v>
      </c>
      <c r="Q98" s="2985">
        <v>16</v>
      </c>
      <c r="R98" s="2985">
        <v>17</v>
      </c>
      <c r="S98" s="2985">
        <v>18</v>
      </c>
      <c r="T98" s="2986">
        <v>19</v>
      </c>
      <c r="U98" s="2986">
        <v>20</v>
      </c>
      <c r="V98" s="2985">
        <v>21</v>
      </c>
      <c r="W98" s="2985">
        <v>22</v>
      </c>
      <c r="X98" s="2985">
        <v>23</v>
      </c>
      <c r="Y98" s="2985">
        <v>24</v>
      </c>
      <c r="Z98" s="2985">
        <v>25</v>
      </c>
      <c r="AA98" s="2986">
        <v>26</v>
      </c>
      <c r="AB98" s="2986">
        <v>27</v>
      </c>
      <c r="AC98" s="2985">
        <v>28</v>
      </c>
      <c r="AD98" s="2985">
        <v>29</v>
      </c>
      <c r="AE98" s="2985">
        <v>30</v>
      </c>
    </row>
    <row r="99" spans="1:31" ht="18" customHeight="1">
      <c r="A99" s="6287" t="s">
        <v>175</v>
      </c>
      <c r="B99" s="6221">
        <v>26</v>
      </c>
      <c r="C99" s="6288">
        <v>26</v>
      </c>
      <c r="D99" s="6288"/>
      <c r="E99" s="6288">
        <v>26</v>
      </c>
      <c r="F99" s="6288"/>
      <c r="G99" s="6288"/>
      <c r="H99" s="6288" t="s">
        <v>121</v>
      </c>
      <c r="I99" s="6288" t="s">
        <v>121</v>
      </c>
      <c r="J99" s="6288" t="s">
        <v>121</v>
      </c>
      <c r="K99" s="6288" t="s">
        <v>121</v>
      </c>
      <c r="L99" s="6288" t="s">
        <v>121</v>
      </c>
      <c r="M99" s="6288" t="s">
        <v>120</v>
      </c>
      <c r="N99" s="6288" t="s">
        <v>120</v>
      </c>
      <c r="O99" s="6288" t="s">
        <v>46</v>
      </c>
      <c r="P99" s="6288" t="s">
        <v>46</v>
      </c>
      <c r="Q99" s="6288" t="s">
        <v>46</v>
      </c>
      <c r="R99" s="6288" t="s">
        <v>46</v>
      </c>
      <c r="S99" s="585" t="s">
        <v>46</v>
      </c>
      <c r="T99" s="585"/>
      <c r="U99" s="585"/>
      <c r="V99" s="585">
        <v>25</v>
      </c>
      <c r="W99" s="585">
        <v>25</v>
      </c>
      <c r="X99" s="585">
        <v>25</v>
      </c>
      <c r="Y99" s="585">
        <v>25</v>
      </c>
      <c r="Z99" s="6288">
        <v>25</v>
      </c>
      <c r="AA99" s="6221"/>
      <c r="AB99" s="6221">
        <v>26</v>
      </c>
      <c r="AC99" s="6221">
        <v>26</v>
      </c>
      <c r="AD99" s="6221">
        <v>26</v>
      </c>
      <c r="AE99" s="6288">
        <v>26</v>
      </c>
    </row>
    <row r="100" spans="1:31" ht="18" customHeight="1">
      <c r="A100" s="5595" t="s">
        <v>176</v>
      </c>
      <c r="B100" s="6288" t="s">
        <v>121</v>
      </c>
      <c r="C100" s="6288" t="s">
        <v>121</v>
      </c>
      <c r="D100" s="6288" t="s">
        <v>120</v>
      </c>
      <c r="E100" s="6288" t="s">
        <v>121</v>
      </c>
      <c r="F100" s="6288" t="s">
        <v>120</v>
      </c>
      <c r="G100" s="6288" t="s">
        <v>120</v>
      </c>
      <c r="H100" s="6288" t="s">
        <v>46</v>
      </c>
      <c r="I100" s="6288" t="s">
        <v>46</v>
      </c>
      <c r="J100" s="6288" t="s">
        <v>46</v>
      </c>
      <c r="K100" s="6288" t="s">
        <v>46</v>
      </c>
      <c r="L100" s="585" t="s">
        <v>46</v>
      </c>
      <c r="M100" s="585"/>
      <c r="N100" s="585"/>
      <c r="O100" s="585"/>
      <c r="P100" s="585">
        <v>25</v>
      </c>
      <c r="Q100" s="585">
        <v>25</v>
      </c>
      <c r="R100" s="585">
        <v>25</v>
      </c>
      <c r="S100" s="6288">
        <v>25</v>
      </c>
      <c r="T100" s="6288"/>
      <c r="U100" s="6288">
        <v>26</v>
      </c>
      <c r="V100" s="6288">
        <v>26</v>
      </c>
      <c r="W100" s="6288">
        <v>26</v>
      </c>
      <c r="X100" s="6288">
        <v>26</v>
      </c>
      <c r="Y100" s="6288">
        <v>26</v>
      </c>
      <c r="Z100" s="6288">
        <v>26</v>
      </c>
      <c r="AA100" s="6288"/>
      <c r="AB100" s="6288"/>
      <c r="AC100" s="6288" t="s">
        <v>121</v>
      </c>
      <c r="AD100" s="6288" t="s">
        <v>121</v>
      </c>
      <c r="AE100" s="6288" t="s">
        <v>121</v>
      </c>
    </row>
    <row r="101" spans="1:31" ht="18" customHeight="1">
      <c r="A101" s="5627" t="s">
        <v>135</v>
      </c>
      <c r="B101" s="6288" t="s">
        <v>46</v>
      </c>
      <c r="C101" s="6288" t="s">
        <v>46</v>
      </c>
      <c r="D101" s="6288" t="s">
        <v>46</v>
      </c>
      <c r="E101" s="6288" t="s">
        <v>46</v>
      </c>
      <c r="F101" s="6288"/>
      <c r="G101" s="6288"/>
      <c r="H101" s="6288">
        <v>25</v>
      </c>
      <c r="I101" s="6288">
        <v>25</v>
      </c>
      <c r="J101" s="6288">
        <v>25</v>
      </c>
      <c r="K101" s="6288">
        <v>25</v>
      </c>
      <c r="L101" s="6288">
        <v>25</v>
      </c>
      <c r="M101" s="6288"/>
      <c r="N101" s="6288">
        <v>26</v>
      </c>
      <c r="O101" s="6288"/>
      <c r="P101" s="6288">
        <v>26</v>
      </c>
      <c r="Q101" s="6288">
        <v>26</v>
      </c>
      <c r="R101" s="6288">
        <v>26</v>
      </c>
      <c r="S101" s="6288">
        <v>26</v>
      </c>
      <c r="T101" s="6288"/>
      <c r="U101" s="6288"/>
      <c r="V101" s="6288" t="s">
        <v>121</v>
      </c>
      <c r="W101" s="6288" t="s">
        <v>121</v>
      </c>
      <c r="X101" s="6288" t="s">
        <v>121</v>
      </c>
      <c r="Y101" s="6288" t="s">
        <v>121</v>
      </c>
      <c r="Z101" s="6288" t="s">
        <v>121</v>
      </c>
      <c r="AA101" s="6288" t="s">
        <v>120</v>
      </c>
      <c r="AB101" s="6288" t="s">
        <v>120</v>
      </c>
      <c r="AC101" s="6288" t="s">
        <v>46</v>
      </c>
      <c r="AD101" s="6288" t="s">
        <v>46</v>
      </c>
      <c r="AE101" s="6288" t="s">
        <v>46</v>
      </c>
    </row>
    <row r="102" spans="1:31" ht="18" customHeight="1" thickBot="1">
      <c r="A102" s="462" t="s">
        <v>146</v>
      </c>
      <c r="B102" s="6288">
        <v>25</v>
      </c>
      <c r="C102" s="6288">
        <v>25</v>
      </c>
      <c r="D102" s="6288"/>
      <c r="E102" s="6288">
        <v>25</v>
      </c>
      <c r="F102" s="6288"/>
      <c r="G102" s="6288">
        <v>26</v>
      </c>
      <c r="H102" s="6288">
        <v>26</v>
      </c>
      <c r="I102" s="6288">
        <v>26</v>
      </c>
      <c r="J102" s="6288">
        <v>26</v>
      </c>
      <c r="K102" s="6288">
        <v>26</v>
      </c>
      <c r="L102" s="6288">
        <v>26</v>
      </c>
      <c r="M102" s="6288"/>
      <c r="N102" s="6288"/>
      <c r="O102" s="6288" t="s">
        <v>120</v>
      </c>
      <c r="P102" s="6288" t="s">
        <v>121</v>
      </c>
      <c r="Q102" s="6288" t="s">
        <v>121</v>
      </c>
      <c r="R102" s="6288" t="s">
        <v>121</v>
      </c>
      <c r="S102" s="6288" t="s">
        <v>121</v>
      </c>
      <c r="T102" s="6288" t="s">
        <v>120</v>
      </c>
      <c r="U102" s="6288" t="s">
        <v>120</v>
      </c>
      <c r="V102" s="6288" t="s">
        <v>46</v>
      </c>
      <c r="W102" s="6288" t="s">
        <v>46</v>
      </c>
      <c r="X102" s="6288" t="s">
        <v>46</v>
      </c>
      <c r="Y102" s="6288" t="s">
        <v>46</v>
      </c>
      <c r="Z102" s="6288" t="s">
        <v>46</v>
      </c>
      <c r="AA102" s="6288"/>
      <c r="AB102" s="6288"/>
      <c r="AC102" s="6288">
        <v>25</v>
      </c>
      <c r="AD102" s="6288">
        <v>25</v>
      </c>
      <c r="AE102" s="6288">
        <v>25</v>
      </c>
    </row>
    <row r="103" spans="1:31" ht="18" customHeight="1" thickBot="1">
      <c r="A103" s="68"/>
      <c r="B103" s="176"/>
      <c r="C103" s="176"/>
      <c r="D103" s="176"/>
      <c r="E103" s="176"/>
      <c r="F103" s="176"/>
      <c r="G103" s="176"/>
      <c r="H103" s="176"/>
      <c r="I103" s="176"/>
      <c r="J103" s="176"/>
      <c r="K103" s="176"/>
      <c r="L103" s="176"/>
      <c r="M103" s="176"/>
      <c r="N103" s="176"/>
      <c r="O103" s="176"/>
      <c r="P103" s="176"/>
      <c r="Q103" s="176"/>
      <c r="R103" s="176"/>
      <c r="S103" s="176"/>
      <c r="T103" s="176"/>
      <c r="U103" s="176"/>
      <c r="V103" s="176"/>
      <c r="W103" s="176"/>
      <c r="X103" s="176"/>
      <c r="Y103" s="176"/>
      <c r="Z103" s="176"/>
      <c r="AA103" s="176"/>
      <c r="AB103" s="176"/>
      <c r="AC103" s="176"/>
      <c r="AD103" s="176"/>
      <c r="AE103" s="176"/>
    </row>
    <row r="104" spans="1:31" ht="18" customHeight="1" thickBot="1">
      <c r="A104" s="134" t="s">
        <v>180</v>
      </c>
      <c r="B104" s="135"/>
      <c r="C104" s="135"/>
      <c r="D104" s="136" t="s">
        <v>181</v>
      </c>
      <c r="E104" s="135"/>
      <c r="F104" s="135"/>
      <c r="G104" s="135"/>
      <c r="H104" s="135"/>
      <c r="I104" s="135"/>
      <c r="J104" s="135" t="s">
        <v>0</v>
      </c>
      <c r="K104" s="135"/>
      <c r="L104" s="135"/>
      <c r="M104" s="135"/>
      <c r="N104" s="135"/>
      <c r="O104" s="135"/>
      <c r="P104" s="135"/>
      <c r="Q104" s="147" t="s">
        <v>0</v>
      </c>
      <c r="R104" s="147"/>
      <c r="S104" s="147"/>
      <c r="T104" s="108"/>
      <c r="U104" s="108"/>
      <c r="V104" s="108"/>
      <c r="W104" s="108"/>
      <c r="X104" s="108"/>
      <c r="Y104" s="108"/>
      <c r="Z104" s="108"/>
      <c r="AA104" s="108"/>
      <c r="AB104" s="108"/>
      <c r="AC104" s="108"/>
      <c r="AD104" s="108"/>
      <c r="AE104" s="108"/>
    </row>
    <row r="105" spans="1:31" ht="18" customHeight="1" thickBot="1">
      <c r="A105" s="388" t="s">
        <v>178</v>
      </c>
      <c r="B105" s="2985">
        <v>1</v>
      </c>
      <c r="C105" s="2985">
        <v>2</v>
      </c>
      <c r="D105" s="2985">
        <v>3</v>
      </c>
      <c r="E105" s="2985">
        <v>4</v>
      </c>
      <c r="F105" s="2986">
        <v>5</v>
      </c>
      <c r="G105" s="2986">
        <v>6</v>
      </c>
      <c r="H105" s="2985">
        <v>7</v>
      </c>
      <c r="I105" s="2985">
        <v>8</v>
      </c>
      <c r="J105" s="2985">
        <v>9</v>
      </c>
      <c r="K105" s="2985">
        <v>10</v>
      </c>
      <c r="L105" s="2985">
        <v>11</v>
      </c>
      <c r="M105" s="2986">
        <v>12</v>
      </c>
      <c r="N105" s="2986">
        <v>13</v>
      </c>
      <c r="O105" s="2985">
        <v>14</v>
      </c>
      <c r="P105" s="2985">
        <v>15</v>
      </c>
      <c r="Q105" s="2985">
        <v>16</v>
      </c>
      <c r="R105" s="2985">
        <v>17</v>
      </c>
      <c r="S105" s="2985">
        <v>18</v>
      </c>
      <c r="T105" s="2986">
        <v>19</v>
      </c>
      <c r="U105" s="2986">
        <v>20</v>
      </c>
      <c r="V105" s="2985">
        <v>21</v>
      </c>
      <c r="W105" s="2985">
        <v>22</v>
      </c>
      <c r="X105" s="2985">
        <v>23</v>
      </c>
      <c r="Y105" s="2985">
        <v>24</v>
      </c>
      <c r="Z105" s="2985">
        <v>25</v>
      </c>
      <c r="AA105" s="2986">
        <v>26</v>
      </c>
      <c r="AB105" s="2986">
        <v>27</v>
      </c>
      <c r="AC105" s="2985">
        <v>28</v>
      </c>
      <c r="AD105" s="2985">
        <v>29</v>
      </c>
      <c r="AE105" s="2985">
        <v>30</v>
      </c>
    </row>
    <row r="106" spans="1:31" ht="18" customHeight="1">
      <c r="A106" s="1526" t="s">
        <v>184</v>
      </c>
      <c r="B106" s="6174" t="s">
        <v>46</v>
      </c>
      <c r="C106" s="6174" t="s">
        <v>46</v>
      </c>
      <c r="D106" s="6174" t="s">
        <v>46</v>
      </c>
      <c r="E106" s="6174" t="s">
        <v>46</v>
      </c>
      <c r="F106" s="6174"/>
      <c r="G106" s="6174"/>
      <c r="H106" s="6174" t="s">
        <v>118</v>
      </c>
      <c r="I106" s="6174" t="s">
        <v>118</v>
      </c>
      <c r="J106" s="6174" t="s">
        <v>118</v>
      </c>
      <c r="K106" s="6174" t="s">
        <v>118</v>
      </c>
      <c r="L106" s="6174" t="s">
        <v>118</v>
      </c>
      <c r="M106" s="6174" t="s">
        <v>118</v>
      </c>
      <c r="N106" s="6174" t="s">
        <v>118</v>
      </c>
      <c r="O106" s="6174" t="s">
        <v>46</v>
      </c>
      <c r="P106" s="6174" t="s">
        <v>46</v>
      </c>
      <c r="Q106" s="6174" t="s">
        <v>46</v>
      </c>
      <c r="R106" s="6174" t="s">
        <v>46</v>
      </c>
      <c r="S106" s="6174" t="s">
        <v>46</v>
      </c>
      <c r="T106" s="6174"/>
      <c r="U106" s="6174"/>
      <c r="V106" s="6174" t="s">
        <v>118</v>
      </c>
      <c r="W106" s="6174" t="s">
        <v>118</v>
      </c>
      <c r="X106" s="6174" t="s">
        <v>118</v>
      </c>
      <c r="Y106" s="6174" t="s">
        <v>118</v>
      </c>
      <c r="Z106" s="6174" t="s">
        <v>118</v>
      </c>
      <c r="AA106" s="6174" t="s">
        <v>118</v>
      </c>
      <c r="AB106" s="6174" t="s">
        <v>118</v>
      </c>
      <c r="AC106" s="6174" t="s">
        <v>46</v>
      </c>
      <c r="AD106" s="6174" t="s">
        <v>46</v>
      </c>
      <c r="AE106" s="6174" t="s">
        <v>46</v>
      </c>
    </row>
    <row r="107" spans="1:31" ht="18" customHeight="1">
      <c r="A107" s="366" t="s">
        <v>195</v>
      </c>
      <c r="B107" s="724"/>
      <c r="C107" s="724"/>
      <c r="D107" s="724"/>
      <c r="E107" s="724"/>
      <c r="F107" s="724"/>
      <c r="G107" s="724"/>
      <c r="H107" s="724"/>
      <c r="I107" s="724"/>
      <c r="J107" s="724"/>
      <c r="K107" s="724"/>
      <c r="L107" s="724"/>
      <c r="M107" s="724"/>
      <c r="N107" s="724"/>
      <c r="O107" s="724"/>
      <c r="P107" s="724"/>
      <c r="Q107" s="724"/>
      <c r="R107" s="724"/>
      <c r="S107" s="724"/>
      <c r="T107" s="724"/>
      <c r="U107" s="724"/>
      <c r="V107" s="724"/>
      <c r="W107" s="724"/>
      <c r="X107" s="724"/>
      <c r="Y107" s="724"/>
      <c r="Z107" s="724"/>
      <c r="AA107" s="724"/>
      <c r="AB107" s="724"/>
      <c r="AC107" s="724"/>
      <c r="AD107" s="724"/>
      <c r="AE107" s="724"/>
    </row>
    <row r="108" spans="1:31" ht="18" customHeight="1" thickBot="1">
      <c r="A108" s="394" t="s">
        <v>385</v>
      </c>
      <c r="B108" s="5967" t="s">
        <v>118</v>
      </c>
      <c r="C108" s="5967" t="s">
        <v>118</v>
      </c>
      <c r="D108" s="5967" t="s">
        <v>118</v>
      </c>
      <c r="E108" s="5967" t="s">
        <v>118</v>
      </c>
      <c r="F108" s="5967" t="s">
        <v>118</v>
      </c>
      <c r="G108" s="5967" t="s">
        <v>118</v>
      </c>
      <c r="H108" s="5967" t="s">
        <v>46</v>
      </c>
      <c r="I108" s="5967" t="s">
        <v>46</v>
      </c>
      <c r="J108" s="5967" t="s">
        <v>46</v>
      </c>
      <c r="K108" s="5967" t="s">
        <v>46</v>
      </c>
      <c r="L108" s="5967" t="s">
        <v>46</v>
      </c>
      <c r="M108" s="5967"/>
      <c r="N108" s="5967"/>
      <c r="O108" s="5967" t="s">
        <v>118</v>
      </c>
      <c r="P108" s="5967" t="s">
        <v>118</v>
      </c>
      <c r="Q108" s="5967" t="s">
        <v>118</v>
      </c>
      <c r="R108" s="5967" t="s">
        <v>118</v>
      </c>
      <c r="S108" s="5967" t="s">
        <v>118</v>
      </c>
      <c r="T108" s="5967" t="s">
        <v>118</v>
      </c>
      <c r="U108" s="5967" t="s">
        <v>118</v>
      </c>
      <c r="V108" s="5967" t="s">
        <v>46</v>
      </c>
      <c r="W108" s="5967" t="s">
        <v>46</v>
      </c>
      <c r="X108" s="5967" t="s">
        <v>46</v>
      </c>
      <c r="Y108" s="5967" t="s">
        <v>46</v>
      </c>
      <c r="Z108" s="5967" t="s">
        <v>46</v>
      </c>
      <c r="AA108" s="5967"/>
      <c r="AB108" s="5967"/>
      <c r="AC108" s="5967" t="s">
        <v>118</v>
      </c>
      <c r="AD108" s="5967" t="s">
        <v>118</v>
      </c>
      <c r="AE108" s="5967" t="s">
        <v>118</v>
      </c>
    </row>
    <row r="109" spans="1:31" ht="18" customHeight="1" thickBot="1">
      <c r="A109" s="1461"/>
      <c r="B109" s="1462"/>
      <c r="C109" s="1462"/>
      <c r="D109" s="1456"/>
      <c r="E109" s="1456"/>
      <c r="F109" s="1456"/>
      <c r="G109" s="1456"/>
      <c r="H109" s="1456"/>
      <c r="I109" s="1456"/>
      <c r="J109" s="1456"/>
      <c r="K109" s="1456"/>
      <c r="L109" s="1456"/>
      <c r="M109" s="1456"/>
      <c r="N109" s="1456"/>
      <c r="O109" s="1456"/>
      <c r="P109" s="1456"/>
      <c r="Q109" s="1456"/>
      <c r="R109" s="1456"/>
      <c r="S109" s="1456"/>
      <c r="T109" s="1456"/>
      <c r="U109" s="1456"/>
      <c r="V109" s="1456"/>
      <c r="W109" s="1456"/>
      <c r="X109" s="1456"/>
      <c r="Y109" s="1456"/>
      <c r="Z109" s="1456"/>
      <c r="AA109" s="1456"/>
      <c r="AB109" s="1456"/>
      <c r="AC109" s="1456"/>
      <c r="AD109" s="1456"/>
      <c r="AE109" s="1456"/>
    </row>
    <row r="110" spans="1:31" ht="18" customHeight="1" thickBot="1">
      <c r="A110" s="134" t="s">
        <v>180</v>
      </c>
      <c r="B110" s="135"/>
      <c r="C110" s="135"/>
      <c r="D110" s="136" t="s">
        <v>189</v>
      </c>
      <c r="E110" s="135"/>
      <c r="F110" s="135"/>
      <c r="G110" s="135"/>
      <c r="H110" s="135"/>
      <c r="I110" s="135"/>
      <c r="J110" s="135" t="s">
        <v>0</v>
      </c>
      <c r="K110" s="135"/>
      <c r="L110" s="135"/>
      <c r="M110" s="135"/>
      <c r="N110" s="135"/>
      <c r="O110" s="135"/>
      <c r="P110" s="135"/>
      <c r="Q110" s="147" t="s">
        <v>0</v>
      </c>
      <c r="R110" s="147"/>
      <c r="S110" s="147"/>
      <c r="T110" s="101"/>
      <c r="U110" s="101"/>
    </row>
    <row r="111" spans="1:31" ht="18" customHeight="1" thickBot="1">
      <c r="A111" s="478" t="s">
        <v>188</v>
      </c>
      <c r="B111" s="2985">
        <v>1</v>
      </c>
      <c r="C111" s="2985">
        <v>2</v>
      </c>
      <c r="D111" s="2985">
        <v>3</v>
      </c>
      <c r="E111" s="2985">
        <v>4</v>
      </c>
      <c r="F111" s="2986">
        <v>5</v>
      </c>
      <c r="G111" s="2986">
        <v>6</v>
      </c>
      <c r="H111" s="2985">
        <v>7</v>
      </c>
      <c r="I111" s="2985">
        <v>8</v>
      </c>
      <c r="J111" s="2985">
        <v>9</v>
      </c>
      <c r="K111" s="2985">
        <v>10</v>
      </c>
      <c r="L111" s="2985">
        <v>11</v>
      </c>
      <c r="M111" s="2986">
        <v>12</v>
      </c>
      <c r="N111" s="2986">
        <v>13</v>
      </c>
      <c r="O111" s="2985">
        <v>14</v>
      </c>
      <c r="P111" s="2985">
        <v>15</v>
      </c>
      <c r="Q111" s="2985">
        <v>16</v>
      </c>
      <c r="R111" s="2985">
        <v>17</v>
      </c>
      <c r="S111" s="2985">
        <v>18</v>
      </c>
      <c r="T111" s="2986">
        <v>19</v>
      </c>
      <c r="U111" s="2986">
        <v>20</v>
      </c>
      <c r="V111" s="2985">
        <v>21</v>
      </c>
      <c r="W111" s="2985">
        <v>22</v>
      </c>
      <c r="X111" s="2985">
        <v>23</v>
      </c>
      <c r="Y111" s="2985">
        <v>24</v>
      </c>
      <c r="Z111" s="2985">
        <v>25</v>
      </c>
      <c r="AA111" s="2986">
        <v>26</v>
      </c>
      <c r="AB111" s="2986">
        <v>27</v>
      </c>
      <c r="AC111" s="2985">
        <v>28</v>
      </c>
      <c r="AD111" s="2985">
        <v>29</v>
      </c>
      <c r="AE111" s="2985">
        <v>30</v>
      </c>
    </row>
    <row r="112" spans="1:31" ht="18" customHeight="1">
      <c r="A112" s="5968"/>
      <c r="B112" s="480" t="s">
        <v>46</v>
      </c>
      <c r="C112" s="480" t="s">
        <v>46</v>
      </c>
      <c r="D112" s="480" t="s">
        <v>46</v>
      </c>
      <c r="E112" s="480" t="s">
        <v>46</v>
      </c>
      <c r="F112" s="484"/>
      <c r="G112" s="484"/>
      <c r="H112" s="484" t="s">
        <v>61</v>
      </c>
      <c r="I112" s="484" t="s">
        <v>61</v>
      </c>
      <c r="J112" s="484" t="s">
        <v>61</v>
      </c>
      <c r="K112" s="480" t="s">
        <v>61</v>
      </c>
      <c r="L112" s="480" t="s">
        <v>61</v>
      </c>
      <c r="M112" s="480" t="s">
        <v>61</v>
      </c>
      <c r="N112" s="480" t="s">
        <v>61</v>
      </c>
      <c r="O112" s="480" t="s">
        <v>46</v>
      </c>
      <c r="P112" s="480" t="s">
        <v>46</v>
      </c>
      <c r="Q112" s="480" t="s">
        <v>46</v>
      </c>
      <c r="R112" s="480" t="s">
        <v>46</v>
      </c>
      <c r="S112" s="480" t="s">
        <v>46</v>
      </c>
      <c r="T112" s="484"/>
      <c r="U112" s="484"/>
      <c r="V112" s="484" t="s">
        <v>61</v>
      </c>
      <c r="W112" s="484" t="s">
        <v>61</v>
      </c>
      <c r="X112" s="484" t="s">
        <v>61</v>
      </c>
      <c r="Y112" s="480" t="s">
        <v>61</v>
      </c>
      <c r="Z112" s="480" t="s">
        <v>61</v>
      </c>
      <c r="AA112" s="480" t="s">
        <v>61</v>
      </c>
      <c r="AB112" s="480" t="s">
        <v>61</v>
      </c>
      <c r="AC112" s="480" t="s">
        <v>46</v>
      </c>
      <c r="AD112" s="480" t="s">
        <v>46</v>
      </c>
      <c r="AE112" s="480" t="s">
        <v>46</v>
      </c>
    </row>
    <row r="113" spans="1:31" ht="18" customHeight="1" thickBot="1">
      <c r="A113" s="5968" t="s">
        <v>191</v>
      </c>
      <c r="B113" s="5602" t="s">
        <v>61</v>
      </c>
      <c r="C113" s="5602" t="s">
        <v>61</v>
      </c>
      <c r="D113" s="5600" t="s">
        <v>61</v>
      </c>
      <c r="E113" s="5600" t="s">
        <v>61</v>
      </c>
      <c r="F113" s="5600" t="s">
        <v>61</v>
      </c>
      <c r="G113" s="5600" t="s">
        <v>61</v>
      </c>
      <c r="H113" s="5600" t="s">
        <v>46</v>
      </c>
      <c r="I113" s="5601" t="s">
        <v>46</v>
      </c>
      <c r="J113" s="5601" t="s">
        <v>46</v>
      </c>
      <c r="K113" s="5601" t="s">
        <v>46</v>
      </c>
      <c r="L113" s="5601" t="s">
        <v>46</v>
      </c>
      <c r="M113" s="5628"/>
      <c r="N113" s="5629"/>
      <c r="O113" s="5602" t="s">
        <v>61</v>
      </c>
      <c r="P113" s="5602" t="s">
        <v>61</v>
      </c>
      <c r="Q113" s="5602" t="s">
        <v>61</v>
      </c>
      <c r="R113" s="5600" t="s">
        <v>61</v>
      </c>
      <c r="S113" s="5600" t="s">
        <v>61</v>
      </c>
      <c r="T113" s="5600" t="s">
        <v>61</v>
      </c>
      <c r="U113" s="5600" t="s">
        <v>61</v>
      </c>
      <c r="V113" s="5600" t="s">
        <v>46</v>
      </c>
      <c r="W113" s="5601" t="s">
        <v>46</v>
      </c>
      <c r="X113" s="5601" t="s">
        <v>46</v>
      </c>
      <c r="Y113" s="5601" t="s">
        <v>46</v>
      </c>
      <c r="Z113" s="5601" t="s">
        <v>46</v>
      </c>
      <c r="AA113" s="5628"/>
      <c r="AB113" s="5629"/>
      <c r="AC113" s="5602" t="s">
        <v>61</v>
      </c>
      <c r="AD113" s="5602" t="s">
        <v>61</v>
      </c>
      <c r="AE113" s="5602" t="s">
        <v>61</v>
      </c>
    </row>
    <row r="114" spans="1:31" ht="18" customHeight="1" thickBot="1">
      <c r="A114" s="1455" t="s">
        <v>0</v>
      </c>
      <c r="B114" s="1456" t="s">
        <v>0</v>
      </c>
      <c r="C114" s="1456" t="s">
        <v>0</v>
      </c>
      <c r="D114" s="1456" t="s">
        <v>0</v>
      </c>
      <c r="E114" s="1456" t="s">
        <v>0</v>
      </c>
      <c r="F114" s="1456" t="s">
        <v>0</v>
      </c>
      <c r="G114" s="1456" t="s">
        <v>0</v>
      </c>
      <c r="H114" s="1456" t="s">
        <v>0</v>
      </c>
      <c r="I114" s="1456" t="s">
        <v>0</v>
      </c>
      <c r="J114" s="1456" t="s">
        <v>0</v>
      </c>
      <c r="K114" s="1456" t="s">
        <v>0</v>
      </c>
      <c r="L114" s="1456" t="s">
        <v>0</v>
      </c>
      <c r="M114" s="1456" t="s">
        <v>0</v>
      </c>
      <c r="N114" s="1456" t="s">
        <v>0</v>
      </c>
      <c r="O114" s="1456" t="s">
        <v>0</v>
      </c>
      <c r="P114" s="1456" t="s">
        <v>0</v>
      </c>
      <c r="Q114" s="1456" t="s">
        <v>0</v>
      </c>
      <c r="R114" s="1456" t="s">
        <v>0</v>
      </c>
      <c r="S114" s="1456" t="s">
        <v>0</v>
      </c>
      <c r="T114" s="1456" t="s">
        <v>0</v>
      </c>
      <c r="U114" s="1456" t="s">
        <v>0</v>
      </c>
      <c r="V114" s="1456" t="s">
        <v>0</v>
      </c>
      <c r="W114" s="1456" t="s">
        <v>0</v>
      </c>
      <c r="X114" s="1456" t="s">
        <v>0</v>
      </c>
      <c r="Y114" s="1456" t="s">
        <v>0</v>
      </c>
      <c r="Z114" s="1456" t="s">
        <v>0</v>
      </c>
      <c r="AA114" s="1456" t="s">
        <v>0</v>
      </c>
      <c r="AB114" s="1456" t="s">
        <v>0</v>
      </c>
      <c r="AC114" s="1456" t="s">
        <v>0</v>
      </c>
      <c r="AD114" s="1456" t="s">
        <v>0</v>
      </c>
      <c r="AE114" s="1456" t="s">
        <v>0</v>
      </c>
    </row>
    <row r="115" spans="1:31" ht="18" customHeight="1" thickBot="1">
      <c r="A115" s="134" t="s">
        <v>180</v>
      </c>
      <c r="B115" s="135"/>
      <c r="C115" s="135"/>
      <c r="D115" s="136" t="s">
        <v>193</v>
      </c>
      <c r="E115" s="135"/>
      <c r="F115" s="135"/>
      <c r="G115" s="135"/>
      <c r="H115" s="135"/>
      <c r="I115" s="135"/>
      <c r="J115" s="135" t="s">
        <v>0</v>
      </c>
      <c r="K115" s="135"/>
      <c r="L115" s="135"/>
      <c r="M115" s="135"/>
      <c r="N115" s="135"/>
      <c r="O115" s="135"/>
      <c r="P115" s="135"/>
      <c r="Q115" s="147" t="s">
        <v>0</v>
      </c>
      <c r="R115" s="147"/>
      <c r="S115" s="147"/>
    </row>
    <row r="116" spans="1:31" ht="18" customHeight="1" thickBot="1">
      <c r="A116" s="387" t="s">
        <v>192</v>
      </c>
      <c r="B116" s="2985">
        <v>1</v>
      </c>
      <c r="C116" s="2985">
        <v>2</v>
      </c>
      <c r="D116" s="2985">
        <v>3</v>
      </c>
      <c r="E116" s="2985">
        <v>4</v>
      </c>
      <c r="F116" s="2986">
        <v>5</v>
      </c>
      <c r="G116" s="2986">
        <v>6</v>
      </c>
      <c r="H116" s="2985">
        <v>7</v>
      </c>
      <c r="I116" s="2985">
        <v>8</v>
      </c>
      <c r="J116" s="2985">
        <v>9</v>
      </c>
      <c r="K116" s="2985">
        <v>10</v>
      </c>
      <c r="L116" s="2985">
        <v>11</v>
      </c>
      <c r="M116" s="2986">
        <v>12</v>
      </c>
      <c r="N116" s="2986">
        <v>13</v>
      </c>
      <c r="O116" s="2985">
        <v>14</v>
      </c>
      <c r="P116" s="2985">
        <v>15</v>
      </c>
      <c r="Q116" s="2985">
        <v>16</v>
      </c>
      <c r="R116" s="2985">
        <v>17</v>
      </c>
      <c r="S116" s="2985">
        <v>18</v>
      </c>
      <c r="T116" s="2986">
        <v>19</v>
      </c>
      <c r="U116" s="2986">
        <v>20</v>
      </c>
      <c r="V116" s="2985">
        <v>21</v>
      </c>
      <c r="W116" s="2985">
        <v>22</v>
      </c>
      <c r="X116" s="2985">
        <v>23</v>
      </c>
      <c r="Y116" s="2985">
        <v>24</v>
      </c>
      <c r="Z116" s="2985">
        <v>25</v>
      </c>
      <c r="AA116" s="2986">
        <v>26</v>
      </c>
      <c r="AB116" s="2986">
        <v>27</v>
      </c>
      <c r="AC116" s="2985">
        <v>28</v>
      </c>
      <c r="AD116" s="2985">
        <v>29</v>
      </c>
      <c r="AE116" s="2985">
        <v>30</v>
      </c>
    </row>
    <row r="117" spans="1:31" ht="18" customHeight="1">
      <c r="A117" s="1518" t="s">
        <v>194</v>
      </c>
      <c r="B117" s="1505" t="s">
        <v>46</v>
      </c>
      <c r="C117" s="1505" t="s">
        <v>46</v>
      </c>
      <c r="D117" s="1505" t="s">
        <v>46</v>
      </c>
      <c r="E117" s="1505" t="s">
        <v>46</v>
      </c>
      <c r="F117" s="1505"/>
      <c r="G117" s="1504"/>
      <c r="H117" s="1504" t="s">
        <v>139</v>
      </c>
      <c r="I117" s="1504" t="s">
        <v>139</v>
      </c>
      <c r="J117" s="1504" t="s">
        <v>139</v>
      </c>
      <c r="K117" s="1504" t="s">
        <v>139</v>
      </c>
      <c r="L117" s="1505" t="s">
        <v>139</v>
      </c>
      <c r="M117" s="1505" t="s">
        <v>139</v>
      </c>
      <c r="N117" s="1505" t="s">
        <v>139</v>
      </c>
      <c r="O117" s="1505" t="s">
        <v>46</v>
      </c>
      <c r="P117" s="1505" t="s">
        <v>46</v>
      </c>
      <c r="Q117" s="1505" t="s">
        <v>46</v>
      </c>
      <c r="R117" s="1505" t="s">
        <v>46</v>
      </c>
      <c r="S117" s="1505" t="s">
        <v>46</v>
      </c>
      <c r="T117" s="1505"/>
      <c r="U117" s="1504"/>
      <c r="V117" s="1504" t="s">
        <v>139</v>
      </c>
      <c r="W117" s="1504" t="s">
        <v>139</v>
      </c>
      <c r="X117" s="1504" t="s">
        <v>139</v>
      </c>
      <c r="Y117" s="1504" t="s">
        <v>139</v>
      </c>
      <c r="Z117" s="1505" t="s">
        <v>139</v>
      </c>
      <c r="AA117" s="1505" t="s">
        <v>139</v>
      </c>
      <c r="AB117" s="1505" t="s">
        <v>139</v>
      </c>
      <c r="AC117" s="1505" t="s">
        <v>46</v>
      </c>
      <c r="AD117" s="1505" t="s">
        <v>46</v>
      </c>
      <c r="AE117" s="1505" t="s">
        <v>46</v>
      </c>
    </row>
    <row r="118" spans="1:31" ht="18" customHeight="1">
      <c r="A118" s="5759" t="s">
        <v>195</v>
      </c>
      <c r="B118" s="5602" t="s">
        <v>139</v>
      </c>
      <c r="C118" s="5602" t="s">
        <v>139</v>
      </c>
      <c r="D118" s="5602" t="s">
        <v>139</v>
      </c>
      <c r="E118" s="5600" t="s">
        <v>139</v>
      </c>
      <c r="F118" s="5600" t="s">
        <v>139</v>
      </c>
      <c r="G118" s="5600" t="s">
        <v>139</v>
      </c>
      <c r="H118" s="5600" t="s">
        <v>46</v>
      </c>
      <c r="I118" s="5600" t="s">
        <v>46</v>
      </c>
      <c r="J118" s="5600" t="s">
        <v>46</v>
      </c>
      <c r="K118" s="5600" t="s">
        <v>46</v>
      </c>
      <c r="L118" s="5600" t="s">
        <v>46</v>
      </c>
      <c r="M118" s="5600"/>
      <c r="N118" s="5602"/>
      <c r="O118" s="5602" t="s">
        <v>139</v>
      </c>
      <c r="P118" s="5602" t="s">
        <v>139</v>
      </c>
      <c r="Q118" s="5602" t="s">
        <v>139</v>
      </c>
      <c r="R118" s="5602" t="s">
        <v>139</v>
      </c>
      <c r="S118" s="5600" t="s">
        <v>139</v>
      </c>
      <c r="T118" s="5600" t="s">
        <v>139</v>
      </c>
      <c r="U118" s="5600" t="s">
        <v>139</v>
      </c>
      <c r="V118" s="5600" t="s">
        <v>46</v>
      </c>
      <c r="W118" s="5600" t="s">
        <v>46</v>
      </c>
      <c r="X118" s="5600" t="s">
        <v>46</v>
      </c>
      <c r="Y118" s="5600" t="s">
        <v>46</v>
      </c>
      <c r="Z118" s="5600" t="s">
        <v>46</v>
      </c>
      <c r="AA118" s="5600"/>
      <c r="AB118" s="5602"/>
      <c r="AC118" s="5602" t="s">
        <v>139</v>
      </c>
      <c r="AD118" s="5602" t="s">
        <v>139</v>
      </c>
      <c r="AE118" s="5602" t="s">
        <v>139</v>
      </c>
    </row>
    <row r="119" spans="1:31" ht="18" customHeight="1" thickBot="1">
      <c r="A119" s="68"/>
      <c r="B119" s="108"/>
      <c r="C119" s="108"/>
      <c r="D119" s="108"/>
      <c r="E119" s="108"/>
      <c r="F119" s="108"/>
      <c r="G119" s="108"/>
      <c r="H119" s="108"/>
      <c r="I119" s="108"/>
      <c r="J119" s="108"/>
      <c r="K119" s="108"/>
      <c r="L119" s="108"/>
      <c r="M119" s="108"/>
      <c r="N119" s="108"/>
      <c r="O119" s="108"/>
      <c r="P119" s="108"/>
      <c r="Q119" s="108"/>
      <c r="R119" s="108"/>
      <c r="S119" s="108"/>
      <c r="T119" s="108"/>
      <c r="U119" s="108"/>
      <c r="V119" s="108"/>
      <c r="W119" s="108"/>
      <c r="X119" s="108"/>
      <c r="Y119" s="108"/>
      <c r="Z119" s="108"/>
      <c r="AA119" s="108"/>
      <c r="AB119" s="108"/>
      <c r="AC119" s="108"/>
      <c r="AD119" s="108"/>
      <c r="AE119" s="108"/>
    </row>
    <row r="120" spans="1:31" ht="18" customHeight="1" thickBot="1">
      <c r="A120" s="134" t="s">
        <v>180</v>
      </c>
      <c r="B120" s="135"/>
      <c r="C120" s="135"/>
      <c r="D120" s="136"/>
      <c r="E120" s="135"/>
      <c r="F120" s="135"/>
      <c r="G120" s="135"/>
      <c r="H120" s="135"/>
      <c r="I120" s="135"/>
      <c r="J120" s="135" t="s">
        <v>0</v>
      </c>
      <c r="K120" s="135"/>
      <c r="L120" s="135"/>
      <c r="M120" s="135"/>
      <c r="N120" s="135"/>
      <c r="O120" s="135"/>
      <c r="P120" s="135"/>
      <c r="Q120" s="147" t="s">
        <v>0</v>
      </c>
      <c r="R120" s="147"/>
      <c r="S120" s="147"/>
    </row>
    <row r="121" spans="1:31" ht="18" customHeight="1" thickBot="1">
      <c r="A121" s="691" t="s">
        <v>635</v>
      </c>
      <c r="B121" s="2985">
        <v>1</v>
      </c>
      <c r="C121" s="2985">
        <v>2</v>
      </c>
      <c r="D121" s="2985">
        <v>3</v>
      </c>
      <c r="E121" s="2985">
        <v>4</v>
      </c>
      <c r="F121" s="2986">
        <v>5</v>
      </c>
      <c r="G121" s="2986">
        <v>6</v>
      </c>
      <c r="H121" s="2985">
        <v>7</v>
      </c>
      <c r="I121" s="2985">
        <v>8</v>
      </c>
      <c r="J121" s="2985">
        <v>9</v>
      </c>
      <c r="K121" s="2985">
        <v>10</v>
      </c>
      <c r="L121" s="2985">
        <v>11</v>
      </c>
      <c r="M121" s="2986">
        <v>12</v>
      </c>
      <c r="N121" s="2986">
        <v>13</v>
      </c>
      <c r="O121" s="2985">
        <v>14</v>
      </c>
      <c r="P121" s="2985">
        <v>15</v>
      </c>
      <c r="Q121" s="2985">
        <v>16</v>
      </c>
      <c r="R121" s="2985">
        <v>17</v>
      </c>
      <c r="S121" s="2985">
        <v>18</v>
      </c>
      <c r="T121" s="2986">
        <v>19</v>
      </c>
      <c r="U121" s="2986">
        <v>20</v>
      </c>
      <c r="V121" s="2985">
        <v>21</v>
      </c>
      <c r="W121" s="2985">
        <v>22</v>
      </c>
      <c r="X121" s="2985">
        <v>23</v>
      </c>
      <c r="Y121" s="2985">
        <v>24</v>
      </c>
      <c r="Z121" s="2985">
        <v>25</v>
      </c>
      <c r="AA121" s="2986">
        <v>26</v>
      </c>
      <c r="AB121" s="2986">
        <v>27</v>
      </c>
      <c r="AC121" s="2985">
        <v>28</v>
      </c>
      <c r="AD121" s="2985">
        <v>29</v>
      </c>
      <c r="AE121" s="2985">
        <v>30</v>
      </c>
    </row>
    <row r="122" spans="1:31" ht="18" customHeight="1">
      <c r="A122" s="1498" t="s">
        <v>392</v>
      </c>
      <c r="B122" s="5600" t="s">
        <v>46</v>
      </c>
      <c r="C122" s="5600" t="s">
        <v>46</v>
      </c>
      <c r="D122" s="5600" t="s">
        <v>46</v>
      </c>
      <c r="E122" s="5600" t="s">
        <v>46</v>
      </c>
      <c r="F122" s="5600"/>
      <c r="G122" s="5602"/>
      <c r="H122" s="5602" t="s">
        <v>113</v>
      </c>
      <c r="I122" s="5602" t="s">
        <v>113</v>
      </c>
      <c r="J122" s="5602" t="s">
        <v>113</v>
      </c>
      <c r="K122" s="5602" t="s">
        <v>113</v>
      </c>
      <c r="L122" s="5602" t="s">
        <v>113</v>
      </c>
      <c r="M122" s="5602" t="s">
        <v>113</v>
      </c>
      <c r="N122" s="5602" t="s">
        <v>113</v>
      </c>
      <c r="O122" s="5600" t="s">
        <v>46</v>
      </c>
      <c r="P122" s="5600" t="s">
        <v>46</v>
      </c>
      <c r="Q122" s="5600" t="s">
        <v>46</v>
      </c>
      <c r="R122" s="5600" t="s">
        <v>46</v>
      </c>
      <c r="S122" s="5600" t="s">
        <v>46</v>
      </c>
      <c r="T122" s="5600"/>
      <c r="U122" s="5602"/>
      <c r="V122" s="5602" t="s">
        <v>113</v>
      </c>
      <c r="W122" s="5602" t="s">
        <v>113</v>
      </c>
      <c r="X122" s="5602" t="s">
        <v>113</v>
      </c>
      <c r="Y122" s="5602" t="s">
        <v>113</v>
      </c>
      <c r="Z122" s="5602" t="s">
        <v>113</v>
      </c>
      <c r="AA122" s="5602" t="s">
        <v>113</v>
      </c>
      <c r="AB122" s="5602" t="s">
        <v>113</v>
      </c>
      <c r="AC122" s="5600" t="s">
        <v>46</v>
      </c>
      <c r="AD122" s="5600" t="s">
        <v>46</v>
      </c>
      <c r="AE122" s="5600" t="s">
        <v>46</v>
      </c>
    </row>
    <row r="123" spans="1:31" ht="18" customHeight="1" thickBot="1">
      <c r="A123" s="431" t="s">
        <v>155</v>
      </c>
      <c r="B123" s="5602" t="s">
        <v>113</v>
      </c>
      <c r="C123" s="5602" t="s">
        <v>113</v>
      </c>
      <c r="D123" s="5602" t="s">
        <v>113</v>
      </c>
      <c r="E123" s="5602" t="s">
        <v>113</v>
      </c>
      <c r="F123" s="5602" t="s">
        <v>113</v>
      </c>
      <c r="G123" s="5602" t="s">
        <v>113</v>
      </c>
      <c r="H123" s="5600" t="s">
        <v>46</v>
      </c>
      <c r="I123" s="5600" t="s">
        <v>46</v>
      </c>
      <c r="J123" s="5600" t="s">
        <v>46</v>
      </c>
      <c r="K123" s="5600" t="s">
        <v>46</v>
      </c>
      <c r="L123" s="5600" t="s">
        <v>46</v>
      </c>
      <c r="M123" s="5600" t="s">
        <v>0</v>
      </c>
      <c r="N123" s="5600" t="s">
        <v>0</v>
      </c>
      <c r="O123" s="5602" t="s">
        <v>113</v>
      </c>
      <c r="P123" s="5602" t="s">
        <v>113</v>
      </c>
      <c r="Q123" s="5602" t="s">
        <v>113</v>
      </c>
      <c r="R123" s="5602" t="s">
        <v>113</v>
      </c>
      <c r="S123" s="5602" t="s">
        <v>113</v>
      </c>
      <c r="T123" s="5602" t="s">
        <v>113</v>
      </c>
      <c r="U123" s="5602" t="s">
        <v>113</v>
      </c>
      <c r="V123" s="5600" t="s">
        <v>46</v>
      </c>
      <c r="W123" s="5600" t="s">
        <v>46</v>
      </c>
      <c r="X123" s="5600" t="s">
        <v>46</v>
      </c>
      <c r="Y123" s="5600" t="s">
        <v>46</v>
      </c>
      <c r="Z123" s="5600" t="s">
        <v>46</v>
      </c>
      <c r="AA123" s="5600" t="s">
        <v>0</v>
      </c>
      <c r="AB123" s="5600" t="s">
        <v>0</v>
      </c>
      <c r="AC123" s="5602" t="s">
        <v>113</v>
      </c>
      <c r="AD123" s="5602" t="s">
        <v>113</v>
      </c>
      <c r="AE123" s="5602" t="s">
        <v>113</v>
      </c>
    </row>
    <row r="124" spans="1:31" ht="18" customHeight="1" thickBot="1">
      <c r="A124" s="101"/>
      <c r="B124" s="99"/>
      <c r="C124" s="99"/>
      <c r="D124" s="99"/>
      <c r="E124" s="99"/>
      <c r="F124" s="99"/>
      <c r="G124" s="108"/>
      <c r="H124" s="108"/>
      <c r="I124" s="108"/>
      <c r="J124" s="108"/>
      <c r="K124" s="108"/>
      <c r="L124" s="108"/>
      <c r="M124" s="108"/>
      <c r="N124" s="99"/>
      <c r="O124" s="99"/>
      <c r="P124" s="99"/>
      <c r="Q124" s="99"/>
      <c r="R124" s="99"/>
      <c r="S124" s="99"/>
      <c r="T124" s="99"/>
      <c r="U124" s="108"/>
      <c r="V124" s="108"/>
      <c r="W124" s="108"/>
      <c r="X124" s="108"/>
      <c r="Y124" s="108"/>
      <c r="Z124" s="108"/>
      <c r="AA124" s="108"/>
      <c r="AB124" s="99"/>
      <c r="AC124" s="99"/>
      <c r="AD124" s="99"/>
      <c r="AE124" s="99"/>
    </row>
    <row r="125" spans="1:31" ht="18" customHeight="1">
      <c r="A125" s="6175" t="s">
        <v>201</v>
      </c>
      <c r="B125" s="6176"/>
      <c r="C125" s="6177" t="s">
        <v>19</v>
      </c>
      <c r="D125" s="6178"/>
      <c r="E125" s="6176"/>
      <c r="F125" s="6179" t="s">
        <v>20</v>
      </c>
      <c r="G125" s="6180"/>
      <c r="H125" s="6181"/>
      <c r="I125" s="6179" t="s">
        <v>21</v>
      </c>
      <c r="J125" s="6182"/>
      <c r="K125" s="6181"/>
      <c r="L125" s="6183" t="s">
        <v>22</v>
      </c>
      <c r="M125" s="6182"/>
      <c r="N125" s="6181"/>
      <c r="O125" s="6179" t="s">
        <v>23</v>
      </c>
      <c r="P125" s="6184"/>
      <c r="Q125" s="6181"/>
      <c r="R125" s="6179" t="s">
        <v>24</v>
      </c>
      <c r="S125" s="6185"/>
      <c r="T125" s="6181"/>
      <c r="U125" s="6179" t="s">
        <v>25</v>
      </c>
      <c r="V125" s="6184"/>
      <c r="W125" s="6186" t="s">
        <v>202</v>
      </c>
      <c r="X125" s="6187"/>
      <c r="Y125" s="6187"/>
      <c r="Z125" s="6188"/>
      <c r="AA125" s="6189" t="s">
        <v>108</v>
      </c>
      <c r="AB125" s="6190"/>
      <c r="AC125" s="6190"/>
      <c r="AD125" s="6158"/>
      <c r="AE125" s="6158"/>
    </row>
    <row r="126" spans="1:31" ht="18" customHeight="1">
      <c r="A126" s="6289" t="s">
        <v>203</v>
      </c>
      <c r="B126" s="6286" t="s">
        <v>204</v>
      </c>
      <c r="C126" s="6240"/>
      <c r="D126" s="6241"/>
      <c r="E126" s="6286" t="s">
        <v>204</v>
      </c>
      <c r="F126" s="6240"/>
      <c r="G126" s="6241"/>
      <c r="H126" s="6286" t="s">
        <v>204</v>
      </c>
      <c r="I126" s="6240"/>
      <c r="J126" s="6241"/>
      <c r="K126" s="6286" t="s">
        <v>204</v>
      </c>
      <c r="L126" s="6240"/>
      <c r="M126" s="6241"/>
      <c r="N126" s="6286" t="s">
        <v>205</v>
      </c>
      <c r="O126" s="6240"/>
      <c r="P126" s="6241"/>
      <c r="Q126" s="6286"/>
      <c r="R126" s="6240"/>
      <c r="S126" s="6241"/>
      <c r="T126" s="6286"/>
      <c r="U126" s="6240"/>
      <c r="V126" s="6241"/>
      <c r="W126" s="6286"/>
      <c r="X126" s="6248"/>
      <c r="Y126" s="6248"/>
      <c r="Z126" s="6248"/>
      <c r="AA126" s="6282"/>
      <c r="AB126" s="6248"/>
      <c r="AC126" s="6248"/>
      <c r="AD126" s="6248"/>
      <c r="AE126" s="6248"/>
    </row>
    <row r="128" spans="1:31" ht="18" customHeight="1" thickBot="1">
      <c r="A128" s="363" t="s">
        <v>201</v>
      </c>
      <c r="B128" s="2985">
        <v>1</v>
      </c>
      <c r="C128" s="2985">
        <v>2</v>
      </c>
      <c r="D128" s="2985">
        <v>3</v>
      </c>
      <c r="E128" s="2985">
        <v>4</v>
      </c>
      <c r="F128" s="2986">
        <v>5</v>
      </c>
      <c r="G128" s="2986">
        <v>6</v>
      </c>
      <c r="H128" s="2985">
        <v>7</v>
      </c>
      <c r="I128" s="2985">
        <v>8</v>
      </c>
      <c r="J128" s="2985">
        <v>9</v>
      </c>
      <c r="K128" s="2985">
        <v>10</v>
      </c>
      <c r="L128" s="2985">
        <v>11</v>
      </c>
      <c r="M128" s="2986">
        <v>12</v>
      </c>
      <c r="N128" s="2986">
        <v>13</v>
      </c>
      <c r="O128" s="2985">
        <v>14</v>
      </c>
      <c r="P128" s="2985">
        <v>15</v>
      </c>
      <c r="Q128" s="2985">
        <v>16</v>
      </c>
      <c r="R128" s="2985">
        <v>17</v>
      </c>
      <c r="S128" s="2985">
        <v>18</v>
      </c>
      <c r="T128" s="2986">
        <v>19</v>
      </c>
      <c r="U128" s="2986">
        <v>20</v>
      </c>
      <c r="V128" s="2985">
        <v>21</v>
      </c>
      <c r="W128" s="2985">
        <v>22</v>
      </c>
      <c r="X128" s="2985">
        <v>23</v>
      </c>
      <c r="Y128" s="2985">
        <v>24</v>
      </c>
      <c r="Z128" s="2985">
        <v>25</v>
      </c>
      <c r="AA128" s="2986">
        <v>26</v>
      </c>
      <c r="AB128" s="2986">
        <v>27</v>
      </c>
      <c r="AC128" s="2985">
        <v>28</v>
      </c>
      <c r="AD128" s="2985">
        <v>29</v>
      </c>
      <c r="AE128" s="2985">
        <v>30</v>
      </c>
    </row>
    <row r="129" spans="1:31" ht="18" customHeight="1">
      <c r="A129" s="6290" t="s">
        <v>206</v>
      </c>
      <c r="B129" s="6258" t="s">
        <v>207</v>
      </c>
      <c r="C129" s="6258" t="s">
        <v>207</v>
      </c>
      <c r="D129" s="6258" t="s">
        <v>207</v>
      </c>
      <c r="E129" s="6258" t="s">
        <v>207</v>
      </c>
      <c r="F129" s="6258"/>
      <c r="G129" s="6258"/>
      <c r="H129" s="6258" t="s">
        <v>207</v>
      </c>
      <c r="I129" s="6258" t="s">
        <v>207</v>
      </c>
      <c r="J129" s="6258" t="s">
        <v>207</v>
      </c>
      <c r="K129" s="6258" t="s">
        <v>207</v>
      </c>
      <c r="L129" s="6258" t="s">
        <v>207</v>
      </c>
      <c r="M129" s="6258"/>
      <c r="N129" s="6258"/>
      <c r="O129" s="6258" t="s">
        <v>207</v>
      </c>
      <c r="P129" s="6258" t="s">
        <v>207</v>
      </c>
      <c r="Q129" s="6258" t="s">
        <v>207</v>
      </c>
      <c r="R129" s="6258" t="s">
        <v>207</v>
      </c>
      <c r="S129" s="6258" t="s">
        <v>207</v>
      </c>
      <c r="T129" s="6258"/>
      <c r="U129" s="6258"/>
      <c r="V129" s="6258" t="s">
        <v>207</v>
      </c>
      <c r="W129" s="6258" t="s">
        <v>207</v>
      </c>
      <c r="X129" s="6258" t="s">
        <v>207</v>
      </c>
      <c r="Y129" s="6258" t="s">
        <v>207</v>
      </c>
      <c r="Z129" s="6258" t="s">
        <v>207</v>
      </c>
      <c r="AA129" s="6258"/>
      <c r="AB129" s="6258"/>
      <c r="AC129" s="6258" t="s">
        <v>207</v>
      </c>
      <c r="AD129" s="6258" t="s">
        <v>207</v>
      </c>
      <c r="AE129" s="6258" t="s">
        <v>207</v>
      </c>
    </row>
    <row r="130" spans="1:31" ht="18" customHeight="1">
      <c r="A130" s="68"/>
      <c r="B130" s="108"/>
      <c r="C130" s="108"/>
      <c r="D130" s="108"/>
      <c r="E130" s="108"/>
      <c r="F130" s="108"/>
      <c r="G130" s="108"/>
      <c r="H130" s="108"/>
      <c r="I130" s="108"/>
      <c r="J130" s="108"/>
      <c r="K130" s="108"/>
      <c r="L130" s="108"/>
      <c r="M130" s="108"/>
      <c r="N130" s="108"/>
      <c r="O130" s="108"/>
      <c r="P130" s="108"/>
      <c r="Q130" s="108"/>
      <c r="R130" s="108"/>
      <c r="S130" s="108"/>
      <c r="T130" s="108"/>
      <c r="U130" s="108"/>
      <c r="V130" s="108"/>
      <c r="W130" s="108"/>
      <c r="X130" s="108"/>
      <c r="Y130" s="108"/>
      <c r="Z130" s="108"/>
      <c r="AA130" s="108"/>
      <c r="AB130" s="108"/>
      <c r="AC130" s="108"/>
      <c r="AD130" s="108"/>
      <c r="AE130" s="108"/>
    </row>
    <row r="131" spans="1:31" ht="18" customHeight="1" thickBot="1">
      <c r="A131" s="101"/>
      <c r="B131" s="101"/>
      <c r="C131" s="101"/>
      <c r="D131" s="101"/>
      <c r="E131" s="101"/>
      <c r="F131" s="63"/>
      <c r="G131" s="101"/>
      <c r="H131" s="101"/>
      <c r="I131" s="101"/>
      <c r="J131" s="101"/>
      <c r="K131" s="101"/>
      <c r="L131" s="101"/>
      <c r="M131" s="101"/>
      <c r="N131" s="101"/>
      <c r="O131" s="101"/>
      <c r="P131" s="101"/>
      <c r="Q131" s="101"/>
      <c r="R131" s="101"/>
      <c r="S131" s="101"/>
      <c r="T131" s="101"/>
      <c r="U131" s="101"/>
      <c r="V131" s="101"/>
      <c r="W131" s="101"/>
      <c r="X131" s="101"/>
      <c r="Y131" s="101"/>
      <c r="Z131" s="101"/>
      <c r="AA131" s="101"/>
      <c r="AB131" s="101"/>
      <c r="AC131" s="101"/>
      <c r="AD131" s="101"/>
      <c r="AE131" s="101"/>
    </row>
    <row r="132" spans="1:31" ht="18" customHeight="1">
      <c r="A132" s="855" t="s">
        <v>208</v>
      </c>
      <c r="B132" s="6193"/>
      <c r="C132" s="6192" t="s">
        <v>19</v>
      </c>
      <c r="D132" s="6193"/>
      <c r="E132" s="6194"/>
      <c r="F132" s="6191"/>
      <c r="G132" s="6192" t="s">
        <v>20</v>
      </c>
      <c r="H132" s="6193"/>
      <c r="I132" s="6194"/>
      <c r="J132" s="6191"/>
      <c r="K132" s="6192" t="s">
        <v>21</v>
      </c>
      <c r="L132" s="6193"/>
      <c r="M132" s="6194"/>
      <c r="N132" s="6191"/>
      <c r="O132" s="6192" t="s">
        <v>22</v>
      </c>
      <c r="P132" s="6193"/>
      <c r="Q132" s="6194"/>
      <c r="R132" s="6191"/>
      <c r="S132" s="6192" t="s">
        <v>23</v>
      </c>
      <c r="T132" s="6193"/>
      <c r="U132" s="6194"/>
      <c r="V132" s="6191"/>
      <c r="W132" s="6192" t="s">
        <v>24</v>
      </c>
      <c r="X132" s="6193"/>
      <c r="Y132" s="6194"/>
      <c r="Z132" s="6191"/>
      <c r="AA132" s="6192" t="s">
        <v>25</v>
      </c>
      <c r="AB132" s="6193"/>
      <c r="AC132" s="6193"/>
      <c r="AD132" s="6195" t="s">
        <v>108</v>
      </c>
      <c r="AE132" s="6193"/>
    </row>
    <row r="133" spans="1:31" ht="18" customHeight="1">
      <c r="A133" s="569" t="s">
        <v>210</v>
      </c>
      <c r="B133" s="6291">
        <v>69</v>
      </c>
      <c r="C133" s="6292" t="s">
        <v>211</v>
      </c>
      <c r="D133" s="6292"/>
      <c r="E133" s="6293"/>
      <c r="F133" s="6291">
        <v>69</v>
      </c>
      <c r="G133" s="6292" t="s">
        <v>211</v>
      </c>
      <c r="H133" s="6292"/>
      <c r="I133" s="6293"/>
      <c r="J133" s="6291">
        <v>69</v>
      </c>
      <c r="K133" s="6292" t="s">
        <v>211</v>
      </c>
      <c r="L133" s="6292"/>
      <c r="M133" s="6293"/>
      <c r="N133" s="6291">
        <v>69</v>
      </c>
      <c r="O133" s="6292" t="s">
        <v>211</v>
      </c>
      <c r="P133" s="6292"/>
      <c r="Q133" s="6293"/>
      <c r="R133" s="6291">
        <v>69</v>
      </c>
      <c r="S133" s="6292" t="s">
        <v>211</v>
      </c>
      <c r="T133" s="6292"/>
      <c r="U133" s="6293"/>
      <c r="V133" s="6291"/>
      <c r="W133" s="6294"/>
      <c r="X133" s="6294"/>
      <c r="Y133" s="6295"/>
      <c r="Z133" s="6291"/>
      <c r="AA133" s="6292"/>
      <c r="AB133" s="6292"/>
      <c r="AC133" s="6281"/>
      <c r="AD133" s="6296">
        <v>35</v>
      </c>
      <c r="AE133" s="6292"/>
    </row>
    <row r="134" spans="1:31" ht="18" customHeight="1">
      <c r="A134" s="6297" t="s">
        <v>212</v>
      </c>
      <c r="B134" s="6291">
        <v>79</v>
      </c>
      <c r="C134" s="6292" t="s">
        <v>213</v>
      </c>
      <c r="D134" s="6292"/>
      <c r="E134" s="6293"/>
      <c r="F134" s="6291">
        <v>79</v>
      </c>
      <c r="G134" s="6292" t="s">
        <v>213</v>
      </c>
      <c r="H134" s="6292"/>
      <c r="I134" s="6293"/>
      <c r="J134" s="6291">
        <v>79</v>
      </c>
      <c r="K134" s="6292" t="s">
        <v>213</v>
      </c>
      <c r="L134" s="6292"/>
      <c r="M134" s="6293"/>
      <c r="N134" s="6291">
        <v>79</v>
      </c>
      <c r="O134" s="6292" t="s">
        <v>213</v>
      </c>
      <c r="P134" s="6292"/>
      <c r="Q134" s="6293"/>
      <c r="R134" s="6291">
        <v>79</v>
      </c>
      <c r="S134" s="6292" t="s">
        <v>213</v>
      </c>
      <c r="T134" s="6292"/>
      <c r="U134" s="6293"/>
      <c r="V134" s="6291"/>
      <c r="W134" s="6292"/>
      <c r="X134" s="6292"/>
      <c r="Y134" s="6293"/>
      <c r="Z134" s="6292"/>
      <c r="AA134" s="6292"/>
      <c r="AB134" s="6292"/>
      <c r="AC134" s="6281"/>
      <c r="AD134" s="6296">
        <v>40</v>
      </c>
      <c r="AE134" s="6292"/>
    </row>
    <row r="135" spans="1:31" ht="18" customHeight="1">
      <c r="A135" s="6297" t="s">
        <v>214</v>
      </c>
      <c r="B135" s="6291">
        <v>89</v>
      </c>
      <c r="C135" s="6292" t="s">
        <v>215</v>
      </c>
      <c r="D135" s="6292"/>
      <c r="E135" s="6293"/>
      <c r="F135" s="6291">
        <v>89</v>
      </c>
      <c r="G135" s="6292" t="s">
        <v>215</v>
      </c>
      <c r="H135" s="6292"/>
      <c r="I135" s="6293"/>
      <c r="J135" s="6291">
        <v>89</v>
      </c>
      <c r="K135" s="6292" t="s">
        <v>215</v>
      </c>
      <c r="L135" s="6292"/>
      <c r="M135" s="6293"/>
      <c r="N135" s="6291">
        <v>89</v>
      </c>
      <c r="O135" s="6292" t="s">
        <v>215</v>
      </c>
      <c r="P135" s="6292"/>
      <c r="Q135" s="6293"/>
      <c r="R135" s="6291">
        <v>89</v>
      </c>
      <c r="S135" s="6292" t="s">
        <v>216</v>
      </c>
      <c r="T135" s="6292"/>
      <c r="U135" s="6293"/>
      <c r="V135" s="6298"/>
      <c r="W135" s="6299" t="s">
        <v>217</v>
      </c>
      <c r="X135" s="6299"/>
      <c r="Y135" s="6283"/>
      <c r="Z135" s="6298"/>
      <c r="AA135" s="6299"/>
      <c r="AB135" s="6299"/>
      <c r="AC135" s="6285"/>
      <c r="AD135" s="6296">
        <v>44</v>
      </c>
      <c r="AE135" s="6292"/>
    </row>
    <row r="136" spans="1:31" ht="18" customHeight="1">
      <c r="A136" s="19" t="s">
        <v>218</v>
      </c>
      <c r="B136" s="6298">
        <v>99</v>
      </c>
      <c r="C136" s="6299" t="s">
        <v>219</v>
      </c>
      <c r="D136" s="6299"/>
      <c r="E136" s="6283"/>
      <c r="F136" s="6298">
        <v>99</v>
      </c>
      <c r="G136" s="6299" t="s">
        <v>219</v>
      </c>
      <c r="H136" s="6299"/>
      <c r="I136" s="6283"/>
      <c r="J136" s="6298">
        <v>99</v>
      </c>
      <c r="K136" s="6299" t="s">
        <v>219</v>
      </c>
      <c r="L136" s="6299"/>
      <c r="M136" s="6283"/>
      <c r="N136" s="6298">
        <v>99</v>
      </c>
      <c r="O136" s="6299" t="s">
        <v>219</v>
      </c>
      <c r="P136" s="6299"/>
      <c r="Q136" s="6283"/>
      <c r="R136" s="6298">
        <v>99</v>
      </c>
      <c r="S136" s="6299" t="s">
        <v>220</v>
      </c>
      <c r="T136" s="6299"/>
      <c r="U136" s="6285"/>
      <c r="V136" s="6284"/>
      <c r="W136" s="6285"/>
      <c r="X136" s="6299"/>
      <c r="Y136" s="6283"/>
      <c r="Z136" s="6284"/>
      <c r="AA136" s="6285"/>
      <c r="AB136" s="6299"/>
      <c r="AC136" s="6283"/>
      <c r="AD136" s="6300">
        <v>28</v>
      </c>
      <c r="AE136" s="6299"/>
    </row>
    <row r="137" spans="1:31" ht="18" customHeight="1" thickBot="1">
      <c r="A137" s="6301" t="s">
        <v>221</v>
      </c>
      <c r="B137" s="6302" t="s">
        <v>159</v>
      </c>
      <c r="C137" s="6254" t="s">
        <v>222</v>
      </c>
      <c r="D137" s="6250"/>
      <c r="E137" s="6252"/>
      <c r="F137" s="6302" t="s">
        <v>159</v>
      </c>
      <c r="G137" s="6254" t="s">
        <v>222</v>
      </c>
      <c r="H137" s="6250"/>
      <c r="I137" s="6250"/>
      <c r="J137" s="6302" t="s">
        <v>159</v>
      </c>
      <c r="K137" s="6254" t="s">
        <v>222</v>
      </c>
      <c r="L137" s="6250"/>
      <c r="M137" s="6252"/>
      <c r="N137" s="6302" t="s">
        <v>159</v>
      </c>
      <c r="O137" s="6254" t="s">
        <v>222</v>
      </c>
      <c r="P137" s="6250"/>
      <c r="Q137" s="6254"/>
      <c r="R137" s="6302" t="s">
        <v>159</v>
      </c>
      <c r="S137" s="6254" t="s">
        <v>223</v>
      </c>
      <c r="T137" s="6254"/>
      <c r="U137" s="6252"/>
      <c r="V137" s="6250"/>
      <c r="W137" s="6254"/>
      <c r="X137" s="6254"/>
      <c r="Y137" s="6254"/>
      <c r="Z137" s="6303"/>
      <c r="AA137" s="6304"/>
      <c r="AB137" s="6254"/>
      <c r="AC137" s="6305"/>
      <c r="AD137" s="6254"/>
      <c r="AE137" s="6254"/>
    </row>
    <row r="138" spans="1:31" ht="18" customHeight="1" thickBot="1">
      <c r="A138" s="100"/>
      <c r="B138" s="101"/>
      <c r="C138" s="101"/>
      <c r="D138" s="101"/>
      <c r="E138" s="101"/>
      <c r="F138" s="101"/>
      <c r="G138" s="101"/>
      <c r="H138" s="101"/>
      <c r="I138" s="101"/>
      <c r="J138" s="101"/>
      <c r="K138" s="101"/>
      <c r="L138" s="101"/>
      <c r="M138" s="101"/>
      <c r="N138" s="101"/>
      <c r="O138" s="101"/>
      <c r="P138" s="101"/>
      <c r="Q138" s="101"/>
      <c r="R138" s="101"/>
      <c r="S138" s="101"/>
      <c r="T138" s="101"/>
      <c r="U138" s="101"/>
      <c r="V138" s="101"/>
      <c r="W138" s="101"/>
      <c r="X138" s="101"/>
      <c r="Y138" s="101"/>
      <c r="Z138" s="101"/>
      <c r="AA138" s="101"/>
      <c r="AB138" s="101"/>
      <c r="AC138" s="101"/>
      <c r="AD138" s="101"/>
      <c r="AE138" s="101"/>
    </row>
    <row r="139" spans="1:31" ht="18" customHeight="1" thickBot="1">
      <c r="A139" s="6306" t="s">
        <v>208</v>
      </c>
      <c r="B139" s="2985">
        <v>1</v>
      </c>
      <c r="C139" s="2985">
        <v>2</v>
      </c>
      <c r="D139" s="2985">
        <v>3</v>
      </c>
      <c r="E139" s="2985">
        <v>4</v>
      </c>
      <c r="F139" s="2986">
        <v>5</v>
      </c>
      <c r="G139" s="2986">
        <v>6</v>
      </c>
      <c r="H139" s="2985">
        <v>7</v>
      </c>
      <c r="I139" s="2985">
        <v>8</v>
      </c>
      <c r="J139" s="2985">
        <v>9</v>
      </c>
      <c r="K139" s="2985">
        <v>10</v>
      </c>
      <c r="L139" s="2985">
        <v>11</v>
      </c>
      <c r="M139" s="2986">
        <v>12</v>
      </c>
      <c r="N139" s="2986">
        <v>13</v>
      </c>
      <c r="O139" s="2985">
        <v>14</v>
      </c>
      <c r="P139" s="2985">
        <v>15</v>
      </c>
      <c r="Q139" s="2985">
        <v>16</v>
      </c>
      <c r="R139" s="2985">
        <v>17</v>
      </c>
      <c r="S139" s="2985">
        <v>18</v>
      </c>
      <c r="T139" s="2986">
        <v>19</v>
      </c>
      <c r="U139" s="2986">
        <v>20</v>
      </c>
      <c r="V139" s="2985">
        <v>21</v>
      </c>
      <c r="W139" s="2985">
        <v>22</v>
      </c>
      <c r="X139" s="2985">
        <v>23</v>
      </c>
      <c r="Y139" s="2985">
        <v>24</v>
      </c>
      <c r="Z139" s="2985">
        <v>25</v>
      </c>
      <c r="AA139" s="2986">
        <v>26</v>
      </c>
      <c r="AB139" s="2986">
        <v>27</v>
      </c>
      <c r="AC139" s="2985">
        <v>28</v>
      </c>
      <c r="AD139" s="2985">
        <v>29</v>
      </c>
      <c r="AE139" s="2985">
        <v>30</v>
      </c>
    </row>
    <row r="140" spans="1:31" ht="18" customHeight="1">
      <c r="A140" s="6197" t="s">
        <v>224</v>
      </c>
      <c r="B140" s="6257">
        <v>69</v>
      </c>
      <c r="C140" s="6198">
        <v>69</v>
      </c>
      <c r="D140" s="6258">
        <v>69</v>
      </c>
      <c r="E140" s="6258">
        <v>69</v>
      </c>
      <c r="F140" s="6260"/>
      <c r="G140" s="6257"/>
      <c r="H140" s="6260">
        <v>79</v>
      </c>
      <c r="I140" s="6260">
        <v>79</v>
      </c>
      <c r="J140" s="6257">
        <v>79</v>
      </c>
      <c r="K140" s="6260">
        <v>79</v>
      </c>
      <c r="L140" s="6258">
        <v>79</v>
      </c>
      <c r="M140" s="6260"/>
      <c r="N140" s="6257"/>
      <c r="O140" s="6257">
        <v>89</v>
      </c>
      <c r="P140" s="6257">
        <v>89</v>
      </c>
      <c r="Q140" s="6257">
        <v>89</v>
      </c>
      <c r="R140" s="6258">
        <v>89</v>
      </c>
      <c r="S140" s="6258">
        <v>89</v>
      </c>
      <c r="T140" s="6257">
        <v>89</v>
      </c>
      <c r="U140" s="6257"/>
      <c r="V140" s="6257">
        <v>99</v>
      </c>
      <c r="W140" s="6257">
        <v>99</v>
      </c>
      <c r="X140" s="6257">
        <v>99</v>
      </c>
      <c r="Y140" s="6257">
        <v>99</v>
      </c>
      <c r="Z140" s="6260" t="s">
        <v>46</v>
      </c>
      <c r="AA140" s="6257"/>
      <c r="AB140" s="6257"/>
      <c r="AC140" s="6257" t="s">
        <v>159</v>
      </c>
      <c r="AD140" s="6257" t="s">
        <v>159</v>
      </c>
      <c r="AE140" s="6260" t="s">
        <v>159</v>
      </c>
    </row>
    <row r="141" spans="1:31" ht="18" customHeight="1">
      <c r="A141" s="6307" t="s">
        <v>225</v>
      </c>
      <c r="B141" s="6040">
        <v>79</v>
      </c>
      <c r="C141" s="6221">
        <v>79</v>
      </c>
      <c r="D141" s="6040">
        <v>79</v>
      </c>
      <c r="E141" s="6040">
        <v>79</v>
      </c>
      <c r="F141" s="6040"/>
      <c r="G141" s="6228"/>
      <c r="H141" s="6267">
        <v>89</v>
      </c>
      <c r="I141" s="6228">
        <v>89</v>
      </c>
      <c r="J141" s="6228">
        <v>89</v>
      </c>
      <c r="K141" s="6221">
        <v>89</v>
      </c>
      <c r="L141" s="6221">
        <v>89</v>
      </c>
      <c r="M141" s="6228">
        <v>89</v>
      </c>
      <c r="N141" s="6043"/>
      <c r="O141" s="6228">
        <v>99</v>
      </c>
      <c r="P141" s="6228">
        <v>99</v>
      </c>
      <c r="Q141" s="6267">
        <v>99</v>
      </c>
      <c r="R141" s="6228">
        <v>99</v>
      </c>
      <c r="S141" s="6221" t="s">
        <v>46</v>
      </c>
      <c r="T141" s="6228"/>
      <c r="U141" s="6228"/>
      <c r="V141" s="6228" t="s">
        <v>159</v>
      </c>
      <c r="W141" s="6228" t="s">
        <v>159</v>
      </c>
      <c r="X141" s="6228" t="s">
        <v>159</v>
      </c>
      <c r="Y141" s="6228" t="s">
        <v>159</v>
      </c>
      <c r="Z141" s="6221" t="s">
        <v>159</v>
      </c>
      <c r="AA141" s="6267"/>
      <c r="AB141" s="6043"/>
      <c r="AC141" s="6043">
        <v>69</v>
      </c>
      <c r="AD141" s="6043">
        <v>69</v>
      </c>
      <c r="AE141" s="6043">
        <v>69</v>
      </c>
    </row>
    <row r="142" spans="1:31" ht="18" customHeight="1">
      <c r="A142" s="5971" t="s">
        <v>124</v>
      </c>
      <c r="B142" s="6308">
        <v>89</v>
      </c>
      <c r="C142" s="6221">
        <v>89</v>
      </c>
      <c r="D142" s="6040">
        <v>89</v>
      </c>
      <c r="E142" s="6308">
        <v>89</v>
      </c>
      <c r="F142" s="6229">
        <v>89</v>
      </c>
      <c r="G142" s="6261"/>
      <c r="H142" s="6267">
        <v>99</v>
      </c>
      <c r="I142" s="6308">
        <v>99</v>
      </c>
      <c r="J142" s="6308">
        <v>99</v>
      </c>
      <c r="K142" s="6308">
        <v>99</v>
      </c>
      <c r="L142" s="6308" t="s">
        <v>46</v>
      </c>
      <c r="M142" s="6228"/>
      <c r="N142" s="6043"/>
      <c r="O142" s="6288" t="s">
        <v>159</v>
      </c>
      <c r="P142" s="6043" t="s">
        <v>159</v>
      </c>
      <c r="Q142" s="6043" t="s">
        <v>159</v>
      </c>
      <c r="R142" s="6043" t="s">
        <v>159</v>
      </c>
      <c r="S142" s="6043" t="s">
        <v>159</v>
      </c>
      <c r="T142" s="6043"/>
      <c r="U142" s="6043"/>
      <c r="V142" s="6043">
        <v>69</v>
      </c>
      <c r="W142" s="6043">
        <v>69</v>
      </c>
      <c r="X142" s="6308">
        <v>69</v>
      </c>
      <c r="Y142" s="6308">
        <v>69</v>
      </c>
      <c r="Z142" s="6308">
        <v>69</v>
      </c>
      <c r="AA142" s="6308"/>
      <c r="AB142" s="6308"/>
      <c r="AC142" s="6308">
        <v>79</v>
      </c>
      <c r="AD142" s="6308">
        <v>79</v>
      </c>
      <c r="AE142" s="6308">
        <v>79</v>
      </c>
    </row>
    <row r="143" spans="1:31" ht="18" customHeight="1">
      <c r="A143" s="6307" t="s">
        <v>226</v>
      </c>
      <c r="B143" s="6221">
        <v>99</v>
      </c>
      <c r="C143" s="6221">
        <v>99</v>
      </c>
      <c r="D143" s="6221">
        <v>99</v>
      </c>
      <c r="E143" s="6221" t="s">
        <v>46</v>
      </c>
      <c r="F143" s="6221"/>
      <c r="G143" s="6221"/>
      <c r="H143" s="6267" t="s">
        <v>159</v>
      </c>
      <c r="I143" s="6221" t="s">
        <v>159</v>
      </c>
      <c r="J143" s="6221" t="s">
        <v>159</v>
      </c>
      <c r="K143" s="6221" t="s">
        <v>64</v>
      </c>
      <c r="L143" s="6221" t="s">
        <v>64</v>
      </c>
      <c r="M143" s="6228"/>
      <c r="N143" s="6221"/>
      <c r="O143" s="6221">
        <v>69</v>
      </c>
      <c r="P143" s="6288">
        <v>69</v>
      </c>
      <c r="Q143" s="6288">
        <v>69</v>
      </c>
      <c r="R143" s="6221">
        <v>69</v>
      </c>
      <c r="S143" s="6221">
        <v>69</v>
      </c>
      <c r="T143" s="6221"/>
      <c r="U143" s="6221"/>
      <c r="V143" s="6221">
        <v>79</v>
      </c>
      <c r="W143" s="6221">
        <v>79</v>
      </c>
      <c r="X143" s="6288">
        <v>79</v>
      </c>
      <c r="Y143" s="6288">
        <v>79</v>
      </c>
      <c r="Z143" s="6221">
        <v>79</v>
      </c>
      <c r="AA143" s="6221"/>
      <c r="AB143" s="6221"/>
      <c r="AC143" s="6221">
        <v>89</v>
      </c>
      <c r="AD143" s="6221">
        <v>89</v>
      </c>
      <c r="AE143" s="6221">
        <v>89</v>
      </c>
    </row>
    <row r="144" spans="1:31" ht="18" customHeight="1" thickBot="1">
      <c r="A144" s="6309" t="s">
        <v>227</v>
      </c>
      <c r="B144" s="6310" t="s">
        <v>159</v>
      </c>
      <c r="C144" s="6310" t="s">
        <v>159</v>
      </c>
      <c r="D144" s="6268" t="s">
        <v>159</v>
      </c>
      <c r="E144" s="6216" t="s">
        <v>159</v>
      </c>
      <c r="F144" s="6216"/>
      <c r="G144" s="6262"/>
      <c r="H144" s="6262">
        <v>69</v>
      </c>
      <c r="I144" s="6262">
        <v>69</v>
      </c>
      <c r="J144" s="6262">
        <v>69</v>
      </c>
      <c r="K144" s="6268">
        <v>69</v>
      </c>
      <c r="L144" s="6268">
        <v>69</v>
      </c>
      <c r="M144" s="6262"/>
      <c r="N144" s="6310"/>
      <c r="O144" s="6310">
        <v>79</v>
      </c>
      <c r="P144" s="6310">
        <v>79</v>
      </c>
      <c r="Q144" s="6310">
        <v>79</v>
      </c>
      <c r="R144" s="6268">
        <v>79</v>
      </c>
      <c r="S144" s="6215">
        <v>79</v>
      </c>
      <c r="T144" s="6310"/>
      <c r="U144" s="6310"/>
      <c r="V144" s="6310">
        <v>89</v>
      </c>
      <c r="W144" s="6310">
        <v>89</v>
      </c>
      <c r="X144" s="6310">
        <v>89</v>
      </c>
      <c r="Y144" s="6310">
        <v>89</v>
      </c>
      <c r="Z144" s="6216">
        <v>89</v>
      </c>
      <c r="AA144" s="6310">
        <v>89</v>
      </c>
      <c r="AB144" s="6268"/>
      <c r="AC144" s="6268">
        <v>99</v>
      </c>
      <c r="AD144" s="6268">
        <v>99</v>
      </c>
      <c r="AE144" s="6268">
        <v>99</v>
      </c>
    </row>
    <row r="145" spans="1:31" ht="18" customHeight="1">
      <c r="A145" s="178"/>
      <c r="B145" s="176"/>
      <c r="C145" s="176"/>
      <c r="D145" s="176"/>
      <c r="E145" s="108"/>
      <c r="F145" s="99"/>
      <c r="G145" s="99"/>
      <c r="H145" s="99"/>
      <c r="I145" s="99"/>
      <c r="J145" s="99"/>
      <c r="K145" s="108"/>
      <c r="L145" s="108"/>
      <c r="M145" s="176"/>
      <c r="N145" s="176"/>
      <c r="O145" s="176"/>
      <c r="P145" s="176"/>
      <c r="Q145" s="176"/>
      <c r="R145" s="108"/>
      <c r="S145" s="174"/>
      <c r="T145" s="176"/>
      <c r="U145" s="176"/>
      <c r="V145" s="176"/>
      <c r="W145" s="176"/>
      <c r="X145" s="176"/>
      <c r="Y145" s="175"/>
      <c r="Z145" s="175"/>
      <c r="AA145" s="176"/>
      <c r="AB145" s="176"/>
      <c r="AC145" s="176"/>
      <c r="AD145" s="176"/>
      <c r="AE145" s="176"/>
    </row>
    <row r="146" spans="1:31" ht="18" customHeight="1" thickBot="1">
      <c r="A146" s="101"/>
      <c r="B146" s="101"/>
      <c r="C146" s="101"/>
      <c r="D146" s="101"/>
      <c r="E146" s="101"/>
      <c r="F146" s="63"/>
      <c r="G146" s="101"/>
      <c r="H146" s="101"/>
      <c r="I146" s="101"/>
      <c r="J146" s="101"/>
      <c r="K146" s="101"/>
      <c r="L146" s="101"/>
      <c r="M146" s="101"/>
      <c r="N146" s="101"/>
      <c r="O146" s="101"/>
      <c r="P146" s="101"/>
      <c r="Q146" s="101"/>
      <c r="R146" s="101"/>
      <c r="S146" s="101"/>
      <c r="T146" s="101"/>
      <c r="U146" s="101"/>
      <c r="V146" s="101"/>
      <c r="W146" s="101"/>
      <c r="X146" s="101"/>
      <c r="Y146" s="101"/>
      <c r="Z146" s="101"/>
      <c r="AA146" s="101"/>
      <c r="AB146" s="101"/>
      <c r="AC146" s="101"/>
      <c r="AD146" s="101"/>
      <c r="AE146" s="101"/>
    </row>
    <row r="147" spans="1:31" ht="18" customHeight="1">
      <c r="A147" s="6175" t="s">
        <v>228</v>
      </c>
      <c r="B147" s="6191"/>
      <c r="C147" s="6192" t="s">
        <v>19</v>
      </c>
      <c r="D147" s="6193"/>
      <c r="E147" s="6194"/>
      <c r="F147" s="6191"/>
      <c r="G147" s="6192" t="s">
        <v>20</v>
      </c>
      <c r="H147" s="6193"/>
      <c r="I147" s="6194"/>
      <c r="J147" s="6191"/>
      <c r="K147" s="6192" t="s">
        <v>21</v>
      </c>
      <c r="L147" s="6193"/>
      <c r="M147" s="6194"/>
      <c r="N147" s="6191"/>
      <c r="O147" s="6192" t="s">
        <v>22</v>
      </c>
      <c r="P147" s="6193"/>
      <c r="Q147" s="6194"/>
      <c r="R147" s="6191"/>
      <c r="S147" s="6192" t="s">
        <v>23</v>
      </c>
      <c r="T147" s="6193"/>
      <c r="U147" s="6194"/>
      <c r="V147" s="6191"/>
      <c r="W147" s="6192" t="s">
        <v>24</v>
      </c>
      <c r="X147" s="6193"/>
      <c r="Y147" s="6194"/>
      <c r="Z147" s="6191"/>
      <c r="AA147" s="6192" t="s">
        <v>25</v>
      </c>
      <c r="AB147" s="6193"/>
      <c r="AC147" s="6193"/>
      <c r="AD147" s="6195" t="s">
        <v>108</v>
      </c>
      <c r="AE147" s="6193"/>
    </row>
    <row r="148" spans="1:31" ht="18" customHeight="1">
      <c r="A148" s="6297" t="s">
        <v>229</v>
      </c>
      <c r="B148" s="6282" t="s">
        <v>230</v>
      </c>
      <c r="C148" s="6292"/>
      <c r="D148" s="6292"/>
      <c r="E148" s="6293"/>
      <c r="F148" s="6282" t="s">
        <v>230</v>
      </c>
      <c r="G148" s="6292"/>
      <c r="H148" s="6292"/>
      <c r="I148" s="6293"/>
      <c r="J148" s="6282" t="s">
        <v>230</v>
      </c>
      <c r="K148" s="6292"/>
      <c r="L148" s="6292"/>
      <c r="M148" s="6293"/>
      <c r="N148" s="6282" t="s">
        <v>231</v>
      </c>
      <c r="O148" s="6292"/>
      <c r="P148" s="6292"/>
      <c r="Q148" s="6293"/>
      <c r="R148" s="6282" t="s">
        <v>232</v>
      </c>
      <c r="S148" s="6292"/>
      <c r="T148" s="6292"/>
      <c r="U148" s="6293"/>
      <c r="V148" s="6282" t="s">
        <v>233</v>
      </c>
      <c r="W148" s="6294"/>
      <c r="X148" s="6294"/>
      <c r="Y148" s="6295"/>
      <c r="Z148" s="6282" t="s">
        <v>233</v>
      </c>
      <c r="AA148" s="6292"/>
      <c r="AB148" s="6292"/>
      <c r="AC148" s="6281"/>
      <c r="AD148" s="6296">
        <v>68</v>
      </c>
      <c r="AE148" s="530"/>
    </row>
    <row r="149" spans="1:31" ht="18" customHeight="1">
      <c r="A149" s="6297"/>
      <c r="B149" s="6282" t="s">
        <v>220</v>
      </c>
      <c r="C149" s="6292"/>
      <c r="D149" s="6292"/>
      <c r="E149" s="6293"/>
      <c r="F149" s="6282" t="s">
        <v>220</v>
      </c>
      <c r="G149" s="6292"/>
      <c r="H149" s="6292"/>
      <c r="I149" s="6293"/>
      <c r="J149" s="6282" t="s">
        <v>220</v>
      </c>
      <c r="K149" s="6292"/>
      <c r="L149" s="6292"/>
      <c r="M149" s="6293"/>
      <c r="N149" s="6282" t="s">
        <v>220</v>
      </c>
      <c r="O149" s="6292"/>
      <c r="P149" s="6292"/>
      <c r="Q149" s="6293"/>
      <c r="R149" s="6282" t="s">
        <v>220</v>
      </c>
      <c r="S149" s="6292"/>
      <c r="T149" s="6292"/>
      <c r="U149" s="6293"/>
      <c r="V149" s="6282" t="s">
        <v>220</v>
      </c>
      <c r="W149" s="6292"/>
      <c r="X149" s="6292"/>
      <c r="Y149" s="6293"/>
      <c r="Z149" s="6292" t="s">
        <v>220</v>
      </c>
      <c r="AA149" s="6292"/>
      <c r="AB149" s="6292"/>
      <c r="AC149" s="6281"/>
      <c r="AD149" s="6296">
        <v>0</v>
      </c>
      <c r="AE149" s="530"/>
    </row>
    <row r="150" spans="1:31" ht="18" customHeight="1">
      <c r="A150" s="6297" t="s">
        <v>234</v>
      </c>
      <c r="B150" s="6282" t="s">
        <v>231</v>
      </c>
      <c r="C150" s="6292"/>
      <c r="D150" s="6292"/>
      <c r="E150" s="6293"/>
      <c r="F150" s="6282" t="s">
        <v>231</v>
      </c>
      <c r="G150" s="6292"/>
      <c r="H150" s="6292"/>
      <c r="I150" s="6293"/>
      <c r="J150" s="6282" t="s">
        <v>231</v>
      </c>
      <c r="K150" s="6292"/>
      <c r="L150" s="6292"/>
      <c r="M150" s="6293"/>
      <c r="N150" s="6282" t="s">
        <v>230</v>
      </c>
      <c r="O150" s="6292"/>
      <c r="P150" s="6292"/>
      <c r="Q150" s="6293"/>
      <c r="R150" s="6282" t="s">
        <v>230</v>
      </c>
      <c r="S150" s="6292"/>
      <c r="T150" s="6292"/>
      <c r="U150" s="6293"/>
      <c r="V150" s="6282" t="s">
        <v>232</v>
      </c>
      <c r="W150" s="6294"/>
      <c r="X150" s="6294"/>
      <c r="Y150" s="6295"/>
      <c r="Z150" s="6282" t="s">
        <v>232</v>
      </c>
      <c r="AA150" s="6292"/>
      <c r="AB150" s="6292"/>
      <c r="AC150" s="6281"/>
      <c r="AD150" s="6296">
        <v>68</v>
      </c>
      <c r="AE150" s="6292"/>
    </row>
    <row r="151" spans="1:31" ht="18" customHeight="1">
      <c r="A151" s="6297"/>
      <c r="B151" s="6282" t="s">
        <v>220</v>
      </c>
      <c r="C151" s="6292"/>
      <c r="D151" s="6292"/>
      <c r="E151" s="6293"/>
      <c r="F151" s="6282" t="s">
        <v>220</v>
      </c>
      <c r="G151" s="6292"/>
      <c r="H151" s="6292"/>
      <c r="I151" s="6293"/>
      <c r="J151" s="6282" t="s">
        <v>220</v>
      </c>
      <c r="K151" s="6292"/>
      <c r="L151" s="6292"/>
      <c r="M151" s="6293"/>
      <c r="N151" s="6282" t="s">
        <v>220</v>
      </c>
      <c r="O151" s="6292"/>
      <c r="P151" s="6292"/>
      <c r="Q151" s="6293"/>
      <c r="R151" s="6282" t="s">
        <v>220</v>
      </c>
      <c r="S151" s="6292"/>
      <c r="T151" s="6292"/>
      <c r="U151" s="6293"/>
      <c r="V151" s="6282" t="s">
        <v>220</v>
      </c>
      <c r="W151" s="6292"/>
      <c r="X151" s="6292"/>
      <c r="Y151" s="6293"/>
      <c r="Z151" s="6292" t="s">
        <v>220</v>
      </c>
      <c r="AA151" s="6292"/>
      <c r="AB151" s="6292"/>
      <c r="AC151" s="6281"/>
      <c r="AD151" s="6296">
        <v>0</v>
      </c>
      <c r="AE151" s="6292"/>
    </row>
    <row r="152" spans="1:31" ht="18" customHeight="1">
      <c r="A152" s="6297" t="s">
        <v>235</v>
      </c>
      <c r="B152" s="6282" t="s">
        <v>230</v>
      </c>
      <c r="C152" s="6292"/>
      <c r="D152" s="6292"/>
      <c r="E152" s="6293"/>
      <c r="F152" s="6282" t="s">
        <v>230</v>
      </c>
      <c r="G152" s="6292"/>
      <c r="H152" s="6292"/>
      <c r="I152" s="6293"/>
      <c r="J152" s="6282" t="s">
        <v>230</v>
      </c>
      <c r="K152" s="6292"/>
      <c r="L152" s="6292"/>
      <c r="M152" s="6293"/>
      <c r="N152" s="6282" t="s">
        <v>230</v>
      </c>
      <c r="O152" s="6292"/>
      <c r="P152" s="6292"/>
      <c r="Q152" s="6293"/>
      <c r="R152" s="6282" t="s">
        <v>230</v>
      </c>
      <c r="S152" s="6292"/>
      <c r="T152" s="6292"/>
      <c r="U152" s="6293"/>
      <c r="V152" s="6282" t="s">
        <v>236</v>
      </c>
      <c r="W152" s="6299"/>
      <c r="X152" s="6299"/>
      <c r="Y152" s="6283"/>
      <c r="Z152" s="6282" t="s">
        <v>236</v>
      </c>
      <c r="AA152" s="6299"/>
      <c r="AB152" s="6299"/>
      <c r="AC152" s="6285"/>
      <c r="AD152" s="6296">
        <v>68</v>
      </c>
      <c r="AE152" s="6292"/>
    </row>
    <row r="153" spans="1:31" ht="18" customHeight="1" thickBot="1">
      <c r="A153" s="6297"/>
      <c r="B153" s="6311" t="s">
        <v>220</v>
      </c>
      <c r="C153" s="6312"/>
      <c r="D153" s="6312"/>
      <c r="E153" s="6313"/>
      <c r="F153" s="6311" t="s">
        <v>220</v>
      </c>
      <c r="G153" s="6312"/>
      <c r="H153" s="6312"/>
      <c r="I153" s="6313"/>
      <c r="J153" s="6311" t="s">
        <v>220</v>
      </c>
      <c r="K153" s="6312"/>
      <c r="L153" s="6312"/>
      <c r="M153" s="6313"/>
      <c r="N153" s="6311" t="s">
        <v>220</v>
      </c>
      <c r="O153" s="6312"/>
      <c r="P153" s="6312"/>
      <c r="Q153" s="6313"/>
      <c r="R153" s="6311" t="s">
        <v>220</v>
      </c>
      <c r="S153" s="6312"/>
      <c r="T153" s="6312"/>
      <c r="U153" s="6304"/>
      <c r="V153" s="6311" t="s">
        <v>220</v>
      </c>
      <c r="W153" s="6304"/>
      <c r="X153" s="6312"/>
      <c r="Y153" s="6313"/>
      <c r="Z153" s="6311" t="s">
        <v>220</v>
      </c>
      <c r="AA153" s="6304"/>
      <c r="AB153" s="6312"/>
      <c r="AC153" s="6313"/>
      <c r="AD153" s="6314" t="s">
        <v>438</v>
      </c>
      <c r="AE153" s="6312"/>
    </row>
    <row r="154" spans="1:31" ht="18" customHeight="1" thickBot="1">
      <c r="A154" s="100"/>
      <c r="B154" s="101"/>
      <c r="C154" s="101"/>
      <c r="D154" s="101"/>
      <c r="E154" s="101"/>
      <c r="F154" s="101"/>
      <c r="G154" s="101"/>
      <c r="H154" s="101"/>
      <c r="I154" s="101"/>
      <c r="J154" s="101"/>
      <c r="K154" s="101"/>
      <c r="L154" s="101"/>
      <c r="M154" s="101"/>
      <c r="N154" s="101"/>
      <c r="O154" s="101"/>
      <c r="P154" s="101"/>
      <c r="Q154" s="101"/>
      <c r="R154" s="101"/>
      <c r="S154" s="101"/>
      <c r="T154" s="101"/>
      <c r="U154" s="101"/>
      <c r="V154" s="101"/>
      <c r="W154" s="101"/>
      <c r="X154" s="101"/>
      <c r="Y154" s="101"/>
      <c r="Z154" s="101"/>
      <c r="AA154" s="101"/>
      <c r="AB154" s="101"/>
      <c r="AC154" s="101"/>
      <c r="AD154" s="101"/>
      <c r="AE154" s="101"/>
    </row>
    <row r="155" spans="1:31" ht="18" customHeight="1" thickBot="1">
      <c r="A155" s="6306" t="s">
        <v>228</v>
      </c>
      <c r="B155" s="2985">
        <v>1</v>
      </c>
      <c r="C155" s="2985">
        <v>2</v>
      </c>
      <c r="D155" s="2985">
        <v>3</v>
      </c>
      <c r="E155" s="2985">
        <v>4</v>
      </c>
      <c r="F155" s="2986">
        <v>5</v>
      </c>
      <c r="G155" s="2986">
        <v>6</v>
      </c>
      <c r="H155" s="2985">
        <v>7</v>
      </c>
      <c r="I155" s="2985">
        <v>8</v>
      </c>
      <c r="J155" s="2985">
        <v>9</v>
      </c>
      <c r="K155" s="2985">
        <v>10</v>
      </c>
      <c r="L155" s="2985">
        <v>11</v>
      </c>
      <c r="M155" s="2986">
        <v>12</v>
      </c>
      <c r="N155" s="2986">
        <v>13</v>
      </c>
      <c r="O155" s="2985">
        <v>14</v>
      </c>
      <c r="P155" s="2985">
        <v>15</v>
      </c>
      <c r="Q155" s="2985">
        <v>16</v>
      </c>
      <c r="R155" s="2985">
        <v>17</v>
      </c>
      <c r="S155" s="2985">
        <v>18</v>
      </c>
      <c r="T155" s="2986">
        <v>19</v>
      </c>
      <c r="U155" s="2986">
        <v>20</v>
      </c>
      <c r="V155" s="2985">
        <v>21</v>
      </c>
      <c r="W155" s="2985">
        <v>22</v>
      </c>
      <c r="X155" s="2985">
        <v>23</v>
      </c>
      <c r="Y155" s="2985">
        <v>24</v>
      </c>
      <c r="Z155" s="2985">
        <v>25</v>
      </c>
      <c r="AA155" s="2986">
        <v>26</v>
      </c>
      <c r="AB155" s="2986">
        <v>27</v>
      </c>
      <c r="AC155" s="2985">
        <v>28</v>
      </c>
      <c r="AD155" s="2985">
        <v>29</v>
      </c>
      <c r="AE155" s="2985">
        <v>30</v>
      </c>
    </row>
    <row r="156" spans="1:31" ht="18" customHeight="1">
      <c r="A156" s="6199" t="s">
        <v>237</v>
      </c>
      <c r="B156" s="6200" t="s">
        <v>46</v>
      </c>
      <c r="C156" s="6201" t="s">
        <v>46</v>
      </c>
      <c r="D156" s="6201" t="s">
        <v>46</v>
      </c>
      <c r="E156" s="6201" t="s">
        <v>46</v>
      </c>
      <c r="F156" s="6201"/>
      <c r="G156" s="6200"/>
      <c r="H156" s="6200">
        <v>22</v>
      </c>
      <c r="I156" s="6200">
        <v>22</v>
      </c>
      <c r="J156" s="6202">
        <v>22</v>
      </c>
      <c r="K156" s="6202">
        <v>22</v>
      </c>
      <c r="L156" s="6202">
        <v>22</v>
      </c>
      <c r="M156" s="6201">
        <v>22</v>
      </c>
      <c r="N156" s="6201">
        <v>22</v>
      </c>
      <c r="O156" s="6201" t="s">
        <v>46</v>
      </c>
      <c r="P156" s="6201" t="s">
        <v>46</v>
      </c>
      <c r="Q156" s="6201" t="s">
        <v>46</v>
      </c>
      <c r="R156" s="6201" t="s">
        <v>46</v>
      </c>
      <c r="S156" s="6201" t="s">
        <v>46</v>
      </c>
      <c r="T156" s="6201"/>
      <c r="U156" s="6200"/>
      <c r="V156" s="6200">
        <v>23</v>
      </c>
      <c r="W156" s="6200">
        <v>23</v>
      </c>
      <c r="X156" s="6200">
        <v>23</v>
      </c>
      <c r="Y156" s="6200">
        <v>23</v>
      </c>
      <c r="Z156" s="6200">
        <v>23</v>
      </c>
      <c r="AA156" s="6200">
        <v>23</v>
      </c>
      <c r="AB156" s="6203">
        <v>23</v>
      </c>
      <c r="AC156" s="6203" t="s">
        <v>46</v>
      </c>
      <c r="AD156" s="6203" t="s">
        <v>46</v>
      </c>
      <c r="AE156" s="6200" t="s">
        <v>46</v>
      </c>
    </row>
    <row r="157" spans="1:31" ht="18" customHeight="1">
      <c r="A157" s="6199" t="s">
        <v>238</v>
      </c>
      <c r="B157" s="5600" t="s">
        <v>46</v>
      </c>
      <c r="C157" s="5600" t="s">
        <v>46</v>
      </c>
      <c r="D157" s="5602" t="s">
        <v>46</v>
      </c>
      <c r="E157" s="5629" t="s">
        <v>46</v>
      </c>
      <c r="F157" s="5629"/>
      <c r="G157" s="5629"/>
      <c r="H157" s="5629">
        <v>23</v>
      </c>
      <c r="I157" s="5629">
        <v>23</v>
      </c>
      <c r="J157" s="5673">
        <v>23</v>
      </c>
      <c r="K157" s="5673">
        <v>23</v>
      </c>
      <c r="L157" s="5673">
        <v>23</v>
      </c>
      <c r="M157" s="5601">
        <v>23</v>
      </c>
      <c r="N157" s="5601">
        <v>23</v>
      </c>
      <c r="O157" s="5601" t="s">
        <v>46</v>
      </c>
      <c r="P157" s="5601" t="s">
        <v>46</v>
      </c>
      <c r="Q157" s="5600" t="s">
        <v>46</v>
      </c>
      <c r="R157" s="5602" t="s">
        <v>46</v>
      </c>
      <c r="S157" s="5629" t="s">
        <v>46</v>
      </c>
      <c r="T157" s="5629"/>
      <c r="U157" s="5629"/>
      <c r="V157" s="5629">
        <v>21</v>
      </c>
      <c r="W157" s="5629">
        <v>21</v>
      </c>
      <c r="X157" s="5600">
        <v>21</v>
      </c>
      <c r="Y157" s="5600">
        <v>21</v>
      </c>
      <c r="Z157" s="5600">
        <v>21</v>
      </c>
      <c r="AA157" s="5600">
        <v>21</v>
      </c>
      <c r="AB157" s="5629">
        <v>21</v>
      </c>
      <c r="AC157" s="5629" t="s">
        <v>46</v>
      </c>
      <c r="AD157" s="5629" t="s">
        <v>46</v>
      </c>
      <c r="AE157" s="5629" t="s">
        <v>46</v>
      </c>
    </row>
    <row r="158" spans="1:31" ht="18" customHeight="1">
      <c r="A158" s="6199" t="s">
        <v>239</v>
      </c>
      <c r="B158" s="5600" t="s">
        <v>46</v>
      </c>
      <c r="C158" s="5601" t="s">
        <v>46</v>
      </c>
      <c r="D158" s="5601" t="s">
        <v>46</v>
      </c>
      <c r="E158" s="5601" t="s">
        <v>46</v>
      </c>
      <c r="F158" s="5601"/>
      <c r="G158" s="5601"/>
      <c r="H158" s="5600">
        <v>21</v>
      </c>
      <c r="I158" s="5600">
        <v>21</v>
      </c>
      <c r="J158" s="5673">
        <v>21</v>
      </c>
      <c r="K158" s="5673">
        <v>21</v>
      </c>
      <c r="L158" s="5673">
        <v>21</v>
      </c>
      <c r="M158" s="5601">
        <v>21</v>
      </c>
      <c r="N158" s="5601">
        <v>21</v>
      </c>
      <c r="O158" s="5601" t="s">
        <v>46</v>
      </c>
      <c r="P158" s="5601" t="s">
        <v>46</v>
      </c>
      <c r="Q158" s="5600" t="s">
        <v>46</v>
      </c>
      <c r="R158" s="5602" t="s">
        <v>46</v>
      </c>
      <c r="S158" s="5600" t="s">
        <v>46</v>
      </c>
      <c r="T158" s="5600"/>
      <c r="U158" s="5600"/>
      <c r="V158" s="5600">
        <v>22</v>
      </c>
      <c r="W158" s="5600">
        <v>22</v>
      </c>
      <c r="X158" s="5600">
        <v>22</v>
      </c>
      <c r="Y158" s="5600">
        <v>22</v>
      </c>
      <c r="Z158" s="5600">
        <v>22</v>
      </c>
      <c r="AA158" s="5600">
        <v>22</v>
      </c>
      <c r="AB158" s="5629">
        <v>22</v>
      </c>
      <c r="AC158" s="5629" t="s">
        <v>46</v>
      </c>
      <c r="AD158" s="5629" t="s">
        <v>46</v>
      </c>
      <c r="AE158" s="5600" t="s">
        <v>46</v>
      </c>
    </row>
    <row r="159" spans="1:31" ht="18" customHeight="1">
      <c r="A159" s="485" t="s">
        <v>240</v>
      </c>
      <c r="B159" s="5600">
        <v>21</v>
      </c>
      <c r="C159" s="5673">
        <v>21</v>
      </c>
      <c r="D159" s="5673">
        <v>21</v>
      </c>
      <c r="E159" s="5673">
        <v>21</v>
      </c>
      <c r="F159" s="5601">
        <v>21</v>
      </c>
      <c r="G159" s="5601">
        <v>21</v>
      </c>
      <c r="H159" s="5601" t="s">
        <v>46</v>
      </c>
      <c r="I159" s="5601" t="s">
        <v>46</v>
      </c>
      <c r="J159" s="5601" t="s">
        <v>46</v>
      </c>
      <c r="K159" s="5601" t="s">
        <v>46</v>
      </c>
      <c r="L159" s="5601" t="s">
        <v>46</v>
      </c>
      <c r="M159" s="5601"/>
      <c r="N159" s="5601"/>
      <c r="O159" s="5600">
        <v>22</v>
      </c>
      <c r="P159" s="5600">
        <v>22</v>
      </c>
      <c r="Q159" s="5628">
        <v>22</v>
      </c>
      <c r="R159" s="5628">
        <v>22</v>
      </c>
      <c r="S159" s="5600">
        <v>22</v>
      </c>
      <c r="T159" s="5629">
        <v>22</v>
      </c>
      <c r="U159" s="5629">
        <v>22</v>
      </c>
      <c r="V159" s="5602" t="s">
        <v>46</v>
      </c>
      <c r="W159" s="5600" t="s">
        <v>46</v>
      </c>
      <c r="X159" s="5601" t="s">
        <v>46</v>
      </c>
      <c r="Y159" s="5601" t="s">
        <v>46</v>
      </c>
      <c r="Z159" s="5601" t="s">
        <v>46</v>
      </c>
      <c r="AA159" s="5601"/>
      <c r="AB159" s="5600"/>
      <c r="AC159" s="5600">
        <v>23</v>
      </c>
      <c r="AD159" s="5600">
        <v>23</v>
      </c>
      <c r="AE159" s="5600">
        <v>23</v>
      </c>
    </row>
    <row r="160" spans="1:31" ht="18" customHeight="1">
      <c r="A160" s="6315" t="s">
        <v>242</v>
      </c>
      <c r="B160" s="5601">
        <v>22</v>
      </c>
      <c r="C160" s="5676">
        <v>22</v>
      </c>
      <c r="D160" s="5676">
        <v>22</v>
      </c>
      <c r="E160" s="5676">
        <v>22</v>
      </c>
      <c r="F160" s="5676">
        <v>22</v>
      </c>
      <c r="G160" s="5676">
        <v>22</v>
      </c>
      <c r="H160" s="5676" t="s">
        <v>46</v>
      </c>
      <c r="I160" s="5676" t="s">
        <v>46</v>
      </c>
      <c r="J160" s="5600" t="s">
        <v>46</v>
      </c>
      <c r="K160" s="5602" t="s">
        <v>46</v>
      </c>
      <c r="L160" s="5600" t="s">
        <v>46</v>
      </c>
      <c r="M160" s="5600"/>
      <c r="N160" s="5600"/>
      <c r="O160" s="5600">
        <v>23</v>
      </c>
      <c r="P160" s="5600">
        <v>23</v>
      </c>
      <c r="Q160" s="5628">
        <v>23</v>
      </c>
      <c r="R160" s="5628">
        <v>23</v>
      </c>
      <c r="S160" s="5600">
        <v>23</v>
      </c>
      <c r="T160" s="5629">
        <v>23</v>
      </c>
      <c r="U160" s="5629">
        <v>23</v>
      </c>
      <c r="V160" s="5602" t="s">
        <v>46</v>
      </c>
      <c r="W160" s="5600" t="s">
        <v>46</v>
      </c>
      <c r="X160" s="5600" t="s">
        <v>46</v>
      </c>
      <c r="Y160" s="5602" t="s">
        <v>46</v>
      </c>
      <c r="Z160" s="5629" t="s">
        <v>46</v>
      </c>
      <c r="AA160" s="5629"/>
      <c r="AB160" s="5629"/>
      <c r="AC160" s="5629">
        <v>21</v>
      </c>
      <c r="AD160" s="5629">
        <v>21</v>
      </c>
      <c r="AE160" s="5600">
        <v>21</v>
      </c>
    </row>
    <row r="161" spans="1:31" ht="18" customHeight="1" thickBot="1">
      <c r="A161" s="6205"/>
      <c r="B161" s="5597">
        <v>23</v>
      </c>
      <c r="C161" s="6206">
        <v>23</v>
      </c>
      <c r="D161" s="6206">
        <v>23</v>
      </c>
      <c r="E161" s="6206">
        <v>23</v>
      </c>
      <c r="F161" s="6207">
        <v>23</v>
      </c>
      <c r="G161" s="6207">
        <v>23</v>
      </c>
      <c r="H161" s="6207" t="s">
        <v>46</v>
      </c>
      <c r="I161" s="6207" t="s">
        <v>46</v>
      </c>
      <c r="J161" s="6207" t="s">
        <v>46</v>
      </c>
      <c r="K161" s="6207" t="s">
        <v>46</v>
      </c>
      <c r="L161" s="6207" t="s">
        <v>46</v>
      </c>
      <c r="M161" s="5597"/>
      <c r="N161" s="5597"/>
      <c r="O161" s="5597">
        <v>21</v>
      </c>
      <c r="P161" s="5597">
        <v>21</v>
      </c>
      <c r="Q161" s="6208">
        <v>21</v>
      </c>
      <c r="R161" s="6208">
        <v>21</v>
      </c>
      <c r="S161" s="5597">
        <v>21</v>
      </c>
      <c r="T161" s="5598">
        <v>21</v>
      </c>
      <c r="U161" s="5598">
        <v>21</v>
      </c>
      <c r="V161" s="5599" t="s">
        <v>46</v>
      </c>
      <c r="W161" s="5597" t="s">
        <v>46</v>
      </c>
      <c r="X161" s="5597" t="s">
        <v>46</v>
      </c>
      <c r="Y161" s="5599" t="s">
        <v>46</v>
      </c>
      <c r="Z161" s="5597" t="s">
        <v>46</v>
      </c>
      <c r="AA161" s="5597"/>
      <c r="AB161" s="5597"/>
      <c r="AC161" s="5597">
        <v>22</v>
      </c>
      <c r="AD161" s="5597">
        <v>22</v>
      </c>
      <c r="AE161" s="5597">
        <v>22</v>
      </c>
    </row>
    <row r="162" spans="1:31" ht="18" customHeight="1">
      <c r="A162" s="68"/>
      <c r="B162" s="108"/>
      <c r="C162" s="108"/>
      <c r="D162" s="99"/>
      <c r="E162" s="108"/>
      <c r="F162" s="108"/>
      <c r="G162" s="173"/>
      <c r="H162" s="173"/>
      <c r="I162" s="173"/>
      <c r="J162" s="173"/>
      <c r="K162" s="173"/>
      <c r="L162" s="173"/>
      <c r="M162" s="109"/>
      <c r="N162" s="109"/>
      <c r="O162" s="99"/>
      <c r="P162" s="108"/>
      <c r="Q162" s="108"/>
      <c r="R162" s="99"/>
      <c r="S162" s="108"/>
      <c r="T162" s="108"/>
      <c r="U162" s="108"/>
      <c r="V162" s="108"/>
      <c r="W162" s="108"/>
      <c r="X162" s="108"/>
      <c r="Y162" s="108"/>
      <c r="Z162" s="108"/>
      <c r="AA162" s="109"/>
      <c r="AB162" s="109"/>
      <c r="AC162" s="99"/>
      <c r="AD162" s="108"/>
      <c r="AE162" s="108"/>
    </row>
    <row r="163" spans="1:31" ht="18" customHeight="1" thickBot="1">
      <c r="F163" s="63"/>
    </row>
    <row r="164" spans="1:31" ht="18" customHeight="1">
      <c r="A164" s="6175" t="s">
        <v>609</v>
      </c>
      <c r="B164" s="6176"/>
      <c r="C164" s="6192" t="s">
        <v>19</v>
      </c>
      <c r="D164" s="6235"/>
      <c r="E164" s="6180"/>
      <c r="F164" s="6176"/>
      <c r="G164" s="6192" t="s">
        <v>20</v>
      </c>
      <c r="H164" s="6235"/>
      <c r="I164" s="6180"/>
      <c r="J164" s="6176"/>
      <c r="K164" s="6192" t="s">
        <v>21</v>
      </c>
      <c r="L164" s="6235"/>
      <c r="M164" s="6180"/>
      <c r="N164" s="6176"/>
      <c r="O164" s="6192" t="s">
        <v>22</v>
      </c>
      <c r="P164" s="6235"/>
      <c r="Q164" s="6180"/>
      <c r="R164" s="6176"/>
      <c r="S164" s="6192" t="s">
        <v>23</v>
      </c>
      <c r="T164" s="6235"/>
      <c r="U164" s="6180"/>
      <c r="V164" s="6176"/>
      <c r="W164" s="6192" t="s">
        <v>24</v>
      </c>
      <c r="X164" s="6235"/>
      <c r="Y164" s="6180"/>
      <c r="Z164" s="6176"/>
      <c r="AA164" s="6192" t="s">
        <v>25</v>
      </c>
      <c r="AB164" s="6235"/>
      <c r="AC164" s="6235"/>
      <c r="AD164" s="6195" t="s">
        <v>108</v>
      </c>
      <c r="AE164" s="6235"/>
    </row>
    <row r="165" spans="1:31" ht="18" customHeight="1">
      <c r="A165" s="6297" t="s">
        <v>210</v>
      </c>
      <c r="B165" s="6282" t="s">
        <v>211</v>
      </c>
      <c r="C165" s="6240"/>
      <c r="D165" s="6240"/>
      <c r="E165" s="6293"/>
      <c r="F165" s="6282" t="s">
        <v>211</v>
      </c>
      <c r="G165" s="6240"/>
      <c r="H165" s="6240"/>
      <c r="I165" s="6293"/>
      <c r="J165" s="6282" t="s">
        <v>211</v>
      </c>
      <c r="K165" s="6240"/>
      <c r="L165" s="6240"/>
      <c r="M165" s="6293"/>
      <c r="N165" s="6282" t="s">
        <v>245</v>
      </c>
      <c r="O165" s="6240"/>
      <c r="P165" s="6240"/>
      <c r="Q165" s="6293"/>
      <c r="R165" s="6282" t="s">
        <v>220</v>
      </c>
      <c r="S165" s="6240"/>
      <c r="T165" s="6240"/>
      <c r="U165" s="6293"/>
      <c r="V165" s="6316"/>
      <c r="W165" s="6317"/>
      <c r="X165" s="6317"/>
      <c r="Y165" s="6295"/>
      <c r="Z165" s="6291"/>
      <c r="AA165" s="6240"/>
      <c r="AB165" s="6240"/>
      <c r="AC165" s="6281"/>
      <c r="AD165" s="6296">
        <v>27</v>
      </c>
      <c r="AE165" s="6240"/>
    </row>
    <row r="166" spans="1:31" ht="18" customHeight="1">
      <c r="A166" s="6297" t="s">
        <v>212</v>
      </c>
      <c r="B166" s="6282" t="s">
        <v>246</v>
      </c>
      <c r="C166" s="6240"/>
      <c r="D166" s="6240"/>
      <c r="E166" s="6293"/>
      <c r="F166" s="6282" t="s">
        <v>246</v>
      </c>
      <c r="G166" s="6240"/>
      <c r="H166" s="6240"/>
      <c r="I166" s="6293"/>
      <c r="J166" s="6282" t="s">
        <v>246</v>
      </c>
      <c r="K166" s="6240"/>
      <c r="L166" s="6240"/>
      <c r="M166" s="6293"/>
      <c r="N166" s="6282" t="s">
        <v>246</v>
      </c>
      <c r="O166" s="6240"/>
      <c r="P166" s="6240"/>
      <c r="Q166" s="6293"/>
      <c r="R166" s="6282" t="s">
        <v>211</v>
      </c>
      <c r="S166" s="6240"/>
      <c r="T166" s="6240"/>
      <c r="U166" s="6293"/>
      <c r="V166" s="6282"/>
      <c r="W166" s="6240"/>
      <c r="X166" s="6240"/>
      <c r="Y166" s="6293"/>
      <c r="Z166" s="6240"/>
      <c r="AA166" s="6240"/>
      <c r="AB166" s="6240"/>
      <c r="AC166" s="6281"/>
      <c r="AD166" s="6296">
        <v>39</v>
      </c>
      <c r="AE166" s="6240"/>
    </row>
    <row r="167" spans="1:31" ht="18" customHeight="1">
      <c r="A167" s="6297" t="s">
        <v>214</v>
      </c>
      <c r="B167" s="6282" t="s">
        <v>246</v>
      </c>
      <c r="C167" s="6240"/>
      <c r="D167" s="6240"/>
      <c r="E167" s="6293"/>
      <c r="F167" s="6282" t="s">
        <v>246</v>
      </c>
      <c r="G167" s="6240"/>
      <c r="H167" s="6240"/>
      <c r="I167" s="6293"/>
      <c r="J167" s="6282" t="s">
        <v>246</v>
      </c>
      <c r="K167" s="6240"/>
      <c r="L167" s="6240"/>
      <c r="M167" s="6293"/>
      <c r="N167" s="6282" t="s">
        <v>246</v>
      </c>
      <c r="O167" s="6240"/>
      <c r="P167" s="6240"/>
      <c r="Q167" s="6293"/>
      <c r="R167" s="6282" t="s">
        <v>246</v>
      </c>
      <c r="S167" s="6240"/>
      <c r="T167" s="6240"/>
      <c r="U167" s="6293"/>
      <c r="V167" s="6284" t="s">
        <v>217</v>
      </c>
      <c r="W167" s="6237"/>
      <c r="X167" s="6237"/>
      <c r="Y167" s="6283"/>
      <c r="Z167" s="6298"/>
      <c r="AA167" s="6237"/>
      <c r="AB167" s="6237"/>
      <c r="AC167" s="6285"/>
      <c r="AD167" s="6296">
        <v>45</v>
      </c>
      <c r="AE167" s="6240"/>
    </row>
    <row r="168" spans="1:31" ht="18" customHeight="1" thickBot="1">
      <c r="A168" s="1484" t="s">
        <v>218</v>
      </c>
      <c r="B168" s="6311"/>
      <c r="C168" s="6250"/>
      <c r="D168" s="6250"/>
      <c r="E168" s="6313"/>
      <c r="F168" s="6311"/>
      <c r="G168" s="6250"/>
      <c r="H168" s="6250"/>
      <c r="I168" s="6313"/>
      <c r="J168" s="6311"/>
      <c r="K168" s="6250"/>
      <c r="L168" s="6250"/>
      <c r="M168" s="6313"/>
      <c r="N168" s="6311"/>
      <c r="O168" s="6250"/>
      <c r="P168" s="6250"/>
      <c r="Q168" s="6313"/>
      <c r="R168" s="6311"/>
      <c r="S168" s="6250"/>
      <c r="T168" s="6250"/>
      <c r="U168" s="6304"/>
      <c r="V168" s="6311"/>
      <c r="W168" s="6304"/>
      <c r="X168" s="6250"/>
      <c r="Y168" s="6313"/>
      <c r="Z168" s="6311"/>
      <c r="AA168" s="6304"/>
      <c r="AB168" s="6250"/>
      <c r="AC168" s="6313"/>
      <c r="AD168" s="6318"/>
      <c r="AE168" s="6250"/>
    </row>
    <row r="169" spans="1:31" ht="18" customHeight="1" thickBot="1">
      <c r="A169" s="1"/>
    </row>
    <row r="170" spans="1:31" ht="18" customHeight="1" thickBot="1">
      <c r="A170" s="6306" t="s">
        <v>609</v>
      </c>
      <c r="B170" s="2985">
        <v>1</v>
      </c>
      <c r="C170" s="2985">
        <v>2</v>
      </c>
      <c r="D170" s="2985">
        <v>3</v>
      </c>
      <c r="E170" s="2985">
        <v>4</v>
      </c>
      <c r="F170" s="2986">
        <v>5</v>
      </c>
      <c r="G170" s="2986">
        <v>6</v>
      </c>
      <c r="H170" s="2985">
        <v>7</v>
      </c>
      <c r="I170" s="2985">
        <v>8</v>
      </c>
      <c r="J170" s="2985">
        <v>9</v>
      </c>
      <c r="K170" s="2985">
        <v>10</v>
      </c>
      <c r="L170" s="2985">
        <v>11</v>
      </c>
      <c r="M170" s="2986">
        <v>12</v>
      </c>
      <c r="N170" s="2986">
        <v>13</v>
      </c>
      <c r="O170" s="2985">
        <v>14</v>
      </c>
      <c r="P170" s="2985">
        <v>15</v>
      </c>
      <c r="Q170" s="2985">
        <v>16</v>
      </c>
      <c r="R170" s="2985">
        <v>17</v>
      </c>
      <c r="S170" s="2985">
        <v>18</v>
      </c>
      <c r="T170" s="2986">
        <v>19</v>
      </c>
      <c r="U170" s="2986">
        <v>20</v>
      </c>
      <c r="V170" s="2985">
        <v>21</v>
      </c>
      <c r="W170" s="2985">
        <v>22</v>
      </c>
      <c r="X170" s="2985">
        <v>23</v>
      </c>
      <c r="Y170" s="2985">
        <v>24</v>
      </c>
      <c r="Z170" s="2985">
        <v>25</v>
      </c>
      <c r="AA170" s="2986">
        <v>26</v>
      </c>
      <c r="AB170" s="2986">
        <v>27</v>
      </c>
      <c r="AC170" s="2985">
        <v>28</v>
      </c>
      <c r="AD170" s="2985">
        <v>29</v>
      </c>
      <c r="AE170" s="2985">
        <v>30</v>
      </c>
    </row>
    <row r="171" spans="1:31" ht="18" customHeight="1">
      <c r="A171" s="6210" t="s">
        <v>247</v>
      </c>
      <c r="B171" s="6258" t="s">
        <v>40</v>
      </c>
      <c r="C171" s="6258" t="s">
        <v>40</v>
      </c>
      <c r="D171" s="6258" t="s">
        <v>40</v>
      </c>
      <c r="E171" s="6258" t="s">
        <v>40</v>
      </c>
      <c r="F171" s="6258"/>
      <c r="G171" s="6258"/>
      <c r="H171" s="6211" t="s">
        <v>40</v>
      </c>
      <c r="I171" s="6211" t="s">
        <v>40</v>
      </c>
      <c r="J171" s="6258" t="s">
        <v>40</v>
      </c>
      <c r="K171" s="6258" t="s">
        <v>40</v>
      </c>
      <c r="L171" s="6258" t="s">
        <v>40</v>
      </c>
      <c r="M171" s="6258" t="s">
        <v>248</v>
      </c>
      <c r="N171" s="6258"/>
      <c r="O171" s="6258" t="s">
        <v>40</v>
      </c>
      <c r="P171" s="6258" t="s">
        <v>40</v>
      </c>
      <c r="Q171" s="6258" t="s">
        <v>40</v>
      </c>
      <c r="R171" s="6258" t="s">
        <v>40</v>
      </c>
      <c r="S171" s="6258" t="s">
        <v>40</v>
      </c>
      <c r="T171" s="6211"/>
      <c r="U171" s="6258"/>
      <c r="V171" s="6258" t="s">
        <v>40</v>
      </c>
      <c r="W171" s="6258" t="s">
        <v>40</v>
      </c>
      <c r="X171" s="6258" t="s">
        <v>40</v>
      </c>
      <c r="Y171" s="6258" t="s">
        <v>40</v>
      </c>
      <c r="Z171" s="6258" t="s">
        <v>40</v>
      </c>
      <c r="AA171" s="6258"/>
      <c r="AB171" s="6258"/>
      <c r="AC171" s="6211" t="s">
        <v>40</v>
      </c>
      <c r="AD171" s="6211" t="s">
        <v>40</v>
      </c>
      <c r="AE171" s="6258" t="s">
        <v>40</v>
      </c>
    </row>
    <row r="172" spans="1:31" ht="18" customHeight="1">
      <c r="A172" s="6319" t="s">
        <v>249</v>
      </c>
      <c r="B172" s="6221" t="s">
        <v>248</v>
      </c>
      <c r="C172" s="6221" t="s">
        <v>248</v>
      </c>
      <c r="D172" s="6221" t="s">
        <v>248</v>
      </c>
      <c r="E172" s="6221" t="s">
        <v>248</v>
      </c>
      <c r="F172" s="6221" t="s">
        <v>248</v>
      </c>
      <c r="G172" s="6221"/>
      <c r="H172" s="6221" t="s">
        <v>251</v>
      </c>
      <c r="I172" s="6221" t="s">
        <v>251</v>
      </c>
      <c r="J172" s="6221" t="s">
        <v>251</v>
      </c>
      <c r="K172" s="6221" t="s">
        <v>251</v>
      </c>
      <c r="L172" s="6221" t="s">
        <v>46</v>
      </c>
      <c r="M172" s="6221"/>
      <c r="N172" s="6221"/>
      <c r="O172" s="6221" t="s">
        <v>250</v>
      </c>
      <c r="P172" s="6221" t="s">
        <v>250</v>
      </c>
      <c r="Q172" s="6221" t="s">
        <v>250</v>
      </c>
      <c r="R172" s="6221" t="s">
        <v>250</v>
      </c>
      <c r="S172" s="6221" t="s">
        <v>250</v>
      </c>
      <c r="T172" s="6221"/>
      <c r="U172" s="6221"/>
      <c r="V172" s="6221" t="s">
        <v>248</v>
      </c>
      <c r="W172" s="6221" t="s">
        <v>248</v>
      </c>
      <c r="X172" s="6221" t="s">
        <v>248</v>
      </c>
      <c r="Y172" s="6221" t="s">
        <v>248</v>
      </c>
      <c r="Z172" s="6221" t="s">
        <v>248</v>
      </c>
      <c r="AA172" s="6221" t="s">
        <v>248</v>
      </c>
      <c r="AB172" s="6221"/>
      <c r="AC172" s="6221" t="s">
        <v>251</v>
      </c>
      <c r="AD172" s="6221" t="s">
        <v>251</v>
      </c>
      <c r="AE172" s="6221" t="s">
        <v>251</v>
      </c>
    </row>
    <row r="173" spans="1:31" ht="18" customHeight="1">
      <c r="A173" s="6319" t="s">
        <v>512</v>
      </c>
      <c r="B173" s="6221" t="s">
        <v>251</v>
      </c>
      <c r="C173" s="6221" t="s">
        <v>251</v>
      </c>
      <c r="D173" s="6221" t="s">
        <v>251</v>
      </c>
      <c r="E173" s="6221" t="s">
        <v>46</v>
      </c>
      <c r="F173" s="6043"/>
      <c r="G173" s="6043"/>
      <c r="H173" s="6221" t="s">
        <v>250</v>
      </c>
      <c r="I173" s="6221" t="s">
        <v>250</v>
      </c>
      <c r="J173" s="6221" t="s">
        <v>250</v>
      </c>
      <c r="K173" s="6221" t="s">
        <v>250</v>
      </c>
      <c r="L173" s="6221" t="s">
        <v>250</v>
      </c>
      <c r="M173" s="6043"/>
      <c r="N173" s="6043"/>
      <c r="O173" s="6221" t="s">
        <v>248</v>
      </c>
      <c r="P173" s="6043" t="s">
        <v>248</v>
      </c>
      <c r="Q173" s="6043" t="s">
        <v>248</v>
      </c>
      <c r="R173" s="6043" t="s">
        <v>248</v>
      </c>
      <c r="S173" s="6221" t="s">
        <v>248</v>
      </c>
      <c r="T173" s="6221" t="s">
        <v>248</v>
      </c>
      <c r="U173" s="6221"/>
      <c r="V173" s="6221" t="s">
        <v>251</v>
      </c>
      <c r="W173" s="6221" t="s">
        <v>251</v>
      </c>
      <c r="X173" s="6221" t="s">
        <v>251</v>
      </c>
      <c r="Y173" s="6221" t="s">
        <v>251</v>
      </c>
      <c r="Z173" s="6221" t="s">
        <v>46</v>
      </c>
      <c r="AA173" s="6043"/>
      <c r="AB173" s="6043"/>
      <c r="AC173" s="6221" t="s">
        <v>250</v>
      </c>
      <c r="AD173" s="6221" t="s">
        <v>250</v>
      </c>
      <c r="AE173" s="6221" t="s">
        <v>250</v>
      </c>
    </row>
    <row r="174" spans="1:31" ht="18" customHeight="1">
      <c r="A174" s="6319" t="s">
        <v>253</v>
      </c>
      <c r="B174" s="6221"/>
      <c r="C174" s="6221"/>
      <c r="D174" s="6221"/>
      <c r="E174" s="6221"/>
      <c r="F174" s="6040"/>
      <c r="G174" s="6221"/>
      <c r="H174" s="6221"/>
      <c r="I174" s="6221"/>
      <c r="J174" s="6221"/>
      <c r="K174" s="6221"/>
      <c r="L174" s="6221"/>
      <c r="M174" s="6221"/>
      <c r="N174" s="6221"/>
      <c r="O174" s="6221"/>
      <c r="P174" s="6221"/>
      <c r="Q174" s="6221"/>
      <c r="R174" s="6221"/>
      <c r="S174" s="6221"/>
      <c r="T174" s="6221"/>
      <c r="U174" s="6221"/>
      <c r="V174" s="6221"/>
      <c r="W174" s="6221"/>
      <c r="X174" s="6221"/>
      <c r="Y174" s="6221"/>
      <c r="Z174" s="6221"/>
      <c r="AA174" s="6040"/>
      <c r="AB174" s="6221"/>
      <c r="AC174" s="6221"/>
      <c r="AD174" s="6221"/>
      <c r="AE174" s="6221"/>
    </row>
    <row r="175" spans="1:31" ht="18" customHeight="1">
      <c r="B175" s="110"/>
      <c r="E175" s="110"/>
      <c r="H175" s="110"/>
      <c r="I175" s="110"/>
      <c r="K175" s="110"/>
      <c r="N175" s="110"/>
      <c r="P175" s="110"/>
      <c r="Q175" s="110"/>
      <c r="T175" s="110"/>
      <c r="V175" s="110"/>
      <c r="W175" s="110"/>
      <c r="AD175" s="110"/>
    </row>
    <row r="176" spans="1:31" s="111" customFormat="1" ht="18" customHeight="1">
      <c r="A176" s="648" t="s">
        <v>637</v>
      </c>
      <c r="B176" s="1250"/>
      <c r="C176" s="1243" t="s">
        <v>19</v>
      </c>
      <c r="D176" s="1244"/>
      <c r="E176" s="1055"/>
      <c r="F176" s="1245"/>
      <c r="G176" s="1243" t="s">
        <v>20</v>
      </c>
      <c r="H176" s="1244"/>
      <c r="I176" s="1055"/>
      <c r="J176" s="1245"/>
      <c r="K176" s="1243" t="s">
        <v>21</v>
      </c>
      <c r="L176" s="1244"/>
      <c r="M176" s="1055"/>
      <c r="N176" s="1245"/>
      <c r="O176" s="1243" t="s">
        <v>22</v>
      </c>
      <c r="P176" s="1244"/>
      <c r="Q176" s="1055"/>
      <c r="R176" s="1245"/>
      <c r="S176" s="1243" t="s">
        <v>23</v>
      </c>
      <c r="T176" s="1244"/>
      <c r="U176" s="1246"/>
      <c r="W176" s="499"/>
      <c r="AA176" s="499"/>
      <c r="AD176" s="499"/>
    </row>
    <row r="177" spans="1:30" s="111" customFormat="1" ht="18" customHeight="1">
      <c r="A177" s="5882" t="s">
        <v>638</v>
      </c>
      <c r="B177" s="5692" t="s">
        <v>515</v>
      </c>
      <c r="C177" s="5693" t="s">
        <v>639</v>
      </c>
      <c r="D177" s="5693"/>
      <c r="E177" s="5694"/>
      <c r="F177" s="5695" t="s">
        <v>640</v>
      </c>
      <c r="G177" s="5693"/>
      <c r="H177" s="5693"/>
      <c r="I177" s="5694"/>
      <c r="J177" s="5695" t="s">
        <v>639</v>
      </c>
      <c r="K177" s="5693"/>
      <c r="L177" s="5693"/>
      <c r="M177" s="5694"/>
      <c r="N177" s="5695" t="s">
        <v>641</v>
      </c>
      <c r="O177" s="5693"/>
      <c r="P177" s="5693"/>
      <c r="Q177" s="5694"/>
      <c r="R177" s="5695" t="s">
        <v>642</v>
      </c>
      <c r="S177" s="5693"/>
      <c r="T177" s="5693"/>
      <c r="U177" s="5696"/>
      <c r="V177" s="120"/>
      <c r="Z177" s="120"/>
      <c r="AD177" s="120"/>
    </row>
    <row r="178" spans="1:30" s="111" customFormat="1" ht="18" customHeight="1">
      <c r="A178" s="5882" t="s">
        <v>643</v>
      </c>
      <c r="B178" s="5692" t="s">
        <v>152</v>
      </c>
      <c r="C178" s="5693" t="s">
        <v>644</v>
      </c>
      <c r="D178" s="5693"/>
      <c r="E178" s="5694"/>
      <c r="F178" s="5695" t="s">
        <v>644</v>
      </c>
      <c r="G178" s="5693"/>
      <c r="H178" s="5693"/>
      <c r="I178" s="5694"/>
      <c r="J178" s="5695" t="s">
        <v>644</v>
      </c>
      <c r="K178" s="5693"/>
      <c r="L178" s="5693"/>
      <c r="M178" s="5694"/>
      <c r="N178" s="5695" t="s">
        <v>645</v>
      </c>
      <c r="O178" s="5693"/>
      <c r="P178" s="5693"/>
      <c r="Q178" s="5694"/>
      <c r="R178" s="5695" t="s">
        <v>646</v>
      </c>
      <c r="S178" s="5693"/>
      <c r="T178" s="5693"/>
      <c r="U178" s="5696"/>
      <c r="V178" s="120"/>
      <c r="Z178" s="120"/>
      <c r="AD178" s="120"/>
    </row>
    <row r="179" spans="1:30" s="111" customFormat="1" ht="18" customHeight="1">
      <c r="A179" s="5882" t="s">
        <v>647</v>
      </c>
      <c r="B179" s="5692" t="s">
        <v>130</v>
      </c>
      <c r="C179" s="5693" t="s">
        <v>644</v>
      </c>
      <c r="D179" s="5693"/>
      <c r="E179" s="5694"/>
      <c r="F179" s="5695" t="s">
        <v>644</v>
      </c>
      <c r="G179" s="5693"/>
      <c r="H179" s="5693"/>
      <c r="I179" s="5694"/>
      <c r="J179" s="5695" t="s">
        <v>648</v>
      </c>
      <c r="K179" s="5693"/>
      <c r="L179" s="5693"/>
      <c r="M179" s="5694"/>
      <c r="N179" s="5695" t="s">
        <v>649</v>
      </c>
      <c r="O179" s="5693"/>
      <c r="P179" s="5693"/>
      <c r="Q179" s="5694"/>
      <c r="R179" s="5695" t="s">
        <v>650</v>
      </c>
      <c r="S179" s="5693"/>
      <c r="T179" s="5693"/>
      <c r="U179" s="5696"/>
      <c r="V179" s="120"/>
      <c r="Z179" s="120"/>
      <c r="AD179" s="120"/>
    </row>
    <row r="180" spans="1:30" s="111" customFormat="1" ht="18" customHeight="1">
      <c r="A180" s="5882" t="s">
        <v>651</v>
      </c>
      <c r="B180" s="5692" t="s">
        <v>153</v>
      </c>
      <c r="C180" s="5693" t="s">
        <v>652</v>
      </c>
      <c r="D180" s="5693"/>
      <c r="E180" s="5694"/>
      <c r="F180" s="5695" t="s">
        <v>652</v>
      </c>
      <c r="G180" s="5693"/>
      <c r="H180" s="5693"/>
      <c r="I180" s="5694"/>
      <c r="J180" s="5695" t="s">
        <v>652</v>
      </c>
      <c r="K180" s="5693"/>
      <c r="L180" s="5693"/>
      <c r="M180" s="5694"/>
      <c r="N180" s="5695" t="s">
        <v>653</v>
      </c>
      <c r="O180" s="5693"/>
      <c r="P180" s="5693"/>
      <c r="Q180" s="5694"/>
      <c r="R180" s="5695" t="s">
        <v>650</v>
      </c>
      <c r="S180" s="5693"/>
      <c r="T180" s="5693"/>
      <c r="U180" s="5696"/>
      <c r="V180" s="120"/>
      <c r="Z180" s="120"/>
      <c r="AD180" s="120"/>
    </row>
    <row r="181" spans="1:30" s="111" customFormat="1" ht="18" customHeight="1">
      <c r="A181" s="5697" t="s">
        <v>654</v>
      </c>
      <c r="B181" s="5692" t="s">
        <v>128</v>
      </c>
      <c r="C181" s="5693" t="s">
        <v>655</v>
      </c>
      <c r="D181" s="5693"/>
      <c r="E181" s="5694"/>
      <c r="F181" s="5695" t="s">
        <v>655</v>
      </c>
      <c r="G181" s="5693"/>
      <c r="H181" s="5693"/>
      <c r="I181" s="5694"/>
      <c r="J181" s="5695" t="s">
        <v>655</v>
      </c>
      <c r="K181" s="5693"/>
      <c r="L181" s="5693"/>
      <c r="M181" s="5694"/>
      <c r="N181" s="5695" t="s">
        <v>656</v>
      </c>
      <c r="O181" s="5693"/>
      <c r="P181" s="5693"/>
      <c r="Q181" s="5694"/>
      <c r="R181" s="5695" t="s">
        <v>650</v>
      </c>
      <c r="S181" s="5693"/>
      <c r="T181" s="5693"/>
      <c r="U181" s="5696"/>
      <c r="V181" s="120"/>
      <c r="Z181" s="120"/>
      <c r="AD181" s="120"/>
    </row>
    <row r="182" spans="1:30" s="111" customFormat="1" ht="18" customHeight="1">
      <c r="A182" s="5882" t="s">
        <v>657</v>
      </c>
      <c r="B182" s="5692" t="s">
        <v>127</v>
      </c>
      <c r="C182" s="5693" t="s">
        <v>658</v>
      </c>
      <c r="D182" s="5693"/>
      <c r="E182" s="5694"/>
      <c r="F182" s="5695" t="s">
        <v>639</v>
      </c>
      <c r="G182" s="5693"/>
      <c r="H182" s="5693"/>
      <c r="I182" s="5694"/>
      <c r="J182" s="5695" t="s">
        <v>639</v>
      </c>
      <c r="K182" s="5693"/>
      <c r="L182" s="5693"/>
      <c r="M182" s="5694"/>
      <c r="N182" s="5695" t="s">
        <v>659</v>
      </c>
      <c r="O182" s="5693"/>
      <c r="P182" s="5693"/>
      <c r="Q182" s="5694"/>
      <c r="R182" s="5695" t="s">
        <v>650</v>
      </c>
      <c r="S182" s="5693"/>
      <c r="T182" s="5693"/>
      <c r="U182" s="5696"/>
      <c r="Z182" s="120"/>
      <c r="AD182" s="120"/>
    </row>
    <row r="183" spans="1:30" s="111" customFormat="1" ht="18" customHeight="1">
      <c r="A183" s="420" t="s">
        <v>660</v>
      </c>
      <c r="B183" s="5698" t="s">
        <v>123</v>
      </c>
      <c r="C183" s="5699" t="s">
        <v>661</v>
      </c>
      <c r="D183" s="5699"/>
      <c r="E183" s="5700"/>
      <c r="F183" s="5701" t="s">
        <v>661</v>
      </c>
      <c r="G183" s="5699"/>
      <c r="H183" s="5699"/>
      <c r="I183" s="5700"/>
      <c r="J183" s="5701" t="s">
        <v>661</v>
      </c>
      <c r="K183" s="5699"/>
      <c r="L183" s="5699"/>
      <c r="M183" s="5700"/>
      <c r="N183" s="5701" t="s">
        <v>662</v>
      </c>
      <c r="O183" s="5699"/>
      <c r="P183" s="5699"/>
      <c r="Q183" s="5700"/>
      <c r="R183" s="5701" t="s">
        <v>663</v>
      </c>
      <c r="S183" s="5699"/>
      <c r="T183" s="5699"/>
      <c r="U183" s="5702"/>
      <c r="Z183" s="120"/>
      <c r="AD183" s="120"/>
    </row>
    <row r="184" spans="1:30" s="111" customFormat="1" ht="18" customHeight="1">
      <c r="A184"/>
      <c r="B184" s="1184"/>
      <c r="C184" s="1049"/>
      <c r="D184" s="1049"/>
      <c r="E184" s="1184"/>
      <c r="F184" s="1049"/>
      <c r="G184" s="1049"/>
      <c r="H184" s="1184"/>
      <c r="I184" s="1184"/>
      <c r="J184" s="1049"/>
      <c r="K184" s="1184"/>
      <c r="L184" s="1049"/>
      <c r="M184" s="1049"/>
      <c r="N184" s="1184"/>
      <c r="O184" s="1049"/>
      <c r="P184" s="1184"/>
      <c r="Q184" s="1184"/>
      <c r="R184" s="1049"/>
      <c r="S184" s="1049"/>
      <c r="T184" s="1184"/>
      <c r="U184" s="1049"/>
      <c r="V184" s="120"/>
      <c r="W184" s="120"/>
      <c r="AD184" s="120"/>
    </row>
    <row r="185" spans="1:30" s="111" customFormat="1" ht="18" customHeight="1">
      <c r="A185" s="648" t="s">
        <v>664</v>
      </c>
      <c r="B185" s="1250"/>
      <c r="C185" s="1243" t="s">
        <v>19</v>
      </c>
      <c r="D185" s="1244"/>
      <c r="E185" s="1055"/>
      <c r="F185" s="1245"/>
      <c r="G185" s="1243" t="s">
        <v>20</v>
      </c>
      <c r="H185" s="1244"/>
      <c r="I185" s="1055"/>
      <c r="J185" s="1245"/>
      <c r="K185" s="1243" t="s">
        <v>21</v>
      </c>
      <c r="L185" s="1244"/>
      <c r="M185" s="1055"/>
      <c r="N185" s="1245"/>
      <c r="O185" s="1243" t="s">
        <v>22</v>
      </c>
      <c r="P185" s="1244"/>
      <c r="Q185" s="1055"/>
      <c r="R185" s="1245"/>
      <c r="S185" s="1243" t="s">
        <v>23</v>
      </c>
      <c r="T185" s="1244"/>
      <c r="U185" s="1246"/>
      <c r="W185" s="499"/>
      <c r="AA185" s="499"/>
      <c r="AD185" s="499"/>
    </row>
    <row r="186" spans="1:30" s="111" customFormat="1" ht="18" customHeight="1">
      <c r="A186" s="5882" t="s">
        <v>665</v>
      </c>
      <c r="B186" s="5692" t="s">
        <v>515</v>
      </c>
      <c r="C186" s="5703" t="s">
        <v>639</v>
      </c>
      <c r="D186" s="5703"/>
      <c r="E186" s="5704"/>
      <c r="F186" s="5695" t="s">
        <v>639</v>
      </c>
      <c r="G186" s="5693"/>
      <c r="H186" s="5693"/>
      <c r="I186" s="5694"/>
      <c r="J186" s="5695" t="s">
        <v>639</v>
      </c>
      <c r="K186" s="5693"/>
      <c r="L186" s="5693"/>
      <c r="M186" s="5694"/>
      <c r="N186" s="5695" t="s">
        <v>641</v>
      </c>
      <c r="O186" s="5693"/>
      <c r="P186" s="5693"/>
      <c r="Q186" s="5694"/>
      <c r="R186" s="5695" t="s">
        <v>642</v>
      </c>
      <c r="S186" s="5693"/>
      <c r="T186" s="5693"/>
      <c r="U186" s="5696"/>
      <c r="W186" s="499"/>
      <c r="AA186" s="499"/>
      <c r="AD186" s="499"/>
    </row>
    <row r="187" spans="1:30" s="111" customFormat="1" ht="18" customHeight="1">
      <c r="A187" s="5882" t="s">
        <v>666</v>
      </c>
      <c r="B187" s="5692" t="s">
        <v>152</v>
      </c>
      <c r="C187" s="5703" t="s">
        <v>667</v>
      </c>
      <c r="D187" s="5703"/>
      <c r="E187" s="5704"/>
      <c r="F187" s="5695" t="s">
        <v>667</v>
      </c>
      <c r="G187" s="5693"/>
      <c r="H187" s="5693"/>
      <c r="I187" s="5694"/>
      <c r="J187" s="5695" t="s">
        <v>667</v>
      </c>
      <c r="K187" s="5693"/>
      <c r="L187" s="5693"/>
      <c r="M187" s="5694"/>
      <c r="N187" s="5695" t="s">
        <v>668</v>
      </c>
      <c r="O187" s="5693"/>
      <c r="P187" s="5693"/>
      <c r="Q187" s="5694"/>
      <c r="R187" s="5695" t="s">
        <v>669</v>
      </c>
      <c r="S187" s="5693"/>
      <c r="T187" s="5693"/>
      <c r="U187" s="5696"/>
      <c r="V187" s="120"/>
      <c r="Z187" s="120"/>
      <c r="AD187" s="120"/>
    </row>
    <row r="188" spans="1:30" s="111" customFormat="1" ht="18" customHeight="1">
      <c r="A188" s="5882" t="s">
        <v>261</v>
      </c>
      <c r="B188" s="5692" t="s">
        <v>130</v>
      </c>
      <c r="C188" s="5703" t="s">
        <v>667</v>
      </c>
      <c r="D188" s="5703"/>
      <c r="E188" s="5704"/>
      <c r="F188" s="5695" t="s">
        <v>667</v>
      </c>
      <c r="G188" s="5693"/>
      <c r="H188" s="5693"/>
      <c r="I188" s="5694"/>
      <c r="J188" s="5695" t="s">
        <v>648</v>
      </c>
      <c r="K188" s="5693"/>
      <c r="L188" s="5693"/>
      <c r="M188" s="5694"/>
      <c r="N188" s="5695" t="s">
        <v>670</v>
      </c>
      <c r="O188" s="5693"/>
      <c r="P188" s="5693"/>
      <c r="Q188" s="5694"/>
      <c r="R188" s="5695" t="s">
        <v>650</v>
      </c>
      <c r="S188" s="5693"/>
      <c r="T188" s="5693"/>
      <c r="U188" s="5696"/>
      <c r="V188" s="120"/>
      <c r="Z188" s="120"/>
      <c r="AD188" s="120"/>
    </row>
    <row r="189" spans="1:30" s="111" customFormat="1" ht="18" customHeight="1">
      <c r="A189" s="5882" t="s">
        <v>265</v>
      </c>
      <c r="B189" s="5692" t="s">
        <v>153</v>
      </c>
      <c r="C189" s="5705" t="s">
        <v>667</v>
      </c>
      <c r="D189" s="5706"/>
      <c r="E189" s="5707"/>
      <c r="F189" s="5695" t="s">
        <v>667</v>
      </c>
      <c r="G189" s="5693"/>
      <c r="H189" s="5693"/>
      <c r="I189" s="5694"/>
      <c r="J189" s="5695" t="s">
        <v>667</v>
      </c>
      <c r="K189" s="5693"/>
      <c r="L189" s="5693"/>
      <c r="M189" s="5694"/>
      <c r="N189" s="5695" t="s">
        <v>671</v>
      </c>
      <c r="O189" s="5693"/>
      <c r="P189" s="5693"/>
      <c r="Q189" s="5694"/>
      <c r="R189" s="5695" t="s">
        <v>650</v>
      </c>
      <c r="S189" s="5693"/>
      <c r="T189" s="5693"/>
      <c r="U189" s="5696"/>
      <c r="V189" s="120"/>
      <c r="Z189" s="120"/>
      <c r="AD189" s="120"/>
    </row>
    <row r="190" spans="1:30" s="111" customFormat="1" ht="18" customHeight="1">
      <c r="A190" s="5697" t="s">
        <v>272</v>
      </c>
      <c r="B190" s="5692" t="s">
        <v>128</v>
      </c>
      <c r="C190" s="5705" t="s">
        <v>667</v>
      </c>
      <c r="D190" s="5706"/>
      <c r="E190" s="5707"/>
      <c r="F190" s="5695" t="s">
        <v>667</v>
      </c>
      <c r="G190" s="5693"/>
      <c r="H190" s="5693"/>
      <c r="I190" s="5694"/>
      <c r="J190" s="5695" t="s">
        <v>667</v>
      </c>
      <c r="K190" s="5693"/>
      <c r="L190" s="5693"/>
      <c r="M190" s="5694"/>
      <c r="N190" s="5695" t="s">
        <v>671</v>
      </c>
      <c r="O190" s="5693"/>
      <c r="P190" s="5693"/>
      <c r="Q190" s="5694"/>
      <c r="R190" s="5695" t="s">
        <v>650</v>
      </c>
      <c r="S190" s="5693"/>
      <c r="T190" s="5693"/>
      <c r="U190" s="5696"/>
      <c r="V190" s="120"/>
      <c r="Z190" s="120"/>
      <c r="AD190" s="120"/>
    </row>
    <row r="191" spans="1:30" s="111" customFormat="1" ht="18" customHeight="1">
      <c r="A191" s="5882" t="s">
        <v>275</v>
      </c>
      <c r="B191" s="5692" t="s">
        <v>127</v>
      </c>
      <c r="C191" s="5705" t="s">
        <v>667</v>
      </c>
      <c r="D191" s="5706"/>
      <c r="E191" s="5707"/>
      <c r="F191" s="5695" t="s">
        <v>667</v>
      </c>
      <c r="G191" s="5693"/>
      <c r="H191" s="5693"/>
      <c r="I191" s="5694"/>
      <c r="J191" s="5695" t="s">
        <v>667</v>
      </c>
      <c r="K191" s="5693"/>
      <c r="L191" s="5693"/>
      <c r="M191" s="5694"/>
      <c r="N191" s="5695" t="s">
        <v>668</v>
      </c>
      <c r="O191" s="5693"/>
      <c r="P191" s="5693"/>
      <c r="Q191" s="5694"/>
      <c r="R191" s="5695" t="s">
        <v>669</v>
      </c>
      <c r="S191" s="5693"/>
      <c r="T191" s="5693"/>
      <c r="U191" s="5696"/>
      <c r="V191" s="120"/>
      <c r="Z191" s="120"/>
      <c r="AD191" s="120"/>
    </row>
    <row r="192" spans="1:30" s="111" customFormat="1" ht="18" customHeight="1">
      <c r="A192" s="420" t="s">
        <v>280</v>
      </c>
      <c r="B192" s="5698" t="s">
        <v>123</v>
      </c>
      <c r="C192" s="5708" t="s">
        <v>661</v>
      </c>
      <c r="D192" s="5709"/>
      <c r="E192" s="5710"/>
      <c r="F192" s="5701" t="s">
        <v>661</v>
      </c>
      <c r="G192" s="5699"/>
      <c r="H192" s="5699"/>
      <c r="I192" s="5700"/>
      <c r="J192" s="5701" t="s">
        <v>661</v>
      </c>
      <c r="K192" s="5699"/>
      <c r="L192" s="5699"/>
      <c r="M192" s="5700"/>
      <c r="N192" s="5701" t="s">
        <v>662</v>
      </c>
      <c r="O192" s="5699"/>
      <c r="P192" s="5699"/>
      <c r="Q192" s="5700"/>
      <c r="R192" s="5701" t="s">
        <v>663</v>
      </c>
      <c r="S192" s="5699"/>
      <c r="T192" s="5699"/>
      <c r="U192" s="5702"/>
      <c r="Z192" s="120"/>
      <c r="AD192" s="120"/>
    </row>
    <row r="193" spans="1:31" s="111" customFormat="1" ht="18" customHeight="1">
      <c r="B193" s="1335"/>
      <c r="C193" s="1336"/>
      <c r="D193" s="1336"/>
      <c r="E193" s="1335"/>
      <c r="F193" s="1337"/>
      <c r="G193" s="1336"/>
      <c r="H193" s="1335"/>
      <c r="I193" s="1335"/>
      <c r="J193" s="1337"/>
      <c r="K193" s="1336"/>
      <c r="L193" s="1335"/>
      <c r="M193" s="1335"/>
      <c r="N193" s="1337"/>
      <c r="O193" s="1336"/>
      <c r="P193" s="1335"/>
      <c r="Q193" s="1335"/>
      <c r="R193" s="1337"/>
      <c r="S193" s="1336"/>
      <c r="T193" s="1335"/>
      <c r="U193" s="1335"/>
      <c r="Z193" s="120"/>
      <c r="AD193" s="120"/>
    </row>
    <row r="194" spans="1:31" ht="18" customHeight="1">
      <c r="A194" s="6320" t="s">
        <v>613</v>
      </c>
      <c r="B194" s="6321">
        <v>1</v>
      </c>
      <c r="C194" s="6321">
        <v>2</v>
      </c>
      <c r="D194" s="6321">
        <v>3</v>
      </c>
      <c r="E194" s="6321">
        <v>4</v>
      </c>
      <c r="F194" s="6322">
        <v>5</v>
      </c>
      <c r="G194" s="6322">
        <v>6</v>
      </c>
      <c r="H194" s="6321">
        <v>7</v>
      </c>
      <c r="I194" s="6321">
        <v>8</v>
      </c>
      <c r="J194" s="6321">
        <v>9</v>
      </c>
      <c r="K194" s="6321">
        <v>10</v>
      </c>
      <c r="L194" s="6321">
        <v>11</v>
      </c>
      <c r="M194" s="6322">
        <v>12</v>
      </c>
      <c r="N194" s="6322">
        <v>13</v>
      </c>
      <c r="O194" s="6321">
        <v>14</v>
      </c>
      <c r="P194" s="6321">
        <v>15</v>
      </c>
      <c r="Q194" s="6321">
        <v>16</v>
      </c>
      <c r="R194" s="6321">
        <v>17</v>
      </c>
      <c r="S194" s="6321">
        <v>18</v>
      </c>
      <c r="T194" s="6322">
        <v>19</v>
      </c>
      <c r="U194" s="6322">
        <v>20</v>
      </c>
      <c r="V194" s="6321">
        <v>21</v>
      </c>
      <c r="W194" s="6321">
        <v>22</v>
      </c>
      <c r="X194" s="6321">
        <v>23</v>
      </c>
      <c r="Y194" s="6321">
        <v>24</v>
      </c>
      <c r="Z194" s="6321">
        <v>25</v>
      </c>
      <c r="AA194" s="6322">
        <v>26</v>
      </c>
      <c r="AB194" s="6322">
        <v>27</v>
      </c>
      <c r="AC194" s="6321">
        <v>28</v>
      </c>
      <c r="AD194" s="6321">
        <v>29</v>
      </c>
      <c r="AE194" s="6321">
        <v>30</v>
      </c>
    </row>
    <row r="195" spans="1:31" ht="18" customHeight="1">
      <c r="A195" s="1439" t="s">
        <v>672</v>
      </c>
      <c r="B195" s="343" t="s">
        <v>257</v>
      </c>
      <c r="C195" s="343" t="s">
        <v>257</v>
      </c>
      <c r="D195" s="343" t="s">
        <v>257</v>
      </c>
      <c r="E195" s="343" t="s">
        <v>257</v>
      </c>
      <c r="F195" s="343"/>
      <c r="G195" s="343"/>
      <c r="H195" s="343" t="s">
        <v>257</v>
      </c>
      <c r="I195" s="343" t="s">
        <v>257</v>
      </c>
      <c r="J195" s="343" t="s">
        <v>257</v>
      </c>
      <c r="K195" s="343" t="s">
        <v>257</v>
      </c>
      <c r="L195" s="343" t="s">
        <v>257</v>
      </c>
      <c r="M195" s="343"/>
      <c r="N195" s="343"/>
      <c r="O195" s="343" t="s">
        <v>257</v>
      </c>
      <c r="P195" s="343" t="s">
        <v>257</v>
      </c>
      <c r="Q195" s="343" t="s">
        <v>257</v>
      </c>
      <c r="R195" s="343" t="s">
        <v>257</v>
      </c>
      <c r="S195" s="343" t="s">
        <v>257</v>
      </c>
      <c r="T195" s="343"/>
      <c r="U195" s="343"/>
      <c r="V195" s="343" t="s">
        <v>257</v>
      </c>
      <c r="W195" s="343" t="s">
        <v>257</v>
      </c>
      <c r="X195" s="343" t="s">
        <v>257</v>
      </c>
      <c r="Y195" s="343" t="s">
        <v>257</v>
      </c>
      <c r="Z195" s="343" t="s">
        <v>257</v>
      </c>
      <c r="AA195" s="343"/>
      <c r="AB195" s="343"/>
      <c r="AC195" s="343" t="s">
        <v>257</v>
      </c>
      <c r="AD195" s="343" t="s">
        <v>257</v>
      </c>
      <c r="AE195" s="343" t="s">
        <v>257</v>
      </c>
    </row>
    <row r="196" spans="1:31" ht="18" customHeight="1">
      <c r="A196" s="1440" t="s">
        <v>293</v>
      </c>
      <c r="B196" s="1441" t="s">
        <v>152</v>
      </c>
      <c r="C196" s="1442" t="s">
        <v>152</v>
      </c>
      <c r="D196" s="1442" t="s">
        <v>152</v>
      </c>
      <c r="E196" s="1442" t="s">
        <v>152</v>
      </c>
      <c r="F196" s="1441"/>
      <c r="G196" s="1441"/>
      <c r="H196" s="1442" t="s">
        <v>152</v>
      </c>
      <c r="I196" s="1442" t="s">
        <v>152</v>
      </c>
      <c r="J196" s="1442" t="s">
        <v>152</v>
      </c>
      <c r="K196" s="1442" t="s">
        <v>152</v>
      </c>
      <c r="L196" s="1442" t="s">
        <v>152</v>
      </c>
      <c r="M196" s="1441"/>
      <c r="N196" s="1441"/>
      <c r="O196" s="1442" t="s">
        <v>152</v>
      </c>
      <c r="P196" s="1442" t="s">
        <v>152</v>
      </c>
      <c r="Q196" s="1442" t="s">
        <v>152</v>
      </c>
      <c r="R196" s="1442" t="s">
        <v>152</v>
      </c>
      <c r="S196" s="1442" t="s">
        <v>152</v>
      </c>
      <c r="T196" s="1441"/>
      <c r="U196" s="1441"/>
      <c r="V196" s="1442" t="s">
        <v>152</v>
      </c>
      <c r="W196" s="1442" t="s">
        <v>152</v>
      </c>
      <c r="X196" s="1442" t="s">
        <v>152</v>
      </c>
      <c r="Y196" s="1442" t="s">
        <v>152</v>
      </c>
      <c r="Z196" s="1442" t="s">
        <v>152</v>
      </c>
      <c r="AA196" s="1441"/>
      <c r="AB196" s="1441"/>
      <c r="AC196" s="1442" t="s">
        <v>152</v>
      </c>
      <c r="AD196" s="1442" t="s">
        <v>152</v>
      </c>
      <c r="AE196" s="1442" t="s">
        <v>152</v>
      </c>
    </row>
    <row r="197" spans="1:31" ht="18" customHeight="1">
      <c r="A197" s="6112" t="s">
        <v>575</v>
      </c>
      <c r="B197" s="482" t="s">
        <v>130</v>
      </c>
      <c r="C197" s="482" t="s">
        <v>130</v>
      </c>
      <c r="D197" s="857" t="s">
        <v>130</v>
      </c>
      <c r="E197" s="857" t="s">
        <v>130</v>
      </c>
      <c r="F197" s="857"/>
      <c r="G197" s="857"/>
      <c r="H197" s="482" t="s">
        <v>130</v>
      </c>
      <c r="I197" s="482" t="s">
        <v>130</v>
      </c>
      <c r="J197" s="482" t="s">
        <v>130</v>
      </c>
      <c r="K197" s="857" t="s">
        <v>130</v>
      </c>
      <c r="L197" s="857" t="s">
        <v>130</v>
      </c>
      <c r="M197" s="857"/>
      <c r="N197" s="857"/>
      <c r="O197" s="482" t="s">
        <v>130</v>
      </c>
      <c r="P197" s="482" t="s">
        <v>130</v>
      </c>
      <c r="Q197" s="482" t="s">
        <v>130</v>
      </c>
      <c r="R197" s="857" t="s">
        <v>130</v>
      </c>
      <c r="S197" s="857" t="s">
        <v>130</v>
      </c>
      <c r="T197" s="857"/>
      <c r="U197" s="857"/>
      <c r="V197" s="482" t="s">
        <v>130</v>
      </c>
      <c r="W197" s="482" t="s">
        <v>130</v>
      </c>
      <c r="X197" s="482" t="s">
        <v>130</v>
      </c>
      <c r="Y197" s="857" t="s">
        <v>130</v>
      </c>
      <c r="Z197" s="857" t="s">
        <v>130</v>
      </c>
      <c r="AA197" s="857"/>
      <c r="AB197" s="857"/>
      <c r="AC197" s="482" t="s">
        <v>130</v>
      </c>
      <c r="AD197" s="482" t="s">
        <v>130</v>
      </c>
      <c r="AE197" s="482" t="s">
        <v>130</v>
      </c>
    </row>
    <row r="198" spans="1:31" ht="18" customHeight="1">
      <c r="A198" s="6113" t="s">
        <v>295</v>
      </c>
      <c r="B198" s="5602" t="s">
        <v>153</v>
      </c>
      <c r="C198" s="5602" t="s">
        <v>153</v>
      </c>
      <c r="D198" s="5602" t="s">
        <v>153</v>
      </c>
      <c r="E198" s="5602" t="s">
        <v>153</v>
      </c>
      <c r="F198" s="5602"/>
      <c r="G198" s="5602"/>
      <c r="H198" s="5602" t="s">
        <v>153</v>
      </c>
      <c r="I198" s="5602" t="s">
        <v>153</v>
      </c>
      <c r="J198" s="5602" t="s">
        <v>153</v>
      </c>
      <c r="K198" s="5602" t="s">
        <v>153</v>
      </c>
      <c r="L198" s="5602" t="s">
        <v>153</v>
      </c>
      <c r="M198" s="5602"/>
      <c r="N198" s="5602"/>
      <c r="O198" s="5602" t="s">
        <v>153</v>
      </c>
      <c r="P198" s="5602" t="s">
        <v>153</v>
      </c>
      <c r="Q198" s="5602" t="s">
        <v>153</v>
      </c>
      <c r="R198" s="5602" t="s">
        <v>153</v>
      </c>
      <c r="S198" s="5602" t="s">
        <v>153</v>
      </c>
      <c r="T198" s="5602"/>
      <c r="U198" s="5602"/>
      <c r="V198" s="5602" t="s">
        <v>153</v>
      </c>
      <c r="W198" s="5602" t="s">
        <v>153</v>
      </c>
      <c r="X198" s="5602" t="s">
        <v>153</v>
      </c>
      <c r="Y198" s="5602" t="s">
        <v>153</v>
      </c>
      <c r="Z198" s="5602" t="s">
        <v>153</v>
      </c>
      <c r="AA198" s="5602"/>
      <c r="AB198" s="5602"/>
      <c r="AC198" s="5602" t="s">
        <v>153</v>
      </c>
      <c r="AD198" s="5602" t="s">
        <v>153</v>
      </c>
      <c r="AE198" s="5602" t="s">
        <v>153</v>
      </c>
    </row>
    <row r="199" spans="1:31" ht="18" customHeight="1">
      <c r="A199" s="5759" t="s">
        <v>553</v>
      </c>
      <c r="B199" s="5602" t="s">
        <v>128</v>
      </c>
      <c r="C199" s="5602" t="s">
        <v>128</v>
      </c>
      <c r="D199" s="5602" t="s">
        <v>128</v>
      </c>
      <c r="E199" s="5602" t="s">
        <v>128</v>
      </c>
      <c r="F199" s="5602"/>
      <c r="G199" s="5602"/>
      <c r="H199" s="5602" t="s">
        <v>128</v>
      </c>
      <c r="I199" s="5602" t="s">
        <v>128</v>
      </c>
      <c r="J199" s="5602" t="s">
        <v>128</v>
      </c>
      <c r="K199" s="5602" t="s">
        <v>128</v>
      </c>
      <c r="L199" s="5602" t="s">
        <v>128</v>
      </c>
      <c r="M199" s="5602"/>
      <c r="N199" s="5602"/>
      <c r="O199" s="5602" t="s">
        <v>128</v>
      </c>
      <c r="P199" s="5602" t="s">
        <v>128</v>
      </c>
      <c r="Q199" s="5602" t="s">
        <v>128</v>
      </c>
      <c r="R199" s="5602" t="s">
        <v>128</v>
      </c>
      <c r="S199" s="5602" t="s">
        <v>128</v>
      </c>
      <c r="T199" s="5602"/>
      <c r="U199" s="5602"/>
      <c r="V199" s="5602" t="s">
        <v>128</v>
      </c>
      <c r="W199" s="5602" t="s">
        <v>128</v>
      </c>
      <c r="X199" s="5602" t="s">
        <v>128</v>
      </c>
      <c r="Y199" s="5602" t="s">
        <v>128</v>
      </c>
      <c r="Z199" s="5602" t="s">
        <v>128</v>
      </c>
      <c r="AA199" s="5602"/>
      <c r="AB199" s="5602"/>
      <c r="AC199" s="5602" t="s">
        <v>128</v>
      </c>
      <c r="AD199" s="5602" t="s">
        <v>128</v>
      </c>
      <c r="AE199" s="5602" t="s">
        <v>128</v>
      </c>
    </row>
    <row r="200" spans="1:31" ht="18" customHeight="1">
      <c r="A200" s="6114" t="s">
        <v>298</v>
      </c>
      <c r="B200" s="5602" t="s">
        <v>127</v>
      </c>
      <c r="C200" s="5602" t="s">
        <v>127</v>
      </c>
      <c r="D200" s="5602" t="s">
        <v>127</v>
      </c>
      <c r="E200" s="5602" t="s">
        <v>127</v>
      </c>
      <c r="F200" s="5602"/>
      <c r="G200" s="5602"/>
      <c r="H200" s="5602" t="s">
        <v>127</v>
      </c>
      <c r="I200" s="5602" t="s">
        <v>127</v>
      </c>
      <c r="J200" s="5602" t="s">
        <v>127</v>
      </c>
      <c r="K200" s="5602" t="s">
        <v>127</v>
      </c>
      <c r="L200" s="5602" t="s">
        <v>127</v>
      </c>
      <c r="M200" s="5602"/>
      <c r="N200" s="5602"/>
      <c r="O200" s="5602" t="s">
        <v>127</v>
      </c>
      <c r="P200" s="5602" t="s">
        <v>127</v>
      </c>
      <c r="Q200" s="5602" t="s">
        <v>127</v>
      </c>
      <c r="R200" s="5602" t="s">
        <v>127</v>
      </c>
      <c r="S200" s="5602" t="s">
        <v>127</v>
      </c>
      <c r="T200" s="5602"/>
      <c r="U200" s="5602"/>
      <c r="V200" s="5602" t="s">
        <v>127</v>
      </c>
      <c r="W200" s="5602" t="s">
        <v>127</v>
      </c>
      <c r="X200" s="5602" t="s">
        <v>127</v>
      </c>
      <c r="Y200" s="5602" t="s">
        <v>127</v>
      </c>
      <c r="Z200" s="5602" t="s">
        <v>127</v>
      </c>
      <c r="AA200" s="5602"/>
      <c r="AB200" s="5602"/>
      <c r="AC200" s="5602" t="s">
        <v>127</v>
      </c>
      <c r="AD200" s="5602" t="s">
        <v>127</v>
      </c>
      <c r="AE200" s="5602" t="s">
        <v>127</v>
      </c>
    </row>
    <row r="201" spans="1:31" ht="18" customHeight="1">
      <c r="A201" s="6115" t="s">
        <v>299</v>
      </c>
      <c r="B201" s="5602" t="s">
        <v>123</v>
      </c>
      <c r="C201" s="5602" t="s">
        <v>123</v>
      </c>
      <c r="D201" s="5602" t="s">
        <v>123</v>
      </c>
      <c r="E201" s="5602" t="s">
        <v>123</v>
      </c>
      <c r="F201" s="5602"/>
      <c r="G201" s="5602"/>
      <c r="H201" s="5602" t="s">
        <v>123</v>
      </c>
      <c r="I201" s="5602" t="s">
        <v>123</v>
      </c>
      <c r="J201" s="5602" t="s">
        <v>123</v>
      </c>
      <c r="K201" s="5602" t="s">
        <v>123</v>
      </c>
      <c r="L201" s="5602" t="s">
        <v>123</v>
      </c>
      <c r="M201" s="5602"/>
      <c r="N201" s="5602"/>
      <c r="O201" s="5602" t="s">
        <v>123</v>
      </c>
      <c r="P201" s="5602" t="s">
        <v>123</v>
      </c>
      <c r="Q201" s="5602" t="s">
        <v>123</v>
      </c>
      <c r="R201" s="5602" t="s">
        <v>123</v>
      </c>
      <c r="S201" s="5602" t="s">
        <v>123</v>
      </c>
      <c r="T201" s="5602"/>
      <c r="U201" s="5602"/>
      <c r="V201" s="5602" t="s">
        <v>123</v>
      </c>
      <c r="W201" s="5602" t="s">
        <v>123</v>
      </c>
      <c r="X201" s="5602" t="s">
        <v>123</v>
      </c>
      <c r="Y201" s="5602" t="s">
        <v>123</v>
      </c>
      <c r="Z201" s="5602" t="s">
        <v>123</v>
      </c>
      <c r="AA201" s="5602"/>
      <c r="AB201" s="5602"/>
      <c r="AC201" s="5602" t="s">
        <v>123</v>
      </c>
      <c r="AD201" s="5602" t="s">
        <v>123</v>
      </c>
      <c r="AE201" s="5602" t="s">
        <v>123</v>
      </c>
    </row>
    <row r="203" spans="1:31" ht="18" customHeight="1" thickBot="1"/>
    <row r="204" spans="1:31" ht="18" customHeight="1">
      <c r="A204" s="6323" t="s">
        <v>303</v>
      </c>
      <c r="B204" s="6176"/>
      <c r="C204" s="6192" t="s">
        <v>19</v>
      </c>
      <c r="D204" s="6235"/>
      <c r="E204" s="6180"/>
      <c r="F204" s="6176"/>
      <c r="G204" s="6192" t="s">
        <v>20</v>
      </c>
      <c r="H204" s="6235"/>
      <c r="I204" s="6180"/>
      <c r="J204" s="6176"/>
      <c r="K204" s="6192" t="s">
        <v>21</v>
      </c>
      <c r="L204" s="6235"/>
      <c r="M204" s="6180"/>
      <c r="N204" s="6176"/>
      <c r="O204" s="6192" t="s">
        <v>22</v>
      </c>
      <c r="P204" s="6235"/>
      <c r="Q204" s="6180"/>
      <c r="R204" s="6176"/>
      <c r="S204" s="6192" t="s">
        <v>23</v>
      </c>
      <c r="T204" s="6235"/>
      <c r="U204" s="6180"/>
      <c r="V204" s="6176"/>
      <c r="W204" s="6192" t="s">
        <v>24</v>
      </c>
      <c r="X204" s="6235"/>
      <c r="Y204" s="6180"/>
      <c r="Z204" s="6176"/>
      <c r="AA204" s="6192" t="s">
        <v>25</v>
      </c>
      <c r="AB204" s="6235"/>
      <c r="AC204" s="6235"/>
      <c r="AD204" s="6195" t="s">
        <v>108</v>
      </c>
      <c r="AE204" s="6235"/>
    </row>
    <row r="205" spans="1:31" ht="18" customHeight="1">
      <c r="A205" s="6324" t="s">
        <v>210</v>
      </c>
      <c r="B205" s="543" t="s">
        <v>332</v>
      </c>
      <c r="C205" s="539"/>
      <c r="D205" s="544"/>
      <c r="E205" s="545"/>
      <c r="F205" s="543" t="s">
        <v>332</v>
      </c>
      <c r="G205" s="539"/>
      <c r="H205" s="544"/>
      <c r="I205" s="545"/>
      <c r="J205" s="543" t="s">
        <v>332</v>
      </c>
      <c r="K205" s="539"/>
      <c r="L205" s="544"/>
      <c r="M205" s="545"/>
      <c r="N205" s="543" t="s">
        <v>332</v>
      </c>
      <c r="O205" s="546"/>
      <c r="P205" s="544"/>
      <c r="Q205" s="545"/>
      <c r="R205" s="547" t="s">
        <v>333</v>
      </c>
      <c r="S205" s="539"/>
      <c r="T205" s="544"/>
      <c r="U205" s="545"/>
      <c r="V205" s="541"/>
      <c r="W205" s="539"/>
      <c r="X205" s="531"/>
      <c r="Y205" s="540"/>
      <c r="Z205" s="541"/>
      <c r="AA205" s="539"/>
      <c r="AB205" s="531"/>
      <c r="AC205" s="531"/>
      <c r="AD205" s="542"/>
      <c r="AE205" s="531"/>
    </row>
    <row r="206" spans="1:31" ht="18" customHeight="1">
      <c r="A206" s="6324" t="s">
        <v>212</v>
      </c>
      <c r="B206" s="6316" t="s">
        <v>215</v>
      </c>
      <c r="C206" s="6325"/>
      <c r="D206" s="544"/>
      <c r="E206" s="545"/>
      <c r="F206" s="6316" t="s">
        <v>215</v>
      </c>
      <c r="G206" s="539"/>
      <c r="H206" s="544"/>
      <c r="I206" s="545"/>
      <c r="J206" s="6316" t="s">
        <v>215</v>
      </c>
      <c r="K206" s="539"/>
      <c r="L206" s="544"/>
      <c r="M206" s="545"/>
      <c r="N206" s="6316" t="s">
        <v>215</v>
      </c>
      <c r="O206" s="539"/>
      <c r="P206" s="544"/>
      <c r="Q206" s="545"/>
      <c r="R206" s="543" t="s">
        <v>701</v>
      </c>
      <c r="S206" s="539"/>
      <c r="T206" s="544"/>
      <c r="U206" s="545"/>
      <c r="V206" s="541"/>
      <c r="W206" s="539"/>
      <c r="X206" s="531"/>
      <c r="Y206" s="540"/>
      <c r="Z206" s="541"/>
      <c r="AA206" s="539"/>
      <c r="AB206" s="531"/>
      <c r="AC206" s="531"/>
      <c r="AD206" s="542"/>
      <c r="AE206" s="531"/>
    </row>
    <row r="207" spans="1:31" ht="18" customHeight="1" thickBot="1">
      <c r="A207" s="6326" t="s">
        <v>214</v>
      </c>
      <c r="B207" s="6316" t="s">
        <v>219</v>
      </c>
      <c r="C207" s="6325"/>
      <c r="D207" s="544"/>
      <c r="E207" s="545"/>
      <c r="F207" s="6316" t="s">
        <v>219</v>
      </c>
      <c r="G207" s="539"/>
      <c r="H207" s="544"/>
      <c r="I207" s="545"/>
      <c r="J207" s="6316" t="s">
        <v>219</v>
      </c>
      <c r="K207" s="539"/>
      <c r="L207" s="544"/>
      <c r="M207" s="545"/>
      <c r="N207" s="6316" t="s">
        <v>219</v>
      </c>
      <c r="O207" s="539"/>
      <c r="P207" s="544"/>
      <c r="Q207" s="545"/>
      <c r="R207" s="6316" t="s">
        <v>211</v>
      </c>
      <c r="S207" s="539"/>
      <c r="T207" s="544"/>
      <c r="U207" s="545"/>
      <c r="V207" s="541"/>
      <c r="W207" s="539"/>
      <c r="X207" s="531"/>
      <c r="Y207" s="540"/>
      <c r="Z207" s="541"/>
      <c r="AA207" s="539"/>
      <c r="AB207" s="531"/>
      <c r="AC207" s="531"/>
      <c r="AD207" s="542"/>
      <c r="AE207" s="531"/>
    </row>
    <row r="208" spans="1:31" ht="18" customHeight="1">
      <c r="A208" s="6324"/>
      <c r="B208" s="6282"/>
      <c r="C208" s="6281"/>
      <c r="D208" s="531"/>
      <c r="E208" s="540"/>
      <c r="F208" s="6282"/>
      <c r="G208" s="6281"/>
      <c r="H208" s="531"/>
      <c r="I208" s="540"/>
      <c r="J208" s="6282"/>
      <c r="K208" s="6281"/>
      <c r="L208" s="531"/>
      <c r="M208" s="540"/>
      <c r="N208" s="6282"/>
      <c r="O208" s="6281"/>
      <c r="P208" s="531"/>
      <c r="Q208" s="540"/>
      <c r="R208" s="6282"/>
      <c r="S208" s="6281"/>
      <c r="T208" s="531"/>
      <c r="U208" s="540"/>
      <c r="V208" s="541"/>
      <c r="W208" s="539"/>
      <c r="X208" s="531"/>
      <c r="Y208" s="540"/>
      <c r="Z208" s="541"/>
      <c r="AA208" s="539"/>
      <c r="AB208" s="531"/>
      <c r="AC208" s="531"/>
      <c r="AD208" s="542"/>
      <c r="AE208" s="531"/>
    </row>
    <row r="209" spans="1:31" ht="18" customHeight="1" thickBot="1"/>
    <row r="210" spans="1:31" ht="18" customHeight="1" thickBot="1">
      <c r="A210" s="6327" t="s">
        <v>615</v>
      </c>
      <c r="B210" s="2985">
        <v>1</v>
      </c>
      <c r="C210" s="2985">
        <v>2</v>
      </c>
      <c r="D210" s="2985">
        <v>3</v>
      </c>
      <c r="E210" s="2985">
        <v>4</v>
      </c>
      <c r="F210" s="2986">
        <v>5</v>
      </c>
      <c r="G210" s="2986">
        <v>6</v>
      </c>
      <c r="H210" s="2985">
        <v>7</v>
      </c>
      <c r="I210" s="2985">
        <v>8</v>
      </c>
      <c r="J210" s="2985">
        <v>9</v>
      </c>
      <c r="K210" s="2985">
        <v>10</v>
      </c>
      <c r="L210" s="2985">
        <v>11</v>
      </c>
      <c r="M210" s="2986">
        <v>12</v>
      </c>
      <c r="N210" s="2986">
        <v>13</v>
      </c>
      <c r="O210" s="2985">
        <v>14</v>
      </c>
      <c r="P210" s="2985">
        <v>15</v>
      </c>
      <c r="Q210" s="2985">
        <v>16</v>
      </c>
      <c r="R210" s="2985">
        <v>17</v>
      </c>
      <c r="S210" s="2985">
        <v>18</v>
      </c>
      <c r="T210" s="2986">
        <v>19</v>
      </c>
      <c r="U210" s="2986">
        <v>20</v>
      </c>
      <c r="V210" s="2985">
        <v>21</v>
      </c>
      <c r="W210" s="2985">
        <v>22</v>
      </c>
      <c r="X210" s="2985">
        <v>23</v>
      </c>
      <c r="Y210" s="2985">
        <v>24</v>
      </c>
      <c r="Z210" s="2985">
        <v>25</v>
      </c>
      <c r="AA210" s="2986">
        <v>26</v>
      </c>
      <c r="AB210" s="2986">
        <v>27</v>
      </c>
      <c r="AC210" s="2985">
        <v>28</v>
      </c>
      <c r="AD210" s="2985">
        <v>29</v>
      </c>
      <c r="AE210" s="2985">
        <v>30</v>
      </c>
    </row>
    <row r="211" spans="1:31" ht="18" customHeight="1">
      <c r="A211" s="6212" t="s">
        <v>338</v>
      </c>
      <c r="B211" s="6228" t="s">
        <v>40</v>
      </c>
      <c r="C211" s="6228" t="s">
        <v>40</v>
      </c>
      <c r="D211" s="6228" t="s">
        <v>40</v>
      </c>
      <c r="E211" s="6228" t="s">
        <v>40</v>
      </c>
      <c r="F211" s="6228"/>
      <c r="G211" s="6043"/>
      <c r="H211" s="6043" t="s">
        <v>40</v>
      </c>
      <c r="I211" s="6228" t="s">
        <v>40</v>
      </c>
      <c r="J211" s="6228" t="s">
        <v>40</v>
      </c>
      <c r="K211" s="6228" t="s">
        <v>40</v>
      </c>
      <c r="L211" s="6228" t="s">
        <v>40</v>
      </c>
      <c r="M211" s="6228"/>
      <c r="N211" s="6043"/>
      <c r="O211" s="6043" t="s">
        <v>40</v>
      </c>
      <c r="P211" s="6228" t="s">
        <v>40</v>
      </c>
      <c r="Q211" s="6228" t="s">
        <v>40</v>
      </c>
      <c r="R211" s="6228" t="s">
        <v>40</v>
      </c>
      <c r="S211" s="6228" t="s">
        <v>40</v>
      </c>
      <c r="T211" s="6228"/>
      <c r="U211" s="6043"/>
      <c r="V211" s="6043" t="s">
        <v>40</v>
      </c>
      <c r="W211" s="6228" t="s">
        <v>40</v>
      </c>
      <c r="X211" s="6228" t="s">
        <v>40</v>
      </c>
      <c r="Y211" s="6228" t="s">
        <v>40</v>
      </c>
      <c r="Z211" s="6228" t="s">
        <v>40</v>
      </c>
      <c r="AA211" s="6228"/>
      <c r="AB211" s="6043"/>
      <c r="AC211" s="6043" t="s">
        <v>40</v>
      </c>
      <c r="AD211" s="6228" t="s">
        <v>40</v>
      </c>
      <c r="AE211" s="6228" t="s">
        <v>40</v>
      </c>
    </row>
    <row r="212" spans="1:31" ht="18" customHeight="1">
      <c r="A212" s="6328" t="s">
        <v>339</v>
      </c>
      <c r="B212" s="6329"/>
      <c r="C212" s="6329"/>
      <c r="D212" s="6329"/>
      <c r="E212" s="6329"/>
      <c r="F212" s="6329"/>
      <c r="G212" s="6329"/>
      <c r="H212" s="6329"/>
      <c r="I212" s="6329"/>
      <c r="J212" s="6329"/>
      <c r="K212" s="6329"/>
      <c r="L212" s="6329"/>
      <c r="M212" s="6329"/>
      <c r="N212" s="6329"/>
      <c r="O212" s="6329"/>
      <c r="P212" s="6329"/>
      <c r="Q212" s="6329"/>
      <c r="R212" s="6329"/>
      <c r="S212" s="6329"/>
      <c r="T212" s="6329"/>
      <c r="U212" s="6329"/>
      <c r="V212" s="6329"/>
      <c r="W212" s="6329"/>
      <c r="X212" s="6329"/>
      <c r="Y212" s="6329"/>
      <c r="Z212" s="6329"/>
      <c r="AA212" s="6329"/>
      <c r="AB212" s="6329"/>
      <c r="AC212" s="6329"/>
      <c r="AD212" s="6329"/>
      <c r="AE212" s="6329"/>
    </row>
    <row r="213" spans="1:31" ht="18" customHeight="1">
      <c r="A213" s="6124" t="s">
        <v>340</v>
      </c>
      <c r="B213" s="6228" t="s">
        <v>341</v>
      </c>
      <c r="C213" s="6228" t="s">
        <v>341</v>
      </c>
      <c r="D213" s="6228" t="s">
        <v>341</v>
      </c>
      <c r="E213" s="6228" t="s">
        <v>341</v>
      </c>
      <c r="F213" s="6228"/>
      <c r="G213" s="6043"/>
      <c r="H213" s="6043" t="s">
        <v>341</v>
      </c>
      <c r="I213" s="6228" t="s">
        <v>341</v>
      </c>
      <c r="J213" s="6228" t="s">
        <v>341</v>
      </c>
      <c r="K213" s="6228" t="s">
        <v>341</v>
      </c>
      <c r="L213" s="6228" t="s">
        <v>341</v>
      </c>
      <c r="M213" s="6228"/>
      <c r="N213" s="6043"/>
      <c r="O213" s="6043" t="s">
        <v>341</v>
      </c>
      <c r="P213" s="6228" t="s">
        <v>341</v>
      </c>
      <c r="Q213" s="6228" t="s">
        <v>341</v>
      </c>
      <c r="R213" s="6228" t="s">
        <v>341</v>
      </c>
      <c r="S213" s="6228" t="s">
        <v>341</v>
      </c>
      <c r="T213" s="6228"/>
      <c r="U213" s="6043"/>
      <c r="V213" s="6043" t="s">
        <v>341</v>
      </c>
      <c r="W213" s="6228" t="s">
        <v>341</v>
      </c>
      <c r="X213" s="6228" t="s">
        <v>341</v>
      </c>
      <c r="Y213" s="6228" t="s">
        <v>341</v>
      </c>
      <c r="Z213" s="6228" t="s">
        <v>341</v>
      </c>
      <c r="AA213" s="6228"/>
      <c r="AB213" s="6043"/>
      <c r="AC213" s="6043" t="s">
        <v>341</v>
      </c>
      <c r="AD213" s="6228" t="s">
        <v>341</v>
      </c>
      <c r="AE213" s="6228" t="s">
        <v>341</v>
      </c>
    </row>
    <row r="214" spans="1:31" ht="18" customHeight="1">
      <c r="A214" s="6124" t="s">
        <v>343</v>
      </c>
      <c r="B214" s="6228" t="s">
        <v>342</v>
      </c>
      <c r="C214" s="6228" t="s">
        <v>342</v>
      </c>
      <c r="D214" s="6228" t="s">
        <v>342</v>
      </c>
      <c r="E214" s="6228" t="s">
        <v>342</v>
      </c>
      <c r="F214" s="6228"/>
      <c r="G214" s="6228"/>
      <c r="H214" s="6228" t="s">
        <v>342</v>
      </c>
      <c r="I214" s="6228" t="s">
        <v>342</v>
      </c>
      <c r="J214" s="6228" t="s">
        <v>342</v>
      </c>
      <c r="K214" s="6228" t="s">
        <v>342</v>
      </c>
      <c r="L214" s="6228" t="s">
        <v>342</v>
      </c>
      <c r="M214" s="6228"/>
      <c r="N214" s="6228"/>
      <c r="O214" s="6228" t="s">
        <v>342</v>
      </c>
      <c r="P214" s="6228" t="s">
        <v>342</v>
      </c>
      <c r="Q214" s="6228" t="s">
        <v>342</v>
      </c>
      <c r="R214" s="6228" t="s">
        <v>342</v>
      </c>
      <c r="S214" s="6228" t="s">
        <v>342</v>
      </c>
      <c r="T214" s="6228"/>
      <c r="U214" s="6228"/>
      <c r="V214" s="6228" t="s">
        <v>342</v>
      </c>
      <c r="W214" s="6228" t="s">
        <v>342</v>
      </c>
      <c r="X214" s="6228" t="s">
        <v>342</v>
      </c>
      <c r="Y214" s="6228" t="s">
        <v>342</v>
      </c>
      <c r="Z214" s="6228" t="s">
        <v>342</v>
      </c>
      <c r="AA214" s="6228"/>
      <c r="AB214" s="6228"/>
      <c r="AC214" s="6228" t="s">
        <v>342</v>
      </c>
      <c r="AD214" s="6228" t="s">
        <v>342</v>
      </c>
      <c r="AE214" s="6228" t="s">
        <v>342</v>
      </c>
    </row>
    <row r="215" spans="1:31" ht="18" customHeight="1" thickBot="1">
      <c r="A215" s="6278"/>
      <c r="B215" s="6262" t="s">
        <v>346</v>
      </c>
      <c r="C215" s="6262" t="s">
        <v>346</v>
      </c>
      <c r="D215" s="6262" t="s">
        <v>346</v>
      </c>
      <c r="E215" s="6262" t="s">
        <v>346</v>
      </c>
      <c r="F215" s="6262"/>
      <c r="G215" s="6216"/>
      <c r="H215" s="6216" t="s">
        <v>346</v>
      </c>
      <c r="I215" s="6262" t="s">
        <v>346</v>
      </c>
      <c r="J215" s="6262" t="s">
        <v>346</v>
      </c>
      <c r="K215" s="6262" t="s">
        <v>346</v>
      </c>
      <c r="L215" s="6262" t="s">
        <v>346</v>
      </c>
      <c r="M215" s="6262"/>
      <c r="N215" s="6216"/>
      <c r="O215" s="6216" t="s">
        <v>346</v>
      </c>
      <c r="P215" s="6262" t="s">
        <v>346</v>
      </c>
      <c r="Q215" s="6262" t="s">
        <v>346</v>
      </c>
      <c r="R215" s="6262" t="s">
        <v>346</v>
      </c>
      <c r="S215" s="6262" t="s">
        <v>346</v>
      </c>
      <c r="T215" s="6262"/>
      <c r="U215" s="6216"/>
      <c r="V215" s="6216" t="s">
        <v>346</v>
      </c>
      <c r="W215" s="6262" t="s">
        <v>346</v>
      </c>
      <c r="X215" s="6262" t="s">
        <v>346</v>
      </c>
      <c r="Y215" s="6262" t="s">
        <v>346</v>
      </c>
      <c r="Z215" s="6262" t="s">
        <v>346</v>
      </c>
      <c r="AA215" s="6262"/>
      <c r="AB215" s="6216"/>
      <c r="AC215" s="6216" t="s">
        <v>346</v>
      </c>
      <c r="AD215" s="6262" t="s">
        <v>346</v>
      </c>
      <c r="AE215" s="6262" t="s">
        <v>346</v>
      </c>
    </row>
    <row r="216" spans="1:31" ht="18" customHeight="1" thickBot="1">
      <c r="B216" s="108"/>
      <c r="C216" s="108"/>
      <c r="D216" s="108"/>
      <c r="E216" s="108"/>
      <c r="F216" s="108"/>
      <c r="G216" s="108"/>
      <c r="H216" s="108"/>
      <c r="I216" s="108"/>
      <c r="J216" s="108"/>
      <c r="K216" s="108"/>
      <c r="L216" s="108"/>
      <c r="M216" s="108"/>
      <c r="N216" s="108"/>
      <c r="O216" s="108"/>
      <c r="P216" s="108"/>
      <c r="Q216" s="108"/>
      <c r="R216" s="108"/>
      <c r="S216" s="108"/>
      <c r="T216" s="108"/>
      <c r="U216" s="108"/>
      <c r="V216" s="108"/>
      <c r="W216" s="108"/>
      <c r="X216" s="108"/>
      <c r="Y216" s="108"/>
      <c r="Z216" s="108"/>
      <c r="AA216" s="108"/>
      <c r="AB216" s="108"/>
      <c r="AC216" s="108"/>
      <c r="AD216" s="108"/>
      <c r="AE216" s="108"/>
    </row>
    <row r="217" spans="1:31" ht="15">
      <c r="A217" s="991" t="s">
        <v>614</v>
      </c>
      <c r="B217" s="450">
        <v>1</v>
      </c>
      <c r="C217" s="450">
        <v>2</v>
      </c>
      <c r="D217" s="783">
        <v>3</v>
      </c>
      <c r="E217" s="783">
        <v>4</v>
      </c>
      <c r="F217" s="783">
        <v>5</v>
      </c>
      <c r="G217" s="783">
        <v>6</v>
      </c>
      <c r="H217" s="783">
        <v>7</v>
      </c>
      <c r="I217" s="450">
        <v>8</v>
      </c>
      <c r="J217" s="450">
        <v>9</v>
      </c>
      <c r="K217" s="783">
        <v>10</v>
      </c>
      <c r="L217" s="783">
        <v>11</v>
      </c>
      <c r="M217" s="783">
        <v>12</v>
      </c>
      <c r="N217" s="783">
        <v>13</v>
      </c>
      <c r="O217" s="783">
        <v>14</v>
      </c>
      <c r="P217" s="450">
        <v>15</v>
      </c>
      <c r="Q217" s="450">
        <v>16</v>
      </c>
      <c r="R217" s="783">
        <v>17</v>
      </c>
      <c r="S217" s="783">
        <v>18</v>
      </c>
      <c r="T217" s="783">
        <v>19</v>
      </c>
      <c r="U217" s="783">
        <v>20</v>
      </c>
      <c r="V217" s="783">
        <v>21</v>
      </c>
      <c r="W217" s="450">
        <v>22</v>
      </c>
      <c r="X217" s="450">
        <v>23</v>
      </c>
      <c r="Y217" s="783">
        <v>24</v>
      </c>
      <c r="Z217" s="783">
        <v>25</v>
      </c>
      <c r="AA217" s="783">
        <v>26</v>
      </c>
      <c r="AB217" s="783">
        <v>27</v>
      </c>
      <c r="AC217" s="783">
        <v>28</v>
      </c>
      <c r="AD217" s="450">
        <v>29</v>
      </c>
      <c r="AE217" s="1007">
        <v>30</v>
      </c>
    </row>
    <row r="218" spans="1:31" ht="12.75">
      <c r="A218" s="993" t="s">
        <v>312</v>
      </c>
      <c r="B218" s="994"/>
      <c r="C218" s="994"/>
      <c r="D218" s="994"/>
      <c r="E218" s="995"/>
      <c r="F218" s="995"/>
      <c r="G218" s="995"/>
      <c r="H218" s="994"/>
      <c r="I218" s="994"/>
      <c r="J218" s="994"/>
      <c r="K218" s="995"/>
      <c r="L218" s="995"/>
      <c r="M218" s="995"/>
      <c r="N218" s="995"/>
      <c r="O218" s="995"/>
      <c r="P218" s="995"/>
      <c r="Q218" s="995"/>
      <c r="R218" s="995"/>
      <c r="S218" s="995"/>
      <c r="T218" s="995"/>
      <c r="U218" s="996"/>
      <c r="V218" s="995"/>
      <c r="W218" s="995"/>
      <c r="X218" s="995"/>
      <c r="Y218" s="995"/>
      <c r="Z218" s="995"/>
      <c r="AA218" s="995"/>
      <c r="AB218" s="995"/>
      <c r="AC218" s="995"/>
      <c r="AD218" s="995"/>
      <c r="AE218" s="998"/>
    </row>
    <row r="219" spans="1:31">
      <c r="A219" s="992" t="s">
        <v>313</v>
      </c>
      <c r="B219" s="343"/>
      <c r="C219" s="343"/>
      <c r="D219" s="343" t="s">
        <v>40</v>
      </c>
      <c r="E219" s="343" t="s">
        <v>40</v>
      </c>
      <c r="F219" s="343" t="s">
        <v>40</v>
      </c>
      <c r="G219" s="343" t="s">
        <v>40</v>
      </c>
      <c r="H219" s="343" t="s">
        <v>40</v>
      </c>
      <c r="I219" s="343"/>
      <c r="J219" s="343"/>
      <c r="K219" s="438" t="s">
        <v>40</v>
      </c>
      <c r="L219" s="343" t="s">
        <v>40</v>
      </c>
      <c r="M219" s="343" t="s">
        <v>40</v>
      </c>
      <c r="N219" s="438" t="s">
        <v>40</v>
      </c>
      <c r="O219" s="438" t="s">
        <v>40</v>
      </c>
      <c r="P219" s="438"/>
      <c r="Q219" s="438"/>
      <c r="R219" s="438" t="s">
        <v>40</v>
      </c>
      <c r="S219" s="438" t="s">
        <v>40</v>
      </c>
      <c r="T219" s="438" t="s">
        <v>40</v>
      </c>
      <c r="U219" s="438" t="s">
        <v>40</v>
      </c>
      <c r="V219" s="438" t="s">
        <v>40</v>
      </c>
      <c r="W219" s="438"/>
      <c r="X219" s="438"/>
      <c r="Y219" s="438" t="s">
        <v>40</v>
      </c>
      <c r="Z219" s="438" t="s">
        <v>40</v>
      </c>
      <c r="AA219" s="438" t="s">
        <v>40</v>
      </c>
      <c r="AB219" s="438" t="s">
        <v>40</v>
      </c>
      <c r="AC219" s="343" t="s">
        <v>40</v>
      </c>
      <c r="AD219" s="438"/>
      <c r="AE219" s="357"/>
    </row>
    <row r="220" spans="1:31" ht="12.75">
      <c r="A220" s="999" t="s">
        <v>314</v>
      </c>
      <c r="B220" s="1000"/>
      <c r="C220" s="1000"/>
      <c r="D220" s="1000"/>
      <c r="E220" s="1000"/>
      <c r="F220" s="1000"/>
      <c r="G220" s="1000"/>
      <c r="H220" s="1000"/>
      <c r="I220" s="1000"/>
      <c r="J220" s="1000"/>
      <c r="K220" s="1000"/>
      <c r="L220" s="1000"/>
      <c r="M220" s="1000"/>
      <c r="N220" s="1000"/>
      <c r="O220" s="1000"/>
      <c r="P220" s="1000"/>
      <c r="Q220" s="1000"/>
      <c r="R220" s="1000"/>
      <c r="S220" s="1000"/>
      <c r="T220" s="1000"/>
      <c r="U220" s="1000"/>
      <c r="V220" s="1000"/>
      <c r="W220" s="1000"/>
      <c r="X220" s="1000"/>
      <c r="Y220" s="1000"/>
      <c r="Z220" s="1000"/>
      <c r="AA220" s="1000"/>
      <c r="AB220" s="1000"/>
      <c r="AC220" s="738"/>
      <c r="AD220" s="1000"/>
      <c r="AE220" s="749"/>
    </row>
    <row r="221" spans="1:31">
      <c r="A221" s="1001" t="s">
        <v>315</v>
      </c>
      <c r="B221" s="343"/>
      <c r="C221" s="343"/>
      <c r="D221" s="343" t="s">
        <v>40</v>
      </c>
      <c r="E221" s="343" t="s">
        <v>40</v>
      </c>
      <c r="F221" s="343" t="s">
        <v>40</v>
      </c>
      <c r="G221" s="343" t="s">
        <v>40</v>
      </c>
      <c r="H221" s="343" t="s">
        <v>40</v>
      </c>
      <c r="I221" s="343"/>
      <c r="J221" s="343"/>
      <c r="K221" s="437" t="s">
        <v>40</v>
      </c>
      <c r="L221" s="343" t="s">
        <v>40</v>
      </c>
      <c r="M221" s="343" t="s">
        <v>40</v>
      </c>
      <c r="N221" s="437" t="s">
        <v>40</v>
      </c>
      <c r="O221" s="437" t="s">
        <v>40</v>
      </c>
      <c r="P221" s="437"/>
      <c r="Q221" s="437"/>
      <c r="R221" s="437" t="s">
        <v>40</v>
      </c>
      <c r="S221" s="437" t="s">
        <v>40</v>
      </c>
      <c r="T221" s="437" t="s">
        <v>40</v>
      </c>
      <c r="U221" s="437" t="s">
        <v>40</v>
      </c>
      <c r="V221" s="437" t="s">
        <v>40</v>
      </c>
      <c r="W221" s="437"/>
      <c r="X221" s="437"/>
      <c r="Y221" s="437" t="s">
        <v>40</v>
      </c>
      <c r="Z221" s="437" t="s">
        <v>40</v>
      </c>
      <c r="AA221" s="437" t="s">
        <v>40</v>
      </c>
      <c r="AB221" s="437" t="s">
        <v>40</v>
      </c>
      <c r="AC221" s="343" t="s">
        <v>40</v>
      </c>
      <c r="AD221" s="437"/>
      <c r="AE221" s="357"/>
    </row>
    <row r="222" spans="1:31">
      <c r="A222" s="1001" t="s">
        <v>316</v>
      </c>
      <c r="B222" s="437"/>
      <c r="C222" s="437"/>
      <c r="D222" s="437" t="s">
        <v>40</v>
      </c>
      <c r="E222" s="437" t="s">
        <v>40</v>
      </c>
      <c r="F222" s="437" t="s">
        <v>40</v>
      </c>
      <c r="G222" s="437" t="s">
        <v>40</v>
      </c>
      <c r="H222" s="437" t="s">
        <v>40</v>
      </c>
      <c r="I222" s="437"/>
      <c r="J222" s="437"/>
      <c r="K222" s="438" t="s">
        <v>40</v>
      </c>
      <c r="L222" s="437" t="s">
        <v>40</v>
      </c>
      <c r="M222" s="437" t="s">
        <v>40</v>
      </c>
      <c r="N222" s="438" t="s">
        <v>40</v>
      </c>
      <c r="O222" s="438" t="s">
        <v>40</v>
      </c>
      <c r="P222" s="438"/>
      <c r="Q222" s="438"/>
      <c r="R222" s="438" t="s">
        <v>40</v>
      </c>
      <c r="S222" s="438" t="s">
        <v>40</v>
      </c>
      <c r="T222" s="438" t="s">
        <v>40</v>
      </c>
      <c r="U222" s="438" t="s">
        <v>40</v>
      </c>
      <c r="V222" s="438" t="s">
        <v>40</v>
      </c>
      <c r="W222" s="438"/>
      <c r="X222" s="438"/>
      <c r="Y222" s="438" t="s">
        <v>40</v>
      </c>
      <c r="Z222" s="438" t="s">
        <v>40</v>
      </c>
      <c r="AA222" s="438" t="s">
        <v>40</v>
      </c>
      <c r="AB222" s="438" t="s">
        <v>40</v>
      </c>
      <c r="AC222" s="437" t="s">
        <v>40</v>
      </c>
      <c r="AD222" s="438"/>
      <c r="AE222" s="1002"/>
    </row>
    <row r="223" spans="1:31">
      <c r="A223" s="1001" t="s">
        <v>317</v>
      </c>
      <c r="B223" s="343"/>
      <c r="C223" s="343"/>
      <c r="D223" s="343" t="s">
        <v>40</v>
      </c>
      <c r="E223" s="343" t="s">
        <v>40</v>
      </c>
      <c r="F223" s="343" t="s">
        <v>40</v>
      </c>
      <c r="G223" s="343" t="s">
        <v>40</v>
      </c>
      <c r="H223" s="343" t="s">
        <v>40</v>
      </c>
      <c r="I223" s="343"/>
      <c r="J223" s="343"/>
      <c r="K223" s="438" t="s">
        <v>40</v>
      </c>
      <c r="L223" s="343" t="s">
        <v>40</v>
      </c>
      <c r="M223" s="343" t="s">
        <v>40</v>
      </c>
      <c r="N223" s="438" t="s">
        <v>40</v>
      </c>
      <c r="O223" s="438" t="s">
        <v>40</v>
      </c>
      <c r="P223" s="438"/>
      <c r="Q223" s="438"/>
      <c r="R223" s="438" t="s">
        <v>40</v>
      </c>
      <c r="S223" s="438" t="s">
        <v>40</v>
      </c>
      <c r="T223" s="438" t="s">
        <v>40</v>
      </c>
      <c r="U223" s="438" t="s">
        <v>40</v>
      </c>
      <c r="V223" s="438" t="s">
        <v>40</v>
      </c>
      <c r="W223" s="438"/>
      <c r="X223" s="438"/>
      <c r="Y223" s="438" t="s">
        <v>40</v>
      </c>
      <c r="Z223" s="438" t="s">
        <v>40</v>
      </c>
      <c r="AA223" s="438" t="s">
        <v>40</v>
      </c>
      <c r="AB223" s="438" t="s">
        <v>40</v>
      </c>
      <c r="AC223" s="1003" t="s">
        <v>40</v>
      </c>
      <c r="AD223" s="438"/>
      <c r="AE223" s="1004"/>
    </row>
    <row r="224" spans="1:31" ht="12.75">
      <c r="A224" s="999" t="s">
        <v>318</v>
      </c>
      <c r="B224" s="1000"/>
      <c r="C224" s="1000"/>
      <c r="D224" s="1000"/>
      <c r="E224" s="1000"/>
      <c r="F224" s="1000"/>
      <c r="G224" s="1000"/>
      <c r="H224" s="1000"/>
      <c r="I224" s="1000"/>
      <c r="J224" s="1000"/>
      <c r="K224" s="1000"/>
      <c r="L224" s="1000"/>
      <c r="M224" s="1000"/>
      <c r="N224" s="1000"/>
      <c r="O224" s="1000"/>
      <c r="P224" s="1000"/>
      <c r="Q224" s="1000"/>
      <c r="R224" s="1000"/>
      <c r="S224" s="1000"/>
      <c r="T224" s="1000"/>
      <c r="U224" s="1000"/>
      <c r="V224" s="1000"/>
      <c r="W224" s="1000"/>
      <c r="X224" s="1000"/>
      <c r="Y224" s="1000"/>
      <c r="Z224" s="1000"/>
      <c r="AA224" s="1000"/>
      <c r="AB224" s="1000"/>
      <c r="AC224" s="738"/>
      <c r="AD224" s="1000"/>
      <c r="AE224" s="749"/>
    </row>
    <row r="225" spans="1:31">
      <c r="A225" s="1001" t="s">
        <v>319</v>
      </c>
      <c r="B225" s="343"/>
      <c r="C225" s="343"/>
      <c r="D225" s="343" t="s">
        <v>40</v>
      </c>
      <c r="E225" s="343" t="s">
        <v>40</v>
      </c>
      <c r="F225" s="343" t="s">
        <v>40</v>
      </c>
      <c r="G225" s="343" t="s">
        <v>40</v>
      </c>
      <c r="H225" s="343" t="s">
        <v>40</v>
      </c>
      <c r="I225" s="343"/>
      <c r="J225" s="343"/>
      <c r="K225" s="438" t="s">
        <v>40</v>
      </c>
      <c r="L225" s="343" t="s">
        <v>40</v>
      </c>
      <c r="M225" s="343" t="s">
        <v>40</v>
      </c>
      <c r="N225" s="438" t="s">
        <v>40</v>
      </c>
      <c r="O225" s="438" t="s">
        <v>40</v>
      </c>
      <c r="P225" s="438"/>
      <c r="Q225" s="438"/>
      <c r="R225" s="438" t="s">
        <v>40</v>
      </c>
      <c r="S225" s="438" t="s">
        <v>40</v>
      </c>
      <c r="T225" s="438" t="s">
        <v>40</v>
      </c>
      <c r="U225" s="438" t="s">
        <v>40</v>
      </c>
      <c r="V225" s="438" t="s">
        <v>40</v>
      </c>
      <c r="W225" s="438"/>
      <c r="X225" s="438"/>
      <c r="Y225" s="438" t="s">
        <v>40</v>
      </c>
      <c r="Z225" s="438" t="s">
        <v>40</v>
      </c>
      <c r="AA225" s="438" t="s">
        <v>40</v>
      </c>
      <c r="AB225" s="438" t="s">
        <v>40</v>
      </c>
      <c r="AC225" s="438" t="s">
        <v>40</v>
      </c>
      <c r="AD225" s="438"/>
      <c r="AE225" s="1005"/>
    </row>
    <row r="226" spans="1:31">
      <c r="A226" s="1001" t="s">
        <v>320</v>
      </c>
      <c r="B226" s="343"/>
      <c r="C226" s="343"/>
      <c r="D226" s="343" t="s">
        <v>40</v>
      </c>
      <c r="E226" s="343" t="s">
        <v>40</v>
      </c>
      <c r="F226" s="343" t="s">
        <v>40</v>
      </c>
      <c r="G226" s="343" t="s">
        <v>40</v>
      </c>
      <c r="H226" s="343" t="s">
        <v>40</v>
      </c>
      <c r="I226" s="343"/>
      <c r="J226" s="343"/>
      <c r="K226" s="438" t="s">
        <v>40</v>
      </c>
      <c r="L226" s="343" t="s">
        <v>40</v>
      </c>
      <c r="M226" s="343" t="s">
        <v>40</v>
      </c>
      <c r="N226" s="438" t="s">
        <v>40</v>
      </c>
      <c r="O226" s="438" t="s">
        <v>40</v>
      </c>
      <c r="P226" s="438"/>
      <c r="Q226" s="438"/>
      <c r="R226" s="438" t="s">
        <v>40</v>
      </c>
      <c r="S226" s="438" t="s">
        <v>40</v>
      </c>
      <c r="T226" s="438" t="s">
        <v>40</v>
      </c>
      <c r="U226" s="438" t="s">
        <v>40</v>
      </c>
      <c r="V226" s="438" t="s">
        <v>40</v>
      </c>
      <c r="W226" s="438"/>
      <c r="X226" s="438"/>
      <c r="Y226" s="438" t="s">
        <v>40</v>
      </c>
      <c r="Z226" s="438" t="s">
        <v>40</v>
      </c>
      <c r="AA226" s="438" t="s">
        <v>40</v>
      </c>
      <c r="AB226" s="438" t="s">
        <v>40</v>
      </c>
      <c r="AC226" s="439" t="s">
        <v>40</v>
      </c>
      <c r="AD226" s="438"/>
      <c r="AE226" s="1006"/>
    </row>
    <row r="227" spans="1:31">
      <c r="A227" s="1001" t="s">
        <v>321</v>
      </c>
      <c r="B227" s="439"/>
      <c r="C227" s="439"/>
      <c r="D227" s="439" t="s">
        <v>40</v>
      </c>
      <c r="E227" s="439" t="s">
        <v>40</v>
      </c>
      <c r="F227" s="439" t="s">
        <v>40</v>
      </c>
      <c r="G227" s="439" t="s">
        <v>40</v>
      </c>
      <c r="H227" s="439" t="s">
        <v>40</v>
      </c>
      <c r="I227" s="439"/>
      <c r="J227" s="439"/>
      <c r="K227" s="438" t="s">
        <v>40</v>
      </c>
      <c r="L227" s="439" t="s">
        <v>40</v>
      </c>
      <c r="M227" s="439" t="s">
        <v>40</v>
      </c>
      <c r="N227" s="438" t="s">
        <v>40</v>
      </c>
      <c r="O227" s="438" t="s">
        <v>40</v>
      </c>
      <c r="P227" s="438"/>
      <c r="Q227" s="438"/>
      <c r="R227" s="438" t="s">
        <v>40</v>
      </c>
      <c r="S227" s="438" t="s">
        <v>40</v>
      </c>
      <c r="T227" s="438" t="s">
        <v>40</v>
      </c>
      <c r="U227" s="438" t="s">
        <v>40</v>
      </c>
      <c r="V227" s="438" t="s">
        <v>40</v>
      </c>
      <c r="W227" s="438"/>
      <c r="X227" s="438"/>
      <c r="Y227" s="438" t="s">
        <v>40</v>
      </c>
      <c r="Z227" s="438" t="s">
        <v>40</v>
      </c>
      <c r="AA227" s="438" t="s">
        <v>40</v>
      </c>
      <c r="AB227" s="438" t="s">
        <v>40</v>
      </c>
      <c r="AC227" s="343" t="s">
        <v>40</v>
      </c>
      <c r="AD227" s="438"/>
      <c r="AE227" s="357"/>
    </row>
    <row r="228" spans="1:31">
      <c r="A228" s="1001" t="s">
        <v>322</v>
      </c>
      <c r="B228" s="343"/>
      <c r="C228" s="343"/>
      <c r="D228" s="343" t="s">
        <v>40</v>
      </c>
      <c r="E228" s="343" t="s">
        <v>40</v>
      </c>
      <c r="F228" s="343" t="s">
        <v>40</v>
      </c>
      <c r="G228" s="343" t="s">
        <v>40</v>
      </c>
      <c r="H228" s="343" t="s">
        <v>40</v>
      </c>
      <c r="I228" s="343"/>
      <c r="J228" s="343"/>
      <c r="K228" s="438" t="s">
        <v>40</v>
      </c>
      <c r="L228" s="343" t="s">
        <v>40</v>
      </c>
      <c r="M228" s="343" t="s">
        <v>40</v>
      </c>
      <c r="N228" s="438" t="s">
        <v>40</v>
      </c>
      <c r="O228" s="438" t="s">
        <v>40</v>
      </c>
      <c r="P228" s="438"/>
      <c r="Q228" s="438"/>
      <c r="R228" s="438" t="s">
        <v>40</v>
      </c>
      <c r="S228" s="438" t="s">
        <v>40</v>
      </c>
      <c r="T228" s="438" t="s">
        <v>40</v>
      </c>
      <c r="U228" s="438" t="s">
        <v>40</v>
      </c>
      <c r="V228" s="438" t="s">
        <v>40</v>
      </c>
      <c r="W228" s="438"/>
      <c r="X228" s="438"/>
      <c r="Y228" s="438" t="s">
        <v>40</v>
      </c>
      <c r="Z228" s="438" t="s">
        <v>40</v>
      </c>
      <c r="AA228" s="438" t="s">
        <v>40</v>
      </c>
      <c r="AB228" s="438" t="s">
        <v>40</v>
      </c>
      <c r="AC228" s="437" t="s">
        <v>40</v>
      </c>
      <c r="AD228" s="438"/>
      <c r="AE228" s="1002"/>
    </row>
    <row r="229" spans="1:31">
      <c r="A229" s="1001" t="s">
        <v>323</v>
      </c>
      <c r="B229" s="343"/>
      <c r="C229" s="343"/>
      <c r="D229" s="343" t="s">
        <v>40</v>
      </c>
      <c r="E229" s="343" t="s">
        <v>40</v>
      </c>
      <c r="F229" s="343" t="s">
        <v>40</v>
      </c>
      <c r="G229" s="343" t="s">
        <v>40</v>
      </c>
      <c r="H229" s="343" t="s">
        <v>40</v>
      </c>
      <c r="I229" s="343"/>
      <c r="J229" s="343"/>
      <c r="K229" s="438" t="s">
        <v>40</v>
      </c>
      <c r="L229" s="343" t="s">
        <v>40</v>
      </c>
      <c r="M229" s="343" t="s">
        <v>40</v>
      </c>
      <c r="N229" s="438" t="s">
        <v>40</v>
      </c>
      <c r="O229" s="438" t="s">
        <v>40</v>
      </c>
      <c r="P229" s="438"/>
      <c r="Q229" s="438"/>
      <c r="R229" s="438" t="s">
        <v>40</v>
      </c>
      <c r="S229" s="438" t="s">
        <v>40</v>
      </c>
      <c r="T229" s="438" t="s">
        <v>40</v>
      </c>
      <c r="U229" s="438" t="s">
        <v>40</v>
      </c>
      <c r="V229" s="438" t="s">
        <v>40</v>
      </c>
      <c r="W229" s="438"/>
      <c r="X229" s="438"/>
      <c r="Y229" s="438" t="s">
        <v>40</v>
      </c>
      <c r="Z229" s="438" t="s">
        <v>40</v>
      </c>
      <c r="AA229" s="438" t="s">
        <v>40</v>
      </c>
      <c r="AB229" s="438" t="s">
        <v>40</v>
      </c>
      <c r="AC229" s="438" t="s">
        <v>40</v>
      </c>
      <c r="AD229" s="438"/>
      <c r="AE229" s="1005"/>
    </row>
    <row r="230" spans="1:31">
      <c r="A230" s="1001" t="s">
        <v>324</v>
      </c>
      <c r="B230" s="343"/>
      <c r="C230" s="343"/>
      <c r="D230" s="343" t="s">
        <v>40</v>
      </c>
      <c r="E230" s="343" t="s">
        <v>40</v>
      </c>
      <c r="F230" s="343" t="s">
        <v>40</v>
      </c>
      <c r="G230" s="343" t="s">
        <v>40</v>
      </c>
      <c r="H230" s="343" t="s">
        <v>40</v>
      </c>
      <c r="I230" s="343"/>
      <c r="J230" s="343"/>
      <c r="K230" s="438" t="s">
        <v>40</v>
      </c>
      <c r="L230" s="343" t="s">
        <v>40</v>
      </c>
      <c r="M230" s="343" t="s">
        <v>40</v>
      </c>
      <c r="N230" s="438" t="s">
        <v>40</v>
      </c>
      <c r="O230" s="438" t="s">
        <v>40</v>
      </c>
      <c r="P230" s="438"/>
      <c r="Q230" s="438"/>
      <c r="R230" s="438" t="s">
        <v>40</v>
      </c>
      <c r="S230" s="438" t="s">
        <v>40</v>
      </c>
      <c r="T230" s="438" t="s">
        <v>40</v>
      </c>
      <c r="U230" s="438" t="s">
        <v>40</v>
      </c>
      <c r="V230" s="438" t="s">
        <v>40</v>
      </c>
      <c r="W230" s="438"/>
      <c r="X230" s="438"/>
      <c r="Y230" s="438" t="s">
        <v>40</v>
      </c>
      <c r="Z230" s="438" t="s">
        <v>40</v>
      </c>
      <c r="AA230" s="438" t="s">
        <v>40</v>
      </c>
      <c r="AB230" s="438" t="s">
        <v>40</v>
      </c>
      <c r="AC230" s="438" t="s">
        <v>40</v>
      </c>
      <c r="AD230" s="438"/>
      <c r="AE230" s="1005"/>
    </row>
    <row r="231" spans="1:31">
      <c r="A231" s="1001" t="s">
        <v>326</v>
      </c>
      <c r="B231" s="343"/>
      <c r="C231" s="343"/>
      <c r="D231" s="343" t="s">
        <v>40</v>
      </c>
      <c r="E231" s="343" t="s">
        <v>40</v>
      </c>
      <c r="F231" s="343" t="s">
        <v>40</v>
      </c>
      <c r="G231" s="343" t="s">
        <v>40</v>
      </c>
      <c r="H231" s="343" t="s">
        <v>40</v>
      </c>
      <c r="I231" s="343"/>
      <c r="J231" s="343"/>
      <c r="K231" s="321" t="s">
        <v>40</v>
      </c>
      <c r="L231" s="343" t="s">
        <v>40</v>
      </c>
      <c r="M231" s="343" t="s">
        <v>40</v>
      </c>
      <c r="N231" s="321" t="s">
        <v>40</v>
      </c>
      <c r="O231" s="321" t="s">
        <v>40</v>
      </c>
      <c r="P231" s="321"/>
      <c r="Q231" s="321"/>
      <c r="R231" s="321" t="s">
        <v>40</v>
      </c>
      <c r="S231" s="321" t="s">
        <v>40</v>
      </c>
      <c r="T231" s="321" t="s">
        <v>40</v>
      </c>
      <c r="U231" s="321" t="s">
        <v>40</v>
      </c>
      <c r="V231" s="321" t="s">
        <v>40</v>
      </c>
      <c r="W231" s="321"/>
      <c r="X231" s="321"/>
      <c r="Y231" s="321" t="s">
        <v>40</v>
      </c>
      <c r="Z231" s="321" t="s">
        <v>40</v>
      </c>
      <c r="AA231" s="321" t="s">
        <v>40</v>
      </c>
      <c r="AB231" s="321" t="s">
        <v>40</v>
      </c>
      <c r="AC231" s="1003" t="s">
        <v>40</v>
      </c>
      <c r="AD231" s="321"/>
      <c r="AE231" s="1004"/>
    </row>
    <row r="232" spans="1:31" ht="12.75">
      <c r="A232" s="999" t="s">
        <v>327</v>
      </c>
      <c r="B232" s="1000"/>
      <c r="C232" s="1000"/>
      <c r="D232" s="1000"/>
      <c r="E232" s="1000"/>
      <c r="F232" s="1000"/>
      <c r="G232" s="1000"/>
      <c r="H232" s="1000"/>
      <c r="I232" s="1000"/>
      <c r="J232" s="1000"/>
      <c r="K232" s="1000"/>
      <c r="L232" s="1000"/>
      <c r="M232" s="1000"/>
      <c r="N232" s="1000"/>
      <c r="O232" s="1000"/>
      <c r="P232" s="1000"/>
      <c r="Q232" s="1000"/>
      <c r="R232" s="1000"/>
      <c r="S232" s="1000"/>
      <c r="T232" s="1000"/>
      <c r="U232" s="1000"/>
      <c r="V232" s="1000"/>
      <c r="W232" s="1000"/>
      <c r="X232" s="1000"/>
      <c r="Y232" s="1000"/>
      <c r="Z232" s="1000"/>
      <c r="AA232" s="1000"/>
      <c r="AB232" s="1000"/>
      <c r="AC232" s="738"/>
      <c r="AD232" s="1000"/>
      <c r="AE232" s="749"/>
    </row>
    <row r="233" spans="1:31">
      <c r="A233" s="1001" t="s">
        <v>328</v>
      </c>
      <c r="B233" s="343"/>
      <c r="C233" s="343"/>
      <c r="D233" s="343" t="s">
        <v>40</v>
      </c>
      <c r="E233" s="343" t="s">
        <v>40</v>
      </c>
      <c r="F233" s="343" t="s">
        <v>40</v>
      </c>
      <c r="G233" s="343" t="s">
        <v>40</v>
      </c>
      <c r="H233" s="343" t="s">
        <v>40</v>
      </c>
      <c r="I233" s="343"/>
      <c r="J233" s="343"/>
      <c r="K233" s="438" t="s">
        <v>40</v>
      </c>
      <c r="L233" s="343" t="s">
        <v>40</v>
      </c>
      <c r="M233" s="343" t="s">
        <v>40</v>
      </c>
      <c r="N233" s="438" t="s">
        <v>40</v>
      </c>
      <c r="O233" s="438" t="s">
        <v>40</v>
      </c>
      <c r="P233" s="438"/>
      <c r="Q233" s="438"/>
      <c r="R233" s="438" t="s">
        <v>40</v>
      </c>
      <c r="S233" s="438" t="s">
        <v>40</v>
      </c>
      <c r="T233" s="438" t="s">
        <v>40</v>
      </c>
      <c r="U233" s="438" t="s">
        <v>40</v>
      </c>
      <c r="V233" s="438" t="s">
        <v>40</v>
      </c>
      <c r="W233" s="438"/>
      <c r="X233" s="438"/>
      <c r="Y233" s="438" t="s">
        <v>40</v>
      </c>
      <c r="Z233" s="438" t="s">
        <v>40</v>
      </c>
      <c r="AA233" s="438" t="s">
        <v>40</v>
      </c>
      <c r="AB233" s="438" t="s">
        <v>40</v>
      </c>
      <c r="AC233" s="437" t="s">
        <v>40</v>
      </c>
      <c r="AD233" s="438"/>
      <c r="AE233" s="1002"/>
    </row>
    <row r="234" spans="1:31" ht="12.75" thickBot="1">
      <c r="A234" s="454" t="s">
        <v>329</v>
      </c>
      <c r="B234" s="359"/>
      <c r="C234" s="359"/>
      <c r="D234" s="359" t="s">
        <v>40</v>
      </c>
      <c r="E234" s="359" t="s">
        <v>40</v>
      </c>
      <c r="F234" s="359" t="s">
        <v>40</v>
      </c>
      <c r="G234" s="359" t="s">
        <v>40</v>
      </c>
      <c r="H234" s="359" t="s">
        <v>40</v>
      </c>
      <c r="I234" s="359"/>
      <c r="J234" s="359"/>
      <c r="K234" s="440" t="s">
        <v>40</v>
      </c>
      <c r="L234" s="359" t="s">
        <v>40</v>
      </c>
      <c r="M234" s="359" t="s">
        <v>40</v>
      </c>
      <c r="N234" s="440" t="s">
        <v>40</v>
      </c>
      <c r="O234" s="440" t="s">
        <v>40</v>
      </c>
      <c r="P234" s="440"/>
      <c r="Q234" s="440"/>
      <c r="R234" s="440" t="s">
        <v>40</v>
      </c>
      <c r="S234" s="440" t="s">
        <v>40</v>
      </c>
      <c r="T234" s="440" t="s">
        <v>40</v>
      </c>
      <c r="U234" s="440" t="s">
        <v>40</v>
      </c>
      <c r="V234" s="440" t="s">
        <v>40</v>
      </c>
      <c r="W234" s="440"/>
      <c r="X234" s="440"/>
      <c r="Y234" s="440" t="s">
        <v>40</v>
      </c>
      <c r="Z234" s="440" t="s">
        <v>40</v>
      </c>
      <c r="AA234" s="440" t="s">
        <v>40</v>
      </c>
      <c r="AB234" s="440" t="s">
        <v>40</v>
      </c>
      <c r="AC234" s="441" t="s">
        <v>40</v>
      </c>
      <c r="AD234" s="440"/>
      <c r="AE234" s="1008"/>
    </row>
  </sheetData>
  <sheetProtection algorithmName="SHA-512" hashValue="WqBGT3tvbsJVkvhW6wd55urFBFIcWCi+WArI9VOH+FkGkj8lmMrmmmWh37RNImjeDShZIa4F6fAPWaAJUNlBFQ==" saltValue="X14ZUVo4uppvplSZBBrCtw==" spinCount="100000" sheet="1" objects="1" scenarios="1"/>
  <mergeCells count="72">
    <mergeCell ref="AC2:AE2"/>
    <mergeCell ref="E2:F2"/>
    <mergeCell ref="G2:I2"/>
    <mergeCell ref="R2:T2"/>
    <mergeCell ref="U2:V2"/>
    <mergeCell ref="W2:X2"/>
    <mergeCell ref="C177:E177"/>
    <mergeCell ref="F177:I177"/>
    <mergeCell ref="J177:M177"/>
    <mergeCell ref="N177:Q177"/>
    <mergeCell ref="R177:U177"/>
    <mergeCell ref="C178:E178"/>
    <mergeCell ref="F178:I178"/>
    <mergeCell ref="J178:M178"/>
    <mergeCell ref="N178:Q178"/>
    <mergeCell ref="R178:U178"/>
    <mergeCell ref="C179:E179"/>
    <mergeCell ref="F179:I179"/>
    <mergeCell ref="J179:M179"/>
    <mergeCell ref="N179:Q179"/>
    <mergeCell ref="R179:U179"/>
    <mergeCell ref="C180:E180"/>
    <mergeCell ref="F180:I180"/>
    <mergeCell ref="J180:M180"/>
    <mergeCell ref="N180:Q180"/>
    <mergeCell ref="R180:U180"/>
    <mergeCell ref="C181:E181"/>
    <mergeCell ref="F181:I181"/>
    <mergeCell ref="J181:M181"/>
    <mergeCell ref="N181:Q181"/>
    <mergeCell ref="R181:U181"/>
    <mergeCell ref="C182:E182"/>
    <mergeCell ref="F182:I182"/>
    <mergeCell ref="J182:M182"/>
    <mergeCell ref="N182:Q182"/>
    <mergeCell ref="R182:U182"/>
    <mergeCell ref="C183:E183"/>
    <mergeCell ref="F183:I183"/>
    <mergeCell ref="J183:M183"/>
    <mergeCell ref="N183:Q183"/>
    <mergeCell ref="R183:U183"/>
    <mergeCell ref="C186:E186"/>
    <mergeCell ref="F186:I186"/>
    <mergeCell ref="J186:M186"/>
    <mergeCell ref="N186:Q186"/>
    <mergeCell ref="R186:U186"/>
    <mergeCell ref="C187:E187"/>
    <mergeCell ref="F187:I187"/>
    <mergeCell ref="J187:M187"/>
    <mergeCell ref="N187:Q187"/>
    <mergeCell ref="R187:U187"/>
    <mergeCell ref="C188:E188"/>
    <mergeCell ref="F188:I188"/>
    <mergeCell ref="J188:M188"/>
    <mergeCell ref="N188:Q188"/>
    <mergeCell ref="R188:U188"/>
    <mergeCell ref="F189:I189"/>
    <mergeCell ref="J189:M189"/>
    <mergeCell ref="N189:Q189"/>
    <mergeCell ref="R189:U189"/>
    <mergeCell ref="F190:I190"/>
    <mergeCell ref="J190:M190"/>
    <mergeCell ref="N190:Q190"/>
    <mergeCell ref="R190:U190"/>
    <mergeCell ref="F191:I191"/>
    <mergeCell ref="J191:M191"/>
    <mergeCell ref="N191:Q191"/>
    <mergeCell ref="R191:U191"/>
    <mergeCell ref="F192:I192"/>
    <mergeCell ref="J192:M192"/>
    <mergeCell ref="N192:Q192"/>
    <mergeCell ref="R192:U192"/>
  </mergeCells>
  <pageMargins left="0.7" right="0.7" top="0.75" bottom="0.75" header="0.3" footer="0.3"/>
  <pageSetup paperSize="9" scale="10" orientation="landscape"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Ark28"/>
  <dimension ref="A1:F24"/>
  <sheetViews>
    <sheetView workbookViewId="0">
      <selection activeCell="E14" sqref="E14"/>
    </sheetView>
  </sheetViews>
  <sheetFormatPr defaultRowHeight="12"/>
  <cols>
    <col min="1" max="1" width="49.28515625" customWidth="1"/>
    <col min="2" max="6" width="30.7109375" customWidth="1"/>
  </cols>
  <sheetData>
    <row r="1" spans="1:6" ht="77.25" customHeight="1">
      <c r="A1" s="6330" t="s">
        <v>703</v>
      </c>
      <c r="B1" s="6331" t="s">
        <v>704</v>
      </c>
      <c r="C1" s="6332" t="s">
        <v>705</v>
      </c>
      <c r="D1" s="6333" t="s">
        <v>706</v>
      </c>
      <c r="E1" s="6333" t="s">
        <v>707</v>
      </c>
      <c r="F1" s="6334" t="s">
        <v>708</v>
      </c>
    </row>
    <row r="2" spans="1:6" ht="49.5" customHeight="1">
      <c r="A2" s="621" t="s">
        <v>709</v>
      </c>
      <c r="B2" s="6335"/>
      <c r="C2" s="6336" t="s">
        <v>710</v>
      </c>
      <c r="D2" s="6336" t="s">
        <v>710</v>
      </c>
      <c r="E2" s="6336" t="s">
        <v>711</v>
      </c>
      <c r="F2" s="6336" t="s">
        <v>712</v>
      </c>
    </row>
    <row r="3" spans="1:6" ht="51" customHeight="1">
      <c r="A3" s="6337" t="s">
        <v>713</v>
      </c>
      <c r="B3" s="6336" t="s">
        <v>714</v>
      </c>
      <c r="C3" s="6338" t="s">
        <v>715</v>
      </c>
      <c r="D3" s="6336" t="s">
        <v>715</v>
      </c>
      <c r="E3" s="6336" t="s">
        <v>715</v>
      </c>
      <c r="F3" s="6336" t="s">
        <v>715</v>
      </c>
    </row>
    <row r="4" spans="1:6" ht="53.25" customHeight="1">
      <c r="A4" s="6337" t="s">
        <v>716</v>
      </c>
      <c r="B4" s="6336" t="s">
        <v>717</v>
      </c>
      <c r="C4" s="6339" t="s">
        <v>718</v>
      </c>
      <c r="D4" s="6338" t="s">
        <v>718</v>
      </c>
      <c r="E4" s="6338" t="s">
        <v>719</v>
      </c>
      <c r="F4" s="6338" t="s">
        <v>718</v>
      </c>
    </row>
    <row r="5" spans="1:6" ht="69" customHeight="1">
      <c r="A5" s="6340" t="s">
        <v>720</v>
      </c>
      <c r="B5" s="6336"/>
      <c r="C5" s="6341"/>
      <c r="D5" s="132"/>
      <c r="E5" s="132"/>
      <c r="F5" s="132"/>
    </row>
    <row r="6" spans="1:6" ht="36.75">
      <c r="A6" s="6337" t="s">
        <v>721</v>
      </c>
      <c r="B6" s="6336" t="s">
        <v>722</v>
      </c>
      <c r="C6" s="6342"/>
      <c r="D6" s="93"/>
    </row>
    <row r="7" spans="1:6" ht="36.75">
      <c r="A7" s="6337" t="s">
        <v>723</v>
      </c>
      <c r="B7" s="6336" t="s">
        <v>714</v>
      </c>
      <c r="C7" s="106"/>
    </row>
    <row r="8" spans="1:6" ht="20.25">
      <c r="A8" s="6343" t="s">
        <v>724</v>
      </c>
      <c r="B8" s="6344" t="s">
        <v>725</v>
      </c>
      <c r="C8" s="107"/>
    </row>
    <row r="9" spans="1:6" ht="20.25">
      <c r="A9" s="6345" t="s">
        <v>726</v>
      </c>
      <c r="B9" s="6344" t="s">
        <v>727</v>
      </c>
      <c r="C9" s="107"/>
    </row>
    <row r="10" spans="1:6" ht="20.25">
      <c r="A10" s="6343" t="s">
        <v>728</v>
      </c>
      <c r="B10" s="6344" t="s">
        <v>714</v>
      </c>
    </row>
    <row r="11" spans="1:6" ht="20.25">
      <c r="A11" s="6337" t="s">
        <v>729</v>
      </c>
      <c r="B11" s="6336" t="s">
        <v>730</v>
      </c>
    </row>
    <row r="12" spans="1:6" ht="20.25">
      <c r="A12" s="6346"/>
      <c r="B12" s="6336"/>
    </row>
    <row r="13" spans="1:6" ht="20.25">
      <c r="A13" s="6347" t="s">
        <v>731</v>
      </c>
      <c r="B13" s="6348" t="s">
        <v>732</v>
      </c>
    </row>
    <row r="14" spans="1:6" ht="20.25">
      <c r="A14" s="6349" t="s">
        <v>733</v>
      </c>
      <c r="B14" s="6350" t="s">
        <v>734</v>
      </c>
    </row>
    <row r="15" spans="1:6" ht="25.5">
      <c r="A15" s="6349" t="s">
        <v>735</v>
      </c>
      <c r="B15" s="6350" t="s">
        <v>736</v>
      </c>
      <c r="C15" s="130"/>
    </row>
    <row r="16" spans="1:6" ht="36">
      <c r="A16" s="6351" t="s">
        <v>737</v>
      </c>
      <c r="B16" s="6348" t="s">
        <v>732</v>
      </c>
      <c r="C16" s="6352" t="s">
        <v>738</v>
      </c>
      <c r="D16" s="130"/>
    </row>
    <row r="17" spans="1:4" ht="36">
      <c r="A17" s="6353" t="s">
        <v>739</v>
      </c>
      <c r="B17" s="6354" t="s">
        <v>740</v>
      </c>
      <c r="C17" s="6352" t="s">
        <v>741</v>
      </c>
      <c r="D17" s="130"/>
    </row>
    <row r="18" spans="1:4" ht="36">
      <c r="A18" s="6355" t="s">
        <v>742</v>
      </c>
      <c r="B18" s="6356" t="s">
        <v>743</v>
      </c>
      <c r="C18" s="6357" t="s">
        <v>744</v>
      </c>
      <c r="D18" s="130"/>
    </row>
    <row r="19" spans="1:4" ht="20.25">
      <c r="A19" s="6358" t="s">
        <v>745</v>
      </c>
      <c r="B19" s="6359" t="s">
        <v>746</v>
      </c>
    </row>
    <row r="20" spans="1:4" ht="20.25">
      <c r="A20" s="6360"/>
      <c r="B20" s="565"/>
    </row>
    <row r="21" spans="1:4" ht="20.25">
      <c r="A21" s="6361" t="s">
        <v>747</v>
      </c>
      <c r="B21" s="6362">
        <v>320</v>
      </c>
    </row>
    <row r="22" spans="1:4" ht="20.25">
      <c r="A22" s="6363" t="s">
        <v>748</v>
      </c>
      <c r="B22" s="6364">
        <v>110</v>
      </c>
    </row>
    <row r="23" spans="1:4" ht="20.25">
      <c r="A23" s="6363" t="s">
        <v>749</v>
      </c>
      <c r="B23" s="566">
        <v>30</v>
      </c>
    </row>
    <row r="24" spans="1:4" ht="20.25">
      <c r="A24" s="6363" t="s">
        <v>750</v>
      </c>
      <c r="B24" s="6365">
        <v>30</v>
      </c>
    </row>
  </sheetData>
  <sheetProtection algorithmName="SHA-512" hashValue="PyGwhtPMODLuk6WaraTueb7QklK9CIX17Nb9D+xLUrP++uaTJy8ww1lYMUNzmhHPSt2Jgip39iraezsfCLVGAw==" saltValue="13gESAUyZUWP63bzOzegyw==" spinCount="100000" sheet="1" objects="1" scenarios="1"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Ark29"/>
  <dimension ref="B2:F37"/>
  <sheetViews>
    <sheetView topLeftCell="A17" workbookViewId="0">
      <selection activeCell="D17" sqref="D17"/>
    </sheetView>
  </sheetViews>
  <sheetFormatPr defaultRowHeight="12"/>
  <cols>
    <col min="2" max="2" width="33.42578125" customWidth="1"/>
    <col min="3" max="7" width="34.140625" customWidth="1"/>
  </cols>
  <sheetData>
    <row r="2" spans="2:6" ht="24">
      <c r="B2" s="149" t="s">
        <v>751</v>
      </c>
    </row>
    <row r="3" spans="2:6" ht="31.5" customHeight="1">
      <c r="B3" s="6366" t="s">
        <v>752</v>
      </c>
      <c r="C3" s="6366" t="s">
        <v>753</v>
      </c>
      <c r="D3" s="6366" t="s">
        <v>754</v>
      </c>
      <c r="E3" s="6366" t="s">
        <v>708</v>
      </c>
      <c r="F3" s="6366" t="s">
        <v>755</v>
      </c>
    </row>
    <row r="4" spans="2:6">
      <c r="B4" s="6199" t="s">
        <v>756</v>
      </c>
      <c r="C4" s="6367">
        <v>403</v>
      </c>
      <c r="D4" s="6367">
        <v>374.4</v>
      </c>
      <c r="E4" s="5712">
        <v>403</v>
      </c>
      <c r="F4" s="5712">
        <v>356</v>
      </c>
    </row>
    <row r="5" spans="2:6">
      <c r="B5" s="6199" t="s">
        <v>757</v>
      </c>
      <c r="C5" s="6367">
        <v>434.18333333333334</v>
      </c>
      <c r="D5" s="6367">
        <v>405.58333333333331</v>
      </c>
      <c r="E5" s="6367">
        <v>434.18333333333334</v>
      </c>
      <c r="F5" s="6367">
        <v>387.18333333333334</v>
      </c>
    </row>
    <row r="6" spans="2:6">
      <c r="B6" s="6199" t="s">
        <v>758</v>
      </c>
      <c r="C6" s="6367">
        <v>505.65072765072762</v>
      </c>
      <c r="D6" s="6367">
        <v>487.18586278586275</v>
      </c>
      <c r="E6" s="6367">
        <v>532.93762993762994</v>
      </c>
      <c r="F6" s="6367">
        <v>458.65072765072762</v>
      </c>
    </row>
    <row r="7" spans="2:6">
      <c r="B7" s="6199" t="s">
        <v>759</v>
      </c>
      <c r="C7" s="6367">
        <v>639.48478863478863</v>
      </c>
      <c r="D7" s="6367">
        <v>599.97172557172553</v>
      </c>
      <c r="E7" s="6367">
        <v>662.87525987525987</v>
      </c>
      <c r="F7" s="6367">
        <v>581.57172557172555</v>
      </c>
    </row>
    <row r="8" spans="2:6">
      <c r="B8" s="6199" t="s">
        <v>760</v>
      </c>
      <c r="C8" s="6367">
        <f>+C4+50</f>
        <v>453</v>
      </c>
      <c r="D8" s="6367">
        <f>+D4+50</f>
        <v>424.4</v>
      </c>
      <c r="E8" s="6367">
        <f t="shared" ref="E8" si="0">+E4+50</f>
        <v>453</v>
      </c>
      <c r="F8" s="6367">
        <f>+F4+50</f>
        <v>406</v>
      </c>
    </row>
    <row r="9" spans="2:6">
      <c r="B9" s="6199" t="s">
        <v>761</v>
      </c>
      <c r="C9" s="6367">
        <f>+C6+50</f>
        <v>555.65072765072762</v>
      </c>
      <c r="D9" s="6367">
        <f>+D6+50</f>
        <v>537.18586278586281</v>
      </c>
      <c r="E9" s="6367">
        <f>+E6+50</f>
        <v>582.93762993762994</v>
      </c>
      <c r="F9" s="6367">
        <f>+F6+50</f>
        <v>508.65072765072762</v>
      </c>
    </row>
    <row r="10" spans="2:6">
      <c r="B10" s="6199" t="s">
        <v>762</v>
      </c>
      <c r="C10" s="6367">
        <f>+C7+50</f>
        <v>689.48478863478863</v>
      </c>
      <c r="D10" s="6367">
        <f>+D7+50</f>
        <v>649.97172557172553</v>
      </c>
      <c r="E10" s="6367">
        <f t="shared" ref="E10" si="1">+E7+50</f>
        <v>712.87525987525987</v>
      </c>
      <c r="F10" s="6367">
        <f>+F7+50</f>
        <v>631.57172557172555</v>
      </c>
    </row>
    <row r="11" spans="2:6">
      <c r="B11" s="68"/>
    </row>
    <row r="12" spans="2:6" ht="27" customHeight="1">
      <c r="B12" s="6368" t="s">
        <v>763</v>
      </c>
      <c r="C12" s="6366" t="s">
        <v>764</v>
      </c>
    </row>
    <row r="13" spans="2:6">
      <c r="B13" s="6199" t="s">
        <v>765</v>
      </c>
      <c r="C13" s="6369">
        <v>64260</v>
      </c>
    </row>
    <row r="14" spans="2:6">
      <c r="B14" s="6199" t="s">
        <v>766</v>
      </c>
      <c r="C14" s="6369">
        <f>C13/2</f>
        <v>32130</v>
      </c>
    </row>
    <row r="15" spans="2:6">
      <c r="B15" s="6199" t="s">
        <v>767</v>
      </c>
      <c r="C15" s="6369">
        <f>C13*0.25</f>
        <v>16065</v>
      </c>
    </row>
    <row r="17" spans="2:3" ht="75.75" customHeight="1">
      <c r="B17" s="6368" t="s">
        <v>768</v>
      </c>
      <c r="C17" s="6366" t="s">
        <v>764</v>
      </c>
    </row>
    <row r="18" spans="2:3">
      <c r="B18" s="6199" t="s">
        <v>765</v>
      </c>
      <c r="C18" s="6369">
        <v>50073</v>
      </c>
    </row>
    <row r="19" spans="2:3">
      <c r="B19" s="6199" t="s">
        <v>766</v>
      </c>
      <c r="C19" s="6369">
        <f>C18/2</f>
        <v>25036.5</v>
      </c>
    </row>
    <row r="20" spans="2:3">
      <c r="B20" s="6199" t="s">
        <v>767</v>
      </c>
      <c r="C20" s="6369">
        <f>C18*0.25</f>
        <v>12518.25</v>
      </c>
    </row>
    <row r="21" spans="2:3">
      <c r="B21" s="68"/>
    </row>
    <row r="22" spans="2:3" ht="15">
      <c r="B22" s="6368" t="s">
        <v>769</v>
      </c>
      <c r="C22" s="6366" t="s">
        <v>764</v>
      </c>
    </row>
    <row r="23" spans="2:3">
      <c r="B23" s="6199" t="s">
        <v>747</v>
      </c>
      <c r="C23" s="6367">
        <v>328</v>
      </c>
    </row>
    <row r="24" spans="2:3">
      <c r="B24" s="6199" t="s">
        <v>748</v>
      </c>
      <c r="C24" s="6367">
        <v>112.75</v>
      </c>
    </row>
    <row r="25" spans="2:3">
      <c r="B25" s="6199" t="s">
        <v>749</v>
      </c>
      <c r="C25" s="6367">
        <v>30.75</v>
      </c>
    </row>
    <row r="26" spans="2:3">
      <c r="B26" s="6199" t="s">
        <v>750</v>
      </c>
      <c r="C26" s="6367">
        <v>31</v>
      </c>
    </row>
    <row r="27" spans="2:3">
      <c r="B27" s="115"/>
      <c r="C27" s="111"/>
    </row>
    <row r="28" spans="2:3">
      <c r="B28" s="115"/>
      <c r="C28" s="111"/>
    </row>
    <row r="29" spans="2:3" ht="27" customHeight="1">
      <c r="B29" s="6368" t="s">
        <v>770</v>
      </c>
      <c r="C29" s="6366" t="s">
        <v>764</v>
      </c>
    </row>
    <row r="30" spans="2:3">
      <c r="B30" s="6199" t="s">
        <v>728</v>
      </c>
      <c r="C30" s="5712">
        <v>450</v>
      </c>
    </row>
    <row r="31" spans="2:3">
      <c r="B31" s="6199" t="s">
        <v>729</v>
      </c>
      <c r="C31" s="5712">
        <v>700</v>
      </c>
    </row>
    <row r="34" spans="2:2" ht="36.75" customHeight="1">
      <c r="B34" s="6368" t="s">
        <v>771</v>
      </c>
    </row>
    <row r="35" spans="2:2" ht="81.75" customHeight="1">
      <c r="B35" s="6370" t="s">
        <v>772</v>
      </c>
    </row>
    <row r="36" spans="2:2" ht="81" customHeight="1">
      <c r="B36" s="6370" t="s">
        <v>773</v>
      </c>
    </row>
    <row r="37" spans="2:2" ht="58.5" customHeight="1">
      <c r="B37" s="6370" t="s">
        <v>774</v>
      </c>
    </row>
  </sheetData>
  <sheetProtection algorithmName="SHA-512" hashValue="YsJwQShU2y0kP0IPIXe07XbfVBuTryCv3PnYaCiInHMGP+MxBFuc5mo+aC29ylmY8Otx24ArPpK36EXYHmeA4A==" saltValue="t0o8FWrSymjc4Cg5z99JOg==" spinCount="100000" sheet="1" objects="1" scenarios="1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Ark30"/>
  <dimension ref="A1:K80"/>
  <sheetViews>
    <sheetView topLeftCell="A19" workbookViewId="0">
      <selection activeCell="C29" sqref="C29"/>
    </sheetView>
  </sheetViews>
  <sheetFormatPr defaultRowHeight="12"/>
  <cols>
    <col min="1" max="15" width="28.5703125" customWidth="1"/>
  </cols>
  <sheetData>
    <row r="1" spans="1:11" ht="20.25">
      <c r="F1" s="70" t="s">
        <v>775</v>
      </c>
    </row>
    <row r="2" spans="1:11" ht="15.75">
      <c r="A2" s="69" t="s">
        <v>776</v>
      </c>
      <c r="B2" s="85"/>
      <c r="C2" s="85"/>
      <c r="D2" s="85"/>
      <c r="E2" s="69" t="s">
        <v>777</v>
      </c>
      <c r="F2" s="85"/>
      <c r="G2" s="86"/>
      <c r="H2" s="85"/>
      <c r="I2" s="69" t="s">
        <v>778</v>
      </c>
      <c r="J2" s="85"/>
    </row>
    <row r="3" spans="1:11" ht="15">
      <c r="A3" s="6371" t="s">
        <v>779</v>
      </c>
      <c r="B3" s="6371" t="s">
        <v>780</v>
      </c>
      <c r="C3" s="6371" t="s">
        <v>781</v>
      </c>
      <c r="D3" s="85"/>
      <c r="E3" s="6372" t="s">
        <v>779</v>
      </c>
      <c r="F3" s="6372" t="s">
        <v>780</v>
      </c>
      <c r="G3" s="6373" t="s">
        <v>781</v>
      </c>
      <c r="H3" s="85"/>
      <c r="I3" s="6372" t="s">
        <v>779</v>
      </c>
      <c r="J3" s="6372" t="s">
        <v>780</v>
      </c>
      <c r="K3" s="6374" t="s">
        <v>781</v>
      </c>
    </row>
    <row r="4" spans="1:11" ht="15.75">
      <c r="A4" s="6375" t="s">
        <v>782</v>
      </c>
      <c r="B4" s="6376" t="s">
        <v>783</v>
      </c>
      <c r="C4" s="6377"/>
      <c r="D4" s="85"/>
      <c r="E4" s="1527" t="s">
        <v>783</v>
      </c>
      <c r="F4" s="6378" t="s">
        <v>784</v>
      </c>
      <c r="G4" s="6377"/>
      <c r="H4" s="85"/>
      <c r="I4" s="1527"/>
      <c r="J4" s="6379"/>
      <c r="K4" s="6380"/>
    </row>
    <row r="5" spans="1:11" ht="15.75">
      <c r="A5" s="6381"/>
      <c r="B5" s="6376" t="s">
        <v>785</v>
      </c>
      <c r="C5" s="6377"/>
      <c r="D5" s="85"/>
      <c r="E5" s="6382"/>
      <c r="F5" s="6383" t="s">
        <v>93</v>
      </c>
      <c r="G5" s="6377"/>
      <c r="H5" s="85"/>
      <c r="I5" s="6382"/>
      <c r="J5" s="6379"/>
      <c r="K5" s="6384"/>
    </row>
    <row r="6" spans="1:11" ht="15.75">
      <c r="A6" s="6381"/>
      <c r="B6" s="6376" t="s">
        <v>786</v>
      </c>
      <c r="C6" s="6377"/>
      <c r="D6" s="85"/>
      <c r="E6" s="6385"/>
      <c r="F6" s="6386" t="s">
        <v>787</v>
      </c>
      <c r="G6" s="463"/>
      <c r="H6" s="85"/>
      <c r="I6" s="6385"/>
      <c r="J6" s="464"/>
      <c r="K6" s="6387"/>
    </row>
    <row r="7" spans="1:11" ht="15.75">
      <c r="A7" s="6381"/>
      <c r="B7" s="6376" t="s">
        <v>788</v>
      </c>
      <c r="C7" s="6377" t="s">
        <v>789</v>
      </c>
      <c r="D7" s="85"/>
      <c r="E7" s="6382"/>
      <c r="F7" s="6388" t="s">
        <v>790</v>
      </c>
      <c r="G7" s="6389"/>
      <c r="H7" s="85"/>
      <c r="I7" s="1527"/>
      <c r="J7" s="6390"/>
      <c r="K7" s="6380"/>
    </row>
    <row r="8" spans="1:11" ht="15.75">
      <c r="A8" s="6381"/>
      <c r="B8" s="6376" t="s">
        <v>791</v>
      </c>
      <c r="C8" s="6377"/>
      <c r="D8" s="85"/>
      <c r="E8" s="6385"/>
      <c r="F8" s="6391"/>
      <c r="G8" s="6392"/>
      <c r="H8" s="85"/>
      <c r="I8" s="87"/>
      <c r="J8" s="6393"/>
      <c r="K8" s="567"/>
    </row>
    <row r="9" spans="1:11" ht="15.75">
      <c r="A9" s="6381"/>
      <c r="B9" s="6376" t="s">
        <v>792</v>
      </c>
      <c r="C9" s="6377"/>
      <c r="D9" s="85"/>
      <c r="E9" s="6381"/>
      <c r="F9" s="6388"/>
      <c r="G9" s="6394"/>
      <c r="H9" s="85"/>
      <c r="I9" s="87"/>
      <c r="J9" s="6393"/>
      <c r="K9" s="567"/>
    </row>
    <row r="10" spans="1:11" ht="15.75">
      <c r="A10" s="6381"/>
      <c r="B10" s="6376" t="s">
        <v>793</v>
      </c>
      <c r="C10" s="6377"/>
      <c r="D10" s="85"/>
      <c r="E10" s="94" t="s">
        <v>791</v>
      </c>
      <c r="F10" s="493" t="s">
        <v>794</v>
      </c>
      <c r="G10" s="6377" t="s">
        <v>795</v>
      </c>
      <c r="H10" s="85"/>
      <c r="I10" s="6382"/>
      <c r="J10" s="6395"/>
      <c r="K10" s="6384"/>
    </row>
    <row r="11" spans="1:11" ht="15.75">
      <c r="A11" s="6381"/>
      <c r="B11" s="6376" t="s">
        <v>796</v>
      </c>
      <c r="C11" s="6377"/>
      <c r="D11" s="85"/>
      <c r="E11" s="6382"/>
      <c r="F11" s="6388" t="s">
        <v>797</v>
      </c>
      <c r="G11" s="6377" t="s">
        <v>795</v>
      </c>
      <c r="H11" s="85"/>
      <c r="I11" s="6385"/>
      <c r="J11" s="6379"/>
      <c r="K11" s="6387"/>
    </row>
    <row r="12" spans="1:11" ht="15.75">
      <c r="A12" s="6381"/>
      <c r="B12" s="6376" t="s">
        <v>798</v>
      </c>
      <c r="C12" s="6377"/>
      <c r="D12" s="85"/>
      <c r="E12" s="6385"/>
      <c r="F12" s="6391" t="s">
        <v>799</v>
      </c>
      <c r="G12" s="463" t="s">
        <v>795</v>
      </c>
      <c r="H12" s="85"/>
      <c r="I12" s="6396"/>
      <c r="J12" s="6397"/>
      <c r="K12" s="6398"/>
    </row>
    <row r="13" spans="1:11" ht="15.75">
      <c r="A13" s="6381"/>
      <c r="B13" s="6376" t="s">
        <v>800</v>
      </c>
      <c r="C13" s="6399"/>
      <c r="D13" s="85"/>
      <c r="E13" s="6382"/>
      <c r="F13" s="6400" t="s">
        <v>801</v>
      </c>
      <c r="G13" s="6389" t="s">
        <v>795</v>
      </c>
      <c r="H13" s="85"/>
      <c r="I13" s="1528"/>
      <c r="J13" s="95"/>
      <c r="K13" s="6380"/>
    </row>
    <row r="14" spans="1:11" ht="15.75">
      <c r="A14" s="85"/>
      <c r="B14" s="6376"/>
      <c r="C14" s="85"/>
      <c r="D14" s="85"/>
      <c r="E14" s="6385"/>
      <c r="F14" s="6388" t="s">
        <v>802</v>
      </c>
      <c r="G14" s="6392" t="s">
        <v>795</v>
      </c>
      <c r="H14" s="85"/>
      <c r="I14" s="6382"/>
      <c r="J14" s="6379"/>
      <c r="K14" s="6384"/>
    </row>
    <row r="15" spans="1:11" ht="15.75">
      <c r="A15" s="85"/>
      <c r="B15" s="85"/>
      <c r="C15" s="85"/>
      <c r="D15" s="85"/>
      <c r="E15" s="6381"/>
      <c r="F15" s="6388"/>
      <c r="G15" s="6394"/>
      <c r="H15" s="85"/>
      <c r="I15" s="6382"/>
      <c r="J15" s="464"/>
      <c r="K15" s="6384"/>
    </row>
    <row r="16" spans="1:11" ht="15.75">
      <c r="A16" s="69" t="s">
        <v>803</v>
      </c>
      <c r="B16" s="85"/>
      <c r="C16" s="85"/>
      <c r="D16" s="85"/>
      <c r="E16" s="6375"/>
      <c r="F16" s="6379"/>
      <c r="G16" s="6377"/>
      <c r="H16" s="85"/>
      <c r="I16" s="6382"/>
      <c r="J16" s="494"/>
      <c r="K16" s="6384"/>
    </row>
    <row r="17" spans="1:11" ht="15.75">
      <c r="A17" s="6371" t="s">
        <v>779</v>
      </c>
      <c r="B17" s="6371" t="s">
        <v>780</v>
      </c>
      <c r="C17" s="6371" t="s">
        <v>781</v>
      </c>
      <c r="D17" s="85"/>
      <c r="E17" s="6375" t="s">
        <v>788</v>
      </c>
      <c r="F17" s="6401" t="s">
        <v>804</v>
      </c>
      <c r="G17" s="6402"/>
      <c r="H17" s="85"/>
      <c r="I17" s="6396"/>
      <c r="J17" s="6403"/>
      <c r="K17" s="6398"/>
    </row>
    <row r="18" spans="1:11" ht="15.75">
      <c r="A18" s="6375" t="s">
        <v>313</v>
      </c>
      <c r="B18" s="6376" t="s">
        <v>315</v>
      </c>
      <c r="C18" s="6377"/>
      <c r="D18" s="85"/>
      <c r="E18" s="6381"/>
      <c r="F18" s="6376" t="s">
        <v>805</v>
      </c>
      <c r="G18" s="6377"/>
      <c r="H18" s="85"/>
      <c r="I18" s="85"/>
      <c r="J18" s="85"/>
    </row>
    <row r="19" spans="1:11" ht="15.75">
      <c r="A19" s="6381"/>
      <c r="B19" s="6376" t="s">
        <v>316</v>
      </c>
      <c r="C19" s="6377"/>
      <c r="D19" s="85"/>
      <c r="E19" s="6381"/>
      <c r="F19" s="6404" t="s">
        <v>806</v>
      </c>
      <c r="G19" s="6377"/>
      <c r="H19" s="85"/>
      <c r="I19" s="69"/>
      <c r="J19" s="85"/>
    </row>
    <row r="20" spans="1:11" ht="15.75">
      <c r="A20" s="6381"/>
      <c r="B20" s="6376" t="s">
        <v>807</v>
      </c>
      <c r="C20" s="6377"/>
      <c r="D20" s="85"/>
      <c r="E20" s="6375"/>
      <c r="F20" s="6388" t="s">
        <v>808</v>
      </c>
      <c r="G20" s="6377"/>
      <c r="H20" s="85"/>
      <c r="I20" s="69"/>
      <c r="J20" s="85"/>
    </row>
    <row r="21" spans="1:11" ht="15.75">
      <c r="A21" s="6381"/>
      <c r="B21" s="6405" t="s">
        <v>809</v>
      </c>
      <c r="C21" s="6377"/>
      <c r="D21" s="85"/>
      <c r="E21" s="6406"/>
      <c r="F21" s="6407" t="s">
        <v>810</v>
      </c>
      <c r="G21" s="6377"/>
      <c r="H21" s="85"/>
      <c r="I21" s="6372" t="s">
        <v>779</v>
      </c>
      <c r="J21" s="6372" t="s">
        <v>780</v>
      </c>
      <c r="K21" s="6374" t="s">
        <v>781</v>
      </c>
    </row>
    <row r="22" spans="1:11" ht="15.75">
      <c r="A22" s="6381"/>
      <c r="B22" s="6405" t="s">
        <v>321</v>
      </c>
      <c r="C22" s="6377"/>
      <c r="D22" s="85"/>
      <c r="E22" s="6375"/>
      <c r="F22" s="6376"/>
      <c r="G22" s="6377"/>
      <c r="H22" s="85"/>
      <c r="I22" s="6375" t="s">
        <v>811</v>
      </c>
      <c r="J22" s="6379" t="s">
        <v>782</v>
      </c>
      <c r="K22" s="6408"/>
    </row>
    <row r="23" spans="1:11" ht="15.75">
      <c r="A23" s="6381"/>
      <c r="B23" s="6405" t="s">
        <v>812</v>
      </c>
      <c r="C23" s="6377"/>
      <c r="D23" s="85"/>
      <c r="E23" s="94" t="s">
        <v>786</v>
      </c>
      <c r="F23" s="6376" t="s">
        <v>103</v>
      </c>
      <c r="G23" s="6377" t="s">
        <v>813</v>
      </c>
      <c r="H23" s="85"/>
      <c r="I23" s="6381"/>
      <c r="J23" s="6379" t="s">
        <v>313</v>
      </c>
      <c r="K23" s="6408"/>
    </row>
    <row r="24" spans="1:11" ht="15.75">
      <c r="A24" s="6381"/>
      <c r="B24" s="6405" t="s">
        <v>814</v>
      </c>
      <c r="C24" s="6377"/>
      <c r="D24" s="85"/>
      <c r="E24" s="6381"/>
      <c r="F24" s="6405" t="s">
        <v>815</v>
      </c>
      <c r="G24" s="6377" t="s">
        <v>813</v>
      </c>
      <c r="H24" s="85"/>
      <c r="I24" s="6381"/>
      <c r="J24" s="6379"/>
      <c r="K24" s="6408"/>
    </row>
    <row r="25" spans="1:11" ht="15.75">
      <c r="A25" s="6381"/>
      <c r="B25" s="6405" t="s">
        <v>816</v>
      </c>
      <c r="C25" s="6377"/>
      <c r="D25" s="85"/>
      <c r="E25" s="6375"/>
      <c r="F25" s="6376" t="s">
        <v>106</v>
      </c>
      <c r="G25" s="6377" t="s">
        <v>813</v>
      </c>
      <c r="H25" s="85"/>
      <c r="I25" s="6381"/>
      <c r="J25" s="6395"/>
      <c r="K25" s="6408"/>
    </row>
    <row r="26" spans="1:11" ht="15.75">
      <c r="A26" s="6381"/>
      <c r="B26" s="6405" t="s">
        <v>817</v>
      </c>
      <c r="C26" s="6377"/>
      <c r="D26" s="85"/>
      <c r="E26" s="6381"/>
      <c r="F26" s="6376" t="s">
        <v>0</v>
      </c>
      <c r="G26" s="6377"/>
      <c r="H26" s="85"/>
      <c r="I26" s="6381"/>
      <c r="J26" s="6379"/>
      <c r="K26" s="6408"/>
    </row>
    <row r="27" spans="1:11" ht="15.75">
      <c r="A27" s="6381"/>
      <c r="B27" s="6409" t="s">
        <v>328</v>
      </c>
      <c r="C27" s="6377"/>
      <c r="D27" s="85"/>
      <c r="E27" s="6381"/>
      <c r="F27" s="6405"/>
      <c r="G27" s="6377"/>
      <c r="H27" s="85"/>
      <c r="I27" s="6381"/>
      <c r="J27" s="6379"/>
      <c r="K27" s="6408"/>
    </row>
    <row r="28" spans="1:11" ht="15.75">
      <c r="A28" s="6381"/>
      <c r="B28" s="6410" t="s">
        <v>818</v>
      </c>
      <c r="C28" s="6377"/>
      <c r="D28" s="85"/>
      <c r="E28" s="6411" t="s">
        <v>785</v>
      </c>
      <c r="F28" s="6376" t="s">
        <v>819</v>
      </c>
      <c r="G28" s="6377"/>
      <c r="H28" s="85"/>
      <c r="I28" s="6381"/>
      <c r="J28" s="6379"/>
      <c r="K28" s="6408"/>
    </row>
    <row r="29" spans="1:11" ht="15.75">
      <c r="A29" s="6381"/>
      <c r="B29" s="6388" t="s">
        <v>820</v>
      </c>
      <c r="C29" s="6377"/>
      <c r="D29" s="85"/>
      <c r="E29" s="6375"/>
      <c r="F29" s="6404" t="s">
        <v>101</v>
      </c>
      <c r="G29" s="6377"/>
      <c r="H29" s="85"/>
      <c r="I29" s="6381"/>
      <c r="J29" s="6412" t="s">
        <v>821</v>
      </c>
      <c r="K29" s="6408"/>
    </row>
    <row r="30" spans="1:11" ht="15.75">
      <c r="A30" s="6381"/>
      <c r="B30" s="6413" t="s">
        <v>822</v>
      </c>
      <c r="C30" s="6377"/>
      <c r="D30" s="85"/>
      <c r="E30" s="6375"/>
      <c r="F30" s="6404" t="s">
        <v>102</v>
      </c>
      <c r="G30" s="6377"/>
      <c r="H30" s="85"/>
      <c r="I30" s="6381"/>
      <c r="J30" s="6414" t="s">
        <v>801</v>
      </c>
      <c r="K30" s="6408"/>
    </row>
    <row r="31" spans="1:11" ht="15.75">
      <c r="A31" s="6381"/>
      <c r="B31" s="6388" t="s">
        <v>823</v>
      </c>
      <c r="C31" s="6377"/>
      <c r="D31" s="85"/>
      <c r="E31" s="6375"/>
      <c r="F31" s="6376" t="s">
        <v>824</v>
      </c>
      <c r="G31" s="6377"/>
      <c r="H31" s="85"/>
      <c r="I31" s="6381"/>
      <c r="J31" s="6414" t="s">
        <v>824</v>
      </c>
      <c r="K31" s="6408"/>
    </row>
    <row r="32" spans="1:11" ht="15.75">
      <c r="A32" s="6381"/>
      <c r="B32" s="6388" t="s">
        <v>825</v>
      </c>
      <c r="C32" s="6377"/>
      <c r="D32" s="85"/>
      <c r="E32" s="6375"/>
      <c r="F32" s="6415"/>
      <c r="G32" s="6377"/>
      <c r="H32" s="85"/>
      <c r="I32" s="6381"/>
      <c r="J32" s="6416" t="s">
        <v>694</v>
      </c>
      <c r="K32" s="6408"/>
    </row>
    <row r="33" spans="1:10" ht="15.75">
      <c r="A33" s="6375"/>
      <c r="B33" s="6388"/>
      <c r="C33" s="6389"/>
      <c r="D33" s="85"/>
      <c r="E33" s="6411" t="s">
        <v>788</v>
      </c>
      <c r="F33" s="6388" t="s">
        <v>224</v>
      </c>
      <c r="G33" s="6377" t="s">
        <v>826</v>
      </c>
      <c r="H33" s="85"/>
      <c r="I33" s="6381"/>
      <c r="J33" s="6412" t="s">
        <v>810</v>
      </c>
    </row>
    <row r="34" spans="1:10" ht="15.75">
      <c r="A34" s="6417"/>
      <c r="B34" s="6418"/>
      <c r="C34" s="6392"/>
      <c r="D34" s="85"/>
      <c r="E34" s="6381"/>
      <c r="F34" s="6404" t="s">
        <v>827</v>
      </c>
      <c r="G34" s="6377" t="s">
        <v>826</v>
      </c>
      <c r="H34" s="85"/>
      <c r="I34" s="6381"/>
      <c r="J34" s="6419" t="s">
        <v>828</v>
      </c>
    </row>
    <row r="35" spans="1:10" ht="15.75">
      <c r="A35" s="69"/>
      <c r="B35" s="6379"/>
      <c r="C35" s="85"/>
      <c r="D35" s="85"/>
      <c r="E35" s="6377"/>
      <c r="F35" s="6388" t="s">
        <v>829</v>
      </c>
      <c r="G35" s="6377" t="s">
        <v>826</v>
      </c>
      <c r="H35" s="85"/>
      <c r="I35" s="6381"/>
      <c r="J35" s="6379"/>
    </row>
    <row r="36" spans="1:10" ht="15.75">
      <c r="A36" s="6420"/>
      <c r="B36" s="622"/>
      <c r="C36" s="6420"/>
      <c r="D36" s="85"/>
      <c r="E36" s="6376"/>
      <c r="F36" s="6388" t="s">
        <v>227</v>
      </c>
      <c r="G36" s="6377" t="s">
        <v>826</v>
      </c>
      <c r="H36" s="85"/>
      <c r="I36" s="88"/>
      <c r="J36" s="85"/>
    </row>
    <row r="37" spans="1:10" ht="15.75">
      <c r="A37" s="6375"/>
      <c r="B37" s="6379"/>
      <c r="C37" s="6377"/>
      <c r="D37" s="85"/>
      <c r="E37" s="6381"/>
      <c r="F37" s="6421" t="s">
        <v>830</v>
      </c>
      <c r="G37" s="6377" t="s">
        <v>826</v>
      </c>
      <c r="H37" s="85"/>
      <c r="I37" s="6422"/>
      <c r="J37" s="6423"/>
    </row>
    <row r="38" spans="1:10" ht="15.75">
      <c r="A38" s="6381"/>
      <c r="B38" s="6379"/>
      <c r="C38" s="6377"/>
      <c r="D38" s="85"/>
      <c r="E38" s="6381"/>
      <c r="F38" s="6376" t="s">
        <v>206</v>
      </c>
      <c r="G38" s="6377" t="s">
        <v>826</v>
      </c>
      <c r="H38" s="85"/>
      <c r="I38" s="6424"/>
      <c r="J38" s="6425"/>
    </row>
    <row r="39" spans="1:10" ht="15.75">
      <c r="A39" s="6381"/>
      <c r="B39" s="6379"/>
      <c r="C39" s="6377"/>
      <c r="D39" s="85"/>
      <c r="E39" s="6381"/>
      <c r="F39" s="6376"/>
      <c r="G39" s="6377"/>
      <c r="H39" s="85"/>
      <c r="I39" s="6424"/>
      <c r="J39" s="6425"/>
    </row>
    <row r="40" spans="1:10" ht="15.75">
      <c r="A40" s="6381"/>
      <c r="B40" s="6381"/>
      <c r="C40" s="6377"/>
      <c r="D40" s="85"/>
      <c r="E40" s="6376" t="s">
        <v>831</v>
      </c>
      <c r="F40" s="6376" t="s">
        <v>832</v>
      </c>
      <c r="G40" s="6377" t="s">
        <v>833</v>
      </c>
      <c r="H40" s="85"/>
      <c r="I40" s="6424"/>
      <c r="J40" s="6426"/>
    </row>
    <row r="41" spans="1:10" ht="15.75">
      <c r="A41" s="69"/>
      <c r="B41" s="85"/>
      <c r="C41" s="85"/>
      <c r="D41" s="85"/>
      <c r="E41" s="6381"/>
      <c r="F41" s="6376" t="s">
        <v>119</v>
      </c>
      <c r="G41" s="6377" t="s">
        <v>833</v>
      </c>
      <c r="H41" s="85"/>
      <c r="I41" s="6424"/>
      <c r="J41" s="6379"/>
    </row>
    <row r="42" spans="1:10" ht="15.75">
      <c r="A42" s="5"/>
      <c r="B42" s="5"/>
      <c r="C42" s="5"/>
      <c r="E42" s="6408"/>
      <c r="F42" s="6427" t="s">
        <v>175</v>
      </c>
      <c r="G42" s="6377" t="s">
        <v>833</v>
      </c>
      <c r="I42" s="6428"/>
      <c r="J42" s="6429"/>
    </row>
    <row r="43" spans="1:10" ht="15.75">
      <c r="A43" s="69"/>
      <c r="B43" s="91"/>
      <c r="E43" s="6408"/>
      <c r="F43" s="6407" t="s">
        <v>821</v>
      </c>
      <c r="G43" s="6377"/>
      <c r="I43" s="6408"/>
      <c r="J43" s="6379"/>
    </row>
    <row r="44" spans="1:10" ht="15.75">
      <c r="B44" s="91"/>
      <c r="E44" s="6375"/>
      <c r="F44" s="6376" t="s">
        <v>834</v>
      </c>
      <c r="G44" s="6377" t="s">
        <v>833</v>
      </c>
      <c r="I44" s="6408"/>
      <c r="J44" s="6379"/>
    </row>
    <row r="45" spans="1:10" ht="15.75">
      <c r="B45" s="91"/>
      <c r="E45" s="6408"/>
      <c r="F45" s="6376"/>
      <c r="G45" s="6377"/>
      <c r="I45" s="6408"/>
      <c r="J45" s="6426"/>
    </row>
    <row r="46" spans="1:10" ht="15.75">
      <c r="B46" s="91"/>
      <c r="E46" s="6381"/>
      <c r="F46" s="6427"/>
      <c r="G46" s="6377"/>
      <c r="I46" s="6408"/>
      <c r="J46" s="6379"/>
    </row>
    <row r="47" spans="1:10" ht="15.75">
      <c r="A47" s="69" t="s">
        <v>609</v>
      </c>
      <c r="B47" s="85"/>
      <c r="C47" s="85"/>
      <c r="E47" s="6381"/>
      <c r="F47" s="6404"/>
      <c r="G47" s="6377"/>
    </row>
    <row r="48" spans="1:10" ht="15.75">
      <c r="A48" s="6371" t="s">
        <v>779</v>
      </c>
      <c r="B48" s="6371" t="s">
        <v>780</v>
      </c>
      <c r="C48" s="6371" t="s">
        <v>781</v>
      </c>
      <c r="E48" s="6381"/>
      <c r="F48" s="6430"/>
      <c r="G48" s="6377"/>
    </row>
    <row r="49" spans="1:3" ht="15.75">
      <c r="A49" s="6375" t="s">
        <v>782</v>
      </c>
      <c r="B49" s="6376" t="s">
        <v>835</v>
      </c>
      <c r="C49" s="6377"/>
    </row>
    <row r="50" spans="1:3" ht="15.75">
      <c r="A50" s="6381"/>
      <c r="B50" s="6376" t="s">
        <v>252</v>
      </c>
      <c r="C50" s="6377"/>
    </row>
    <row r="51" spans="1:3" ht="15">
      <c r="A51" s="6381"/>
      <c r="B51" s="6431" t="s">
        <v>836</v>
      </c>
      <c r="C51" s="6377"/>
    </row>
    <row r="52" spans="1:3" ht="15.75">
      <c r="A52" s="6381"/>
      <c r="B52" s="6432" t="s">
        <v>837</v>
      </c>
      <c r="C52" s="6377"/>
    </row>
    <row r="53" spans="1:3" ht="15">
      <c r="B53" s="91"/>
    </row>
    <row r="54" spans="1:3" ht="15">
      <c r="B54" s="91"/>
    </row>
    <row r="55" spans="1:3" ht="15">
      <c r="B55" s="91"/>
    </row>
    <row r="56" spans="1:3" ht="15">
      <c r="B56" s="91"/>
    </row>
    <row r="58" spans="1:3" ht="15.75">
      <c r="A58" s="6375" t="s">
        <v>613</v>
      </c>
      <c r="B58" s="6433"/>
    </row>
    <row r="59" spans="1:3" ht="15.75">
      <c r="A59" s="6375" t="s">
        <v>800</v>
      </c>
      <c r="B59" s="6433"/>
    </row>
    <row r="60" spans="1:3" ht="15.75">
      <c r="A60" s="6408"/>
      <c r="B60" s="6434" t="s">
        <v>838</v>
      </c>
    </row>
    <row r="61" spans="1:3" ht="15.75">
      <c r="A61" s="6408"/>
      <c r="B61" s="6434" t="s">
        <v>839</v>
      </c>
    </row>
    <row r="62" spans="1:3" ht="15.75">
      <c r="A62" s="6408"/>
      <c r="B62" s="6434" t="s">
        <v>294</v>
      </c>
    </row>
    <row r="63" spans="1:3" ht="15.75">
      <c r="A63" s="6408"/>
      <c r="B63" s="6434" t="s">
        <v>840</v>
      </c>
    </row>
    <row r="64" spans="1:3" ht="15.75">
      <c r="A64" s="6408"/>
      <c r="B64" s="6434" t="s">
        <v>841</v>
      </c>
    </row>
    <row r="65" spans="1:2" ht="15.75">
      <c r="A65" s="6408"/>
      <c r="B65" s="6434" t="s">
        <v>842</v>
      </c>
    </row>
    <row r="66" spans="1:2" ht="15.75">
      <c r="A66" s="6408"/>
      <c r="B66" s="6434" t="s">
        <v>843</v>
      </c>
    </row>
    <row r="67" spans="1:2" ht="15.75">
      <c r="A67" s="6408"/>
      <c r="B67" s="6388" t="s">
        <v>844</v>
      </c>
    </row>
    <row r="68" spans="1:2" ht="15.75">
      <c r="A68" s="6408"/>
      <c r="B68" s="6435" t="s">
        <v>845</v>
      </c>
    </row>
    <row r="69" spans="1:2" ht="15.75">
      <c r="A69" s="6408"/>
      <c r="B69" s="6436" t="s">
        <v>846</v>
      </c>
    </row>
    <row r="70" spans="1:2" ht="15.75">
      <c r="A70" s="6408"/>
      <c r="B70" s="6434" t="s">
        <v>847</v>
      </c>
    </row>
    <row r="71" spans="1:2" ht="15.75">
      <c r="A71" s="6408"/>
      <c r="B71" s="6434" t="s">
        <v>848</v>
      </c>
    </row>
    <row r="72" spans="1:2" ht="15.75">
      <c r="A72" s="6408"/>
      <c r="B72" s="6432" t="s">
        <v>849</v>
      </c>
    </row>
    <row r="73" spans="1:2" ht="15.75">
      <c r="A73" s="6408"/>
      <c r="B73" s="6437" t="s">
        <v>802</v>
      </c>
    </row>
    <row r="74" spans="1:2" ht="15.75">
      <c r="A74" s="69" t="s">
        <v>228</v>
      </c>
      <c r="B74" s="69"/>
    </row>
    <row r="75" spans="1:2" ht="15.75">
      <c r="A75" s="6381"/>
      <c r="B75" s="6434" t="s">
        <v>850</v>
      </c>
    </row>
    <row r="76" spans="1:2" ht="15.75">
      <c r="A76" s="6381"/>
      <c r="B76" s="6434" t="s">
        <v>851</v>
      </c>
    </row>
    <row r="77" spans="1:2" ht="15.75">
      <c r="A77" s="6381"/>
      <c r="B77" s="6434" t="s">
        <v>852</v>
      </c>
    </row>
    <row r="78" spans="1:2" ht="15.75">
      <c r="A78" s="6381"/>
      <c r="B78" s="6434" t="s">
        <v>853</v>
      </c>
    </row>
    <row r="79" spans="1:2" ht="15.75">
      <c r="A79" s="6381"/>
      <c r="B79" s="6404" t="s">
        <v>854</v>
      </c>
    </row>
    <row r="80" spans="1:2" ht="15.75">
      <c r="A80" s="6408"/>
      <c r="B80" s="6404" t="s">
        <v>855</v>
      </c>
    </row>
  </sheetData>
  <sheetProtection algorithmName="SHA-512" hashValue="Xh3MbfQVZ8Ym3+34EJ5tXdCRAJZPRyrQMIp3pyrN3cm91yPD6q3haNSVe19aJuGYu64bxXkxj+sNL8ThaMJuqg==" saltValue="hiFSONkP1cfxNcsND29uVA==" spinCount="100000" sheet="1" objects="1" scenarios="1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Ark31"/>
  <dimension ref="A1:M159"/>
  <sheetViews>
    <sheetView topLeftCell="A114" workbookViewId="0">
      <selection activeCell="G63" sqref="G63"/>
    </sheetView>
  </sheetViews>
  <sheetFormatPr defaultRowHeight="12"/>
  <cols>
    <col min="1" max="1" width="26.85546875" customWidth="1"/>
    <col min="2" max="10" width="11.28515625" customWidth="1"/>
    <col min="11" max="11" width="12.85546875" customWidth="1"/>
    <col min="12" max="12" width="12.28515625" customWidth="1"/>
  </cols>
  <sheetData>
    <row r="1" spans="1:10" ht="23.25">
      <c r="A1" s="1" t="s">
        <v>856</v>
      </c>
      <c r="B1" s="1"/>
      <c r="D1" s="2"/>
      <c r="E1" s="2"/>
    </row>
    <row r="2" spans="1:10" ht="12.75">
      <c r="A2" s="6438" t="s">
        <v>857</v>
      </c>
      <c r="B2" s="6439" t="s">
        <v>19</v>
      </c>
      <c r="C2" s="6440" t="s">
        <v>20</v>
      </c>
      <c r="D2" s="6440" t="s">
        <v>21</v>
      </c>
      <c r="E2" s="6440" t="s">
        <v>22</v>
      </c>
      <c r="F2" s="6440" t="s">
        <v>23</v>
      </c>
      <c r="G2" s="6440" t="s">
        <v>24</v>
      </c>
      <c r="H2" s="6179" t="s">
        <v>25</v>
      </c>
      <c r="I2" s="6176" t="s">
        <v>202</v>
      </c>
      <c r="J2" s="6441" t="s">
        <v>108</v>
      </c>
    </row>
    <row r="3" spans="1:10" ht="12.75">
      <c r="A3" s="548"/>
      <c r="B3" s="623" t="s">
        <v>308</v>
      </c>
      <c r="C3" s="623" t="s">
        <v>308</v>
      </c>
      <c r="D3" s="623" t="s">
        <v>308</v>
      </c>
      <c r="E3" s="623" t="s">
        <v>308</v>
      </c>
      <c r="F3" s="624" t="s">
        <v>309</v>
      </c>
      <c r="G3" s="625"/>
      <c r="H3" s="626"/>
      <c r="I3" s="549"/>
      <c r="J3" s="568"/>
    </row>
    <row r="4" spans="1:10">
      <c r="A4" s="1484" t="s">
        <v>858</v>
      </c>
      <c r="B4" s="1529">
        <v>7.75</v>
      </c>
      <c r="C4" s="1529">
        <v>7.75</v>
      </c>
      <c r="D4" s="1529">
        <v>7.75</v>
      </c>
      <c r="E4" s="1529">
        <v>7.75</v>
      </c>
      <c r="F4" s="1530">
        <v>6</v>
      </c>
      <c r="G4" s="1531"/>
      <c r="H4" s="1532"/>
      <c r="I4" s="1654">
        <f>SUM(B4:H4)</f>
        <v>37</v>
      </c>
      <c r="J4" s="1473"/>
    </row>
    <row r="6" spans="1:10" ht="23.25">
      <c r="A6" s="1" t="s">
        <v>18</v>
      </c>
      <c r="B6" s="1"/>
      <c r="D6" s="2"/>
      <c r="E6" s="2"/>
    </row>
    <row r="7" spans="1:10" ht="12.75">
      <c r="A7" s="6175" t="s">
        <v>859</v>
      </c>
      <c r="B7" s="6442" t="s">
        <v>19</v>
      </c>
      <c r="C7" s="6443" t="s">
        <v>20</v>
      </c>
      <c r="D7" s="6443" t="s">
        <v>21</v>
      </c>
      <c r="E7" s="6443" t="s">
        <v>22</v>
      </c>
      <c r="F7" s="6443" t="s">
        <v>23</v>
      </c>
      <c r="G7" s="6443" t="s">
        <v>24</v>
      </c>
      <c r="H7" s="6444" t="s">
        <v>25</v>
      </c>
      <c r="I7" s="6445" t="s">
        <v>202</v>
      </c>
      <c r="J7" s="6446" t="s">
        <v>108</v>
      </c>
    </row>
    <row r="8" spans="1:10">
      <c r="A8" s="6447"/>
      <c r="B8" s="6448" t="s">
        <v>174</v>
      </c>
      <c r="C8" s="6448" t="s">
        <v>860</v>
      </c>
      <c r="D8" s="6449" t="s">
        <v>861</v>
      </c>
      <c r="E8" s="6449" t="s">
        <v>861</v>
      </c>
      <c r="F8" s="6449" t="s">
        <v>861</v>
      </c>
      <c r="G8" s="6449" t="s">
        <v>862</v>
      </c>
      <c r="H8" s="6449" t="s">
        <v>862</v>
      </c>
      <c r="I8" s="6176"/>
      <c r="J8" s="6450"/>
    </row>
    <row r="9" spans="1:10">
      <c r="A9" s="6451" t="s">
        <v>863</v>
      </c>
      <c r="B9" s="6452">
        <v>7.4</v>
      </c>
      <c r="C9" s="1529">
        <v>8</v>
      </c>
      <c r="D9" s="1530">
        <v>8</v>
      </c>
      <c r="E9" s="1530">
        <v>8</v>
      </c>
      <c r="F9" s="1530">
        <v>8</v>
      </c>
      <c r="G9" s="1530">
        <v>12</v>
      </c>
      <c r="H9" s="1533">
        <v>12</v>
      </c>
      <c r="I9" s="1655">
        <f>SUM(B9:H9)</f>
        <v>63.4</v>
      </c>
      <c r="J9" s="1474"/>
    </row>
    <row r="10" spans="1:10">
      <c r="A10" s="569"/>
      <c r="B10" s="623" t="s">
        <v>861</v>
      </c>
      <c r="C10" s="623" t="s">
        <v>861</v>
      </c>
      <c r="D10" s="6448" t="s">
        <v>174</v>
      </c>
      <c r="E10" s="6448" t="s">
        <v>174</v>
      </c>
      <c r="F10" s="6448" t="s">
        <v>174</v>
      </c>
      <c r="G10" s="624"/>
      <c r="H10" s="627"/>
      <c r="I10" s="549"/>
      <c r="J10" s="570"/>
    </row>
    <row r="11" spans="1:10">
      <c r="A11" s="1484" t="s">
        <v>864</v>
      </c>
      <c r="B11" s="1529">
        <v>8</v>
      </c>
      <c r="C11" s="1530">
        <v>8</v>
      </c>
      <c r="D11" s="6452">
        <v>7.4</v>
      </c>
      <c r="E11" s="6452">
        <v>7.4</v>
      </c>
      <c r="F11" s="6452">
        <v>7.4</v>
      </c>
      <c r="G11" s="1530"/>
      <c r="H11" s="1533"/>
      <c r="I11" s="1655">
        <f>SUM(B11:H11)</f>
        <v>38.199999999999996</v>
      </c>
      <c r="J11" s="1474"/>
    </row>
    <row r="12" spans="1:10">
      <c r="A12" s="6453"/>
      <c r="B12" s="6448" t="s">
        <v>865</v>
      </c>
      <c r="C12" s="6448" t="s">
        <v>865</v>
      </c>
      <c r="D12" s="6448" t="s">
        <v>865</v>
      </c>
      <c r="E12" s="6448" t="s">
        <v>865</v>
      </c>
      <c r="F12" s="6448" t="s">
        <v>865</v>
      </c>
      <c r="G12" s="6449"/>
      <c r="H12" s="6454"/>
      <c r="I12" s="6176"/>
      <c r="J12" s="6450"/>
    </row>
    <row r="13" spans="1:10">
      <c r="A13" s="1484" t="s">
        <v>866</v>
      </c>
      <c r="B13" s="1529">
        <v>8</v>
      </c>
      <c r="C13" s="1530">
        <v>8</v>
      </c>
      <c r="D13" s="1530">
        <v>8</v>
      </c>
      <c r="E13" s="1530">
        <v>8</v>
      </c>
      <c r="F13" s="1530">
        <v>8</v>
      </c>
      <c r="G13" s="1530"/>
      <c r="H13" s="1533"/>
      <c r="I13" s="1655">
        <f>SUM(B13:H13)</f>
        <v>40</v>
      </c>
      <c r="J13" s="1474"/>
    </row>
    <row r="14" spans="1:10">
      <c r="A14" s="6453"/>
      <c r="B14" s="6448" t="s">
        <v>867</v>
      </c>
      <c r="C14" s="6448" t="s">
        <v>867</v>
      </c>
      <c r="D14" s="6448" t="s">
        <v>867</v>
      </c>
      <c r="E14" s="6448" t="s">
        <v>867</v>
      </c>
      <c r="F14" s="6455" t="s">
        <v>867</v>
      </c>
      <c r="G14" s="6456" t="s">
        <v>868</v>
      </c>
      <c r="H14" s="6457" t="s">
        <v>868</v>
      </c>
      <c r="I14" s="6176"/>
      <c r="J14" s="6380"/>
    </row>
    <row r="15" spans="1:10">
      <c r="A15" s="6458" t="s">
        <v>782</v>
      </c>
      <c r="B15" s="6452">
        <v>8</v>
      </c>
      <c r="C15" s="6452">
        <v>8</v>
      </c>
      <c r="D15" s="6452">
        <v>8</v>
      </c>
      <c r="E15" s="6452">
        <v>8</v>
      </c>
      <c r="F15" s="6452">
        <v>8</v>
      </c>
      <c r="G15" s="6452">
        <v>12</v>
      </c>
      <c r="H15" s="6459">
        <v>12</v>
      </c>
      <c r="I15" s="1655">
        <f>SUM(B15:H15)</f>
        <v>64</v>
      </c>
      <c r="J15" s="6460"/>
    </row>
    <row r="16" spans="1:10">
      <c r="A16" s="6453"/>
      <c r="B16" s="6448" t="s">
        <v>174</v>
      </c>
      <c r="C16" s="6448" t="s">
        <v>174</v>
      </c>
      <c r="D16" s="6448" t="s">
        <v>174</v>
      </c>
      <c r="E16" s="6448" t="s">
        <v>174</v>
      </c>
      <c r="F16" s="6448" t="s">
        <v>174</v>
      </c>
      <c r="G16" s="6461"/>
      <c r="H16" s="6235"/>
      <c r="I16" s="6176"/>
      <c r="J16" s="6380"/>
    </row>
    <row r="17" spans="1:10">
      <c r="A17" s="6458" t="s">
        <v>869</v>
      </c>
      <c r="B17" s="6452">
        <v>7.4</v>
      </c>
      <c r="C17" s="6452">
        <v>7.4</v>
      </c>
      <c r="D17" s="6452">
        <v>7.4</v>
      </c>
      <c r="E17" s="6452">
        <v>7.4</v>
      </c>
      <c r="F17" s="6452">
        <v>7.4</v>
      </c>
      <c r="G17" s="6462"/>
      <c r="H17" s="6463"/>
      <c r="I17" s="1655">
        <f>SUM(B17:H17)</f>
        <v>37</v>
      </c>
      <c r="J17" s="6460"/>
    </row>
    <row r="18" spans="1:10">
      <c r="A18" s="569"/>
      <c r="B18" s="623" t="s">
        <v>867</v>
      </c>
      <c r="C18" s="623" t="s">
        <v>867</v>
      </c>
      <c r="D18" s="623" t="s">
        <v>867</v>
      </c>
      <c r="E18" s="623" t="s">
        <v>867</v>
      </c>
      <c r="F18" s="623" t="s">
        <v>867</v>
      </c>
      <c r="G18" s="592"/>
      <c r="H18" s="516"/>
      <c r="I18" s="6448" t="s">
        <v>0</v>
      </c>
      <c r="J18" s="567"/>
    </row>
    <row r="19" spans="1:10">
      <c r="A19" s="6458" t="s">
        <v>870</v>
      </c>
      <c r="B19" s="6452">
        <v>8</v>
      </c>
      <c r="C19" s="6452">
        <v>8</v>
      </c>
      <c r="D19" s="6452">
        <v>8</v>
      </c>
      <c r="E19" s="6452">
        <v>8</v>
      </c>
      <c r="F19" s="6452">
        <v>8</v>
      </c>
      <c r="G19" s="6462"/>
      <c r="H19" s="6464"/>
      <c r="I19" s="1655">
        <f>SUM(B19:H19)</f>
        <v>40</v>
      </c>
      <c r="J19" s="6460"/>
    </row>
    <row r="20" spans="1:10">
      <c r="A20" s="6465" t="s">
        <v>871</v>
      </c>
      <c r="B20" s="6465">
        <f t="shared" ref="B20:I20" si="0">SUM(B9,B11,B13,B15,B17,B19)</f>
        <v>46.8</v>
      </c>
      <c r="C20" s="6465">
        <f t="shared" si="0"/>
        <v>47.4</v>
      </c>
      <c r="D20" s="6465">
        <f t="shared" si="0"/>
        <v>46.8</v>
      </c>
      <c r="E20" s="6465">
        <f t="shared" si="0"/>
        <v>46.8</v>
      </c>
      <c r="F20" s="6465">
        <f t="shared" si="0"/>
        <v>46.8</v>
      </c>
      <c r="G20" s="6465">
        <f t="shared" si="0"/>
        <v>24</v>
      </c>
      <c r="H20" s="6465">
        <f t="shared" si="0"/>
        <v>24</v>
      </c>
      <c r="I20" s="6465">
        <f t="shared" si="0"/>
        <v>282.60000000000002</v>
      </c>
      <c r="J20" s="6466"/>
    </row>
    <row r="21" spans="1:10" ht="23.25">
      <c r="D21" s="2"/>
      <c r="E21" s="2"/>
    </row>
    <row r="22" spans="1:10" ht="23.25">
      <c r="A22" s="3" t="s">
        <v>872</v>
      </c>
      <c r="D22" s="2"/>
      <c r="E22" s="2"/>
    </row>
    <row r="23" spans="1:10" ht="12.75">
      <c r="A23" s="6467" t="s">
        <v>873</v>
      </c>
      <c r="B23" s="6468" t="s">
        <v>19</v>
      </c>
      <c r="C23" s="3200" t="s">
        <v>20</v>
      </c>
      <c r="D23" s="3200" t="s">
        <v>21</v>
      </c>
      <c r="E23" s="3200" t="s">
        <v>22</v>
      </c>
      <c r="F23" s="3200" t="s">
        <v>23</v>
      </c>
      <c r="G23" s="3200" t="s">
        <v>24</v>
      </c>
      <c r="H23" s="6469" t="s">
        <v>25</v>
      </c>
      <c r="I23" s="6470" t="s">
        <v>202</v>
      </c>
      <c r="J23" s="6471" t="s">
        <v>108</v>
      </c>
    </row>
    <row r="24" spans="1:10">
      <c r="A24" s="6453"/>
      <c r="B24" s="6448" t="s">
        <v>874</v>
      </c>
      <c r="C24" s="6448" t="s">
        <v>874</v>
      </c>
      <c r="D24" s="6448" t="s">
        <v>874</v>
      </c>
      <c r="E24" s="6448" t="s">
        <v>874</v>
      </c>
      <c r="F24" s="6449" t="s">
        <v>875</v>
      </c>
      <c r="G24" s="6449"/>
      <c r="H24" s="6454"/>
      <c r="I24" s="6176"/>
      <c r="J24" s="6472"/>
    </row>
    <row r="25" spans="1:10">
      <c r="A25" s="1484" t="s">
        <v>876</v>
      </c>
      <c r="B25" s="1529">
        <v>7.75</v>
      </c>
      <c r="C25" s="1529">
        <v>7.75</v>
      </c>
      <c r="D25" s="1529">
        <v>7.75</v>
      </c>
      <c r="E25" s="1529">
        <v>7.75</v>
      </c>
      <c r="F25" s="1530">
        <v>6</v>
      </c>
      <c r="G25" s="1530"/>
      <c r="H25" s="1533"/>
      <c r="I25" s="1655">
        <f>SUM(B25:H25)</f>
        <v>37</v>
      </c>
      <c r="J25" s="1659"/>
    </row>
    <row r="26" spans="1:10">
      <c r="A26" s="6453"/>
      <c r="B26" s="6448" t="s">
        <v>874</v>
      </c>
      <c r="C26" s="6448" t="s">
        <v>874</v>
      </c>
      <c r="D26" s="6448" t="s">
        <v>874</v>
      </c>
      <c r="E26" s="6448" t="s">
        <v>874</v>
      </c>
      <c r="F26" s="6449" t="s">
        <v>875</v>
      </c>
      <c r="G26" s="6449"/>
      <c r="H26" s="6454"/>
      <c r="I26" s="6176"/>
      <c r="J26" s="6472"/>
    </row>
    <row r="27" spans="1:10">
      <c r="A27" s="1484" t="s">
        <v>877</v>
      </c>
      <c r="B27" s="1529">
        <v>7.75</v>
      </c>
      <c r="C27" s="1529">
        <v>7.75</v>
      </c>
      <c r="D27" s="1529">
        <v>7.75</v>
      </c>
      <c r="E27" s="1529">
        <v>7.75</v>
      </c>
      <c r="F27" s="1530">
        <v>6</v>
      </c>
      <c r="G27" s="1530"/>
      <c r="H27" s="1533"/>
      <c r="I27" s="1655">
        <f>SUM(B27:H27)</f>
        <v>37</v>
      </c>
      <c r="J27" s="1659"/>
    </row>
    <row r="28" spans="1:10">
      <c r="A28" s="6453"/>
      <c r="B28" s="6448" t="s">
        <v>874</v>
      </c>
      <c r="C28" s="6448" t="s">
        <v>874</v>
      </c>
      <c r="D28" s="6448" t="s">
        <v>874</v>
      </c>
      <c r="E28" s="6448" t="s">
        <v>874</v>
      </c>
      <c r="F28" s="6449" t="s">
        <v>875</v>
      </c>
      <c r="G28" s="6449"/>
      <c r="H28" s="6454"/>
      <c r="I28" s="6176"/>
      <c r="J28" s="6472"/>
    </row>
    <row r="29" spans="1:10">
      <c r="A29" s="1484" t="s">
        <v>796</v>
      </c>
      <c r="B29" s="1529">
        <v>7.75</v>
      </c>
      <c r="C29" s="1529">
        <v>7.75</v>
      </c>
      <c r="D29" s="1529">
        <v>7.75</v>
      </c>
      <c r="E29" s="1529">
        <v>7.75</v>
      </c>
      <c r="F29" s="1530">
        <v>6</v>
      </c>
      <c r="G29" s="1530"/>
      <c r="H29" s="1533"/>
      <c r="I29" s="1655">
        <f>SUM(B29:H29)</f>
        <v>37</v>
      </c>
      <c r="J29" s="1659"/>
    </row>
    <row r="30" spans="1:10">
      <c r="A30" s="6465" t="s">
        <v>871</v>
      </c>
      <c r="B30" s="6465">
        <f t="shared" ref="B30:I30" si="1">SUM(B25,B27,B29)</f>
        <v>23.25</v>
      </c>
      <c r="C30" s="6465">
        <f t="shared" si="1"/>
        <v>23.25</v>
      </c>
      <c r="D30" s="6465">
        <f t="shared" si="1"/>
        <v>23.25</v>
      </c>
      <c r="E30" s="6465">
        <f t="shared" si="1"/>
        <v>23.25</v>
      </c>
      <c r="F30" s="6465">
        <f t="shared" si="1"/>
        <v>18</v>
      </c>
      <c r="G30" s="6465">
        <f t="shared" si="1"/>
        <v>0</v>
      </c>
      <c r="H30" s="6465">
        <f t="shared" si="1"/>
        <v>0</v>
      </c>
      <c r="I30" s="6473">
        <f t="shared" si="1"/>
        <v>111</v>
      </c>
      <c r="J30" s="6474"/>
    </row>
    <row r="33" spans="1:13" ht="12.75">
      <c r="A33" s="1" t="s">
        <v>878</v>
      </c>
      <c r="B33" s="5"/>
      <c r="C33" s="5"/>
      <c r="D33" s="5"/>
      <c r="E33" s="5"/>
      <c r="F33" s="5"/>
    </row>
    <row r="34" spans="1:13" ht="12.75">
      <c r="A34" s="6438" t="s">
        <v>879</v>
      </c>
      <c r="B34" s="6439" t="s">
        <v>19</v>
      </c>
      <c r="C34" s="6440" t="s">
        <v>20</v>
      </c>
      <c r="D34" s="6440" t="s">
        <v>21</v>
      </c>
      <c r="E34" s="6440" t="s">
        <v>22</v>
      </c>
      <c r="F34" s="6440" t="s">
        <v>23</v>
      </c>
      <c r="G34" s="6440" t="s">
        <v>24</v>
      </c>
      <c r="H34" s="6179" t="s">
        <v>25</v>
      </c>
      <c r="I34" s="6176" t="s">
        <v>202</v>
      </c>
      <c r="J34" s="6441" t="s">
        <v>108</v>
      </c>
    </row>
    <row r="35" spans="1:13">
      <c r="A35" s="571" t="s">
        <v>880</v>
      </c>
      <c r="B35" s="628" t="s">
        <v>881</v>
      </c>
      <c r="C35" s="628" t="s">
        <v>881</v>
      </c>
      <c r="D35" s="6475" t="s">
        <v>861</v>
      </c>
      <c r="E35" s="6475" t="s">
        <v>861</v>
      </c>
      <c r="F35" s="6475" t="s">
        <v>861</v>
      </c>
      <c r="G35" s="6476" t="s">
        <v>862</v>
      </c>
      <c r="H35" s="6477" t="s">
        <v>861</v>
      </c>
      <c r="I35" s="549"/>
      <c r="J35" s="570"/>
      <c r="L35" s="7" t="s">
        <v>882</v>
      </c>
      <c r="M35" s="7"/>
    </row>
    <row r="36" spans="1:13" ht="12.75">
      <c r="A36" s="6478" t="s">
        <v>10</v>
      </c>
      <c r="B36" s="255">
        <v>7.75</v>
      </c>
      <c r="C36" s="255">
        <v>7.75</v>
      </c>
      <c r="D36" s="6479">
        <v>8</v>
      </c>
      <c r="E36" s="6479">
        <v>8</v>
      </c>
      <c r="F36" s="6479">
        <v>8</v>
      </c>
      <c r="G36" s="1534">
        <v>12</v>
      </c>
      <c r="H36" s="1535">
        <v>8</v>
      </c>
      <c r="I36" s="1655">
        <f>SUM(B36:H36)</f>
        <v>59.5</v>
      </c>
      <c r="J36" s="228"/>
      <c r="L36" s="8" t="s">
        <v>883</v>
      </c>
      <c r="M36" s="8"/>
    </row>
    <row r="37" spans="1:13">
      <c r="A37" s="6480"/>
      <c r="B37" s="6448" t="s">
        <v>860</v>
      </c>
      <c r="C37" s="6449" t="s">
        <v>875</v>
      </c>
      <c r="D37" s="6481" t="s">
        <v>884</v>
      </c>
      <c r="E37" s="6481" t="s">
        <v>884</v>
      </c>
      <c r="F37" s="6481" t="s">
        <v>884</v>
      </c>
      <c r="G37" s="6481" t="s">
        <v>885</v>
      </c>
      <c r="H37" s="6482" t="s">
        <v>884</v>
      </c>
      <c r="I37" s="6176"/>
      <c r="J37" s="6450"/>
      <c r="L37" s="9" t="s">
        <v>886</v>
      </c>
      <c r="M37" s="9"/>
    </row>
    <row r="38" spans="1:13" ht="12.75">
      <c r="A38" s="6478" t="s">
        <v>10</v>
      </c>
      <c r="B38" s="1529">
        <v>8</v>
      </c>
      <c r="C38" s="1530">
        <v>6</v>
      </c>
      <c r="D38" s="1536">
        <v>7</v>
      </c>
      <c r="E38" s="1536">
        <v>7</v>
      </c>
      <c r="F38" s="1536">
        <v>7</v>
      </c>
      <c r="G38" s="1536">
        <v>11</v>
      </c>
      <c r="H38" s="1537">
        <v>7</v>
      </c>
      <c r="I38" s="1655">
        <f>SUM(B38:H38)</f>
        <v>53</v>
      </c>
      <c r="J38" s="1474"/>
    </row>
    <row r="39" spans="1:13">
      <c r="A39" s="6480"/>
      <c r="B39" s="6448" t="s">
        <v>174</v>
      </c>
      <c r="C39" s="6448" t="s">
        <v>174</v>
      </c>
      <c r="D39" s="6481" t="s">
        <v>884</v>
      </c>
      <c r="E39" s="6481" t="s">
        <v>884</v>
      </c>
      <c r="F39" s="6481" t="s">
        <v>884</v>
      </c>
      <c r="G39" s="6481" t="s">
        <v>885</v>
      </c>
      <c r="H39" s="6482" t="s">
        <v>884</v>
      </c>
      <c r="I39" s="6176"/>
      <c r="J39" s="6450"/>
      <c r="L39" s="10" t="s">
        <v>887</v>
      </c>
      <c r="M39" s="10" t="s">
        <v>888</v>
      </c>
    </row>
    <row r="40" spans="1:13" ht="12.75">
      <c r="A40" s="6478" t="s">
        <v>10</v>
      </c>
      <c r="B40" s="6452">
        <v>7.4</v>
      </c>
      <c r="C40" s="6452">
        <v>7.4</v>
      </c>
      <c r="D40" s="1536">
        <v>7</v>
      </c>
      <c r="E40" s="1536">
        <v>7</v>
      </c>
      <c r="F40" s="1536">
        <v>7</v>
      </c>
      <c r="G40" s="1536">
        <v>11</v>
      </c>
      <c r="H40" s="1537">
        <v>7</v>
      </c>
      <c r="I40" s="1655">
        <f>SUM(B40:H40)</f>
        <v>53.8</v>
      </c>
      <c r="J40" s="1474"/>
    </row>
    <row r="41" spans="1:13">
      <c r="A41" s="6483" t="s">
        <v>889</v>
      </c>
      <c r="B41" s="6481" t="s">
        <v>884</v>
      </c>
      <c r="C41" s="6481" t="s">
        <v>884</v>
      </c>
      <c r="D41" s="6448" t="s">
        <v>174</v>
      </c>
      <c r="E41" s="6448" t="s">
        <v>174</v>
      </c>
      <c r="F41" s="6448" t="s">
        <v>174</v>
      </c>
      <c r="G41" s="6457"/>
      <c r="H41" s="6235"/>
      <c r="I41" s="6176"/>
      <c r="J41" s="6380"/>
    </row>
    <row r="42" spans="1:13" ht="12.75">
      <c r="A42" s="6478" t="s">
        <v>10</v>
      </c>
      <c r="B42" s="1536">
        <v>7</v>
      </c>
      <c r="C42" s="1536">
        <v>7</v>
      </c>
      <c r="D42" s="6452">
        <v>7.4</v>
      </c>
      <c r="E42" s="6452">
        <v>7.4</v>
      </c>
      <c r="F42" s="6452">
        <v>7.4</v>
      </c>
      <c r="G42" s="6462"/>
      <c r="H42" s="6463"/>
      <c r="I42" s="1655">
        <f>SUM(B42:H42)</f>
        <v>36.199999999999996</v>
      </c>
      <c r="J42" s="6460"/>
    </row>
    <row r="43" spans="1:13">
      <c r="A43" s="6480"/>
      <c r="B43" s="6475" t="s">
        <v>861</v>
      </c>
      <c r="C43" s="6475" t="s">
        <v>861</v>
      </c>
      <c r="D43" s="6448" t="s">
        <v>174</v>
      </c>
      <c r="E43" s="6448" t="s">
        <v>174</v>
      </c>
      <c r="F43" s="6448" t="s">
        <v>174</v>
      </c>
      <c r="G43" s="6461"/>
      <c r="H43" s="6235"/>
      <c r="I43" s="6176"/>
      <c r="J43" s="6380"/>
    </row>
    <row r="44" spans="1:13" ht="12.75">
      <c r="A44" s="1660" t="s">
        <v>10</v>
      </c>
      <c r="B44" s="6479">
        <v>8</v>
      </c>
      <c r="C44" s="6479">
        <v>8</v>
      </c>
      <c r="D44" s="6452">
        <v>7.4</v>
      </c>
      <c r="E44" s="6452">
        <v>7.4</v>
      </c>
      <c r="F44" s="6452">
        <v>7.4</v>
      </c>
      <c r="G44" s="6462"/>
      <c r="H44" s="6463"/>
      <c r="I44" s="1655">
        <f>SUM(B44:H44)</f>
        <v>38.199999999999996</v>
      </c>
      <c r="J44" s="6460"/>
      <c r="L44" s="11" t="s">
        <v>890</v>
      </c>
      <c r="M44" s="11"/>
    </row>
    <row r="45" spans="1:13">
      <c r="A45" s="572"/>
      <c r="B45" s="6481" t="s">
        <v>884</v>
      </c>
      <c r="C45" s="6481" t="s">
        <v>884</v>
      </c>
      <c r="D45" s="6448" t="s">
        <v>174</v>
      </c>
      <c r="E45" s="6448" t="s">
        <v>174</v>
      </c>
      <c r="F45" s="6448" t="s">
        <v>174</v>
      </c>
      <c r="G45" s="592"/>
      <c r="H45" s="516"/>
      <c r="I45" s="549"/>
      <c r="J45" s="567"/>
      <c r="L45" s="12" t="s">
        <v>891</v>
      </c>
      <c r="M45" s="12"/>
    </row>
    <row r="46" spans="1:13" ht="12.75">
      <c r="A46" s="1660" t="s">
        <v>10</v>
      </c>
      <c r="B46" s="1536">
        <v>7</v>
      </c>
      <c r="C46" s="1536">
        <v>7</v>
      </c>
      <c r="D46" s="6452">
        <v>7.4</v>
      </c>
      <c r="E46" s="6452">
        <v>7.4</v>
      </c>
      <c r="F46" s="6452">
        <v>7.4</v>
      </c>
      <c r="G46" s="6462"/>
      <c r="H46" s="6464"/>
      <c r="I46" s="1655">
        <f>SUM(B46:H46)</f>
        <v>36.199999999999996</v>
      </c>
      <c r="J46" s="6460"/>
      <c r="L46" s="13" t="s">
        <v>892</v>
      </c>
      <c r="M46" s="13"/>
    </row>
    <row r="47" spans="1:13">
      <c r="A47" s="6483" t="s">
        <v>893</v>
      </c>
      <c r="B47" s="6484" t="s">
        <v>860</v>
      </c>
      <c r="C47" s="6484" t="s">
        <v>860</v>
      </c>
      <c r="D47" s="6484" t="s">
        <v>860</v>
      </c>
      <c r="E47" s="6484" t="s">
        <v>860</v>
      </c>
      <c r="F47" s="6484" t="s">
        <v>875</v>
      </c>
      <c r="G47" s="6449"/>
      <c r="H47" s="6454"/>
      <c r="I47" s="6176"/>
      <c r="J47" s="6450"/>
      <c r="L47" s="14" t="s">
        <v>894</v>
      </c>
      <c r="M47" s="14"/>
    </row>
    <row r="48" spans="1:13" ht="12.75">
      <c r="A48" s="1660" t="s">
        <v>10</v>
      </c>
      <c r="B48" s="1538">
        <v>8</v>
      </c>
      <c r="C48" s="1538">
        <v>8</v>
      </c>
      <c r="D48" s="1538">
        <v>8</v>
      </c>
      <c r="E48" s="1538">
        <v>8</v>
      </c>
      <c r="F48" s="1538">
        <v>6</v>
      </c>
      <c r="G48" s="1530"/>
      <c r="H48" s="1533"/>
      <c r="I48" s="1655">
        <f>SUM(B48:H48)</f>
        <v>38</v>
      </c>
      <c r="J48" s="1474"/>
    </row>
    <row r="49" spans="1:10">
      <c r="A49" s="6480"/>
      <c r="B49" s="6485" t="s">
        <v>860</v>
      </c>
      <c r="C49" s="6485" t="s">
        <v>860</v>
      </c>
      <c r="D49" s="6485" t="s">
        <v>860</v>
      </c>
      <c r="E49" s="6485" t="s">
        <v>860</v>
      </c>
      <c r="F49" s="6485" t="s">
        <v>875</v>
      </c>
      <c r="G49" s="6457"/>
      <c r="H49" s="6235"/>
      <c r="I49" s="6176"/>
      <c r="J49" s="6380"/>
    </row>
    <row r="50" spans="1:10" ht="12.75">
      <c r="A50" s="6478" t="s">
        <v>10</v>
      </c>
      <c r="B50" s="6486">
        <v>8</v>
      </c>
      <c r="C50" s="6486">
        <v>8</v>
      </c>
      <c r="D50" s="6486">
        <v>8</v>
      </c>
      <c r="E50" s="6486">
        <v>8</v>
      </c>
      <c r="F50" s="6486">
        <v>6</v>
      </c>
      <c r="G50" s="6462"/>
      <c r="H50" s="6463"/>
      <c r="I50" s="1655">
        <f>SUM(B50:H50)</f>
        <v>38</v>
      </c>
      <c r="J50" s="6460"/>
    </row>
    <row r="51" spans="1:10">
      <c r="A51" s="6480"/>
      <c r="B51" s="6485" t="s">
        <v>860</v>
      </c>
      <c r="C51" s="6485" t="s">
        <v>860</v>
      </c>
      <c r="D51" s="6485" t="s">
        <v>860</v>
      </c>
      <c r="E51" s="6485" t="s">
        <v>860</v>
      </c>
      <c r="F51" s="6485" t="s">
        <v>875</v>
      </c>
      <c r="G51" s="6461"/>
      <c r="H51" s="6235"/>
      <c r="I51" s="6176"/>
      <c r="J51" s="6380"/>
    </row>
    <row r="52" spans="1:10" ht="12.75">
      <c r="A52" s="6478" t="s">
        <v>10</v>
      </c>
      <c r="B52" s="6486">
        <v>8</v>
      </c>
      <c r="C52" s="6486">
        <v>8</v>
      </c>
      <c r="D52" s="6486">
        <v>8</v>
      </c>
      <c r="E52" s="6486">
        <v>8</v>
      </c>
      <c r="F52" s="6486">
        <v>6</v>
      </c>
      <c r="G52" s="6462"/>
      <c r="H52" s="6463"/>
      <c r="I52" s="1655">
        <f>SUM(B52:H52)</f>
        <v>38</v>
      </c>
      <c r="J52" s="6460"/>
    </row>
    <row r="53" spans="1:10" ht="12.75">
      <c r="A53" s="571" t="s">
        <v>895</v>
      </c>
      <c r="B53" s="629" t="s">
        <v>896</v>
      </c>
      <c r="C53" s="629" t="s">
        <v>896</v>
      </c>
      <c r="D53" s="629" t="s">
        <v>896</v>
      </c>
      <c r="E53" s="629" t="s">
        <v>896</v>
      </c>
      <c r="F53" s="629" t="s">
        <v>896</v>
      </c>
      <c r="G53" s="592" t="s">
        <v>868</v>
      </c>
      <c r="H53" s="630" t="s">
        <v>896</v>
      </c>
      <c r="I53" s="549"/>
      <c r="J53" s="567"/>
    </row>
    <row r="54" spans="1:10" ht="12.75">
      <c r="A54" s="6478" t="s">
        <v>10</v>
      </c>
      <c r="B54" s="6487">
        <v>7</v>
      </c>
      <c r="C54" s="6487">
        <v>7</v>
      </c>
      <c r="D54" s="6487">
        <v>7</v>
      </c>
      <c r="E54" s="6487">
        <v>7</v>
      </c>
      <c r="F54" s="6487">
        <v>7</v>
      </c>
      <c r="G54" s="6452">
        <v>12</v>
      </c>
      <c r="H54" s="6488">
        <v>7</v>
      </c>
      <c r="I54" s="1655">
        <f>SUM(B54:H54)</f>
        <v>54</v>
      </c>
      <c r="J54" s="6460"/>
    </row>
    <row r="55" spans="1:10">
      <c r="A55" s="6480"/>
      <c r="B55" s="6489" t="s">
        <v>867</v>
      </c>
      <c r="C55" s="6489" t="s">
        <v>867</v>
      </c>
      <c r="D55" s="6489" t="s">
        <v>867</v>
      </c>
      <c r="E55" s="6489" t="s">
        <v>867</v>
      </c>
      <c r="F55" s="6489" t="s">
        <v>867</v>
      </c>
      <c r="G55" s="6449" t="s">
        <v>897</v>
      </c>
      <c r="H55" s="6490" t="s">
        <v>867</v>
      </c>
      <c r="I55" s="6176"/>
      <c r="J55" s="6450"/>
    </row>
    <row r="56" spans="1:10" ht="12.75">
      <c r="A56" s="15" t="s">
        <v>10</v>
      </c>
      <c r="B56" s="1539">
        <v>8</v>
      </c>
      <c r="C56" s="1539">
        <v>8</v>
      </c>
      <c r="D56" s="1539">
        <v>8</v>
      </c>
      <c r="E56" s="1539">
        <v>8</v>
      </c>
      <c r="F56" s="1539">
        <v>8</v>
      </c>
      <c r="G56" s="1530">
        <v>8</v>
      </c>
      <c r="H56" s="1540">
        <v>8</v>
      </c>
      <c r="I56" s="1655">
        <f>SUM(B56:H56)</f>
        <v>56</v>
      </c>
      <c r="J56" s="1474"/>
    </row>
    <row r="57" spans="1:10" ht="12.75">
      <c r="A57" s="6480"/>
      <c r="B57" s="629" t="s">
        <v>896</v>
      </c>
      <c r="C57" s="629" t="s">
        <v>896</v>
      </c>
      <c r="D57" s="629" t="s">
        <v>896</v>
      </c>
      <c r="E57" s="629" t="s">
        <v>896</v>
      </c>
      <c r="F57" s="629" t="s">
        <v>896</v>
      </c>
      <c r="G57" s="592" t="s">
        <v>868</v>
      </c>
      <c r="H57" s="630" t="s">
        <v>896</v>
      </c>
      <c r="I57" s="6176"/>
      <c r="J57" s="6380"/>
    </row>
    <row r="58" spans="1:10" ht="12.75">
      <c r="A58" s="6478" t="s">
        <v>10</v>
      </c>
      <c r="B58" s="6487">
        <v>7</v>
      </c>
      <c r="C58" s="6487">
        <v>7</v>
      </c>
      <c r="D58" s="6487">
        <v>7</v>
      </c>
      <c r="E58" s="6487">
        <v>7</v>
      </c>
      <c r="F58" s="6487">
        <v>7</v>
      </c>
      <c r="G58" s="6452">
        <v>12</v>
      </c>
      <c r="H58" s="6488">
        <v>7</v>
      </c>
      <c r="I58" s="1655">
        <f>SUM(B58:H58)</f>
        <v>54</v>
      </c>
      <c r="J58" s="6460"/>
    </row>
    <row r="59" spans="1:10">
      <c r="A59" s="6483" t="s">
        <v>898</v>
      </c>
      <c r="B59" s="6448" t="s">
        <v>174</v>
      </c>
      <c r="C59" s="6448" t="s">
        <v>174</v>
      </c>
      <c r="D59" s="6485" t="s">
        <v>860</v>
      </c>
      <c r="E59" s="6485" t="s">
        <v>860</v>
      </c>
      <c r="F59" s="6485" t="s">
        <v>875</v>
      </c>
      <c r="G59" s="6461"/>
      <c r="H59" s="6235"/>
      <c r="I59" s="6176"/>
      <c r="J59" s="6380"/>
    </row>
    <row r="60" spans="1:10" ht="12.75">
      <c r="A60" s="1660" t="s">
        <v>10</v>
      </c>
      <c r="B60" s="6452">
        <v>7.4</v>
      </c>
      <c r="C60" s="6452">
        <v>7.4</v>
      </c>
      <c r="D60" s="6486">
        <v>8</v>
      </c>
      <c r="E60" s="6486">
        <v>8</v>
      </c>
      <c r="F60" s="6486">
        <v>6</v>
      </c>
      <c r="G60" s="6462"/>
      <c r="H60" s="6463"/>
      <c r="I60" s="1655">
        <f>SUM(B60:H60)</f>
        <v>36.799999999999997</v>
      </c>
      <c r="J60" s="6460"/>
    </row>
    <row r="61" spans="1:10">
      <c r="A61" s="6480"/>
      <c r="B61" s="6448" t="s">
        <v>174</v>
      </c>
      <c r="C61" s="6448" t="s">
        <v>174</v>
      </c>
      <c r="D61" s="6491" t="s">
        <v>860</v>
      </c>
      <c r="E61" s="6491" t="s">
        <v>860</v>
      </c>
      <c r="F61" s="6491" t="s">
        <v>875</v>
      </c>
      <c r="G61" s="6461"/>
      <c r="H61" s="6235"/>
      <c r="I61" s="6176"/>
      <c r="J61" s="6380"/>
    </row>
    <row r="62" spans="1:10" ht="12.75">
      <c r="A62" s="1661" t="s">
        <v>10</v>
      </c>
      <c r="B62" s="6452">
        <v>7.4</v>
      </c>
      <c r="C62" s="6452">
        <v>7.4</v>
      </c>
      <c r="D62" s="6492">
        <v>8</v>
      </c>
      <c r="E62" s="6492">
        <v>8</v>
      </c>
      <c r="F62" s="6492">
        <v>6</v>
      </c>
      <c r="G62" s="6462"/>
      <c r="H62" s="6463"/>
      <c r="I62" s="1655">
        <f>SUM(B62:H62)</f>
        <v>36.799999999999997</v>
      </c>
      <c r="J62" s="6460"/>
    </row>
    <row r="63" spans="1:10">
      <c r="A63" s="572"/>
      <c r="B63" s="6448" t="s">
        <v>174</v>
      </c>
      <c r="C63" s="6448" t="s">
        <v>174</v>
      </c>
      <c r="D63" s="628" t="s">
        <v>881</v>
      </c>
      <c r="E63" s="628" t="s">
        <v>881</v>
      </c>
      <c r="F63" s="628" t="s">
        <v>881</v>
      </c>
      <c r="G63" s="592"/>
      <c r="H63" s="516"/>
      <c r="I63" s="549"/>
      <c r="J63" s="567"/>
    </row>
    <row r="64" spans="1:10" ht="12.75">
      <c r="A64" s="6478" t="s">
        <v>10</v>
      </c>
      <c r="B64" s="6452">
        <v>7.4</v>
      </c>
      <c r="C64" s="6452">
        <v>7.4</v>
      </c>
      <c r="D64" s="1541">
        <v>7.75</v>
      </c>
      <c r="E64" s="1541">
        <v>7.75</v>
      </c>
      <c r="F64" s="1541">
        <v>7.75</v>
      </c>
      <c r="G64" s="6462"/>
      <c r="H64" s="6464"/>
      <c r="I64" s="1655">
        <f>SUM(B64:H64)</f>
        <v>38.049999999999997</v>
      </c>
      <c r="J64" s="6460"/>
    </row>
    <row r="65" spans="1:10">
      <c r="A65" s="6465" t="s">
        <v>871</v>
      </c>
      <c r="B65" s="6465">
        <f t="shared" ref="B65:I65" si="2">SUM(B36,B38,B40,B42,B44,B46,B48,B50,B52,B54,B56,B58,B60,B62,B64)</f>
        <v>113.35000000000002</v>
      </c>
      <c r="C65" s="6465">
        <f t="shared" si="2"/>
        <v>111.35000000000002</v>
      </c>
      <c r="D65" s="6465">
        <f t="shared" si="2"/>
        <v>113.94999999999999</v>
      </c>
      <c r="E65" s="6465">
        <f t="shared" si="2"/>
        <v>113.94999999999999</v>
      </c>
      <c r="F65" s="6465">
        <f t="shared" si="2"/>
        <v>103.94999999999999</v>
      </c>
      <c r="G65" s="6465">
        <f t="shared" si="2"/>
        <v>66</v>
      </c>
      <c r="H65" s="6465">
        <f t="shared" si="2"/>
        <v>44</v>
      </c>
      <c r="I65" s="6473">
        <f t="shared" si="2"/>
        <v>666.54999999999984</v>
      </c>
      <c r="J65" s="6466"/>
    </row>
    <row r="66" spans="1:10" ht="12.75">
      <c r="A66" s="1" t="s">
        <v>899</v>
      </c>
      <c r="B66" s="5"/>
      <c r="C66" s="5"/>
      <c r="D66" s="5"/>
      <c r="E66" s="5"/>
      <c r="F66" s="5"/>
    </row>
    <row r="67" spans="1:10" ht="12.75">
      <c r="A67" s="6467" t="s">
        <v>900</v>
      </c>
      <c r="B67" s="6468" t="s">
        <v>19</v>
      </c>
      <c r="C67" s="3200" t="s">
        <v>20</v>
      </c>
      <c r="D67" s="3200" t="s">
        <v>21</v>
      </c>
      <c r="E67" s="3200" t="s">
        <v>22</v>
      </c>
      <c r="F67" s="3200" t="s">
        <v>23</v>
      </c>
      <c r="G67" s="3200" t="s">
        <v>24</v>
      </c>
      <c r="H67" s="6469" t="s">
        <v>25</v>
      </c>
      <c r="I67" s="6470" t="s">
        <v>202</v>
      </c>
      <c r="J67" s="6471" t="s">
        <v>108</v>
      </c>
    </row>
    <row r="68" spans="1:10">
      <c r="A68" s="6453" t="s">
        <v>901</v>
      </c>
      <c r="B68" s="6181" t="s">
        <v>902</v>
      </c>
      <c r="C68" s="6181" t="s">
        <v>902</v>
      </c>
      <c r="D68" s="6181" t="s">
        <v>902</v>
      </c>
      <c r="E68" s="6181" t="s">
        <v>902</v>
      </c>
      <c r="F68" s="6181" t="s">
        <v>902</v>
      </c>
      <c r="G68" s="6440"/>
      <c r="H68" s="6183"/>
      <c r="I68" s="6181"/>
      <c r="J68" s="6450"/>
    </row>
    <row r="69" spans="1:10" ht="12.75">
      <c r="A69" s="1662"/>
      <c r="B69" s="1529">
        <v>7</v>
      </c>
      <c r="C69" s="1529">
        <v>7</v>
      </c>
      <c r="D69" s="1529">
        <v>7</v>
      </c>
      <c r="E69" s="1529">
        <v>7</v>
      </c>
      <c r="F69" s="1530">
        <v>7</v>
      </c>
      <c r="G69" s="1531"/>
      <c r="H69" s="1532"/>
      <c r="I69" s="1655">
        <f>SUM(B69:H69)</f>
        <v>35</v>
      </c>
      <c r="J69" s="1474"/>
    </row>
    <row r="70" spans="1:10">
      <c r="A70" s="569" t="s">
        <v>903</v>
      </c>
      <c r="B70" s="6493" t="s">
        <v>904</v>
      </c>
      <c r="C70" s="6493" t="s">
        <v>904</v>
      </c>
      <c r="D70" s="6493" t="s">
        <v>904</v>
      </c>
      <c r="E70" s="6493" t="s">
        <v>904</v>
      </c>
      <c r="F70" s="6493" t="s">
        <v>905</v>
      </c>
      <c r="G70" s="625"/>
      <c r="H70" s="626"/>
      <c r="I70" s="631"/>
      <c r="J70" s="570"/>
    </row>
    <row r="71" spans="1:10" ht="12.75">
      <c r="A71" s="16"/>
      <c r="B71" s="256">
        <v>7</v>
      </c>
      <c r="C71" s="256">
        <v>7</v>
      </c>
      <c r="D71" s="256">
        <v>7</v>
      </c>
      <c r="E71" s="256">
        <v>7</v>
      </c>
      <c r="F71" s="257">
        <v>6</v>
      </c>
      <c r="G71" s="241"/>
      <c r="H71" s="17"/>
      <c r="I71" s="1655">
        <f>SUM(B71:H71)</f>
        <v>34</v>
      </c>
      <c r="J71" s="228"/>
    </row>
    <row r="72" spans="1:10">
      <c r="A72" s="6453" t="s">
        <v>906</v>
      </c>
      <c r="B72" s="6181" t="s">
        <v>907</v>
      </c>
      <c r="C72" s="6181" t="s">
        <v>907</v>
      </c>
      <c r="D72" s="6181" t="s">
        <v>907</v>
      </c>
      <c r="E72" s="6181" t="s">
        <v>908</v>
      </c>
      <c r="F72" s="6181" t="s">
        <v>909</v>
      </c>
      <c r="G72" s="6181"/>
      <c r="H72" s="6181" t="s">
        <v>865</v>
      </c>
      <c r="I72" s="6181"/>
      <c r="J72" s="6450"/>
    </row>
    <row r="73" spans="1:10">
      <c r="A73" s="1484"/>
      <c r="B73" s="1529">
        <v>6.5</v>
      </c>
      <c r="C73" s="1529">
        <v>6.5</v>
      </c>
      <c r="D73" s="1529">
        <v>6.5</v>
      </c>
      <c r="E73" s="1530">
        <v>5.5</v>
      </c>
      <c r="F73" s="1530">
        <v>7.25</v>
      </c>
      <c r="G73" s="1530"/>
      <c r="H73" s="1533">
        <v>8</v>
      </c>
      <c r="I73" s="1655">
        <f>SUM(B73:H73)</f>
        <v>40.25</v>
      </c>
      <c r="J73" s="1474"/>
    </row>
    <row r="74" spans="1:10">
      <c r="A74" s="6465" t="s">
        <v>871</v>
      </c>
      <c r="B74" s="6465">
        <f t="shared" ref="B74:I74" si="3">SUM(B69,B71,B73)</f>
        <v>20.5</v>
      </c>
      <c r="C74" s="6465">
        <f t="shared" si="3"/>
        <v>20.5</v>
      </c>
      <c r="D74" s="6465">
        <f t="shared" si="3"/>
        <v>20.5</v>
      </c>
      <c r="E74" s="6465">
        <f t="shared" si="3"/>
        <v>19.5</v>
      </c>
      <c r="F74" s="6465">
        <f t="shared" si="3"/>
        <v>20.25</v>
      </c>
      <c r="G74" s="6465">
        <f t="shared" si="3"/>
        <v>0</v>
      </c>
      <c r="H74" s="6465">
        <f t="shared" si="3"/>
        <v>8</v>
      </c>
      <c r="I74" s="6473">
        <f t="shared" si="3"/>
        <v>109.25</v>
      </c>
      <c r="J74" s="6474"/>
    </row>
    <row r="75" spans="1:10" ht="12.75">
      <c r="A75" s="1" t="s">
        <v>910</v>
      </c>
      <c r="B75" s="5"/>
      <c r="C75" s="5"/>
      <c r="D75" s="5"/>
      <c r="E75" s="5"/>
      <c r="F75" s="5"/>
    </row>
    <row r="76" spans="1:10" ht="12.75">
      <c r="A76" s="6467" t="s">
        <v>911</v>
      </c>
      <c r="B76" s="6468" t="s">
        <v>19</v>
      </c>
      <c r="C76" s="3200" t="s">
        <v>20</v>
      </c>
      <c r="D76" s="3200" t="s">
        <v>21</v>
      </c>
      <c r="E76" s="3200" t="s">
        <v>22</v>
      </c>
      <c r="F76" s="3200" t="s">
        <v>23</v>
      </c>
      <c r="G76" s="3200" t="s">
        <v>24</v>
      </c>
      <c r="H76" s="6469" t="s">
        <v>25</v>
      </c>
      <c r="I76" s="6470" t="s">
        <v>202</v>
      </c>
      <c r="J76" s="6471" t="s">
        <v>108</v>
      </c>
    </row>
    <row r="77" spans="1:10">
      <c r="A77" s="569" t="s">
        <v>912</v>
      </c>
      <c r="B77" s="6493" t="s">
        <v>913</v>
      </c>
      <c r="C77" s="6494" t="s">
        <v>913</v>
      </c>
      <c r="D77" s="631" t="s">
        <v>913</v>
      </c>
      <c r="E77" s="6494" t="s">
        <v>913</v>
      </c>
      <c r="F77" s="6493" t="s">
        <v>914</v>
      </c>
      <c r="G77" s="625"/>
      <c r="H77" s="626"/>
      <c r="I77" s="631"/>
      <c r="J77" s="570" t="s">
        <v>915</v>
      </c>
    </row>
    <row r="78" spans="1:10" ht="12.75">
      <c r="A78" s="16"/>
      <c r="B78" s="256">
        <v>8</v>
      </c>
      <c r="C78" s="256">
        <v>8</v>
      </c>
      <c r="D78" s="256">
        <v>8</v>
      </c>
      <c r="E78" s="256">
        <v>8</v>
      </c>
      <c r="F78" s="257">
        <v>7</v>
      </c>
      <c r="G78" s="241"/>
      <c r="H78" s="17"/>
      <c r="I78" s="1655">
        <f>SUM(B78:H78)</f>
        <v>39</v>
      </c>
      <c r="J78" s="228"/>
    </row>
    <row r="79" spans="1:10">
      <c r="A79" s="6453" t="s">
        <v>916</v>
      </c>
      <c r="B79" s="6181" t="s">
        <v>917</v>
      </c>
      <c r="C79" s="6181" t="s">
        <v>917</v>
      </c>
      <c r="D79" s="6181" t="s">
        <v>917</v>
      </c>
      <c r="E79" s="6181" t="s">
        <v>917</v>
      </c>
      <c r="F79" s="6181" t="s">
        <v>918</v>
      </c>
      <c r="G79" s="6440"/>
      <c r="H79" s="6183"/>
      <c r="I79" s="6181"/>
      <c r="J79" s="6450"/>
    </row>
    <row r="80" spans="1:10" ht="12.75">
      <c r="A80" s="16"/>
      <c r="B80" s="256">
        <v>6.5</v>
      </c>
      <c r="C80" s="256">
        <v>6.5</v>
      </c>
      <c r="D80" s="256">
        <v>6.5</v>
      </c>
      <c r="E80" s="256">
        <v>6.5</v>
      </c>
      <c r="F80" s="257">
        <v>7</v>
      </c>
      <c r="G80" s="241"/>
      <c r="H80" s="17"/>
      <c r="I80" s="1655">
        <f>SUM(B80:H80)</f>
        <v>33</v>
      </c>
      <c r="J80" s="228"/>
    </row>
    <row r="81" spans="1:10">
      <c r="A81" s="6453" t="s">
        <v>919</v>
      </c>
      <c r="B81" s="6448" t="s">
        <v>920</v>
      </c>
      <c r="C81" s="6181" t="s">
        <v>921</v>
      </c>
      <c r="D81" s="6181" t="s">
        <v>920</v>
      </c>
      <c r="E81" s="6181" t="s">
        <v>920</v>
      </c>
      <c r="F81" s="6181" t="s">
        <v>922</v>
      </c>
      <c r="G81" s="6181" t="s">
        <v>923</v>
      </c>
      <c r="H81" s="6449"/>
      <c r="I81" s="6181"/>
      <c r="J81" s="6450" t="s">
        <v>924</v>
      </c>
    </row>
    <row r="82" spans="1:10">
      <c r="A82" s="1484"/>
      <c r="B82" s="1529">
        <v>7</v>
      </c>
      <c r="C82" s="1530">
        <v>4</v>
      </c>
      <c r="D82" s="1530">
        <v>7</v>
      </c>
      <c r="E82" s="1530">
        <v>7</v>
      </c>
      <c r="F82" s="1530">
        <v>6.25</v>
      </c>
      <c r="G82" s="1530">
        <v>6.5</v>
      </c>
      <c r="H82" s="1533"/>
      <c r="I82" s="1655">
        <f>SUM(B82:H82)</f>
        <v>37.75</v>
      </c>
      <c r="J82" s="1474"/>
    </row>
    <row r="83" spans="1:10">
      <c r="A83" s="6495" t="s">
        <v>925</v>
      </c>
      <c r="B83" s="6496" t="s">
        <v>913</v>
      </c>
      <c r="C83" s="6497" t="s">
        <v>913</v>
      </c>
      <c r="D83" s="631" t="s">
        <v>913</v>
      </c>
      <c r="E83" s="6494" t="s">
        <v>913</v>
      </c>
      <c r="F83" s="6494" t="s">
        <v>914</v>
      </c>
      <c r="G83" s="6457"/>
      <c r="H83" s="6235"/>
      <c r="I83" s="6181"/>
      <c r="J83" s="570" t="s">
        <v>915</v>
      </c>
    </row>
    <row r="84" spans="1:10">
      <c r="A84" s="6458"/>
      <c r="B84" s="6452">
        <v>8</v>
      </c>
      <c r="C84" s="6452">
        <v>8</v>
      </c>
      <c r="D84" s="6452">
        <v>8</v>
      </c>
      <c r="E84" s="6452">
        <v>8</v>
      </c>
      <c r="F84" s="6452">
        <v>7</v>
      </c>
      <c r="G84" s="6462"/>
      <c r="H84" s="6463"/>
      <c r="I84" s="1655">
        <f>SUM(B84:H84)</f>
        <v>39</v>
      </c>
      <c r="J84" s="6460"/>
    </row>
    <row r="85" spans="1:10">
      <c r="A85" s="6495" t="s">
        <v>926</v>
      </c>
      <c r="B85" s="631" t="s">
        <v>917</v>
      </c>
      <c r="C85" s="6494" t="s">
        <v>917</v>
      </c>
      <c r="D85" s="6494" t="s">
        <v>917</v>
      </c>
      <c r="E85" s="6496" t="s">
        <v>917</v>
      </c>
      <c r="F85" s="6494" t="s">
        <v>918</v>
      </c>
      <c r="G85" s="6461"/>
      <c r="H85" s="6235"/>
      <c r="I85" s="6181"/>
      <c r="J85" s="6380"/>
    </row>
    <row r="86" spans="1:10">
      <c r="A86" s="6498"/>
      <c r="B86" s="6499">
        <v>6.5</v>
      </c>
      <c r="C86" s="6499">
        <v>6.5</v>
      </c>
      <c r="D86" s="6499">
        <v>6.5</v>
      </c>
      <c r="E86" s="6499">
        <v>6.5</v>
      </c>
      <c r="F86" s="6499">
        <v>7</v>
      </c>
      <c r="G86" s="6500"/>
      <c r="H86" s="6501"/>
      <c r="I86" s="1655">
        <f>SUM(B86:H86)</f>
        <v>33</v>
      </c>
      <c r="J86" s="6502"/>
    </row>
    <row r="87" spans="1:10">
      <c r="A87" s="6503" t="s">
        <v>927</v>
      </c>
      <c r="B87" s="6181" t="s">
        <v>902</v>
      </c>
      <c r="C87" s="6448" t="s">
        <v>902</v>
      </c>
      <c r="D87" s="6181" t="s">
        <v>902</v>
      </c>
      <c r="E87" s="6181" t="s">
        <v>902</v>
      </c>
      <c r="F87" s="6448" t="s">
        <v>174</v>
      </c>
      <c r="G87" s="6181"/>
      <c r="H87" s="6448" t="s">
        <v>865</v>
      </c>
      <c r="I87" s="6181"/>
      <c r="J87" s="6380"/>
    </row>
    <row r="88" spans="1:10">
      <c r="A88" s="1484"/>
      <c r="B88" s="1529">
        <v>7</v>
      </c>
      <c r="C88" s="1529">
        <v>7</v>
      </c>
      <c r="D88" s="1529">
        <v>7</v>
      </c>
      <c r="E88" s="1529">
        <v>7</v>
      </c>
      <c r="F88" s="6452">
        <v>7.4</v>
      </c>
      <c r="G88" s="1542"/>
      <c r="H88" s="1655">
        <v>8</v>
      </c>
      <c r="I88" s="1655">
        <f>SUM(B88:H88)</f>
        <v>43.4</v>
      </c>
      <c r="J88" s="6460"/>
    </row>
    <row r="89" spans="1:10">
      <c r="A89" s="6465" t="s">
        <v>871</v>
      </c>
      <c r="B89" s="6465">
        <f t="shared" ref="B89:I89" si="4">SUM(B78,B80,B82,B84,B86,B88)</f>
        <v>43</v>
      </c>
      <c r="C89" s="6465">
        <f t="shared" si="4"/>
        <v>40</v>
      </c>
      <c r="D89" s="6465">
        <f t="shared" si="4"/>
        <v>43</v>
      </c>
      <c r="E89" s="6465">
        <f t="shared" si="4"/>
        <v>43</v>
      </c>
      <c r="F89" s="6465">
        <f t="shared" si="4"/>
        <v>41.65</v>
      </c>
      <c r="G89" s="6465">
        <f t="shared" si="4"/>
        <v>6.5</v>
      </c>
      <c r="H89" s="6465">
        <f t="shared" si="4"/>
        <v>8</v>
      </c>
      <c r="I89" s="6473">
        <f t="shared" si="4"/>
        <v>225.15</v>
      </c>
      <c r="J89" s="6466"/>
    </row>
    <row r="90" spans="1:10" ht="12.75">
      <c r="A90" s="1" t="s">
        <v>928</v>
      </c>
      <c r="B90" s="5"/>
      <c r="C90" s="5"/>
      <c r="D90" s="5"/>
      <c r="E90" s="5"/>
      <c r="F90" s="5"/>
    </row>
    <row r="91" spans="1:10" ht="12.75">
      <c r="A91" s="6467" t="s">
        <v>929</v>
      </c>
      <c r="B91" s="6468" t="s">
        <v>19</v>
      </c>
      <c r="C91" s="3200" t="s">
        <v>20</v>
      </c>
      <c r="D91" s="3200" t="s">
        <v>21</v>
      </c>
      <c r="E91" s="3200" t="s">
        <v>22</v>
      </c>
      <c r="F91" s="3200" t="s">
        <v>23</v>
      </c>
      <c r="G91" s="3200" t="s">
        <v>24</v>
      </c>
      <c r="H91" s="6469" t="s">
        <v>25</v>
      </c>
      <c r="I91" s="6470" t="s">
        <v>202</v>
      </c>
      <c r="J91" s="6471" t="s">
        <v>108</v>
      </c>
    </row>
    <row r="92" spans="1:10">
      <c r="A92" s="6453" t="s">
        <v>930</v>
      </c>
      <c r="B92" s="6181" t="s">
        <v>914</v>
      </c>
      <c r="C92" s="6181" t="s">
        <v>914</v>
      </c>
      <c r="D92" s="6181" t="s">
        <v>914</v>
      </c>
      <c r="E92" s="6181" t="s">
        <v>914</v>
      </c>
      <c r="F92" s="6181" t="s">
        <v>902</v>
      </c>
      <c r="G92" s="6440"/>
      <c r="H92" s="6183"/>
      <c r="I92" s="6181"/>
      <c r="J92" s="6450"/>
    </row>
    <row r="93" spans="1:10" ht="12.75">
      <c r="A93" s="1662"/>
      <c r="B93" s="1529">
        <v>7.5</v>
      </c>
      <c r="C93" s="1529">
        <v>7.5</v>
      </c>
      <c r="D93" s="1529">
        <v>7.5</v>
      </c>
      <c r="E93" s="1529">
        <v>7.5</v>
      </c>
      <c r="F93" s="1530">
        <v>7</v>
      </c>
      <c r="G93" s="1531"/>
      <c r="H93" s="1532"/>
      <c r="I93" s="1655">
        <f>SUM(B93:H93)</f>
        <v>37</v>
      </c>
      <c r="J93" s="1474"/>
    </row>
    <row r="94" spans="1:10">
      <c r="A94" s="6495" t="s">
        <v>931</v>
      </c>
      <c r="B94" s="6494" t="s">
        <v>932</v>
      </c>
      <c r="C94" s="6494" t="s">
        <v>932</v>
      </c>
      <c r="D94" s="6494" t="s">
        <v>932</v>
      </c>
      <c r="E94" s="6494" t="s">
        <v>932</v>
      </c>
      <c r="F94" s="6494" t="s">
        <v>905</v>
      </c>
      <c r="G94" s="625"/>
      <c r="H94" s="626"/>
      <c r="I94" s="631"/>
      <c r="J94" s="570"/>
    </row>
    <row r="95" spans="1:10" ht="12.75">
      <c r="A95" s="16"/>
      <c r="B95" s="256">
        <v>7.5</v>
      </c>
      <c r="C95" s="256">
        <v>7.5</v>
      </c>
      <c r="D95" s="256">
        <v>7.5</v>
      </c>
      <c r="E95" s="256">
        <v>7.5</v>
      </c>
      <c r="F95" s="257">
        <v>6</v>
      </c>
      <c r="G95" s="241"/>
      <c r="H95" s="17"/>
      <c r="I95" s="1655">
        <f>SUM(B95:H95)</f>
        <v>36</v>
      </c>
      <c r="J95" s="228"/>
    </row>
    <row r="96" spans="1:10">
      <c r="A96" s="6447" t="s">
        <v>933</v>
      </c>
      <c r="B96" s="6181" t="s">
        <v>934</v>
      </c>
      <c r="C96" s="6181" t="s">
        <v>934</v>
      </c>
      <c r="D96" s="6181" t="s">
        <v>934</v>
      </c>
      <c r="E96" s="6181" t="s">
        <v>934</v>
      </c>
      <c r="F96" s="6181" t="s">
        <v>935</v>
      </c>
      <c r="G96" s="6181"/>
      <c r="H96" s="6181"/>
      <c r="I96" s="6181"/>
      <c r="J96" s="6450"/>
    </row>
    <row r="97" spans="1:10">
      <c r="A97" s="1484"/>
      <c r="B97" s="1529">
        <v>7.5</v>
      </c>
      <c r="C97" s="1529">
        <v>7.5</v>
      </c>
      <c r="D97" s="1529">
        <v>7.5</v>
      </c>
      <c r="E97" s="1529">
        <v>7.5</v>
      </c>
      <c r="F97" s="1530">
        <v>6</v>
      </c>
      <c r="G97" s="1530"/>
      <c r="H97" s="1533"/>
      <c r="I97" s="1655">
        <f>SUM(B97:H97)</f>
        <v>36</v>
      </c>
      <c r="J97" s="1474"/>
    </row>
    <row r="98" spans="1:10">
      <c r="A98" s="6465" t="s">
        <v>871</v>
      </c>
      <c r="B98" s="6465">
        <f t="shared" ref="B98:I98" si="5">SUM(B93,B95,B97)</f>
        <v>22.5</v>
      </c>
      <c r="C98" s="6465">
        <f t="shared" si="5"/>
        <v>22.5</v>
      </c>
      <c r="D98" s="6465">
        <f t="shared" si="5"/>
        <v>22.5</v>
      </c>
      <c r="E98" s="6465">
        <f t="shared" si="5"/>
        <v>22.5</v>
      </c>
      <c r="F98" s="6465">
        <f t="shared" si="5"/>
        <v>19</v>
      </c>
      <c r="G98" s="6465">
        <f t="shared" si="5"/>
        <v>0</v>
      </c>
      <c r="H98" s="6465">
        <f t="shared" si="5"/>
        <v>0</v>
      </c>
      <c r="I98" s="6473">
        <f t="shared" si="5"/>
        <v>109</v>
      </c>
      <c r="J98" s="6474"/>
    </row>
    <row r="99" spans="1:10" ht="12.75">
      <c r="A99" s="1" t="s">
        <v>936</v>
      </c>
      <c r="B99" s="5"/>
      <c r="C99" s="5"/>
      <c r="D99" s="5"/>
      <c r="E99" s="5"/>
      <c r="F99" s="5"/>
    </row>
    <row r="100" spans="1:10" ht="12.75">
      <c r="A100" s="6175" t="s">
        <v>873</v>
      </c>
      <c r="B100" s="6442" t="s">
        <v>19</v>
      </c>
      <c r="C100" s="6443" t="s">
        <v>20</v>
      </c>
      <c r="D100" s="6443" t="s">
        <v>21</v>
      </c>
      <c r="E100" s="6443" t="s">
        <v>22</v>
      </c>
      <c r="F100" s="6443" t="s">
        <v>23</v>
      </c>
      <c r="G100" s="6443" t="s">
        <v>24</v>
      </c>
      <c r="H100" s="6444" t="s">
        <v>25</v>
      </c>
      <c r="I100" s="6445" t="s">
        <v>202</v>
      </c>
      <c r="J100" s="6446" t="s">
        <v>108</v>
      </c>
    </row>
    <row r="101" spans="1:10" ht="12.75">
      <c r="A101" s="6438"/>
      <c r="B101" s="6448" t="s">
        <v>874</v>
      </c>
      <c r="C101" s="6448" t="s">
        <v>874</v>
      </c>
      <c r="D101" s="6448" t="s">
        <v>874</v>
      </c>
      <c r="E101" s="6448" t="s">
        <v>874</v>
      </c>
      <c r="F101" s="6448" t="s">
        <v>875</v>
      </c>
      <c r="G101" s="6440"/>
      <c r="H101" s="6183"/>
      <c r="I101" s="6176"/>
      <c r="J101" s="6441"/>
    </row>
    <row r="102" spans="1:10">
      <c r="A102" s="1484" t="s">
        <v>937</v>
      </c>
      <c r="B102" s="1529">
        <v>7.75</v>
      </c>
      <c r="C102" s="1529">
        <v>7.75</v>
      </c>
      <c r="D102" s="1529">
        <v>7.75</v>
      </c>
      <c r="E102" s="1529">
        <v>7.75</v>
      </c>
      <c r="F102" s="1529">
        <v>6</v>
      </c>
      <c r="G102" s="1531"/>
      <c r="H102" s="1532"/>
      <c r="I102" s="1654">
        <f>SUM(B102:H102)</f>
        <v>37</v>
      </c>
      <c r="J102" s="1473"/>
    </row>
    <row r="104" spans="1:10" ht="12.75">
      <c r="A104" s="1" t="s">
        <v>938</v>
      </c>
      <c r="B104" s="5"/>
      <c r="C104" s="5"/>
      <c r="D104" s="5"/>
      <c r="E104" s="5"/>
      <c r="F104" s="5"/>
    </row>
    <row r="105" spans="1:10" ht="12.75">
      <c r="A105" s="6175" t="s">
        <v>939</v>
      </c>
      <c r="B105" s="6442" t="s">
        <v>19</v>
      </c>
      <c r="C105" s="6443" t="s">
        <v>20</v>
      </c>
      <c r="D105" s="6443" t="s">
        <v>21</v>
      </c>
      <c r="E105" s="6443" t="s">
        <v>22</v>
      </c>
      <c r="F105" s="6443" t="s">
        <v>23</v>
      </c>
      <c r="G105" s="6443" t="s">
        <v>24</v>
      </c>
      <c r="H105" s="6444" t="s">
        <v>25</v>
      </c>
      <c r="I105" s="6445" t="s">
        <v>202</v>
      </c>
      <c r="J105" s="6446" t="s">
        <v>108</v>
      </c>
    </row>
    <row r="106" spans="1:10" ht="12.75">
      <c r="A106" s="6438"/>
      <c r="B106" s="6448" t="s">
        <v>940</v>
      </c>
      <c r="C106" s="6448" t="s">
        <v>940</v>
      </c>
      <c r="D106" s="6448" t="s">
        <v>865</v>
      </c>
      <c r="E106" s="6448" t="s">
        <v>865</v>
      </c>
      <c r="F106" s="6448" t="s">
        <v>205</v>
      </c>
      <c r="G106" s="6449"/>
      <c r="H106" s="6454"/>
      <c r="I106" s="6176"/>
      <c r="J106" s="6450"/>
    </row>
    <row r="107" spans="1:10">
      <c r="A107" s="1484" t="s">
        <v>941</v>
      </c>
      <c r="B107" s="1529">
        <v>7.5</v>
      </c>
      <c r="C107" s="1530">
        <v>7.5</v>
      </c>
      <c r="D107" s="1530">
        <v>8</v>
      </c>
      <c r="E107" s="1530">
        <v>8</v>
      </c>
      <c r="F107" s="1530">
        <v>6</v>
      </c>
      <c r="G107" s="1530"/>
      <c r="H107" s="1533"/>
      <c r="I107" s="1654">
        <f>SUM(B107:H107)</f>
        <v>37</v>
      </c>
      <c r="J107" s="1474"/>
    </row>
    <row r="109" spans="1:10" ht="12.75">
      <c r="A109" s="1" t="s">
        <v>942</v>
      </c>
      <c r="B109" s="5"/>
      <c r="C109" s="5"/>
      <c r="D109" s="5"/>
      <c r="E109" s="5"/>
      <c r="F109" s="5"/>
    </row>
    <row r="110" spans="1:10" ht="12.75">
      <c r="A110" s="6175" t="s">
        <v>873</v>
      </c>
      <c r="B110" s="6442" t="s">
        <v>19</v>
      </c>
      <c r="C110" s="6443" t="s">
        <v>20</v>
      </c>
      <c r="D110" s="6443" t="s">
        <v>21</v>
      </c>
      <c r="E110" s="6443" t="s">
        <v>22</v>
      </c>
      <c r="F110" s="6443" t="s">
        <v>23</v>
      </c>
      <c r="G110" s="6443" t="s">
        <v>24</v>
      </c>
      <c r="H110" s="6444" t="s">
        <v>25</v>
      </c>
      <c r="I110" s="6445" t="s">
        <v>202</v>
      </c>
      <c r="J110" s="6446" t="s">
        <v>108</v>
      </c>
    </row>
    <row r="111" spans="1:10">
      <c r="A111" s="6453"/>
      <c r="B111" s="6448" t="s">
        <v>874</v>
      </c>
      <c r="C111" s="6448" t="s">
        <v>874</v>
      </c>
      <c r="D111" s="6448" t="s">
        <v>874</v>
      </c>
      <c r="E111" s="6448" t="s">
        <v>874</v>
      </c>
      <c r="F111" s="6448" t="s">
        <v>875</v>
      </c>
      <c r="G111" s="6449"/>
      <c r="H111" s="6454"/>
      <c r="I111" s="6176"/>
      <c r="J111" s="6450"/>
    </row>
    <row r="112" spans="1:10">
      <c r="A112" s="1484" t="s">
        <v>943</v>
      </c>
      <c r="B112" s="1529">
        <v>7.75</v>
      </c>
      <c r="C112" s="1529">
        <v>7.75</v>
      </c>
      <c r="D112" s="1529">
        <v>7.75</v>
      </c>
      <c r="E112" s="1529">
        <v>7.75</v>
      </c>
      <c r="F112" s="1529">
        <v>6</v>
      </c>
      <c r="G112" s="1530"/>
      <c r="H112" s="1533"/>
      <c r="I112" s="1655">
        <f>SUM(B112:H112)</f>
        <v>37</v>
      </c>
      <c r="J112" s="1474"/>
    </row>
    <row r="113" spans="1:10">
      <c r="A113" s="6453"/>
      <c r="B113" s="6448" t="s">
        <v>874</v>
      </c>
      <c r="C113" s="6448" t="s">
        <v>874</v>
      </c>
      <c r="D113" s="6448" t="s">
        <v>874</v>
      </c>
      <c r="E113" s="6448" t="s">
        <v>874</v>
      </c>
      <c r="F113" s="6448" t="s">
        <v>875</v>
      </c>
      <c r="G113" s="6449"/>
      <c r="H113" s="6454"/>
      <c r="I113" s="6176"/>
      <c r="J113" s="6450"/>
    </row>
    <row r="114" spans="1:10">
      <c r="A114" s="1484" t="s">
        <v>944</v>
      </c>
      <c r="B114" s="1529">
        <v>7.75</v>
      </c>
      <c r="C114" s="1529">
        <v>7.75</v>
      </c>
      <c r="D114" s="1529">
        <v>7.75</v>
      </c>
      <c r="E114" s="1529">
        <v>7.75</v>
      </c>
      <c r="F114" s="1529">
        <v>6</v>
      </c>
      <c r="G114" s="1530"/>
      <c r="H114" s="1533"/>
      <c r="I114" s="1655">
        <f>SUM(B114:H114)</f>
        <v>37</v>
      </c>
      <c r="J114" s="1474"/>
    </row>
    <row r="115" spans="1:10">
      <c r="A115" s="6453"/>
      <c r="B115" s="6448" t="s">
        <v>874</v>
      </c>
      <c r="C115" s="6448" t="s">
        <v>874</v>
      </c>
      <c r="D115" s="6448" t="s">
        <v>874</v>
      </c>
      <c r="E115" s="6448" t="s">
        <v>874</v>
      </c>
      <c r="F115" s="6448" t="s">
        <v>875</v>
      </c>
      <c r="G115" s="6449"/>
      <c r="H115" s="6454"/>
      <c r="I115" s="6176"/>
      <c r="J115" s="6450"/>
    </row>
    <row r="116" spans="1:10">
      <c r="A116" s="1484" t="s">
        <v>945</v>
      </c>
      <c r="B116" s="1529">
        <v>7.75</v>
      </c>
      <c r="C116" s="1529">
        <v>7.75</v>
      </c>
      <c r="D116" s="1529">
        <v>7.75</v>
      </c>
      <c r="E116" s="1529">
        <v>7.75</v>
      </c>
      <c r="F116" s="1529">
        <v>6</v>
      </c>
      <c r="G116" s="1530"/>
      <c r="H116" s="1533"/>
      <c r="I116" s="1655">
        <f>SUM(B116:H116)</f>
        <v>37</v>
      </c>
      <c r="J116" s="1474"/>
    </row>
    <row r="117" spans="1:10">
      <c r="A117" s="6465" t="s">
        <v>871</v>
      </c>
      <c r="B117" s="6465">
        <f t="shared" ref="B117:I117" si="6">SUM(B112,B114,B116)</f>
        <v>23.25</v>
      </c>
      <c r="C117" s="6465">
        <f t="shared" si="6"/>
        <v>23.25</v>
      </c>
      <c r="D117" s="6465">
        <f t="shared" si="6"/>
        <v>23.25</v>
      </c>
      <c r="E117" s="6465">
        <f t="shared" si="6"/>
        <v>23.25</v>
      </c>
      <c r="F117" s="6465">
        <f t="shared" si="6"/>
        <v>18</v>
      </c>
      <c r="G117" s="6465">
        <f t="shared" si="6"/>
        <v>0</v>
      </c>
      <c r="H117" s="6465">
        <f t="shared" si="6"/>
        <v>0</v>
      </c>
      <c r="I117" s="6473">
        <f t="shared" si="6"/>
        <v>111</v>
      </c>
      <c r="J117" s="6474"/>
    </row>
    <row r="118" spans="1:10">
      <c r="A118" s="5"/>
      <c r="B118" s="5"/>
      <c r="C118" s="5"/>
      <c r="D118" s="5"/>
      <c r="E118" s="5"/>
      <c r="F118" s="5"/>
      <c r="G118" s="18"/>
      <c r="H118" s="18"/>
      <c r="I118" s="5"/>
      <c r="J118" s="6"/>
    </row>
    <row r="119" spans="1:10" ht="12.75">
      <c r="A119" s="1" t="s">
        <v>946</v>
      </c>
      <c r="B119" s="5"/>
      <c r="C119" s="5"/>
      <c r="D119" s="5"/>
      <c r="E119" s="5"/>
      <c r="F119" s="5"/>
    </row>
    <row r="120" spans="1:10" ht="12.75">
      <c r="A120" s="6175" t="s">
        <v>947</v>
      </c>
      <c r="B120" s="6442" t="s">
        <v>19</v>
      </c>
      <c r="C120" s="6443" t="s">
        <v>20</v>
      </c>
      <c r="D120" s="6443" t="s">
        <v>21</v>
      </c>
      <c r="E120" s="6443" t="s">
        <v>22</v>
      </c>
      <c r="F120" s="6443" t="s">
        <v>23</v>
      </c>
      <c r="G120" s="6443" t="s">
        <v>24</v>
      </c>
      <c r="H120" s="6444" t="s">
        <v>25</v>
      </c>
      <c r="I120" s="6445" t="s">
        <v>202</v>
      </c>
      <c r="J120" s="6446" t="s">
        <v>108</v>
      </c>
    </row>
    <row r="121" spans="1:10">
      <c r="A121" s="6447" t="s">
        <v>0</v>
      </c>
      <c r="B121" s="6448" t="s">
        <v>305</v>
      </c>
      <c r="C121" s="6448" t="s">
        <v>305</v>
      </c>
      <c r="D121" s="6448" t="s">
        <v>305</v>
      </c>
      <c r="E121" s="6448" t="s">
        <v>305</v>
      </c>
      <c r="F121" s="6449" t="s">
        <v>306</v>
      </c>
      <c r="G121" s="6449"/>
      <c r="H121" s="6449"/>
      <c r="I121" s="6176"/>
      <c r="J121" s="6450"/>
    </row>
    <row r="122" spans="1:10">
      <c r="A122" s="6451" t="s">
        <v>948</v>
      </c>
      <c r="B122" s="6452">
        <v>7.75</v>
      </c>
      <c r="C122" s="6452">
        <v>7.75</v>
      </c>
      <c r="D122" s="6452">
        <v>7.75</v>
      </c>
      <c r="E122" s="6452">
        <v>7.75</v>
      </c>
      <c r="F122" s="6504">
        <v>6</v>
      </c>
      <c r="G122" s="6504"/>
      <c r="H122" s="6504"/>
      <c r="I122" s="6505">
        <f>SUM(B122:H122)</f>
        <v>37</v>
      </c>
      <c r="J122" s="6506"/>
    </row>
    <row r="123" spans="1:10">
      <c r="A123" s="19"/>
      <c r="B123" s="256"/>
      <c r="C123" s="256"/>
      <c r="D123" s="256"/>
      <c r="E123" s="256"/>
      <c r="F123" s="257"/>
      <c r="G123" s="257"/>
      <c r="H123" s="18"/>
      <c r="I123" s="258"/>
      <c r="J123" s="248"/>
    </row>
    <row r="124" spans="1:10" ht="12.75">
      <c r="A124" s="20" t="s">
        <v>949</v>
      </c>
      <c r="B124" s="256"/>
      <c r="C124" s="256"/>
      <c r="D124" s="256"/>
      <c r="E124" s="256"/>
      <c r="F124" s="257"/>
      <c r="G124" s="257"/>
      <c r="H124" s="18"/>
      <c r="I124" s="258"/>
      <c r="J124" s="248"/>
    </row>
    <row r="125" spans="1:10" ht="12.75">
      <c r="A125" s="6467" t="s">
        <v>950</v>
      </c>
      <c r="B125" s="6468" t="s">
        <v>19</v>
      </c>
      <c r="C125" s="3200" t="s">
        <v>20</v>
      </c>
      <c r="D125" s="3200" t="s">
        <v>21</v>
      </c>
      <c r="E125" s="3200" t="s">
        <v>22</v>
      </c>
      <c r="F125" s="3200" t="s">
        <v>23</v>
      </c>
      <c r="G125" s="3200" t="s">
        <v>24</v>
      </c>
      <c r="H125" s="6469" t="s">
        <v>25</v>
      </c>
      <c r="I125" s="6470" t="s">
        <v>202</v>
      </c>
      <c r="J125" s="6471" t="s">
        <v>108</v>
      </c>
    </row>
    <row r="126" spans="1:10">
      <c r="A126" s="573" t="s">
        <v>0</v>
      </c>
      <c r="B126" s="623" t="s">
        <v>951</v>
      </c>
      <c r="C126" s="623" t="s">
        <v>951</v>
      </c>
      <c r="D126" s="623" t="s">
        <v>951</v>
      </c>
      <c r="E126" s="623" t="s">
        <v>951</v>
      </c>
      <c r="F126" s="624" t="s">
        <v>914</v>
      </c>
      <c r="G126" s="624"/>
      <c r="H126" s="624"/>
      <c r="I126" s="549"/>
      <c r="J126" s="570"/>
    </row>
    <row r="127" spans="1:10">
      <c r="A127" s="6451" t="s">
        <v>952</v>
      </c>
      <c r="B127" s="6452">
        <v>7.5</v>
      </c>
      <c r="C127" s="6452">
        <v>7.5</v>
      </c>
      <c r="D127" s="6452">
        <v>7.5</v>
      </c>
      <c r="E127" s="6452">
        <v>7.5</v>
      </c>
      <c r="F127" s="6504">
        <v>7</v>
      </c>
      <c r="G127" s="6504"/>
      <c r="H127" s="6504"/>
      <c r="I127" s="6507">
        <f>SUM(B127:H127)</f>
        <v>37</v>
      </c>
      <c r="J127" s="1474" t="s">
        <v>924</v>
      </c>
    </row>
    <row r="132" spans="1:10" ht="12.75">
      <c r="A132" s="1543" t="s">
        <v>953</v>
      </c>
      <c r="B132" s="5"/>
      <c r="C132" s="5"/>
      <c r="D132" s="5"/>
      <c r="E132" s="5"/>
      <c r="F132" s="18"/>
      <c r="G132" s="18"/>
      <c r="H132" s="18"/>
      <c r="I132" s="5"/>
      <c r="J132" s="6"/>
    </row>
    <row r="133" spans="1:10" ht="12.75">
      <c r="A133" s="16" t="s">
        <v>950</v>
      </c>
      <c r="B133" s="6442" t="s">
        <v>19</v>
      </c>
      <c r="C133" s="6443" t="s">
        <v>20</v>
      </c>
      <c r="D133" s="6443" t="s">
        <v>21</v>
      </c>
      <c r="E133" s="6443" t="s">
        <v>22</v>
      </c>
      <c r="F133" s="6443" t="s">
        <v>23</v>
      </c>
      <c r="G133" s="6443" t="s">
        <v>24</v>
      </c>
      <c r="H133" s="6444" t="s">
        <v>25</v>
      </c>
      <c r="I133" s="6445" t="s">
        <v>202</v>
      </c>
      <c r="J133" s="6446" t="s">
        <v>108</v>
      </c>
    </row>
    <row r="134" spans="1:10">
      <c r="A134" s="6447" t="s">
        <v>0</v>
      </c>
      <c r="B134" s="6448" t="s">
        <v>951</v>
      </c>
      <c r="C134" s="6448" t="s">
        <v>951</v>
      </c>
      <c r="D134" s="6448" t="s">
        <v>951</v>
      </c>
      <c r="E134" s="6448" t="s">
        <v>951</v>
      </c>
      <c r="F134" s="6449" t="s">
        <v>914</v>
      </c>
      <c r="G134" s="6449"/>
      <c r="H134" s="6449"/>
      <c r="I134" s="6176"/>
      <c r="J134" s="6450"/>
    </row>
    <row r="135" spans="1:10">
      <c r="A135" s="6451" t="s">
        <v>954</v>
      </c>
      <c r="B135" s="6452">
        <v>7.5</v>
      </c>
      <c r="C135" s="6452">
        <v>7.5</v>
      </c>
      <c r="D135" s="6452">
        <v>7.5</v>
      </c>
      <c r="E135" s="6452">
        <v>7.5</v>
      </c>
      <c r="F135" s="6504">
        <v>7</v>
      </c>
      <c r="G135" s="6504"/>
      <c r="H135" s="6504"/>
      <c r="I135" s="6452">
        <f>SUM(B135:H135)</f>
        <v>37</v>
      </c>
      <c r="J135" s="1474" t="s">
        <v>924</v>
      </c>
    </row>
    <row r="136" spans="1:10">
      <c r="A136" s="6447" t="s">
        <v>0</v>
      </c>
      <c r="B136" s="6448" t="s">
        <v>951</v>
      </c>
      <c r="C136" s="6448" t="s">
        <v>951</v>
      </c>
      <c r="D136" s="6448" t="s">
        <v>951</v>
      </c>
      <c r="E136" s="6448" t="s">
        <v>951</v>
      </c>
      <c r="F136" s="6449" t="s">
        <v>914</v>
      </c>
      <c r="G136" s="6449"/>
      <c r="H136" s="6449"/>
      <c r="I136" s="6176"/>
      <c r="J136" s="6450"/>
    </row>
    <row r="137" spans="1:10">
      <c r="A137" s="6451" t="s">
        <v>955</v>
      </c>
      <c r="B137" s="6452">
        <v>7.5</v>
      </c>
      <c r="C137" s="6452">
        <v>7.5</v>
      </c>
      <c r="D137" s="6452">
        <v>7.5</v>
      </c>
      <c r="E137" s="6452">
        <v>7.5</v>
      </c>
      <c r="F137" s="6504">
        <v>7</v>
      </c>
      <c r="G137" s="6504"/>
      <c r="H137" s="6504"/>
      <c r="I137" s="6452">
        <f>SUM(B137:H137)</f>
        <v>37</v>
      </c>
      <c r="J137" s="1474" t="s">
        <v>924</v>
      </c>
    </row>
    <row r="138" spans="1:10">
      <c r="A138" s="6447" t="s">
        <v>0</v>
      </c>
      <c r="B138" s="6448" t="s">
        <v>951</v>
      </c>
      <c r="C138" s="6448" t="s">
        <v>951</v>
      </c>
      <c r="D138" s="6448" t="s">
        <v>951</v>
      </c>
      <c r="E138" s="6448" t="s">
        <v>951</v>
      </c>
      <c r="F138" s="6449" t="s">
        <v>914</v>
      </c>
      <c r="G138" s="6449"/>
      <c r="H138" s="6449"/>
      <c r="I138" s="6176"/>
      <c r="J138" s="6450"/>
    </row>
    <row r="139" spans="1:10">
      <c r="A139" s="6451" t="s">
        <v>956</v>
      </c>
      <c r="B139" s="6452">
        <v>7.5</v>
      </c>
      <c r="C139" s="6452">
        <v>7.5</v>
      </c>
      <c r="D139" s="6452">
        <v>7.5</v>
      </c>
      <c r="E139" s="6452">
        <v>7.5</v>
      </c>
      <c r="F139" s="6504">
        <v>7</v>
      </c>
      <c r="G139" s="6504"/>
      <c r="H139" s="6504"/>
      <c r="I139" s="6452">
        <f>SUM(B139:H139)</f>
        <v>37</v>
      </c>
      <c r="J139" s="1474" t="s">
        <v>924</v>
      </c>
    </row>
    <row r="140" spans="1:10">
      <c r="A140" s="6447" t="s">
        <v>0</v>
      </c>
      <c r="B140" s="6448" t="s">
        <v>951</v>
      </c>
      <c r="C140" s="6448" t="s">
        <v>951</v>
      </c>
      <c r="D140" s="6448" t="s">
        <v>951</v>
      </c>
      <c r="E140" s="6448" t="s">
        <v>951</v>
      </c>
      <c r="F140" s="6449" t="s">
        <v>914</v>
      </c>
      <c r="G140" s="6449"/>
      <c r="H140" s="6449"/>
      <c r="I140" s="6176"/>
      <c r="J140" s="6450"/>
    </row>
    <row r="141" spans="1:10">
      <c r="A141" s="6451" t="s">
        <v>957</v>
      </c>
      <c r="B141" s="6452">
        <v>7.5</v>
      </c>
      <c r="C141" s="6452">
        <v>7.5</v>
      </c>
      <c r="D141" s="6452">
        <v>7.5</v>
      </c>
      <c r="E141" s="6452">
        <v>7.5</v>
      </c>
      <c r="F141" s="6504">
        <v>7</v>
      </c>
      <c r="G141" s="6504"/>
      <c r="H141" s="6504"/>
      <c r="I141" s="6452">
        <f>SUM(B141:H141)</f>
        <v>37</v>
      </c>
      <c r="J141" s="1474" t="s">
        <v>924</v>
      </c>
    </row>
    <row r="142" spans="1:10">
      <c r="A142" s="6447" t="s">
        <v>0</v>
      </c>
      <c r="B142" s="6448" t="s">
        <v>951</v>
      </c>
      <c r="C142" s="6448" t="s">
        <v>951</v>
      </c>
      <c r="D142" s="6448" t="s">
        <v>951</v>
      </c>
      <c r="E142" s="6448" t="s">
        <v>951</v>
      </c>
      <c r="F142" s="6449" t="s">
        <v>914</v>
      </c>
      <c r="G142" s="6449"/>
      <c r="H142" s="6449"/>
      <c r="I142" s="6176"/>
      <c r="J142" s="6450"/>
    </row>
    <row r="143" spans="1:10">
      <c r="A143" s="6451" t="s">
        <v>958</v>
      </c>
      <c r="B143" s="6452">
        <v>7.5</v>
      </c>
      <c r="C143" s="6452">
        <v>7.5</v>
      </c>
      <c r="D143" s="6452">
        <v>7.5</v>
      </c>
      <c r="E143" s="6452">
        <v>7.5</v>
      </c>
      <c r="F143" s="6504">
        <v>7</v>
      </c>
      <c r="G143" s="6504"/>
      <c r="H143" s="6504"/>
      <c r="I143" s="6452">
        <f>SUM(B143:H143)</f>
        <v>37</v>
      </c>
      <c r="J143" s="1474" t="s">
        <v>924</v>
      </c>
    </row>
    <row r="144" spans="1:10">
      <c r="A144" s="6465" t="s">
        <v>871</v>
      </c>
      <c r="B144" s="6465">
        <f t="shared" ref="B144:I144" si="7">SUM(B135,B137,B139,B141,B143)</f>
        <v>37.5</v>
      </c>
      <c r="C144" s="6465">
        <f t="shared" si="7"/>
        <v>37.5</v>
      </c>
      <c r="D144" s="6465">
        <f t="shared" si="7"/>
        <v>37.5</v>
      </c>
      <c r="E144" s="6465">
        <f t="shared" si="7"/>
        <v>37.5</v>
      </c>
      <c r="F144" s="6465">
        <f t="shared" si="7"/>
        <v>35</v>
      </c>
      <c r="G144" s="6465">
        <f t="shared" si="7"/>
        <v>0</v>
      </c>
      <c r="H144" s="6465">
        <f t="shared" si="7"/>
        <v>0</v>
      </c>
      <c r="I144" s="6473">
        <f t="shared" si="7"/>
        <v>185</v>
      </c>
      <c r="J144" s="6474"/>
    </row>
    <row r="147" spans="1:10" ht="12.75">
      <c r="B147" s="6508" t="s">
        <v>19</v>
      </c>
      <c r="C147" s="3200" t="s">
        <v>20</v>
      </c>
      <c r="D147" s="3200" t="s">
        <v>21</v>
      </c>
      <c r="E147" s="3200" t="s">
        <v>22</v>
      </c>
      <c r="F147" s="3200" t="s">
        <v>23</v>
      </c>
      <c r="G147" s="3200" t="s">
        <v>24</v>
      </c>
      <c r="H147" s="6509" t="s">
        <v>25</v>
      </c>
      <c r="I147" s="6510" t="s">
        <v>959</v>
      </c>
      <c r="J147" s="18" t="s">
        <v>0</v>
      </c>
    </row>
    <row r="148" spans="1:10">
      <c r="A148" s="6511" t="s">
        <v>960</v>
      </c>
      <c r="B148" s="623">
        <f t="shared" ref="B148:I148" si="8">SUM(B4,B20,B30,B65,B74,B89,B98,B102,B107,B117,B122,B127,B144)</f>
        <v>368.40000000000003</v>
      </c>
      <c r="C148" s="623">
        <f t="shared" si="8"/>
        <v>364</v>
      </c>
      <c r="D148" s="623">
        <f t="shared" si="8"/>
        <v>369.5</v>
      </c>
      <c r="E148" s="623">
        <f t="shared" si="8"/>
        <v>368.5</v>
      </c>
      <c r="F148" s="623">
        <f t="shared" si="8"/>
        <v>333.65</v>
      </c>
      <c r="G148" s="623">
        <f t="shared" si="8"/>
        <v>96.5</v>
      </c>
      <c r="H148" s="623">
        <f t="shared" si="8"/>
        <v>84</v>
      </c>
      <c r="I148" s="623">
        <f t="shared" si="8"/>
        <v>1984.55</v>
      </c>
      <c r="J148" s="258" t="s">
        <v>0</v>
      </c>
    </row>
    <row r="149" spans="1:10">
      <c r="A149" s="6511" t="s">
        <v>961</v>
      </c>
      <c r="B149" s="6496">
        <f>SUM(G148)*4</f>
        <v>386</v>
      </c>
      <c r="C149" s="6496">
        <f>SUM(G148)*1</f>
        <v>96.5</v>
      </c>
      <c r="D149" s="6496">
        <f>SUM(G148)*0</f>
        <v>0</v>
      </c>
      <c r="E149" s="6496">
        <f>SUM(G148)*2</f>
        <v>193</v>
      </c>
      <c r="F149" s="6496">
        <f>SUM(G148)*2</f>
        <v>193</v>
      </c>
      <c r="G149" s="6496">
        <f>SUM(G148)*0</f>
        <v>0</v>
      </c>
      <c r="H149" s="6496">
        <f>SUM(G148)*0</f>
        <v>0</v>
      </c>
      <c r="I149" s="623">
        <f>SUM(B149:H149)</f>
        <v>868.5</v>
      </c>
    </row>
    <row r="150" spans="1:10">
      <c r="A150" s="6511" t="s">
        <v>962</v>
      </c>
      <c r="B150" s="623">
        <f>SUM(B148*48)+B149</f>
        <v>18069.2</v>
      </c>
      <c r="C150" s="623">
        <f>SUM(C148*51)+C149</f>
        <v>18660.5</v>
      </c>
      <c r="D150" s="623">
        <f>SUM(D148*52)+D149</f>
        <v>19214</v>
      </c>
      <c r="E150" s="623">
        <f>SUM(E148*52)+E149</f>
        <v>19355</v>
      </c>
      <c r="F150" s="623">
        <f>SUM(F148*52)+F149</f>
        <v>17542.8</v>
      </c>
      <c r="G150" s="623">
        <f>SUM(G148*52)+G149</f>
        <v>5018</v>
      </c>
      <c r="H150" s="623">
        <f>SUM(H148*52)+H149</f>
        <v>4368</v>
      </c>
      <c r="I150" s="632">
        <f>SUM(B150:H150)</f>
        <v>102227.5</v>
      </c>
    </row>
    <row r="153" spans="1:10">
      <c r="A153" s="6511" t="s">
        <v>963</v>
      </c>
      <c r="B153" s="6511"/>
      <c r="C153" s="6511"/>
      <c r="D153" s="6511"/>
      <c r="E153" s="6496">
        <v>56</v>
      </c>
      <c r="F153" s="6511"/>
      <c r="G153" s="6511"/>
      <c r="H153" s="6512"/>
      <c r="I153" s="6513">
        <f>SUM(E153)*52</f>
        <v>2912</v>
      </c>
    </row>
    <row r="154" spans="1:10">
      <c r="A154" s="6514" t="s">
        <v>964</v>
      </c>
      <c r="B154" s="6514"/>
      <c r="C154" s="6514"/>
      <c r="D154" s="6514"/>
      <c r="E154" s="6514"/>
      <c r="F154" s="6514"/>
      <c r="G154" s="6514"/>
      <c r="H154" s="6514"/>
      <c r="I154" s="6513">
        <f>SUM(I153*2)</f>
        <v>5824</v>
      </c>
    </row>
    <row r="155" spans="1:10">
      <c r="A155" s="6511" t="s">
        <v>965</v>
      </c>
      <c r="B155" s="6511"/>
      <c r="C155" s="6512"/>
      <c r="D155" s="6514"/>
      <c r="E155" s="6514"/>
      <c r="F155" s="6514"/>
      <c r="G155" s="6514"/>
      <c r="H155" s="6514"/>
      <c r="I155" s="6513">
        <f>48*12</f>
        <v>576</v>
      </c>
    </row>
    <row r="156" spans="1:10">
      <c r="A156" s="6515" t="s">
        <v>959</v>
      </c>
      <c r="B156" s="6515"/>
      <c r="C156" s="6515"/>
      <c r="D156" s="6515"/>
      <c r="E156" s="6515"/>
      <c r="F156" s="6515"/>
      <c r="G156" s="6515"/>
      <c r="H156" s="6515"/>
      <c r="I156" s="6516">
        <f>SUM(I153:I155)</f>
        <v>9312</v>
      </c>
    </row>
    <row r="157" spans="1:10">
      <c r="I157" s="21"/>
    </row>
    <row r="158" spans="1:10">
      <c r="I158" s="21"/>
    </row>
    <row r="159" spans="1:10">
      <c r="A159" s="6515" t="s">
        <v>966</v>
      </c>
      <c r="B159" s="6515"/>
      <c r="C159" s="6515"/>
      <c r="D159" s="6515"/>
      <c r="E159" s="6515"/>
      <c r="F159" s="6515"/>
      <c r="G159" s="6515"/>
      <c r="H159" s="6515"/>
      <c r="I159" s="6517">
        <f>SUM(I150:I156)</f>
        <v>120851.5</v>
      </c>
      <c r="J159" t="s">
        <v>967</v>
      </c>
    </row>
  </sheetData>
  <sheetProtection algorithmName="SHA-512" hashValue="4mN+k/CaZEcR0vFYyTIlxg/mVVeO+VQGtLwZDzSQZocukwOBw1W9Yy0j/sGDdX/Xrfqhsm9iOykrUxLPwywYGQ==" saltValue="gM2U/4ANYURfw9/n1VCMBQ==" spinCount="100000" sheet="1" objects="1" scenarios="1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Ark32"/>
  <dimension ref="A1:V267"/>
  <sheetViews>
    <sheetView topLeftCell="A32" workbookViewId="0">
      <selection activeCell="N28" sqref="N28"/>
    </sheetView>
  </sheetViews>
  <sheetFormatPr defaultRowHeight="12"/>
  <cols>
    <col min="1" max="1" width="15.42578125" customWidth="1"/>
    <col min="2" max="10" width="11.7109375" customWidth="1"/>
    <col min="13" max="16" width="18.85546875" customWidth="1"/>
  </cols>
  <sheetData>
    <row r="1" spans="1:14" ht="23.25">
      <c r="A1" s="1" t="s">
        <v>856</v>
      </c>
      <c r="B1" s="1"/>
      <c r="D1" s="2"/>
      <c r="E1" s="2"/>
    </row>
    <row r="2" spans="1:14" ht="12.75">
      <c r="A2" s="6438" t="s">
        <v>968</v>
      </c>
      <c r="B2" s="6439" t="s">
        <v>19</v>
      </c>
      <c r="C2" s="6440" t="s">
        <v>20</v>
      </c>
      <c r="D2" s="6440" t="s">
        <v>21</v>
      </c>
      <c r="E2" s="6440" t="s">
        <v>22</v>
      </c>
      <c r="F2" s="6440" t="s">
        <v>23</v>
      </c>
      <c r="G2" s="6440" t="s">
        <v>24</v>
      </c>
      <c r="H2" s="6179" t="s">
        <v>25</v>
      </c>
      <c r="I2" s="6176" t="s">
        <v>202</v>
      </c>
      <c r="J2" s="6441" t="s">
        <v>108</v>
      </c>
    </row>
    <row r="3" spans="1:14" ht="12.75">
      <c r="A3" s="548"/>
      <c r="B3" s="623" t="s">
        <v>222</v>
      </c>
      <c r="C3" s="623" t="s">
        <v>222</v>
      </c>
      <c r="D3" s="623" t="s">
        <v>222</v>
      </c>
      <c r="E3" s="623" t="s">
        <v>222</v>
      </c>
      <c r="F3" s="624" t="s">
        <v>969</v>
      </c>
      <c r="G3" s="625"/>
      <c r="H3" s="626"/>
      <c r="I3" s="549"/>
      <c r="J3" s="568"/>
    </row>
    <row r="4" spans="1:14">
      <c r="A4" s="1663" t="s">
        <v>970</v>
      </c>
      <c r="B4" s="1529">
        <v>7.75</v>
      </c>
      <c r="C4" s="1529">
        <v>7.75</v>
      </c>
      <c r="D4" s="1529">
        <v>7.75</v>
      </c>
      <c r="E4" s="1529">
        <v>7.75</v>
      </c>
      <c r="F4" s="1530">
        <v>6</v>
      </c>
      <c r="G4" s="1531"/>
      <c r="H4" s="1532"/>
      <c r="I4" s="1654">
        <f>SUM(B4:H4)</f>
        <v>37</v>
      </c>
      <c r="J4" s="1473"/>
    </row>
    <row r="5" spans="1:14" ht="23.25">
      <c r="A5" s="1" t="s">
        <v>971</v>
      </c>
      <c r="B5" s="1"/>
      <c r="D5" s="2"/>
      <c r="E5" s="2"/>
    </row>
    <row r="6" spans="1:14" ht="12.75">
      <c r="A6" s="6323" t="s">
        <v>873</v>
      </c>
      <c r="B6" s="6439" t="s">
        <v>19</v>
      </c>
      <c r="C6" s="6440" t="s">
        <v>20</v>
      </c>
      <c r="D6" s="6440" t="s">
        <v>21</v>
      </c>
      <c r="E6" s="6440" t="s">
        <v>22</v>
      </c>
      <c r="F6" s="6440" t="s">
        <v>23</v>
      </c>
      <c r="G6" s="6440" t="s">
        <v>24</v>
      </c>
      <c r="H6" s="6440" t="s">
        <v>25</v>
      </c>
      <c r="I6" s="6457" t="s">
        <v>202</v>
      </c>
      <c r="J6" s="6441" t="s">
        <v>108</v>
      </c>
    </row>
    <row r="7" spans="1:14" ht="12.75">
      <c r="A7" s="6518"/>
      <c r="B7" s="6519" t="s">
        <v>874</v>
      </c>
      <c r="C7" s="6519" t="s">
        <v>874</v>
      </c>
      <c r="D7" s="6519" t="s">
        <v>874</v>
      </c>
      <c r="E7" s="6519" t="s">
        <v>874</v>
      </c>
      <c r="F7" s="6519" t="s">
        <v>875</v>
      </c>
      <c r="G7" s="6520"/>
      <c r="H7" s="6520"/>
      <c r="I7" s="6511"/>
      <c r="J7" s="6521"/>
    </row>
    <row r="8" spans="1:14">
      <c r="A8" s="1663" t="s">
        <v>972</v>
      </c>
      <c r="B8" s="6504">
        <v>7.75</v>
      </c>
      <c r="C8" s="6504">
        <v>7.75</v>
      </c>
      <c r="D8" s="6504">
        <v>7.75</v>
      </c>
      <c r="E8" s="6504">
        <v>7.75</v>
      </c>
      <c r="F8" s="6504">
        <v>6</v>
      </c>
      <c r="G8" s="1531"/>
      <c r="H8" s="1532"/>
      <c r="I8" s="1654">
        <f>SUM(B8:H8)</f>
        <v>37</v>
      </c>
      <c r="J8" s="1473"/>
    </row>
    <row r="9" spans="1:14" ht="12.75">
      <c r="A9" s="5"/>
      <c r="E9" s="5"/>
      <c r="F9" s="18"/>
      <c r="G9" s="6522" t="s">
        <v>973</v>
      </c>
      <c r="H9" s="6522" t="s">
        <v>974</v>
      </c>
      <c r="I9" s="6522" t="s">
        <v>975</v>
      </c>
      <c r="J9" s="22"/>
    </row>
    <row r="10" spans="1:14">
      <c r="A10" s="5"/>
      <c r="E10" s="5"/>
      <c r="F10" s="18"/>
      <c r="G10" s="6496">
        <f>I4+I8</f>
        <v>74</v>
      </c>
      <c r="H10" s="6523">
        <f>SUM(G10*13/3)</f>
        <v>320.66666666666669</v>
      </c>
      <c r="I10" s="6496">
        <f>SUM(H10*12)</f>
        <v>3848</v>
      </c>
      <c r="J10" s="22"/>
    </row>
    <row r="11" spans="1:14" ht="23.25">
      <c r="A11" s="92" t="s">
        <v>18</v>
      </c>
      <c r="B11" s="92"/>
      <c r="D11" s="2"/>
      <c r="E11" s="2"/>
    </row>
    <row r="12" spans="1:14" ht="12.75">
      <c r="A12" s="6175" t="s">
        <v>859</v>
      </c>
      <c r="B12" s="6442" t="s">
        <v>19</v>
      </c>
      <c r="C12" s="6443" t="s">
        <v>20</v>
      </c>
      <c r="D12" s="6443" t="s">
        <v>21</v>
      </c>
      <c r="E12" s="6443" t="s">
        <v>22</v>
      </c>
      <c r="F12" s="6443" t="s">
        <v>23</v>
      </c>
      <c r="G12" s="6443" t="s">
        <v>24</v>
      </c>
      <c r="H12" s="6444" t="s">
        <v>25</v>
      </c>
      <c r="I12" s="6445" t="s">
        <v>202</v>
      </c>
      <c r="J12" s="6446" t="s">
        <v>108</v>
      </c>
    </row>
    <row r="13" spans="1:14">
      <c r="A13" s="6524" t="s">
        <v>0</v>
      </c>
      <c r="B13" s="6440" t="s">
        <v>10</v>
      </c>
      <c r="C13" s="6440" t="s">
        <v>10</v>
      </c>
      <c r="D13" s="6440" t="s">
        <v>10</v>
      </c>
      <c r="E13" s="6440" t="s">
        <v>10</v>
      </c>
      <c r="F13" s="6440" t="s">
        <v>10</v>
      </c>
      <c r="G13" s="6440" t="s">
        <v>10</v>
      </c>
      <c r="H13" s="6440" t="s">
        <v>10</v>
      </c>
      <c r="I13" s="6525"/>
      <c r="J13" s="6526" t="s">
        <v>10</v>
      </c>
      <c r="M13" s="6527"/>
      <c r="N13" s="6528" t="s">
        <v>976</v>
      </c>
    </row>
    <row r="14" spans="1:14" ht="12.75">
      <c r="A14" s="6529" t="s">
        <v>10</v>
      </c>
      <c r="B14" s="6504">
        <v>8.25</v>
      </c>
      <c r="C14" s="6504">
        <v>8.25</v>
      </c>
      <c r="D14" s="1530">
        <v>8.25</v>
      </c>
      <c r="E14" s="1530">
        <v>8.25</v>
      </c>
      <c r="F14" s="1530">
        <v>8.25</v>
      </c>
      <c r="G14" s="1530">
        <v>12.25</v>
      </c>
      <c r="H14" s="1530">
        <v>12.25</v>
      </c>
      <c r="I14" s="1665">
        <f>SUM(B14:H14)</f>
        <v>65.75</v>
      </c>
      <c r="J14" s="1475" t="s">
        <v>10</v>
      </c>
      <c r="K14" s="259"/>
      <c r="M14" s="6530"/>
      <c r="N14" s="6531" t="s">
        <v>977</v>
      </c>
    </row>
    <row r="15" spans="1:14">
      <c r="A15" s="6524" t="s">
        <v>0</v>
      </c>
      <c r="B15" s="6448" t="s">
        <v>220</v>
      </c>
      <c r="C15" s="6448" t="s">
        <v>220</v>
      </c>
      <c r="D15" s="6448" t="s">
        <v>220</v>
      </c>
      <c r="E15" s="6448" t="s">
        <v>220</v>
      </c>
      <c r="F15" s="6448" t="s">
        <v>220</v>
      </c>
      <c r="G15" s="6525"/>
      <c r="H15" s="6525"/>
      <c r="I15" s="6532"/>
      <c r="J15" s="6533" t="s">
        <v>10</v>
      </c>
      <c r="K15" s="5"/>
      <c r="M15" s="6530" t="s">
        <v>210</v>
      </c>
      <c r="N15" s="6531">
        <f>I14</f>
        <v>65.75</v>
      </c>
    </row>
    <row r="16" spans="1:14" ht="12.75">
      <c r="A16" s="6529" t="s">
        <v>10</v>
      </c>
      <c r="B16" s="6504"/>
      <c r="C16" s="6504"/>
      <c r="D16" s="6504"/>
      <c r="E16" s="6504"/>
      <c r="F16" s="6504"/>
      <c r="G16" s="6534"/>
      <c r="H16" s="6534"/>
      <c r="I16" s="1665">
        <f>SUM(B16:H16)</f>
        <v>0</v>
      </c>
      <c r="J16" s="1475" t="s">
        <v>10</v>
      </c>
      <c r="K16" s="5"/>
      <c r="M16" s="6530" t="s">
        <v>212</v>
      </c>
      <c r="N16" s="6531">
        <f>I16</f>
        <v>0</v>
      </c>
    </row>
    <row r="17" spans="1:17">
      <c r="A17" s="6524" t="s">
        <v>0</v>
      </c>
      <c r="B17" s="6440" t="s">
        <v>10</v>
      </c>
      <c r="C17" s="6440" t="s">
        <v>10</v>
      </c>
      <c r="D17" s="6440" t="s">
        <v>10</v>
      </c>
      <c r="E17" s="6440" t="s">
        <v>10</v>
      </c>
      <c r="F17" s="6440" t="s">
        <v>10</v>
      </c>
      <c r="G17" s="6535"/>
      <c r="H17" s="6535"/>
      <c r="I17" s="6532"/>
      <c r="J17" s="6533" t="s">
        <v>10</v>
      </c>
      <c r="K17" s="5"/>
      <c r="M17" s="6530" t="s">
        <v>214</v>
      </c>
      <c r="N17" s="6531">
        <v>0</v>
      </c>
      <c r="O17" s="5"/>
    </row>
    <row r="18" spans="1:17">
      <c r="A18" s="6536" t="s">
        <v>10</v>
      </c>
      <c r="B18" s="1530">
        <v>8.25</v>
      </c>
      <c r="C18" s="1530">
        <v>8.25</v>
      </c>
      <c r="D18" s="1530">
        <v>8.25</v>
      </c>
      <c r="E18" s="1530">
        <v>8.25</v>
      </c>
      <c r="F18" s="1530">
        <v>8.25</v>
      </c>
      <c r="G18" s="6504"/>
      <c r="H18" s="6504"/>
      <c r="I18" s="1665">
        <f>SUM(B18:H18)</f>
        <v>41.25</v>
      </c>
      <c r="J18" s="1475" t="s">
        <v>10</v>
      </c>
      <c r="K18" s="258"/>
      <c r="M18" s="6530" t="s">
        <v>218</v>
      </c>
      <c r="N18" s="6531">
        <f>I20</f>
        <v>64.5</v>
      </c>
      <c r="O18" s="5"/>
    </row>
    <row r="19" spans="1:17">
      <c r="A19" s="6537" t="s">
        <v>0</v>
      </c>
      <c r="B19" s="6440" t="s">
        <v>10</v>
      </c>
      <c r="C19" s="6440" t="s">
        <v>10</v>
      </c>
      <c r="D19" s="6440" t="s">
        <v>10</v>
      </c>
      <c r="E19" s="6440" t="s">
        <v>10</v>
      </c>
      <c r="F19" s="6440" t="s">
        <v>10</v>
      </c>
      <c r="G19" s="6535" t="s">
        <v>10</v>
      </c>
      <c r="H19" s="6535" t="s">
        <v>10</v>
      </c>
      <c r="I19" s="6532"/>
      <c r="J19" s="6380"/>
      <c r="K19" s="5"/>
      <c r="M19" s="6530" t="s">
        <v>221</v>
      </c>
      <c r="N19" s="6531">
        <v>0</v>
      </c>
      <c r="O19" s="5"/>
    </row>
    <row r="20" spans="1:17" ht="12.75">
      <c r="A20" s="6529" t="s">
        <v>10</v>
      </c>
      <c r="B20" s="6504">
        <v>8</v>
      </c>
      <c r="C20" s="6504">
        <v>8</v>
      </c>
      <c r="D20" s="6504">
        <v>8</v>
      </c>
      <c r="E20" s="6504">
        <v>8</v>
      </c>
      <c r="F20" s="6504">
        <v>8</v>
      </c>
      <c r="G20" s="6519">
        <v>12.25</v>
      </c>
      <c r="H20" s="6519">
        <v>12.25</v>
      </c>
      <c r="I20" s="1665">
        <f>SUM(B20:H20)</f>
        <v>64.5</v>
      </c>
      <c r="J20" s="6460"/>
      <c r="K20" s="5"/>
      <c r="M20" s="6530" t="s">
        <v>978</v>
      </c>
      <c r="N20" s="6531">
        <v>0</v>
      </c>
      <c r="O20" s="5"/>
    </row>
    <row r="21" spans="1:17">
      <c r="A21" s="6524" t="s">
        <v>0</v>
      </c>
      <c r="B21" s="6448" t="s">
        <v>220</v>
      </c>
      <c r="C21" s="6448" t="s">
        <v>220</v>
      </c>
      <c r="D21" s="6448" t="s">
        <v>220</v>
      </c>
      <c r="E21" s="6448" t="s">
        <v>220</v>
      </c>
      <c r="F21" s="6448" t="s">
        <v>220</v>
      </c>
      <c r="G21" s="6538"/>
      <c r="H21" s="6539"/>
      <c r="I21" s="6532"/>
      <c r="J21" s="6380"/>
      <c r="K21" s="5"/>
      <c r="M21" s="6540" t="s">
        <v>979</v>
      </c>
      <c r="N21" s="6541">
        <f>SUM(N15:N20)</f>
        <v>130.25</v>
      </c>
      <c r="O21" s="5"/>
    </row>
    <row r="22" spans="1:17" ht="12.75">
      <c r="A22" s="6529" t="s">
        <v>10</v>
      </c>
      <c r="B22" s="256"/>
      <c r="C22" s="256"/>
      <c r="D22" s="256"/>
      <c r="E22" s="256"/>
      <c r="F22" s="256"/>
      <c r="G22" s="6534"/>
      <c r="H22" s="6542"/>
      <c r="I22" s="1665">
        <f>SUM(B22:H22)</f>
        <v>0</v>
      </c>
      <c r="J22" s="6460"/>
      <c r="K22" s="5"/>
    </row>
    <row r="23" spans="1:17">
      <c r="A23" s="6524" t="s">
        <v>0</v>
      </c>
      <c r="B23" s="6440" t="s">
        <v>10</v>
      </c>
      <c r="C23" s="6440" t="s">
        <v>10</v>
      </c>
      <c r="D23" s="6440" t="s">
        <v>10</v>
      </c>
      <c r="E23" s="6440" t="s">
        <v>10</v>
      </c>
      <c r="F23" s="6440" t="s">
        <v>10</v>
      </c>
      <c r="G23" s="6525"/>
      <c r="H23" s="6539"/>
      <c r="I23" s="6532"/>
      <c r="J23" s="6380" t="s">
        <v>980</v>
      </c>
      <c r="K23" s="5"/>
      <c r="M23" t="s">
        <v>981</v>
      </c>
      <c r="N23" t="s">
        <v>982</v>
      </c>
      <c r="P23">
        <v>148</v>
      </c>
      <c r="Q23" t="s">
        <v>983</v>
      </c>
    </row>
    <row r="24" spans="1:17" ht="12.75">
      <c r="A24" s="6529" t="s">
        <v>10</v>
      </c>
      <c r="B24" s="6504">
        <v>7.25</v>
      </c>
      <c r="C24" s="6504">
        <v>7.25</v>
      </c>
      <c r="D24" s="6504">
        <v>7.25</v>
      </c>
      <c r="E24" s="6504">
        <v>7.25</v>
      </c>
      <c r="F24" s="6504">
        <v>7.25</v>
      </c>
      <c r="G24" s="6534"/>
      <c r="H24" s="6543"/>
      <c r="I24" s="1665">
        <f>SUM(B24:H24)</f>
        <v>36.25</v>
      </c>
      <c r="J24" s="6460"/>
      <c r="K24" s="5"/>
      <c r="O24" t="s">
        <v>0</v>
      </c>
    </row>
    <row r="25" spans="1:17">
      <c r="A25" s="6465" t="s">
        <v>871</v>
      </c>
      <c r="B25" s="6544">
        <f t="shared" ref="B25:I25" si="0">SUM(B14,B16,B18,B20,B22,B24)</f>
        <v>31.75</v>
      </c>
      <c r="C25" s="6544">
        <f t="shared" si="0"/>
        <v>31.75</v>
      </c>
      <c r="D25" s="6544">
        <f t="shared" si="0"/>
        <v>31.75</v>
      </c>
      <c r="E25" s="6544">
        <f t="shared" si="0"/>
        <v>31.75</v>
      </c>
      <c r="F25" s="6544">
        <f t="shared" si="0"/>
        <v>31.75</v>
      </c>
      <c r="G25" s="6544">
        <f t="shared" si="0"/>
        <v>24.5</v>
      </c>
      <c r="H25" s="6544">
        <f t="shared" si="0"/>
        <v>24.5</v>
      </c>
      <c r="I25" s="6544">
        <f t="shared" si="0"/>
        <v>207.75</v>
      </c>
      <c r="J25" s="6466"/>
      <c r="K25" s="5"/>
      <c r="M25" t="s">
        <v>984</v>
      </c>
      <c r="O25" s="46">
        <f>N21</f>
        <v>130.25</v>
      </c>
    </row>
    <row r="26" spans="1:17" ht="23.25">
      <c r="A26" s="3" t="s">
        <v>872</v>
      </c>
      <c r="D26" s="2"/>
      <c r="E26" s="2"/>
    </row>
    <row r="27" spans="1:17" ht="12.75">
      <c r="A27" s="6175" t="s">
        <v>873</v>
      </c>
      <c r="B27" s="6442" t="s">
        <v>19</v>
      </c>
      <c r="C27" s="6443" t="s">
        <v>20</v>
      </c>
      <c r="D27" s="6443" t="s">
        <v>21</v>
      </c>
      <c r="E27" s="6443" t="s">
        <v>22</v>
      </c>
      <c r="F27" s="6443" t="s">
        <v>23</v>
      </c>
      <c r="G27" s="6443" t="s">
        <v>24</v>
      </c>
      <c r="H27" s="6444" t="s">
        <v>25</v>
      </c>
      <c r="I27" s="6445" t="s">
        <v>202</v>
      </c>
      <c r="J27" s="6446" t="s">
        <v>108</v>
      </c>
      <c r="M27">
        <f>O25</f>
        <v>130.25</v>
      </c>
      <c r="N27" t="s">
        <v>985</v>
      </c>
      <c r="P27" s="21">
        <f>SUM(N21/37)</f>
        <v>3.5202702702702702</v>
      </c>
      <c r="Q27" t="s">
        <v>983</v>
      </c>
    </row>
    <row r="28" spans="1:17">
      <c r="A28" s="6447"/>
      <c r="B28" s="6449" t="s">
        <v>874</v>
      </c>
      <c r="C28" s="6449" t="s">
        <v>874</v>
      </c>
      <c r="D28" s="6449" t="s">
        <v>874</v>
      </c>
      <c r="E28" s="6449" t="s">
        <v>874</v>
      </c>
      <c r="F28" s="6449" t="s">
        <v>875</v>
      </c>
      <c r="G28" s="6449"/>
      <c r="H28" s="6449"/>
      <c r="I28" s="6525"/>
      <c r="J28" s="6450"/>
    </row>
    <row r="29" spans="1:17">
      <c r="A29" s="6451" t="s">
        <v>986</v>
      </c>
      <c r="B29" s="6504">
        <v>7.75</v>
      </c>
      <c r="C29" s="6504">
        <v>7.75</v>
      </c>
      <c r="D29" s="6504">
        <v>7.75</v>
      </c>
      <c r="E29" s="6504">
        <v>7.75</v>
      </c>
      <c r="F29" s="6504">
        <v>6</v>
      </c>
      <c r="G29" s="6504"/>
      <c r="H29" s="6504"/>
      <c r="I29" s="6504">
        <f>SUM(B29:H29)</f>
        <v>37</v>
      </c>
      <c r="J29" s="6506"/>
      <c r="M29" s="21">
        <f>P27</f>
        <v>3.5202702702702702</v>
      </c>
      <c r="N29" t="s">
        <v>987</v>
      </c>
      <c r="P29" s="21">
        <f>SUM(P27*3)</f>
        <v>10.560810810810811</v>
      </c>
      <c r="Q29" t="s">
        <v>983</v>
      </c>
    </row>
    <row r="30" spans="1:17">
      <c r="A30" s="6447"/>
      <c r="B30" s="6449" t="s">
        <v>874</v>
      </c>
      <c r="C30" s="6449" t="s">
        <v>874</v>
      </c>
      <c r="D30" s="6449" t="s">
        <v>874</v>
      </c>
      <c r="E30" s="6449" t="s">
        <v>874</v>
      </c>
      <c r="F30" s="6449" t="s">
        <v>875</v>
      </c>
      <c r="G30" s="6449"/>
      <c r="H30" s="6449"/>
      <c r="I30" s="6525"/>
      <c r="J30" s="6450"/>
      <c r="M30" s="21"/>
      <c r="P30" s="21"/>
    </row>
    <row r="31" spans="1:17">
      <c r="A31" s="1484" t="s">
        <v>988</v>
      </c>
      <c r="B31" s="6504">
        <v>7.75</v>
      </c>
      <c r="C31" s="6504">
        <v>7.75</v>
      </c>
      <c r="D31" s="6504">
        <v>7.75</v>
      </c>
      <c r="E31" s="6504">
        <v>7.75</v>
      </c>
      <c r="F31" s="6504">
        <v>6</v>
      </c>
      <c r="G31" s="6504"/>
      <c r="H31" s="6504"/>
      <c r="I31" s="6504">
        <f>SUM(B31:H31)</f>
        <v>37</v>
      </c>
      <c r="J31" s="6506"/>
      <c r="M31" s="21"/>
      <c r="P31" s="21"/>
    </row>
    <row r="32" spans="1:17">
      <c r="A32" s="569"/>
      <c r="B32" s="624" t="s">
        <v>874</v>
      </c>
      <c r="C32" s="624" t="s">
        <v>874</v>
      </c>
      <c r="D32" s="624" t="s">
        <v>874</v>
      </c>
      <c r="E32" s="624" t="s">
        <v>874</v>
      </c>
      <c r="F32" s="624" t="s">
        <v>875</v>
      </c>
      <c r="G32" s="624"/>
      <c r="H32" s="627"/>
      <c r="I32" s="633"/>
      <c r="J32" s="570"/>
    </row>
    <row r="33" spans="1:22">
      <c r="A33" s="1484" t="s">
        <v>989</v>
      </c>
      <c r="B33" s="6504">
        <v>7.75</v>
      </c>
      <c r="C33" s="6504">
        <v>7.75</v>
      </c>
      <c r="D33" s="6504">
        <v>7.75</v>
      </c>
      <c r="E33" s="6504">
        <v>7.75</v>
      </c>
      <c r="F33" s="6504">
        <v>6</v>
      </c>
      <c r="G33" s="1530"/>
      <c r="H33" s="1533"/>
      <c r="I33" s="1665">
        <f>SUM(B33:H33)</f>
        <v>37</v>
      </c>
      <c r="J33" s="1474"/>
      <c r="M33">
        <f>P23</f>
        <v>148</v>
      </c>
      <c r="N33" t="s">
        <v>990</v>
      </c>
      <c r="P33" s="47">
        <f>P29</f>
        <v>10.560810810810811</v>
      </c>
      <c r="Q33" t="s">
        <v>991</v>
      </c>
      <c r="R33" s="21">
        <f>SUM(M33-P33)</f>
        <v>137.43918918918919</v>
      </c>
      <c r="S33" t="s">
        <v>992</v>
      </c>
    </row>
    <row r="34" spans="1:22">
      <c r="A34" s="6465" t="s">
        <v>871</v>
      </c>
      <c r="B34" s="6545">
        <f t="shared" ref="B34:I34" si="1">SUM(B29,B31,B33)</f>
        <v>23.25</v>
      </c>
      <c r="C34" s="6545">
        <f t="shared" si="1"/>
        <v>23.25</v>
      </c>
      <c r="D34" s="6545">
        <f t="shared" si="1"/>
        <v>23.25</v>
      </c>
      <c r="E34" s="6545">
        <f t="shared" si="1"/>
        <v>23.25</v>
      </c>
      <c r="F34" s="6545">
        <f t="shared" si="1"/>
        <v>18</v>
      </c>
      <c r="G34" s="6545">
        <f t="shared" si="1"/>
        <v>0</v>
      </c>
      <c r="H34" s="6545">
        <f t="shared" si="1"/>
        <v>0</v>
      </c>
      <c r="I34" s="6545">
        <f t="shared" si="1"/>
        <v>111</v>
      </c>
      <c r="J34" s="6474"/>
    </row>
    <row r="35" spans="1:22" ht="12.75">
      <c r="A35" s="5"/>
      <c r="B35" s="5"/>
      <c r="C35" s="5"/>
      <c r="D35" s="5"/>
      <c r="E35" s="5"/>
      <c r="F35" s="5"/>
      <c r="G35" s="6522" t="s">
        <v>973</v>
      </c>
      <c r="H35" s="6522" t="s">
        <v>974</v>
      </c>
      <c r="I35" s="6522" t="s">
        <v>975</v>
      </c>
      <c r="J35" s="6"/>
      <c r="M35">
        <f>I25</f>
        <v>207.75</v>
      </c>
      <c r="N35" t="s">
        <v>993</v>
      </c>
      <c r="O35" s="21">
        <f>R33</f>
        <v>137.43918918918919</v>
      </c>
      <c r="P35" s="6546">
        <f>SUM(M35-O35)</f>
        <v>70.310810810810807</v>
      </c>
    </row>
    <row r="36" spans="1:22">
      <c r="A36" s="5"/>
      <c r="B36" s="5"/>
      <c r="C36" s="5"/>
      <c r="D36" s="5"/>
      <c r="E36" s="5"/>
      <c r="F36" s="5"/>
      <c r="G36" s="6496">
        <f>I25+I34</f>
        <v>318.75</v>
      </c>
      <c r="H36" s="6523">
        <f>SUM(G36*13/3)</f>
        <v>1381.25</v>
      </c>
      <c r="I36" s="6496">
        <f>SUM(H36*12)</f>
        <v>16575</v>
      </c>
      <c r="J36" s="6"/>
    </row>
    <row r="37" spans="1:22">
      <c r="A37" s="5"/>
      <c r="B37" s="5"/>
      <c r="C37" s="5"/>
      <c r="D37" s="5"/>
      <c r="E37" s="5"/>
      <c r="F37" s="5"/>
      <c r="G37" s="5"/>
      <c r="H37" s="23"/>
      <c r="I37" s="5"/>
      <c r="J37" s="6"/>
    </row>
    <row r="38" spans="1:22" ht="12.75">
      <c r="A38" s="92" t="s">
        <v>994</v>
      </c>
      <c r="B38" s="5"/>
      <c r="C38" s="5"/>
      <c r="D38" s="5"/>
      <c r="E38" s="5"/>
      <c r="F38" s="5"/>
    </row>
    <row r="39" spans="1:22" ht="12.75">
      <c r="A39" s="6547" t="s">
        <v>995</v>
      </c>
      <c r="B39" s="6442" t="s">
        <v>19</v>
      </c>
      <c r="C39" s="6443" t="s">
        <v>20</v>
      </c>
      <c r="D39" s="6443" t="s">
        <v>21</v>
      </c>
      <c r="E39" s="6443" t="s">
        <v>22</v>
      </c>
      <c r="F39" s="6443" t="s">
        <v>23</v>
      </c>
      <c r="G39" s="6443" t="s">
        <v>24</v>
      </c>
      <c r="H39" s="6548" t="s">
        <v>25</v>
      </c>
      <c r="I39" s="6549" t="s">
        <v>202</v>
      </c>
      <c r="J39" s="6550" t="s">
        <v>108</v>
      </c>
      <c r="K39" t="s">
        <v>0</v>
      </c>
      <c r="M39" s="6551" t="s">
        <v>976</v>
      </c>
      <c r="N39" s="6552"/>
      <c r="P39" s="48"/>
      <c r="Q39" s="48"/>
      <c r="R39" s="48"/>
      <c r="S39" t="s">
        <v>996</v>
      </c>
      <c r="V39" s="1" t="s">
        <v>0</v>
      </c>
    </row>
    <row r="40" spans="1:22" ht="12.75">
      <c r="A40" s="6553" t="s">
        <v>880</v>
      </c>
      <c r="B40" s="6554" t="s">
        <v>10</v>
      </c>
      <c r="C40" s="6554" t="s">
        <v>10</v>
      </c>
      <c r="D40" s="6554" t="s">
        <v>10</v>
      </c>
      <c r="E40" s="6554" t="s">
        <v>10</v>
      </c>
      <c r="F40" s="6554" t="s">
        <v>10</v>
      </c>
      <c r="G40" s="6555" t="s">
        <v>10</v>
      </c>
      <c r="H40" s="6555" t="s">
        <v>10</v>
      </c>
      <c r="I40" s="6549"/>
      <c r="J40" s="6556" t="s">
        <v>880</v>
      </c>
      <c r="M40" s="574"/>
      <c r="N40" s="575" t="s">
        <v>997</v>
      </c>
      <c r="S40" s="6557" t="s">
        <v>10</v>
      </c>
      <c r="T40" s="6558"/>
      <c r="U40" s="6559"/>
      <c r="V40" s="6559"/>
    </row>
    <row r="41" spans="1:22" ht="12.75">
      <c r="A41" s="1660" t="s">
        <v>10</v>
      </c>
      <c r="B41" s="1544">
        <v>8.25</v>
      </c>
      <c r="C41" s="1544">
        <v>8.25</v>
      </c>
      <c r="D41" s="1544">
        <v>8.25</v>
      </c>
      <c r="E41" s="1544">
        <v>8.25</v>
      </c>
      <c r="F41" s="1544">
        <v>8.25</v>
      </c>
      <c r="G41" s="1545">
        <v>12.25</v>
      </c>
      <c r="H41" s="1545">
        <v>12.25</v>
      </c>
      <c r="I41" s="1529">
        <f>SUM(B41:H41)</f>
        <v>65.75</v>
      </c>
      <c r="J41" s="1476" t="s">
        <v>10</v>
      </c>
      <c r="M41" s="6530" t="s">
        <v>210</v>
      </c>
      <c r="N41" s="6531">
        <f>I41</f>
        <v>65.75</v>
      </c>
      <c r="S41" s="6560" t="s">
        <v>10</v>
      </c>
      <c r="T41" s="6561"/>
      <c r="U41" s="6561"/>
      <c r="V41" s="6561"/>
    </row>
    <row r="42" spans="1:22" ht="12.75">
      <c r="A42" s="6562"/>
      <c r="B42" s="6563" t="s">
        <v>10</v>
      </c>
      <c r="C42" s="6563" t="s">
        <v>10</v>
      </c>
      <c r="D42" s="6563" t="s">
        <v>10</v>
      </c>
      <c r="E42" s="6563" t="s">
        <v>10</v>
      </c>
      <c r="F42" s="6563" t="s">
        <v>10</v>
      </c>
      <c r="G42" s="6564" t="s">
        <v>10</v>
      </c>
      <c r="H42" s="6565" t="s">
        <v>10</v>
      </c>
      <c r="I42" s="6549"/>
      <c r="J42" s="6566"/>
      <c r="M42" s="6530" t="s">
        <v>212</v>
      </c>
      <c r="N42" s="6531">
        <f>I47</f>
        <v>0</v>
      </c>
      <c r="S42" s="6567" t="s">
        <v>10</v>
      </c>
      <c r="T42" s="6568"/>
      <c r="U42" s="6568"/>
      <c r="V42" s="6568"/>
    </row>
    <row r="43" spans="1:22" ht="12.75">
      <c r="A43" s="1660" t="s">
        <v>10</v>
      </c>
      <c r="B43" s="1536">
        <v>7</v>
      </c>
      <c r="C43" s="1536">
        <v>7</v>
      </c>
      <c r="D43" s="1536">
        <v>7</v>
      </c>
      <c r="E43" s="1536">
        <v>7</v>
      </c>
      <c r="F43" s="1536">
        <v>7</v>
      </c>
      <c r="G43" s="1546">
        <v>11</v>
      </c>
      <c r="H43" s="1547">
        <v>11</v>
      </c>
      <c r="I43" s="1529">
        <f>SUM(B43:H43)</f>
        <v>57</v>
      </c>
      <c r="J43" s="1476" t="s">
        <v>998</v>
      </c>
      <c r="K43" s="1" t="s">
        <v>0</v>
      </c>
      <c r="M43" s="6530" t="s">
        <v>214</v>
      </c>
      <c r="N43" s="6531">
        <f>I53</f>
        <v>58.5</v>
      </c>
      <c r="S43" s="6569" t="s">
        <v>10</v>
      </c>
      <c r="T43" s="6570"/>
      <c r="U43" s="6570"/>
      <c r="V43" s="6570"/>
    </row>
    <row r="44" spans="1:22" ht="12.75">
      <c r="A44" s="6562"/>
      <c r="B44" s="6571" t="s">
        <v>10</v>
      </c>
      <c r="C44" s="6571" t="s">
        <v>10</v>
      </c>
      <c r="D44" s="6571" t="s">
        <v>10</v>
      </c>
      <c r="E44" s="6571" t="s">
        <v>10</v>
      </c>
      <c r="F44" s="6571" t="s">
        <v>10</v>
      </c>
      <c r="G44" s="6565" t="s">
        <v>10</v>
      </c>
      <c r="H44" s="6565" t="s">
        <v>10</v>
      </c>
      <c r="I44" s="6549"/>
      <c r="J44" s="6566"/>
      <c r="M44" s="6530" t="s">
        <v>218</v>
      </c>
      <c r="N44" s="6531">
        <f>I59</f>
        <v>0</v>
      </c>
      <c r="S44" s="49"/>
      <c r="T44" s="50"/>
    </row>
    <row r="45" spans="1:22" ht="12.75">
      <c r="A45" s="1660" t="s">
        <v>10</v>
      </c>
      <c r="B45" s="1548">
        <v>8</v>
      </c>
      <c r="C45" s="1548">
        <v>8</v>
      </c>
      <c r="D45" s="1548">
        <v>8</v>
      </c>
      <c r="E45" s="1548">
        <v>8</v>
      </c>
      <c r="F45" s="1548">
        <v>8</v>
      </c>
      <c r="G45" s="1546">
        <v>12</v>
      </c>
      <c r="H45" s="1546">
        <v>12</v>
      </c>
      <c r="I45" s="1529">
        <f>SUM(B45:H45)</f>
        <v>64</v>
      </c>
      <c r="J45" s="1476" t="s">
        <v>10</v>
      </c>
      <c r="M45" s="6530" t="s">
        <v>221</v>
      </c>
      <c r="N45" s="6531">
        <v>0</v>
      </c>
    </row>
    <row r="46" spans="1:22" ht="12.75">
      <c r="A46" s="6553" t="s">
        <v>889</v>
      </c>
      <c r="B46" s="6448" t="s">
        <v>174</v>
      </c>
      <c r="C46" s="6448" t="s">
        <v>174</v>
      </c>
      <c r="D46" s="6448" t="s">
        <v>174</v>
      </c>
      <c r="E46" s="6448" t="s">
        <v>174</v>
      </c>
      <c r="F46" s="6448" t="s">
        <v>174</v>
      </c>
      <c r="G46" s="6572"/>
      <c r="H46" s="6573"/>
      <c r="I46" s="6574"/>
      <c r="J46" s="6556" t="s">
        <v>889</v>
      </c>
      <c r="M46" s="6530" t="s">
        <v>978</v>
      </c>
      <c r="N46" s="6531">
        <f>I43</f>
        <v>57</v>
      </c>
      <c r="S46" s="6575" t="s">
        <v>10</v>
      </c>
      <c r="T46" s="6576"/>
      <c r="U46" s="6576"/>
      <c r="V46" s="6576"/>
    </row>
    <row r="47" spans="1:22" ht="12.75">
      <c r="A47" s="1660" t="s">
        <v>10</v>
      </c>
      <c r="B47" s="6452"/>
      <c r="C47" s="6452"/>
      <c r="D47" s="6452"/>
      <c r="E47" s="6452"/>
      <c r="F47" s="6452"/>
      <c r="G47" s="1530"/>
      <c r="H47" s="1549"/>
      <c r="I47" s="1529">
        <f>SUM(B47:H47)</f>
        <v>0</v>
      </c>
      <c r="J47" s="1476" t="s">
        <v>10</v>
      </c>
      <c r="M47" s="6530" t="s">
        <v>999</v>
      </c>
      <c r="N47" s="6531">
        <f>I49</f>
        <v>0</v>
      </c>
      <c r="S47" s="1"/>
    </row>
    <row r="48" spans="1:22" ht="12.75">
      <c r="A48" s="6562"/>
      <c r="B48" s="6448" t="s">
        <v>174</v>
      </c>
      <c r="C48" s="6448" t="s">
        <v>174</v>
      </c>
      <c r="D48" s="6448" t="s">
        <v>174</v>
      </c>
      <c r="E48" s="6448" t="s">
        <v>174</v>
      </c>
      <c r="F48" s="6448" t="s">
        <v>174</v>
      </c>
      <c r="G48" s="6549"/>
      <c r="H48" s="6577"/>
      <c r="I48" s="6549"/>
      <c r="J48" s="6566"/>
      <c r="M48" s="6530" t="s">
        <v>1000</v>
      </c>
      <c r="N48" s="6531">
        <f>I55</f>
        <v>56</v>
      </c>
      <c r="S48" s="6575" t="s">
        <v>10</v>
      </c>
      <c r="T48" s="6576"/>
      <c r="U48" s="6576"/>
      <c r="V48" s="6576"/>
    </row>
    <row r="49" spans="1:19" ht="12.75">
      <c r="A49" s="1660" t="s">
        <v>10</v>
      </c>
      <c r="B49" s="6452"/>
      <c r="C49" s="6452"/>
      <c r="D49" s="6452"/>
      <c r="E49" s="6452"/>
      <c r="F49" s="6452"/>
      <c r="G49" s="1542"/>
      <c r="H49" s="1550"/>
      <c r="I49" s="1529">
        <f>SUM(B49:H49)</f>
        <v>0</v>
      </c>
      <c r="J49" s="1476" t="s">
        <v>999</v>
      </c>
      <c r="M49" s="6530" t="s">
        <v>1001</v>
      </c>
      <c r="N49" s="6531">
        <f>I61</f>
        <v>0</v>
      </c>
      <c r="S49" s="1"/>
    </row>
    <row r="50" spans="1:19" ht="12.75">
      <c r="A50" s="6547"/>
      <c r="B50" s="6448" t="s">
        <v>174</v>
      </c>
      <c r="C50" s="6448" t="s">
        <v>174</v>
      </c>
      <c r="D50" s="6448" t="s">
        <v>174</v>
      </c>
      <c r="E50" s="6448" t="s">
        <v>174</v>
      </c>
      <c r="F50" s="6448" t="s">
        <v>174</v>
      </c>
      <c r="G50" s="6578" t="s">
        <v>10</v>
      </c>
      <c r="H50" s="6579" t="s">
        <v>10</v>
      </c>
      <c r="I50" s="6549"/>
      <c r="J50" s="6580"/>
      <c r="M50" s="6530" t="s">
        <v>1002</v>
      </c>
      <c r="N50" s="6531">
        <v>41.5</v>
      </c>
      <c r="S50" s="6575" t="s">
        <v>10</v>
      </c>
    </row>
    <row r="51" spans="1:19" ht="12.75">
      <c r="A51" s="1660" t="s">
        <v>10</v>
      </c>
      <c r="B51" s="6452"/>
      <c r="C51" s="6452"/>
      <c r="D51" s="6452"/>
      <c r="E51" s="6452"/>
      <c r="F51" s="6452"/>
      <c r="G51" s="1551">
        <v>12.25</v>
      </c>
      <c r="H51" s="1552">
        <v>12.25</v>
      </c>
      <c r="I51" s="1529">
        <f>SUM(B51:H51)</f>
        <v>24.5</v>
      </c>
      <c r="J51" s="1476" t="s">
        <v>10</v>
      </c>
      <c r="M51" s="6530" t="s">
        <v>1003</v>
      </c>
      <c r="N51" s="6531">
        <f>I45</f>
        <v>64</v>
      </c>
    </row>
    <row r="52" spans="1:19" ht="12.75">
      <c r="A52" s="6553" t="s">
        <v>893</v>
      </c>
      <c r="B52" s="6581" t="s">
        <v>10</v>
      </c>
      <c r="C52" s="6581" t="s">
        <v>10</v>
      </c>
      <c r="D52" s="6581" t="s">
        <v>10</v>
      </c>
      <c r="E52" s="6581" t="s">
        <v>10</v>
      </c>
      <c r="F52" s="6581" t="s">
        <v>10</v>
      </c>
      <c r="G52" s="6578" t="s">
        <v>10</v>
      </c>
      <c r="H52" s="6579" t="s">
        <v>10</v>
      </c>
      <c r="I52" s="6549"/>
      <c r="J52" s="6556" t="s">
        <v>893</v>
      </c>
      <c r="K52" s="1" t="s">
        <v>0</v>
      </c>
      <c r="M52" s="6530" t="s">
        <v>1004</v>
      </c>
      <c r="N52" s="6531">
        <f>I51</f>
        <v>24.5</v>
      </c>
      <c r="S52" t="s">
        <v>1005</v>
      </c>
    </row>
    <row r="53" spans="1:19" ht="12.75">
      <c r="A53" s="1660" t="s">
        <v>10</v>
      </c>
      <c r="B53" s="1553">
        <v>7</v>
      </c>
      <c r="C53" s="1553">
        <v>7</v>
      </c>
      <c r="D53" s="1553">
        <v>7</v>
      </c>
      <c r="E53" s="1553">
        <v>7</v>
      </c>
      <c r="F53" s="1553">
        <v>6.5</v>
      </c>
      <c r="G53" s="1551">
        <v>12</v>
      </c>
      <c r="H53" s="1552">
        <v>12</v>
      </c>
      <c r="I53" s="1529">
        <f>SUM(B53:H53)</f>
        <v>58.5</v>
      </c>
      <c r="J53" s="1476" t="s">
        <v>10</v>
      </c>
      <c r="M53" s="6530" t="s">
        <v>1006</v>
      </c>
      <c r="N53" s="6531">
        <f>I57</f>
        <v>40</v>
      </c>
      <c r="S53" s="6582" t="s">
        <v>10</v>
      </c>
    </row>
    <row r="54" spans="1:19" ht="12.75">
      <c r="A54" s="6562"/>
      <c r="B54" s="6583" t="s">
        <v>10</v>
      </c>
      <c r="C54" s="6583" t="s">
        <v>10</v>
      </c>
      <c r="D54" s="6583" t="s">
        <v>10</v>
      </c>
      <c r="E54" s="6583" t="s">
        <v>10</v>
      </c>
      <c r="F54" s="6583" t="s">
        <v>10</v>
      </c>
      <c r="G54" s="6578" t="s">
        <v>10</v>
      </c>
      <c r="H54" s="6579" t="s">
        <v>10</v>
      </c>
      <c r="I54" s="6574"/>
      <c r="J54" s="6566"/>
      <c r="M54" s="6530" t="s">
        <v>1007</v>
      </c>
      <c r="N54" s="6531">
        <f>I63</f>
        <v>40</v>
      </c>
      <c r="S54" s="6584" t="s">
        <v>10</v>
      </c>
    </row>
    <row r="55" spans="1:19" ht="12.75">
      <c r="A55" s="20" t="s">
        <v>10</v>
      </c>
      <c r="B55" s="260">
        <v>7</v>
      </c>
      <c r="C55" s="260">
        <v>7</v>
      </c>
      <c r="D55" s="260">
        <v>7</v>
      </c>
      <c r="E55" s="260">
        <v>7</v>
      </c>
      <c r="F55" s="260">
        <v>7</v>
      </c>
      <c r="G55" s="261">
        <v>9</v>
      </c>
      <c r="H55" s="1552">
        <v>12</v>
      </c>
      <c r="I55" s="1529">
        <f>SUM(B55:H55)</f>
        <v>56</v>
      </c>
      <c r="J55" s="1476" t="s">
        <v>1000</v>
      </c>
      <c r="M55" s="6530" t="s">
        <v>1008</v>
      </c>
      <c r="N55" s="6531">
        <v>0</v>
      </c>
      <c r="S55" s="6585" t="s">
        <v>10</v>
      </c>
    </row>
    <row r="56" spans="1:19" ht="12.75">
      <c r="A56" s="6562"/>
      <c r="B56" s="262" t="s">
        <v>10</v>
      </c>
      <c r="C56" s="262" t="s">
        <v>10</v>
      </c>
      <c r="D56" s="262" t="s">
        <v>10</v>
      </c>
      <c r="E56" s="262" t="s">
        <v>10</v>
      </c>
      <c r="F56" s="262" t="s">
        <v>10</v>
      </c>
      <c r="G56" s="6572"/>
      <c r="H56" s="6573"/>
      <c r="I56" s="6549"/>
      <c r="J56" s="6566"/>
      <c r="M56" s="6540" t="s">
        <v>979</v>
      </c>
      <c r="N56" s="6541">
        <f>SUM(N41:N55)</f>
        <v>447.25</v>
      </c>
      <c r="S56" s="6586" t="s">
        <v>10</v>
      </c>
    </row>
    <row r="57" spans="1:19" ht="12.75">
      <c r="A57" s="1660" t="s">
        <v>10</v>
      </c>
      <c r="B57" s="263">
        <v>8</v>
      </c>
      <c r="C57" s="263">
        <v>8</v>
      </c>
      <c r="D57" s="263">
        <v>8</v>
      </c>
      <c r="E57" s="263">
        <v>8</v>
      </c>
      <c r="F57" s="263">
        <v>8</v>
      </c>
      <c r="G57" s="257"/>
      <c r="H57" s="51"/>
      <c r="I57" s="1529">
        <f>SUM(B57:H57)</f>
        <v>40</v>
      </c>
      <c r="J57" s="1476" t="s">
        <v>1006</v>
      </c>
      <c r="N57" s="5"/>
      <c r="S57" s="49"/>
    </row>
    <row r="58" spans="1:19">
      <c r="A58" s="6553" t="s">
        <v>895</v>
      </c>
      <c r="B58" s="6448" t="s">
        <v>174</v>
      </c>
      <c r="C58" s="6448" t="s">
        <v>174</v>
      </c>
      <c r="D58" s="6448" t="s">
        <v>174</v>
      </c>
      <c r="E58" s="6448" t="s">
        <v>174</v>
      </c>
      <c r="F58" s="6448" t="s">
        <v>174</v>
      </c>
      <c r="G58" s="6572"/>
      <c r="H58" s="6573"/>
      <c r="I58" s="6549"/>
      <c r="J58" s="6556" t="s">
        <v>895</v>
      </c>
      <c r="M58" t="s">
        <v>981</v>
      </c>
      <c r="N58" t="s">
        <v>1009</v>
      </c>
      <c r="P58">
        <v>555</v>
      </c>
      <c r="Q58" t="s">
        <v>983</v>
      </c>
      <c r="S58" t="s">
        <v>1010</v>
      </c>
    </row>
    <row r="59" spans="1:19" ht="12.75">
      <c r="A59" s="20" t="s">
        <v>10</v>
      </c>
      <c r="B59" s="6587"/>
      <c r="C59" s="6587"/>
      <c r="D59" s="6587"/>
      <c r="E59" s="6587"/>
      <c r="F59" s="6587"/>
      <c r="G59" s="257"/>
      <c r="H59" s="51"/>
      <c r="I59" s="256">
        <f>SUM(B59:H59)</f>
        <v>0</v>
      </c>
      <c r="J59" s="1476" t="s">
        <v>218</v>
      </c>
      <c r="O59" t="s">
        <v>0</v>
      </c>
      <c r="S59" s="6588" t="s">
        <v>10</v>
      </c>
    </row>
    <row r="60" spans="1:19" ht="12.75">
      <c r="A60" s="6562"/>
      <c r="B60" s="6448" t="s">
        <v>174</v>
      </c>
      <c r="C60" s="6448" t="s">
        <v>174</v>
      </c>
      <c r="D60" s="6448" t="s">
        <v>174</v>
      </c>
      <c r="E60" s="6448" t="s">
        <v>174</v>
      </c>
      <c r="F60" s="6448" t="s">
        <v>174</v>
      </c>
      <c r="G60" s="6549"/>
      <c r="H60" s="6577"/>
      <c r="I60" s="6549"/>
      <c r="J60" s="6566"/>
      <c r="M60" t="s">
        <v>984</v>
      </c>
      <c r="O60" s="46">
        <f>N56</f>
        <v>447.25</v>
      </c>
      <c r="S60" s="6589" t="s">
        <v>10</v>
      </c>
    </row>
    <row r="61" spans="1:19" ht="12.75">
      <c r="A61" s="15" t="s">
        <v>10</v>
      </c>
      <c r="B61" s="6587"/>
      <c r="C61" s="6587"/>
      <c r="D61" s="6452"/>
      <c r="E61" s="6452"/>
      <c r="F61" s="6452"/>
      <c r="G61" s="238"/>
      <c r="H61" s="32"/>
      <c r="I61" s="256">
        <f>SUM(B61:H61)</f>
        <v>0</v>
      </c>
      <c r="J61" s="1477" t="s">
        <v>1001</v>
      </c>
      <c r="S61" s="6590" t="s">
        <v>10</v>
      </c>
    </row>
    <row r="62" spans="1:19">
      <c r="A62" s="6562" t="s">
        <v>0</v>
      </c>
      <c r="B62" s="6591" t="s">
        <v>10</v>
      </c>
      <c r="C62" s="6591" t="s">
        <v>10</v>
      </c>
      <c r="D62" s="6591" t="s">
        <v>10</v>
      </c>
      <c r="E62" s="6591" t="s">
        <v>10</v>
      </c>
      <c r="F62" s="6591" t="s">
        <v>10</v>
      </c>
      <c r="G62" s="6592"/>
      <c r="H62" s="6577"/>
      <c r="I62" s="6549"/>
      <c r="J62" s="6566" t="s">
        <v>0</v>
      </c>
      <c r="M62">
        <f>O60</f>
        <v>447.25</v>
      </c>
      <c r="N62" t="s">
        <v>985</v>
      </c>
      <c r="P62" s="21">
        <f>SUM(M62/37)</f>
        <v>12.087837837837839</v>
      </c>
      <c r="Q62" t="s">
        <v>983</v>
      </c>
    </row>
    <row r="63" spans="1:19" ht="12.75">
      <c r="A63" s="20" t="s">
        <v>10</v>
      </c>
      <c r="B63" s="264">
        <v>8</v>
      </c>
      <c r="C63" s="264">
        <v>8</v>
      </c>
      <c r="D63" s="264">
        <v>8</v>
      </c>
      <c r="E63" s="264">
        <v>8</v>
      </c>
      <c r="F63" s="264">
        <v>8</v>
      </c>
      <c r="G63" s="238"/>
      <c r="H63" s="32"/>
      <c r="I63" s="256">
        <f>SUM(B63:H63)</f>
        <v>40</v>
      </c>
      <c r="J63" s="1476" t="s">
        <v>10</v>
      </c>
      <c r="S63" s="6593" t="s">
        <v>10</v>
      </c>
    </row>
    <row r="64" spans="1:19" ht="12.75">
      <c r="A64" s="6553" t="s">
        <v>898</v>
      </c>
      <c r="B64" s="6594" t="s">
        <v>10</v>
      </c>
      <c r="C64" s="6594" t="s">
        <v>10</v>
      </c>
      <c r="D64" s="6594" t="s">
        <v>10</v>
      </c>
      <c r="E64" s="6594" t="s">
        <v>10</v>
      </c>
      <c r="F64" s="6594" t="s">
        <v>10</v>
      </c>
      <c r="G64" s="6442"/>
      <c r="H64" s="6595"/>
      <c r="I64" s="6549"/>
      <c r="J64" s="6556" t="s">
        <v>898</v>
      </c>
      <c r="M64" s="21">
        <f>P62</f>
        <v>12.087837837837839</v>
      </c>
      <c r="N64" t="s">
        <v>987</v>
      </c>
      <c r="P64" s="21">
        <f>SUM(P62*3)</f>
        <v>36.263513513513516</v>
      </c>
      <c r="Q64" t="s">
        <v>983</v>
      </c>
    </row>
    <row r="65" spans="1:19" ht="12.75">
      <c r="A65" s="20" t="s">
        <v>10</v>
      </c>
      <c r="B65" s="1554">
        <v>7</v>
      </c>
      <c r="C65" s="1554">
        <v>7</v>
      </c>
      <c r="D65" s="1554">
        <v>7</v>
      </c>
      <c r="E65" s="1554">
        <v>7</v>
      </c>
      <c r="F65" s="1554">
        <v>7</v>
      </c>
      <c r="G65" s="256"/>
      <c r="H65" s="52"/>
      <c r="I65" s="256">
        <f>SUM(B65:H65)</f>
        <v>35</v>
      </c>
      <c r="J65" s="33" t="s">
        <v>10</v>
      </c>
      <c r="S65" s="6593" t="s">
        <v>10</v>
      </c>
    </row>
    <row r="66" spans="1:19" ht="12.75">
      <c r="A66" s="6562"/>
      <c r="B66" s="6596" t="s">
        <v>10</v>
      </c>
      <c r="C66" s="6596" t="s">
        <v>10</v>
      </c>
      <c r="D66" s="6596" t="s">
        <v>10</v>
      </c>
      <c r="E66" s="6596" t="s">
        <v>10</v>
      </c>
      <c r="F66" s="6596" t="s">
        <v>10</v>
      </c>
      <c r="G66" s="6442"/>
      <c r="H66" s="6595"/>
      <c r="I66" s="6597"/>
      <c r="J66" s="6566"/>
      <c r="M66">
        <f>P58</f>
        <v>555</v>
      </c>
      <c r="N66" t="s">
        <v>990</v>
      </c>
      <c r="P66" s="47">
        <f>P64</f>
        <v>36.263513513513516</v>
      </c>
      <c r="Q66" t="s">
        <v>991</v>
      </c>
      <c r="R66" s="53">
        <f>SUM(M66-P66)</f>
        <v>518.73648648648646</v>
      </c>
    </row>
    <row r="67" spans="1:19" ht="12.75">
      <c r="A67" s="1661" t="s">
        <v>10</v>
      </c>
      <c r="B67" s="1555">
        <v>7.5</v>
      </c>
      <c r="C67" s="1555">
        <v>7.5</v>
      </c>
      <c r="D67" s="1555">
        <v>7.5</v>
      </c>
      <c r="E67" s="1555">
        <v>7.5</v>
      </c>
      <c r="F67" s="1555">
        <v>7.5</v>
      </c>
      <c r="G67" s="1529"/>
      <c r="H67" s="1556"/>
      <c r="I67" s="1478">
        <v>41.5</v>
      </c>
      <c r="J67" s="1477" t="s">
        <v>10</v>
      </c>
      <c r="S67" s="6598" t="s">
        <v>10</v>
      </c>
    </row>
    <row r="68" spans="1:19" ht="12.75">
      <c r="A68" s="6562"/>
      <c r="B68" s="6599" t="s">
        <v>10</v>
      </c>
      <c r="C68" s="6600" t="s">
        <v>10</v>
      </c>
      <c r="D68" s="6600" t="s">
        <v>10</v>
      </c>
      <c r="E68" s="6600" t="s">
        <v>10</v>
      </c>
      <c r="F68" s="6600" t="s">
        <v>10</v>
      </c>
      <c r="G68" s="6442"/>
      <c r="H68" s="6595"/>
      <c r="I68" s="6601"/>
      <c r="J68" s="6566"/>
      <c r="M68" s="21">
        <v>522.25</v>
      </c>
      <c r="N68" t="s">
        <v>993</v>
      </c>
      <c r="O68" s="47">
        <f>R66</f>
        <v>518.73648648648646</v>
      </c>
      <c r="P68" s="6546">
        <f>SUM(M68-O68)</f>
        <v>3.5135135135135442</v>
      </c>
      <c r="S68" s="49"/>
    </row>
    <row r="69" spans="1:19" ht="12.75">
      <c r="A69" s="1660" t="s">
        <v>10</v>
      </c>
      <c r="B69" s="1557">
        <v>8</v>
      </c>
      <c r="C69" s="1557">
        <v>8</v>
      </c>
      <c r="D69" s="1557">
        <v>8</v>
      </c>
      <c r="E69" s="1557">
        <v>8</v>
      </c>
      <c r="F69" s="1557">
        <v>8</v>
      </c>
      <c r="G69" s="1529"/>
      <c r="H69" s="1529"/>
      <c r="I69" s="1478">
        <f>SUM(B69:H69)</f>
        <v>40</v>
      </c>
      <c r="J69" s="1476" t="s">
        <v>1011</v>
      </c>
    </row>
    <row r="70" spans="1:19">
      <c r="A70" s="24" t="s">
        <v>871</v>
      </c>
      <c r="B70" s="40">
        <f t="shared" ref="B70:I70" si="2">SUM(B41,B43,B45,B47,B49,B51,B53,B55,B57,B59,B61,B63,B65,B67,B69)</f>
        <v>75.75</v>
      </c>
      <c r="C70" s="40">
        <f t="shared" si="2"/>
        <v>75.75</v>
      </c>
      <c r="D70" s="40">
        <f t="shared" si="2"/>
        <v>75.75</v>
      </c>
      <c r="E70" s="40">
        <f t="shared" si="2"/>
        <v>75.75</v>
      </c>
      <c r="F70" s="40">
        <f t="shared" si="2"/>
        <v>75.25</v>
      </c>
      <c r="G70" s="40">
        <f t="shared" si="2"/>
        <v>68.5</v>
      </c>
      <c r="H70" s="40">
        <f t="shared" si="2"/>
        <v>71.5</v>
      </c>
      <c r="I70" s="40">
        <f t="shared" si="2"/>
        <v>522.25</v>
      </c>
      <c r="J70" s="26"/>
    </row>
    <row r="71" spans="1:19" ht="12.75">
      <c r="A71" s="5"/>
      <c r="B71" s="5"/>
      <c r="C71" s="5"/>
      <c r="D71" s="5"/>
      <c r="E71" s="5"/>
      <c r="F71" s="5"/>
      <c r="G71" s="6522" t="s">
        <v>973</v>
      </c>
      <c r="H71" s="6522" t="s">
        <v>974</v>
      </c>
      <c r="I71" s="6522" t="s">
        <v>975</v>
      </c>
      <c r="M71" s="37"/>
      <c r="N71" s="37"/>
      <c r="O71" s="37"/>
      <c r="P71" s="37"/>
      <c r="Q71" s="37"/>
      <c r="R71" s="37"/>
    </row>
    <row r="72" spans="1:19">
      <c r="A72" s="5"/>
      <c r="B72" s="17"/>
      <c r="C72" s="17"/>
      <c r="D72" s="17"/>
      <c r="E72" s="17"/>
      <c r="F72" s="17"/>
      <c r="G72" s="6496">
        <f>I70</f>
        <v>522.25</v>
      </c>
      <c r="H72" s="6523">
        <f>SUM(G72*13/3)</f>
        <v>2263.0833333333335</v>
      </c>
      <c r="I72" s="6496">
        <f>SUM(H72*12)</f>
        <v>27157</v>
      </c>
      <c r="M72" s="5"/>
      <c r="N72" s="5"/>
      <c r="O72" s="5"/>
      <c r="P72" s="5"/>
      <c r="Q72" s="5"/>
      <c r="R72" s="5"/>
    </row>
    <row r="73" spans="1:19">
      <c r="A73" s="5"/>
      <c r="B73" s="18"/>
      <c r="C73" s="18"/>
      <c r="D73" s="18"/>
      <c r="E73" s="18"/>
      <c r="F73" s="18"/>
      <c r="G73" s="5"/>
      <c r="H73" s="23"/>
      <c r="I73" s="5"/>
      <c r="N73" s="5"/>
      <c r="O73" s="5"/>
      <c r="P73" s="5"/>
      <c r="Q73" s="5"/>
      <c r="R73" s="5"/>
    </row>
    <row r="74" spans="1:19">
      <c r="A74" s="5"/>
      <c r="B74" s="5"/>
      <c r="C74" s="5"/>
      <c r="D74" s="5"/>
      <c r="E74" s="5"/>
      <c r="F74" s="5"/>
      <c r="G74" s="5"/>
      <c r="H74" s="23"/>
      <c r="I74" s="5"/>
      <c r="N74" s="5"/>
      <c r="O74" s="5"/>
      <c r="P74" s="5"/>
      <c r="Q74" s="5"/>
      <c r="R74" s="5"/>
    </row>
    <row r="75" spans="1:19" ht="12.75">
      <c r="A75" s="1" t="s">
        <v>1012</v>
      </c>
      <c r="B75" s="5"/>
      <c r="C75" s="5"/>
      <c r="D75" s="5"/>
      <c r="E75" s="5"/>
      <c r="F75" s="5"/>
      <c r="N75" s="5"/>
      <c r="O75" s="5"/>
      <c r="P75" s="5"/>
      <c r="Q75" s="5"/>
      <c r="R75" s="5"/>
    </row>
    <row r="76" spans="1:19" ht="12.75">
      <c r="A76" s="6547" t="s">
        <v>995</v>
      </c>
      <c r="B76" s="6442" t="s">
        <v>19</v>
      </c>
      <c r="C76" s="6443" t="s">
        <v>20</v>
      </c>
      <c r="D76" s="6443" t="s">
        <v>21</v>
      </c>
      <c r="E76" s="6443" t="s">
        <v>22</v>
      </c>
      <c r="F76" s="6443" t="s">
        <v>23</v>
      </c>
      <c r="G76" s="6443" t="s">
        <v>24</v>
      </c>
      <c r="H76" s="6548" t="s">
        <v>25</v>
      </c>
      <c r="I76" s="6549" t="s">
        <v>202</v>
      </c>
      <c r="J76" s="6550" t="s">
        <v>108</v>
      </c>
      <c r="N76" s="5"/>
      <c r="O76" s="5"/>
      <c r="P76" s="5"/>
      <c r="Q76" s="5"/>
      <c r="R76" s="5"/>
    </row>
    <row r="77" spans="1:19" ht="12.75">
      <c r="A77" s="6562"/>
      <c r="B77" s="6554" t="s">
        <v>10</v>
      </c>
      <c r="C77" s="6554" t="s">
        <v>10</v>
      </c>
      <c r="D77" s="6554" t="s">
        <v>10</v>
      </c>
      <c r="E77" s="6554" t="s">
        <v>10</v>
      </c>
      <c r="F77" s="6554" t="s">
        <v>10</v>
      </c>
      <c r="G77" s="6555" t="s">
        <v>10</v>
      </c>
      <c r="H77" s="6555" t="s">
        <v>10</v>
      </c>
      <c r="I77" s="6597"/>
      <c r="J77" s="6566"/>
      <c r="N77" s="5"/>
      <c r="O77" s="5"/>
      <c r="P77" s="5"/>
      <c r="Q77" s="5"/>
      <c r="R77" s="5"/>
    </row>
    <row r="78" spans="1:19" ht="12.75">
      <c r="A78" s="1660" t="s">
        <v>10</v>
      </c>
      <c r="B78" s="1544">
        <v>8.25</v>
      </c>
      <c r="C78" s="1544">
        <v>8.25</v>
      </c>
      <c r="D78" s="1544">
        <v>8.25</v>
      </c>
      <c r="E78" s="1544">
        <v>8.25</v>
      </c>
      <c r="F78" s="1544">
        <v>8.25</v>
      </c>
      <c r="G78" s="1545">
        <v>12.25</v>
      </c>
      <c r="H78" s="1545">
        <v>12.25</v>
      </c>
      <c r="I78" s="1529">
        <f>SUM(B78:H78)</f>
        <v>65.75</v>
      </c>
      <c r="J78" s="1476" t="s">
        <v>10</v>
      </c>
      <c r="N78" s="5"/>
      <c r="O78" s="5"/>
      <c r="P78" s="5"/>
      <c r="Q78" s="5"/>
      <c r="R78" s="5"/>
    </row>
    <row r="79" spans="1:19">
      <c r="A79" s="6562"/>
      <c r="B79" s="6448" t="s">
        <v>174</v>
      </c>
      <c r="C79" s="6448" t="s">
        <v>174</v>
      </c>
      <c r="D79" s="6448" t="s">
        <v>174</v>
      </c>
      <c r="E79" s="6448" t="s">
        <v>174</v>
      </c>
      <c r="F79" s="6448" t="s">
        <v>174</v>
      </c>
      <c r="G79" s="6602"/>
      <c r="H79" s="6603"/>
      <c r="I79" s="6601"/>
      <c r="J79" s="6566"/>
      <c r="L79" s="17"/>
      <c r="M79" s="17"/>
      <c r="N79" s="17"/>
      <c r="O79" s="5"/>
      <c r="P79" s="5"/>
      <c r="Q79" s="5"/>
      <c r="R79" s="5"/>
    </row>
    <row r="80" spans="1:19" ht="12.75">
      <c r="A80" s="1660" t="s">
        <v>10</v>
      </c>
      <c r="B80" s="6452"/>
      <c r="C80" s="6452"/>
      <c r="D80" s="6452"/>
      <c r="E80" s="6452"/>
      <c r="F80" s="6452"/>
      <c r="G80" s="1530"/>
      <c r="H80" s="1549"/>
      <c r="I80" s="1529">
        <f>SUM(B80:H80)</f>
        <v>0</v>
      </c>
      <c r="J80" s="1476" t="s">
        <v>10</v>
      </c>
      <c r="L80" s="18"/>
      <c r="M80" s="18"/>
      <c r="N80" s="18"/>
      <c r="O80" s="5"/>
      <c r="P80" s="5"/>
      <c r="Q80" s="5"/>
      <c r="R80" s="5"/>
    </row>
    <row r="81" spans="1:10" ht="12.75">
      <c r="A81" s="6562"/>
      <c r="B81" s="6581" t="s">
        <v>10</v>
      </c>
      <c r="C81" s="6581" t="s">
        <v>10</v>
      </c>
      <c r="D81" s="6581" t="s">
        <v>10</v>
      </c>
      <c r="E81" s="6581" t="s">
        <v>10</v>
      </c>
      <c r="F81" s="6581" t="s">
        <v>10</v>
      </c>
      <c r="G81" s="6578" t="s">
        <v>10</v>
      </c>
      <c r="H81" s="6579" t="s">
        <v>10</v>
      </c>
      <c r="I81" s="6549"/>
      <c r="J81" s="6566"/>
    </row>
    <row r="82" spans="1:10" ht="12.75">
      <c r="A82" s="1660" t="s">
        <v>10</v>
      </c>
      <c r="B82" s="1553">
        <v>7</v>
      </c>
      <c r="C82" s="1553">
        <v>7</v>
      </c>
      <c r="D82" s="1553">
        <v>7</v>
      </c>
      <c r="E82" s="1553">
        <v>7</v>
      </c>
      <c r="F82" s="1553">
        <v>6.5</v>
      </c>
      <c r="G82" s="1551">
        <v>12</v>
      </c>
      <c r="H82" s="1552">
        <v>12</v>
      </c>
      <c r="I82" s="1529">
        <f>SUM(B82:H82)</f>
        <v>58.5</v>
      </c>
      <c r="J82" s="1476" t="s">
        <v>10</v>
      </c>
    </row>
    <row r="83" spans="1:10">
      <c r="A83" s="6562"/>
      <c r="B83" s="6448" t="s">
        <v>174</v>
      </c>
      <c r="C83" s="6448" t="s">
        <v>174</v>
      </c>
      <c r="D83" s="6448" t="s">
        <v>174</v>
      </c>
      <c r="E83" s="6448" t="s">
        <v>174</v>
      </c>
      <c r="F83" s="6448" t="s">
        <v>174</v>
      </c>
      <c r="G83" s="6602"/>
      <c r="H83" s="6603"/>
      <c r="I83" s="6597"/>
      <c r="J83" s="6566"/>
    </row>
    <row r="84" spans="1:10" ht="12.75">
      <c r="A84" s="1660" t="s">
        <v>10</v>
      </c>
      <c r="B84" s="6587"/>
      <c r="C84" s="6587"/>
      <c r="D84" s="6587"/>
      <c r="E84" s="6587"/>
      <c r="F84" s="6587"/>
      <c r="G84" s="1530"/>
      <c r="H84" s="1549"/>
      <c r="I84" s="1529">
        <f>SUM(B84:H84)</f>
        <v>0</v>
      </c>
      <c r="J84" s="1476" t="s">
        <v>218</v>
      </c>
    </row>
    <row r="85" spans="1:10" ht="12.75">
      <c r="A85" s="6562"/>
      <c r="B85" s="6594" t="s">
        <v>10</v>
      </c>
      <c r="C85" s="6594" t="s">
        <v>10</v>
      </c>
      <c r="D85" s="6594" t="s">
        <v>10</v>
      </c>
      <c r="E85" s="6594" t="s">
        <v>10</v>
      </c>
      <c r="F85" s="6594" t="s">
        <v>10</v>
      </c>
      <c r="G85" s="6604"/>
      <c r="H85" s="6605"/>
      <c r="I85" s="6597"/>
      <c r="J85" s="6566"/>
    </row>
    <row r="86" spans="1:10" ht="12.75">
      <c r="A86" s="1660" t="s">
        <v>10</v>
      </c>
      <c r="B86" s="1554">
        <v>7</v>
      </c>
      <c r="C86" s="1554">
        <v>7</v>
      </c>
      <c r="D86" s="1554">
        <v>7</v>
      </c>
      <c r="E86" s="1554">
        <v>7</v>
      </c>
      <c r="F86" s="1554">
        <v>7</v>
      </c>
      <c r="G86" s="1529"/>
      <c r="H86" s="1556"/>
      <c r="I86" s="1529">
        <f>SUM(B86:H86)</f>
        <v>35</v>
      </c>
      <c r="J86" s="1476" t="s">
        <v>10</v>
      </c>
    </row>
    <row r="87" spans="1:10" ht="12.75">
      <c r="A87" s="6562"/>
      <c r="B87" s="6563" t="s">
        <v>10</v>
      </c>
      <c r="C87" s="6563" t="s">
        <v>10</v>
      </c>
      <c r="D87" s="6563" t="s">
        <v>10</v>
      </c>
      <c r="E87" s="6563" t="s">
        <v>10</v>
      </c>
      <c r="F87" s="6563" t="s">
        <v>10</v>
      </c>
      <c r="G87" s="6564" t="s">
        <v>10</v>
      </c>
      <c r="H87" s="6565" t="s">
        <v>10</v>
      </c>
      <c r="I87" s="6549"/>
      <c r="J87" s="6566"/>
    </row>
    <row r="88" spans="1:10" ht="12.75">
      <c r="A88" s="1660" t="s">
        <v>10</v>
      </c>
      <c r="B88" s="1536">
        <v>7</v>
      </c>
      <c r="C88" s="1536">
        <v>7</v>
      </c>
      <c r="D88" s="1536">
        <v>7</v>
      </c>
      <c r="E88" s="1536">
        <v>7</v>
      </c>
      <c r="F88" s="1536">
        <v>7</v>
      </c>
      <c r="G88" s="1546">
        <v>11</v>
      </c>
      <c r="H88" s="1547">
        <v>11</v>
      </c>
      <c r="I88" s="1529">
        <f>SUM(B88:H88)</f>
        <v>57</v>
      </c>
      <c r="J88" s="1476" t="s">
        <v>998</v>
      </c>
    </row>
    <row r="89" spans="1:10">
      <c r="A89" s="6562"/>
      <c r="B89" s="6448" t="s">
        <v>174</v>
      </c>
      <c r="C89" s="6448" t="s">
        <v>174</v>
      </c>
      <c r="D89" s="6448" t="s">
        <v>174</v>
      </c>
      <c r="E89" s="6448" t="s">
        <v>174</v>
      </c>
      <c r="F89" s="6448" t="s">
        <v>174</v>
      </c>
      <c r="G89" s="6549"/>
      <c r="H89" s="6577"/>
      <c r="I89" s="6549"/>
      <c r="J89" s="6566"/>
    </row>
    <row r="90" spans="1:10" ht="12.75">
      <c r="A90" s="1660" t="s">
        <v>10</v>
      </c>
      <c r="B90" s="6452"/>
      <c r="C90" s="6452"/>
      <c r="D90" s="6452"/>
      <c r="E90" s="6452"/>
      <c r="F90" s="6452"/>
      <c r="G90" s="1542"/>
      <c r="H90" s="1550"/>
      <c r="I90" s="1529">
        <f>SUM(B90:H90)</f>
        <v>0</v>
      </c>
      <c r="J90" s="1476" t="s">
        <v>999</v>
      </c>
    </row>
    <row r="91" spans="1:10" ht="12.75">
      <c r="A91" s="6562"/>
      <c r="B91" s="6583" t="s">
        <v>10</v>
      </c>
      <c r="C91" s="6583" t="s">
        <v>10</v>
      </c>
      <c r="D91" s="6583" t="s">
        <v>10</v>
      </c>
      <c r="E91" s="6583" t="s">
        <v>10</v>
      </c>
      <c r="F91" s="6583" t="s">
        <v>10</v>
      </c>
      <c r="G91" s="6578" t="s">
        <v>10</v>
      </c>
      <c r="H91" s="6579" t="s">
        <v>10</v>
      </c>
      <c r="I91" s="6574"/>
      <c r="J91" s="6566"/>
    </row>
    <row r="92" spans="1:10" ht="12.75">
      <c r="A92" s="1660" t="s">
        <v>10</v>
      </c>
      <c r="B92" s="260">
        <v>7</v>
      </c>
      <c r="C92" s="260">
        <v>7</v>
      </c>
      <c r="D92" s="260">
        <v>7</v>
      </c>
      <c r="E92" s="260">
        <v>7</v>
      </c>
      <c r="F92" s="260">
        <v>7</v>
      </c>
      <c r="G92" s="261">
        <v>9</v>
      </c>
      <c r="H92" s="1552">
        <v>12</v>
      </c>
      <c r="I92" s="1529">
        <f>SUM(B92:H92)</f>
        <v>56</v>
      </c>
      <c r="J92" s="1476" t="s">
        <v>1000</v>
      </c>
    </row>
    <row r="93" spans="1:10">
      <c r="A93" s="6562"/>
      <c r="B93" s="6448" t="s">
        <v>174</v>
      </c>
      <c r="C93" s="6448" t="s">
        <v>174</v>
      </c>
      <c r="D93" s="6448" t="s">
        <v>174</v>
      </c>
      <c r="E93" s="6448" t="s">
        <v>174</v>
      </c>
      <c r="F93" s="6448" t="s">
        <v>174</v>
      </c>
      <c r="G93" s="6549"/>
      <c r="H93" s="6577"/>
      <c r="I93" s="6549"/>
      <c r="J93" s="6566"/>
    </row>
    <row r="94" spans="1:10" ht="12.75">
      <c r="A94" s="15" t="s">
        <v>10</v>
      </c>
      <c r="B94" s="6587"/>
      <c r="C94" s="6587"/>
      <c r="D94" s="6452"/>
      <c r="E94" s="6452"/>
      <c r="F94" s="6452"/>
      <c r="G94" s="238"/>
      <c r="H94" s="32"/>
      <c r="I94" s="256">
        <f>SUM(B94:H94)</f>
        <v>0</v>
      </c>
      <c r="J94" s="36" t="s">
        <v>1001</v>
      </c>
    </row>
    <row r="95" spans="1:10" ht="12.75">
      <c r="A95" s="6562"/>
      <c r="B95" s="6596" t="s">
        <v>10</v>
      </c>
      <c r="C95" s="6596" t="s">
        <v>10</v>
      </c>
      <c r="D95" s="6596" t="s">
        <v>10</v>
      </c>
      <c r="E95" s="6596" t="s">
        <v>10</v>
      </c>
      <c r="F95" s="6596" t="s">
        <v>10</v>
      </c>
      <c r="G95" s="6442"/>
      <c r="H95" s="6595"/>
      <c r="I95" s="6445"/>
      <c r="J95" s="6566"/>
    </row>
    <row r="96" spans="1:10" ht="12.75">
      <c r="A96" s="1661" t="s">
        <v>10</v>
      </c>
      <c r="B96" s="1555">
        <v>7.5</v>
      </c>
      <c r="C96" s="1555">
        <v>7.5</v>
      </c>
      <c r="D96" s="1555">
        <v>7.5</v>
      </c>
      <c r="E96" s="1555">
        <v>7.5</v>
      </c>
      <c r="F96" s="1555">
        <v>7.5</v>
      </c>
      <c r="G96" s="1529"/>
      <c r="H96" s="1556"/>
      <c r="I96" s="1655">
        <f>SUM(B96:H96)</f>
        <v>37.5</v>
      </c>
      <c r="J96" s="1479" t="s">
        <v>10</v>
      </c>
    </row>
    <row r="97" spans="1:10" ht="12.75">
      <c r="A97" s="6562"/>
      <c r="B97" s="6571" t="s">
        <v>10</v>
      </c>
      <c r="C97" s="6571" t="s">
        <v>10</v>
      </c>
      <c r="D97" s="6571" t="s">
        <v>10</v>
      </c>
      <c r="E97" s="6571" t="s">
        <v>10</v>
      </c>
      <c r="F97" s="6571" t="s">
        <v>10</v>
      </c>
      <c r="G97" s="6565" t="s">
        <v>10</v>
      </c>
      <c r="H97" s="6565" t="s">
        <v>10</v>
      </c>
      <c r="I97" s="6549"/>
      <c r="J97" s="6566"/>
    </row>
    <row r="98" spans="1:10" ht="12.75">
      <c r="A98" s="1660" t="s">
        <v>10</v>
      </c>
      <c r="B98" s="1548">
        <v>8</v>
      </c>
      <c r="C98" s="1548">
        <v>8</v>
      </c>
      <c r="D98" s="1548">
        <v>8</v>
      </c>
      <c r="E98" s="1548">
        <v>8</v>
      </c>
      <c r="F98" s="1548">
        <v>8</v>
      </c>
      <c r="G98" s="1546">
        <v>12</v>
      </c>
      <c r="H98" s="1546">
        <v>12</v>
      </c>
      <c r="I98" s="1529">
        <f>SUM(B98:H98)</f>
        <v>64</v>
      </c>
      <c r="J98" s="1476" t="s">
        <v>10</v>
      </c>
    </row>
    <row r="99" spans="1:10" ht="12.75">
      <c r="A99" s="6547"/>
      <c r="B99" s="6448" t="s">
        <v>174</v>
      </c>
      <c r="C99" s="6448" t="s">
        <v>174</v>
      </c>
      <c r="D99" s="6448" t="s">
        <v>174</v>
      </c>
      <c r="E99" s="6448" t="s">
        <v>174</v>
      </c>
      <c r="F99" s="6448" t="s">
        <v>174</v>
      </c>
      <c r="G99" s="6578" t="s">
        <v>10</v>
      </c>
      <c r="H99" s="6579" t="s">
        <v>10</v>
      </c>
      <c r="I99" s="6549"/>
      <c r="J99" s="6580"/>
    </row>
    <row r="100" spans="1:10" ht="12.75">
      <c r="A100" s="1660" t="s">
        <v>10</v>
      </c>
      <c r="B100" s="6452"/>
      <c r="C100" s="6452"/>
      <c r="D100" s="6452"/>
      <c r="E100" s="6452"/>
      <c r="F100" s="6452"/>
      <c r="G100" s="1551">
        <v>12.25</v>
      </c>
      <c r="H100" s="1552">
        <v>12.25</v>
      </c>
      <c r="I100" s="1529">
        <f>SUM(B100:H100)</f>
        <v>24.5</v>
      </c>
      <c r="J100" s="1476" t="s">
        <v>10</v>
      </c>
    </row>
    <row r="101" spans="1:10" ht="12.75">
      <c r="A101" s="6562"/>
      <c r="B101" s="262" t="s">
        <v>10</v>
      </c>
      <c r="C101" s="262" t="s">
        <v>10</v>
      </c>
      <c r="D101" s="262" t="s">
        <v>10</v>
      </c>
      <c r="E101" s="262" t="s">
        <v>10</v>
      </c>
      <c r="F101" s="262" t="s">
        <v>10</v>
      </c>
      <c r="G101" s="6442"/>
      <c r="H101" s="6595"/>
      <c r="I101" s="6549"/>
      <c r="J101" s="6566"/>
    </row>
    <row r="102" spans="1:10" ht="12.75">
      <c r="A102" s="1660" t="s">
        <v>10</v>
      </c>
      <c r="B102" s="263">
        <v>8</v>
      </c>
      <c r="C102" s="263">
        <v>8</v>
      </c>
      <c r="D102" s="263">
        <v>8</v>
      </c>
      <c r="E102" s="263">
        <v>8</v>
      </c>
      <c r="F102" s="263">
        <v>8</v>
      </c>
      <c r="G102" s="1529"/>
      <c r="H102" s="1556"/>
      <c r="I102" s="1529">
        <f>SUM(B102:H102)</f>
        <v>40</v>
      </c>
      <c r="J102" s="1476" t="s">
        <v>1006</v>
      </c>
    </row>
    <row r="103" spans="1:10">
      <c r="A103" s="6562" t="s">
        <v>0</v>
      </c>
      <c r="B103" s="6591" t="s">
        <v>10</v>
      </c>
      <c r="C103" s="6591" t="s">
        <v>10</v>
      </c>
      <c r="D103" s="6591" t="s">
        <v>10</v>
      </c>
      <c r="E103" s="6591" t="s">
        <v>10</v>
      </c>
      <c r="F103" s="6591" t="s">
        <v>10</v>
      </c>
      <c r="G103" s="6592"/>
      <c r="H103" s="6577"/>
      <c r="I103" s="6549"/>
      <c r="J103" s="6566" t="s">
        <v>0</v>
      </c>
    </row>
    <row r="104" spans="1:10" ht="12.75">
      <c r="A104" s="20" t="s">
        <v>10</v>
      </c>
      <c r="B104" s="1558">
        <v>8</v>
      </c>
      <c r="C104" s="1558">
        <v>8</v>
      </c>
      <c r="D104" s="1558">
        <v>8</v>
      </c>
      <c r="E104" s="1558">
        <v>8</v>
      </c>
      <c r="F104" s="1558">
        <v>8</v>
      </c>
      <c r="G104" s="238"/>
      <c r="H104" s="32"/>
      <c r="I104" s="256">
        <f>SUM(B104:H104)</f>
        <v>40</v>
      </c>
      <c r="J104" s="33" t="s">
        <v>10</v>
      </c>
    </row>
    <row r="105" spans="1:10" ht="12.75">
      <c r="A105" s="6562"/>
      <c r="B105" s="6599" t="s">
        <v>10</v>
      </c>
      <c r="C105" s="6600" t="s">
        <v>10</v>
      </c>
      <c r="D105" s="6600" t="s">
        <v>10</v>
      </c>
      <c r="E105" s="6600" t="s">
        <v>10</v>
      </c>
      <c r="F105" s="6600" t="s">
        <v>10</v>
      </c>
      <c r="G105" s="6442"/>
      <c r="H105" s="6595"/>
      <c r="I105" s="6601"/>
      <c r="J105" s="6566"/>
    </row>
    <row r="106" spans="1:10" ht="12.75">
      <c r="A106" s="1660" t="s">
        <v>10</v>
      </c>
      <c r="B106" s="1557">
        <v>8</v>
      </c>
      <c r="C106" s="1557">
        <v>8</v>
      </c>
      <c r="D106" s="1557">
        <v>8</v>
      </c>
      <c r="E106" s="1557">
        <v>8</v>
      </c>
      <c r="F106" s="1557">
        <v>8</v>
      </c>
      <c r="G106" s="1529"/>
      <c r="H106" s="1529"/>
      <c r="I106" s="1478">
        <f>SUM(B106:H106)</f>
        <v>40</v>
      </c>
      <c r="J106" s="1476" t="s">
        <v>1011</v>
      </c>
    </row>
    <row r="107" spans="1:10">
      <c r="A107" s="24" t="s">
        <v>871</v>
      </c>
      <c r="B107" s="40">
        <f t="shared" ref="B107:I107" si="3">SUM(B78,B80,B82,B84,B86,B88,B90,B92,B94,B96,B98,B100,B102,B104,B106)</f>
        <v>75.75</v>
      </c>
      <c r="C107" s="40">
        <f t="shared" si="3"/>
        <v>75.75</v>
      </c>
      <c r="D107" s="40">
        <f t="shared" si="3"/>
        <v>75.75</v>
      </c>
      <c r="E107" s="40">
        <f t="shared" si="3"/>
        <v>75.75</v>
      </c>
      <c r="F107" s="40">
        <f t="shared" si="3"/>
        <v>75.25</v>
      </c>
      <c r="G107" s="40">
        <f t="shared" si="3"/>
        <v>68.5</v>
      </c>
      <c r="H107" s="40">
        <f t="shared" si="3"/>
        <v>71.5</v>
      </c>
      <c r="I107" s="40">
        <f t="shared" si="3"/>
        <v>518.25</v>
      </c>
      <c r="J107" s="26"/>
    </row>
    <row r="108" spans="1:10" ht="12.75">
      <c r="A108" s="5"/>
      <c r="B108" s="5"/>
      <c r="C108" s="5"/>
      <c r="D108" s="5"/>
      <c r="E108" s="5"/>
      <c r="F108" s="5"/>
      <c r="G108" s="6522" t="s">
        <v>973</v>
      </c>
      <c r="H108" s="6522" t="s">
        <v>974</v>
      </c>
      <c r="I108" s="6522" t="s">
        <v>975</v>
      </c>
    </row>
    <row r="109" spans="1:10" ht="12.75">
      <c r="A109" s="37"/>
      <c r="B109" s="37"/>
      <c r="C109" s="37"/>
      <c r="D109" s="37"/>
      <c r="E109" s="37"/>
      <c r="F109" s="5"/>
      <c r="G109" s="6496">
        <f>I107</f>
        <v>518.25</v>
      </c>
      <c r="H109" s="6523">
        <f>SUM(G109*13/3)</f>
        <v>2245.75</v>
      </c>
      <c r="I109" s="6496">
        <f>SUM(H109*12)</f>
        <v>26949</v>
      </c>
    </row>
    <row r="110" spans="1:10" ht="12.75">
      <c r="A110" s="54"/>
      <c r="B110" s="54"/>
      <c r="C110" s="54"/>
      <c r="D110" s="54"/>
      <c r="E110" s="54"/>
      <c r="F110" s="5"/>
      <c r="G110" s="5"/>
      <c r="H110" s="23"/>
      <c r="I110" s="5"/>
    </row>
    <row r="111" spans="1:10" ht="12.75">
      <c r="A111" s="1" t="s">
        <v>1013</v>
      </c>
      <c r="B111" s="5"/>
      <c r="C111" s="5"/>
      <c r="D111" s="5"/>
      <c r="E111" s="5"/>
      <c r="F111" s="5"/>
    </row>
    <row r="112" spans="1:10" ht="12.75">
      <c r="A112" s="6467" t="s">
        <v>1014</v>
      </c>
      <c r="B112" s="6468" t="s">
        <v>19</v>
      </c>
      <c r="C112" s="3200" t="s">
        <v>20</v>
      </c>
      <c r="D112" s="3200" t="s">
        <v>21</v>
      </c>
      <c r="E112" s="3200" t="s">
        <v>22</v>
      </c>
      <c r="F112" s="3200" t="s">
        <v>23</v>
      </c>
      <c r="G112" s="3200" t="s">
        <v>24</v>
      </c>
      <c r="H112" s="6469" t="s">
        <v>25</v>
      </c>
      <c r="I112" s="6470" t="s">
        <v>202</v>
      </c>
      <c r="J112" s="6471" t="s">
        <v>108</v>
      </c>
    </row>
    <row r="113" spans="1:20" ht="12.75">
      <c r="A113" s="6453" t="s">
        <v>0</v>
      </c>
      <c r="B113" s="623" t="s">
        <v>1015</v>
      </c>
      <c r="C113" s="623" t="s">
        <v>1015</v>
      </c>
      <c r="D113" s="623" t="s">
        <v>1015</v>
      </c>
      <c r="E113" s="623" t="s">
        <v>1015</v>
      </c>
      <c r="F113" s="623" t="s">
        <v>1016</v>
      </c>
      <c r="G113" s="6440"/>
      <c r="H113" s="6183"/>
      <c r="I113" s="6181"/>
      <c r="J113" s="6450" t="s">
        <v>1017</v>
      </c>
      <c r="L113" s="5"/>
      <c r="M113" s="17"/>
      <c r="N113" s="17"/>
      <c r="O113" s="17"/>
      <c r="P113" s="17"/>
      <c r="Q113" s="17"/>
      <c r="R113" s="55"/>
      <c r="S113" s="55"/>
    </row>
    <row r="114" spans="1:20" ht="12.75">
      <c r="A114" s="1484" t="s">
        <v>941</v>
      </c>
      <c r="B114" s="1529">
        <v>7.75</v>
      </c>
      <c r="C114" s="1529">
        <v>7.75</v>
      </c>
      <c r="D114" s="1529">
        <v>7.75</v>
      </c>
      <c r="E114" s="1529">
        <v>7.75</v>
      </c>
      <c r="F114" s="1529">
        <v>6</v>
      </c>
      <c r="G114" s="1531"/>
      <c r="H114" s="1532"/>
      <c r="I114" s="1655">
        <f>SUM(B114:H114)</f>
        <v>37</v>
      </c>
      <c r="J114" s="1474" t="s">
        <v>1018</v>
      </c>
      <c r="L114" s="37"/>
      <c r="M114" s="18"/>
      <c r="N114" s="18"/>
      <c r="O114" s="18"/>
      <c r="P114" s="18"/>
      <c r="Q114" s="18"/>
      <c r="R114" s="56"/>
      <c r="S114" s="56"/>
    </row>
    <row r="115" spans="1:20" ht="12.75">
      <c r="A115" s="6467" t="s">
        <v>968</v>
      </c>
      <c r="B115" s="6468" t="s">
        <v>19</v>
      </c>
      <c r="C115" s="3200" t="s">
        <v>20</v>
      </c>
      <c r="D115" s="3200" t="s">
        <v>21</v>
      </c>
      <c r="E115" s="3200" t="s">
        <v>22</v>
      </c>
      <c r="F115" s="3200" t="s">
        <v>23</v>
      </c>
      <c r="G115" s="3200" t="s">
        <v>24</v>
      </c>
      <c r="H115" s="6469" t="s">
        <v>25</v>
      </c>
      <c r="I115" s="6470" t="s">
        <v>202</v>
      </c>
      <c r="J115" s="6471" t="s">
        <v>108</v>
      </c>
      <c r="L115" s="37"/>
      <c r="M115" s="18"/>
      <c r="N115" s="18"/>
      <c r="O115" s="18"/>
      <c r="P115" s="18"/>
      <c r="Q115" s="18"/>
      <c r="R115" s="56"/>
      <c r="S115" s="56"/>
    </row>
    <row r="116" spans="1:20" ht="12.75">
      <c r="A116" s="6453" t="s">
        <v>0</v>
      </c>
      <c r="B116" s="623" t="s">
        <v>1019</v>
      </c>
      <c r="C116" s="623" t="s">
        <v>1019</v>
      </c>
      <c r="D116" s="623" t="s">
        <v>1019</v>
      </c>
      <c r="E116" s="623" t="s">
        <v>1019</v>
      </c>
      <c r="F116" s="623" t="s">
        <v>1020</v>
      </c>
      <c r="G116" s="6440"/>
      <c r="H116" s="6183"/>
      <c r="I116" s="6181"/>
      <c r="J116" s="6450" t="s">
        <v>1017</v>
      </c>
      <c r="L116" s="37"/>
      <c r="M116" s="18"/>
      <c r="N116" s="18"/>
      <c r="O116" s="18"/>
      <c r="P116" s="18"/>
      <c r="Q116" s="18"/>
      <c r="R116" s="56"/>
      <c r="S116" s="56"/>
    </row>
    <row r="117" spans="1:20" ht="12.75">
      <c r="A117" s="1484" t="s">
        <v>1021</v>
      </c>
      <c r="B117" s="1529">
        <v>7.75</v>
      </c>
      <c r="C117" s="1529">
        <v>7.75</v>
      </c>
      <c r="D117" s="1529">
        <v>7.75</v>
      </c>
      <c r="E117" s="1529">
        <v>7.75</v>
      </c>
      <c r="F117" s="1529">
        <v>6</v>
      </c>
      <c r="G117" s="1531"/>
      <c r="H117" s="1532"/>
      <c r="I117" s="1655">
        <f>SUM(B117:H117)</f>
        <v>37</v>
      </c>
      <c r="J117" s="1474" t="s">
        <v>1018</v>
      </c>
      <c r="L117" s="37"/>
      <c r="M117" s="18"/>
      <c r="N117" s="18"/>
      <c r="O117" s="18"/>
      <c r="P117" s="18"/>
      <c r="Q117" s="18"/>
      <c r="R117" s="56"/>
      <c r="S117" s="56"/>
    </row>
    <row r="118" spans="1:20" ht="12.75">
      <c r="A118" s="37"/>
      <c r="B118" s="5"/>
      <c r="C118" s="5"/>
      <c r="D118" s="5"/>
      <c r="E118" s="5"/>
      <c r="F118" s="18"/>
      <c r="G118" s="6522" t="s">
        <v>973</v>
      </c>
      <c r="H118" s="6522" t="s">
        <v>974</v>
      </c>
      <c r="I118" s="6522" t="s">
        <v>975</v>
      </c>
      <c r="J118" s="6"/>
      <c r="L118" s="5"/>
      <c r="M118" s="17"/>
      <c r="N118" s="17"/>
      <c r="O118" s="17"/>
      <c r="P118" s="17"/>
      <c r="Q118" s="17"/>
      <c r="R118" s="55"/>
      <c r="S118" s="55"/>
    </row>
    <row r="119" spans="1:20" ht="12.75">
      <c r="A119" s="37"/>
      <c r="B119" s="5"/>
      <c r="C119" s="5"/>
      <c r="D119" s="5"/>
      <c r="E119" s="5"/>
      <c r="F119" s="18"/>
      <c r="G119" s="6496">
        <f>SUM(I114,I117)</f>
        <v>74</v>
      </c>
      <c r="H119" s="6523">
        <f>SUM(G119*13/3)</f>
        <v>320.66666666666669</v>
      </c>
      <c r="I119" s="6496">
        <f>SUM(H119*12)</f>
        <v>3848</v>
      </c>
      <c r="J119" s="6"/>
      <c r="M119" s="18"/>
      <c r="N119" s="18"/>
      <c r="O119" s="18"/>
      <c r="P119" s="18"/>
      <c r="Q119" s="18"/>
      <c r="R119" s="56"/>
      <c r="S119" s="56"/>
    </row>
    <row r="120" spans="1:20" ht="12.75">
      <c r="A120" s="1" t="s">
        <v>1022</v>
      </c>
      <c r="B120" s="5"/>
      <c r="C120" s="5"/>
      <c r="D120" s="5"/>
      <c r="E120" s="5"/>
      <c r="F120" s="5"/>
    </row>
    <row r="121" spans="1:20" ht="12.75">
      <c r="A121" s="6467" t="s">
        <v>1023</v>
      </c>
      <c r="B121" s="6468" t="s">
        <v>19</v>
      </c>
      <c r="C121" s="3200" t="s">
        <v>20</v>
      </c>
      <c r="D121" s="3200" t="s">
        <v>21</v>
      </c>
      <c r="E121" s="3200" t="s">
        <v>22</v>
      </c>
      <c r="F121" s="3200" t="s">
        <v>23</v>
      </c>
      <c r="G121" s="3200" t="s">
        <v>24</v>
      </c>
      <c r="H121" s="6469" t="s">
        <v>25</v>
      </c>
      <c r="I121" s="6470" t="s">
        <v>202</v>
      </c>
      <c r="J121" s="6471" t="s">
        <v>108</v>
      </c>
    </row>
    <row r="122" spans="1:20">
      <c r="A122" s="6453" t="s">
        <v>0</v>
      </c>
      <c r="B122" s="623" t="s">
        <v>1024</v>
      </c>
      <c r="C122" s="623" t="s">
        <v>1024</v>
      </c>
      <c r="D122" s="623" t="s">
        <v>1024</v>
      </c>
      <c r="E122" s="623" t="s">
        <v>1024</v>
      </c>
      <c r="F122" s="623" t="s">
        <v>1025</v>
      </c>
      <c r="G122" s="6440"/>
      <c r="H122" s="6183"/>
      <c r="I122" s="6181"/>
      <c r="J122" s="6450"/>
    </row>
    <row r="123" spans="1:20" ht="12.75">
      <c r="A123" s="1484" t="s">
        <v>943</v>
      </c>
      <c r="B123" s="1529">
        <v>8</v>
      </c>
      <c r="C123" s="1529">
        <v>8</v>
      </c>
      <c r="D123" s="1529">
        <v>8</v>
      </c>
      <c r="E123" s="1529">
        <v>8</v>
      </c>
      <c r="F123" s="1529">
        <v>5</v>
      </c>
      <c r="G123" s="1531"/>
      <c r="H123" s="1532"/>
      <c r="I123" s="1655">
        <f>SUM(B123:H123)</f>
        <v>37</v>
      </c>
      <c r="J123" s="1474"/>
      <c r="L123" s="37"/>
      <c r="M123" s="37"/>
      <c r="N123" s="37"/>
      <c r="O123" s="37"/>
      <c r="P123" s="37"/>
    </row>
    <row r="124" spans="1:20" ht="12.75">
      <c r="A124" s="37"/>
      <c r="B124" s="5"/>
      <c r="C124" s="5"/>
      <c r="D124" s="5"/>
      <c r="E124" s="5"/>
      <c r="F124" s="18"/>
      <c r="G124" s="6522" t="s">
        <v>973</v>
      </c>
      <c r="H124" s="6522" t="s">
        <v>974</v>
      </c>
      <c r="I124" s="6522" t="s">
        <v>975</v>
      </c>
      <c r="J124" s="6"/>
      <c r="L124" s="5"/>
      <c r="M124" s="5"/>
      <c r="N124" s="5"/>
      <c r="O124" s="5"/>
      <c r="P124" s="5"/>
    </row>
    <row r="125" spans="1:20" ht="12.75">
      <c r="A125" s="37"/>
      <c r="B125" s="5"/>
      <c r="C125" s="5"/>
      <c r="D125" s="5"/>
      <c r="E125" s="5"/>
      <c r="F125" s="18"/>
      <c r="G125" s="6496">
        <f>I123</f>
        <v>37</v>
      </c>
      <c r="H125" s="6523">
        <f>SUM(G125*13/3)</f>
        <v>160.33333333333334</v>
      </c>
      <c r="I125" s="6496">
        <f>SUM(H125*12)</f>
        <v>1924</v>
      </c>
      <c r="J125" s="6"/>
      <c r="L125" s="37"/>
      <c r="M125" s="37"/>
      <c r="N125" s="37"/>
      <c r="O125" s="37"/>
      <c r="P125" s="37"/>
    </row>
    <row r="126" spans="1:20" ht="12.75">
      <c r="A126" s="1" t="s">
        <v>1026</v>
      </c>
      <c r="B126" s="5"/>
      <c r="C126" s="5"/>
      <c r="D126" s="5"/>
      <c r="E126" s="5"/>
      <c r="F126" s="5"/>
    </row>
    <row r="127" spans="1:20" ht="12.75">
      <c r="A127" s="6175" t="s">
        <v>947</v>
      </c>
      <c r="B127" s="6442" t="s">
        <v>19</v>
      </c>
      <c r="C127" s="6443" t="s">
        <v>20</v>
      </c>
      <c r="D127" s="6443" t="s">
        <v>21</v>
      </c>
      <c r="E127" s="6443" t="s">
        <v>22</v>
      </c>
      <c r="F127" s="6443" t="s">
        <v>23</v>
      </c>
      <c r="G127" s="6443" t="s">
        <v>24</v>
      </c>
      <c r="H127" s="6444" t="s">
        <v>25</v>
      </c>
      <c r="I127" s="6445" t="s">
        <v>202</v>
      </c>
      <c r="J127" s="6446" t="s">
        <v>108</v>
      </c>
      <c r="M127" s="6527"/>
      <c r="N127" s="6528" t="s">
        <v>976</v>
      </c>
      <c r="O127">
        <v>37</v>
      </c>
      <c r="P127" t="s">
        <v>1027</v>
      </c>
      <c r="Q127">
        <v>2</v>
      </c>
      <c r="R127" t="s">
        <v>1028</v>
      </c>
      <c r="S127">
        <f>O127*Q127</f>
        <v>74</v>
      </c>
      <c r="T127" t="s">
        <v>1029</v>
      </c>
    </row>
    <row r="128" spans="1:20" ht="12.75">
      <c r="A128" s="6447" t="s">
        <v>912</v>
      </c>
      <c r="B128" s="6448" t="s">
        <v>1030</v>
      </c>
      <c r="C128" s="6448" t="s">
        <v>1030</v>
      </c>
      <c r="D128" s="6448" t="s">
        <v>1030</v>
      </c>
      <c r="E128" s="6448" t="s">
        <v>1030</v>
      </c>
      <c r="F128" s="6606" t="s">
        <v>10</v>
      </c>
      <c r="G128" s="6440"/>
      <c r="H128" s="6440"/>
      <c r="I128" s="6448"/>
      <c r="J128" s="6450" t="s">
        <v>1031</v>
      </c>
      <c r="M128" s="6530"/>
      <c r="N128" s="6531" t="s">
        <v>977</v>
      </c>
      <c r="O128" t="s">
        <v>0</v>
      </c>
    </row>
    <row r="129" spans="1:19" ht="12.75">
      <c r="A129" s="6607"/>
      <c r="B129" s="6587">
        <v>0</v>
      </c>
      <c r="C129" s="6587">
        <v>0</v>
      </c>
      <c r="D129" s="6587">
        <v>0</v>
      </c>
      <c r="E129" s="6587">
        <v>0</v>
      </c>
      <c r="F129" s="6608">
        <v>0</v>
      </c>
      <c r="G129" s="6609"/>
      <c r="H129" s="6609"/>
      <c r="I129" s="6587">
        <f>SUM(B129:H129)</f>
        <v>0</v>
      </c>
      <c r="J129" s="6610"/>
      <c r="M129" s="6530" t="s">
        <v>210</v>
      </c>
      <c r="N129" s="6531">
        <v>0</v>
      </c>
      <c r="O129" t="s">
        <v>1032</v>
      </c>
      <c r="Q129">
        <f>I131</f>
        <v>0</v>
      </c>
    </row>
    <row r="130" spans="1:19">
      <c r="A130" s="6447" t="s">
        <v>916</v>
      </c>
      <c r="B130" s="6448" t="s">
        <v>1033</v>
      </c>
      <c r="C130" s="6448" t="s">
        <v>1033</v>
      </c>
      <c r="D130" s="6448" t="s">
        <v>1033</v>
      </c>
      <c r="E130" s="6448" t="s">
        <v>1033</v>
      </c>
      <c r="F130" s="6448" t="s">
        <v>1034</v>
      </c>
      <c r="G130" s="6611"/>
      <c r="H130" s="6611"/>
      <c r="I130" s="6448"/>
      <c r="J130" s="6450" t="s">
        <v>1035</v>
      </c>
      <c r="M130" s="6530" t="s">
        <v>212</v>
      </c>
      <c r="N130" s="6531">
        <f>I131</f>
        <v>0</v>
      </c>
    </row>
    <row r="131" spans="1:19" ht="12.75">
      <c r="A131" s="6612"/>
      <c r="B131" s="6452">
        <v>0</v>
      </c>
      <c r="C131" s="6452">
        <v>0</v>
      </c>
      <c r="D131" s="6452">
        <v>0</v>
      </c>
      <c r="E131" s="6452">
        <v>0</v>
      </c>
      <c r="F131" s="6452">
        <v>0</v>
      </c>
      <c r="G131" s="6504"/>
      <c r="H131" s="6504"/>
      <c r="I131" s="6452">
        <f>SUM(B131:H131)</f>
        <v>0</v>
      </c>
      <c r="J131" s="6506"/>
      <c r="M131" s="6530" t="s">
        <v>214</v>
      </c>
      <c r="N131" s="6531">
        <v>0</v>
      </c>
      <c r="O131">
        <f>Q129</f>
        <v>0</v>
      </c>
      <c r="P131" t="s">
        <v>1036</v>
      </c>
      <c r="Q131" s="21">
        <f>SUM(O131/37)</f>
        <v>0</v>
      </c>
    </row>
    <row r="132" spans="1:19">
      <c r="A132" s="24" t="s">
        <v>871</v>
      </c>
      <c r="B132" s="24">
        <f t="shared" ref="B132:I132" si="4">SUM(B129,B131)</f>
        <v>0</v>
      </c>
      <c r="C132" s="24">
        <f t="shared" si="4"/>
        <v>0</v>
      </c>
      <c r="D132" s="24">
        <f t="shared" si="4"/>
        <v>0</v>
      </c>
      <c r="E132" s="24">
        <f t="shared" si="4"/>
        <v>0</v>
      </c>
      <c r="F132" s="24">
        <f t="shared" si="4"/>
        <v>0</v>
      </c>
      <c r="G132" s="24">
        <f t="shared" si="4"/>
        <v>0</v>
      </c>
      <c r="H132" s="24">
        <f t="shared" si="4"/>
        <v>0</v>
      </c>
      <c r="I132" s="24">
        <f t="shared" si="4"/>
        <v>0</v>
      </c>
      <c r="J132" s="26"/>
      <c r="O132" t="s">
        <v>1037</v>
      </c>
      <c r="Q132" s="21"/>
    </row>
    <row r="133" spans="1:19" ht="12.75">
      <c r="A133" s="5"/>
      <c r="B133" s="5"/>
      <c r="C133" s="5"/>
      <c r="D133" s="5"/>
      <c r="E133" s="5"/>
      <c r="F133" s="5"/>
      <c r="G133" s="6522" t="s">
        <v>973</v>
      </c>
      <c r="H133" s="6522" t="s">
        <v>974</v>
      </c>
      <c r="I133" s="6522" t="s">
        <v>975</v>
      </c>
      <c r="Q133" s="21"/>
    </row>
    <row r="134" spans="1:19">
      <c r="A134" s="5"/>
      <c r="B134" s="5"/>
      <c r="C134" s="5"/>
      <c r="D134" s="5"/>
      <c r="E134" s="5"/>
      <c r="F134" s="5"/>
      <c r="G134" s="6496">
        <f>I132</f>
        <v>0</v>
      </c>
      <c r="H134" s="6523">
        <f>SUM(G134*13/3)</f>
        <v>0</v>
      </c>
      <c r="I134" s="6496">
        <f>SUM(H134*12)</f>
        <v>0</v>
      </c>
      <c r="O134" t="s">
        <v>1038</v>
      </c>
      <c r="Q134" s="21"/>
    </row>
    <row r="135" spans="1:19">
      <c r="A135" s="5"/>
      <c r="B135" s="5"/>
      <c r="C135" s="5"/>
      <c r="D135" s="5"/>
      <c r="E135" s="5"/>
      <c r="F135" s="5"/>
      <c r="G135" s="5"/>
      <c r="H135" s="23"/>
      <c r="I135" s="5"/>
      <c r="O135" t="s">
        <v>1039</v>
      </c>
      <c r="Q135" s="48"/>
      <c r="S135" s="21"/>
    </row>
    <row r="136" spans="1:19" ht="12.75">
      <c r="A136" s="1" t="s">
        <v>928</v>
      </c>
      <c r="B136" s="5"/>
      <c r="C136" s="5"/>
      <c r="D136" s="5"/>
      <c r="E136" s="5"/>
      <c r="F136" s="5"/>
    </row>
    <row r="137" spans="1:19" ht="12.75">
      <c r="A137" s="6467" t="s">
        <v>929</v>
      </c>
      <c r="B137" s="6468" t="s">
        <v>19</v>
      </c>
      <c r="C137" s="3200" t="s">
        <v>20</v>
      </c>
      <c r="D137" s="3200" t="s">
        <v>21</v>
      </c>
      <c r="E137" s="3200" t="s">
        <v>22</v>
      </c>
      <c r="F137" s="3200" t="s">
        <v>23</v>
      </c>
      <c r="G137" s="3200" t="s">
        <v>24</v>
      </c>
      <c r="H137" s="6469" t="s">
        <v>25</v>
      </c>
      <c r="I137" s="6470" t="s">
        <v>202</v>
      </c>
      <c r="J137" s="6471" t="s">
        <v>108</v>
      </c>
      <c r="M137" s="6527"/>
      <c r="N137" s="6528" t="s">
        <v>976</v>
      </c>
      <c r="O137" t="s">
        <v>1040</v>
      </c>
    </row>
    <row r="138" spans="1:19">
      <c r="A138" s="6453" t="s">
        <v>930</v>
      </c>
      <c r="B138" s="6181" t="s">
        <v>914</v>
      </c>
      <c r="C138" s="6181" t="s">
        <v>914</v>
      </c>
      <c r="D138" s="6181" t="s">
        <v>914</v>
      </c>
      <c r="E138" s="6181" t="s">
        <v>914</v>
      </c>
      <c r="F138" s="6181" t="s">
        <v>902</v>
      </c>
      <c r="G138" s="6440"/>
      <c r="H138" s="6183"/>
      <c r="I138" s="6181"/>
      <c r="J138" s="6450"/>
      <c r="M138" s="6530"/>
      <c r="N138" s="6531" t="s">
        <v>977</v>
      </c>
      <c r="O138" t="s">
        <v>0</v>
      </c>
    </row>
    <row r="139" spans="1:19" ht="12.75">
      <c r="A139" s="1662"/>
      <c r="B139" s="1529">
        <v>7.5</v>
      </c>
      <c r="C139" s="1529">
        <v>7.5</v>
      </c>
      <c r="D139" s="1529">
        <v>7.5</v>
      </c>
      <c r="E139" s="1529">
        <v>7.5</v>
      </c>
      <c r="F139" s="1530">
        <v>7</v>
      </c>
      <c r="G139" s="1531"/>
      <c r="H139" s="1532"/>
      <c r="I139" s="1655">
        <f>SUM(B139:H139)</f>
        <v>37</v>
      </c>
      <c r="J139" s="1474"/>
      <c r="M139" s="6530" t="s">
        <v>210</v>
      </c>
      <c r="N139" s="6531">
        <v>0</v>
      </c>
      <c r="O139" t="s">
        <v>1041</v>
      </c>
    </row>
    <row r="140" spans="1:19">
      <c r="A140" s="6495" t="s">
        <v>931</v>
      </c>
      <c r="B140" s="6448" t="s">
        <v>1042</v>
      </c>
      <c r="C140" s="6448" t="s">
        <v>1042</v>
      </c>
      <c r="D140" s="6448" t="s">
        <v>1042</v>
      </c>
      <c r="E140" s="6448" t="s">
        <v>1042</v>
      </c>
      <c r="F140" s="6448" t="s">
        <v>1043</v>
      </c>
      <c r="G140" s="625"/>
      <c r="H140" s="626"/>
      <c r="I140" s="631"/>
      <c r="J140" s="570"/>
      <c r="M140" s="6530" t="s">
        <v>212</v>
      </c>
      <c r="N140" s="6531">
        <v>34</v>
      </c>
    </row>
    <row r="141" spans="1:19" ht="12.75">
      <c r="A141" s="16"/>
      <c r="B141" s="6496">
        <v>7</v>
      </c>
      <c r="C141" s="6496">
        <v>7</v>
      </c>
      <c r="D141" s="6496">
        <v>7</v>
      </c>
      <c r="E141" s="6496">
        <v>7</v>
      </c>
      <c r="F141" s="257">
        <v>6</v>
      </c>
      <c r="G141" s="241"/>
      <c r="H141" s="17"/>
      <c r="I141" s="1655">
        <f>SUM(B141:H141)</f>
        <v>34</v>
      </c>
      <c r="J141" s="228"/>
      <c r="M141" s="6530" t="s">
        <v>214</v>
      </c>
      <c r="N141" s="6531">
        <v>0</v>
      </c>
      <c r="O141" t="s">
        <v>1044</v>
      </c>
    </row>
    <row r="142" spans="1:19">
      <c r="A142" s="6447" t="s">
        <v>933</v>
      </c>
      <c r="B142" s="6181" t="s">
        <v>934</v>
      </c>
      <c r="C142" s="6181" t="s">
        <v>934</v>
      </c>
      <c r="D142" s="6181" t="s">
        <v>934</v>
      </c>
      <c r="E142" s="6181" t="s">
        <v>934</v>
      </c>
      <c r="F142" s="6181" t="s">
        <v>935</v>
      </c>
      <c r="G142" s="6181"/>
      <c r="H142" s="6181"/>
      <c r="I142" s="6181"/>
      <c r="J142" s="6450"/>
      <c r="M142" s="6540" t="s">
        <v>979</v>
      </c>
      <c r="N142" s="6541">
        <f>SUM(N139:N141)</f>
        <v>34</v>
      </c>
    </row>
    <row r="143" spans="1:19">
      <c r="A143" s="1484"/>
      <c r="B143" s="1529" t="s">
        <v>1045</v>
      </c>
      <c r="C143" s="1529" t="s">
        <v>1045</v>
      </c>
      <c r="D143" s="1529" t="s">
        <v>1045</v>
      </c>
      <c r="E143" s="1529" t="s">
        <v>1045</v>
      </c>
      <c r="F143" s="1529" t="s">
        <v>1045</v>
      </c>
      <c r="G143" s="1530"/>
      <c r="H143" s="1533"/>
      <c r="I143" s="1655">
        <f>SUM(B143:H143)</f>
        <v>0</v>
      </c>
      <c r="J143" s="1474"/>
      <c r="O143" t="s">
        <v>1046</v>
      </c>
    </row>
    <row r="144" spans="1:19">
      <c r="A144" s="6465" t="s">
        <v>871</v>
      </c>
      <c r="B144" s="6465">
        <f t="shared" ref="B144:I144" si="5">SUM(B139,B141,B143)</f>
        <v>14.5</v>
      </c>
      <c r="C144" s="6465">
        <f t="shared" si="5"/>
        <v>14.5</v>
      </c>
      <c r="D144" s="6465">
        <f t="shared" si="5"/>
        <v>14.5</v>
      </c>
      <c r="E144" s="6465">
        <f t="shared" si="5"/>
        <v>14.5</v>
      </c>
      <c r="F144" s="6465">
        <f t="shared" si="5"/>
        <v>13</v>
      </c>
      <c r="G144" s="6465">
        <f t="shared" si="5"/>
        <v>0</v>
      </c>
      <c r="H144" s="6465">
        <f t="shared" si="5"/>
        <v>0</v>
      </c>
      <c r="I144" s="6473">
        <f t="shared" si="5"/>
        <v>71</v>
      </c>
      <c r="J144" s="6474"/>
    </row>
    <row r="145" spans="1:20" ht="12.75">
      <c r="A145" s="5"/>
      <c r="B145" s="5"/>
      <c r="C145" s="5"/>
      <c r="D145" s="5"/>
      <c r="E145" s="5"/>
      <c r="F145" s="18"/>
      <c r="G145" s="6522" t="s">
        <v>973</v>
      </c>
      <c r="H145" s="6522" t="s">
        <v>974</v>
      </c>
      <c r="I145" s="6522" t="s">
        <v>975</v>
      </c>
      <c r="J145" s="6"/>
      <c r="O145" t="s">
        <v>1047</v>
      </c>
      <c r="P145" s="5"/>
      <c r="T145" t="s">
        <v>992</v>
      </c>
    </row>
    <row r="146" spans="1:20">
      <c r="A146" s="5"/>
      <c r="B146" s="5"/>
      <c r="C146" s="5"/>
      <c r="D146" s="5"/>
      <c r="E146" s="5"/>
      <c r="F146" s="5"/>
      <c r="G146" s="6496">
        <f>I144</f>
        <v>71</v>
      </c>
      <c r="H146" s="6523">
        <f>SUM(G146*13/3)</f>
        <v>307.66666666666669</v>
      </c>
      <c r="I146" s="6496">
        <f>SUM(H146*12)</f>
        <v>3692</v>
      </c>
      <c r="J146" s="6"/>
    </row>
    <row r="147" spans="1:20">
      <c r="A147" s="5"/>
      <c r="B147" s="5"/>
      <c r="C147" s="5"/>
      <c r="D147" s="5"/>
      <c r="E147" s="5"/>
      <c r="F147" s="5"/>
      <c r="G147" s="5"/>
      <c r="H147" s="23"/>
      <c r="I147" s="5"/>
      <c r="J147" s="6"/>
      <c r="O147" t="s">
        <v>10</v>
      </c>
    </row>
    <row r="148" spans="1:20" ht="12.75">
      <c r="A148" s="42" t="s">
        <v>1048</v>
      </c>
      <c r="B148" s="5"/>
      <c r="C148" s="5"/>
      <c r="D148" s="5"/>
      <c r="E148" s="5"/>
      <c r="F148" s="18"/>
      <c r="G148" s="18"/>
      <c r="H148" s="18"/>
      <c r="I148" s="5"/>
      <c r="J148" s="6"/>
      <c r="N148" s="5"/>
    </row>
    <row r="149" spans="1:20" ht="12.75">
      <c r="A149" s="6467" t="s">
        <v>950</v>
      </c>
      <c r="B149" s="6468" t="s">
        <v>19</v>
      </c>
      <c r="C149" s="3200" t="s">
        <v>20</v>
      </c>
      <c r="D149" s="3200" t="s">
        <v>21</v>
      </c>
      <c r="E149" s="3200" t="s">
        <v>22</v>
      </c>
      <c r="F149" s="3200" t="s">
        <v>23</v>
      </c>
      <c r="G149" s="3200" t="s">
        <v>24</v>
      </c>
      <c r="H149" s="6469" t="s">
        <v>25</v>
      </c>
      <c r="I149" s="6470" t="s">
        <v>202</v>
      </c>
      <c r="J149" s="6471" t="s">
        <v>108</v>
      </c>
      <c r="N149" s="5"/>
    </row>
    <row r="150" spans="1:20" ht="12.75">
      <c r="A150" s="6447" t="s">
        <v>0</v>
      </c>
      <c r="B150" s="6448" t="s">
        <v>305</v>
      </c>
      <c r="C150" s="6448" t="s">
        <v>305</v>
      </c>
      <c r="D150" s="6448" t="s">
        <v>305</v>
      </c>
      <c r="E150" s="6448" t="s">
        <v>305</v>
      </c>
      <c r="F150" s="6449" t="s">
        <v>306</v>
      </c>
      <c r="G150" s="6439"/>
      <c r="H150" s="6182" t="s">
        <v>0</v>
      </c>
      <c r="I150" s="6176"/>
      <c r="J150" s="6450" t="s">
        <v>0</v>
      </c>
      <c r="N150" s="5"/>
    </row>
    <row r="151" spans="1:20" ht="12.75">
      <c r="A151" s="6613">
        <v>1</v>
      </c>
      <c r="B151" s="6452">
        <v>7.75</v>
      </c>
      <c r="C151" s="6452">
        <v>7.75</v>
      </c>
      <c r="D151" s="6452">
        <v>7.75</v>
      </c>
      <c r="E151" s="6452">
        <v>7.75</v>
      </c>
      <c r="F151" s="6504">
        <v>6</v>
      </c>
      <c r="G151" s="1529"/>
      <c r="H151" s="1556" t="s">
        <v>0</v>
      </c>
      <c r="I151" s="6452">
        <f>SUM(B151:H151)</f>
        <v>37</v>
      </c>
      <c r="J151" s="1474"/>
      <c r="N151" s="5"/>
    </row>
    <row r="152" spans="1:20" ht="12.75">
      <c r="A152" s="573" t="s">
        <v>0</v>
      </c>
      <c r="B152" s="6448" t="s">
        <v>305</v>
      </c>
      <c r="C152" s="6448" t="s">
        <v>305</v>
      </c>
      <c r="D152" s="6448" t="s">
        <v>305</v>
      </c>
      <c r="E152" s="6448" t="s">
        <v>305</v>
      </c>
      <c r="F152" s="6449" t="s">
        <v>306</v>
      </c>
      <c r="G152" s="6177"/>
      <c r="H152" s="624"/>
      <c r="I152" s="592"/>
      <c r="J152" s="570"/>
      <c r="N152" s="5"/>
    </row>
    <row r="153" spans="1:20" ht="12.75">
      <c r="A153" s="6613">
        <v>2</v>
      </c>
      <c r="B153" s="6452">
        <v>7.75</v>
      </c>
      <c r="C153" s="6452">
        <v>7.75</v>
      </c>
      <c r="D153" s="6452">
        <v>7.75</v>
      </c>
      <c r="E153" s="6452">
        <v>7.75</v>
      </c>
      <c r="F153" s="6504">
        <v>6</v>
      </c>
      <c r="G153" s="1530"/>
      <c r="H153" s="6504"/>
      <c r="I153" s="6452">
        <f>SUM(B153:H153)</f>
        <v>37</v>
      </c>
      <c r="J153" s="6506"/>
      <c r="N153" s="5"/>
    </row>
    <row r="154" spans="1:20">
      <c r="A154" s="6447"/>
      <c r="B154" s="6448" t="s">
        <v>305</v>
      </c>
      <c r="C154" s="6448" t="s">
        <v>305</v>
      </c>
      <c r="D154" s="6448" t="s">
        <v>305</v>
      </c>
      <c r="E154" s="6448" t="s">
        <v>305</v>
      </c>
      <c r="F154" s="6449" t="s">
        <v>306</v>
      </c>
      <c r="G154" s="6181"/>
      <c r="H154" s="6449"/>
      <c r="I154" s="6176"/>
      <c r="J154" s="6450"/>
      <c r="N154" s="5"/>
    </row>
    <row r="155" spans="1:20" ht="12.75">
      <c r="A155" s="6613">
        <v>3</v>
      </c>
      <c r="B155" s="6452">
        <v>7.75</v>
      </c>
      <c r="C155" s="6452">
        <v>7.75</v>
      </c>
      <c r="D155" s="6452">
        <v>7.75</v>
      </c>
      <c r="E155" s="6452">
        <v>7.75</v>
      </c>
      <c r="F155" s="6504">
        <v>6</v>
      </c>
      <c r="G155" s="1529"/>
      <c r="H155" s="6504"/>
      <c r="I155" s="6452">
        <f>SUM(B155:H155)</f>
        <v>37</v>
      </c>
      <c r="J155" s="1474"/>
    </row>
    <row r="156" spans="1:20">
      <c r="A156" s="576"/>
      <c r="B156" s="6448" t="s">
        <v>305</v>
      </c>
      <c r="C156" s="6448" t="s">
        <v>305</v>
      </c>
      <c r="D156" s="6448" t="s">
        <v>305</v>
      </c>
      <c r="E156" s="6448" t="s">
        <v>305</v>
      </c>
      <c r="F156" s="6449" t="s">
        <v>306</v>
      </c>
      <c r="G156" s="624"/>
      <c r="H156" s="624"/>
      <c r="I156" s="549"/>
      <c r="J156" s="570"/>
      <c r="P156" s="5"/>
    </row>
    <row r="157" spans="1:20" ht="12.75">
      <c r="A157" s="6613">
        <v>4</v>
      </c>
      <c r="B157" s="6452">
        <v>7.75</v>
      </c>
      <c r="C157" s="6452">
        <v>7.75</v>
      </c>
      <c r="D157" s="6452">
        <v>7.75</v>
      </c>
      <c r="E157" s="6452">
        <v>7.75</v>
      </c>
      <c r="F157" s="6504">
        <v>6</v>
      </c>
      <c r="G157" s="6504"/>
      <c r="H157" s="6504"/>
      <c r="I157" s="6452">
        <f>SUM(B157:H157)</f>
        <v>37</v>
      </c>
      <c r="J157" s="1474"/>
      <c r="P157" s="5"/>
    </row>
    <row r="158" spans="1:20" ht="12.75">
      <c r="A158" s="6614"/>
      <c r="B158" s="6448" t="s">
        <v>305</v>
      </c>
      <c r="C158" s="6448" t="s">
        <v>305</v>
      </c>
      <c r="D158" s="6448" t="s">
        <v>305</v>
      </c>
      <c r="E158" s="6448" t="s">
        <v>305</v>
      </c>
      <c r="F158" s="6449" t="s">
        <v>306</v>
      </c>
      <c r="G158" s="6572"/>
      <c r="H158" s="6572"/>
      <c r="I158" s="6615"/>
      <c r="J158" s="6616"/>
      <c r="P158" s="5"/>
    </row>
    <row r="159" spans="1:20" ht="12.75">
      <c r="A159" s="6613">
        <v>5</v>
      </c>
      <c r="B159" s="6452">
        <v>7.75</v>
      </c>
      <c r="C159" s="6452">
        <v>7.75</v>
      </c>
      <c r="D159" s="6452">
        <v>7.75</v>
      </c>
      <c r="E159" s="6452">
        <v>7.75</v>
      </c>
      <c r="F159" s="6504">
        <v>6</v>
      </c>
      <c r="G159" s="1530"/>
      <c r="H159" s="1530"/>
      <c r="I159" s="6452">
        <f>SUM(B159:H159)</f>
        <v>37</v>
      </c>
      <c r="J159" s="1474"/>
    </row>
    <row r="160" spans="1:20">
      <c r="A160" s="573"/>
      <c r="B160" s="6448" t="s">
        <v>305</v>
      </c>
      <c r="C160" s="6448" t="s">
        <v>305</v>
      </c>
      <c r="D160" s="6448" t="s">
        <v>305</v>
      </c>
      <c r="E160" s="6448" t="s">
        <v>305</v>
      </c>
      <c r="F160" s="6449" t="s">
        <v>306</v>
      </c>
      <c r="G160" s="624"/>
      <c r="H160" s="624"/>
      <c r="I160" s="549"/>
      <c r="J160" s="570"/>
    </row>
    <row r="161" spans="1:20" ht="12.75">
      <c r="A161" s="6613">
        <v>6</v>
      </c>
      <c r="B161" s="6452">
        <v>7.75</v>
      </c>
      <c r="C161" s="6452">
        <v>7.75</v>
      </c>
      <c r="D161" s="6452">
        <v>7.75</v>
      </c>
      <c r="E161" s="6452">
        <v>7.75</v>
      </c>
      <c r="F161" s="6504">
        <v>6</v>
      </c>
      <c r="G161" s="6504"/>
      <c r="H161" s="6504"/>
      <c r="I161" s="6452">
        <f>SUM(B161:H161)</f>
        <v>37</v>
      </c>
      <c r="J161" s="1474"/>
    </row>
    <row r="162" spans="1:20">
      <c r="A162" s="6465" t="s">
        <v>871</v>
      </c>
      <c r="B162" s="6465">
        <f t="shared" ref="B162:H162" si="6">SUM(B151,B153,B155,B157,B159,B161)</f>
        <v>46.5</v>
      </c>
      <c r="C162" s="6465">
        <f t="shared" si="6"/>
        <v>46.5</v>
      </c>
      <c r="D162" s="6465">
        <f t="shared" si="6"/>
        <v>46.5</v>
      </c>
      <c r="E162" s="6465">
        <f t="shared" si="6"/>
        <v>46.5</v>
      </c>
      <c r="F162" s="6465">
        <f t="shared" si="6"/>
        <v>36</v>
      </c>
      <c r="G162" s="6465">
        <f t="shared" si="6"/>
        <v>0</v>
      </c>
      <c r="H162" s="6465">
        <f t="shared" si="6"/>
        <v>0</v>
      </c>
      <c r="I162" s="6473">
        <f>SUM(I151,I153,I155,I157,I161)</f>
        <v>185</v>
      </c>
      <c r="J162" s="6474"/>
      <c r="M162" s="5"/>
      <c r="N162" s="5"/>
    </row>
    <row r="163" spans="1:20" ht="12.75">
      <c r="A163" s="42"/>
      <c r="B163" s="5"/>
      <c r="C163" s="5"/>
      <c r="D163" s="5"/>
      <c r="E163" s="5"/>
      <c r="F163" s="18"/>
      <c r="G163" s="6522" t="s">
        <v>973</v>
      </c>
      <c r="H163" s="6522" t="s">
        <v>974</v>
      </c>
      <c r="I163" s="6522" t="s">
        <v>975</v>
      </c>
      <c r="J163" s="6"/>
      <c r="M163" s="5"/>
      <c r="N163" s="5"/>
    </row>
    <row r="164" spans="1:20" ht="12.75">
      <c r="A164" s="42"/>
      <c r="B164" s="5"/>
      <c r="C164" s="5"/>
      <c r="D164" s="5"/>
      <c r="E164" s="5"/>
      <c r="F164" s="18"/>
      <c r="G164" s="6496">
        <f>I162</f>
        <v>185</v>
      </c>
      <c r="H164" s="6523">
        <f>SUM(G164*13/3)</f>
        <v>801.66666666666663</v>
      </c>
      <c r="I164" s="6496">
        <f>SUM(H164*12)</f>
        <v>9620</v>
      </c>
      <c r="J164" s="6"/>
      <c r="M164" s="5"/>
      <c r="N164" s="5"/>
    </row>
    <row r="165" spans="1:20" ht="12.75">
      <c r="A165" s="37"/>
      <c r="B165" s="5"/>
      <c r="C165" s="5"/>
      <c r="D165" s="5"/>
      <c r="E165" s="5"/>
      <c r="F165" s="18"/>
      <c r="G165" s="5"/>
      <c r="H165" s="23"/>
      <c r="I165" s="5"/>
      <c r="J165" s="6"/>
      <c r="M165" s="5"/>
      <c r="N165" s="5"/>
    </row>
    <row r="166" spans="1:20" ht="12.75">
      <c r="A166" s="92" t="s">
        <v>1049</v>
      </c>
      <c r="B166" s="5"/>
      <c r="C166" s="5"/>
      <c r="D166" s="5"/>
      <c r="E166" s="5"/>
      <c r="F166" s="5"/>
      <c r="O166">
        <v>37</v>
      </c>
      <c r="P166" t="s">
        <v>1027</v>
      </c>
      <c r="Q166">
        <v>4</v>
      </c>
      <c r="R166" t="s">
        <v>1028</v>
      </c>
      <c r="S166">
        <f>O166*Q166</f>
        <v>148</v>
      </c>
      <c r="T166" t="s">
        <v>1029</v>
      </c>
    </row>
    <row r="167" spans="1:20" ht="12.75">
      <c r="A167" s="6547" t="s">
        <v>1050</v>
      </c>
      <c r="B167" s="6442" t="s">
        <v>19</v>
      </c>
      <c r="C167" s="6443" t="s">
        <v>20</v>
      </c>
      <c r="D167" s="6443" t="s">
        <v>21</v>
      </c>
      <c r="E167" s="6443" t="s">
        <v>22</v>
      </c>
      <c r="F167" s="6443" t="s">
        <v>23</v>
      </c>
      <c r="G167" s="6443" t="s">
        <v>24</v>
      </c>
      <c r="H167" s="6444" t="s">
        <v>25</v>
      </c>
      <c r="I167" s="6445" t="s">
        <v>202</v>
      </c>
      <c r="J167" s="6446" t="s">
        <v>108</v>
      </c>
      <c r="M167" s="6527"/>
      <c r="N167" s="6528" t="s">
        <v>976</v>
      </c>
      <c r="O167" t="s">
        <v>0</v>
      </c>
    </row>
    <row r="168" spans="1:20">
      <c r="A168" s="6617"/>
      <c r="B168" s="6440" t="s">
        <v>10</v>
      </c>
      <c r="C168" s="6440" t="s">
        <v>1051</v>
      </c>
      <c r="D168" s="6440" t="s">
        <v>1051</v>
      </c>
      <c r="E168" s="6440" t="s">
        <v>1052</v>
      </c>
      <c r="F168" s="6440" t="s">
        <v>1053</v>
      </c>
      <c r="G168" s="6440"/>
      <c r="H168" s="6440"/>
      <c r="I168" s="6532"/>
      <c r="J168" s="6450"/>
      <c r="M168" s="6530"/>
      <c r="N168" s="6531" t="s">
        <v>977</v>
      </c>
      <c r="O168" t="s">
        <v>1032</v>
      </c>
      <c r="Q168">
        <f>N174</f>
        <v>105.25</v>
      </c>
    </row>
    <row r="169" spans="1:20">
      <c r="A169" s="1666">
        <v>1</v>
      </c>
      <c r="B169" s="6504">
        <v>8.5</v>
      </c>
      <c r="C169" s="6504">
        <v>8.5</v>
      </c>
      <c r="D169" s="6504">
        <v>8.5</v>
      </c>
      <c r="E169" s="6504">
        <v>0</v>
      </c>
      <c r="F169" s="6504">
        <v>0</v>
      </c>
      <c r="G169" s="6504"/>
      <c r="H169" s="6504"/>
      <c r="I169" s="6504">
        <v>37</v>
      </c>
      <c r="J169" s="1474"/>
      <c r="M169" s="6530" t="s">
        <v>210</v>
      </c>
      <c r="N169" s="6531">
        <v>37</v>
      </c>
    </row>
    <row r="170" spans="1:20">
      <c r="A170" s="6617"/>
      <c r="B170" s="6440" t="s">
        <v>1054</v>
      </c>
      <c r="C170" s="6440" t="s">
        <v>1054</v>
      </c>
      <c r="D170" s="6440" t="s">
        <v>1054</v>
      </c>
      <c r="E170" s="6440" t="s">
        <v>1054</v>
      </c>
      <c r="F170" s="6440" t="s">
        <v>1055</v>
      </c>
      <c r="G170" s="6440" t="s">
        <v>10</v>
      </c>
      <c r="H170" s="6440" t="s">
        <v>10</v>
      </c>
      <c r="I170" s="6532"/>
      <c r="J170" s="6450"/>
      <c r="M170" s="6530" t="s">
        <v>212</v>
      </c>
      <c r="N170" s="6531">
        <v>68.25</v>
      </c>
      <c r="O170">
        <f>Q168</f>
        <v>105.25</v>
      </c>
      <c r="P170" t="s">
        <v>1036</v>
      </c>
      <c r="Q170" s="21">
        <f>SUM(O170/37)</f>
        <v>2.8445945945945947</v>
      </c>
    </row>
    <row r="171" spans="1:20">
      <c r="A171" s="1666">
        <v>2</v>
      </c>
      <c r="B171" s="6504">
        <v>9.25</v>
      </c>
      <c r="C171" s="6504">
        <v>9.25</v>
      </c>
      <c r="D171" s="6504">
        <v>9.25</v>
      </c>
      <c r="E171" s="6504">
        <v>9.25</v>
      </c>
      <c r="F171" s="6504">
        <v>10.25</v>
      </c>
      <c r="G171" s="6504">
        <v>10.5</v>
      </c>
      <c r="H171" s="6504">
        <v>10.5</v>
      </c>
      <c r="I171" s="6504">
        <f>SUM(B171:H171)</f>
        <v>68.25</v>
      </c>
      <c r="J171" s="1474"/>
      <c r="M171" s="6530" t="s">
        <v>214</v>
      </c>
      <c r="N171" s="6531">
        <f>I173</f>
        <v>0</v>
      </c>
    </row>
    <row r="172" spans="1:20">
      <c r="A172" s="6617"/>
      <c r="B172" s="6449" t="s">
        <v>220</v>
      </c>
      <c r="C172" s="6449" t="s">
        <v>220</v>
      </c>
      <c r="D172" s="6449" t="s">
        <v>220</v>
      </c>
      <c r="E172" s="6449" t="s">
        <v>220</v>
      </c>
      <c r="F172" s="6449" t="s">
        <v>220</v>
      </c>
      <c r="G172" s="6449"/>
      <c r="H172" s="6449"/>
      <c r="I172" s="6532"/>
      <c r="J172" s="6450"/>
      <c r="M172" s="6530" t="s">
        <v>218</v>
      </c>
      <c r="N172" s="6531"/>
      <c r="O172" s="21">
        <f>Q170</f>
        <v>2.8445945945945947</v>
      </c>
      <c r="P172" t="s">
        <v>1056</v>
      </c>
      <c r="S172" s="634">
        <f>SUM(O172*3)</f>
        <v>8.5337837837837842</v>
      </c>
      <c r="T172" t="s">
        <v>1057</v>
      </c>
    </row>
    <row r="173" spans="1:20">
      <c r="A173" s="1666">
        <v>3</v>
      </c>
      <c r="B173" s="6504">
        <v>0</v>
      </c>
      <c r="C173" s="6504">
        <v>0</v>
      </c>
      <c r="D173" s="6504">
        <v>0</v>
      </c>
      <c r="E173" s="6504">
        <v>0</v>
      </c>
      <c r="F173" s="6504">
        <v>0</v>
      </c>
      <c r="G173" s="6504"/>
      <c r="H173" s="6504"/>
      <c r="I173" s="6504">
        <f>SUM(B173:H173)</f>
        <v>0</v>
      </c>
      <c r="J173" s="1474"/>
      <c r="M173" s="6618" t="s">
        <v>0</v>
      </c>
      <c r="N173" s="6619">
        <f>I177</f>
        <v>0</v>
      </c>
    </row>
    <row r="174" spans="1:20">
      <c r="A174" s="6617"/>
      <c r="B174" s="6440"/>
      <c r="C174" s="6440"/>
      <c r="D174" s="6440"/>
      <c r="E174" s="6440"/>
      <c r="F174" s="6440"/>
      <c r="G174" s="6449"/>
      <c r="H174" s="6449"/>
      <c r="I174" s="6532"/>
      <c r="J174" s="6450"/>
      <c r="M174" s="6540" t="s">
        <v>979</v>
      </c>
      <c r="N174" s="6541">
        <f>SUM(N169:N173)</f>
        <v>105.25</v>
      </c>
      <c r="O174" t="s">
        <v>0</v>
      </c>
      <c r="P174" s="46"/>
      <c r="Q174" s="46" t="s">
        <v>1058</v>
      </c>
      <c r="S174" s="21">
        <f>S166-S172</f>
        <v>139.46621621621622</v>
      </c>
      <c r="T174" t="s">
        <v>1059</v>
      </c>
    </row>
    <row r="175" spans="1:20">
      <c r="A175" s="1666">
        <v>4</v>
      </c>
      <c r="B175" s="6504"/>
      <c r="C175" s="6504"/>
      <c r="D175" s="6504"/>
      <c r="E175" s="6504"/>
      <c r="F175" s="6504"/>
      <c r="G175" s="6504"/>
      <c r="H175" s="6504"/>
      <c r="I175" s="6504"/>
      <c r="J175" s="1474"/>
      <c r="S175" s="21"/>
    </row>
    <row r="180" spans="1:21">
      <c r="A180" s="6617"/>
      <c r="B180" s="6440"/>
      <c r="C180" s="6440"/>
      <c r="D180" s="6440"/>
      <c r="E180" s="6440"/>
      <c r="F180" s="6440"/>
      <c r="G180" s="6449"/>
      <c r="H180" s="6449"/>
      <c r="I180" s="6532"/>
      <c r="J180" s="6450" t="s">
        <v>0</v>
      </c>
      <c r="S180" s="21"/>
    </row>
    <row r="181" spans="1:21">
      <c r="A181" s="1666" t="s">
        <v>0</v>
      </c>
      <c r="B181" s="6504"/>
      <c r="C181" s="6504"/>
      <c r="D181" s="6504"/>
      <c r="E181" s="6504"/>
      <c r="F181" s="6504"/>
      <c r="G181" s="6504"/>
      <c r="H181" s="6504"/>
      <c r="I181" s="6504">
        <f>SUM(B181:H181)</f>
        <v>0</v>
      </c>
      <c r="J181" s="1474"/>
      <c r="S181" s="21"/>
    </row>
    <row r="182" spans="1:21">
      <c r="A182" s="24" t="s">
        <v>871</v>
      </c>
      <c r="B182" s="24">
        <f t="shared" ref="B182:H182" si="7">SUM(B169,B171,B173,B175)</f>
        <v>17.75</v>
      </c>
      <c r="C182" s="24">
        <f t="shared" si="7"/>
        <v>17.75</v>
      </c>
      <c r="D182" s="24">
        <f t="shared" si="7"/>
        <v>17.75</v>
      </c>
      <c r="E182" s="24">
        <f t="shared" si="7"/>
        <v>9.25</v>
      </c>
      <c r="F182" s="24">
        <f t="shared" si="7"/>
        <v>10.25</v>
      </c>
      <c r="G182" s="24">
        <f t="shared" si="7"/>
        <v>10.5</v>
      </c>
      <c r="H182" s="24">
        <f t="shared" si="7"/>
        <v>10.5</v>
      </c>
      <c r="I182" s="24">
        <f>SUM(I169,I171,I173,I175,I177,I179,I181)</f>
        <v>105.25</v>
      </c>
      <c r="J182" s="26"/>
      <c r="O182" t="s">
        <v>1060</v>
      </c>
      <c r="P182">
        <f>I182</f>
        <v>105.25</v>
      </c>
      <c r="Q182" s="48" t="s">
        <v>1061</v>
      </c>
      <c r="S182" s="21">
        <f>S174</f>
        <v>139.46621621621622</v>
      </c>
      <c r="T182" t="s">
        <v>1062</v>
      </c>
      <c r="U182" s="57">
        <f>P182-S182</f>
        <v>-34.216216216216225</v>
      </c>
    </row>
    <row r="183" spans="1:21" ht="12.75">
      <c r="A183" s="5"/>
      <c r="B183" s="5"/>
      <c r="C183" s="5"/>
      <c r="D183" s="5"/>
      <c r="E183" s="5"/>
      <c r="F183" s="5"/>
      <c r="G183" s="6522" t="s">
        <v>973</v>
      </c>
      <c r="H183" s="6522" t="s">
        <v>974</v>
      </c>
      <c r="I183" s="6522" t="s">
        <v>975</v>
      </c>
    </row>
    <row r="184" spans="1:21">
      <c r="A184" s="5"/>
      <c r="B184" s="5"/>
      <c r="C184" s="5"/>
      <c r="D184" s="5"/>
      <c r="E184" s="5"/>
      <c r="F184" s="5"/>
      <c r="G184" s="6496">
        <f>I182</f>
        <v>105.25</v>
      </c>
      <c r="H184" s="6523">
        <f>SUM(G184*13/3)</f>
        <v>456.08333333333331</v>
      </c>
      <c r="I184" s="6496">
        <f>SUM(H184*12)</f>
        <v>5473</v>
      </c>
    </row>
    <row r="185" spans="1:21">
      <c r="A185" s="5"/>
      <c r="B185" s="5"/>
      <c r="C185" s="5"/>
      <c r="D185" s="5"/>
      <c r="E185" s="5"/>
      <c r="F185" s="5"/>
      <c r="G185" s="5"/>
      <c r="H185" s="23"/>
      <c r="I185" s="5"/>
    </row>
    <row r="186" spans="1:21">
      <c r="A186" s="5"/>
      <c r="B186" s="5"/>
      <c r="C186" s="5"/>
      <c r="D186" s="5"/>
      <c r="E186" s="5"/>
      <c r="F186" s="5"/>
      <c r="G186" s="5"/>
      <c r="H186" s="23"/>
      <c r="I186" s="5"/>
    </row>
    <row r="187" spans="1:21" ht="12.75">
      <c r="A187" s="1" t="s">
        <v>1063</v>
      </c>
      <c r="B187" s="5"/>
      <c r="C187" s="5"/>
      <c r="D187" s="5"/>
      <c r="E187" s="5"/>
      <c r="F187" s="5"/>
      <c r="O187">
        <v>37</v>
      </c>
      <c r="P187" t="s">
        <v>1027</v>
      </c>
      <c r="Q187">
        <v>4</v>
      </c>
      <c r="R187" t="s">
        <v>1028</v>
      </c>
      <c r="S187">
        <f>O187*Q187</f>
        <v>148</v>
      </c>
      <c r="T187" t="s">
        <v>1029</v>
      </c>
    </row>
    <row r="188" spans="1:21" ht="12.75">
      <c r="A188" s="6547" t="s">
        <v>1050</v>
      </c>
      <c r="B188" s="6442" t="s">
        <v>19</v>
      </c>
      <c r="C188" s="6443" t="s">
        <v>20</v>
      </c>
      <c r="D188" s="6443" t="s">
        <v>21</v>
      </c>
      <c r="E188" s="6443" t="s">
        <v>22</v>
      </c>
      <c r="F188" s="6443" t="s">
        <v>23</v>
      </c>
      <c r="G188" s="6443" t="s">
        <v>24</v>
      </c>
      <c r="H188" s="6444" t="s">
        <v>25</v>
      </c>
      <c r="I188" s="6445" t="s">
        <v>202</v>
      </c>
      <c r="J188" s="6446" t="s">
        <v>108</v>
      </c>
      <c r="M188" s="6527"/>
      <c r="N188" s="6528" t="s">
        <v>976</v>
      </c>
      <c r="O188" t="s">
        <v>0</v>
      </c>
    </row>
    <row r="189" spans="1:21">
      <c r="A189" s="6617"/>
      <c r="B189" s="6440" t="s">
        <v>220</v>
      </c>
      <c r="C189" s="6440" t="s">
        <v>220</v>
      </c>
      <c r="D189" s="6440" t="s">
        <v>10</v>
      </c>
      <c r="E189" s="6440" t="s">
        <v>10</v>
      </c>
      <c r="F189" s="6440" t="s">
        <v>10</v>
      </c>
      <c r="G189" s="6440" t="s">
        <v>10</v>
      </c>
      <c r="H189" s="6440" t="s">
        <v>10</v>
      </c>
      <c r="I189" s="6532"/>
      <c r="J189" s="6450"/>
      <c r="M189" s="6530"/>
      <c r="N189" s="6531" t="s">
        <v>977</v>
      </c>
      <c r="O189" t="s">
        <v>1032</v>
      </c>
      <c r="Q189">
        <f>N195</f>
        <v>102</v>
      </c>
    </row>
    <row r="190" spans="1:21">
      <c r="A190" s="1666" t="s">
        <v>1064</v>
      </c>
      <c r="B190" s="6504"/>
      <c r="C190" s="6504"/>
      <c r="D190" s="6504">
        <v>12</v>
      </c>
      <c r="E190" s="6504">
        <v>12</v>
      </c>
      <c r="F190" s="6504">
        <v>12</v>
      </c>
      <c r="G190" s="6504">
        <v>12</v>
      </c>
      <c r="H190" s="6504">
        <v>8</v>
      </c>
      <c r="I190" s="6504">
        <f>SUM(B190:H190)</f>
        <v>56</v>
      </c>
      <c r="J190" s="1474"/>
      <c r="M190" s="6530" t="s">
        <v>210</v>
      </c>
      <c r="N190" s="6531">
        <f>I190</f>
        <v>56</v>
      </c>
    </row>
    <row r="191" spans="1:21">
      <c r="A191" s="6617"/>
      <c r="B191" s="6440" t="s">
        <v>220</v>
      </c>
      <c r="C191" s="6440" t="s">
        <v>220</v>
      </c>
      <c r="D191" s="6440" t="s">
        <v>220</v>
      </c>
      <c r="E191" s="6440" t="s">
        <v>220</v>
      </c>
      <c r="F191" s="6440" t="s">
        <v>220</v>
      </c>
      <c r="G191" s="6440"/>
      <c r="H191" s="6440"/>
      <c r="I191" s="6532"/>
      <c r="J191" s="6450"/>
      <c r="M191" s="6530" t="s">
        <v>212</v>
      </c>
      <c r="N191" s="6531">
        <f>I192</f>
        <v>0</v>
      </c>
      <c r="O191">
        <f>Q189</f>
        <v>102</v>
      </c>
      <c r="P191" t="s">
        <v>1036</v>
      </c>
      <c r="Q191" s="21">
        <f>SUM(O191/37)</f>
        <v>2.7567567567567566</v>
      </c>
    </row>
    <row r="192" spans="1:21">
      <c r="A192" s="1666" t="s">
        <v>1065</v>
      </c>
      <c r="B192" s="6504"/>
      <c r="C192" s="6504"/>
      <c r="D192" s="6504"/>
      <c r="E192" s="6504"/>
      <c r="F192" s="6504"/>
      <c r="G192" s="6504"/>
      <c r="H192" s="6504"/>
      <c r="I192" s="6504">
        <f>SUM(B192:H192)</f>
        <v>0</v>
      </c>
      <c r="J192" s="1474"/>
      <c r="M192" s="6530" t="s">
        <v>214</v>
      </c>
      <c r="N192" s="6531">
        <f>I194</f>
        <v>46</v>
      </c>
    </row>
    <row r="193" spans="1:21">
      <c r="A193" s="6617"/>
      <c r="B193" s="6440" t="s">
        <v>10</v>
      </c>
      <c r="C193" s="6440" t="s">
        <v>10</v>
      </c>
      <c r="D193" s="6440" t="s">
        <v>220</v>
      </c>
      <c r="E193" s="6440" t="s">
        <v>220</v>
      </c>
      <c r="F193" s="6440" t="s">
        <v>220</v>
      </c>
      <c r="G193" s="6440" t="s">
        <v>10</v>
      </c>
      <c r="H193" s="6440" t="s">
        <v>10</v>
      </c>
      <c r="I193" s="6532"/>
      <c r="J193" s="6450"/>
      <c r="M193" s="6530" t="s">
        <v>218</v>
      </c>
      <c r="N193" s="6531">
        <v>0</v>
      </c>
      <c r="O193" s="21">
        <f>Q191</f>
        <v>2.7567567567567566</v>
      </c>
      <c r="P193" t="s">
        <v>1056</v>
      </c>
      <c r="S193" s="634">
        <f>SUM(O193*3)</f>
        <v>8.2702702702702702</v>
      </c>
      <c r="T193" t="s">
        <v>1057</v>
      </c>
    </row>
    <row r="194" spans="1:21">
      <c r="A194" s="1666" t="s">
        <v>1066</v>
      </c>
      <c r="B194" s="6504">
        <v>12</v>
      </c>
      <c r="C194" s="6504">
        <v>12</v>
      </c>
      <c r="D194" s="6504"/>
      <c r="E194" s="6504"/>
      <c r="F194" s="6504"/>
      <c r="G194" s="6504">
        <v>12</v>
      </c>
      <c r="H194" s="6504">
        <v>10</v>
      </c>
      <c r="I194" s="6504">
        <f>SUM(B194:H194)</f>
        <v>46</v>
      </c>
      <c r="J194" s="1474"/>
      <c r="M194" s="6618"/>
      <c r="N194" s="6619"/>
    </row>
    <row r="195" spans="1:21" ht="12.75">
      <c r="A195" s="6620"/>
      <c r="B195" s="6195" t="s">
        <v>10</v>
      </c>
      <c r="C195" s="6195" t="s">
        <v>10</v>
      </c>
      <c r="D195" s="6195" t="s">
        <v>10</v>
      </c>
      <c r="E195" s="6195" t="s">
        <v>10</v>
      </c>
      <c r="F195" s="6606" t="s">
        <v>10</v>
      </c>
      <c r="G195" s="6449"/>
      <c r="H195" s="6449"/>
      <c r="I195" s="6532"/>
      <c r="J195" s="6450"/>
      <c r="M195" s="6540" t="s">
        <v>979</v>
      </c>
      <c r="N195" s="6541">
        <f>SUM(N190:N194)</f>
        <v>102</v>
      </c>
      <c r="O195" t="s">
        <v>0</v>
      </c>
      <c r="P195" s="46"/>
      <c r="Q195" s="46" t="s">
        <v>1058</v>
      </c>
      <c r="S195" s="21">
        <f>S187-S193</f>
        <v>139.72972972972974</v>
      </c>
      <c r="T195" t="s">
        <v>1059</v>
      </c>
    </row>
    <row r="196" spans="1:21">
      <c r="A196" s="1666" t="s">
        <v>1067</v>
      </c>
      <c r="B196" s="1530">
        <v>6.75</v>
      </c>
      <c r="C196" s="1530">
        <v>7.75</v>
      </c>
      <c r="D196" s="1530">
        <v>7.75</v>
      </c>
      <c r="E196" s="1530">
        <v>7.75</v>
      </c>
      <c r="F196" s="1530">
        <v>7.5</v>
      </c>
      <c r="G196" s="6504"/>
      <c r="H196" s="6504"/>
      <c r="I196" s="6504">
        <f>SUM(B196:H196)</f>
        <v>37.5</v>
      </c>
      <c r="J196" s="1474"/>
      <c r="S196" s="21"/>
    </row>
    <row r="197" spans="1:21">
      <c r="A197" s="6617"/>
      <c r="B197" s="6440"/>
      <c r="C197" s="6440"/>
      <c r="D197" s="6440"/>
      <c r="E197" s="6449"/>
      <c r="F197" s="6449"/>
      <c r="G197" s="6449"/>
      <c r="H197" s="6449"/>
      <c r="I197" s="6532"/>
      <c r="J197" s="6450"/>
      <c r="S197" s="21"/>
    </row>
    <row r="198" spans="1:21">
      <c r="A198" s="6621" t="s">
        <v>1068</v>
      </c>
      <c r="C198" s="6504"/>
      <c r="D198" s="6504"/>
      <c r="E198" s="6504"/>
      <c r="F198" s="6504"/>
      <c r="G198" s="6504"/>
      <c r="H198" s="6504"/>
      <c r="I198" s="6504">
        <f>SUM(A198:H198)</f>
        <v>0</v>
      </c>
      <c r="J198" s="1474"/>
      <c r="S198" s="21"/>
    </row>
    <row r="199" spans="1:21">
      <c r="A199" s="6622"/>
      <c r="B199" s="6623"/>
      <c r="C199" s="6623"/>
      <c r="D199" s="6623"/>
      <c r="E199" s="6623"/>
      <c r="F199" s="6623"/>
      <c r="G199" s="6623"/>
      <c r="H199" s="6623"/>
      <c r="I199" s="6624"/>
      <c r="J199" s="6625"/>
      <c r="S199" s="21"/>
    </row>
    <row r="200" spans="1:21">
      <c r="A200" s="1667"/>
      <c r="B200" s="6626"/>
      <c r="C200" s="6626"/>
      <c r="D200" s="6626"/>
      <c r="E200" s="6626"/>
      <c r="F200" s="6626"/>
      <c r="G200" s="6626"/>
      <c r="H200" s="6626"/>
      <c r="I200" s="6626">
        <f>SUM(B200:H200)</f>
        <v>0</v>
      </c>
      <c r="J200" s="1480"/>
      <c r="S200" s="21"/>
    </row>
    <row r="201" spans="1:21">
      <c r="A201" s="6622"/>
      <c r="B201" s="6627"/>
      <c r="C201" s="6627"/>
      <c r="D201" s="6627"/>
      <c r="E201" s="6627"/>
      <c r="F201" s="6627"/>
      <c r="G201" s="6623"/>
      <c r="H201" s="6623"/>
      <c r="I201" s="6624"/>
      <c r="J201" s="6625" t="s">
        <v>0</v>
      </c>
      <c r="S201" s="21"/>
    </row>
    <row r="202" spans="1:21">
      <c r="A202" s="1667" t="s">
        <v>0</v>
      </c>
      <c r="B202" s="6626"/>
      <c r="C202" s="6626"/>
      <c r="D202" s="6626"/>
      <c r="E202" s="6626"/>
      <c r="F202" s="6626"/>
      <c r="G202" s="6626"/>
      <c r="H202" s="6626"/>
      <c r="I202" s="6626">
        <f>SUM(B202:H202)</f>
        <v>0</v>
      </c>
      <c r="J202" s="1480"/>
      <c r="S202" s="21"/>
    </row>
    <row r="203" spans="1:21">
      <c r="A203" s="24" t="s">
        <v>871</v>
      </c>
      <c r="B203" s="24">
        <f t="shared" ref="B203:H203" si="8">SUM(B190,B192,B194,B196)</f>
        <v>18.75</v>
      </c>
      <c r="C203" s="24">
        <f t="shared" si="8"/>
        <v>19.75</v>
      </c>
      <c r="D203" s="24">
        <f t="shared" si="8"/>
        <v>19.75</v>
      </c>
      <c r="E203" s="24">
        <f t="shared" si="8"/>
        <v>19.75</v>
      </c>
      <c r="F203" s="24">
        <f t="shared" si="8"/>
        <v>19.5</v>
      </c>
      <c r="G203" s="24">
        <f t="shared" si="8"/>
        <v>24</v>
      </c>
      <c r="H203" s="24">
        <f t="shared" si="8"/>
        <v>18</v>
      </c>
      <c r="I203" s="24">
        <f>SUM(I190,I192,I194,I196,I198,I200,I202)</f>
        <v>139.5</v>
      </c>
      <c r="J203" s="26"/>
      <c r="O203" t="s">
        <v>1060</v>
      </c>
      <c r="P203">
        <f>I203</f>
        <v>139.5</v>
      </c>
      <c r="Q203" s="48" t="s">
        <v>1061</v>
      </c>
      <c r="S203" s="21">
        <f>S195</f>
        <v>139.72972972972974</v>
      </c>
      <c r="T203" t="s">
        <v>1062</v>
      </c>
      <c r="U203" s="57">
        <f>P203-S203</f>
        <v>-0.22972972972974048</v>
      </c>
    </row>
    <row r="204" spans="1:21" ht="12.75">
      <c r="A204" s="5"/>
      <c r="B204" s="5"/>
      <c r="C204" s="5"/>
      <c r="D204" s="5"/>
      <c r="E204" s="5"/>
      <c r="F204" s="5"/>
      <c r="G204" s="6522" t="s">
        <v>973</v>
      </c>
      <c r="H204" s="6522" t="s">
        <v>974</v>
      </c>
      <c r="I204" s="6522" t="s">
        <v>975</v>
      </c>
    </row>
    <row r="205" spans="1:21">
      <c r="A205" s="5"/>
      <c r="B205" s="5"/>
      <c r="C205" s="5"/>
      <c r="D205" s="5"/>
      <c r="E205" s="5"/>
      <c r="F205" s="5"/>
      <c r="G205" s="6496">
        <f>I203</f>
        <v>139.5</v>
      </c>
      <c r="H205" s="6523">
        <f>SUM(G205*13/3)</f>
        <v>604.5</v>
      </c>
      <c r="I205" s="6496">
        <f>SUM(H205*12)</f>
        <v>7254</v>
      </c>
    </row>
    <row r="206" spans="1:21" ht="12.75">
      <c r="A206" s="1543" t="s">
        <v>949</v>
      </c>
      <c r="B206" s="5"/>
      <c r="C206" s="5"/>
      <c r="D206" s="5"/>
      <c r="E206" s="5"/>
      <c r="F206" s="18"/>
      <c r="G206" s="18"/>
      <c r="H206" s="18"/>
      <c r="I206" s="5"/>
      <c r="J206" s="6"/>
      <c r="K206" s="37"/>
    </row>
    <row r="207" spans="1:21" ht="12.75">
      <c r="A207" s="16" t="s">
        <v>950</v>
      </c>
      <c r="B207" s="6442" t="s">
        <v>19</v>
      </c>
      <c r="C207" s="6443" t="s">
        <v>20</v>
      </c>
      <c r="D207" s="6443" t="s">
        <v>21</v>
      </c>
      <c r="E207" s="6443" t="s">
        <v>22</v>
      </c>
      <c r="F207" s="6443" t="s">
        <v>23</v>
      </c>
      <c r="G207" s="6443" t="s">
        <v>24</v>
      </c>
      <c r="H207" s="6444" t="s">
        <v>25</v>
      </c>
      <c r="I207" s="6445" t="s">
        <v>202</v>
      </c>
      <c r="J207" s="6446" t="s">
        <v>108</v>
      </c>
      <c r="K207" s="5"/>
    </row>
    <row r="208" spans="1:21">
      <c r="A208" s="6447" t="s">
        <v>0</v>
      </c>
      <c r="B208" s="6448" t="s">
        <v>305</v>
      </c>
      <c r="C208" s="6448" t="s">
        <v>305</v>
      </c>
      <c r="D208" s="6448" t="s">
        <v>305</v>
      </c>
      <c r="E208" s="6448" t="s">
        <v>305</v>
      </c>
      <c r="F208" s="6449" t="s">
        <v>306</v>
      </c>
      <c r="G208" s="6449"/>
      <c r="H208" s="6449"/>
      <c r="I208" s="6176"/>
      <c r="J208" s="6450"/>
    </row>
    <row r="209" spans="1:10">
      <c r="A209" s="6451" t="s">
        <v>0</v>
      </c>
      <c r="B209" s="6452">
        <v>0</v>
      </c>
      <c r="C209" s="6452">
        <v>0</v>
      </c>
      <c r="D209" s="6452">
        <v>0</v>
      </c>
      <c r="E209" s="6452">
        <v>0</v>
      </c>
      <c r="F209" s="6452">
        <v>0</v>
      </c>
      <c r="G209" s="6504"/>
      <c r="H209" s="6504"/>
      <c r="I209" s="6452">
        <f>SUM(B209:H209)</f>
        <v>0</v>
      </c>
      <c r="J209" s="1474"/>
    </row>
    <row r="210" spans="1:10">
      <c r="A210" s="6447"/>
      <c r="B210" s="6448" t="s">
        <v>305</v>
      </c>
      <c r="C210" s="6448" t="s">
        <v>305</v>
      </c>
      <c r="D210" s="6448" t="s">
        <v>305</v>
      </c>
      <c r="E210" s="6448" t="s">
        <v>305</v>
      </c>
      <c r="F210" s="6449" t="s">
        <v>306</v>
      </c>
      <c r="G210" s="6449"/>
      <c r="H210" s="6449"/>
      <c r="I210" s="6176"/>
      <c r="J210" s="6450"/>
    </row>
    <row r="211" spans="1:10">
      <c r="A211" s="6451" t="s">
        <v>0</v>
      </c>
      <c r="B211" s="6452">
        <v>0</v>
      </c>
      <c r="C211" s="6452">
        <v>0</v>
      </c>
      <c r="D211" s="6452">
        <v>0</v>
      </c>
      <c r="E211" s="6452">
        <v>0</v>
      </c>
      <c r="F211" s="6452">
        <v>0</v>
      </c>
      <c r="G211" s="6504"/>
      <c r="H211" s="6504"/>
      <c r="I211" s="6452">
        <f>SUM(B211:H211)</f>
        <v>0</v>
      </c>
      <c r="J211" s="1474"/>
    </row>
    <row r="212" spans="1:10">
      <c r="A212" s="6447"/>
      <c r="B212" s="6448" t="s">
        <v>305</v>
      </c>
      <c r="C212" s="6448" t="s">
        <v>305</v>
      </c>
      <c r="D212" s="6448" t="s">
        <v>305</v>
      </c>
      <c r="E212" s="6448" t="s">
        <v>305</v>
      </c>
      <c r="F212" s="6449" t="s">
        <v>306</v>
      </c>
      <c r="G212" s="6449"/>
      <c r="H212" s="6449"/>
      <c r="I212" s="6176"/>
      <c r="J212" s="6450"/>
    </row>
    <row r="213" spans="1:10">
      <c r="A213" s="6451"/>
      <c r="B213" s="6452"/>
      <c r="C213" s="6452"/>
      <c r="D213" s="6452"/>
      <c r="E213" s="6452"/>
      <c r="F213" s="6452"/>
      <c r="G213" s="6504"/>
      <c r="H213" s="6504"/>
      <c r="I213" s="6452">
        <f>SUM(B213:H213)</f>
        <v>0</v>
      </c>
      <c r="J213" s="1474"/>
    </row>
    <row r="214" spans="1:10">
      <c r="A214" s="6465" t="s">
        <v>871</v>
      </c>
      <c r="B214" s="6465">
        <f t="shared" ref="B214:I214" si="9">SUM(B209,B211,B213)</f>
        <v>0</v>
      </c>
      <c r="C214" s="6465">
        <f t="shared" si="9"/>
        <v>0</v>
      </c>
      <c r="D214" s="6465">
        <f t="shared" si="9"/>
        <v>0</v>
      </c>
      <c r="E214" s="6465">
        <f t="shared" si="9"/>
        <v>0</v>
      </c>
      <c r="F214" s="6465">
        <f t="shared" si="9"/>
        <v>0</v>
      </c>
      <c r="G214" s="6465">
        <f t="shared" si="9"/>
        <v>0</v>
      </c>
      <c r="H214" s="6465">
        <f t="shared" si="9"/>
        <v>0</v>
      </c>
      <c r="I214" s="6465">
        <f t="shared" si="9"/>
        <v>0</v>
      </c>
      <c r="J214" s="6474"/>
    </row>
    <row r="215" spans="1:10" ht="12.75">
      <c r="A215" s="5"/>
      <c r="B215" s="5"/>
      <c r="C215" s="5"/>
      <c r="D215" s="5"/>
      <c r="E215" s="5"/>
      <c r="F215" s="5"/>
      <c r="G215" s="6522" t="s">
        <v>973</v>
      </c>
      <c r="H215" s="6522" t="s">
        <v>974</v>
      </c>
      <c r="I215" s="6522" t="s">
        <v>975</v>
      </c>
      <c r="J215" s="6"/>
    </row>
    <row r="216" spans="1:10">
      <c r="A216" s="5"/>
      <c r="B216" s="5"/>
      <c r="C216" s="5"/>
      <c r="D216" s="5"/>
      <c r="E216" s="5"/>
      <c r="F216" s="18"/>
      <c r="G216" s="6496">
        <f>I214</f>
        <v>0</v>
      </c>
      <c r="H216" s="6523">
        <f>SUM(G216*13/3)</f>
        <v>0</v>
      </c>
      <c r="I216" s="6496">
        <f>SUM(H216*12)</f>
        <v>0</v>
      </c>
      <c r="J216" s="6"/>
    </row>
    <row r="217" spans="1:10">
      <c r="A217" s="5"/>
      <c r="B217" s="5"/>
      <c r="C217" s="5"/>
      <c r="D217" s="5"/>
      <c r="E217" s="5"/>
      <c r="F217" s="18"/>
      <c r="G217" s="5"/>
      <c r="H217" s="23"/>
      <c r="I217" s="5"/>
      <c r="J217" s="6"/>
    </row>
    <row r="218" spans="1:10">
      <c r="A218" s="5"/>
      <c r="B218" s="5"/>
      <c r="C218" s="5"/>
      <c r="D218" s="5"/>
      <c r="E218" s="5"/>
      <c r="F218" s="18"/>
      <c r="G218" s="18"/>
      <c r="H218" s="18"/>
      <c r="I218" s="5"/>
      <c r="J218" s="6"/>
    </row>
    <row r="219" spans="1:10" ht="12.75">
      <c r="A219" s="6628"/>
      <c r="B219" s="6508" t="s">
        <v>19</v>
      </c>
      <c r="C219" s="3200" t="s">
        <v>20</v>
      </c>
      <c r="D219" s="3200" t="s">
        <v>21</v>
      </c>
      <c r="E219" s="3200" t="s">
        <v>22</v>
      </c>
      <c r="F219" s="3200" t="s">
        <v>23</v>
      </c>
      <c r="G219" s="3200" t="s">
        <v>24</v>
      </c>
      <c r="H219" s="6509" t="s">
        <v>25</v>
      </c>
      <c r="I219" s="6510" t="s">
        <v>959</v>
      </c>
      <c r="J219" s="18" t="s">
        <v>0</v>
      </c>
    </row>
    <row r="220" spans="1:10">
      <c r="A220" s="6530" t="s">
        <v>960</v>
      </c>
      <c r="B220" s="635">
        <f t="shared" ref="B220:I220" si="10">SUM(B4,B8,B25,B34,B70,B114,B117,B123,B132,B144,B162,B182,B203,B214)</f>
        <v>267.25</v>
      </c>
      <c r="C220" s="635">
        <f t="shared" si="10"/>
        <v>268.25</v>
      </c>
      <c r="D220" s="635">
        <f t="shared" si="10"/>
        <v>268.25</v>
      </c>
      <c r="E220" s="635">
        <f t="shared" si="10"/>
        <v>259.75</v>
      </c>
      <c r="F220" s="635">
        <f t="shared" si="10"/>
        <v>232.75</v>
      </c>
      <c r="G220" s="635">
        <f t="shared" si="10"/>
        <v>127.5</v>
      </c>
      <c r="H220" s="635">
        <f t="shared" si="10"/>
        <v>124.5</v>
      </c>
      <c r="I220" s="635">
        <f t="shared" si="10"/>
        <v>1526.75</v>
      </c>
      <c r="J220" s="5" t="s">
        <v>0</v>
      </c>
    </row>
    <row r="221" spans="1:10">
      <c r="A221" s="6540" t="s">
        <v>962</v>
      </c>
      <c r="B221" s="1529">
        <f t="shared" ref="B221:I221" si="11">SUM(B220*52)</f>
        <v>13897</v>
      </c>
      <c r="C221" s="1529">
        <f t="shared" si="11"/>
        <v>13949</v>
      </c>
      <c r="D221" s="1529">
        <f t="shared" si="11"/>
        <v>13949</v>
      </c>
      <c r="E221" s="1529">
        <f t="shared" si="11"/>
        <v>13507</v>
      </c>
      <c r="F221" s="1529">
        <f t="shared" si="11"/>
        <v>12103</v>
      </c>
      <c r="G221" s="1529">
        <f t="shared" si="11"/>
        <v>6630</v>
      </c>
      <c r="H221" s="1529">
        <f t="shared" si="11"/>
        <v>6474</v>
      </c>
      <c r="I221" s="1529">
        <f t="shared" si="11"/>
        <v>79391</v>
      </c>
    </row>
    <row r="222" spans="1:10">
      <c r="A222" t="s">
        <v>1069</v>
      </c>
      <c r="I222" s="21"/>
      <c r="J222" s="58">
        <f>SUM(I221/12)</f>
        <v>6615.916666666667</v>
      </c>
    </row>
    <row r="223" spans="1:10">
      <c r="A223" s="6629" t="s">
        <v>1070</v>
      </c>
      <c r="B223" s="6457"/>
      <c r="C223" s="6457"/>
      <c r="D223" s="6457"/>
      <c r="E223" s="6448">
        <v>56</v>
      </c>
      <c r="F223" s="6457"/>
      <c r="G223" s="6457"/>
      <c r="H223" s="6176"/>
      <c r="I223" s="6630">
        <f>SUM(E223)*26</f>
        <v>1456</v>
      </c>
    </row>
    <row r="224" spans="1:10">
      <c r="A224" s="6631" t="s">
        <v>1071</v>
      </c>
      <c r="B224" s="6240"/>
      <c r="C224" s="6240"/>
      <c r="D224" s="6240"/>
      <c r="E224" s="6240"/>
      <c r="F224" s="6240"/>
      <c r="G224" s="6240"/>
      <c r="H224" s="6240"/>
      <c r="I224" s="6632">
        <f>SUM(I223*2)</f>
        <v>2912</v>
      </c>
    </row>
    <row r="225" spans="1:10">
      <c r="A225" s="6530" t="s">
        <v>965</v>
      </c>
      <c r="B225" s="6511"/>
      <c r="C225" s="6633"/>
      <c r="D225" s="6240"/>
      <c r="E225" s="6240"/>
      <c r="F225" s="6240"/>
      <c r="G225" s="6240"/>
      <c r="H225" s="6240"/>
      <c r="I225" s="6632">
        <f>48*12</f>
        <v>576</v>
      </c>
    </row>
    <row r="226" spans="1:10">
      <c r="A226" s="6634" t="s">
        <v>959</v>
      </c>
      <c r="B226" s="6463"/>
      <c r="C226" s="6463"/>
      <c r="D226" s="6463"/>
      <c r="E226" s="6463"/>
      <c r="F226" s="6463"/>
      <c r="G226" s="6463"/>
      <c r="H226" s="6463"/>
      <c r="I226" s="6635">
        <f>SUM(I223:I225)</f>
        <v>4944</v>
      </c>
    </row>
    <row r="227" spans="1:10">
      <c r="I227" s="21"/>
    </row>
    <row r="228" spans="1:10">
      <c r="I228" s="21"/>
    </row>
    <row r="229" spans="1:10">
      <c r="A229" s="6515" t="s">
        <v>966</v>
      </c>
      <c r="B229" s="6515"/>
      <c r="C229" s="6515"/>
      <c r="D229" s="6515"/>
      <c r="E229" s="6515"/>
      <c r="F229" s="6515"/>
      <c r="G229" s="6515"/>
      <c r="H229" s="6515"/>
      <c r="I229" s="6517">
        <f>SUM(I221,I226)</f>
        <v>84335</v>
      </c>
      <c r="J229" t="s">
        <v>1072</v>
      </c>
    </row>
    <row r="233" spans="1:10" ht="12.75">
      <c r="A233" s="1" t="s">
        <v>1073</v>
      </c>
      <c r="B233" s="5"/>
      <c r="C233" s="5"/>
      <c r="D233" s="5"/>
      <c r="E233" s="5"/>
      <c r="F233" s="18"/>
      <c r="G233" s="18"/>
      <c r="H233" s="18"/>
      <c r="I233" s="5"/>
      <c r="J233" s="6"/>
    </row>
    <row r="234" spans="1:10" ht="12.75">
      <c r="A234" s="6467" t="s">
        <v>1074</v>
      </c>
      <c r="B234" s="6468" t="s">
        <v>19</v>
      </c>
      <c r="C234" s="3200" t="s">
        <v>20</v>
      </c>
      <c r="D234" s="3200" t="s">
        <v>21</v>
      </c>
      <c r="E234" s="3200" t="s">
        <v>22</v>
      </c>
      <c r="F234" s="3200" t="s">
        <v>23</v>
      </c>
      <c r="G234" s="3200" t="s">
        <v>24</v>
      </c>
      <c r="H234" s="6469" t="s">
        <v>25</v>
      </c>
      <c r="I234" s="6470" t="s">
        <v>202</v>
      </c>
      <c r="J234" s="6471" t="s">
        <v>108</v>
      </c>
    </row>
    <row r="235" spans="1:10" ht="12.75">
      <c r="A235" s="6636">
        <v>3700</v>
      </c>
      <c r="B235" s="6448" t="s">
        <v>1075</v>
      </c>
      <c r="C235" s="6448" t="s">
        <v>1075</v>
      </c>
      <c r="D235" s="6448" t="s">
        <v>1075</v>
      </c>
      <c r="E235" s="6448" t="s">
        <v>1075</v>
      </c>
      <c r="F235" s="6449" t="s">
        <v>1076</v>
      </c>
      <c r="G235" s="6439"/>
      <c r="H235" s="6182" t="s">
        <v>0</v>
      </c>
      <c r="I235" s="6176"/>
      <c r="J235" s="6450" t="s">
        <v>0</v>
      </c>
    </row>
    <row r="236" spans="1:10" ht="12.75">
      <c r="A236" s="6637"/>
      <c r="B236" s="6452"/>
      <c r="C236" s="6452"/>
      <c r="D236" s="6452"/>
      <c r="E236" s="6452"/>
      <c r="F236" s="6504"/>
      <c r="G236" s="1529"/>
      <c r="H236" s="1556" t="s">
        <v>0</v>
      </c>
      <c r="I236" s="6452">
        <f>SUM(B236:H236)</f>
        <v>0</v>
      </c>
      <c r="J236" s="1474"/>
    </row>
    <row r="237" spans="1:10" ht="12.75">
      <c r="A237" s="636">
        <v>3700</v>
      </c>
      <c r="B237" s="623" t="s">
        <v>305</v>
      </c>
      <c r="C237" s="623" t="s">
        <v>305</v>
      </c>
      <c r="D237" s="623" t="s">
        <v>305</v>
      </c>
      <c r="E237" s="623" t="s">
        <v>305</v>
      </c>
      <c r="F237" s="624" t="s">
        <v>306</v>
      </c>
      <c r="G237" s="637"/>
      <c r="H237" s="638" t="s">
        <v>0</v>
      </c>
      <c r="I237" s="549"/>
      <c r="J237" s="570" t="s">
        <v>0</v>
      </c>
    </row>
    <row r="238" spans="1:10">
      <c r="A238" s="6638" t="s">
        <v>316</v>
      </c>
      <c r="B238" s="6452">
        <v>7.75</v>
      </c>
      <c r="C238" s="6452">
        <v>7.75</v>
      </c>
      <c r="D238" s="6452">
        <v>7.75</v>
      </c>
      <c r="E238" s="6452">
        <v>7.75</v>
      </c>
      <c r="F238" s="6504">
        <v>6</v>
      </c>
      <c r="G238" s="1529"/>
      <c r="H238" s="1556" t="s">
        <v>0</v>
      </c>
      <c r="I238" s="6452">
        <f>SUM(B238:H238)</f>
        <v>37</v>
      </c>
      <c r="J238" s="1474"/>
    </row>
    <row r="239" spans="1:10" ht="12.75">
      <c r="A239" s="6636">
        <v>3701</v>
      </c>
      <c r="B239" s="6448" t="s">
        <v>305</v>
      </c>
      <c r="C239" s="6448" t="s">
        <v>305</v>
      </c>
      <c r="D239" s="6448" t="s">
        <v>305</v>
      </c>
      <c r="E239" s="6448" t="s">
        <v>305</v>
      </c>
      <c r="F239" s="6449" t="s">
        <v>306</v>
      </c>
      <c r="G239" s="6439"/>
      <c r="H239" s="6182" t="s">
        <v>0</v>
      </c>
      <c r="I239" s="6176"/>
      <c r="J239" s="6450" t="s">
        <v>0</v>
      </c>
    </row>
    <row r="240" spans="1:10" ht="12.75">
      <c r="A240" s="6637" t="s">
        <v>1077</v>
      </c>
      <c r="B240" s="6452">
        <v>7.75</v>
      </c>
      <c r="C240" s="6452">
        <v>7.75</v>
      </c>
      <c r="D240" s="6452">
        <v>7.75</v>
      </c>
      <c r="E240" s="6452">
        <v>7.75</v>
      </c>
      <c r="F240" s="6504">
        <v>6</v>
      </c>
      <c r="G240" s="1529"/>
      <c r="H240" s="1556" t="s">
        <v>0</v>
      </c>
      <c r="I240" s="6452">
        <f>SUM(B240:H240)</f>
        <v>37</v>
      </c>
      <c r="J240" s="1474"/>
    </row>
    <row r="241" spans="1:10" ht="12.75">
      <c r="A241" s="6636">
        <v>3701</v>
      </c>
      <c r="B241" s="6448" t="s">
        <v>305</v>
      </c>
      <c r="C241" s="6448" t="s">
        <v>305</v>
      </c>
      <c r="D241" s="6448" t="s">
        <v>305</v>
      </c>
      <c r="E241" s="6448" t="s">
        <v>305</v>
      </c>
      <c r="F241" s="6449" t="s">
        <v>306</v>
      </c>
      <c r="G241" s="6439"/>
      <c r="H241" s="6182" t="s">
        <v>0</v>
      </c>
      <c r="I241" s="6176"/>
      <c r="J241" s="6450" t="s">
        <v>0</v>
      </c>
    </row>
    <row r="242" spans="1:10" ht="12.75">
      <c r="A242" s="6637" t="s">
        <v>1078</v>
      </c>
      <c r="B242" s="6452">
        <v>7.75</v>
      </c>
      <c r="C242" s="6452">
        <v>7.75</v>
      </c>
      <c r="D242" s="6452">
        <v>7.75</v>
      </c>
      <c r="E242" s="6452">
        <v>7.75</v>
      </c>
      <c r="F242" s="6504">
        <v>6</v>
      </c>
      <c r="G242" s="1529"/>
      <c r="H242" s="1556" t="s">
        <v>0</v>
      </c>
      <c r="I242" s="6452">
        <f>SUM(B242:H242)</f>
        <v>37</v>
      </c>
      <c r="J242" s="1474"/>
    </row>
    <row r="243" spans="1:10" ht="12.75">
      <c r="A243" s="636">
        <v>3701</v>
      </c>
      <c r="B243" s="623" t="s">
        <v>305</v>
      </c>
      <c r="C243" s="623" t="s">
        <v>305</v>
      </c>
      <c r="D243" s="623" t="s">
        <v>305</v>
      </c>
      <c r="E243" s="623" t="s">
        <v>305</v>
      </c>
      <c r="F243" s="624" t="s">
        <v>306</v>
      </c>
      <c r="G243" s="637"/>
      <c r="H243" s="638" t="s">
        <v>0</v>
      </c>
      <c r="I243" s="549"/>
      <c r="J243" s="570" t="s">
        <v>0</v>
      </c>
    </row>
    <row r="244" spans="1:10">
      <c r="A244" s="6638" t="s">
        <v>817</v>
      </c>
      <c r="B244" s="6452">
        <v>7.75</v>
      </c>
      <c r="C244" s="6452">
        <v>7.75</v>
      </c>
      <c r="D244" s="6452">
        <v>7.75</v>
      </c>
      <c r="E244" s="6452">
        <v>7.75</v>
      </c>
      <c r="F244" s="6504">
        <v>6</v>
      </c>
      <c r="G244" s="1529"/>
      <c r="H244" s="1556" t="s">
        <v>0</v>
      </c>
      <c r="I244" s="6452">
        <f>SUM(B244:H244)</f>
        <v>37</v>
      </c>
      <c r="J244" s="1474"/>
    </row>
    <row r="245" spans="1:10" ht="12.75">
      <c r="A245" s="6639">
        <v>3701</v>
      </c>
      <c r="B245" s="6448" t="s">
        <v>305</v>
      </c>
      <c r="C245" s="6448" t="s">
        <v>305</v>
      </c>
      <c r="D245" s="6448" t="s">
        <v>305</v>
      </c>
      <c r="E245" s="6448" t="s">
        <v>305</v>
      </c>
      <c r="F245" s="6449" t="s">
        <v>306</v>
      </c>
      <c r="G245" s="6439"/>
      <c r="H245" s="6182" t="s">
        <v>0</v>
      </c>
      <c r="I245" s="6176"/>
      <c r="J245" s="6450" t="s">
        <v>0</v>
      </c>
    </row>
    <row r="246" spans="1:10">
      <c r="A246" s="6638"/>
      <c r="B246" s="6452">
        <v>7.75</v>
      </c>
      <c r="C246" s="6452">
        <v>7.75</v>
      </c>
      <c r="D246" s="6452">
        <v>7.75</v>
      </c>
      <c r="E246" s="6452">
        <v>7.75</v>
      </c>
      <c r="F246" s="6504">
        <v>6</v>
      </c>
      <c r="G246" s="1529"/>
      <c r="H246" s="1556" t="s">
        <v>0</v>
      </c>
      <c r="I246" s="6452">
        <f>SUM(B246:H246)</f>
        <v>37</v>
      </c>
      <c r="J246" s="1474"/>
    </row>
    <row r="247" spans="1:10" ht="12.75">
      <c r="A247" s="6639">
        <v>3701</v>
      </c>
      <c r="B247" s="6448" t="s">
        <v>305</v>
      </c>
      <c r="C247" s="6448" t="s">
        <v>305</v>
      </c>
      <c r="D247" s="6448" t="s">
        <v>305</v>
      </c>
      <c r="E247" s="6448" t="s">
        <v>305</v>
      </c>
      <c r="F247" s="6449" t="s">
        <v>306</v>
      </c>
      <c r="G247" s="6439"/>
      <c r="H247" s="6182" t="s">
        <v>0</v>
      </c>
      <c r="I247" s="6176"/>
      <c r="J247" s="6450" t="s">
        <v>0</v>
      </c>
    </row>
    <row r="248" spans="1:10">
      <c r="A248" s="6638" t="s">
        <v>1079</v>
      </c>
      <c r="B248" s="6452">
        <v>7.75</v>
      </c>
      <c r="C248" s="6452">
        <v>7.75</v>
      </c>
      <c r="D248" s="6452">
        <v>7.75</v>
      </c>
      <c r="E248" s="6452">
        <v>7.75</v>
      </c>
      <c r="F248" s="6504">
        <v>6</v>
      </c>
      <c r="G248" s="1529"/>
      <c r="H248" s="1556" t="s">
        <v>0</v>
      </c>
      <c r="I248" s="6452">
        <f>SUM(B248:H248)</f>
        <v>37</v>
      </c>
      <c r="J248" s="1474"/>
    </row>
    <row r="249" spans="1:10" ht="12.75">
      <c r="A249" s="6639">
        <v>3701</v>
      </c>
      <c r="B249" s="6448" t="s">
        <v>305</v>
      </c>
      <c r="C249" s="6448" t="s">
        <v>305</v>
      </c>
      <c r="D249" s="6448" t="s">
        <v>305</v>
      </c>
      <c r="E249" s="6448" t="s">
        <v>305</v>
      </c>
      <c r="F249" s="6449" t="s">
        <v>306</v>
      </c>
      <c r="G249" s="6439"/>
      <c r="H249" s="6182" t="s">
        <v>0</v>
      </c>
      <c r="I249" s="6176"/>
      <c r="J249" s="6450" t="s">
        <v>0</v>
      </c>
    </row>
    <row r="250" spans="1:10">
      <c r="A250" s="6638" t="s">
        <v>809</v>
      </c>
      <c r="B250" s="6452">
        <v>7.75</v>
      </c>
      <c r="C250" s="6452">
        <v>7.75</v>
      </c>
      <c r="D250" s="6452">
        <v>7.75</v>
      </c>
      <c r="E250" s="6452">
        <v>7.75</v>
      </c>
      <c r="F250" s="6504">
        <v>6</v>
      </c>
      <c r="G250" s="1529"/>
      <c r="H250" s="1556" t="s">
        <v>0</v>
      </c>
      <c r="I250" s="6452">
        <f>SUM(B250:H250)</f>
        <v>37</v>
      </c>
      <c r="J250" s="1474"/>
    </row>
    <row r="251" spans="1:10" ht="12.75">
      <c r="A251" s="6639">
        <v>3701</v>
      </c>
      <c r="B251" s="6448" t="s">
        <v>305</v>
      </c>
      <c r="C251" s="6448" t="s">
        <v>305</v>
      </c>
      <c r="D251" s="6448" t="s">
        <v>305</v>
      </c>
      <c r="E251" s="6448" t="s">
        <v>305</v>
      </c>
      <c r="F251" s="6449" t="s">
        <v>306</v>
      </c>
      <c r="G251" s="6439"/>
      <c r="H251" s="6182" t="s">
        <v>0</v>
      </c>
      <c r="I251" s="6176"/>
      <c r="J251" s="6450" t="s">
        <v>0</v>
      </c>
    </row>
    <row r="252" spans="1:10">
      <c r="A252" s="6638" t="s">
        <v>321</v>
      </c>
      <c r="B252" s="6452">
        <v>7.75</v>
      </c>
      <c r="C252" s="6452">
        <v>7.75</v>
      </c>
      <c r="D252" s="6452">
        <v>7.75</v>
      </c>
      <c r="E252" s="6452">
        <v>7.75</v>
      </c>
      <c r="F252" s="6504">
        <v>6</v>
      </c>
      <c r="G252" s="1529"/>
      <c r="H252" s="1556" t="s">
        <v>0</v>
      </c>
      <c r="I252" s="6452">
        <f>SUM(B252:H252)</f>
        <v>37</v>
      </c>
      <c r="J252" s="1474"/>
    </row>
    <row r="253" spans="1:10" ht="12.75">
      <c r="A253" s="6639">
        <v>3701</v>
      </c>
      <c r="B253" s="6448" t="s">
        <v>305</v>
      </c>
      <c r="C253" s="6448" t="s">
        <v>305</v>
      </c>
      <c r="D253" s="6448" t="s">
        <v>305</v>
      </c>
      <c r="E253" s="6448" t="s">
        <v>305</v>
      </c>
      <c r="F253" s="6449" t="s">
        <v>306</v>
      </c>
      <c r="G253" s="6439"/>
      <c r="H253" s="6182" t="s">
        <v>0</v>
      </c>
      <c r="I253" s="6176"/>
      <c r="J253" s="6450" t="s">
        <v>0</v>
      </c>
    </row>
    <row r="254" spans="1:10">
      <c r="A254" s="6638" t="s">
        <v>1080</v>
      </c>
      <c r="B254" s="6452">
        <v>7.75</v>
      </c>
      <c r="C254" s="6452">
        <v>7.75</v>
      </c>
      <c r="D254" s="6452">
        <v>7.75</v>
      </c>
      <c r="E254" s="6452">
        <v>7.75</v>
      </c>
      <c r="F254" s="6504">
        <v>6</v>
      </c>
      <c r="G254" s="1529"/>
      <c r="H254" s="1556" t="s">
        <v>0</v>
      </c>
      <c r="I254" s="6452">
        <f>SUM(B254:H254)</f>
        <v>37</v>
      </c>
      <c r="J254" s="1474"/>
    </row>
    <row r="255" spans="1:10" ht="12.75">
      <c r="A255" s="6639">
        <v>3701</v>
      </c>
      <c r="B255" s="6448" t="s">
        <v>305</v>
      </c>
      <c r="C255" s="6448" t="s">
        <v>305</v>
      </c>
      <c r="D255" s="6448" t="s">
        <v>305</v>
      </c>
      <c r="E255" s="6448" t="s">
        <v>305</v>
      </c>
      <c r="F255" s="6449" t="s">
        <v>306</v>
      </c>
      <c r="G255" s="6439"/>
      <c r="H255" s="6182" t="s">
        <v>0</v>
      </c>
      <c r="I255" s="6176"/>
      <c r="J255" s="6450" t="s">
        <v>0</v>
      </c>
    </row>
    <row r="256" spans="1:10">
      <c r="A256" s="6638" t="s">
        <v>1081</v>
      </c>
      <c r="B256" s="6452">
        <v>7.75</v>
      </c>
      <c r="C256" s="6452">
        <v>7.75</v>
      </c>
      <c r="D256" s="6452">
        <v>7.75</v>
      </c>
      <c r="E256" s="6452">
        <v>7.75</v>
      </c>
      <c r="F256" s="6504">
        <v>6</v>
      </c>
      <c r="G256" s="1529"/>
      <c r="H256" s="1556" t="s">
        <v>0</v>
      </c>
      <c r="I256" s="6452">
        <f>SUM(B256:H256)</f>
        <v>37</v>
      </c>
      <c r="J256" s="1474"/>
    </row>
    <row r="257" spans="1:10" ht="12.75">
      <c r="A257" s="6639">
        <v>3701</v>
      </c>
      <c r="B257" s="6448" t="s">
        <v>305</v>
      </c>
      <c r="C257" s="6448" t="s">
        <v>305</v>
      </c>
      <c r="D257" s="6448" t="s">
        <v>305</v>
      </c>
      <c r="E257" s="6448" t="s">
        <v>305</v>
      </c>
      <c r="F257" s="6449" t="s">
        <v>306</v>
      </c>
      <c r="G257" s="6439"/>
      <c r="H257" s="6182" t="s">
        <v>0</v>
      </c>
      <c r="I257" s="6176"/>
      <c r="J257" s="6450" t="s">
        <v>0</v>
      </c>
    </row>
    <row r="258" spans="1:10">
      <c r="A258" s="6638" t="s">
        <v>1082</v>
      </c>
      <c r="B258" s="6452">
        <v>7.75</v>
      </c>
      <c r="C258" s="6452">
        <v>7.75</v>
      </c>
      <c r="D258" s="6452">
        <v>7.75</v>
      </c>
      <c r="E258" s="6452">
        <v>7.75</v>
      </c>
      <c r="F258" s="6504">
        <v>6</v>
      </c>
      <c r="G258" s="1529"/>
      <c r="H258" s="1556" t="s">
        <v>0</v>
      </c>
      <c r="I258" s="6452">
        <f>SUM(B258:H258)</f>
        <v>37</v>
      </c>
      <c r="J258" s="1474"/>
    </row>
    <row r="259" spans="1:10" ht="12.75">
      <c r="A259" s="6639">
        <v>3701</v>
      </c>
      <c r="B259" s="6448" t="s">
        <v>305</v>
      </c>
      <c r="C259" s="6448" t="s">
        <v>305</v>
      </c>
      <c r="D259" s="6448" t="s">
        <v>305</v>
      </c>
      <c r="E259" s="6448" t="s">
        <v>305</v>
      </c>
      <c r="F259" s="6449" t="s">
        <v>306</v>
      </c>
      <c r="G259" s="6439"/>
      <c r="H259" s="6182" t="s">
        <v>0</v>
      </c>
      <c r="I259" s="6176"/>
      <c r="J259" s="6450" t="s">
        <v>0</v>
      </c>
    </row>
    <row r="260" spans="1:10">
      <c r="A260" s="6638" t="s">
        <v>1083</v>
      </c>
      <c r="B260" s="6452">
        <v>7.75</v>
      </c>
      <c r="C260" s="6452">
        <v>7.75</v>
      </c>
      <c r="D260" s="6452">
        <v>7.75</v>
      </c>
      <c r="E260" s="6452">
        <v>7.75</v>
      </c>
      <c r="F260" s="6504">
        <v>6</v>
      </c>
      <c r="G260" s="1529"/>
      <c r="H260" s="1556" t="s">
        <v>0</v>
      </c>
      <c r="I260" s="6452">
        <f>SUM(B260:H260)</f>
        <v>37</v>
      </c>
      <c r="J260" s="1474"/>
    </row>
    <row r="261" spans="1:10" ht="12.75">
      <c r="A261" s="6639">
        <v>3701</v>
      </c>
      <c r="B261" s="6448" t="s">
        <v>305</v>
      </c>
      <c r="C261" s="6448" t="s">
        <v>305</v>
      </c>
      <c r="D261" s="6448" t="s">
        <v>305</v>
      </c>
      <c r="E261" s="6448" t="s">
        <v>305</v>
      </c>
      <c r="F261" s="6449" t="s">
        <v>306</v>
      </c>
      <c r="G261" s="6439"/>
      <c r="H261" s="6182" t="s">
        <v>0</v>
      </c>
      <c r="I261" s="6176"/>
      <c r="J261" s="6450" t="s">
        <v>0</v>
      </c>
    </row>
    <row r="262" spans="1:10">
      <c r="A262" s="6638"/>
      <c r="B262" s="6452"/>
      <c r="C262" s="6452"/>
      <c r="D262" s="6452"/>
      <c r="E262" s="6452"/>
      <c r="F262" s="6504"/>
      <c r="G262" s="1529"/>
      <c r="H262" s="1556" t="s">
        <v>0</v>
      </c>
      <c r="I262" s="6452">
        <f>SUM(B262:H262)</f>
        <v>0</v>
      </c>
      <c r="J262" s="1474"/>
    </row>
    <row r="263" spans="1:10" ht="12.75">
      <c r="A263" s="6639">
        <v>3701</v>
      </c>
      <c r="B263" s="6448" t="s">
        <v>308</v>
      </c>
      <c r="C263" s="6448" t="s">
        <v>308</v>
      </c>
      <c r="D263" s="6448" t="s">
        <v>308</v>
      </c>
      <c r="E263" s="6448" t="s">
        <v>308</v>
      </c>
      <c r="F263" s="6449" t="s">
        <v>309</v>
      </c>
      <c r="G263" s="6439"/>
      <c r="H263" s="6182" t="s">
        <v>0</v>
      </c>
      <c r="I263" s="6176"/>
      <c r="J263" s="6450" t="s">
        <v>0</v>
      </c>
    </row>
    <row r="264" spans="1:10">
      <c r="A264" s="6638"/>
      <c r="B264" s="6452"/>
      <c r="C264" s="6452"/>
      <c r="D264" s="6452"/>
      <c r="E264" s="6452"/>
      <c r="F264" s="6504"/>
      <c r="G264" s="1529"/>
      <c r="H264" s="1556" t="s">
        <v>0</v>
      </c>
      <c r="I264" s="6452">
        <f>SUM(B264:H264)</f>
        <v>0</v>
      </c>
      <c r="J264" s="1474"/>
    </row>
    <row r="265" spans="1:10">
      <c r="A265" s="6465" t="s">
        <v>871</v>
      </c>
      <c r="B265" s="6465">
        <f t="shared" ref="B265:H265" si="12">SUM(B254,B256,B258,B260,B262,B264)</f>
        <v>31</v>
      </c>
      <c r="C265" s="6465">
        <f t="shared" si="12"/>
        <v>31</v>
      </c>
      <c r="D265" s="6465">
        <f t="shared" si="12"/>
        <v>31</v>
      </c>
      <c r="E265" s="6465">
        <f t="shared" si="12"/>
        <v>31</v>
      </c>
      <c r="F265" s="6465">
        <f t="shared" si="12"/>
        <v>24</v>
      </c>
      <c r="G265" s="6465">
        <f t="shared" si="12"/>
        <v>0</v>
      </c>
      <c r="H265" s="6465">
        <f t="shared" si="12"/>
        <v>0</v>
      </c>
      <c r="I265" s="6473">
        <f>SUM(I236,I238,I240,I242,I244,I246,I248,I250,I252,I254,I256,I258,I260,I262,I264)</f>
        <v>444</v>
      </c>
      <c r="J265" s="6474"/>
    </row>
    <row r="266" spans="1:10" ht="12.75">
      <c r="A266" s="42"/>
      <c r="B266" s="5"/>
      <c r="C266" s="5"/>
      <c r="D266" s="5"/>
      <c r="E266" s="5"/>
      <c r="F266" s="18"/>
      <c r="G266" s="6522" t="s">
        <v>973</v>
      </c>
      <c r="H266" s="6522" t="s">
        <v>974</v>
      </c>
      <c r="I266" s="6522" t="s">
        <v>975</v>
      </c>
      <c r="J266" s="6"/>
    </row>
    <row r="267" spans="1:10" ht="12.75">
      <c r="A267" s="42"/>
      <c r="B267" s="5"/>
      <c r="C267" s="5"/>
      <c r="D267" s="5"/>
      <c r="E267" s="5"/>
      <c r="F267" s="18"/>
      <c r="G267" s="6496">
        <f>I265</f>
        <v>444</v>
      </c>
      <c r="H267" s="6523">
        <f>SUM(G267*13/3)</f>
        <v>1924</v>
      </c>
      <c r="I267" s="6496">
        <f>SUM(H267*12)</f>
        <v>23088</v>
      </c>
      <c r="J267" s="6"/>
    </row>
  </sheetData>
  <sheetProtection algorithmName="SHA-512" hashValue="0KDc1VejuQyWNpb8yD2AxYpzr7w2hQzE0yvuUOES25k/PVw+8a2Xgx75y2UwnnKf9v0F5DsvkUumqX7HEzeXSw==" saltValue="gYtM2qH5H8XqiPd6oliCQg==" spinCount="100000" sheet="1" objects="1" scenarios="1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Ark33"/>
  <dimension ref="A1:J297"/>
  <sheetViews>
    <sheetView workbookViewId="0">
      <selection activeCell="L24" sqref="L24"/>
    </sheetView>
  </sheetViews>
  <sheetFormatPr defaultRowHeight="12"/>
  <cols>
    <col min="1" max="1" width="18.5703125" customWidth="1"/>
    <col min="2" max="10" width="13.140625" customWidth="1"/>
  </cols>
  <sheetData>
    <row r="1" spans="1:10" ht="23.25">
      <c r="A1" s="1" t="s">
        <v>856</v>
      </c>
      <c r="B1" s="1"/>
      <c r="D1" s="2"/>
      <c r="E1" s="2"/>
    </row>
    <row r="2" spans="1:10" ht="12.75">
      <c r="A2" s="6438" t="s">
        <v>968</v>
      </c>
      <c r="B2" s="6439" t="s">
        <v>19</v>
      </c>
      <c r="C2" s="6440" t="s">
        <v>20</v>
      </c>
      <c r="D2" s="6440" t="s">
        <v>21</v>
      </c>
      <c r="E2" s="6440" t="s">
        <v>22</v>
      </c>
      <c r="F2" s="6440" t="s">
        <v>23</v>
      </c>
      <c r="G2" s="6440" t="s">
        <v>24</v>
      </c>
      <c r="H2" s="6179" t="s">
        <v>25</v>
      </c>
      <c r="I2" s="6176" t="s">
        <v>202</v>
      </c>
      <c r="J2" s="6441" t="s">
        <v>108</v>
      </c>
    </row>
    <row r="3" spans="1:10" ht="12.75">
      <c r="A3" s="548"/>
      <c r="B3" s="623" t="s">
        <v>222</v>
      </c>
      <c r="C3" s="623" t="s">
        <v>222</v>
      </c>
      <c r="D3" s="623" t="s">
        <v>222</v>
      </c>
      <c r="E3" s="623" t="s">
        <v>222</v>
      </c>
      <c r="F3" s="624" t="s">
        <v>969</v>
      </c>
      <c r="G3" s="625"/>
      <c r="H3" s="626"/>
      <c r="I3" s="549"/>
      <c r="J3" s="568"/>
    </row>
    <row r="4" spans="1:10">
      <c r="A4" s="19" t="s">
        <v>858</v>
      </c>
      <c r="B4" s="256">
        <v>7.75</v>
      </c>
      <c r="C4" s="256">
        <v>7.75</v>
      </c>
      <c r="D4" s="256">
        <v>7.75</v>
      </c>
      <c r="E4" s="256">
        <v>7.75</v>
      </c>
      <c r="F4" s="257">
        <v>6</v>
      </c>
      <c r="G4" s="241"/>
      <c r="H4" s="17"/>
      <c r="I4" s="258">
        <f>SUM(B4:H4)</f>
        <v>37</v>
      </c>
      <c r="J4" s="229"/>
    </row>
    <row r="5" spans="1:10" ht="12.75">
      <c r="A5" s="6612" t="s">
        <v>1084</v>
      </c>
      <c r="B5" s="6640" t="s">
        <v>1085</v>
      </c>
      <c r="C5" s="6640" t="s">
        <v>1085</v>
      </c>
      <c r="D5" s="6640" t="s">
        <v>1085</v>
      </c>
      <c r="E5" s="6640" t="s">
        <v>1085</v>
      </c>
      <c r="F5" s="6640" t="s">
        <v>1086</v>
      </c>
      <c r="G5" s="6641"/>
      <c r="H5" s="6641"/>
      <c r="I5" s="6452"/>
      <c r="J5" s="6642"/>
    </row>
    <row r="6" spans="1:10" ht="12.75">
      <c r="A6" s="5"/>
      <c r="E6" s="5"/>
      <c r="F6" s="18"/>
      <c r="G6" s="639" t="s">
        <v>973</v>
      </c>
      <c r="H6" s="639" t="s">
        <v>974</v>
      </c>
      <c r="I6" s="639" t="s">
        <v>975</v>
      </c>
      <c r="J6" s="22"/>
    </row>
    <row r="7" spans="1:10">
      <c r="A7" s="5"/>
      <c r="E7" s="5"/>
      <c r="F7" s="18"/>
      <c r="G7" s="6643">
        <f>I4</f>
        <v>37</v>
      </c>
      <c r="H7" s="6644">
        <f>SUM(G7*13/3)</f>
        <v>160.33333333333334</v>
      </c>
      <c r="I7" s="6643">
        <f>SUM(H7*12)</f>
        <v>1924</v>
      </c>
      <c r="J7" s="22"/>
    </row>
    <row r="8" spans="1:10" ht="23.25">
      <c r="A8" s="3" t="s">
        <v>971</v>
      </c>
      <c r="D8" s="2"/>
      <c r="E8" s="2"/>
    </row>
    <row r="9" spans="1:10" ht="12.75">
      <c r="A9" s="6175" t="s">
        <v>873</v>
      </c>
      <c r="B9" s="6442" t="s">
        <v>19</v>
      </c>
      <c r="C9" s="6443" t="s">
        <v>20</v>
      </c>
      <c r="D9" s="6443" t="s">
        <v>21</v>
      </c>
      <c r="E9" s="6443" t="s">
        <v>22</v>
      </c>
      <c r="F9" s="6443" t="s">
        <v>23</v>
      </c>
      <c r="G9" s="6443" t="s">
        <v>24</v>
      </c>
      <c r="H9" s="6444" t="s">
        <v>25</v>
      </c>
      <c r="I9" s="6445" t="s">
        <v>202</v>
      </c>
      <c r="J9" s="6446" t="s">
        <v>108</v>
      </c>
    </row>
    <row r="10" spans="1:10">
      <c r="A10" s="6447"/>
      <c r="B10" s="6449" t="s">
        <v>874</v>
      </c>
      <c r="C10" s="6449" t="s">
        <v>874</v>
      </c>
      <c r="D10" s="6449" t="s">
        <v>874</v>
      </c>
      <c r="E10" s="6449" t="s">
        <v>874</v>
      </c>
      <c r="F10" s="6449" t="s">
        <v>875</v>
      </c>
      <c r="G10" s="6449"/>
      <c r="H10" s="6449"/>
      <c r="I10" s="6525"/>
      <c r="J10" s="6450"/>
    </row>
    <row r="11" spans="1:10">
      <c r="A11" s="6645" t="s">
        <v>972</v>
      </c>
      <c r="B11" s="6646">
        <v>7.75</v>
      </c>
      <c r="C11" s="6646">
        <v>7.75</v>
      </c>
      <c r="D11" s="6646">
        <v>7.75</v>
      </c>
      <c r="E11" s="6646">
        <v>7.75</v>
      </c>
      <c r="F11" s="6646">
        <v>6</v>
      </c>
      <c r="G11" s="6646"/>
      <c r="H11" s="6646"/>
      <c r="I11" s="6646">
        <f>SUM(B11:H11)</f>
        <v>37</v>
      </c>
      <c r="J11" s="6647"/>
    </row>
    <row r="12" spans="1:10" ht="12.75">
      <c r="A12" s="6612" t="s">
        <v>1084</v>
      </c>
      <c r="B12" s="6640" t="s">
        <v>1087</v>
      </c>
      <c r="C12" s="6640" t="s">
        <v>1087</v>
      </c>
      <c r="D12" s="6640" t="s">
        <v>1087</v>
      </c>
      <c r="E12" s="6640" t="s">
        <v>1087</v>
      </c>
      <c r="F12" s="6640" t="s">
        <v>1088</v>
      </c>
      <c r="G12" s="6504"/>
      <c r="H12" s="6504"/>
      <c r="I12" s="6504"/>
      <c r="J12" s="6506"/>
    </row>
    <row r="13" spans="1:10" ht="12.75">
      <c r="A13" s="5"/>
      <c r="E13" s="5"/>
      <c r="F13" s="18"/>
      <c r="G13" s="639" t="s">
        <v>973</v>
      </c>
      <c r="H13" s="639" t="s">
        <v>974</v>
      </c>
      <c r="I13" s="639" t="s">
        <v>975</v>
      </c>
      <c r="J13" s="22"/>
    </row>
    <row r="14" spans="1:10">
      <c r="A14" s="5"/>
      <c r="E14" s="5"/>
      <c r="F14" s="18"/>
      <c r="G14" s="6643">
        <f>I11</f>
        <v>37</v>
      </c>
      <c r="H14" s="6644">
        <f>SUM(G14*13/3)</f>
        <v>160.33333333333334</v>
      </c>
      <c r="I14" s="6643">
        <f>SUM(H14*12)</f>
        <v>1924</v>
      </c>
      <c r="J14" s="22"/>
    </row>
    <row r="33" spans="1:10" ht="23.25">
      <c r="A33" s="1" t="s">
        <v>18</v>
      </c>
      <c r="B33" s="1"/>
      <c r="D33" s="2"/>
      <c r="E33" s="2"/>
    </row>
    <row r="34" spans="1:10" ht="12.75">
      <c r="A34" s="6175" t="s">
        <v>859</v>
      </c>
      <c r="B34" s="6442" t="s">
        <v>19</v>
      </c>
      <c r="C34" s="6443" t="s">
        <v>20</v>
      </c>
      <c r="D34" s="6443" t="s">
        <v>21</v>
      </c>
      <c r="E34" s="6443" t="s">
        <v>22</v>
      </c>
      <c r="F34" s="6443" t="s">
        <v>23</v>
      </c>
      <c r="G34" s="6443" t="s">
        <v>24</v>
      </c>
      <c r="H34" s="6444" t="s">
        <v>25</v>
      </c>
      <c r="I34" s="6445" t="s">
        <v>202</v>
      </c>
      <c r="J34" s="6446" t="s">
        <v>108</v>
      </c>
    </row>
    <row r="35" spans="1:10">
      <c r="A35" s="6524" t="s">
        <v>0</v>
      </c>
      <c r="B35" s="6440" t="s">
        <v>10</v>
      </c>
      <c r="C35" s="6440" t="s">
        <v>10</v>
      </c>
      <c r="D35" s="6440" t="s">
        <v>10</v>
      </c>
      <c r="E35" s="6440" t="s">
        <v>10</v>
      </c>
      <c r="F35" s="6440" t="s">
        <v>10</v>
      </c>
      <c r="G35" s="6440" t="s">
        <v>10</v>
      </c>
      <c r="H35" s="6440" t="s">
        <v>10</v>
      </c>
      <c r="I35" s="6525"/>
      <c r="J35" s="6526" t="s">
        <v>10</v>
      </c>
    </row>
    <row r="36" spans="1:10" ht="12.75">
      <c r="A36" s="6648" t="s">
        <v>10</v>
      </c>
      <c r="B36" s="6608">
        <v>8.25</v>
      </c>
      <c r="C36" s="6608">
        <v>8.25</v>
      </c>
      <c r="D36" s="257">
        <v>8.25</v>
      </c>
      <c r="E36" s="257">
        <v>8.25</v>
      </c>
      <c r="F36" s="257">
        <v>8.25</v>
      </c>
      <c r="G36" s="257">
        <v>12.25</v>
      </c>
      <c r="H36" s="257">
        <v>12.25</v>
      </c>
      <c r="I36" s="259">
        <f>SUM(B36:H36)</f>
        <v>65.75</v>
      </c>
      <c r="J36" s="230" t="s">
        <v>10</v>
      </c>
    </row>
    <row r="37" spans="1:10" ht="12.75">
      <c r="A37" s="6607" t="s">
        <v>1084</v>
      </c>
      <c r="B37" s="6609" t="s">
        <v>1089</v>
      </c>
      <c r="C37" s="6609" t="s">
        <v>1089</v>
      </c>
      <c r="D37" s="6609" t="s">
        <v>1089</v>
      </c>
      <c r="E37" s="6609" t="s">
        <v>1089</v>
      </c>
      <c r="F37" s="6609" t="s">
        <v>1089</v>
      </c>
      <c r="G37" s="6609" t="s">
        <v>1090</v>
      </c>
      <c r="H37" s="6609" t="s">
        <v>1091</v>
      </c>
      <c r="I37" s="6608"/>
      <c r="J37" s="6649"/>
    </row>
    <row r="38" spans="1:10">
      <c r="A38" s="6524" t="s">
        <v>0</v>
      </c>
      <c r="B38" s="6448" t="s">
        <v>220</v>
      </c>
      <c r="C38" s="6448" t="s">
        <v>220</v>
      </c>
      <c r="D38" s="6448" t="s">
        <v>220</v>
      </c>
      <c r="E38" s="6448" t="s">
        <v>220</v>
      </c>
      <c r="F38" s="6448" t="s">
        <v>220</v>
      </c>
      <c r="G38" s="6525"/>
      <c r="H38" s="6525"/>
      <c r="I38" s="6525"/>
      <c r="J38" s="6533" t="s">
        <v>10</v>
      </c>
    </row>
    <row r="39" spans="1:10" ht="12.75">
      <c r="A39" s="6650" t="s">
        <v>10</v>
      </c>
      <c r="B39" s="6646"/>
      <c r="C39" s="6646"/>
      <c r="D39" s="6646"/>
      <c r="E39" s="6646"/>
      <c r="F39" s="6646"/>
      <c r="G39" s="6651"/>
      <c r="H39" s="6651"/>
      <c r="I39" s="6646">
        <f>SUM(B39:H39)</f>
        <v>0</v>
      </c>
      <c r="J39" s="6652" t="s">
        <v>10</v>
      </c>
    </row>
    <row r="40" spans="1:10" ht="12.75">
      <c r="A40" s="6607" t="s">
        <v>1084</v>
      </c>
      <c r="B40" s="6609" t="s">
        <v>1092</v>
      </c>
      <c r="C40" s="6609" t="s">
        <v>1092</v>
      </c>
      <c r="D40" s="6609" t="s">
        <v>1092</v>
      </c>
      <c r="E40" s="6609" t="s">
        <v>1092</v>
      </c>
      <c r="F40" s="6609" t="s">
        <v>1092</v>
      </c>
      <c r="G40" s="6653"/>
      <c r="H40" s="6653"/>
      <c r="I40" s="6608"/>
      <c r="J40" s="6649"/>
    </row>
    <row r="41" spans="1:10">
      <c r="A41" s="6524" t="s">
        <v>0</v>
      </c>
      <c r="B41" s="6440" t="s">
        <v>10</v>
      </c>
      <c r="C41" s="6440" t="s">
        <v>10</v>
      </c>
      <c r="D41" s="6440" t="s">
        <v>10</v>
      </c>
      <c r="E41" s="6440" t="s">
        <v>10</v>
      </c>
      <c r="F41" s="6440" t="s">
        <v>10</v>
      </c>
      <c r="G41" s="6535"/>
      <c r="H41" s="6535"/>
      <c r="I41" s="6525"/>
      <c r="J41" s="6533" t="s">
        <v>10</v>
      </c>
    </row>
    <row r="42" spans="1:10">
      <c r="A42" s="6654" t="s">
        <v>10</v>
      </c>
      <c r="B42" s="6646">
        <v>8.25</v>
      </c>
      <c r="C42" s="6646">
        <v>8.25</v>
      </c>
      <c r="D42" s="6646">
        <v>8.25</v>
      </c>
      <c r="E42" s="6646">
        <v>8.25</v>
      </c>
      <c r="F42" s="6646">
        <v>8.25</v>
      </c>
      <c r="G42" s="6646"/>
      <c r="H42" s="6646"/>
      <c r="I42" s="6646">
        <f>SUM(B42:H42)</f>
        <v>41.25</v>
      </c>
      <c r="J42" s="6652"/>
    </row>
    <row r="43" spans="1:10" ht="12.75">
      <c r="A43" s="6607" t="s">
        <v>1084</v>
      </c>
      <c r="B43" s="6609" t="s">
        <v>1093</v>
      </c>
      <c r="C43" s="6609" t="s">
        <v>1093</v>
      </c>
      <c r="D43" s="6609" t="s">
        <v>1093</v>
      </c>
      <c r="E43" s="6609" t="s">
        <v>1093</v>
      </c>
      <c r="F43" s="6609" t="s">
        <v>1093</v>
      </c>
      <c r="G43" s="6608"/>
      <c r="H43" s="6608"/>
      <c r="I43" s="6608"/>
      <c r="J43" s="6649" t="s">
        <v>10</v>
      </c>
    </row>
    <row r="44" spans="1:10">
      <c r="A44" s="6524" t="s">
        <v>0</v>
      </c>
      <c r="B44" s="6440" t="s">
        <v>10</v>
      </c>
      <c r="C44" s="6440" t="s">
        <v>10</v>
      </c>
      <c r="D44" s="6440" t="s">
        <v>10</v>
      </c>
      <c r="E44" s="6440" t="s">
        <v>10</v>
      </c>
      <c r="F44" s="6440" t="s">
        <v>10</v>
      </c>
      <c r="G44" s="6535" t="s">
        <v>10</v>
      </c>
      <c r="H44" s="6535" t="s">
        <v>10</v>
      </c>
      <c r="I44" s="6525"/>
      <c r="J44" s="6380"/>
    </row>
    <row r="45" spans="1:10" ht="12.75">
      <c r="A45" s="6650" t="s">
        <v>10</v>
      </c>
      <c r="B45" s="6646">
        <v>8</v>
      </c>
      <c r="C45" s="6646">
        <v>8</v>
      </c>
      <c r="D45" s="6646">
        <v>8</v>
      </c>
      <c r="E45" s="6646">
        <v>8</v>
      </c>
      <c r="F45" s="6646">
        <v>8</v>
      </c>
      <c r="G45" s="6646">
        <v>12.25</v>
      </c>
      <c r="H45" s="6646">
        <v>12.25</v>
      </c>
      <c r="I45" s="6646">
        <f>SUM(B45:H45)</f>
        <v>64.5</v>
      </c>
      <c r="J45" s="6655"/>
    </row>
    <row r="46" spans="1:10" ht="12.75">
      <c r="A46" s="6607" t="s">
        <v>1084</v>
      </c>
      <c r="B46" s="6609" t="s">
        <v>1094</v>
      </c>
      <c r="C46" s="6609" t="s">
        <v>1094</v>
      </c>
      <c r="D46" s="6609" t="s">
        <v>1094</v>
      </c>
      <c r="E46" s="6609" t="s">
        <v>1094</v>
      </c>
      <c r="F46" s="6609" t="s">
        <v>1094</v>
      </c>
      <c r="G46" s="6609" t="s">
        <v>1095</v>
      </c>
      <c r="H46" s="6609" t="s">
        <v>1095</v>
      </c>
      <c r="I46" s="6608"/>
      <c r="J46" s="6387"/>
    </row>
    <row r="47" spans="1:10">
      <c r="A47" s="6524" t="s">
        <v>0</v>
      </c>
      <c r="B47" s="6448" t="s">
        <v>220</v>
      </c>
      <c r="C47" s="6448" t="s">
        <v>220</v>
      </c>
      <c r="D47" s="6448" t="s">
        <v>220</v>
      </c>
      <c r="E47" s="6448" t="s">
        <v>220</v>
      </c>
      <c r="F47" s="6448" t="s">
        <v>220</v>
      </c>
      <c r="G47" s="6538"/>
      <c r="H47" s="6525"/>
      <c r="I47" s="6525"/>
      <c r="J47" s="6380"/>
    </row>
    <row r="48" spans="1:10" ht="12.75">
      <c r="A48" s="6650" t="s">
        <v>10</v>
      </c>
      <c r="B48" s="6643"/>
      <c r="C48" s="6643"/>
      <c r="D48" s="6643"/>
      <c r="E48" s="6643"/>
      <c r="F48" s="6643"/>
      <c r="G48" s="6656"/>
      <c r="H48" s="6651"/>
      <c r="I48" s="6646">
        <f>SUM(B48:H48)</f>
        <v>0</v>
      </c>
      <c r="J48" s="6655"/>
    </row>
    <row r="49" spans="1:10" ht="12.75">
      <c r="A49" s="6607" t="s">
        <v>1084</v>
      </c>
      <c r="B49" s="6609" t="s">
        <v>1092</v>
      </c>
      <c r="C49" s="6609" t="s">
        <v>1092</v>
      </c>
      <c r="D49" s="6609" t="s">
        <v>1092</v>
      </c>
      <c r="E49" s="6609" t="s">
        <v>1092</v>
      </c>
      <c r="F49" s="6609" t="s">
        <v>1092</v>
      </c>
      <c r="G49" s="6653"/>
      <c r="H49" s="6653"/>
      <c r="I49" s="6608" t="s">
        <v>0</v>
      </c>
      <c r="J49" s="6387"/>
    </row>
    <row r="50" spans="1:10">
      <c r="A50" s="6524" t="s">
        <v>0</v>
      </c>
      <c r="B50" s="6440" t="s">
        <v>10</v>
      </c>
      <c r="C50" s="6440" t="s">
        <v>10</v>
      </c>
      <c r="D50" s="6440" t="s">
        <v>10</v>
      </c>
      <c r="E50" s="6440" t="s">
        <v>10</v>
      </c>
      <c r="F50" s="6440" t="s">
        <v>10</v>
      </c>
      <c r="G50" s="6525"/>
      <c r="H50" s="6525"/>
      <c r="I50" s="6525"/>
      <c r="J50" s="6380"/>
    </row>
    <row r="51" spans="1:10" ht="12.75">
      <c r="A51" s="6650" t="s">
        <v>10</v>
      </c>
      <c r="B51" s="6646">
        <v>7.25</v>
      </c>
      <c r="C51" s="6646">
        <v>7.25</v>
      </c>
      <c r="D51" s="6646">
        <v>7.25</v>
      </c>
      <c r="E51" s="6646">
        <v>7.25</v>
      </c>
      <c r="F51" s="6646">
        <v>7.25</v>
      </c>
      <c r="G51" s="6651"/>
      <c r="H51" s="6656"/>
      <c r="I51" s="6646">
        <f>SUM(B51:H51)</f>
        <v>36.25</v>
      </c>
      <c r="J51" s="6655"/>
    </row>
    <row r="52" spans="1:10" ht="12.75">
      <c r="A52" s="6612" t="s">
        <v>1084</v>
      </c>
      <c r="B52" s="6641" t="s">
        <v>1096</v>
      </c>
      <c r="C52" s="6641" t="s">
        <v>1096</v>
      </c>
      <c r="D52" s="6641" t="s">
        <v>1096</v>
      </c>
      <c r="E52" s="6641" t="s">
        <v>1096</v>
      </c>
      <c r="F52" s="6641" t="s">
        <v>1096</v>
      </c>
      <c r="G52" s="6534"/>
      <c r="H52" s="6657"/>
      <c r="I52" s="6504"/>
      <c r="J52" s="6460"/>
    </row>
    <row r="53" spans="1:10">
      <c r="A53" s="24" t="s">
        <v>871</v>
      </c>
      <c r="B53" s="25">
        <f t="shared" ref="B53:I53" si="0">SUM(B36,B39,B42,B45,B48,B51)</f>
        <v>31.75</v>
      </c>
      <c r="C53" s="25">
        <f t="shared" si="0"/>
        <v>31.75</v>
      </c>
      <c r="D53" s="25">
        <f t="shared" si="0"/>
        <v>31.75</v>
      </c>
      <c r="E53" s="25">
        <f t="shared" si="0"/>
        <v>31.75</v>
      </c>
      <c r="F53" s="25">
        <f t="shared" si="0"/>
        <v>31.75</v>
      </c>
      <c r="G53" s="25">
        <f t="shared" si="0"/>
        <v>24.5</v>
      </c>
      <c r="H53" s="25">
        <f t="shared" si="0"/>
        <v>24.5</v>
      </c>
      <c r="I53" s="25">
        <f t="shared" si="0"/>
        <v>207.75</v>
      </c>
      <c r="J53" s="26"/>
    </row>
    <row r="54" spans="1:10" ht="23.25">
      <c r="A54" s="3" t="s">
        <v>872</v>
      </c>
      <c r="D54" s="2"/>
      <c r="E54" s="2"/>
    </row>
    <row r="55" spans="1:10" ht="12.75">
      <c r="A55" s="6175" t="s">
        <v>873</v>
      </c>
      <c r="B55" s="6442" t="s">
        <v>19</v>
      </c>
      <c r="C55" s="6443" t="s">
        <v>20</v>
      </c>
      <c r="D55" s="6443" t="s">
        <v>21</v>
      </c>
      <c r="E55" s="6443" t="s">
        <v>22</v>
      </c>
      <c r="F55" s="6443" t="s">
        <v>23</v>
      </c>
      <c r="G55" s="6443" t="s">
        <v>24</v>
      </c>
      <c r="H55" s="6444" t="s">
        <v>25</v>
      </c>
      <c r="I55" s="6445" t="s">
        <v>202</v>
      </c>
      <c r="J55" s="6446" t="s">
        <v>108</v>
      </c>
    </row>
    <row r="56" spans="1:10">
      <c r="A56" s="6447"/>
      <c r="B56" s="6449" t="s">
        <v>874</v>
      </c>
      <c r="C56" s="6449" t="s">
        <v>874</v>
      </c>
      <c r="D56" s="6449" t="s">
        <v>874</v>
      </c>
      <c r="E56" s="6449" t="s">
        <v>874</v>
      </c>
      <c r="F56" s="6449" t="s">
        <v>875</v>
      </c>
      <c r="G56" s="6449"/>
      <c r="H56" s="6449"/>
      <c r="I56" s="6525"/>
      <c r="J56" s="6450"/>
    </row>
    <row r="57" spans="1:10">
      <c r="A57" s="6645" t="s">
        <v>986</v>
      </c>
      <c r="B57" s="6646">
        <v>7.75</v>
      </c>
      <c r="C57" s="6646">
        <v>7.75</v>
      </c>
      <c r="D57" s="6646">
        <v>7.75</v>
      </c>
      <c r="E57" s="6646">
        <v>7.75</v>
      </c>
      <c r="F57" s="6646">
        <v>6</v>
      </c>
      <c r="G57" s="6646"/>
      <c r="H57" s="6646"/>
      <c r="I57" s="6646">
        <f>SUM(B57:H57)</f>
        <v>37</v>
      </c>
      <c r="J57" s="6647"/>
    </row>
    <row r="58" spans="1:10" ht="12.75">
      <c r="A58" s="6607" t="s">
        <v>1084</v>
      </c>
      <c r="B58" s="6658" t="s">
        <v>1087</v>
      </c>
      <c r="C58" s="6658" t="s">
        <v>1087</v>
      </c>
      <c r="D58" s="6658" t="s">
        <v>1087</v>
      </c>
      <c r="E58" s="6658" t="s">
        <v>1087</v>
      </c>
      <c r="F58" s="6658" t="s">
        <v>1088</v>
      </c>
      <c r="G58" s="6608"/>
      <c r="H58" s="6608"/>
      <c r="I58" s="6608"/>
      <c r="J58" s="6610"/>
    </row>
    <row r="59" spans="1:10">
      <c r="A59" s="6447"/>
      <c r="B59" s="6449" t="s">
        <v>874</v>
      </c>
      <c r="C59" s="6449" t="s">
        <v>874</v>
      </c>
      <c r="D59" s="6449" t="s">
        <v>874</v>
      </c>
      <c r="E59" s="6449" t="s">
        <v>874</v>
      </c>
      <c r="F59" s="6449" t="s">
        <v>875</v>
      </c>
      <c r="G59" s="6449"/>
      <c r="H59" s="6449"/>
      <c r="I59" s="6525"/>
      <c r="J59" s="6450"/>
    </row>
    <row r="60" spans="1:10">
      <c r="A60" s="6645" t="s">
        <v>988</v>
      </c>
      <c r="B60" s="6646">
        <v>7.75</v>
      </c>
      <c r="C60" s="6646">
        <v>7.75</v>
      </c>
      <c r="D60" s="6646">
        <v>7.75</v>
      </c>
      <c r="E60" s="6646">
        <v>7.75</v>
      </c>
      <c r="F60" s="6646">
        <v>6</v>
      </c>
      <c r="G60" s="6646"/>
      <c r="H60" s="6646"/>
      <c r="I60" s="6646">
        <f>SUM(B60:H60)</f>
        <v>37</v>
      </c>
      <c r="J60" s="6647"/>
    </row>
    <row r="61" spans="1:10" ht="12.75">
      <c r="A61" s="6607" t="s">
        <v>1084</v>
      </c>
      <c r="B61" s="6658" t="s">
        <v>1087</v>
      </c>
      <c r="C61" s="6658" t="s">
        <v>1087</v>
      </c>
      <c r="D61" s="6658" t="s">
        <v>1087</v>
      </c>
      <c r="E61" s="6658" t="s">
        <v>1087</v>
      </c>
      <c r="F61" s="6658" t="s">
        <v>1088</v>
      </c>
      <c r="G61" s="6608"/>
      <c r="H61" s="6608"/>
      <c r="I61" s="6653"/>
      <c r="J61" s="6610"/>
    </row>
    <row r="62" spans="1:10" ht="12.75">
      <c r="A62" s="6323"/>
      <c r="B62" s="6449" t="s">
        <v>874</v>
      </c>
      <c r="C62" s="6449" t="s">
        <v>874</v>
      </c>
      <c r="D62" s="6449" t="s">
        <v>874</v>
      </c>
      <c r="E62" s="6449" t="s">
        <v>874</v>
      </c>
      <c r="F62" s="6449" t="s">
        <v>875</v>
      </c>
      <c r="G62" s="6449"/>
      <c r="H62" s="6449"/>
      <c r="I62" s="6525"/>
      <c r="J62" s="6450"/>
    </row>
    <row r="63" spans="1:10">
      <c r="A63" s="6645" t="s">
        <v>989</v>
      </c>
      <c r="B63" s="6646">
        <v>7.75</v>
      </c>
      <c r="C63" s="6646">
        <v>7.75</v>
      </c>
      <c r="D63" s="6646">
        <v>7.75</v>
      </c>
      <c r="E63" s="6646">
        <v>7.75</v>
      </c>
      <c r="F63" s="6646">
        <v>6</v>
      </c>
      <c r="G63" s="6646"/>
      <c r="H63" s="6646"/>
      <c r="I63" s="6646">
        <f>SUM(B63:H63)</f>
        <v>37</v>
      </c>
      <c r="J63" s="6647"/>
    </row>
    <row r="64" spans="1:10" ht="12.75">
      <c r="A64" s="6612" t="s">
        <v>1084</v>
      </c>
      <c r="B64" s="6640" t="s">
        <v>1087</v>
      </c>
      <c r="C64" s="6640" t="s">
        <v>1087</v>
      </c>
      <c r="D64" s="6640" t="s">
        <v>1087</v>
      </c>
      <c r="E64" s="6640" t="s">
        <v>1087</v>
      </c>
      <c r="F64" s="6640" t="s">
        <v>1088</v>
      </c>
      <c r="G64" s="6504"/>
      <c r="H64" s="6504"/>
      <c r="I64" s="6534"/>
      <c r="J64" s="6506"/>
    </row>
    <row r="65" spans="1:10">
      <c r="A65" s="24" t="s">
        <v>871</v>
      </c>
      <c r="B65" s="27">
        <f t="shared" ref="B65:I65" si="1">SUM(B57,B60,B63)</f>
        <v>23.25</v>
      </c>
      <c r="C65" s="27">
        <f t="shared" si="1"/>
        <v>23.25</v>
      </c>
      <c r="D65" s="27">
        <f t="shared" si="1"/>
        <v>23.25</v>
      </c>
      <c r="E65" s="27">
        <f t="shared" si="1"/>
        <v>23.25</v>
      </c>
      <c r="F65" s="27">
        <f t="shared" si="1"/>
        <v>18</v>
      </c>
      <c r="G65" s="27">
        <f t="shared" si="1"/>
        <v>0</v>
      </c>
      <c r="H65" s="27">
        <f t="shared" si="1"/>
        <v>0</v>
      </c>
      <c r="I65" s="25">
        <f t="shared" si="1"/>
        <v>111</v>
      </c>
      <c r="J65" s="28"/>
    </row>
    <row r="66" spans="1:10" ht="12.75">
      <c r="A66" s="5"/>
      <c r="B66" s="5"/>
      <c r="C66" s="5"/>
      <c r="D66" s="5"/>
      <c r="E66" s="5"/>
      <c r="F66" s="5"/>
      <c r="G66" s="6659" t="s">
        <v>973</v>
      </c>
      <c r="H66" s="6659" t="s">
        <v>974</v>
      </c>
      <c r="I66" s="6659" t="s">
        <v>975</v>
      </c>
      <c r="J66" s="6"/>
    </row>
    <row r="67" spans="1:10">
      <c r="A67" s="5"/>
      <c r="B67" s="5"/>
      <c r="C67" s="5"/>
      <c r="D67" s="5"/>
      <c r="E67" s="5"/>
      <c r="F67" s="5"/>
      <c r="G67" s="6643">
        <f>I53+I65</f>
        <v>318.75</v>
      </c>
      <c r="H67" s="6644">
        <f>SUM(G67*13/3)</f>
        <v>1381.25</v>
      </c>
      <c r="I67" s="6643">
        <f>SUM(H67*12)</f>
        <v>16575</v>
      </c>
      <c r="J67" s="6"/>
    </row>
    <row r="68" spans="1:10">
      <c r="A68" s="5"/>
      <c r="B68" s="5"/>
      <c r="C68" s="5"/>
      <c r="D68" s="5"/>
      <c r="E68" s="5"/>
      <c r="F68" s="5"/>
      <c r="G68" s="5"/>
      <c r="H68" s="23"/>
      <c r="I68" s="5"/>
      <c r="J68" s="6"/>
    </row>
    <row r="69" spans="1:10" ht="12.75">
      <c r="A69" s="1" t="s">
        <v>994</v>
      </c>
      <c r="B69" s="5"/>
      <c r="C69" s="5"/>
      <c r="D69" s="5"/>
      <c r="E69" s="5"/>
      <c r="F69" s="5"/>
    </row>
    <row r="70" spans="1:10" ht="12.75">
      <c r="A70" s="6547" t="s">
        <v>995</v>
      </c>
      <c r="B70" s="6442" t="s">
        <v>19</v>
      </c>
      <c r="C70" s="6443" t="s">
        <v>20</v>
      </c>
      <c r="D70" s="6443" t="s">
        <v>21</v>
      </c>
      <c r="E70" s="6443" t="s">
        <v>22</v>
      </c>
      <c r="F70" s="6443" t="s">
        <v>23</v>
      </c>
      <c r="G70" s="6443" t="s">
        <v>24</v>
      </c>
      <c r="H70" s="6548" t="s">
        <v>25</v>
      </c>
      <c r="I70" s="6549" t="s">
        <v>202</v>
      </c>
      <c r="J70" s="6550" t="s">
        <v>108</v>
      </c>
    </row>
    <row r="71" spans="1:10" ht="12.75">
      <c r="A71" s="6562"/>
      <c r="B71" s="6554" t="s">
        <v>10</v>
      </c>
      <c r="C71" s="6554" t="s">
        <v>10</v>
      </c>
      <c r="D71" s="6554" t="s">
        <v>10</v>
      </c>
      <c r="E71" s="6554" t="s">
        <v>10</v>
      </c>
      <c r="F71" s="6554" t="s">
        <v>10</v>
      </c>
      <c r="G71" s="6555" t="s">
        <v>10</v>
      </c>
      <c r="H71" s="6555" t="s">
        <v>10</v>
      </c>
      <c r="I71" s="6597"/>
      <c r="J71" s="6566"/>
    </row>
    <row r="72" spans="1:10" ht="12.75">
      <c r="A72" s="29" t="s">
        <v>1097</v>
      </c>
      <c r="B72" s="265" t="s">
        <v>1098</v>
      </c>
      <c r="C72" s="265" t="s">
        <v>1098</v>
      </c>
      <c r="D72" s="265" t="s">
        <v>1098</v>
      </c>
      <c r="E72" s="265" t="s">
        <v>1098</v>
      </c>
      <c r="F72" s="265" t="s">
        <v>1098</v>
      </c>
      <c r="G72" s="266" t="s">
        <v>1099</v>
      </c>
      <c r="H72" s="266" t="s">
        <v>1099</v>
      </c>
      <c r="I72" s="267"/>
      <c r="J72" s="30"/>
    </row>
    <row r="73" spans="1:10" ht="12.75">
      <c r="A73" s="1660" t="s">
        <v>10</v>
      </c>
      <c r="B73" s="1544">
        <v>8.25</v>
      </c>
      <c r="C73" s="1544">
        <v>8.25</v>
      </c>
      <c r="D73" s="1544">
        <v>8.25</v>
      </c>
      <c r="E73" s="1544">
        <v>8.25</v>
      </c>
      <c r="F73" s="1544">
        <v>8.25</v>
      </c>
      <c r="G73" s="1545">
        <v>12.25</v>
      </c>
      <c r="H73" s="1545">
        <v>12.25</v>
      </c>
      <c r="I73" s="1529">
        <f>SUM(B73:H73)</f>
        <v>65.75</v>
      </c>
      <c r="J73" s="1476" t="s">
        <v>10</v>
      </c>
    </row>
    <row r="74" spans="1:10" ht="12.75">
      <c r="A74" s="6562"/>
      <c r="B74" s="6563" t="s">
        <v>10</v>
      </c>
      <c r="C74" s="6563" t="s">
        <v>10</v>
      </c>
      <c r="D74" s="6563" t="s">
        <v>10</v>
      </c>
      <c r="E74" s="6563" t="s">
        <v>10</v>
      </c>
      <c r="F74" s="6563" t="s">
        <v>10</v>
      </c>
      <c r="G74" s="6564" t="s">
        <v>10</v>
      </c>
      <c r="H74" s="6565" t="s">
        <v>10</v>
      </c>
      <c r="I74" s="6549"/>
      <c r="J74" s="6566"/>
    </row>
    <row r="75" spans="1:10" ht="12.75">
      <c r="A75" s="29" t="s">
        <v>1097</v>
      </c>
      <c r="B75" s="268" t="s">
        <v>1100</v>
      </c>
      <c r="C75" s="268" t="s">
        <v>1100</v>
      </c>
      <c r="D75" s="268" t="s">
        <v>1100</v>
      </c>
      <c r="E75" s="268" t="s">
        <v>1100</v>
      </c>
      <c r="F75" s="268" t="s">
        <v>1100</v>
      </c>
      <c r="G75" s="269" t="s">
        <v>1101</v>
      </c>
      <c r="H75" s="269" t="s">
        <v>1101</v>
      </c>
      <c r="I75" s="238"/>
      <c r="J75" s="30"/>
    </row>
    <row r="76" spans="1:10" ht="12.75">
      <c r="A76" s="1660" t="s">
        <v>10</v>
      </c>
      <c r="B76" s="1536">
        <v>7</v>
      </c>
      <c r="C76" s="1536">
        <v>7</v>
      </c>
      <c r="D76" s="1536">
        <v>7</v>
      </c>
      <c r="E76" s="1536">
        <v>7</v>
      </c>
      <c r="F76" s="1536">
        <v>7</v>
      </c>
      <c r="G76" s="1546">
        <v>11</v>
      </c>
      <c r="H76" s="1547">
        <v>11</v>
      </c>
      <c r="I76" s="1529">
        <f>SUM(B76:H76)</f>
        <v>57</v>
      </c>
      <c r="J76" s="1476" t="s">
        <v>998</v>
      </c>
    </row>
    <row r="77" spans="1:10" ht="12.75">
      <c r="A77" s="6562"/>
      <c r="B77" s="6571" t="s">
        <v>10</v>
      </c>
      <c r="C77" s="6571" t="s">
        <v>10</v>
      </c>
      <c r="D77" s="6571" t="s">
        <v>10</v>
      </c>
      <c r="E77" s="6571" t="s">
        <v>10</v>
      </c>
      <c r="F77" s="6571" t="s">
        <v>10</v>
      </c>
      <c r="G77" s="6565" t="s">
        <v>10</v>
      </c>
      <c r="H77" s="6565" t="s">
        <v>10</v>
      </c>
      <c r="I77" s="6549"/>
      <c r="J77" s="6566"/>
    </row>
    <row r="78" spans="1:10" ht="12.75">
      <c r="A78" s="29" t="s">
        <v>1097</v>
      </c>
      <c r="B78" s="270" t="s">
        <v>1102</v>
      </c>
      <c r="C78" s="270" t="s">
        <v>1102</v>
      </c>
      <c r="D78" s="270" t="s">
        <v>1102</v>
      </c>
      <c r="E78" s="270" t="s">
        <v>1102</v>
      </c>
      <c r="F78" s="270" t="s">
        <v>1102</v>
      </c>
      <c r="G78" s="31" t="s">
        <v>1103</v>
      </c>
      <c r="H78" s="31" t="s">
        <v>1103</v>
      </c>
      <c r="I78" s="238"/>
      <c r="J78" s="30"/>
    </row>
    <row r="79" spans="1:10" ht="12.75">
      <c r="A79" s="1660" t="s">
        <v>10</v>
      </c>
      <c r="B79" s="1548">
        <v>8</v>
      </c>
      <c r="C79" s="1548">
        <v>8</v>
      </c>
      <c r="D79" s="1548">
        <v>8</v>
      </c>
      <c r="E79" s="1548">
        <v>8</v>
      </c>
      <c r="F79" s="1548">
        <v>8</v>
      </c>
      <c r="G79" s="1546">
        <v>12</v>
      </c>
      <c r="H79" s="1546">
        <v>12</v>
      </c>
      <c r="I79" s="1529">
        <f>SUM(B79:H79)</f>
        <v>64</v>
      </c>
      <c r="J79" s="1476" t="s">
        <v>10</v>
      </c>
    </row>
    <row r="80" spans="1:10">
      <c r="A80" s="6562"/>
      <c r="B80" s="6448" t="s">
        <v>174</v>
      </c>
      <c r="C80" s="6448" t="s">
        <v>174</v>
      </c>
      <c r="D80" s="6448" t="s">
        <v>174</v>
      </c>
      <c r="E80" s="6448" t="s">
        <v>174</v>
      </c>
      <c r="F80" s="6448" t="s">
        <v>174</v>
      </c>
      <c r="G80" s="6602"/>
      <c r="H80" s="6603"/>
      <c r="I80" s="6601"/>
      <c r="J80" s="6566"/>
    </row>
    <row r="81" spans="1:10">
      <c r="A81" s="29" t="s">
        <v>1097</v>
      </c>
      <c r="B81" s="256"/>
      <c r="C81" s="256"/>
      <c r="D81" s="256"/>
      <c r="E81" s="256"/>
      <c r="F81" s="256"/>
      <c r="G81" s="18"/>
      <c r="H81" s="18"/>
      <c r="I81" s="258"/>
      <c r="J81" s="30"/>
    </row>
    <row r="82" spans="1:10" ht="12.75">
      <c r="A82" s="1660" t="s">
        <v>10</v>
      </c>
      <c r="B82" s="6452"/>
      <c r="C82" s="6452"/>
      <c r="D82" s="6452"/>
      <c r="E82" s="6452"/>
      <c r="F82" s="6452"/>
      <c r="G82" s="1530"/>
      <c r="H82" s="1549"/>
      <c r="I82" s="1529">
        <f>SUM(B82:H82)</f>
        <v>0</v>
      </c>
      <c r="J82" s="1476" t="s">
        <v>10</v>
      </c>
    </row>
    <row r="83" spans="1:10">
      <c r="A83" s="6562"/>
      <c r="B83" s="6448" t="s">
        <v>174</v>
      </c>
      <c r="C83" s="6448" t="s">
        <v>174</v>
      </c>
      <c r="D83" s="6448" t="s">
        <v>174</v>
      </c>
      <c r="E83" s="6448" t="s">
        <v>174</v>
      </c>
      <c r="F83" s="6448" t="s">
        <v>174</v>
      </c>
      <c r="G83" s="6549"/>
      <c r="H83" s="6577"/>
      <c r="I83" s="6549"/>
      <c r="J83" s="6566"/>
    </row>
    <row r="84" spans="1:10">
      <c r="A84" s="29" t="s">
        <v>1097</v>
      </c>
      <c r="B84" s="256"/>
      <c r="C84" s="256"/>
      <c r="D84" s="256"/>
      <c r="E84" s="256"/>
      <c r="F84" s="256"/>
      <c r="G84" s="238"/>
      <c r="H84" s="32"/>
      <c r="I84" s="238"/>
      <c r="J84" s="30"/>
    </row>
    <row r="85" spans="1:10" ht="12.75">
      <c r="A85" s="1660" t="s">
        <v>10</v>
      </c>
      <c r="B85" s="6452"/>
      <c r="C85" s="6452"/>
      <c r="D85" s="6452"/>
      <c r="E85" s="6452"/>
      <c r="F85" s="6452"/>
      <c r="G85" s="1542"/>
      <c r="H85" s="1550"/>
      <c r="I85" s="1529">
        <f>SUM(B85:H85)</f>
        <v>0</v>
      </c>
      <c r="J85" s="1476" t="s">
        <v>999</v>
      </c>
    </row>
    <row r="86" spans="1:10" ht="12.75">
      <c r="A86" s="6547"/>
      <c r="B86" s="6448" t="s">
        <v>174</v>
      </c>
      <c r="C86" s="6448" t="s">
        <v>174</v>
      </c>
      <c r="D86" s="6448" t="s">
        <v>174</v>
      </c>
      <c r="E86" s="6448" t="s">
        <v>174</v>
      </c>
      <c r="F86" s="6448" t="s">
        <v>174</v>
      </c>
      <c r="G86" s="6578" t="s">
        <v>10</v>
      </c>
      <c r="H86" s="6579" t="s">
        <v>10</v>
      </c>
      <c r="I86" s="6549"/>
      <c r="J86" s="6580"/>
    </row>
    <row r="87" spans="1:10" ht="12.75">
      <c r="A87" s="29" t="s">
        <v>1097</v>
      </c>
      <c r="B87" s="256"/>
      <c r="C87" s="256"/>
      <c r="D87" s="256"/>
      <c r="E87" s="256"/>
      <c r="F87" s="256"/>
      <c r="G87" s="271" t="s">
        <v>1104</v>
      </c>
      <c r="H87" s="271" t="s">
        <v>1104</v>
      </c>
      <c r="I87" s="238"/>
      <c r="J87" s="33"/>
    </row>
    <row r="88" spans="1:10" ht="12.75">
      <c r="A88" s="1660" t="s">
        <v>10</v>
      </c>
      <c r="B88" s="6452"/>
      <c r="C88" s="6452"/>
      <c r="D88" s="6452"/>
      <c r="E88" s="6452"/>
      <c r="F88" s="6452"/>
      <c r="G88" s="1551">
        <v>12.25</v>
      </c>
      <c r="H88" s="1552">
        <v>12.25</v>
      </c>
      <c r="I88" s="1529">
        <f>SUM(B88:H88)</f>
        <v>24.5</v>
      </c>
      <c r="J88" s="1476" t="s">
        <v>10</v>
      </c>
    </row>
    <row r="89" spans="1:10" ht="12.75">
      <c r="A89" s="6562"/>
      <c r="B89" s="6581" t="s">
        <v>10</v>
      </c>
      <c r="C89" s="6581" t="s">
        <v>10</v>
      </c>
      <c r="D89" s="6581" t="s">
        <v>10</v>
      </c>
      <c r="E89" s="6581" t="s">
        <v>10</v>
      </c>
      <c r="F89" s="6581" t="s">
        <v>10</v>
      </c>
      <c r="G89" s="6578" t="s">
        <v>10</v>
      </c>
      <c r="H89" s="6579" t="s">
        <v>10</v>
      </c>
      <c r="I89" s="6549"/>
      <c r="J89" s="6566"/>
    </row>
    <row r="90" spans="1:10" ht="12.75">
      <c r="A90" s="29" t="s">
        <v>1097</v>
      </c>
      <c r="B90" s="272" t="s">
        <v>1105</v>
      </c>
      <c r="C90" s="272" t="s">
        <v>1105</v>
      </c>
      <c r="D90" s="272" t="s">
        <v>1105</v>
      </c>
      <c r="E90" s="272" t="s">
        <v>1105</v>
      </c>
      <c r="F90" s="272" t="s">
        <v>1106</v>
      </c>
      <c r="G90" s="271" t="s">
        <v>1107</v>
      </c>
      <c r="H90" s="271" t="s">
        <v>1107</v>
      </c>
      <c r="I90" s="238"/>
      <c r="J90" s="30"/>
    </row>
    <row r="91" spans="1:10" ht="12.75">
      <c r="A91" s="1660" t="s">
        <v>10</v>
      </c>
      <c r="B91" s="1553">
        <v>7</v>
      </c>
      <c r="C91" s="1553">
        <v>7</v>
      </c>
      <c r="D91" s="1553">
        <v>7</v>
      </c>
      <c r="E91" s="1553">
        <v>7</v>
      </c>
      <c r="F91" s="1553">
        <v>6.5</v>
      </c>
      <c r="G91" s="1551">
        <v>12</v>
      </c>
      <c r="H91" s="1552">
        <v>12</v>
      </c>
      <c r="I91" s="1529">
        <f>SUM(B91:H91)</f>
        <v>58.5</v>
      </c>
      <c r="J91" s="1476" t="s">
        <v>10</v>
      </c>
    </row>
    <row r="92" spans="1:10" ht="12.75">
      <c r="A92" s="6562"/>
      <c r="B92" s="6583" t="s">
        <v>10</v>
      </c>
      <c r="C92" s="6583" t="s">
        <v>10</v>
      </c>
      <c r="D92" s="6583" t="s">
        <v>10</v>
      </c>
      <c r="E92" s="6583" t="s">
        <v>10</v>
      </c>
      <c r="F92" s="6583" t="s">
        <v>10</v>
      </c>
      <c r="G92" s="6578" t="s">
        <v>10</v>
      </c>
      <c r="H92" s="6579" t="s">
        <v>10</v>
      </c>
      <c r="I92" s="6574"/>
      <c r="J92" s="6566"/>
    </row>
    <row r="93" spans="1:10" ht="12.75">
      <c r="A93" s="29" t="s">
        <v>1097</v>
      </c>
      <c r="B93" s="273" t="s">
        <v>1108</v>
      </c>
      <c r="C93" s="273" t="s">
        <v>1108</v>
      </c>
      <c r="D93" s="273" t="s">
        <v>1108</v>
      </c>
      <c r="E93" s="273" t="s">
        <v>1108</v>
      </c>
      <c r="F93" s="273" t="s">
        <v>1108</v>
      </c>
      <c r="G93" s="271" t="s">
        <v>1109</v>
      </c>
      <c r="H93" s="34" t="s">
        <v>1107</v>
      </c>
      <c r="I93" s="256"/>
      <c r="J93" s="30"/>
    </row>
    <row r="94" spans="1:10" ht="12.75">
      <c r="A94" s="1660" t="s">
        <v>10</v>
      </c>
      <c r="B94" s="260">
        <v>7</v>
      </c>
      <c r="C94" s="260">
        <v>7</v>
      </c>
      <c r="D94" s="260">
        <v>7</v>
      </c>
      <c r="E94" s="260">
        <v>7</v>
      </c>
      <c r="F94" s="260">
        <v>7</v>
      </c>
      <c r="G94" s="261">
        <v>9</v>
      </c>
      <c r="H94" s="1552">
        <v>12</v>
      </c>
      <c r="I94" s="1529">
        <f>SUM(B94:H94)</f>
        <v>56</v>
      </c>
      <c r="J94" s="1476" t="s">
        <v>1000</v>
      </c>
    </row>
    <row r="95" spans="1:10" ht="12.75">
      <c r="A95" s="6562"/>
      <c r="B95" s="262" t="s">
        <v>10</v>
      </c>
      <c r="C95" s="262" t="s">
        <v>10</v>
      </c>
      <c r="D95" s="262" t="s">
        <v>10</v>
      </c>
      <c r="E95" s="262" t="s">
        <v>10</v>
      </c>
      <c r="F95" s="262" t="s">
        <v>10</v>
      </c>
      <c r="G95" s="6442"/>
      <c r="H95" s="6595"/>
      <c r="I95" s="6549"/>
      <c r="J95" s="6566"/>
    </row>
    <row r="96" spans="1:10" ht="12.75">
      <c r="A96" s="29" t="s">
        <v>1097</v>
      </c>
      <c r="B96" s="274" t="s">
        <v>1110</v>
      </c>
      <c r="C96" s="274" t="s">
        <v>1110</v>
      </c>
      <c r="D96" s="274" t="s">
        <v>1110</v>
      </c>
      <c r="E96" s="274" t="s">
        <v>1110</v>
      </c>
      <c r="F96" s="274" t="s">
        <v>1110</v>
      </c>
      <c r="G96" s="275"/>
      <c r="H96" s="35"/>
      <c r="I96" s="238"/>
      <c r="J96" s="30"/>
    </row>
    <row r="97" spans="1:10" ht="12.75">
      <c r="A97" s="1660" t="s">
        <v>10</v>
      </c>
      <c r="B97" s="263">
        <v>8</v>
      </c>
      <c r="C97" s="263">
        <v>8</v>
      </c>
      <c r="D97" s="263">
        <v>8</v>
      </c>
      <c r="E97" s="263">
        <v>8</v>
      </c>
      <c r="F97" s="263">
        <v>8</v>
      </c>
      <c r="G97" s="1529"/>
      <c r="H97" s="1556"/>
      <c r="I97" s="1529">
        <f>SUM(B97:H97)</f>
        <v>40</v>
      </c>
      <c r="J97" s="1476" t="s">
        <v>1006</v>
      </c>
    </row>
    <row r="98" spans="1:10">
      <c r="A98" s="6562"/>
      <c r="B98" s="6448" t="s">
        <v>174</v>
      </c>
      <c r="C98" s="6448" t="s">
        <v>174</v>
      </c>
      <c r="D98" s="6448" t="s">
        <v>174</v>
      </c>
      <c r="E98" s="6448" t="s">
        <v>174</v>
      </c>
      <c r="F98" s="6448" t="s">
        <v>174</v>
      </c>
      <c r="G98" s="6602"/>
      <c r="H98" s="6603"/>
      <c r="I98" s="6597"/>
      <c r="J98" s="6566"/>
    </row>
    <row r="99" spans="1:10">
      <c r="A99" s="29" t="s">
        <v>1097</v>
      </c>
      <c r="B99" s="256"/>
      <c r="C99" s="256"/>
      <c r="D99" s="256"/>
      <c r="E99" s="256"/>
      <c r="F99" s="256"/>
      <c r="G99" s="18"/>
      <c r="H99" s="257"/>
      <c r="I99" s="267"/>
      <c r="J99" s="30"/>
    </row>
    <row r="100" spans="1:10" ht="12.75">
      <c r="A100" s="1660" t="s">
        <v>10</v>
      </c>
      <c r="B100" s="6587"/>
      <c r="C100" s="6587"/>
      <c r="D100" s="6587"/>
      <c r="E100" s="6587"/>
      <c r="F100" s="6587"/>
      <c r="G100" s="1530"/>
      <c r="H100" s="1549"/>
      <c r="I100" s="1529">
        <f>SUM(B100:H100)</f>
        <v>0</v>
      </c>
      <c r="J100" s="1476" t="s">
        <v>218</v>
      </c>
    </row>
    <row r="101" spans="1:10">
      <c r="A101" s="6562"/>
      <c r="B101" s="6448" t="s">
        <v>174</v>
      </c>
      <c r="C101" s="6448" t="s">
        <v>174</v>
      </c>
      <c r="D101" s="6448" t="s">
        <v>174</v>
      </c>
      <c r="E101" s="6448" t="s">
        <v>174</v>
      </c>
      <c r="F101" s="6448" t="s">
        <v>174</v>
      </c>
      <c r="G101" s="6549"/>
      <c r="H101" s="6577"/>
      <c r="I101" s="6549"/>
      <c r="J101" s="6566"/>
    </row>
    <row r="102" spans="1:10">
      <c r="A102" s="29" t="s">
        <v>1097</v>
      </c>
      <c r="B102" s="256"/>
      <c r="C102" s="256"/>
      <c r="D102" s="256"/>
      <c r="E102" s="256"/>
      <c r="F102" s="256"/>
      <c r="G102" s="238"/>
      <c r="H102" s="32"/>
      <c r="I102" s="238"/>
      <c r="J102" s="30"/>
    </row>
    <row r="103" spans="1:10" ht="12.75">
      <c r="A103" s="15" t="s">
        <v>10</v>
      </c>
      <c r="B103" s="6587"/>
      <c r="C103" s="6587"/>
      <c r="D103" s="6452"/>
      <c r="E103" s="6452"/>
      <c r="F103" s="6452"/>
      <c r="G103" s="238"/>
      <c r="H103" s="32"/>
      <c r="I103" s="256">
        <f>SUM(B103:H103)</f>
        <v>0</v>
      </c>
      <c r="J103" s="36" t="s">
        <v>1001</v>
      </c>
    </row>
    <row r="104" spans="1:10">
      <c r="A104" s="6562" t="s">
        <v>0</v>
      </c>
      <c r="B104" s="6591" t="s">
        <v>10</v>
      </c>
      <c r="C104" s="6591" t="s">
        <v>10</v>
      </c>
      <c r="D104" s="6591" t="s">
        <v>10</v>
      </c>
      <c r="E104" s="6591" t="s">
        <v>10</v>
      </c>
      <c r="F104" s="6591" t="s">
        <v>10</v>
      </c>
      <c r="G104" s="6592"/>
      <c r="H104" s="6577"/>
      <c r="I104" s="6549"/>
      <c r="J104" s="6566" t="s">
        <v>0</v>
      </c>
    </row>
    <row r="105" spans="1:10">
      <c r="A105" s="29" t="s">
        <v>1097</v>
      </c>
      <c r="B105" s="276" t="s">
        <v>1111</v>
      </c>
      <c r="C105" s="276" t="s">
        <v>1111</v>
      </c>
      <c r="D105" s="276" t="s">
        <v>1111</v>
      </c>
      <c r="E105" s="276" t="s">
        <v>1111</v>
      </c>
      <c r="F105" s="276" t="s">
        <v>1111</v>
      </c>
      <c r="G105" s="277"/>
      <c r="H105" s="32"/>
      <c r="I105" s="238"/>
      <c r="J105" s="30"/>
    </row>
    <row r="106" spans="1:10" ht="12.75">
      <c r="A106" s="20" t="s">
        <v>10</v>
      </c>
      <c r="B106" s="1558">
        <v>8</v>
      </c>
      <c r="C106" s="1558">
        <v>8</v>
      </c>
      <c r="D106" s="1558">
        <v>8</v>
      </c>
      <c r="E106" s="1558">
        <v>8</v>
      </c>
      <c r="F106" s="1558">
        <v>8</v>
      </c>
      <c r="G106" s="238"/>
      <c r="H106" s="32"/>
      <c r="I106" s="256">
        <f>SUM(B106:H106)</f>
        <v>40</v>
      </c>
      <c r="J106" s="33" t="s">
        <v>10</v>
      </c>
    </row>
    <row r="107" spans="1:10" ht="12.75">
      <c r="A107" s="6562"/>
      <c r="B107" s="6594" t="s">
        <v>10</v>
      </c>
      <c r="C107" s="6594" t="s">
        <v>10</v>
      </c>
      <c r="D107" s="6594" t="s">
        <v>10</v>
      </c>
      <c r="E107" s="6594" t="s">
        <v>10</v>
      </c>
      <c r="F107" s="6594" t="s">
        <v>10</v>
      </c>
      <c r="G107" s="6604"/>
      <c r="H107" s="6605"/>
      <c r="I107" s="6597"/>
      <c r="J107" s="6566"/>
    </row>
    <row r="108" spans="1:10" ht="12.75">
      <c r="A108" s="29" t="s">
        <v>1097</v>
      </c>
      <c r="B108" s="278" t="s">
        <v>1112</v>
      </c>
      <c r="C108" s="278" t="s">
        <v>1112</v>
      </c>
      <c r="D108" s="278" t="s">
        <v>1112</v>
      </c>
      <c r="E108" s="278" t="s">
        <v>1112</v>
      </c>
      <c r="F108" s="278" t="s">
        <v>1112</v>
      </c>
      <c r="G108" s="37"/>
      <c r="H108" s="275"/>
      <c r="I108" s="267"/>
      <c r="J108" s="30"/>
    </row>
    <row r="109" spans="1:10" ht="12.75">
      <c r="A109" s="1660" t="s">
        <v>10</v>
      </c>
      <c r="B109" s="1554">
        <v>7</v>
      </c>
      <c r="C109" s="1554">
        <v>7</v>
      </c>
      <c r="D109" s="1554">
        <v>7</v>
      </c>
      <c r="E109" s="1554">
        <v>7</v>
      </c>
      <c r="F109" s="1554">
        <v>7</v>
      </c>
      <c r="G109" s="1529"/>
      <c r="H109" s="1556"/>
      <c r="I109" s="1529">
        <f>SUM(B109:H109)</f>
        <v>35</v>
      </c>
      <c r="J109" s="1476" t="s">
        <v>10</v>
      </c>
    </row>
    <row r="110" spans="1:10" ht="12.75">
      <c r="A110" s="6562"/>
      <c r="B110" s="6596" t="s">
        <v>10</v>
      </c>
      <c r="C110" s="6596" t="s">
        <v>10</v>
      </c>
      <c r="D110" s="6596" t="s">
        <v>10</v>
      </c>
      <c r="E110" s="6596" t="s">
        <v>10</v>
      </c>
      <c r="F110" s="6596" t="s">
        <v>10</v>
      </c>
      <c r="G110" s="6442"/>
      <c r="H110" s="6595"/>
      <c r="I110" s="6445"/>
      <c r="J110" s="6566"/>
    </row>
    <row r="111" spans="1:10" ht="12.75">
      <c r="A111" s="29" t="s">
        <v>1097</v>
      </c>
      <c r="B111" s="38" t="s">
        <v>1113</v>
      </c>
      <c r="C111" s="38" t="s">
        <v>1113</v>
      </c>
      <c r="D111" s="38" t="s">
        <v>1113</v>
      </c>
      <c r="E111" s="38" t="s">
        <v>1113</v>
      </c>
      <c r="F111" s="38" t="s">
        <v>1113</v>
      </c>
      <c r="G111" s="275"/>
      <c r="H111" s="35"/>
      <c r="I111" s="267"/>
      <c r="J111" s="30"/>
    </row>
    <row r="112" spans="1:10" ht="12.75">
      <c r="A112" s="1661" t="s">
        <v>10</v>
      </c>
      <c r="B112" s="1555">
        <v>7.5</v>
      </c>
      <c r="C112" s="1555">
        <v>7.5</v>
      </c>
      <c r="D112" s="1555">
        <v>7.5</v>
      </c>
      <c r="E112" s="1555">
        <v>7.5</v>
      </c>
      <c r="F112" s="1555">
        <v>7.5</v>
      </c>
      <c r="G112" s="1529"/>
      <c r="H112" s="1556"/>
      <c r="I112" s="1655">
        <f>SUM(B112:H112)</f>
        <v>37.5</v>
      </c>
      <c r="J112" s="1479" t="s">
        <v>10</v>
      </c>
    </row>
    <row r="113" spans="1:10" ht="12.75">
      <c r="A113" s="6562"/>
      <c r="B113" s="6599" t="s">
        <v>10</v>
      </c>
      <c r="C113" s="6600" t="s">
        <v>10</v>
      </c>
      <c r="D113" s="6600" t="s">
        <v>10</v>
      </c>
      <c r="E113" s="6600" t="s">
        <v>10</v>
      </c>
      <c r="F113" s="6600" t="s">
        <v>10</v>
      </c>
      <c r="G113" s="6442"/>
      <c r="H113" s="6595"/>
      <c r="I113" s="6601"/>
      <c r="J113" s="6566"/>
    </row>
    <row r="114" spans="1:10" ht="12.75">
      <c r="A114" s="29" t="s">
        <v>1097</v>
      </c>
      <c r="B114" s="39" t="s">
        <v>1114</v>
      </c>
      <c r="C114" s="39" t="s">
        <v>1114</v>
      </c>
      <c r="D114" s="39" t="s">
        <v>1114</v>
      </c>
      <c r="E114" s="39" t="s">
        <v>1114</v>
      </c>
      <c r="F114" s="39" t="s">
        <v>1114</v>
      </c>
      <c r="G114" s="275"/>
      <c r="H114" s="35"/>
      <c r="I114" s="231"/>
      <c r="J114" s="30"/>
    </row>
    <row r="115" spans="1:10" ht="12.75">
      <c r="A115" s="1660" t="s">
        <v>10</v>
      </c>
      <c r="B115" s="1557">
        <v>8</v>
      </c>
      <c r="C115" s="1557">
        <v>8</v>
      </c>
      <c r="D115" s="1557">
        <v>8</v>
      </c>
      <c r="E115" s="1557">
        <v>8</v>
      </c>
      <c r="F115" s="1557">
        <v>8</v>
      </c>
      <c r="G115" s="1529"/>
      <c r="H115" s="1529"/>
      <c r="I115" s="1478">
        <f>SUM(B115:H115)</f>
        <v>40</v>
      </c>
      <c r="J115" s="1476" t="s">
        <v>1011</v>
      </c>
    </row>
    <row r="116" spans="1:10">
      <c r="A116" s="24" t="s">
        <v>871</v>
      </c>
      <c r="B116" s="40">
        <f t="shared" ref="B116:I116" si="2">SUM(B73,B76,B79,B82,B85,B88,B91,B94,B97,B100,B103,B106,B109,B112,B115)</f>
        <v>75.75</v>
      </c>
      <c r="C116" s="40">
        <f t="shared" si="2"/>
        <v>75.75</v>
      </c>
      <c r="D116" s="40">
        <f t="shared" si="2"/>
        <v>75.75</v>
      </c>
      <c r="E116" s="40">
        <f t="shared" si="2"/>
        <v>75.75</v>
      </c>
      <c r="F116" s="40">
        <f t="shared" si="2"/>
        <v>75.25</v>
      </c>
      <c r="G116" s="40">
        <f t="shared" si="2"/>
        <v>68.5</v>
      </c>
      <c r="H116" s="40">
        <f t="shared" si="2"/>
        <v>71.5</v>
      </c>
      <c r="I116" s="40">
        <f t="shared" si="2"/>
        <v>518.25</v>
      </c>
      <c r="J116" s="26"/>
    </row>
    <row r="117" spans="1:10" ht="12.75">
      <c r="A117" s="5"/>
      <c r="B117" s="5"/>
      <c r="C117" s="5"/>
      <c r="D117" s="5"/>
      <c r="E117" s="5"/>
      <c r="F117" s="5"/>
      <c r="G117" s="6659" t="s">
        <v>973</v>
      </c>
      <c r="H117" s="6659" t="s">
        <v>974</v>
      </c>
      <c r="I117" s="6659" t="s">
        <v>975</v>
      </c>
    </row>
    <row r="118" spans="1:10" ht="12.75">
      <c r="A118" s="37"/>
      <c r="B118" s="37"/>
      <c r="C118" s="37"/>
      <c r="D118" s="37"/>
      <c r="E118" s="37"/>
      <c r="F118" s="5"/>
      <c r="G118" s="6643">
        <f>I116</f>
        <v>518.25</v>
      </c>
      <c r="H118" s="6644">
        <f>SUM(G118*13/3)</f>
        <v>2245.75</v>
      </c>
      <c r="I118" s="6643">
        <f>SUM(H118*12)</f>
        <v>26949</v>
      </c>
    </row>
    <row r="119" spans="1:10">
      <c r="A119" s="5"/>
      <c r="B119" s="5"/>
      <c r="C119" s="5"/>
      <c r="D119" s="5"/>
      <c r="E119" s="5"/>
      <c r="F119" s="5"/>
      <c r="G119" s="5"/>
      <c r="H119" s="23"/>
      <c r="I119" s="5"/>
    </row>
    <row r="120" spans="1:10">
      <c r="A120" s="5"/>
      <c r="B120" s="5"/>
      <c r="C120" s="5"/>
      <c r="D120" s="5"/>
      <c r="E120" s="5"/>
      <c r="F120" s="5"/>
      <c r="G120" s="5"/>
      <c r="H120" s="23"/>
      <c r="I120" s="5"/>
    </row>
    <row r="121" spans="1:10">
      <c r="A121" s="5"/>
      <c r="B121" s="5"/>
      <c r="C121" s="5"/>
      <c r="D121" s="5" t="s">
        <v>1115</v>
      </c>
      <c r="E121" s="5"/>
      <c r="F121" s="5"/>
      <c r="G121" s="5"/>
      <c r="H121" s="23"/>
      <c r="I121" s="5"/>
    </row>
    <row r="122" spans="1:10" ht="12.75">
      <c r="A122" s="6660"/>
      <c r="B122" s="6554" t="s">
        <v>10</v>
      </c>
      <c r="C122" s="6554" t="s">
        <v>10</v>
      </c>
      <c r="D122" s="6554" t="s">
        <v>10</v>
      </c>
      <c r="E122" s="6554" t="s">
        <v>10</v>
      </c>
      <c r="F122" s="6554" t="s">
        <v>10</v>
      </c>
      <c r="G122" s="6661" t="s">
        <v>10</v>
      </c>
      <c r="H122" s="6662" t="s">
        <v>10</v>
      </c>
      <c r="I122" s="5"/>
    </row>
    <row r="123" spans="1:10" ht="12.75">
      <c r="A123" s="1660" t="s">
        <v>10</v>
      </c>
      <c r="B123" s="1544">
        <v>8.25</v>
      </c>
      <c r="C123" s="1544">
        <v>8.25</v>
      </c>
      <c r="D123" s="1544">
        <v>8.25</v>
      </c>
      <c r="E123" s="1544">
        <v>8.25</v>
      </c>
      <c r="F123" s="1544">
        <v>8.25</v>
      </c>
      <c r="G123" s="6663">
        <v>12.25</v>
      </c>
      <c r="H123" s="6664">
        <v>12.25</v>
      </c>
      <c r="I123" s="5"/>
    </row>
    <row r="124" spans="1:10">
      <c r="A124" s="6660"/>
      <c r="B124" s="6448" t="s">
        <v>174</v>
      </c>
      <c r="C124" s="6448" t="s">
        <v>174</v>
      </c>
      <c r="D124" s="6448" t="s">
        <v>174</v>
      </c>
      <c r="E124" s="6448" t="s">
        <v>174</v>
      </c>
      <c r="F124" s="6448" t="s">
        <v>174</v>
      </c>
      <c r="G124" s="6449"/>
      <c r="H124" s="6665"/>
      <c r="I124" s="5"/>
    </row>
    <row r="125" spans="1:10" ht="12.75">
      <c r="A125" s="1660" t="s">
        <v>10</v>
      </c>
      <c r="B125" s="6452"/>
      <c r="C125" s="6452"/>
      <c r="D125" s="6452"/>
      <c r="E125" s="6452"/>
      <c r="F125" s="6452"/>
      <c r="G125" s="6504"/>
      <c r="H125" s="6666"/>
      <c r="I125" s="5"/>
    </row>
    <row r="126" spans="1:10" ht="12.75">
      <c r="A126" s="6660"/>
      <c r="B126" s="6581" t="s">
        <v>10</v>
      </c>
      <c r="C126" s="6581" t="s">
        <v>10</v>
      </c>
      <c r="D126" s="6581" t="s">
        <v>10</v>
      </c>
      <c r="E126" s="6581" t="s">
        <v>10</v>
      </c>
      <c r="F126" s="6581" t="s">
        <v>10</v>
      </c>
      <c r="G126" s="6578" t="s">
        <v>10</v>
      </c>
      <c r="H126" s="6579" t="s">
        <v>10</v>
      </c>
      <c r="I126" s="5"/>
    </row>
    <row r="127" spans="1:10" ht="12.75">
      <c r="A127" s="1660" t="s">
        <v>10</v>
      </c>
      <c r="B127" s="1553">
        <v>7</v>
      </c>
      <c r="C127" s="1553">
        <v>7</v>
      </c>
      <c r="D127" s="1553">
        <v>7</v>
      </c>
      <c r="E127" s="1553">
        <v>7</v>
      </c>
      <c r="F127" s="1553">
        <v>6.5</v>
      </c>
      <c r="G127" s="1551">
        <v>12</v>
      </c>
      <c r="H127" s="1552">
        <v>12</v>
      </c>
      <c r="I127" s="5"/>
    </row>
    <row r="128" spans="1:10">
      <c r="A128" s="6660"/>
      <c r="B128" s="6448" t="s">
        <v>174</v>
      </c>
      <c r="C128" s="6448" t="s">
        <v>174</v>
      </c>
      <c r="D128" s="6448" t="s">
        <v>174</v>
      </c>
      <c r="E128" s="6448" t="s">
        <v>174</v>
      </c>
      <c r="F128" s="6448" t="s">
        <v>174</v>
      </c>
      <c r="G128" s="6449"/>
      <c r="H128" s="6665"/>
      <c r="I128" s="5"/>
    </row>
    <row r="129" spans="1:8" ht="12.75">
      <c r="A129" s="1660" t="s">
        <v>10</v>
      </c>
      <c r="B129" s="6452"/>
      <c r="C129" s="6452"/>
      <c r="D129" s="6452"/>
      <c r="E129" s="6452"/>
      <c r="F129" s="6452"/>
      <c r="G129" s="6504"/>
      <c r="H129" s="6666"/>
    </row>
    <row r="130" spans="1:8" ht="12.75">
      <c r="A130" s="6660"/>
      <c r="B130" s="6594" t="s">
        <v>10</v>
      </c>
      <c r="C130" s="6594" t="s">
        <v>10</v>
      </c>
      <c r="D130" s="6594" t="s">
        <v>10</v>
      </c>
      <c r="E130" s="6594" t="s">
        <v>10</v>
      </c>
      <c r="F130" s="6594" t="s">
        <v>10</v>
      </c>
      <c r="G130" s="6439"/>
      <c r="H130" s="6667"/>
    </row>
    <row r="131" spans="1:8" ht="12.75">
      <c r="A131" s="1660" t="s">
        <v>10</v>
      </c>
      <c r="B131" s="1554">
        <v>7</v>
      </c>
      <c r="C131" s="1554">
        <v>7</v>
      </c>
      <c r="D131" s="1554">
        <v>7</v>
      </c>
      <c r="E131" s="1554">
        <v>7</v>
      </c>
      <c r="F131" s="1554">
        <v>7</v>
      </c>
      <c r="G131" s="6452"/>
      <c r="H131" s="6668"/>
    </row>
    <row r="132" spans="1:8" ht="12.75">
      <c r="A132" s="6660"/>
      <c r="B132" s="6563" t="s">
        <v>10</v>
      </c>
      <c r="C132" s="6563" t="s">
        <v>10</v>
      </c>
      <c r="D132" s="6563" t="s">
        <v>10</v>
      </c>
      <c r="E132" s="6563" t="s">
        <v>10</v>
      </c>
      <c r="F132" s="6563" t="s">
        <v>10</v>
      </c>
      <c r="G132" s="6564" t="s">
        <v>10</v>
      </c>
      <c r="H132" s="6565" t="s">
        <v>10</v>
      </c>
    </row>
    <row r="133" spans="1:8" ht="12.75">
      <c r="A133" s="1660" t="s">
        <v>10</v>
      </c>
      <c r="B133" s="1536">
        <v>7</v>
      </c>
      <c r="C133" s="1536">
        <v>7</v>
      </c>
      <c r="D133" s="1536">
        <v>7</v>
      </c>
      <c r="E133" s="1536">
        <v>7</v>
      </c>
      <c r="F133" s="1536">
        <v>7</v>
      </c>
      <c r="G133" s="1546">
        <v>11</v>
      </c>
      <c r="H133" s="1547">
        <v>11</v>
      </c>
    </row>
    <row r="134" spans="1:8">
      <c r="A134" s="6660"/>
      <c r="B134" s="6448" t="s">
        <v>174</v>
      </c>
      <c r="C134" s="6448" t="s">
        <v>174</v>
      </c>
      <c r="D134" s="6448" t="s">
        <v>174</v>
      </c>
      <c r="E134" s="6448" t="s">
        <v>174</v>
      </c>
      <c r="F134" s="6448" t="s">
        <v>174</v>
      </c>
      <c r="G134" s="6457"/>
      <c r="H134" s="6380"/>
    </row>
    <row r="135" spans="1:8" ht="12.75">
      <c r="A135" s="1660" t="s">
        <v>10</v>
      </c>
      <c r="B135" s="6452"/>
      <c r="C135" s="6452"/>
      <c r="D135" s="6452"/>
      <c r="E135" s="6452"/>
      <c r="F135" s="6452"/>
      <c r="G135" s="6462"/>
      <c r="H135" s="6460"/>
    </row>
    <row r="136" spans="1:8" ht="12.75">
      <c r="A136" s="6660"/>
      <c r="B136" s="6583" t="s">
        <v>10</v>
      </c>
      <c r="C136" s="6583" t="s">
        <v>10</v>
      </c>
      <c r="D136" s="6583" t="s">
        <v>10</v>
      </c>
      <c r="E136" s="6583" t="s">
        <v>10</v>
      </c>
      <c r="F136" s="6583" t="s">
        <v>10</v>
      </c>
      <c r="G136" s="6578" t="s">
        <v>10</v>
      </c>
      <c r="H136" s="6579" t="s">
        <v>10</v>
      </c>
    </row>
    <row r="137" spans="1:8" ht="12.75">
      <c r="A137" s="1660" t="s">
        <v>10</v>
      </c>
      <c r="B137" s="260">
        <v>7</v>
      </c>
      <c r="C137" s="260">
        <v>7</v>
      </c>
      <c r="D137" s="260">
        <v>7</v>
      </c>
      <c r="E137" s="260">
        <v>7</v>
      </c>
      <c r="F137" s="260">
        <v>7</v>
      </c>
      <c r="G137" s="261">
        <v>9</v>
      </c>
      <c r="H137" s="1552">
        <v>12</v>
      </c>
    </row>
    <row r="138" spans="1:8">
      <c r="A138" s="6660"/>
      <c r="B138" s="6448" t="s">
        <v>174</v>
      </c>
      <c r="C138" s="6448" t="s">
        <v>174</v>
      </c>
      <c r="D138" s="6448" t="s">
        <v>174</v>
      </c>
      <c r="E138" s="6448" t="s">
        <v>174</v>
      </c>
      <c r="F138" s="6448" t="s">
        <v>174</v>
      </c>
      <c r="G138" s="6457"/>
      <c r="H138" s="6380"/>
    </row>
    <row r="139" spans="1:8" ht="12.75">
      <c r="A139" s="15" t="s">
        <v>10</v>
      </c>
      <c r="B139" s="6452"/>
      <c r="C139" s="6452"/>
      <c r="D139" s="6452"/>
      <c r="E139" s="6452"/>
      <c r="F139" s="6452"/>
      <c r="G139" s="6462"/>
      <c r="H139" s="6460"/>
    </row>
    <row r="140" spans="1:8" ht="12.75">
      <c r="A140" s="6660"/>
      <c r="B140" s="6596" t="s">
        <v>10</v>
      </c>
      <c r="C140" s="6596" t="s">
        <v>10</v>
      </c>
      <c r="D140" s="6596" t="s">
        <v>10</v>
      </c>
      <c r="E140" s="6596" t="s">
        <v>10</v>
      </c>
      <c r="F140" s="6596" t="s">
        <v>10</v>
      </c>
      <c r="G140" s="6439"/>
      <c r="H140" s="6667"/>
    </row>
    <row r="141" spans="1:8" ht="12.75">
      <c r="A141" s="1661" t="s">
        <v>10</v>
      </c>
      <c r="B141" s="1555">
        <v>7.5</v>
      </c>
      <c r="C141" s="1555">
        <v>7.5</v>
      </c>
      <c r="D141" s="1555">
        <v>7.5</v>
      </c>
      <c r="E141" s="1555">
        <v>7.5</v>
      </c>
      <c r="F141" s="1555">
        <v>7.5</v>
      </c>
      <c r="G141" s="6452"/>
      <c r="H141" s="6668"/>
    </row>
    <row r="142" spans="1:8" ht="12.75">
      <c r="A142" s="6660"/>
      <c r="B142" s="6571" t="s">
        <v>10</v>
      </c>
      <c r="C142" s="6571" t="s">
        <v>10</v>
      </c>
      <c r="D142" s="6571" t="s">
        <v>10</v>
      </c>
      <c r="E142" s="6571" t="s">
        <v>10</v>
      </c>
      <c r="F142" s="6571" t="s">
        <v>10</v>
      </c>
      <c r="G142" s="6565" t="s">
        <v>10</v>
      </c>
      <c r="H142" s="6565" t="s">
        <v>10</v>
      </c>
    </row>
    <row r="143" spans="1:8" ht="12.75">
      <c r="A143" s="1660" t="s">
        <v>10</v>
      </c>
      <c r="B143" s="1548">
        <v>8</v>
      </c>
      <c r="C143" s="1548">
        <v>8</v>
      </c>
      <c r="D143" s="1548">
        <v>8</v>
      </c>
      <c r="E143" s="1548">
        <v>8</v>
      </c>
      <c r="F143" s="1548">
        <v>8</v>
      </c>
      <c r="G143" s="1546">
        <v>12</v>
      </c>
      <c r="H143" s="1546">
        <v>12</v>
      </c>
    </row>
    <row r="144" spans="1:8" ht="12.75">
      <c r="A144" s="6669"/>
      <c r="B144" s="6448" t="s">
        <v>174</v>
      </c>
      <c r="C144" s="6448" t="s">
        <v>174</v>
      </c>
      <c r="D144" s="6448" t="s">
        <v>174</v>
      </c>
      <c r="E144" s="6448" t="s">
        <v>174</v>
      </c>
      <c r="F144" s="6448" t="s">
        <v>174</v>
      </c>
      <c r="G144" s="6578" t="s">
        <v>10</v>
      </c>
      <c r="H144" s="6579" t="s">
        <v>10</v>
      </c>
    </row>
    <row r="145" spans="1:10" ht="12.75">
      <c r="A145" s="1660" t="s">
        <v>10</v>
      </c>
      <c r="B145" s="6452"/>
      <c r="C145" s="6452"/>
      <c r="D145" s="6452"/>
      <c r="E145" s="6452"/>
      <c r="F145" s="6452"/>
      <c r="G145" s="1551">
        <v>12.25</v>
      </c>
      <c r="H145" s="1552">
        <v>12.25</v>
      </c>
      <c r="I145" s="5"/>
    </row>
    <row r="146" spans="1:10" ht="12.75">
      <c r="A146" s="6660"/>
      <c r="B146" s="262" t="s">
        <v>10</v>
      </c>
      <c r="C146" s="262" t="s">
        <v>10</v>
      </c>
      <c r="D146" s="262" t="s">
        <v>10</v>
      </c>
      <c r="E146" s="262" t="s">
        <v>10</v>
      </c>
      <c r="F146" s="262" t="s">
        <v>10</v>
      </c>
      <c r="G146" s="6442"/>
      <c r="H146" s="6595"/>
      <c r="I146" s="5"/>
    </row>
    <row r="147" spans="1:10" ht="12.75">
      <c r="A147" s="1660" t="s">
        <v>10</v>
      </c>
      <c r="B147" s="263">
        <v>8</v>
      </c>
      <c r="C147" s="263">
        <v>8</v>
      </c>
      <c r="D147" s="263">
        <v>8</v>
      </c>
      <c r="E147" s="263">
        <v>8</v>
      </c>
      <c r="F147" s="263">
        <v>8</v>
      </c>
      <c r="G147" s="1529"/>
      <c r="H147" s="1556"/>
      <c r="I147" s="5"/>
    </row>
    <row r="148" spans="1:10">
      <c r="A148" s="6660" t="s">
        <v>0</v>
      </c>
      <c r="B148" s="6591" t="s">
        <v>10</v>
      </c>
      <c r="C148" s="6591" t="s">
        <v>10</v>
      </c>
      <c r="D148" s="6591" t="s">
        <v>10</v>
      </c>
      <c r="E148" s="6591" t="s">
        <v>10</v>
      </c>
      <c r="F148" s="6591" t="s">
        <v>10</v>
      </c>
      <c r="G148" s="6461"/>
      <c r="H148" s="6380"/>
      <c r="I148" s="5"/>
    </row>
    <row r="149" spans="1:10" ht="12.75">
      <c r="A149" s="20" t="s">
        <v>10</v>
      </c>
      <c r="B149" s="1558">
        <v>8</v>
      </c>
      <c r="C149" s="1558">
        <v>8</v>
      </c>
      <c r="D149" s="1558">
        <v>8</v>
      </c>
      <c r="E149" s="1558">
        <v>8</v>
      </c>
      <c r="F149" s="1558">
        <v>8</v>
      </c>
      <c r="G149" s="6462"/>
      <c r="H149" s="6460"/>
      <c r="I149" s="5"/>
    </row>
    <row r="150" spans="1:10" ht="12.75">
      <c r="A150" s="6660"/>
      <c r="B150" s="6599" t="s">
        <v>10</v>
      </c>
      <c r="C150" s="6600" t="s">
        <v>10</v>
      </c>
      <c r="D150" s="6600" t="s">
        <v>10</v>
      </c>
      <c r="E150" s="6600" t="s">
        <v>10</v>
      </c>
      <c r="F150" s="6600" t="s">
        <v>10</v>
      </c>
      <c r="G150" s="6439"/>
      <c r="H150" s="6667"/>
      <c r="I150" s="5"/>
    </row>
    <row r="151" spans="1:10" ht="12.75">
      <c r="A151" s="1660" t="s">
        <v>10</v>
      </c>
      <c r="B151" s="1557">
        <v>8</v>
      </c>
      <c r="C151" s="1557">
        <v>8</v>
      </c>
      <c r="D151" s="1557">
        <v>8</v>
      </c>
      <c r="E151" s="1557">
        <v>8</v>
      </c>
      <c r="F151" s="1557">
        <v>8</v>
      </c>
      <c r="G151" s="6452"/>
      <c r="H151" s="6668"/>
      <c r="I151" s="5"/>
    </row>
    <row r="152" spans="1:10">
      <c r="A152" s="5"/>
      <c r="B152" s="5"/>
      <c r="C152" s="5"/>
      <c r="D152" s="5"/>
      <c r="E152" s="5"/>
      <c r="F152" s="5"/>
      <c r="G152" s="5"/>
      <c r="H152" s="23"/>
      <c r="I152" s="5"/>
    </row>
    <row r="153" spans="1:10">
      <c r="A153" s="5"/>
      <c r="B153" s="5"/>
      <c r="C153" s="5"/>
      <c r="D153" s="5"/>
      <c r="E153" s="5"/>
      <c r="F153" s="5"/>
      <c r="G153" s="5"/>
      <c r="H153" s="23"/>
      <c r="I153" s="5"/>
    </row>
    <row r="154" spans="1:10" ht="12.75">
      <c r="A154" s="1" t="s">
        <v>1013</v>
      </c>
      <c r="B154" s="5"/>
      <c r="C154" s="5"/>
      <c r="D154" s="5"/>
      <c r="E154" s="5"/>
      <c r="F154" s="5"/>
    </row>
    <row r="155" spans="1:10" ht="12.75">
      <c r="A155" s="6175" t="s">
        <v>1014</v>
      </c>
      <c r="B155" s="6442" t="s">
        <v>19</v>
      </c>
      <c r="C155" s="6443" t="s">
        <v>20</v>
      </c>
      <c r="D155" s="6443" t="s">
        <v>21</v>
      </c>
      <c r="E155" s="6443" t="s">
        <v>22</v>
      </c>
      <c r="F155" s="6443" t="s">
        <v>23</v>
      </c>
      <c r="G155" s="6443" t="s">
        <v>24</v>
      </c>
      <c r="H155" s="6444" t="s">
        <v>25</v>
      </c>
      <c r="I155" s="6445" t="s">
        <v>202</v>
      </c>
      <c r="J155" s="6446" t="s">
        <v>108</v>
      </c>
    </row>
    <row r="156" spans="1:10" ht="12.75">
      <c r="A156" s="6447" t="s">
        <v>0</v>
      </c>
      <c r="B156" s="6439" t="s">
        <v>10</v>
      </c>
      <c r="C156" s="6439" t="s">
        <v>10</v>
      </c>
      <c r="D156" s="6439" t="s">
        <v>10</v>
      </c>
      <c r="E156" s="6439" t="s">
        <v>10</v>
      </c>
      <c r="F156" s="6439" t="s">
        <v>10</v>
      </c>
      <c r="G156" s="6440"/>
      <c r="H156" s="6440"/>
      <c r="I156" s="6448"/>
      <c r="J156" s="6450"/>
    </row>
    <row r="157" spans="1:10">
      <c r="A157" s="6645" t="s">
        <v>941</v>
      </c>
      <c r="B157" s="6643">
        <v>7.75</v>
      </c>
      <c r="C157" s="6643">
        <v>7.75</v>
      </c>
      <c r="D157" s="6643">
        <v>7.75</v>
      </c>
      <c r="E157" s="6643">
        <v>7.75</v>
      </c>
      <c r="F157" s="6643">
        <v>6</v>
      </c>
      <c r="G157" s="6670"/>
      <c r="H157" s="6670"/>
      <c r="I157" s="6643">
        <f>SUM(B157:H157)</f>
        <v>37</v>
      </c>
      <c r="J157" s="6647"/>
    </row>
    <row r="158" spans="1:10" ht="12.75">
      <c r="A158" s="6671"/>
      <c r="B158" s="6658" t="s">
        <v>1116</v>
      </c>
      <c r="C158" s="6658" t="s">
        <v>1116</v>
      </c>
      <c r="D158" s="6658" t="s">
        <v>1116</v>
      </c>
      <c r="E158" s="6658" t="s">
        <v>1116</v>
      </c>
      <c r="F158" s="6658" t="s">
        <v>1117</v>
      </c>
      <c r="G158" s="6609"/>
      <c r="H158" s="6609"/>
      <c r="I158" s="6587"/>
      <c r="J158" s="6610"/>
    </row>
    <row r="159" spans="1:10" ht="12.75">
      <c r="A159" s="6323" t="s">
        <v>968</v>
      </c>
      <c r="B159" s="6439" t="s">
        <v>19</v>
      </c>
      <c r="C159" s="6440" t="s">
        <v>20</v>
      </c>
      <c r="D159" s="6440" t="s">
        <v>21</v>
      </c>
      <c r="E159" s="6440" t="s">
        <v>22</v>
      </c>
      <c r="F159" s="6440" t="s">
        <v>23</v>
      </c>
      <c r="G159" s="6440" t="s">
        <v>24</v>
      </c>
      <c r="H159" s="6440" t="s">
        <v>25</v>
      </c>
      <c r="I159" s="6457" t="s">
        <v>202</v>
      </c>
      <c r="J159" s="6441" t="s">
        <v>108</v>
      </c>
    </row>
    <row r="160" spans="1:10" ht="12.75">
      <c r="A160" s="6645" t="s">
        <v>0</v>
      </c>
      <c r="B160" s="6672" t="s">
        <v>10</v>
      </c>
      <c r="C160" s="6672" t="s">
        <v>10</v>
      </c>
      <c r="D160" s="6672" t="s">
        <v>10</v>
      </c>
      <c r="E160" s="6672" t="s">
        <v>10</v>
      </c>
      <c r="F160" s="6672" t="s">
        <v>10</v>
      </c>
      <c r="G160" s="6670"/>
      <c r="H160" s="6670"/>
      <c r="I160" s="6643"/>
      <c r="J160" s="6647"/>
    </row>
    <row r="161" spans="1:10" ht="12.75">
      <c r="A161" s="6643" t="s">
        <v>1021</v>
      </c>
      <c r="B161" s="6672" t="s">
        <v>1085</v>
      </c>
      <c r="C161" s="6672" t="s">
        <v>1085</v>
      </c>
      <c r="D161" s="6672" t="s">
        <v>1085</v>
      </c>
      <c r="E161" s="6672" t="s">
        <v>1085</v>
      </c>
      <c r="F161" s="6672" t="s">
        <v>1086</v>
      </c>
      <c r="G161" s="6670"/>
      <c r="H161" s="6670"/>
      <c r="I161" s="6643"/>
      <c r="J161" s="6647"/>
    </row>
    <row r="162" spans="1:10">
      <c r="A162" s="256"/>
      <c r="B162" s="256">
        <v>7.75</v>
      </c>
      <c r="C162" s="256">
        <v>7.75</v>
      </c>
      <c r="D162" s="256">
        <v>7.75</v>
      </c>
      <c r="E162" s="256">
        <v>7.75</v>
      </c>
      <c r="F162" s="256">
        <v>6</v>
      </c>
      <c r="G162" s="241"/>
      <c r="H162" s="17"/>
      <c r="I162" s="258">
        <f>SUM(B162:H162)</f>
        <v>37</v>
      </c>
      <c r="J162" s="228"/>
    </row>
    <row r="163" spans="1:10">
      <c r="A163" s="6673" t="s">
        <v>871</v>
      </c>
      <c r="B163" s="6674">
        <f>SUM(B157,B162)</f>
        <v>15.5</v>
      </c>
      <c r="C163" s="6674">
        <f>SUM(C157,C162)</f>
        <v>15.5</v>
      </c>
      <c r="D163" s="6674">
        <f>SUM(D157,D162)</f>
        <v>15.5</v>
      </c>
      <c r="E163" s="6674">
        <f>SUM(E157,E162)</f>
        <v>15.5</v>
      </c>
      <c r="F163" s="6674">
        <f>SUM(F157,F162)</f>
        <v>12</v>
      </c>
      <c r="G163" s="3200"/>
      <c r="H163" s="6675"/>
      <c r="I163" s="6676">
        <f>SUM(B163:H163)</f>
        <v>74</v>
      </c>
      <c r="J163" s="6677"/>
    </row>
    <row r="164" spans="1:10" ht="12.75">
      <c r="A164" s="37"/>
      <c r="B164" s="5"/>
      <c r="C164" s="5"/>
      <c r="D164" s="5"/>
      <c r="E164" s="5"/>
      <c r="F164" s="18"/>
      <c r="G164" s="6659" t="s">
        <v>973</v>
      </c>
      <c r="H164" s="6659" t="s">
        <v>974</v>
      </c>
      <c r="I164" s="6659" t="s">
        <v>975</v>
      </c>
      <c r="J164" s="6"/>
    </row>
    <row r="165" spans="1:10" ht="12.75">
      <c r="A165" s="37"/>
      <c r="B165" s="5"/>
      <c r="C165" s="5"/>
      <c r="D165" s="5"/>
      <c r="E165" s="5"/>
      <c r="F165" s="18"/>
      <c r="G165" s="6643">
        <f>SUM(I163)</f>
        <v>74</v>
      </c>
      <c r="H165" s="6644">
        <f>SUM(G165*13/3)</f>
        <v>320.66666666666669</v>
      </c>
      <c r="I165" s="6643">
        <f>SUM(H165*12)</f>
        <v>3848</v>
      </c>
      <c r="J165" s="6"/>
    </row>
    <row r="166" spans="1:10" ht="12.75">
      <c r="A166" s="1" t="s">
        <v>1022</v>
      </c>
      <c r="B166" s="5"/>
      <c r="C166" s="5"/>
      <c r="D166" s="5"/>
      <c r="E166" s="5"/>
      <c r="F166" s="5"/>
    </row>
    <row r="167" spans="1:10" ht="12.75">
      <c r="A167" s="6323" t="s">
        <v>1023</v>
      </c>
      <c r="B167" s="6439" t="s">
        <v>19</v>
      </c>
      <c r="C167" s="6440" t="s">
        <v>20</v>
      </c>
      <c r="D167" s="6440" t="s">
        <v>21</v>
      </c>
      <c r="E167" s="6440" t="s">
        <v>22</v>
      </c>
      <c r="F167" s="6440" t="s">
        <v>23</v>
      </c>
      <c r="G167" s="6440" t="s">
        <v>24</v>
      </c>
      <c r="H167" s="6440" t="s">
        <v>25</v>
      </c>
      <c r="I167" s="6457" t="s">
        <v>202</v>
      </c>
      <c r="J167" s="6441" t="s">
        <v>108</v>
      </c>
    </row>
    <row r="168" spans="1:10">
      <c r="A168" s="6645" t="s">
        <v>0</v>
      </c>
      <c r="B168" s="6643" t="s">
        <v>1024</v>
      </c>
      <c r="C168" s="6643" t="s">
        <v>1024</v>
      </c>
      <c r="D168" s="6643" t="s">
        <v>1024</v>
      </c>
      <c r="E168" s="6643" t="s">
        <v>1024</v>
      </c>
      <c r="F168" s="6643" t="s">
        <v>1025</v>
      </c>
      <c r="G168" s="6670"/>
      <c r="H168" s="6670"/>
      <c r="I168" s="6643"/>
      <c r="J168" s="6647"/>
    </row>
    <row r="169" spans="1:10">
      <c r="A169" s="6645" t="s">
        <v>943</v>
      </c>
      <c r="B169" s="6643">
        <v>8</v>
      </c>
      <c r="C169" s="6643">
        <v>8</v>
      </c>
      <c r="D169" s="6643">
        <v>8</v>
      </c>
      <c r="E169" s="6643">
        <v>8</v>
      </c>
      <c r="F169" s="6643">
        <v>5</v>
      </c>
      <c r="G169" s="6670"/>
      <c r="H169" s="6670"/>
      <c r="I169" s="6643">
        <f>SUM(B169:H169)</f>
        <v>37</v>
      </c>
      <c r="J169" s="6647"/>
    </row>
    <row r="170" spans="1:10" ht="12.75">
      <c r="A170" s="6451"/>
      <c r="B170" s="6640" t="s">
        <v>1118</v>
      </c>
      <c r="C170" s="6640" t="s">
        <v>1118</v>
      </c>
      <c r="D170" s="6640" t="s">
        <v>1118</v>
      </c>
      <c r="E170" s="6640" t="s">
        <v>1118</v>
      </c>
      <c r="F170" s="6640" t="s">
        <v>1119</v>
      </c>
      <c r="G170" s="6641"/>
      <c r="H170" s="6641"/>
      <c r="I170" s="6452"/>
      <c r="J170" s="6506"/>
    </row>
    <row r="171" spans="1:10" ht="12.75">
      <c r="A171" s="37"/>
      <c r="B171" s="5"/>
      <c r="C171" s="5"/>
      <c r="D171" s="5"/>
      <c r="E171" s="5"/>
      <c r="F171" s="18"/>
      <c r="G171" s="639" t="s">
        <v>973</v>
      </c>
      <c r="H171" s="639" t="s">
        <v>974</v>
      </c>
      <c r="I171" s="639" t="s">
        <v>975</v>
      </c>
      <c r="J171" s="6"/>
    </row>
    <row r="172" spans="1:10" ht="12.75">
      <c r="A172" s="37"/>
      <c r="B172" s="5"/>
      <c r="C172" s="5"/>
      <c r="D172" s="5"/>
      <c r="E172" s="5"/>
      <c r="F172" s="18"/>
      <c r="G172" s="6643">
        <f>I169</f>
        <v>37</v>
      </c>
      <c r="H172" s="6644">
        <f>SUM(G172*13/3)</f>
        <v>160.33333333333334</v>
      </c>
      <c r="I172" s="6643">
        <f>SUM(H172*12)</f>
        <v>1924</v>
      </c>
      <c r="J172" s="6"/>
    </row>
    <row r="181" spans="1:10" ht="12.75">
      <c r="A181" s="1" t="s">
        <v>1120</v>
      </c>
      <c r="B181" s="5"/>
      <c r="C181" s="5"/>
      <c r="D181" s="5"/>
      <c r="E181" s="5"/>
      <c r="F181" s="5"/>
    </row>
    <row r="182" spans="1:10" ht="12.75">
      <c r="A182" s="6175" t="s">
        <v>947</v>
      </c>
      <c r="B182" s="6442" t="s">
        <v>19</v>
      </c>
      <c r="C182" s="6443" t="s">
        <v>20</v>
      </c>
      <c r="D182" s="6443" t="s">
        <v>21</v>
      </c>
      <c r="E182" s="6443" t="s">
        <v>22</v>
      </c>
      <c r="F182" s="6443" t="s">
        <v>23</v>
      </c>
      <c r="G182" s="6443" t="s">
        <v>24</v>
      </c>
      <c r="H182" s="6444" t="s">
        <v>25</v>
      </c>
      <c r="I182" s="6445" t="s">
        <v>202</v>
      </c>
      <c r="J182" s="6446" t="s">
        <v>108</v>
      </c>
    </row>
    <row r="183" spans="1:10" ht="12.75">
      <c r="A183" s="6447" t="s">
        <v>912</v>
      </c>
      <c r="B183" s="6448" t="s">
        <v>1030</v>
      </c>
      <c r="C183" s="6448" t="s">
        <v>1030</v>
      </c>
      <c r="D183" s="6448" t="s">
        <v>1030</v>
      </c>
      <c r="E183" s="6448" t="s">
        <v>1030</v>
      </c>
      <c r="F183" s="6678" t="s">
        <v>10</v>
      </c>
      <c r="G183" s="6440"/>
      <c r="H183" s="6440"/>
      <c r="I183" s="6448"/>
      <c r="J183" s="6450" t="s">
        <v>0</v>
      </c>
    </row>
    <row r="184" spans="1:10" ht="12.75">
      <c r="A184" s="6518"/>
      <c r="B184" s="6643">
        <v>8</v>
      </c>
      <c r="C184" s="6643">
        <v>8</v>
      </c>
      <c r="D184" s="6643">
        <v>8</v>
      </c>
      <c r="E184" s="6643">
        <v>8</v>
      </c>
      <c r="F184" s="6679">
        <v>7</v>
      </c>
      <c r="G184" s="6670"/>
      <c r="H184" s="6670"/>
      <c r="I184" s="6643">
        <f>SUM(B184:H184)</f>
        <v>39</v>
      </c>
      <c r="J184" s="6647"/>
    </row>
    <row r="185" spans="1:10" ht="12.75">
      <c r="A185" s="6607"/>
      <c r="B185" s="6658" t="s">
        <v>1121</v>
      </c>
      <c r="C185" s="6658" t="s">
        <v>1121</v>
      </c>
      <c r="D185" s="6658" t="s">
        <v>1121</v>
      </c>
      <c r="E185" s="6658" t="s">
        <v>1121</v>
      </c>
      <c r="F185" s="6680" t="s">
        <v>1122</v>
      </c>
      <c r="G185" s="6609"/>
      <c r="H185" s="6609"/>
      <c r="I185" s="6587"/>
      <c r="J185" s="6610"/>
    </row>
    <row r="186" spans="1:10">
      <c r="A186" s="6447" t="s">
        <v>916</v>
      </c>
      <c r="B186" s="6448" t="s">
        <v>1033</v>
      </c>
      <c r="C186" s="6448" t="s">
        <v>1033</v>
      </c>
      <c r="D186" s="6448" t="s">
        <v>1033</v>
      </c>
      <c r="E186" s="6448" t="s">
        <v>1033</v>
      </c>
      <c r="F186" s="6484" t="s">
        <v>1034</v>
      </c>
      <c r="G186" s="6440"/>
      <c r="H186" s="6440"/>
      <c r="I186" s="6448"/>
      <c r="J186" s="6450"/>
    </row>
    <row r="187" spans="1:10" ht="12.75">
      <c r="A187" s="6518"/>
      <c r="B187" s="6643">
        <v>6.5</v>
      </c>
      <c r="C187" s="6643">
        <v>6.5</v>
      </c>
      <c r="D187" s="6643">
        <v>6.5</v>
      </c>
      <c r="E187" s="6643">
        <v>6.5</v>
      </c>
      <c r="F187" s="6681">
        <v>6.25</v>
      </c>
      <c r="G187" s="6670"/>
      <c r="H187" s="6670"/>
      <c r="I187" s="6643">
        <f>SUM(B187:H187)</f>
        <v>32.25</v>
      </c>
      <c r="J187" s="6647"/>
    </row>
    <row r="188" spans="1:10" ht="12.75">
      <c r="A188" s="6612"/>
      <c r="B188" s="6640" t="s">
        <v>1123</v>
      </c>
      <c r="C188" s="6640" t="s">
        <v>1123</v>
      </c>
      <c r="D188" s="6640" t="s">
        <v>1123</v>
      </c>
      <c r="E188" s="6640" t="s">
        <v>1123</v>
      </c>
      <c r="F188" s="6682" t="s">
        <v>1124</v>
      </c>
      <c r="G188" s="6641"/>
      <c r="H188" s="6641"/>
      <c r="I188" s="6452"/>
      <c r="J188" s="6506"/>
    </row>
    <row r="189" spans="1:10">
      <c r="A189" s="24" t="s">
        <v>871</v>
      </c>
      <c r="B189" s="24">
        <f t="shared" ref="B189:I189" si="3">SUM(B184,B187)</f>
        <v>14.5</v>
      </c>
      <c r="C189" s="24">
        <f t="shared" si="3"/>
        <v>14.5</v>
      </c>
      <c r="D189" s="24">
        <f t="shared" si="3"/>
        <v>14.5</v>
      </c>
      <c r="E189" s="24">
        <f t="shared" si="3"/>
        <v>14.5</v>
      </c>
      <c r="F189" s="24">
        <f t="shared" si="3"/>
        <v>13.25</v>
      </c>
      <c r="G189" s="24">
        <f t="shared" si="3"/>
        <v>0</v>
      </c>
      <c r="H189" s="24">
        <f t="shared" si="3"/>
        <v>0</v>
      </c>
      <c r="I189" s="24">
        <f t="shared" si="3"/>
        <v>71.25</v>
      </c>
      <c r="J189" s="26"/>
    </row>
    <row r="190" spans="1:10" ht="12.75">
      <c r="A190" s="5"/>
      <c r="B190" s="5"/>
      <c r="C190" s="5"/>
      <c r="D190" s="5"/>
      <c r="E190" s="5"/>
      <c r="F190" s="5"/>
      <c r="G190" s="6659" t="s">
        <v>973</v>
      </c>
      <c r="H190" s="6659" t="s">
        <v>974</v>
      </c>
      <c r="I190" s="6659" t="s">
        <v>975</v>
      </c>
    </row>
    <row r="191" spans="1:10">
      <c r="A191" s="5"/>
      <c r="B191" s="5"/>
      <c r="C191" s="5"/>
      <c r="D191" s="5"/>
      <c r="E191" s="5"/>
      <c r="F191" s="5"/>
      <c r="G191" s="6643">
        <f>I189</f>
        <v>71.25</v>
      </c>
      <c r="H191" s="6644">
        <f>SUM(G191*13/3)</f>
        <v>308.75</v>
      </c>
      <c r="I191" s="6643">
        <f>SUM(H191*12)</f>
        <v>3705</v>
      </c>
    </row>
    <row r="193" spans="1:10" ht="12.75">
      <c r="A193" s="1" t="s">
        <v>928</v>
      </c>
      <c r="B193" s="5"/>
      <c r="C193" s="5"/>
      <c r="D193" s="5"/>
      <c r="E193" s="5"/>
      <c r="F193" s="5"/>
    </row>
    <row r="194" spans="1:10" ht="12.75">
      <c r="A194" s="6175" t="s">
        <v>929</v>
      </c>
      <c r="B194" s="6442" t="s">
        <v>19</v>
      </c>
      <c r="C194" s="6443" t="s">
        <v>20</v>
      </c>
      <c r="D194" s="6443" t="s">
        <v>21</v>
      </c>
      <c r="E194" s="6443" t="s">
        <v>22</v>
      </c>
      <c r="F194" s="6443" t="s">
        <v>23</v>
      </c>
      <c r="G194" s="6443" t="s">
        <v>24</v>
      </c>
      <c r="H194" s="6444" t="s">
        <v>25</v>
      </c>
      <c r="I194" s="6445" t="s">
        <v>202</v>
      </c>
      <c r="J194" s="6446" t="s">
        <v>108</v>
      </c>
    </row>
    <row r="195" spans="1:10">
      <c r="A195" s="6447" t="s">
        <v>930</v>
      </c>
      <c r="B195" s="6448" t="s">
        <v>914</v>
      </c>
      <c r="C195" s="6448" t="s">
        <v>914</v>
      </c>
      <c r="D195" s="6448" t="s">
        <v>914</v>
      </c>
      <c r="E195" s="6448" t="s">
        <v>914</v>
      </c>
      <c r="F195" s="6448" t="s">
        <v>902</v>
      </c>
      <c r="G195" s="6440"/>
      <c r="H195" s="6440"/>
      <c r="I195" s="6448"/>
      <c r="J195" s="6450"/>
    </row>
    <row r="196" spans="1:10" ht="12.75">
      <c r="A196" s="6518"/>
      <c r="B196" s="6643">
        <v>7.5</v>
      </c>
      <c r="C196" s="6643">
        <v>7.5</v>
      </c>
      <c r="D196" s="6643">
        <v>7.5</v>
      </c>
      <c r="E196" s="6643">
        <v>7.5</v>
      </c>
      <c r="F196" s="6646">
        <v>7</v>
      </c>
      <c r="G196" s="6670"/>
      <c r="H196" s="6670"/>
      <c r="I196" s="6643">
        <f>SUM(B196:H196)</f>
        <v>37</v>
      </c>
      <c r="J196" s="6647"/>
    </row>
    <row r="197" spans="1:10" ht="12.75">
      <c r="A197" s="6607"/>
      <c r="B197" s="6658" t="s">
        <v>1125</v>
      </c>
      <c r="C197" s="6658" t="s">
        <v>1125</v>
      </c>
      <c r="D197" s="6658" t="s">
        <v>1125</v>
      </c>
      <c r="E197" s="6658" t="s">
        <v>1125</v>
      </c>
      <c r="F197" s="6658" t="s">
        <v>1126</v>
      </c>
      <c r="G197" s="6609"/>
      <c r="H197" s="6609"/>
      <c r="I197" s="6587"/>
      <c r="J197" s="6610"/>
    </row>
    <row r="198" spans="1:10">
      <c r="A198" s="6447" t="s">
        <v>931</v>
      </c>
      <c r="B198" s="6448" t="s">
        <v>1042</v>
      </c>
      <c r="C198" s="6448" t="s">
        <v>1042</v>
      </c>
      <c r="D198" s="6448" t="s">
        <v>1042</v>
      </c>
      <c r="E198" s="6448" t="s">
        <v>1042</v>
      </c>
      <c r="F198" s="6448" t="s">
        <v>1043</v>
      </c>
      <c r="G198" s="6440"/>
      <c r="H198" s="6440"/>
      <c r="I198" s="6448"/>
      <c r="J198" s="6450"/>
    </row>
    <row r="199" spans="1:10" ht="12.75">
      <c r="A199" s="6518"/>
      <c r="B199" s="6643">
        <v>7</v>
      </c>
      <c r="C199" s="6643">
        <v>7</v>
      </c>
      <c r="D199" s="6643">
        <v>7</v>
      </c>
      <c r="E199" s="6643">
        <v>7</v>
      </c>
      <c r="F199" s="6646">
        <v>6</v>
      </c>
      <c r="G199" s="6670"/>
      <c r="H199" s="6670"/>
      <c r="I199" s="6643">
        <f>SUM(B199:H199)</f>
        <v>34</v>
      </c>
      <c r="J199" s="6647"/>
    </row>
    <row r="200" spans="1:10" ht="12.75">
      <c r="A200" s="6607"/>
      <c r="B200" s="6658" t="s">
        <v>1127</v>
      </c>
      <c r="C200" s="6658" t="s">
        <v>1127</v>
      </c>
      <c r="D200" s="6658" t="s">
        <v>1127</v>
      </c>
      <c r="E200" s="6658" t="s">
        <v>1127</v>
      </c>
      <c r="F200" s="6658" t="s">
        <v>1128</v>
      </c>
      <c r="G200" s="6609"/>
      <c r="H200" s="6609"/>
      <c r="I200" s="6587"/>
      <c r="J200" s="6610"/>
    </row>
    <row r="201" spans="1:10">
      <c r="A201" s="6447" t="s">
        <v>933</v>
      </c>
      <c r="B201" s="6448" t="s">
        <v>934</v>
      </c>
      <c r="C201" s="6448" t="s">
        <v>934</v>
      </c>
      <c r="D201" s="6448" t="s">
        <v>934</v>
      </c>
      <c r="E201" s="6448" t="s">
        <v>934</v>
      </c>
      <c r="F201" s="6448" t="s">
        <v>935</v>
      </c>
      <c r="G201" s="6448"/>
      <c r="H201" s="6448"/>
      <c r="I201" s="6448"/>
      <c r="J201" s="6450"/>
    </row>
    <row r="202" spans="1:10">
      <c r="A202" s="6645"/>
      <c r="B202" s="6643" t="s">
        <v>1045</v>
      </c>
      <c r="C202" s="6643" t="s">
        <v>1045</v>
      </c>
      <c r="D202" s="6643" t="s">
        <v>1045</v>
      </c>
      <c r="E202" s="6643" t="s">
        <v>1045</v>
      </c>
      <c r="F202" s="6643" t="s">
        <v>1045</v>
      </c>
      <c r="G202" s="6646"/>
      <c r="H202" s="6646"/>
      <c r="I202" s="6643">
        <f>SUM(B202:H202)</f>
        <v>0</v>
      </c>
      <c r="J202" s="6647"/>
    </row>
    <row r="203" spans="1:10" ht="12.75">
      <c r="A203" s="6451"/>
      <c r="B203" s="6640" t="s">
        <v>1129</v>
      </c>
      <c r="C203" s="6640" t="s">
        <v>1129</v>
      </c>
      <c r="D203" s="6640" t="s">
        <v>1129</v>
      </c>
      <c r="E203" s="6640" t="s">
        <v>1129</v>
      </c>
      <c r="F203" s="6640" t="s">
        <v>1130</v>
      </c>
      <c r="G203" s="6504"/>
      <c r="H203" s="6504"/>
      <c r="I203" s="6452"/>
      <c r="J203" s="6506"/>
    </row>
    <row r="204" spans="1:10">
      <c r="A204" s="24" t="s">
        <v>871</v>
      </c>
      <c r="B204" s="24">
        <f t="shared" ref="B204:I204" si="4">SUM(B196,B199,B202)</f>
        <v>14.5</v>
      </c>
      <c r="C204" s="24">
        <f t="shared" si="4"/>
        <v>14.5</v>
      </c>
      <c r="D204" s="24">
        <f t="shared" si="4"/>
        <v>14.5</v>
      </c>
      <c r="E204" s="24">
        <f t="shared" si="4"/>
        <v>14.5</v>
      </c>
      <c r="F204" s="24">
        <f t="shared" si="4"/>
        <v>13</v>
      </c>
      <c r="G204" s="24">
        <f t="shared" si="4"/>
        <v>0</v>
      </c>
      <c r="H204" s="24">
        <f t="shared" si="4"/>
        <v>0</v>
      </c>
      <c r="I204" s="41">
        <f t="shared" si="4"/>
        <v>71</v>
      </c>
      <c r="J204" s="28"/>
    </row>
    <row r="205" spans="1:10" ht="12.75">
      <c r="A205" s="5"/>
      <c r="B205" s="5"/>
      <c r="C205" s="5"/>
      <c r="D205" s="5"/>
      <c r="E205" s="5"/>
      <c r="F205" s="18"/>
      <c r="G205" s="6659" t="s">
        <v>973</v>
      </c>
      <c r="H205" s="6659" t="s">
        <v>974</v>
      </c>
      <c r="I205" s="6659" t="s">
        <v>975</v>
      </c>
      <c r="J205" s="6"/>
    </row>
    <row r="206" spans="1:10">
      <c r="A206" s="5"/>
      <c r="B206" s="5"/>
      <c r="C206" s="5"/>
      <c r="D206" s="5"/>
      <c r="E206" s="5"/>
      <c r="F206" s="5"/>
      <c r="G206" s="6643">
        <f>I204</f>
        <v>71</v>
      </c>
      <c r="H206" s="6644">
        <f>SUM(G206*13/3)</f>
        <v>307.66666666666669</v>
      </c>
      <c r="I206" s="6643">
        <f>SUM(H206*12)</f>
        <v>3692</v>
      </c>
      <c r="J206" s="6"/>
    </row>
    <row r="218" spans="1:10" ht="12.75">
      <c r="A218" s="42" t="s">
        <v>1048</v>
      </c>
      <c r="B218" s="5"/>
      <c r="C218" s="5"/>
      <c r="D218" s="5"/>
      <c r="E218" s="5"/>
      <c r="F218" s="18"/>
      <c r="G218" s="18"/>
      <c r="H218" s="18"/>
      <c r="I218" s="5"/>
      <c r="J218" s="6"/>
    </row>
    <row r="219" spans="1:10" ht="12.75">
      <c r="A219" s="6175" t="s">
        <v>950</v>
      </c>
      <c r="B219" s="6442" t="s">
        <v>19</v>
      </c>
      <c r="C219" s="6443" t="s">
        <v>20</v>
      </c>
      <c r="D219" s="6443" t="s">
        <v>21</v>
      </c>
      <c r="E219" s="6443" t="s">
        <v>22</v>
      </c>
      <c r="F219" s="6443" t="s">
        <v>23</v>
      </c>
      <c r="G219" s="6443" t="s">
        <v>24</v>
      </c>
      <c r="H219" s="6444" t="s">
        <v>25</v>
      </c>
      <c r="I219" s="6445" t="s">
        <v>202</v>
      </c>
      <c r="J219" s="6446" t="s">
        <v>108</v>
      </c>
    </row>
    <row r="220" spans="1:10" ht="12.75">
      <c r="A220" s="6447" t="s">
        <v>0</v>
      </c>
      <c r="B220" s="6448" t="s">
        <v>305</v>
      </c>
      <c r="C220" s="6448" t="s">
        <v>305</v>
      </c>
      <c r="D220" s="6448" t="s">
        <v>305</v>
      </c>
      <c r="E220" s="6448" t="s">
        <v>305</v>
      </c>
      <c r="F220" s="6449" t="s">
        <v>306</v>
      </c>
      <c r="G220" s="6439"/>
      <c r="H220" s="6439" t="s">
        <v>0</v>
      </c>
      <c r="I220" s="6457"/>
      <c r="J220" s="6450" t="s">
        <v>0</v>
      </c>
    </row>
    <row r="221" spans="1:10" ht="12.75">
      <c r="A221" s="6683">
        <v>1</v>
      </c>
      <c r="B221" s="6643">
        <v>7.75</v>
      </c>
      <c r="C221" s="6643">
        <v>7.75</v>
      </c>
      <c r="D221" s="6643">
        <v>7.75</v>
      </c>
      <c r="E221" s="6643">
        <v>7.75</v>
      </c>
      <c r="F221" s="6646">
        <v>6</v>
      </c>
      <c r="G221" s="6643"/>
      <c r="H221" s="6643" t="s">
        <v>0</v>
      </c>
      <c r="I221" s="6643">
        <f>SUM(B221:H221)</f>
        <v>37</v>
      </c>
      <c r="J221" s="6647"/>
    </row>
    <row r="222" spans="1:10" ht="12.75">
      <c r="A222" s="6684"/>
      <c r="B222" s="6658" t="s">
        <v>1131</v>
      </c>
      <c r="C222" s="6658" t="s">
        <v>1131</v>
      </c>
      <c r="D222" s="6658" t="s">
        <v>1131</v>
      </c>
      <c r="E222" s="6658" t="s">
        <v>1131</v>
      </c>
      <c r="F222" s="6658" t="s">
        <v>1132</v>
      </c>
      <c r="G222" s="6658"/>
      <c r="H222" s="6658" t="s">
        <v>0</v>
      </c>
      <c r="I222" s="6587"/>
      <c r="J222" s="6610"/>
    </row>
    <row r="223" spans="1:10">
      <c r="A223" s="6447" t="s">
        <v>0</v>
      </c>
      <c r="B223" s="6448" t="s">
        <v>305</v>
      </c>
      <c r="C223" s="6448" t="s">
        <v>305</v>
      </c>
      <c r="D223" s="6448" t="s">
        <v>305</v>
      </c>
      <c r="E223" s="6448" t="s">
        <v>305</v>
      </c>
      <c r="F223" s="6449" t="s">
        <v>306</v>
      </c>
      <c r="G223" s="6448"/>
      <c r="H223" s="6449"/>
      <c r="I223" s="6457"/>
      <c r="J223" s="6450"/>
    </row>
    <row r="224" spans="1:10" ht="12.75">
      <c r="A224" s="6683">
        <v>2</v>
      </c>
      <c r="B224" s="6643">
        <v>7.75</v>
      </c>
      <c r="C224" s="6643">
        <v>7.75</v>
      </c>
      <c r="D224" s="6643">
        <v>7.75</v>
      </c>
      <c r="E224" s="6643">
        <v>7.75</v>
      </c>
      <c r="F224" s="6646">
        <v>6</v>
      </c>
      <c r="G224" s="6646"/>
      <c r="H224" s="6646"/>
      <c r="I224" s="6643">
        <f>SUM(B224:H224)</f>
        <v>37</v>
      </c>
      <c r="J224" s="6647"/>
    </row>
    <row r="225" spans="1:10" ht="12.75">
      <c r="A225" s="6684"/>
      <c r="B225" s="6658" t="s">
        <v>1131</v>
      </c>
      <c r="C225" s="6658" t="s">
        <v>1131</v>
      </c>
      <c r="D225" s="6658" t="s">
        <v>1131</v>
      </c>
      <c r="E225" s="6658" t="s">
        <v>1131</v>
      </c>
      <c r="F225" s="6658" t="s">
        <v>1132</v>
      </c>
      <c r="G225" s="6609"/>
      <c r="H225" s="6608"/>
      <c r="I225" s="6587"/>
      <c r="J225" s="6610"/>
    </row>
    <row r="226" spans="1:10">
      <c r="A226" s="6447"/>
      <c r="B226" s="6448" t="s">
        <v>305</v>
      </c>
      <c r="C226" s="6448" t="s">
        <v>305</v>
      </c>
      <c r="D226" s="6448" t="s">
        <v>305</v>
      </c>
      <c r="E226" s="6448" t="s">
        <v>305</v>
      </c>
      <c r="F226" s="6449" t="s">
        <v>306</v>
      </c>
      <c r="G226" s="6448"/>
      <c r="H226" s="6449"/>
      <c r="I226" s="6457"/>
      <c r="J226" s="6450"/>
    </row>
    <row r="227" spans="1:10" ht="12.75">
      <c r="A227" s="6683">
        <v>3</v>
      </c>
      <c r="B227" s="6643">
        <v>7.75</v>
      </c>
      <c r="C227" s="6643">
        <v>7.75</v>
      </c>
      <c r="D227" s="6643">
        <v>7.75</v>
      </c>
      <c r="E227" s="6643">
        <v>7.75</v>
      </c>
      <c r="F227" s="6646">
        <v>6</v>
      </c>
      <c r="G227" s="6643"/>
      <c r="H227" s="6646"/>
      <c r="I227" s="6643">
        <f>SUM(B227:H227)</f>
        <v>37</v>
      </c>
      <c r="J227" s="6647"/>
    </row>
    <row r="228" spans="1:10" ht="12.75">
      <c r="A228" s="6684"/>
      <c r="B228" s="6658" t="s">
        <v>1131</v>
      </c>
      <c r="C228" s="6658" t="s">
        <v>1131</v>
      </c>
      <c r="D228" s="6658" t="s">
        <v>1131</v>
      </c>
      <c r="E228" s="6658" t="s">
        <v>1131</v>
      </c>
      <c r="F228" s="6658" t="s">
        <v>1132</v>
      </c>
      <c r="G228" s="6587"/>
      <c r="H228" s="6608"/>
      <c r="I228" s="6587"/>
      <c r="J228" s="6610"/>
    </row>
    <row r="229" spans="1:10">
      <c r="A229" s="6660"/>
      <c r="B229" s="6448" t="s">
        <v>305</v>
      </c>
      <c r="C229" s="6448" t="s">
        <v>305</v>
      </c>
      <c r="D229" s="6448" t="s">
        <v>305</v>
      </c>
      <c r="E229" s="6448" t="s">
        <v>305</v>
      </c>
      <c r="F229" s="6449" t="s">
        <v>306</v>
      </c>
      <c r="G229" s="6449"/>
      <c r="H229" s="6449"/>
      <c r="I229" s="6457"/>
      <c r="J229" s="6450"/>
    </row>
    <row r="230" spans="1:10" ht="12.75">
      <c r="A230" s="6683">
        <v>4</v>
      </c>
      <c r="B230" s="6643">
        <v>7.75</v>
      </c>
      <c r="C230" s="6643">
        <v>7.75</v>
      </c>
      <c r="D230" s="6643">
        <v>7.75</v>
      </c>
      <c r="E230" s="6643">
        <v>7.75</v>
      </c>
      <c r="F230" s="6646">
        <v>6</v>
      </c>
      <c r="G230" s="6646"/>
      <c r="H230" s="6646"/>
      <c r="I230" s="6643">
        <f>SUM(B230:H230)</f>
        <v>37</v>
      </c>
      <c r="J230" s="6647"/>
    </row>
    <row r="231" spans="1:10" ht="12.75">
      <c r="A231" s="6684"/>
      <c r="B231" s="6658" t="s">
        <v>1131</v>
      </c>
      <c r="C231" s="6658" t="s">
        <v>1131</v>
      </c>
      <c r="D231" s="6658" t="s">
        <v>1131</v>
      </c>
      <c r="E231" s="6658" t="s">
        <v>1131</v>
      </c>
      <c r="F231" s="6658" t="s">
        <v>1132</v>
      </c>
      <c r="G231" s="6608"/>
      <c r="H231" s="6608"/>
      <c r="I231" s="6587"/>
      <c r="J231" s="6610"/>
    </row>
    <row r="232" spans="1:10">
      <c r="A232" s="6447"/>
      <c r="B232" s="6448" t="s">
        <v>305</v>
      </c>
      <c r="C232" s="6448" t="s">
        <v>305</v>
      </c>
      <c r="D232" s="6448" t="s">
        <v>305</v>
      </c>
      <c r="E232" s="6448" t="s">
        <v>305</v>
      </c>
      <c r="F232" s="6449" t="s">
        <v>306</v>
      </c>
      <c r="G232" s="6449"/>
      <c r="H232" s="6449"/>
      <c r="I232" s="6457"/>
      <c r="J232" s="6450"/>
    </row>
    <row r="233" spans="1:10" ht="12.75">
      <c r="A233" s="6683">
        <v>5</v>
      </c>
      <c r="B233" s="6643">
        <v>7.75</v>
      </c>
      <c r="C233" s="6643">
        <v>7.75</v>
      </c>
      <c r="D233" s="6643">
        <v>7.75</v>
      </c>
      <c r="E233" s="6643">
        <v>7.75</v>
      </c>
      <c r="F233" s="6646">
        <v>6</v>
      </c>
      <c r="G233" s="6646"/>
      <c r="H233" s="6646"/>
      <c r="I233" s="6643">
        <f>SUM(B233:H233)</f>
        <v>37</v>
      </c>
      <c r="J233" s="6647"/>
    </row>
    <row r="234" spans="1:10" ht="12.75">
      <c r="A234" s="6613"/>
      <c r="B234" s="6640" t="s">
        <v>1131</v>
      </c>
      <c r="C234" s="6640" t="s">
        <v>1131</v>
      </c>
      <c r="D234" s="6640" t="s">
        <v>1131</v>
      </c>
      <c r="E234" s="6640" t="s">
        <v>1131</v>
      </c>
      <c r="F234" s="6640" t="s">
        <v>1132</v>
      </c>
      <c r="G234" s="6504"/>
      <c r="H234" s="6504"/>
      <c r="I234" s="6452"/>
      <c r="J234" s="6506"/>
    </row>
    <row r="235" spans="1:10">
      <c r="A235" s="6447"/>
      <c r="B235" s="6448" t="s">
        <v>305</v>
      </c>
      <c r="C235" s="6448" t="s">
        <v>305</v>
      </c>
      <c r="D235" s="6448" t="s">
        <v>305</v>
      </c>
      <c r="E235" s="6448" t="s">
        <v>305</v>
      </c>
      <c r="F235" s="6449" t="s">
        <v>306</v>
      </c>
      <c r="G235" s="6449"/>
      <c r="H235" s="6449"/>
      <c r="I235" s="6457"/>
      <c r="J235" s="6450"/>
    </row>
    <row r="236" spans="1:10" ht="12.75">
      <c r="A236" s="6683">
        <v>6</v>
      </c>
      <c r="B236" s="6643">
        <v>7.75</v>
      </c>
      <c r="C236" s="6643">
        <v>7.75</v>
      </c>
      <c r="D236" s="6643">
        <v>7.75</v>
      </c>
      <c r="E236" s="6643">
        <v>7.75</v>
      </c>
      <c r="F236" s="6646">
        <v>6</v>
      </c>
      <c r="G236" s="6646"/>
      <c r="H236" s="6646"/>
      <c r="I236" s="6643">
        <f>SUM(B236:H236)</f>
        <v>37</v>
      </c>
      <c r="J236" s="6647"/>
    </row>
    <row r="237" spans="1:10" ht="12.75">
      <c r="A237" s="6613"/>
      <c r="B237" s="6640" t="s">
        <v>1131</v>
      </c>
      <c r="C237" s="6640" t="s">
        <v>1131</v>
      </c>
      <c r="D237" s="6640" t="s">
        <v>1131</v>
      </c>
      <c r="E237" s="6640" t="s">
        <v>1131</v>
      </c>
      <c r="F237" s="6640" t="s">
        <v>1132</v>
      </c>
      <c r="G237" s="6504"/>
      <c r="H237" s="6504"/>
      <c r="I237" s="6452"/>
      <c r="J237" s="6506"/>
    </row>
    <row r="238" spans="1:10">
      <c r="A238" s="24" t="s">
        <v>871</v>
      </c>
      <c r="B238" s="24">
        <f t="shared" ref="B238:H238" si="5">SUM(B221,B224,B227,B230,B233,B236)</f>
        <v>46.5</v>
      </c>
      <c r="C238" s="24">
        <f t="shared" si="5"/>
        <v>46.5</v>
      </c>
      <c r="D238" s="24">
        <f t="shared" si="5"/>
        <v>46.5</v>
      </c>
      <c r="E238" s="24">
        <f t="shared" si="5"/>
        <v>46.5</v>
      </c>
      <c r="F238" s="24">
        <f t="shared" si="5"/>
        <v>36</v>
      </c>
      <c r="G238" s="24">
        <f t="shared" si="5"/>
        <v>0</v>
      </c>
      <c r="H238" s="24">
        <f t="shared" si="5"/>
        <v>0</v>
      </c>
      <c r="I238" s="41">
        <f>SUM(I221,I224,I227,I230,I236)</f>
        <v>185</v>
      </c>
      <c r="J238" s="28"/>
    </row>
    <row r="239" spans="1:10" ht="12.75">
      <c r="A239" s="42"/>
      <c r="B239" s="5"/>
      <c r="C239" s="5"/>
      <c r="D239" s="5"/>
      <c r="E239" s="5"/>
      <c r="F239" s="18"/>
      <c r="G239" s="6659" t="s">
        <v>973</v>
      </c>
      <c r="H239" s="6659" t="s">
        <v>974</v>
      </c>
      <c r="I239" s="6659" t="s">
        <v>975</v>
      </c>
      <c r="J239" s="6"/>
    </row>
    <row r="240" spans="1:10" ht="12.75">
      <c r="A240" s="42"/>
      <c r="B240" s="5"/>
      <c r="C240" s="5"/>
      <c r="D240" s="5"/>
      <c r="E240" s="5"/>
      <c r="F240" s="18"/>
      <c r="G240" s="6643">
        <f>I238</f>
        <v>185</v>
      </c>
      <c r="H240" s="6644">
        <f>SUM(G240*13/3)</f>
        <v>801.66666666666663</v>
      </c>
      <c r="I240" s="6643">
        <f>SUM(H240*12)</f>
        <v>9620</v>
      </c>
      <c r="J240" s="6"/>
    </row>
    <row r="242" spans="1:10">
      <c r="A242" t="s">
        <v>1133</v>
      </c>
      <c r="B242" s="5"/>
      <c r="C242" s="5"/>
      <c r="D242" s="5"/>
      <c r="E242" s="5"/>
      <c r="F242" s="18"/>
      <c r="G242" s="18"/>
      <c r="H242" s="18"/>
      <c r="I242" s="5"/>
      <c r="J242" s="6"/>
    </row>
    <row r="243" spans="1:10" ht="12.75">
      <c r="A243" s="6685" t="s">
        <v>1134</v>
      </c>
      <c r="B243" s="6442" t="s">
        <v>19</v>
      </c>
      <c r="C243" s="6443" t="s">
        <v>20</v>
      </c>
      <c r="D243" s="6443" t="s">
        <v>21</v>
      </c>
      <c r="E243" s="6443" t="s">
        <v>22</v>
      </c>
      <c r="F243" s="6443" t="s">
        <v>23</v>
      </c>
      <c r="G243" s="6443" t="s">
        <v>24</v>
      </c>
      <c r="H243" s="6444" t="s">
        <v>25</v>
      </c>
      <c r="I243" s="6445" t="s">
        <v>202</v>
      </c>
      <c r="J243" s="6446" t="s">
        <v>108</v>
      </c>
    </row>
    <row r="244" spans="1:10">
      <c r="A244" s="6686" t="s">
        <v>67</v>
      </c>
      <c r="B244" s="6461" t="s">
        <v>1135</v>
      </c>
      <c r="C244" s="6538" t="s">
        <v>1136</v>
      </c>
      <c r="D244" s="6461" t="s">
        <v>1135</v>
      </c>
      <c r="E244" s="6461" t="s">
        <v>1135</v>
      </c>
      <c r="F244" s="6457" t="s">
        <v>1137</v>
      </c>
      <c r="G244" s="6538"/>
      <c r="H244" s="6461"/>
      <c r="I244" s="6457"/>
      <c r="J244" s="6450" t="s">
        <v>0</v>
      </c>
    </row>
    <row r="245" spans="1:10">
      <c r="A245" s="6687" t="s">
        <v>0</v>
      </c>
      <c r="B245" s="6688" t="s">
        <v>1138</v>
      </c>
      <c r="C245" s="6688" t="s">
        <v>1138</v>
      </c>
      <c r="D245" s="6688" t="s">
        <v>1138</v>
      </c>
      <c r="E245" s="6688" t="s">
        <v>1138</v>
      </c>
      <c r="F245" s="6688" t="s">
        <v>1139</v>
      </c>
      <c r="G245" s="6656"/>
      <c r="H245" s="6689"/>
      <c r="I245" s="6688"/>
      <c r="J245" s="6647"/>
    </row>
    <row r="246" spans="1:10">
      <c r="A246" s="6690"/>
      <c r="B246" s="6691">
        <v>7.5</v>
      </c>
      <c r="C246" s="6691">
        <v>7.5</v>
      </c>
      <c r="D246" s="6691">
        <v>7.5</v>
      </c>
      <c r="E246" s="6691">
        <v>7.5</v>
      </c>
      <c r="F246" s="6691">
        <v>7</v>
      </c>
      <c r="G246" s="6692"/>
      <c r="H246" s="6462"/>
      <c r="I246" s="6691"/>
      <c r="J246" s="6693"/>
    </row>
    <row r="247" spans="1:10">
      <c r="A247" s="24" t="s">
        <v>871</v>
      </c>
      <c r="B247" s="43">
        <f>B246</f>
        <v>7.5</v>
      </c>
      <c r="C247" s="43">
        <f>C246</f>
        <v>7.5</v>
      </c>
      <c r="D247" s="43">
        <f>D246</f>
        <v>7.5</v>
      </c>
      <c r="E247" s="43">
        <f>E246</f>
        <v>7.5</v>
      </c>
      <c r="F247" s="43">
        <f>F246</f>
        <v>7</v>
      </c>
      <c r="G247" s="24">
        <f>SUM(G230,G236,G239,G242,G245)</f>
        <v>0</v>
      </c>
      <c r="H247" s="24">
        <f>SUM(H230,H236,H239,H242,H245)</f>
        <v>0</v>
      </c>
      <c r="I247" s="44">
        <v>37</v>
      </c>
      <c r="J247" s="28"/>
    </row>
    <row r="248" spans="1:10" ht="12.75">
      <c r="A248" s="42"/>
      <c r="B248" s="5"/>
      <c r="C248" s="5"/>
      <c r="D248" s="5"/>
      <c r="E248" s="5"/>
      <c r="F248" s="18"/>
      <c r="G248" s="6659" t="s">
        <v>973</v>
      </c>
      <c r="H248" s="6659" t="s">
        <v>974</v>
      </c>
      <c r="I248" s="6659" t="s">
        <v>975</v>
      </c>
      <c r="J248" s="6"/>
    </row>
    <row r="249" spans="1:10" ht="12.75">
      <c r="A249" s="42"/>
      <c r="B249" s="5"/>
      <c r="C249" s="5"/>
      <c r="D249" s="5"/>
      <c r="E249" s="5"/>
      <c r="F249" s="18"/>
      <c r="G249" s="6643">
        <f>I247</f>
        <v>37</v>
      </c>
      <c r="H249" s="6644">
        <f>SUM(G249*13/3)</f>
        <v>160.33333333333334</v>
      </c>
      <c r="I249" s="6643">
        <f>SUM(H249*12)</f>
        <v>1924</v>
      </c>
      <c r="J249" s="6"/>
    </row>
    <row r="250" spans="1:10" ht="12.75">
      <c r="A250" s="42"/>
      <c r="B250" s="5"/>
      <c r="C250" s="5"/>
      <c r="D250" s="5"/>
      <c r="E250" s="5"/>
      <c r="F250" s="18"/>
      <c r="G250" s="18"/>
      <c r="H250" s="18"/>
      <c r="I250" s="5"/>
      <c r="J250" s="6"/>
    </row>
    <row r="251" spans="1:10" ht="12.75">
      <c r="A251" s="42"/>
      <c r="B251" s="5"/>
      <c r="C251" s="5"/>
      <c r="D251" s="5"/>
      <c r="E251" s="5"/>
      <c r="F251" s="18"/>
      <c r="G251" s="18"/>
      <c r="H251" s="18"/>
      <c r="I251" s="5"/>
      <c r="J251" s="6"/>
    </row>
    <row r="252" spans="1:10" ht="12.75">
      <c r="A252" s="42"/>
      <c r="B252" s="5"/>
      <c r="C252" s="5"/>
      <c r="D252" s="5"/>
      <c r="E252" s="5"/>
      <c r="F252" s="18"/>
      <c r="G252" s="18"/>
      <c r="H252" s="18"/>
      <c r="I252" s="5"/>
      <c r="J252" s="6"/>
    </row>
    <row r="253" spans="1:10" ht="12.75">
      <c r="A253" s="42"/>
      <c r="B253" s="5"/>
      <c r="C253" s="5"/>
      <c r="D253" s="5"/>
      <c r="E253" s="5"/>
      <c r="F253" s="18"/>
      <c r="G253" s="18"/>
      <c r="H253" s="18"/>
      <c r="I253" s="5"/>
      <c r="J253" s="6"/>
    </row>
    <row r="254" spans="1:10" ht="12.75">
      <c r="A254" s="42" t="s">
        <v>1140</v>
      </c>
      <c r="B254" s="5"/>
      <c r="C254" s="5"/>
      <c r="D254" s="5"/>
      <c r="E254" s="5"/>
      <c r="F254" s="18"/>
      <c r="G254" s="18"/>
      <c r="H254" s="18"/>
      <c r="I254" s="5"/>
      <c r="J254" s="6"/>
    </row>
    <row r="255" spans="1:10" ht="12.75">
      <c r="A255" s="6547" t="s">
        <v>1141</v>
      </c>
      <c r="B255" s="6442" t="s">
        <v>19</v>
      </c>
      <c r="C255" s="6443" t="s">
        <v>20</v>
      </c>
      <c r="D255" s="6443" t="s">
        <v>21</v>
      </c>
      <c r="E255" s="6443" t="s">
        <v>22</v>
      </c>
      <c r="F255" s="6443" t="s">
        <v>23</v>
      </c>
      <c r="G255" s="6443" t="s">
        <v>24</v>
      </c>
      <c r="H255" s="6444" t="s">
        <v>25</v>
      </c>
      <c r="I255" s="6445" t="s">
        <v>202</v>
      </c>
      <c r="J255" s="6446" t="s">
        <v>108</v>
      </c>
    </row>
    <row r="256" spans="1:10">
      <c r="A256" s="6447" t="s">
        <v>0</v>
      </c>
      <c r="B256" s="6440" t="s">
        <v>10</v>
      </c>
      <c r="C256" s="6440" t="s">
        <v>10</v>
      </c>
      <c r="D256" s="6440" t="s">
        <v>10</v>
      </c>
      <c r="E256" s="6440" t="s">
        <v>10</v>
      </c>
      <c r="F256" s="6440" t="s">
        <v>10</v>
      </c>
      <c r="G256" s="6440"/>
      <c r="H256" s="6440"/>
      <c r="I256" s="6176"/>
      <c r="J256" s="6450"/>
    </row>
    <row r="257" spans="1:10" ht="12.75">
      <c r="A257" s="6683" t="s">
        <v>1142</v>
      </c>
      <c r="B257" s="6646">
        <v>8.5</v>
      </c>
      <c r="C257" s="6646">
        <v>8.5</v>
      </c>
      <c r="D257" s="6646">
        <v>8.5</v>
      </c>
      <c r="E257" s="6646">
        <v>8.5</v>
      </c>
      <c r="F257" s="6646">
        <v>8.5</v>
      </c>
      <c r="G257" s="6646"/>
      <c r="H257" s="6646"/>
      <c r="I257" s="6643">
        <f>SUM(B257:H257)</f>
        <v>42.5</v>
      </c>
      <c r="J257" s="6647"/>
    </row>
    <row r="258" spans="1:10" ht="12.75">
      <c r="A258" s="6684"/>
      <c r="B258" s="275" t="s">
        <v>1143</v>
      </c>
      <c r="C258" s="275" t="s">
        <v>1143</v>
      </c>
      <c r="D258" s="275" t="s">
        <v>1143</v>
      </c>
      <c r="E258" s="275" t="s">
        <v>1143</v>
      </c>
      <c r="F258" s="275" t="s">
        <v>1143</v>
      </c>
      <c r="G258" s="275"/>
      <c r="H258" s="275"/>
      <c r="I258" s="256"/>
      <c r="J258" s="228"/>
    </row>
    <row r="259" spans="1:10">
      <c r="A259" s="6447" t="s">
        <v>0</v>
      </c>
      <c r="B259" s="6440" t="s">
        <v>10</v>
      </c>
      <c r="C259" s="6440" t="s">
        <v>10</v>
      </c>
      <c r="D259" s="6440" t="s">
        <v>10</v>
      </c>
      <c r="E259" s="6440" t="s">
        <v>10</v>
      </c>
      <c r="F259" s="6440" t="s">
        <v>10</v>
      </c>
      <c r="G259" s="6440" t="s">
        <v>10</v>
      </c>
      <c r="H259" s="6440" t="s">
        <v>10</v>
      </c>
      <c r="I259" s="6176"/>
      <c r="J259" s="6450" t="s">
        <v>1144</v>
      </c>
    </row>
    <row r="260" spans="1:10" ht="12.75">
      <c r="A260" s="6683" t="s">
        <v>1145</v>
      </c>
      <c r="B260" s="6643">
        <v>7</v>
      </c>
      <c r="C260" s="6643">
        <v>7</v>
      </c>
      <c r="D260" s="6643">
        <v>7</v>
      </c>
      <c r="E260" s="6643">
        <v>7</v>
      </c>
      <c r="F260" s="6643">
        <v>7</v>
      </c>
      <c r="G260" s="6646">
        <v>12</v>
      </c>
      <c r="H260" s="6646">
        <v>12</v>
      </c>
      <c r="I260" s="6643">
        <f>SUM(B260:H260)</f>
        <v>59</v>
      </c>
      <c r="J260" s="6647" t="s">
        <v>1146</v>
      </c>
    </row>
    <row r="261" spans="1:10" ht="12.75">
      <c r="A261" s="6684"/>
      <c r="B261" s="275" t="s">
        <v>1147</v>
      </c>
      <c r="C261" s="275" t="s">
        <v>1147</v>
      </c>
      <c r="D261" s="275" t="s">
        <v>1147</v>
      </c>
      <c r="E261" s="275" t="s">
        <v>1147</v>
      </c>
      <c r="F261" s="275" t="s">
        <v>1147</v>
      </c>
      <c r="G261" s="275" t="s">
        <v>1148</v>
      </c>
      <c r="H261" s="275" t="s">
        <v>1148</v>
      </c>
      <c r="I261" s="256"/>
      <c r="J261" s="228"/>
    </row>
    <row r="262" spans="1:10">
      <c r="A262" s="6447"/>
      <c r="B262" s="6448" t="s">
        <v>220</v>
      </c>
      <c r="C262" s="6448" t="s">
        <v>220</v>
      </c>
      <c r="D262" s="6448" t="s">
        <v>220</v>
      </c>
      <c r="E262" s="6448" t="s">
        <v>220</v>
      </c>
      <c r="F262" s="6448" t="s">
        <v>220</v>
      </c>
      <c r="G262" s="6449"/>
      <c r="H262" s="6449"/>
      <c r="I262" s="6176"/>
      <c r="J262" s="6450"/>
    </row>
    <row r="263" spans="1:10" ht="12.75">
      <c r="A263" s="6683" t="s">
        <v>1149</v>
      </c>
      <c r="B263" s="6643"/>
      <c r="C263" s="6643"/>
      <c r="D263" s="6643"/>
      <c r="E263" s="6643"/>
      <c r="F263" s="6643"/>
      <c r="G263" s="6646"/>
      <c r="H263" s="6646"/>
      <c r="I263" s="6643">
        <f>SUM(B263:H263)</f>
        <v>0</v>
      </c>
      <c r="J263" s="6647"/>
    </row>
    <row r="264" spans="1:10" ht="12.75">
      <c r="A264" s="6684"/>
      <c r="B264" s="1559" t="s">
        <v>1150</v>
      </c>
      <c r="C264" s="1559" t="s">
        <v>1150</v>
      </c>
      <c r="D264" s="1559" t="s">
        <v>1150</v>
      </c>
      <c r="E264" s="1559" t="s">
        <v>1150</v>
      </c>
      <c r="F264" s="1559" t="s">
        <v>1150</v>
      </c>
      <c r="G264" s="256"/>
      <c r="H264" s="257"/>
      <c r="I264" s="256"/>
      <c r="J264" s="228"/>
    </row>
    <row r="265" spans="1:10">
      <c r="A265" s="6660"/>
      <c r="B265" s="6440" t="s">
        <v>10</v>
      </c>
      <c r="C265" s="6440" t="s">
        <v>10</v>
      </c>
      <c r="D265" s="6440" t="s">
        <v>10</v>
      </c>
      <c r="E265" s="6440" t="s">
        <v>10</v>
      </c>
      <c r="F265" s="6440" t="s">
        <v>10</v>
      </c>
      <c r="G265" s="6449"/>
      <c r="H265" s="6449"/>
      <c r="I265" s="6176"/>
      <c r="J265" s="6450" t="s">
        <v>0</v>
      </c>
    </row>
    <row r="266" spans="1:10" ht="12.75">
      <c r="A266" s="6683" t="s">
        <v>1151</v>
      </c>
      <c r="B266" s="6643">
        <v>7.75</v>
      </c>
      <c r="C266" s="6643">
        <v>7.75</v>
      </c>
      <c r="D266" s="6643">
        <v>7.75</v>
      </c>
      <c r="E266" s="6643">
        <v>7.75</v>
      </c>
      <c r="F266" s="6643">
        <v>7.75</v>
      </c>
      <c r="G266" s="6646"/>
      <c r="H266" s="6646"/>
      <c r="I266" s="6643">
        <f>SUM(B266:H266)</f>
        <v>38.75</v>
      </c>
      <c r="J266" s="6647"/>
    </row>
    <row r="267" spans="1:10" ht="12.75">
      <c r="A267" s="6684"/>
      <c r="B267" s="275" t="s">
        <v>1152</v>
      </c>
      <c r="C267" s="275" t="s">
        <v>1152</v>
      </c>
      <c r="D267" s="275" t="s">
        <v>1152</v>
      </c>
      <c r="E267" s="275" t="s">
        <v>1152</v>
      </c>
      <c r="F267" s="275" t="s">
        <v>1152</v>
      </c>
      <c r="G267" s="257"/>
      <c r="H267" s="257"/>
      <c r="I267" s="256"/>
      <c r="J267" s="228"/>
    </row>
    <row r="268" spans="1:10">
      <c r="A268" s="6447"/>
      <c r="B268" s="6448"/>
      <c r="C268" s="6448"/>
      <c r="D268" s="6448"/>
      <c r="E268" s="6448"/>
      <c r="F268" s="6448"/>
      <c r="G268" s="6448"/>
      <c r="H268" s="6448"/>
      <c r="I268" s="6176"/>
      <c r="J268" s="6450" t="s">
        <v>0</v>
      </c>
    </row>
    <row r="269" spans="1:10" ht="12.75">
      <c r="A269" s="6683" t="s">
        <v>1153</v>
      </c>
      <c r="B269" s="6643"/>
      <c r="C269" s="6643"/>
      <c r="D269" s="6643"/>
      <c r="E269" s="6643"/>
      <c r="F269" s="6643"/>
      <c r="G269" s="6646"/>
      <c r="H269" s="6646"/>
      <c r="I269" s="6643">
        <f>SUM(B269:H269)</f>
        <v>0</v>
      </c>
      <c r="J269" s="6647" t="s">
        <v>0</v>
      </c>
    </row>
    <row r="270" spans="1:10" ht="12.75">
      <c r="A270" s="6613"/>
      <c r="B270" s="275" t="s">
        <v>1154</v>
      </c>
      <c r="C270" s="275" t="s">
        <v>1154</v>
      </c>
      <c r="D270" s="275" t="s">
        <v>1154</v>
      </c>
      <c r="E270" s="275" t="s">
        <v>1154</v>
      </c>
      <c r="F270" s="275" t="s">
        <v>1154</v>
      </c>
      <c r="G270" s="241"/>
      <c r="H270" s="241"/>
      <c r="I270" s="1529"/>
      <c r="J270" s="1474"/>
    </row>
    <row r="271" spans="1:10" ht="12.75">
      <c r="A271" s="45"/>
      <c r="B271" s="6448"/>
      <c r="C271" s="6448"/>
      <c r="D271" s="6448"/>
      <c r="E271" s="6448"/>
      <c r="F271" s="6448"/>
      <c r="G271" s="6448"/>
      <c r="H271" s="6448"/>
      <c r="I271" s="6176"/>
      <c r="J271" s="6450" t="s">
        <v>0</v>
      </c>
    </row>
    <row r="272" spans="1:10" ht="12.75">
      <c r="A272" s="45" t="s">
        <v>1155</v>
      </c>
      <c r="B272" s="6643"/>
      <c r="C272" s="6643"/>
      <c r="D272" s="6643"/>
      <c r="E272" s="6643"/>
      <c r="F272" s="6643"/>
      <c r="G272" s="6646"/>
      <c r="H272" s="6646"/>
      <c r="I272" s="6643">
        <f>SUM(B272:H272)</f>
        <v>0</v>
      </c>
      <c r="J272" s="6647"/>
    </row>
    <row r="275" spans="1:9" ht="12.75">
      <c r="A275" s="6683" t="s">
        <v>1156</v>
      </c>
      <c r="B275" s="6643"/>
      <c r="C275" s="6643"/>
      <c r="D275" s="6643"/>
      <c r="E275" s="6643"/>
      <c r="F275" s="6643"/>
      <c r="G275" s="6646"/>
      <c r="H275" s="6646"/>
      <c r="I275" s="6643">
        <f>SUM(B275:H275)</f>
        <v>0</v>
      </c>
    </row>
    <row r="276" spans="1:9" ht="12.75">
      <c r="A276" s="6613"/>
      <c r="B276" s="1559"/>
      <c r="C276" s="1559"/>
      <c r="D276" s="1559"/>
      <c r="E276" s="1559"/>
      <c r="F276" s="1559"/>
      <c r="G276" s="1530"/>
      <c r="H276" s="1530"/>
      <c r="I276" s="1529"/>
    </row>
    <row r="277" spans="1:9">
      <c r="A277" s="24" t="s">
        <v>871</v>
      </c>
      <c r="B277" s="24">
        <f t="shared" ref="B277:I277" si="6">SUM(B257,B260,B263,B266,B269,B272,B275)</f>
        <v>23.25</v>
      </c>
      <c r="C277" s="24">
        <f t="shared" si="6"/>
        <v>23.25</v>
      </c>
      <c r="D277" s="24">
        <f t="shared" si="6"/>
        <v>23.25</v>
      </c>
      <c r="E277" s="24">
        <f t="shared" si="6"/>
        <v>23.25</v>
      </c>
      <c r="F277" s="24">
        <f t="shared" si="6"/>
        <v>23.25</v>
      </c>
      <c r="G277" s="24">
        <f t="shared" si="6"/>
        <v>12</v>
      </c>
      <c r="H277" s="24">
        <f t="shared" si="6"/>
        <v>12</v>
      </c>
      <c r="I277" s="24">
        <f t="shared" si="6"/>
        <v>140.25</v>
      </c>
    </row>
    <row r="278" spans="1:9" ht="12.75">
      <c r="A278" s="42"/>
      <c r="B278" s="5"/>
      <c r="C278" s="5"/>
      <c r="D278" s="5"/>
      <c r="E278" s="5"/>
      <c r="F278" s="18"/>
      <c r="G278" s="6659" t="s">
        <v>973</v>
      </c>
      <c r="H278" s="6659" t="s">
        <v>974</v>
      </c>
      <c r="I278" s="6659" t="s">
        <v>975</v>
      </c>
    </row>
    <row r="279" spans="1:9" ht="12.75">
      <c r="A279" s="42"/>
      <c r="B279" s="5"/>
      <c r="C279" s="5"/>
      <c r="D279" s="5"/>
      <c r="E279" s="5"/>
      <c r="F279" s="18"/>
      <c r="G279" s="6643">
        <f>I277</f>
        <v>140.25</v>
      </c>
      <c r="H279" s="6644">
        <f>SUM(G279*13/3)</f>
        <v>607.75</v>
      </c>
      <c r="I279" s="6643">
        <f>SUM(H279*12)</f>
        <v>7293</v>
      </c>
    </row>
    <row r="280" spans="1:9">
      <c r="A280" s="5"/>
      <c r="B280" s="5"/>
      <c r="C280" s="5"/>
      <c r="D280" s="5"/>
      <c r="E280" s="5"/>
      <c r="F280" s="18"/>
      <c r="G280" s="18"/>
      <c r="H280" s="18"/>
      <c r="I280" s="5"/>
    </row>
    <row r="281" spans="1:9">
      <c r="A281" s="5"/>
      <c r="B281" s="5"/>
      <c r="C281" s="5"/>
      <c r="D281" s="5"/>
      <c r="E281" s="5"/>
      <c r="F281" s="18"/>
      <c r="G281" s="18"/>
      <c r="H281" s="18"/>
      <c r="I281" s="5"/>
    </row>
    <row r="282" spans="1:9">
      <c r="A282" s="5"/>
      <c r="B282" s="5"/>
      <c r="C282" s="5"/>
      <c r="D282" s="5"/>
      <c r="E282" s="5"/>
      <c r="F282" s="18"/>
      <c r="G282" s="18"/>
      <c r="H282" s="18"/>
      <c r="I282" s="5"/>
    </row>
    <row r="283" spans="1:9">
      <c r="A283" s="5"/>
      <c r="B283" s="5"/>
      <c r="C283" s="5"/>
      <c r="D283" s="5"/>
      <c r="E283" s="5"/>
      <c r="F283" s="18"/>
      <c r="G283" s="18"/>
      <c r="H283" s="18"/>
      <c r="I283" s="5"/>
    </row>
    <row r="284" spans="1:9" ht="12.75">
      <c r="A284" s="5"/>
      <c r="B284" s="37"/>
      <c r="C284" s="37"/>
      <c r="D284" s="37"/>
      <c r="E284" s="37"/>
      <c r="F284" s="37"/>
      <c r="G284" s="18"/>
      <c r="H284" s="18"/>
      <c r="I284" s="5"/>
    </row>
    <row r="285" spans="1:9">
      <c r="A285" s="5"/>
      <c r="B285" s="5"/>
      <c r="C285" s="5"/>
      <c r="D285" s="5"/>
      <c r="E285" s="5"/>
      <c r="F285" s="18"/>
      <c r="G285" s="18"/>
      <c r="H285" s="18"/>
      <c r="I285" s="5"/>
    </row>
    <row r="286" spans="1:9" ht="12.75">
      <c r="A286" s="6628"/>
      <c r="B286" s="6508" t="s">
        <v>19</v>
      </c>
      <c r="C286" s="3200" t="s">
        <v>20</v>
      </c>
      <c r="D286" s="3200" t="s">
        <v>21</v>
      </c>
      <c r="E286" s="3200" t="s">
        <v>22</v>
      </c>
      <c r="F286" s="3200" t="s">
        <v>23</v>
      </c>
      <c r="G286" s="3200" t="s">
        <v>24</v>
      </c>
      <c r="H286" s="6509" t="s">
        <v>25</v>
      </c>
      <c r="I286" s="6510" t="s">
        <v>959</v>
      </c>
    </row>
    <row r="287" spans="1:9">
      <c r="A287" s="6530" t="s">
        <v>960</v>
      </c>
      <c r="B287" s="635">
        <f t="shared" ref="B287:I287" si="7">SUM(B4,B11,B53,B65,B116,B163,B169,B189,B204,B238,B247,B277)</f>
        <v>276</v>
      </c>
      <c r="C287" s="635">
        <f t="shared" si="7"/>
        <v>276</v>
      </c>
      <c r="D287" s="635">
        <f t="shared" si="7"/>
        <v>276</v>
      </c>
      <c r="E287" s="635">
        <f t="shared" si="7"/>
        <v>276</v>
      </c>
      <c r="F287" s="635">
        <f t="shared" si="7"/>
        <v>246.5</v>
      </c>
      <c r="G287" s="635">
        <f t="shared" si="7"/>
        <v>105</v>
      </c>
      <c r="H287" s="635">
        <f t="shared" si="7"/>
        <v>108</v>
      </c>
      <c r="I287" s="635">
        <f t="shared" si="7"/>
        <v>1526.5</v>
      </c>
    </row>
    <row r="288" spans="1:9">
      <c r="A288" s="6540" t="s">
        <v>962</v>
      </c>
      <c r="B288" s="1529">
        <f t="shared" ref="B288:I288" si="8">SUM(B287*52)</f>
        <v>14352</v>
      </c>
      <c r="C288" s="1529">
        <f t="shared" si="8"/>
        <v>14352</v>
      </c>
      <c r="D288" s="1529">
        <f t="shared" si="8"/>
        <v>14352</v>
      </c>
      <c r="E288" s="1529">
        <f t="shared" si="8"/>
        <v>14352</v>
      </c>
      <c r="F288" s="1529">
        <f t="shared" si="8"/>
        <v>12818</v>
      </c>
      <c r="G288" s="1529">
        <f t="shared" si="8"/>
        <v>5460</v>
      </c>
      <c r="H288" s="1529">
        <f t="shared" si="8"/>
        <v>5616</v>
      </c>
      <c r="I288" s="1529">
        <f t="shared" si="8"/>
        <v>79378</v>
      </c>
    </row>
    <row r="290" spans="1:10">
      <c r="J290" s="18" t="s">
        <v>0</v>
      </c>
    </row>
    <row r="291" spans="1:10">
      <c r="A291" s="6694" t="s">
        <v>1070</v>
      </c>
      <c r="B291" s="6457"/>
      <c r="C291" s="6457"/>
      <c r="D291" s="6457"/>
      <c r="E291" s="6448">
        <v>56</v>
      </c>
      <c r="F291" s="6457"/>
      <c r="G291" s="6457"/>
      <c r="H291" s="6176"/>
      <c r="I291" s="6630">
        <f>SUM(E291)*26</f>
        <v>1456</v>
      </c>
      <c r="J291" s="5" t="s">
        <v>0</v>
      </c>
    </row>
    <row r="292" spans="1:10">
      <c r="A292" s="6631" t="s">
        <v>1071</v>
      </c>
      <c r="B292" s="6240"/>
      <c r="C292" s="6240"/>
      <c r="D292" s="6240"/>
      <c r="E292" s="6240"/>
      <c r="F292" s="6240"/>
      <c r="G292" s="6240"/>
      <c r="H292" s="6240"/>
      <c r="I292" s="6632">
        <f>SUM(I291*2)</f>
        <v>2912</v>
      </c>
    </row>
    <row r="293" spans="1:10">
      <c r="A293" s="6530" t="s">
        <v>965</v>
      </c>
      <c r="B293" s="6689"/>
      <c r="C293" s="6633"/>
      <c r="D293" s="6240"/>
      <c r="E293" s="6240"/>
      <c r="F293" s="6240"/>
      <c r="G293" s="6240"/>
      <c r="H293" s="6240"/>
      <c r="I293" s="6632">
        <f>48*12</f>
        <v>576</v>
      </c>
    </row>
    <row r="294" spans="1:10">
      <c r="A294" s="6634" t="s">
        <v>959</v>
      </c>
      <c r="B294" s="6463"/>
      <c r="C294" s="6463"/>
      <c r="D294" s="6463"/>
      <c r="E294" s="6463"/>
      <c r="F294" s="6463"/>
      <c r="G294" s="6463"/>
      <c r="H294" s="6463"/>
      <c r="I294" s="6635">
        <f>SUM(I291:I293)</f>
        <v>4944</v>
      </c>
    </row>
    <row r="295" spans="1:10">
      <c r="I295" s="21"/>
    </row>
    <row r="296" spans="1:10">
      <c r="I296" s="21"/>
    </row>
    <row r="297" spans="1:10">
      <c r="A297" s="6515" t="s">
        <v>966</v>
      </c>
      <c r="B297" s="6515"/>
      <c r="C297" s="6515"/>
      <c r="D297" s="6515"/>
      <c r="E297" s="6515"/>
      <c r="F297" s="6515"/>
      <c r="G297" s="6515"/>
      <c r="H297" s="6515"/>
      <c r="I297" s="6517">
        <f>SUM(I288+I294)</f>
        <v>84322</v>
      </c>
      <c r="J297" t="s">
        <v>1157</v>
      </c>
    </row>
  </sheetData>
  <sheetProtection algorithmName="SHA-512" hashValue="TJ/Bhm8ii4R+c7B/OE0xRLVCinS1UBg0oUO8CNHPEo+urOwpke6+vq5Wvcbw0psdGag9eUae60S3Htra0SRQhw==" saltValue="w0oIZwBLvaWcsrqneudMmw==" spinCount="100000" sheet="1" objects="1" scenarios="1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Ark34"/>
  <dimension ref="A1:N17"/>
  <sheetViews>
    <sheetView topLeftCell="A6" workbookViewId="0">
      <selection activeCell="G20" sqref="G20"/>
    </sheetView>
  </sheetViews>
  <sheetFormatPr defaultRowHeight="12"/>
  <cols>
    <col min="1" max="1" width="26.5703125" customWidth="1"/>
    <col min="2" max="14" width="19.42578125" customWidth="1"/>
  </cols>
  <sheetData>
    <row r="1" spans="1:14" ht="18">
      <c r="A1" s="1560" t="s">
        <v>1158</v>
      </c>
      <c r="B1" s="1560"/>
      <c r="C1" s="1560"/>
      <c r="D1" s="1560"/>
      <c r="E1" s="1560"/>
      <c r="F1" s="1560"/>
      <c r="G1" s="1560"/>
      <c r="H1" s="1560"/>
      <c r="I1" s="1560"/>
      <c r="J1" s="1560"/>
      <c r="K1" s="1560"/>
      <c r="L1" s="1560"/>
      <c r="M1" s="1560"/>
      <c r="N1" s="1560"/>
    </row>
    <row r="2" spans="1:14" ht="48" customHeight="1">
      <c r="A2" s="6695"/>
      <c r="B2" s="6696" t="s">
        <v>1159</v>
      </c>
      <c r="C2" s="6696" t="s">
        <v>1160</v>
      </c>
      <c r="D2" s="6697" t="s">
        <v>1161</v>
      </c>
      <c r="E2" s="6697" t="s">
        <v>1162</v>
      </c>
      <c r="F2" s="6695"/>
      <c r="G2" s="6698" t="s">
        <v>1163</v>
      </c>
      <c r="H2" s="6698"/>
      <c r="I2" s="6699"/>
      <c r="J2" s="6695"/>
      <c r="K2" s="6698" t="s">
        <v>1164</v>
      </c>
      <c r="L2" s="6698"/>
      <c r="M2" s="6699"/>
      <c r="N2" s="6699" t="s">
        <v>108</v>
      </c>
    </row>
    <row r="3" spans="1:14" ht="48" customHeight="1">
      <c r="A3" s="71"/>
      <c r="B3" s="72" t="s">
        <v>0</v>
      </c>
      <c r="C3" s="72"/>
      <c r="D3" s="73"/>
      <c r="E3" s="73"/>
      <c r="F3" s="74" t="s">
        <v>1165</v>
      </c>
      <c r="G3" s="75" t="s">
        <v>1166</v>
      </c>
      <c r="H3" s="75" t="s">
        <v>1167</v>
      </c>
      <c r="I3" s="76" t="s">
        <v>1168</v>
      </c>
      <c r="J3" s="74" t="s">
        <v>1165</v>
      </c>
      <c r="K3" s="75" t="s">
        <v>1166</v>
      </c>
      <c r="L3" s="75" t="s">
        <v>1167</v>
      </c>
      <c r="M3" s="76" t="s">
        <v>1168</v>
      </c>
      <c r="N3" s="77"/>
    </row>
    <row r="4" spans="1:14" ht="48" customHeight="1">
      <c r="A4" s="6700" t="s">
        <v>1169</v>
      </c>
      <c r="B4" s="6701" t="s">
        <v>1170</v>
      </c>
      <c r="C4" s="6702" t="s">
        <v>1171</v>
      </c>
      <c r="D4" s="6703" t="s">
        <v>1172</v>
      </c>
      <c r="E4" s="6704" t="s">
        <v>782</v>
      </c>
      <c r="F4" s="6705"/>
      <c r="G4" s="6706"/>
      <c r="H4" s="6707"/>
      <c r="I4" s="6707"/>
      <c r="J4" s="6705"/>
      <c r="K4" s="6707"/>
      <c r="L4" s="6707"/>
      <c r="M4" s="6708"/>
      <c r="N4" s="6709"/>
    </row>
    <row r="5" spans="1:14" ht="48" customHeight="1">
      <c r="A5" s="78"/>
      <c r="B5" s="78"/>
      <c r="C5" s="78"/>
      <c r="D5" s="78"/>
      <c r="E5" s="78"/>
      <c r="F5" s="79"/>
      <c r="G5" s="79"/>
      <c r="H5" s="79"/>
      <c r="I5" s="79"/>
      <c r="J5" s="79"/>
      <c r="K5" s="79"/>
      <c r="L5" s="79"/>
      <c r="M5" s="79"/>
      <c r="N5" s="78"/>
    </row>
    <row r="6" spans="1:14" ht="48" customHeight="1">
      <c r="A6" s="6695"/>
      <c r="B6" s="6696" t="s">
        <v>1173</v>
      </c>
      <c r="C6" s="6696" t="s">
        <v>1160</v>
      </c>
      <c r="D6" s="6697" t="s">
        <v>1161</v>
      </c>
      <c r="E6" s="6697" t="s">
        <v>1162</v>
      </c>
      <c r="F6" s="6710"/>
      <c r="G6" s="6711" t="s">
        <v>1163</v>
      </c>
      <c r="H6" s="6711"/>
      <c r="I6" s="6712"/>
      <c r="J6" s="6710"/>
      <c r="K6" s="6711" t="s">
        <v>1164</v>
      </c>
      <c r="L6" s="6711"/>
      <c r="M6" s="6712"/>
      <c r="N6" s="6699" t="s">
        <v>108</v>
      </c>
    </row>
    <row r="7" spans="1:14" ht="48" customHeight="1">
      <c r="A7" s="71"/>
      <c r="B7" s="72" t="s">
        <v>0</v>
      </c>
      <c r="C7" s="72"/>
      <c r="D7" s="73"/>
      <c r="E7" s="73"/>
      <c r="F7" s="74" t="s">
        <v>1165</v>
      </c>
      <c r="G7" s="75" t="s">
        <v>1166</v>
      </c>
      <c r="H7" s="75" t="s">
        <v>1167</v>
      </c>
      <c r="I7" s="76" t="s">
        <v>1168</v>
      </c>
      <c r="J7" s="74" t="s">
        <v>1165</v>
      </c>
      <c r="K7" s="75" t="s">
        <v>1166</v>
      </c>
      <c r="L7" s="75" t="s">
        <v>1167</v>
      </c>
      <c r="M7" s="76" t="s">
        <v>1168</v>
      </c>
      <c r="N7" s="77"/>
    </row>
    <row r="8" spans="1:14" ht="48" customHeight="1">
      <c r="A8" s="80" t="s">
        <v>1174</v>
      </c>
      <c r="B8" s="6701" t="s">
        <v>1175</v>
      </c>
      <c r="C8" s="6702" t="s">
        <v>1176</v>
      </c>
      <c r="D8" s="6713" t="s">
        <v>1177</v>
      </c>
      <c r="E8" s="6714" t="s">
        <v>1178</v>
      </c>
      <c r="F8" s="6715">
        <v>0</v>
      </c>
      <c r="G8" s="6716">
        <v>0</v>
      </c>
      <c r="H8" s="6716">
        <v>0</v>
      </c>
      <c r="I8" s="6717">
        <v>0</v>
      </c>
      <c r="J8" s="6715">
        <v>0</v>
      </c>
      <c r="K8" s="6716">
        <v>0</v>
      </c>
      <c r="L8" s="6716">
        <v>0</v>
      </c>
      <c r="M8" s="6717"/>
      <c r="N8" s="6718"/>
    </row>
    <row r="9" spans="1:14" ht="48" customHeight="1">
      <c r="A9" s="80" t="s">
        <v>777</v>
      </c>
      <c r="B9" s="238" t="s">
        <v>1179</v>
      </c>
      <c r="C9" s="6719" t="s">
        <v>1180</v>
      </c>
      <c r="D9" s="6720" t="s">
        <v>1181</v>
      </c>
      <c r="E9" s="6714" t="s">
        <v>1178</v>
      </c>
      <c r="F9" s="6715" t="s">
        <v>0</v>
      </c>
      <c r="G9" s="6716"/>
      <c r="H9" s="6716">
        <v>4</v>
      </c>
      <c r="I9" s="6717"/>
      <c r="J9" s="6715">
        <v>0</v>
      </c>
      <c r="K9" s="6716">
        <v>0</v>
      </c>
      <c r="L9" s="6716" t="s">
        <v>0</v>
      </c>
      <c r="M9" s="6717"/>
      <c r="N9" s="6721"/>
    </row>
    <row r="10" spans="1:14" ht="48" customHeight="1">
      <c r="A10" s="81" t="s">
        <v>1182</v>
      </c>
      <c r="B10" s="6701" t="s">
        <v>1175</v>
      </c>
      <c r="C10" s="6702" t="s">
        <v>1176</v>
      </c>
      <c r="D10" s="6713" t="s">
        <v>1177</v>
      </c>
      <c r="E10" s="6714" t="s">
        <v>1183</v>
      </c>
      <c r="F10" s="6715">
        <v>0</v>
      </c>
      <c r="G10" s="6716">
        <v>0</v>
      </c>
      <c r="H10" s="6716">
        <v>0</v>
      </c>
      <c r="I10" s="6717">
        <v>0</v>
      </c>
      <c r="J10" s="6715">
        <v>0</v>
      </c>
      <c r="K10" s="6716">
        <v>0</v>
      </c>
      <c r="L10" s="6716">
        <v>0</v>
      </c>
      <c r="M10" s="6717"/>
      <c r="N10" s="6718"/>
    </row>
    <row r="11" spans="1:14" ht="48" customHeight="1">
      <c r="A11" s="81" t="s">
        <v>1184</v>
      </c>
      <c r="B11" s="238" t="s">
        <v>1179</v>
      </c>
      <c r="C11" s="6719" t="s">
        <v>1180</v>
      </c>
      <c r="D11" s="6720" t="s">
        <v>1181</v>
      </c>
      <c r="E11" s="6714" t="s">
        <v>1185</v>
      </c>
      <c r="F11" s="6715" t="s">
        <v>0</v>
      </c>
      <c r="G11" s="6716"/>
      <c r="H11" s="6716">
        <v>4</v>
      </c>
      <c r="I11" s="6717"/>
      <c r="J11" s="6715">
        <v>0</v>
      </c>
      <c r="K11" s="6716">
        <v>0</v>
      </c>
      <c r="L11" s="6716">
        <v>0</v>
      </c>
      <c r="M11" s="6717"/>
      <c r="N11" s="6721"/>
    </row>
    <row r="12" spans="1:14" ht="48" customHeight="1">
      <c r="A12" s="82" t="s">
        <v>1186</v>
      </c>
      <c r="B12" s="6701" t="s">
        <v>1175</v>
      </c>
      <c r="C12" s="6702" t="s">
        <v>1176</v>
      </c>
      <c r="D12" s="6713" t="s">
        <v>1177</v>
      </c>
      <c r="E12" s="6714" t="s">
        <v>1187</v>
      </c>
      <c r="F12" s="6715">
        <v>0</v>
      </c>
      <c r="G12" s="6716">
        <v>0</v>
      </c>
      <c r="H12" s="6716">
        <v>0</v>
      </c>
      <c r="I12" s="6717">
        <v>0</v>
      </c>
      <c r="J12" s="6715">
        <v>0</v>
      </c>
      <c r="K12" s="6716">
        <v>0</v>
      </c>
      <c r="L12" s="6716">
        <v>0</v>
      </c>
      <c r="M12" s="6717"/>
      <c r="N12" s="6718"/>
    </row>
    <row r="13" spans="1:14" ht="48" customHeight="1">
      <c r="A13" s="82" t="s">
        <v>331</v>
      </c>
      <c r="B13" s="238" t="s">
        <v>1179</v>
      </c>
      <c r="C13" s="6719" t="s">
        <v>1180</v>
      </c>
      <c r="D13" s="6720" t="s">
        <v>1181</v>
      </c>
      <c r="E13" s="6714" t="s">
        <v>1187</v>
      </c>
      <c r="F13" s="6715" t="s">
        <v>0</v>
      </c>
      <c r="G13" s="6716"/>
      <c r="H13" s="6716">
        <v>4</v>
      </c>
      <c r="I13" s="6717"/>
      <c r="J13" s="6715">
        <v>0</v>
      </c>
      <c r="K13" s="6716">
        <v>0</v>
      </c>
      <c r="L13" s="6716">
        <v>0</v>
      </c>
      <c r="M13" s="6717"/>
      <c r="N13" s="6721"/>
    </row>
    <row r="14" spans="1:14" ht="48" customHeight="1">
      <c r="A14" s="83" t="s">
        <v>1188</v>
      </c>
      <c r="B14" s="6701" t="s">
        <v>1175</v>
      </c>
      <c r="C14" s="6702" t="s">
        <v>1176</v>
      </c>
      <c r="D14" s="6713" t="s">
        <v>1177</v>
      </c>
      <c r="E14" s="6714" t="s">
        <v>1187</v>
      </c>
      <c r="F14" s="6715">
        <v>0</v>
      </c>
      <c r="G14" s="6716">
        <v>0</v>
      </c>
      <c r="H14" s="6716">
        <v>0</v>
      </c>
      <c r="I14" s="6717">
        <v>0</v>
      </c>
      <c r="J14" s="6715">
        <v>0</v>
      </c>
      <c r="K14" s="6716">
        <v>0</v>
      </c>
      <c r="L14" s="6716">
        <v>0</v>
      </c>
      <c r="M14" s="6717"/>
      <c r="N14" s="6718"/>
    </row>
    <row r="15" spans="1:14" ht="48" customHeight="1">
      <c r="A15" s="1668" t="s">
        <v>1189</v>
      </c>
      <c r="B15" s="1542" t="s">
        <v>1179</v>
      </c>
      <c r="C15" s="6722" t="s">
        <v>1180</v>
      </c>
      <c r="D15" s="6723" t="s">
        <v>1181</v>
      </c>
      <c r="E15" s="6724" t="s">
        <v>1187</v>
      </c>
      <c r="F15" s="6725" t="s">
        <v>0</v>
      </c>
      <c r="G15" s="6726"/>
      <c r="H15" s="6726">
        <v>4</v>
      </c>
      <c r="I15" s="6727"/>
      <c r="J15" s="6725">
        <v>0</v>
      </c>
      <c r="K15" s="6726">
        <v>0</v>
      </c>
      <c r="L15" s="6726">
        <v>0</v>
      </c>
      <c r="M15" s="6727"/>
      <c r="N15" s="6728"/>
    </row>
    <row r="16" spans="1:14" ht="48" customHeight="1">
      <c r="A16" s="84"/>
      <c r="B16" s="6701" t="s">
        <v>1175</v>
      </c>
      <c r="C16" s="6702" t="s">
        <v>1176</v>
      </c>
      <c r="D16" s="6713" t="s">
        <v>1177</v>
      </c>
      <c r="E16" s="6714" t="s">
        <v>1190</v>
      </c>
      <c r="F16" s="6715">
        <v>0</v>
      </c>
      <c r="G16" s="6716">
        <v>0</v>
      </c>
      <c r="H16" s="6716">
        <v>0</v>
      </c>
      <c r="I16" s="6717">
        <v>0</v>
      </c>
      <c r="J16" s="6729"/>
      <c r="K16" s="6730"/>
      <c r="L16" s="6730"/>
      <c r="M16" s="6731"/>
      <c r="N16" s="6732"/>
    </row>
    <row r="17" spans="1:14" ht="48" customHeight="1">
      <c r="A17" s="1669" t="s">
        <v>708</v>
      </c>
      <c r="B17" s="1542" t="s">
        <v>1179</v>
      </c>
      <c r="C17" s="6722" t="s">
        <v>1180</v>
      </c>
      <c r="D17" s="6723" t="s">
        <v>1181</v>
      </c>
      <c r="E17" s="6724" t="s">
        <v>1190</v>
      </c>
      <c r="F17" s="6733"/>
      <c r="G17" s="6734"/>
      <c r="H17" s="6726">
        <v>4</v>
      </c>
      <c r="I17" s="6735"/>
      <c r="J17" s="6733"/>
      <c r="K17" s="6734"/>
      <c r="L17" s="6734"/>
      <c r="M17" s="6735"/>
      <c r="N17" s="6736"/>
    </row>
  </sheetData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Ark35"/>
  <dimension ref="A1:A3"/>
  <sheetViews>
    <sheetView workbookViewId="0"/>
  </sheetViews>
  <sheetFormatPr defaultRowHeight="12"/>
  <sheetData>
    <row r="1" spans="1:1">
      <c r="A1" s="110" t="s">
        <v>1191</v>
      </c>
    </row>
    <row r="2" spans="1:1">
      <c r="A2" s="110" t="s">
        <v>1192</v>
      </c>
    </row>
    <row r="3" spans="1:1">
      <c r="A3" s="110" t="s">
        <v>1193</v>
      </c>
    </row>
  </sheetData>
  <pageMargins left="0.7" right="0.7" top="0.75" bottom="0.75" header="0.3" footer="0.3"/>
</worksheet>
</file>

<file path=customUI/customUI.xml><?xml version="1.0" encoding="utf-8"?>
<!--RibbonX Visual Designer 1.94 for Microsoft Excel 12.0. XML Code produced on 2015-03-05-->
<customUI xmlns="http://schemas.microsoft.com/office/2006/01/customui">
  <ribbon>
    <tabs>
      <tab id="Tab1" insertBeforeMso="TabInsert" label="Vagtplan">
        <group id="Group1" label="Group1">
          <button idMso="FileSendAsAttachment" label="Email"/>
          <button idMso="FilePrint" label="Udskriv"/>
          <gallery idMso="ViewFreezePanesGallery" label="Frys"/>
        </group>
        <group idMso="GroupStyles"/>
        <group idMso="GroupComments"/>
        <group idMso="GroupMacros"/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45c24c4d-4de2-4a11-996b-ad1b02b5a53f">
      <UserInfo>
        <DisplayName>Bo Volfing Jacobsen</DisplayName>
        <AccountId>51</AccountId>
        <AccountType/>
      </UserInfo>
      <UserInfo>
        <DisplayName>Erik Skyggebjerg Andersen</DisplayName>
        <AccountId>52</AccountId>
        <AccountType/>
      </UserInfo>
      <UserInfo>
        <DisplayName>Steen Hertin-Sandkær</DisplayName>
        <AccountId>53</AccountId>
        <AccountType/>
      </UserInfo>
      <UserInfo>
        <DisplayName>Michael Bo Pedersen</DisplayName>
        <AccountId>54</AccountId>
        <AccountType/>
      </UserInfo>
      <UserInfo>
        <DisplayName>Rasmus Sørensen</DisplayName>
        <AccountId>55</AccountId>
        <AccountType/>
      </UserInfo>
      <UserInfo>
        <DisplayName>Dennis Rise</DisplayName>
        <AccountId>56</AccountId>
        <AccountType/>
      </UserInfo>
      <UserInfo>
        <DisplayName>Kim Holm Aabroe</DisplayName>
        <AccountId>38</AccountId>
        <AccountType/>
      </UserInfo>
      <UserInfo>
        <DisplayName>Flemming Nielsen</DisplayName>
        <AccountId>130</AccountId>
        <AccountType/>
      </UserInfo>
      <UserInfo>
        <DisplayName>Flemming Erik Dam</DisplayName>
        <AccountId>133</AccountId>
        <AccountType/>
      </UserInfo>
      <UserInfo>
        <DisplayName>Thomas Holm</DisplayName>
        <AccountId>26</AccountId>
        <AccountType/>
      </UserInfo>
      <UserInfo>
        <DisplayName>Nikolaj Langtin Pamhede</DisplayName>
        <AccountId>69</AccountId>
        <AccountType/>
      </UserInfo>
      <UserInfo>
        <DisplayName>Anders Villadsen</DisplayName>
        <AccountId>79</AccountId>
        <AccountType/>
      </UserInfo>
      <UserInfo>
        <DisplayName>Marianne Rasmussen</DisplayName>
        <AccountId>40</AccountId>
        <AccountType/>
      </UserInfo>
      <UserInfo>
        <DisplayName>Mathias Søndergaard</DisplayName>
        <AccountId>33</AccountId>
        <AccountType/>
      </UserInfo>
      <UserInfo>
        <DisplayName>Martin Svanebjerg Larsen</DisplayName>
        <AccountId>792</AccountId>
        <AccountType/>
      </UserInfo>
      <UserInfo>
        <DisplayName>Kim BT. Pedersen</DisplayName>
        <AccountId>24</AccountId>
        <AccountType/>
      </UserInfo>
      <UserInfo>
        <DisplayName>Nick Lorentzen</DisplayName>
        <AccountId>112</AccountId>
        <AccountType/>
      </UserInfo>
      <UserInfo>
        <DisplayName>Oliver Voss</DisplayName>
        <AccountId>886</AccountId>
        <AccountType/>
      </UserInfo>
      <UserInfo>
        <DisplayName>Michael Riis-Jensen</DisplayName>
        <AccountId>197</AccountId>
        <AccountType/>
      </UserInfo>
      <UserInfo>
        <DisplayName>Henrik Wolffbrandt Hansen</DisplayName>
        <AccountId>418</AccountId>
        <AccountType/>
      </UserInfo>
      <UserInfo>
        <DisplayName>Henriette Dedichen</DisplayName>
        <AccountId>113</AccountId>
        <AccountType/>
      </UserInfo>
      <UserInfo>
        <DisplayName>Jesper Larsen</DisplayName>
        <AccountId>110</AccountId>
        <AccountType/>
      </UserInfo>
      <UserInfo>
        <DisplayName>Lars Crone</DisplayName>
        <AccountId>969</AccountId>
        <AccountType/>
      </UserInfo>
    </SharedWithUsers>
    <dato xmlns="0f03729d-1f1c-4b43-bedd-870f9fd028b5">2020-12-25T23:00:00+00:00</dato>
    <Note xmlns="0f03729d-1f1c-4b43-bedd-870f9fd028b5" xsi:nil="true"/>
    <lcf76f155ced4ddcb4097134ff3c332f xmlns="0f03729d-1f1c-4b43-bedd-870f9fd028b5">
      <Terms xmlns="http://schemas.microsoft.com/office/infopath/2007/PartnerControls"/>
    </lcf76f155ced4ddcb4097134ff3c332f>
    <eDoc xmlns="0f03729d-1f1c-4b43-bedd-870f9fd028b5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24556FA7B362AE4B8446F9CC073D5A4F" ma:contentTypeVersion="21" ma:contentTypeDescription="Opret et nyt dokument." ma:contentTypeScope="" ma:versionID="29eb3a036b90b29db2fcb250f5ab1f36">
  <xsd:schema xmlns:xsd="http://www.w3.org/2001/XMLSchema" xmlns:xs="http://www.w3.org/2001/XMLSchema" xmlns:p="http://schemas.microsoft.com/office/2006/metadata/properties" xmlns:ns2="0f03729d-1f1c-4b43-bedd-870f9fd028b5" xmlns:ns3="45c24c4d-4de2-4a11-996b-ad1b02b5a53f" targetNamespace="http://schemas.microsoft.com/office/2006/metadata/properties" ma:root="true" ma:fieldsID="ad93c050f1bea95ca108ddf053299f1d" ns2:_="" ns3:_="">
    <xsd:import namespace="0f03729d-1f1c-4b43-bedd-870f9fd028b5"/>
    <xsd:import namespace="45c24c4d-4de2-4a11-996b-ad1b02b5a53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dato" minOccurs="0"/>
                <xsd:element ref="ns2:Note" minOccurs="0"/>
                <xsd:element ref="ns2:MediaLengthInSeconds" minOccurs="0"/>
                <xsd:element ref="ns2:lcf76f155ced4ddcb4097134ff3c332f" minOccurs="0"/>
                <xsd:element ref="ns2:eDoc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03729d-1f1c-4b43-bedd-870f9fd028b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Location" ma:index="12" nillable="true" ma:displayName="MediaServiceLocation" ma:internalName="MediaServiceLocation" ma:readOnly="true">
      <xsd:simpleType>
        <xsd:restriction base="dms:Text"/>
      </xsd:simpleType>
    </xsd:element>
    <xsd:element name="MediaServiceOCR" ma:index="13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dato" ma:index="20" nillable="true" ma:displayName="dato" ma:format="DateTime" ma:internalName="dato" ma:readOnly="false">
      <xsd:simpleType>
        <xsd:restriction base="dms:DateTime"/>
      </xsd:simpleType>
    </xsd:element>
    <xsd:element name="Note" ma:index="21" nillable="true" ma:displayName="Note" ma:description="Ekstra noter" ma:format="Dropdown" ma:internalName="Note">
      <xsd:simpleType>
        <xsd:restriction base="dms:Note">
          <xsd:maxLength value="255"/>
        </xsd:restriction>
      </xsd:simpleType>
    </xsd:element>
    <xsd:element name="MediaLengthInSeconds" ma:index="22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4" nillable="true" ma:taxonomy="true" ma:internalName="lcf76f155ced4ddcb4097134ff3c332f" ma:taxonomyFieldName="MediaServiceImageTags" ma:displayName="Billedmærker" ma:readOnly="false" ma:fieldId="{5cf76f15-5ced-4ddc-b409-7134ff3c332f}" ma:taxonomyMulti="true" ma:sspId="e6a412d2-aea5-45d9-add9-4615ec18655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eDoc" ma:index="25" nillable="true" ma:displayName="eDoc" ma:internalName="eDoc">
      <xsd:simpleType>
        <xsd:restriction base="dms:Text"/>
      </xsd:simpleType>
    </xsd:element>
    <xsd:element name="MediaServiceObjectDetectorVersions" ma:index="26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7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5c24c4d-4de2-4a11-996b-ad1b02b5a53f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Delt med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Delt med detaljer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dhol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574A16D-7D0F-432C-80FF-48A6AFFF8F3F}"/>
</file>

<file path=customXml/itemProps2.xml><?xml version="1.0" encoding="utf-8"?>
<ds:datastoreItem xmlns:ds="http://schemas.openxmlformats.org/officeDocument/2006/customXml" ds:itemID="{7BCA86D9-54B4-4348-9CE7-64F24673B21E}"/>
</file>

<file path=customXml/itemProps3.xml><?xml version="1.0" encoding="utf-8"?>
<ds:datastoreItem xmlns:ds="http://schemas.openxmlformats.org/officeDocument/2006/customXml" ds:itemID="{17587B9F-B16D-47F4-A8AD-86372AE6C945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Kff</dc:creator>
  <cp:keywords/>
  <dc:description/>
  <cp:lastModifiedBy>Vanesa Alemany</cp:lastModifiedBy>
  <cp:revision>11</cp:revision>
  <dcterms:created xsi:type="dcterms:W3CDTF">2000-02-23T09:56:36Z</dcterms:created>
  <dcterms:modified xsi:type="dcterms:W3CDTF">2026-01-19T08:20:49Z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ujitsuDocumentOpenedAndNotYetMarkedAsEDocInExcel">
    <vt:bool>false</vt:bool>
  </property>
  <property fmtid="{D5CDD505-2E9C-101B-9397-08002B2CF9AE}" pid="3" name="ICLInviaDenyAllSaves">
    <vt:bool>false</vt:bool>
  </property>
  <property fmtid="{D5CDD505-2E9C-101B-9397-08002B2CF9AE}" pid="4" name="ICLInviaDocumentId">
    <vt:lpwstr>{4E6EB6B6-D0DC-409E-891A-6296969950C6}</vt:lpwstr>
  </property>
  <property fmtid="{D5CDD505-2E9C-101B-9397-08002B2CF9AE}" pid="5" name="ICLInviaIsBeingSaved">
    <vt:bool>true</vt:bool>
  </property>
  <property fmtid="{D5CDD505-2E9C-101B-9397-08002B2CF9AE}" pid="6" name="ICLInviaLocalDocument">
    <vt:bool>true</vt:bool>
  </property>
  <property fmtid="{D5CDD505-2E9C-101B-9397-08002B2CF9AE}" pid="7" name="ICLInviaNewDocument">
    <vt:bool>false</vt:bool>
  </property>
  <property fmtid="{D5CDD505-2E9C-101B-9397-08002B2CF9AE}" pid="8" name="ICLInviaReadOnly">
    <vt:bool>false</vt:bool>
  </property>
  <property fmtid="{D5CDD505-2E9C-101B-9397-08002B2CF9AE}" pid="9" name="ICLInviaTemplate">
    <vt:bool>false</vt:bool>
  </property>
  <property fmtid="{D5CDD505-2E9C-101B-9397-08002B2CF9AE}" pid="10" name="eDocWrapped">
    <vt:bool>true</vt:bool>
  </property>
  <property fmtid="{D5CDD505-2E9C-101B-9397-08002B2CF9AE}" pid="11" name="ContentTypeId">
    <vt:lpwstr>0x01010024556FA7B362AE4B8446F9CC073D5A4F</vt:lpwstr>
  </property>
  <property fmtid="{D5CDD505-2E9C-101B-9397-08002B2CF9AE}" pid="12" name="Order">
    <vt:r8>100</vt:r8>
  </property>
  <property fmtid="{D5CDD505-2E9C-101B-9397-08002B2CF9AE}" pid="13" name="SharedWithUsers">
    <vt:lpwstr>51;#Bo Volfing Jacobsen;#52;#Erik Skyggebjerg Andersen;#53;#Steen Hertin;#54;#Michael Bo Pedersen;#55;#Rasmus Sørensen;#56;#Dennis Rise;#38;#Kim Holm Aabroe;#130;#Flemming Nielsen;#133;#Flemming Dam</vt:lpwstr>
  </property>
  <property fmtid="{D5CDD505-2E9C-101B-9397-08002B2CF9AE}" pid="14" name="Sensitivity">
    <vt:lpwstr/>
  </property>
  <property fmtid="{D5CDD505-2E9C-101B-9397-08002B2CF9AE}" pid="15" name="j2c2601e249f4d2993f2fcc4fe83f7c1">
    <vt:lpwstr/>
  </property>
  <property fmtid="{D5CDD505-2E9C-101B-9397-08002B2CF9AE}" pid="16" name="TaxCatchAll">
    <vt:lpwstr/>
  </property>
  <property fmtid="{D5CDD505-2E9C-101B-9397-08002B2CF9AE}" pid="17" name="AuthorIds_UIVersion_55808">
    <vt:lpwstr>64</vt:lpwstr>
  </property>
  <property fmtid="{D5CDD505-2E9C-101B-9397-08002B2CF9AE}" pid="18" name="CloudStatistics_StoryID">
    <vt:lpwstr>a4b12edf-297e-42b2-ba9a-01191d323809</vt:lpwstr>
  </property>
  <property fmtid="{D5CDD505-2E9C-101B-9397-08002B2CF9AE}" pid="19" name="MediaServiceImageTags">
    <vt:lpwstr/>
  </property>
</Properties>
</file>